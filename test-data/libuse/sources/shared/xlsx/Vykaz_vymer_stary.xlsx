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prokopovo\Documents\ROZPOČTOVÁNÍ\15-26 Libušská\"/>
    </mc:Choice>
  </mc:AlternateContent>
  <xr:revisionPtr revIDLastSave="0" documentId="8_{FB84E342-632E-4487-A053-78C411E4C84D}" xr6:coauthVersionLast="47" xr6:coauthVersionMax="47" xr10:uidLastSave="{00000000-0000-0000-0000-000000000000}"/>
  <bookViews>
    <workbookView xWindow="14970" yWindow="-16440" windowWidth="29040" windowHeight="15720" activeTab="2" xr2:uid="{00000000-000D-0000-FFFF-FFFF00000000}"/>
  </bookViews>
  <sheets>
    <sheet name="Rekapitulace stavby" sheetId="1" r:id="rId1"/>
    <sheet name="00 - Vedlejší a ostatní n..." sheetId="2" r:id="rId2"/>
    <sheet name="100 - Architektonicko-sta..." sheetId="3" r:id="rId3"/>
    <sheet name="D1.410 - ZTI - Kanalizace" sheetId="4" r:id="rId4"/>
    <sheet name="D1.420 - ZTI - Vodovod" sheetId="5" r:id="rId5"/>
    <sheet name="D1.430 - ZTI - Plynovod" sheetId="6" r:id="rId6"/>
    <sheet name="D1.510 - Vzduchotechnika" sheetId="7" r:id="rId7"/>
    <sheet name="D1.520 - Rozvody chladu" sheetId="8" r:id="rId8"/>
    <sheet name="D1.530 - ÚT - Rozvody tepla" sheetId="9" r:id="rId9"/>
    <sheet name="D1.610 - Uzemnění a hromo..." sheetId="10" r:id="rId10"/>
    <sheet name="D1.620 - Silnoproudá elek..." sheetId="11" r:id="rId11"/>
    <sheet name="D1.700 - Slaboproudé elek..." sheetId="12" r:id="rId12"/>
    <sheet name="D1.901 - Osobní výtahy" sheetId="13" r:id="rId13"/>
    <sheet name="D1.902 - Vnitřní dopravní..." sheetId="14" r:id="rId14"/>
    <sheet name="IO01 - Přípojka vodovodu" sheetId="15" r:id="rId15"/>
    <sheet name="IO02 - Přípojka plynovodu" sheetId="16" r:id="rId16"/>
    <sheet name="IO03 - Přípojka dešťové k..." sheetId="17" r:id="rId17"/>
    <sheet name="IO04 - Přípojka splaškové..." sheetId="18" r:id="rId18"/>
    <sheet name="IO05 - PRE" sheetId="19" r:id="rId19"/>
    <sheet name="IO06 - CETIN" sheetId="20" r:id="rId20"/>
    <sheet name="IO07 - Veřejné osvětlení" sheetId="21" r:id="rId21"/>
    <sheet name="IOX - Přeložky" sheetId="22" r:id="rId22"/>
    <sheet name="IOX05 - přeložka PRE" sheetId="23" r:id="rId23"/>
    <sheet name="IOX06 - přeložka CETIN" sheetId="24" r:id="rId24"/>
    <sheet name="S041 - Sadové úpravy a ká..." sheetId="25" r:id="rId25"/>
    <sheet name="S044 - Drobná venkovná ar..." sheetId="26" r:id="rId26"/>
    <sheet name="SO10 - Komunikace, zpevně..." sheetId="27" r:id="rId27"/>
    <sheet name="SO21 - Venkovní osvětlení" sheetId="28" r:id="rId28"/>
    <sheet name="SO31 - Příprava území" sheetId="29" r:id="rId29"/>
    <sheet name="Seznam figur" sheetId="30" r:id="rId30"/>
  </sheets>
  <definedNames>
    <definedName name="_xlnm._FilterDatabase" localSheetId="1" hidden="1">'00 - Vedlejší a ostatní n...'!$C$121:$K$147</definedName>
    <definedName name="_xlnm._FilterDatabase" localSheetId="2" hidden="1">'100 - Architektonicko-sta...'!$C$147:$K$2681</definedName>
    <definedName name="_xlnm._FilterDatabase" localSheetId="3" hidden="1">'D1.410 - ZTI - Kanalizace'!$C$129:$K$191</definedName>
    <definedName name="_xlnm._FilterDatabase" localSheetId="4" hidden="1">'D1.420 - ZTI - Vodovod'!$C$123:$K$220</definedName>
    <definedName name="_xlnm._FilterDatabase" localSheetId="5" hidden="1">'D1.430 - ZTI - Plynovod'!$C$121:$K$164</definedName>
    <definedName name="_xlnm._FilterDatabase" localSheetId="6" hidden="1">'D1.510 - Vzduchotechnika'!$C$149:$K$427</definedName>
    <definedName name="_xlnm._FilterDatabase" localSheetId="7" hidden="1">'D1.520 - Rozvody chladu'!$C$143:$K$330</definedName>
    <definedName name="_xlnm._FilterDatabase" localSheetId="8" hidden="1">'D1.530 - ÚT - Rozvody tepla'!$C$149:$K$309</definedName>
    <definedName name="_xlnm._FilterDatabase" localSheetId="9" hidden="1">'D1.610 - Uzemnění a hromo...'!$C$121:$K$146</definedName>
    <definedName name="_xlnm._FilterDatabase" localSheetId="10" hidden="1">'D1.620 - Silnoproudá elek...'!$C$126:$K$275</definedName>
    <definedName name="_xlnm._FilterDatabase" localSheetId="11" hidden="1">'D1.700 - Slaboproudé elek...'!$C$146:$K$264</definedName>
    <definedName name="_xlnm._FilterDatabase" localSheetId="12" hidden="1">'D1.901 - Osobní výtahy'!$C$121:$K$128</definedName>
    <definedName name="_xlnm._FilterDatabase" localSheetId="13" hidden="1">'D1.902 - Vnitřní dopravní...'!$C$122:$K$161</definedName>
    <definedName name="_xlnm._FilterDatabase" localSheetId="14" hidden="1">'IO01 - Přípojka vodovodu'!$C$131:$K$169</definedName>
    <definedName name="_xlnm._FilterDatabase" localSheetId="15" hidden="1">'IO02 - Přípojka plynovodu'!$C$124:$K$149</definedName>
    <definedName name="_xlnm._FilterDatabase" localSheetId="16" hidden="1">'IO03 - Přípojka dešťové k...'!$C$130:$K$156</definedName>
    <definedName name="_xlnm._FilterDatabase" localSheetId="17" hidden="1">'IO04 - Přípojka splaškové...'!$C$130:$K$156</definedName>
    <definedName name="_xlnm._FilterDatabase" localSheetId="18" hidden="1">'IO05 - PRE'!$C$124:$K$127</definedName>
    <definedName name="_xlnm._FilterDatabase" localSheetId="19" hidden="1">'IO06 - CETIN'!$C$124:$K$127</definedName>
    <definedName name="_xlnm._FilterDatabase" localSheetId="20" hidden="1">'IO07 - Veřejné osvětlení'!$C$130:$K$170</definedName>
    <definedName name="_xlnm._FilterDatabase" localSheetId="21" hidden="1">'IOX - Přeložky'!$C$127:$K$164</definedName>
    <definedName name="_xlnm._FilterDatabase" localSheetId="22" hidden="1">'IOX05 - přeložka PRE'!$C$120:$K$123</definedName>
    <definedName name="_xlnm._FilterDatabase" localSheetId="23" hidden="1">'IOX06 - přeložka CETIN'!$C$120:$K$123</definedName>
    <definedName name="_xlnm._FilterDatabase" localSheetId="24" hidden="1">'S041 - Sadové úpravy a ká...'!$C$121:$K$171</definedName>
    <definedName name="_xlnm._FilterDatabase" localSheetId="25" hidden="1">'S044 - Drobná venkovná ar...'!$C$120:$K$152</definedName>
    <definedName name="_xlnm._FilterDatabase" localSheetId="26" hidden="1">'SO10 - Komunikace, zpevně...'!$C$125:$K$367</definedName>
    <definedName name="_xlnm._FilterDatabase" localSheetId="27" hidden="1">'SO21 - Venkovní osvětlení'!$C$124:$K$148</definedName>
    <definedName name="_xlnm._FilterDatabase" localSheetId="28" hidden="1">'SO31 - Příprava území'!$C$122:$K$141</definedName>
    <definedName name="_xlnm.Print_Titles" localSheetId="1">'00 - Vedlejší a ostatní n...'!$121:$121</definedName>
    <definedName name="_xlnm.Print_Titles" localSheetId="2">'100 - Architektonicko-sta...'!$147:$147</definedName>
    <definedName name="_xlnm.Print_Titles" localSheetId="3">'D1.410 - ZTI - Kanalizace'!$129:$129</definedName>
    <definedName name="_xlnm.Print_Titles" localSheetId="4">'D1.420 - ZTI - Vodovod'!$123:$123</definedName>
    <definedName name="_xlnm.Print_Titles" localSheetId="5">'D1.430 - ZTI - Plynovod'!$121:$121</definedName>
    <definedName name="_xlnm.Print_Titles" localSheetId="6">'D1.510 - Vzduchotechnika'!$149:$149</definedName>
    <definedName name="_xlnm.Print_Titles" localSheetId="7">'D1.520 - Rozvody chladu'!$143:$143</definedName>
    <definedName name="_xlnm.Print_Titles" localSheetId="8">'D1.530 - ÚT - Rozvody tepla'!$149:$149</definedName>
    <definedName name="_xlnm.Print_Titles" localSheetId="9">'D1.610 - Uzemnění a hromo...'!$121:$121</definedName>
    <definedName name="_xlnm.Print_Titles" localSheetId="10">'D1.620 - Silnoproudá elek...'!$126:$126</definedName>
    <definedName name="_xlnm.Print_Titles" localSheetId="11">'D1.700 - Slaboproudé elek...'!$146:$146</definedName>
    <definedName name="_xlnm.Print_Titles" localSheetId="12">'D1.901 - Osobní výtahy'!$121:$121</definedName>
    <definedName name="_xlnm.Print_Titles" localSheetId="13">'D1.902 - Vnitřní dopravní...'!$122:$122</definedName>
    <definedName name="_xlnm.Print_Titles" localSheetId="14">'IO01 - Přípojka vodovodu'!$131:$131</definedName>
    <definedName name="_xlnm.Print_Titles" localSheetId="15">'IO02 - Přípojka plynovodu'!$124:$124</definedName>
    <definedName name="_xlnm.Print_Titles" localSheetId="16">'IO03 - Přípojka dešťové k...'!$130:$130</definedName>
    <definedName name="_xlnm.Print_Titles" localSheetId="17">'IO04 - Přípojka splaškové...'!$130:$130</definedName>
    <definedName name="_xlnm.Print_Titles" localSheetId="18">'IO05 - PRE'!$124:$124</definedName>
    <definedName name="_xlnm.Print_Titles" localSheetId="19">'IO06 - CETIN'!$124:$124</definedName>
    <definedName name="_xlnm.Print_Titles" localSheetId="20">'IO07 - Veřejné osvětlení'!$130:$130</definedName>
    <definedName name="_xlnm.Print_Titles" localSheetId="21">'IOX - Přeložky'!$127:$127</definedName>
    <definedName name="_xlnm.Print_Titles" localSheetId="22">'IOX05 - přeložka PRE'!$120:$120</definedName>
    <definedName name="_xlnm.Print_Titles" localSheetId="23">'IOX06 - přeložka CETIN'!$120:$120</definedName>
    <definedName name="_xlnm.Print_Titles" localSheetId="0">'Rekapitulace stavby'!$92:$92</definedName>
    <definedName name="_xlnm.Print_Titles" localSheetId="24">'S041 - Sadové úpravy a ká...'!$121:$121</definedName>
    <definedName name="_xlnm.Print_Titles" localSheetId="25">'S044 - Drobná venkovná ar...'!$120:$120</definedName>
    <definedName name="_xlnm.Print_Titles" localSheetId="29">'Seznam figur'!$9:$9</definedName>
    <definedName name="_xlnm.Print_Titles" localSheetId="26">'SO10 - Komunikace, zpevně...'!$125:$125</definedName>
    <definedName name="_xlnm.Print_Titles" localSheetId="27">'SO21 - Venkovní osvětlení'!$124:$124</definedName>
    <definedName name="_xlnm.Print_Titles" localSheetId="28">'SO31 - Příprava území'!$122:$122</definedName>
    <definedName name="_xlnm.Print_Area" localSheetId="1">'00 - Vedlejší a ostatní n...'!$C$4:$J$76,'00 - Vedlejší a ostatní n...'!$C$82:$J$103,'00 - Vedlejší a ostatní n...'!$C$109:$J$147</definedName>
    <definedName name="_xlnm.Print_Area" localSheetId="2">'100 - Architektonicko-sta...'!$C$4:$J$76,'100 - Architektonicko-sta...'!$C$82:$J$127,'100 - Architektonicko-sta...'!$C$133:$J$2681</definedName>
    <definedName name="_xlnm.Print_Area" localSheetId="3">'D1.410 - ZTI - Kanalizace'!$C$4:$J$76,'D1.410 - ZTI - Kanalizace'!$C$82:$J$109,'D1.410 - ZTI - Kanalizace'!$C$115:$J$191</definedName>
    <definedName name="_xlnm.Print_Area" localSheetId="4">'D1.420 - ZTI - Vodovod'!$C$4:$J$76,'D1.420 - ZTI - Vodovod'!$C$82:$J$103,'D1.420 - ZTI - Vodovod'!$C$109:$J$220</definedName>
    <definedName name="_xlnm.Print_Area" localSheetId="5">'D1.430 - ZTI - Plynovod'!$C$4:$J$76,'D1.430 - ZTI - Plynovod'!$C$82:$J$101,'D1.430 - ZTI - Plynovod'!$C$107:$J$164</definedName>
    <definedName name="_xlnm.Print_Area" localSheetId="6">'D1.510 - Vzduchotechnika'!$C$4:$J$76,'D1.510 - Vzduchotechnika'!$C$82:$J$129,'D1.510 - Vzduchotechnika'!$C$135:$J$427</definedName>
    <definedName name="_xlnm.Print_Area" localSheetId="7">'D1.520 - Rozvody chladu'!$C$4:$J$76,'D1.520 - Rozvody chladu'!$C$82:$J$123,'D1.520 - Rozvody chladu'!$C$129:$J$330</definedName>
    <definedName name="_xlnm.Print_Area" localSheetId="8">'D1.530 - ÚT - Rozvody tepla'!$C$4:$J$76,'D1.530 - ÚT - Rozvody tepla'!$C$82:$J$129,'D1.530 - ÚT - Rozvody tepla'!$C$135:$J$309</definedName>
    <definedName name="_xlnm.Print_Area" localSheetId="9">'D1.610 - Uzemnění a hromo...'!$C$4:$J$76,'D1.610 - Uzemnění a hromo...'!$C$82:$J$101,'D1.610 - Uzemnění a hromo...'!$C$107:$J$146</definedName>
    <definedName name="_xlnm.Print_Area" localSheetId="10">'D1.620 - Silnoproudá elek...'!$C$4:$J$76,'D1.620 - Silnoproudá elek...'!$C$82:$J$106,'D1.620 - Silnoproudá elek...'!$C$112:$J$275</definedName>
    <definedName name="_xlnm.Print_Area" localSheetId="11">'D1.700 - Slaboproudé elek...'!$C$4:$J$76,'D1.700 - Slaboproudé elek...'!$C$82:$J$126,'D1.700 - Slaboproudé elek...'!$C$132:$J$264</definedName>
    <definedName name="_xlnm.Print_Area" localSheetId="12">'D1.901 - Osobní výtahy'!$C$4:$J$76,'D1.901 - Osobní výtahy'!$C$82:$J$101,'D1.901 - Osobní výtahy'!$C$107:$J$128</definedName>
    <definedName name="_xlnm.Print_Area" localSheetId="13">'D1.902 - Vnitřní dopravní...'!$C$4:$J$76,'D1.902 - Vnitřní dopravní...'!$C$82:$J$102,'D1.902 - Vnitřní dopravní...'!$C$108:$J$161</definedName>
    <definedName name="_xlnm.Print_Area" localSheetId="14">'IO01 - Přípojka vodovodu'!$C$4:$J$76,'IO01 - Přípojka vodovodu'!$C$82:$J$109,'IO01 - Přípojka vodovodu'!$C$115:$J$169</definedName>
    <definedName name="_xlnm.Print_Area" localSheetId="15">'IO02 - Přípojka plynovodu'!$C$4:$J$76,'IO02 - Přípojka plynovodu'!$C$82:$J$102,'IO02 - Přípojka plynovodu'!$C$108:$J$149</definedName>
    <definedName name="_xlnm.Print_Area" localSheetId="16">'IO03 - Přípojka dešťové k...'!$C$4:$J$76,'IO03 - Přípojka dešťové k...'!$C$82:$J$108,'IO03 - Přípojka dešťové k...'!$C$114:$J$156</definedName>
    <definedName name="_xlnm.Print_Area" localSheetId="17">'IO04 - Přípojka splaškové...'!$C$4:$J$76,'IO04 - Přípojka splaškové...'!$C$82:$J$108,'IO04 - Přípojka splaškové...'!$C$114:$J$156</definedName>
    <definedName name="_xlnm.Print_Area" localSheetId="18">'IO05 - PRE'!$C$4:$J$76,'IO05 - PRE'!$C$82:$J$102,'IO05 - PRE'!$C$108:$J$127</definedName>
    <definedName name="_xlnm.Print_Area" localSheetId="19">'IO06 - CETIN'!$C$4:$J$76,'IO06 - CETIN'!$C$82:$J$102,'IO06 - CETIN'!$C$108:$J$127</definedName>
    <definedName name="_xlnm.Print_Area" localSheetId="20">'IO07 - Veřejné osvětlení'!$C$4:$J$76,'IO07 - Veřejné osvětlení'!$C$82:$J$108,'IO07 - Veřejné osvětlení'!$C$114:$J$170</definedName>
    <definedName name="_xlnm.Print_Area" localSheetId="21">'IOX - Přeložky'!$C$4:$J$76,'IOX - Přeložky'!$C$82:$J$107,'IOX - Přeložky'!$C$113:$J$164</definedName>
    <definedName name="_xlnm.Print_Area" localSheetId="22">'IOX05 - přeložka PRE'!$C$4:$J$76,'IOX05 - přeložka PRE'!$C$82:$J$100,'IOX05 - přeložka PRE'!$C$106:$J$123</definedName>
    <definedName name="_xlnm.Print_Area" localSheetId="23">'IOX06 - přeložka CETIN'!$C$4:$J$76,'IOX06 - přeložka CETIN'!$C$82:$J$100,'IOX06 - přeložka CETIN'!$C$106:$J$123</definedName>
    <definedName name="_xlnm.Print_Area" localSheetId="0">'Rekapitulace stavby'!$D$4:$AO$76,'Rekapitulace stavby'!$C$82:$AQ$126</definedName>
    <definedName name="_xlnm.Print_Area" localSheetId="24">'S041 - Sadové úpravy a ká...'!$C$4:$J$76,'S041 - Sadové úpravy a ká...'!$C$82:$J$101,'S041 - Sadové úpravy a ká...'!$C$107:$J$171</definedName>
    <definedName name="_xlnm.Print_Area" localSheetId="25">'S044 - Drobná venkovná ar...'!$C$4:$J$76,'S044 - Drobná venkovná ar...'!$C$82:$J$100,'S044 - Drobná venkovná ar...'!$C$106:$J$152</definedName>
    <definedName name="_xlnm.Print_Area" localSheetId="29">'Seznam figur'!$C$4:$G$268</definedName>
    <definedName name="_xlnm.Print_Area" localSheetId="26">'SO10 - Komunikace, zpevně...'!$C$4:$J$76,'SO10 - Komunikace, zpevně...'!$C$82:$J$105,'SO10 - Komunikace, zpevně...'!$C$111:$J$367</definedName>
    <definedName name="_xlnm.Print_Area" localSheetId="27">'SO21 - Venkovní osvětlení'!$C$4:$J$76,'SO21 - Venkovní osvětlení'!$C$82:$J$104,'SO21 - Venkovní osvětlení'!$C$110:$J$148</definedName>
    <definedName name="_xlnm.Print_Area" localSheetId="28">'SO31 - Příprava území'!$C$4:$J$76,'SO31 - Příprava území'!$C$82:$J$102,'SO31 - Příprava území'!$C$108:$J$141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30" l="1"/>
  <c r="BK140" i="29"/>
  <c r="BI140" i="29"/>
  <c r="BH140" i="29"/>
  <c r="BG140" i="29"/>
  <c r="BF140" i="29"/>
  <c r="BE140" i="29"/>
  <c r="T140" i="29"/>
  <c r="R140" i="29"/>
  <c r="P140" i="29"/>
  <c r="J140" i="29"/>
  <c r="BK138" i="29"/>
  <c r="BI138" i="29"/>
  <c r="BH138" i="29"/>
  <c r="BG138" i="29"/>
  <c r="BF138" i="29"/>
  <c r="BE138" i="29"/>
  <c r="T138" i="29"/>
  <c r="R138" i="29"/>
  <c r="P138" i="29"/>
  <c r="J138" i="29"/>
  <c r="BK136" i="29"/>
  <c r="BI136" i="29"/>
  <c r="BH136" i="29"/>
  <c r="BG136" i="29"/>
  <c r="BF136" i="29"/>
  <c r="BE136" i="29"/>
  <c r="T136" i="29"/>
  <c r="R136" i="29"/>
  <c r="P136" i="29"/>
  <c r="J136" i="29"/>
  <c r="BK134" i="29"/>
  <c r="BI134" i="29"/>
  <c r="BH134" i="29"/>
  <c r="BG134" i="29"/>
  <c r="BF134" i="29"/>
  <c r="BE134" i="29"/>
  <c r="T134" i="29"/>
  <c r="R134" i="29"/>
  <c r="P134" i="29"/>
  <c r="J134" i="29"/>
  <c r="BK132" i="29"/>
  <c r="BI132" i="29"/>
  <c r="BH132" i="29"/>
  <c r="BG132" i="29"/>
  <c r="BF132" i="29"/>
  <c r="BE132" i="29"/>
  <c r="T132" i="29"/>
  <c r="R132" i="29"/>
  <c r="P132" i="29"/>
  <c r="J132" i="29"/>
  <c r="BK130" i="29"/>
  <c r="BI130" i="29"/>
  <c r="BH130" i="29"/>
  <c r="BG130" i="29"/>
  <c r="BF130" i="29"/>
  <c r="BE130" i="29"/>
  <c r="T130" i="29"/>
  <c r="R130" i="29"/>
  <c r="P130" i="29"/>
  <c r="J130" i="29"/>
  <c r="BK128" i="29"/>
  <c r="BI128" i="29"/>
  <c r="BH128" i="29"/>
  <c r="BG128" i="29"/>
  <c r="BF128" i="29"/>
  <c r="BE128" i="29"/>
  <c r="T128" i="29"/>
  <c r="R128" i="29"/>
  <c r="P128" i="29"/>
  <c r="J128" i="29"/>
  <c r="BK127" i="29"/>
  <c r="T127" i="29"/>
  <c r="R127" i="29"/>
  <c r="P127" i="29"/>
  <c r="J127" i="29"/>
  <c r="BK126" i="29"/>
  <c r="BI126" i="29"/>
  <c r="BH126" i="29"/>
  <c r="BG126" i="29"/>
  <c r="BF126" i="29"/>
  <c r="BE126" i="29"/>
  <c r="T126" i="29"/>
  <c r="R126" i="29"/>
  <c r="P126" i="29"/>
  <c r="J126" i="29"/>
  <c r="BK125" i="29"/>
  <c r="T125" i="29"/>
  <c r="R125" i="29"/>
  <c r="P125" i="29"/>
  <c r="J125" i="29"/>
  <c r="BK124" i="29"/>
  <c r="T124" i="29"/>
  <c r="R124" i="29"/>
  <c r="P124" i="29"/>
  <c r="J124" i="29"/>
  <c r="BK123" i="29"/>
  <c r="T123" i="29"/>
  <c r="R123" i="29"/>
  <c r="P123" i="29"/>
  <c r="J123" i="29"/>
  <c r="J120" i="29"/>
  <c r="F120" i="29"/>
  <c r="J119" i="29"/>
  <c r="F119" i="29"/>
  <c r="J117" i="29"/>
  <c r="F117" i="29"/>
  <c r="E115" i="29"/>
  <c r="E111" i="29"/>
  <c r="J101" i="29"/>
  <c r="J100" i="29"/>
  <c r="J99" i="29"/>
  <c r="J98" i="29"/>
  <c r="J94" i="29"/>
  <c r="F94" i="29"/>
  <c r="J93" i="29"/>
  <c r="F93" i="29"/>
  <c r="J91" i="29"/>
  <c r="F91" i="29"/>
  <c r="E89" i="29"/>
  <c r="E85" i="29"/>
  <c r="J41" i="29"/>
  <c r="J39" i="29"/>
  <c r="F39" i="29"/>
  <c r="J38" i="29"/>
  <c r="F38" i="29"/>
  <c r="J37" i="29"/>
  <c r="F37" i="29"/>
  <c r="J36" i="29"/>
  <c r="F36" i="29"/>
  <c r="J35" i="29"/>
  <c r="F35" i="29"/>
  <c r="J32" i="29"/>
  <c r="J20" i="29"/>
  <c r="E20" i="29"/>
  <c r="J19" i="29"/>
  <c r="J14" i="29"/>
  <c r="E7" i="29"/>
  <c r="BK148" i="28"/>
  <c r="BI148" i="28"/>
  <c r="BH148" i="28"/>
  <c r="BG148" i="28"/>
  <c r="BF148" i="28"/>
  <c r="BE148" i="28"/>
  <c r="T148" i="28"/>
  <c r="R148" i="28"/>
  <c r="P148" i="28"/>
  <c r="J148" i="28"/>
  <c r="BK147" i="28"/>
  <c r="BI147" i="28"/>
  <c r="BH147" i="28"/>
  <c r="BG147" i="28"/>
  <c r="BF147" i="28"/>
  <c r="BE147" i="28"/>
  <c r="T147" i="28"/>
  <c r="R147" i="28"/>
  <c r="P147" i="28"/>
  <c r="J147" i="28"/>
  <c r="BK146" i="28"/>
  <c r="BI146" i="28"/>
  <c r="BH146" i="28"/>
  <c r="BG146" i="28"/>
  <c r="BF146" i="28"/>
  <c r="BE146" i="28"/>
  <c r="T146" i="28"/>
  <c r="R146" i="28"/>
  <c r="P146" i="28"/>
  <c r="J146" i="28"/>
  <c r="BK145" i="28"/>
  <c r="BI145" i="28"/>
  <c r="BH145" i="28"/>
  <c r="BG145" i="28"/>
  <c r="BF145" i="28"/>
  <c r="BE145" i="28"/>
  <c r="T145" i="28"/>
  <c r="R145" i="28"/>
  <c r="P145" i="28"/>
  <c r="J145" i="28"/>
  <c r="BK144" i="28"/>
  <c r="BI144" i="28"/>
  <c r="BH144" i="28"/>
  <c r="BG144" i="28"/>
  <c r="BF144" i="28"/>
  <c r="BE144" i="28"/>
  <c r="T144" i="28"/>
  <c r="R144" i="28"/>
  <c r="P144" i="28"/>
  <c r="J144" i="28"/>
  <c r="BK143" i="28"/>
  <c r="BI143" i="28"/>
  <c r="BH143" i="28"/>
  <c r="BG143" i="28"/>
  <c r="BF143" i="28"/>
  <c r="BE143" i="28"/>
  <c r="T143" i="28"/>
  <c r="R143" i="28"/>
  <c r="P143" i="28"/>
  <c r="J143" i="28"/>
  <c r="BK142" i="28"/>
  <c r="BI142" i="28"/>
  <c r="BH142" i="28"/>
  <c r="BG142" i="28"/>
  <c r="BF142" i="28"/>
  <c r="BE142" i="28"/>
  <c r="T142" i="28"/>
  <c r="R142" i="28"/>
  <c r="P142" i="28"/>
  <c r="J142" i="28"/>
  <c r="BK141" i="28"/>
  <c r="T141" i="28"/>
  <c r="R141" i="28"/>
  <c r="P141" i="28"/>
  <c r="J141" i="28"/>
  <c r="BK140" i="28"/>
  <c r="BI140" i="28"/>
  <c r="BH140" i="28"/>
  <c r="BG140" i="28"/>
  <c r="BF140" i="28"/>
  <c r="BE140" i="28"/>
  <c r="T140" i="28"/>
  <c r="R140" i="28"/>
  <c r="P140" i="28"/>
  <c r="J140" i="28"/>
  <c r="BK139" i="28"/>
  <c r="BI139" i="28"/>
  <c r="BH139" i="28"/>
  <c r="BG139" i="28"/>
  <c r="BF139" i="28"/>
  <c r="BE139" i="28"/>
  <c r="T139" i="28"/>
  <c r="R139" i="28"/>
  <c r="P139" i="28"/>
  <c r="J139" i="28"/>
  <c r="BK138" i="28"/>
  <c r="T138" i="28"/>
  <c r="R138" i="28"/>
  <c r="P138" i="28"/>
  <c r="J138" i="28"/>
  <c r="BK137" i="28"/>
  <c r="BI137" i="28"/>
  <c r="BH137" i="28"/>
  <c r="BG137" i="28"/>
  <c r="BF137" i="28"/>
  <c r="BE137" i="28"/>
  <c r="T137" i="28"/>
  <c r="R137" i="28"/>
  <c r="P137" i="28"/>
  <c r="J137" i="28"/>
  <c r="BK136" i="28"/>
  <c r="BI136" i="28"/>
  <c r="BH136" i="28"/>
  <c r="BG136" i="28"/>
  <c r="BF136" i="28"/>
  <c r="BE136" i="28"/>
  <c r="T136" i="28"/>
  <c r="R136" i="28"/>
  <c r="P136" i="28"/>
  <c r="J136" i="28"/>
  <c r="BK135" i="28"/>
  <c r="BI135" i="28"/>
  <c r="BH135" i="28"/>
  <c r="BG135" i="28"/>
  <c r="BF135" i="28"/>
  <c r="BE135" i="28"/>
  <c r="T135" i="28"/>
  <c r="R135" i="28"/>
  <c r="P135" i="28"/>
  <c r="J135" i="28"/>
  <c r="BK134" i="28"/>
  <c r="BI134" i="28"/>
  <c r="BH134" i="28"/>
  <c r="BG134" i="28"/>
  <c r="BF134" i="28"/>
  <c r="BE134" i="28"/>
  <c r="T134" i="28"/>
  <c r="R134" i="28"/>
  <c r="P134" i="28"/>
  <c r="J134" i="28"/>
  <c r="BK133" i="28"/>
  <c r="BI133" i="28"/>
  <c r="BH133" i="28"/>
  <c r="BG133" i="28"/>
  <c r="BF133" i="28"/>
  <c r="BE133" i="28"/>
  <c r="T133" i="28"/>
  <c r="R133" i="28"/>
  <c r="P133" i="28"/>
  <c r="J133" i="28"/>
  <c r="BK132" i="28"/>
  <c r="BI132" i="28"/>
  <c r="BH132" i="28"/>
  <c r="BG132" i="28"/>
  <c r="BF132" i="28"/>
  <c r="BE132" i="28"/>
  <c r="T132" i="28"/>
  <c r="R132" i="28"/>
  <c r="P132" i="28"/>
  <c r="J132" i="28"/>
  <c r="BK131" i="28"/>
  <c r="T131" i="28"/>
  <c r="R131" i="28"/>
  <c r="P131" i="28"/>
  <c r="J131" i="28"/>
  <c r="BK129" i="28"/>
  <c r="BI129" i="28"/>
  <c r="BH129" i="28"/>
  <c r="BG129" i="28"/>
  <c r="BF129" i="28"/>
  <c r="BE129" i="28"/>
  <c r="T129" i="28"/>
  <c r="R129" i="28"/>
  <c r="P129" i="28"/>
  <c r="J129" i="28"/>
  <c r="BK128" i="28"/>
  <c r="BI128" i="28"/>
  <c r="BH128" i="28"/>
  <c r="BG128" i="28"/>
  <c r="BF128" i="28"/>
  <c r="BE128" i="28"/>
  <c r="T128" i="28"/>
  <c r="R128" i="28"/>
  <c r="P128" i="28"/>
  <c r="J128" i="28"/>
  <c r="BK127" i="28"/>
  <c r="T127" i="28"/>
  <c r="R127" i="28"/>
  <c r="P127" i="28"/>
  <c r="J127" i="28"/>
  <c r="BK126" i="28"/>
  <c r="T126" i="28"/>
  <c r="R126" i="28"/>
  <c r="P126" i="28"/>
  <c r="J126" i="28"/>
  <c r="BK125" i="28"/>
  <c r="T125" i="28"/>
  <c r="R125" i="28"/>
  <c r="P125" i="28"/>
  <c r="J125" i="28"/>
  <c r="J122" i="28"/>
  <c r="F122" i="28"/>
  <c r="J121" i="28"/>
  <c r="F121" i="28"/>
  <c r="J119" i="28"/>
  <c r="F119" i="28"/>
  <c r="E117" i="28"/>
  <c r="E113" i="28"/>
  <c r="J103" i="28"/>
  <c r="J102" i="28"/>
  <c r="J101" i="28"/>
  <c r="J100" i="28"/>
  <c r="J99" i="28"/>
  <c r="J98" i="28"/>
  <c r="J94" i="28"/>
  <c r="F94" i="28"/>
  <c r="J93" i="28"/>
  <c r="F93" i="28"/>
  <c r="J91" i="28"/>
  <c r="F91" i="28"/>
  <c r="E89" i="28"/>
  <c r="E85" i="28"/>
  <c r="J41" i="28"/>
  <c r="J39" i="28"/>
  <c r="F39" i="28"/>
  <c r="J38" i="28"/>
  <c r="F38" i="28"/>
  <c r="J37" i="28"/>
  <c r="F37" i="28"/>
  <c r="J36" i="28"/>
  <c r="F36" i="28"/>
  <c r="J35" i="28"/>
  <c r="F35" i="28"/>
  <c r="J32" i="28"/>
  <c r="J20" i="28"/>
  <c r="E20" i="28"/>
  <c r="J19" i="28"/>
  <c r="J14" i="28"/>
  <c r="E7" i="28"/>
  <c r="BK367" i="27"/>
  <c r="BI367" i="27"/>
  <c r="BH367" i="27"/>
  <c r="BG367" i="27"/>
  <c r="BF367" i="27"/>
  <c r="BE367" i="27"/>
  <c r="T367" i="27"/>
  <c r="R367" i="27"/>
  <c r="P367" i="27"/>
  <c r="J367" i="27"/>
  <c r="BK366" i="27"/>
  <c r="T366" i="27"/>
  <c r="R366" i="27"/>
  <c r="P366" i="27"/>
  <c r="J366" i="27"/>
  <c r="BK365" i="27"/>
  <c r="BI365" i="27"/>
  <c r="BH365" i="27"/>
  <c r="BG365" i="27"/>
  <c r="BF365" i="27"/>
  <c r="BE365" i="27"/>
  <c r="T365" i="27"/>
  <c r="R365" i="27"/>
  <c r="P365" i="27"/>
  <c r="J365" i="27"/>
  <c r="BK364" i="27"/>
  <c r="BI364" i="27"/>
  <c r="BH364" i="27"/>
  <c r="BG364" i="27"/>
  <c r="BF364" i="27"/>
  <c r="BE364" i="27"/>
  <c r="T364" i="27"/>
  <c r="R364" i="27"/>
  <c r="P364" i="27"/>
  <c r="J364" i="27"/>
  <c r="BK361" i="27"/>
  <c r="BI361" i="27"/>
  <c r="BH361" i="27"/>
  <c r="BG361" i="27"/>
  <c r="BF361" i="27"/>
  <c r="BE361" i="27"/>
  <c r="T361" i="27"/>
  <c r="R361" i="27"/>
  <c r="P361" i="27"/>
  <c r="J361" i="27"/>
  <c r="BK360" i="27"/>
  <c r="BI360" i="27"/>
  <c r="BH360" i="27"/>
  <c r="BG360" i="27"/>
  <c r="BF360" i="27"/>
  <c r="BE360" i="27"/>
  <c r="T360" i="27"/>
  <c r="R360" i="27"/>
  <c r="P360" i="27"/>
  <c r="J360" i="27"/>
  <c r="BK359" i="27"/>
  <c r="T359" i="27"/>
  <c r="R359" i="27"/>
  <c r="P359" i="27"/>
  <c r="J359" i="27"/>
  <c r="BK358" i="27"/>
  <c r="BI358" i="27"/>
  <c r="BH358" i="27"/>
  <c r="BG358" i="27"/>
  <c r="BF358" i="27"/>
  <c r="BE358" i="27"/>
  <c r="T358" i="27"/>
  <c r="R358" i="27"/>
  <c r="P358" i="27"/>
  <c r="J358" i="27"/>
  <c r="BK357" i="27"/>
  <c r="BI357" i="27"/>
  <c r="BH357" i="27"/>
  <c r="BG357" i="27"/>
  <c r="BF357" i="27"/>
  <c r="BE357" i="27"/>
  <c r="T357" i="27"/>
  <c r="R357" i="27"/>
  <c r="P357" i="27"/>
  <c r="J357" i="27"/>
  <c r="BK355" i="27"/>
  <c r="BI355" i="27"/>
  <c r="BH355" i="27"/>
  <c r="BG355" i="27"/>
  <c r="BF355" i="27"/>
  <c r="BE355" i="27"/>
  <c r="T355" i="27"/>
  <c r="R355" i="27"/>
  <c r="P355" i="27"/>
  <c r="J355" i="27"/>
  <c r="BK351" i="27"/>
  <c r="BI351" i="27"/>
  <c r="BH351" i="27"/>
  <c r="BG351" i="27"/>
  <c r="BF351" i="27"/>
  <c r="BE351" i="27"/>
  <c r="T351" i="27"/>
  <c r="R351" i="27"/>
  <c r="P351" i="27"/>
  <c r="J351" i="27"/>
  <c r="BK348" i="27"/>
  <c r="BI348" i="27"/>
  <c r="BH348" i="27"/>
  <c r="BG348" i="27"/>
  <c r="BF348" i="27"/>
  <c r="BE348" i="27"/>
  <c r="T348" i="27"/>
  <c r="R348" i="27"/>
  <c r="P348" i="27"/>
  <c r="J348" i="27"/>
  <c r="BK347" i="27"/>
  <c r="BI347" i="27"/>
  <c r="BH347" i="27"/>
  <c r="BG347" i="27"/>
  <c r="BF347" i="27"/>
  <c r="BE347" i="27"/>
  <c r="T347" i="27"/>
  <c r="R347" i="27"/>
  <c r="P347" i="27"/>
  <c r="J347" i="27"/>
  <c r="BK344" i="27"/>
  <c r="BI344" i="27"/>
  <c r="BH344" i="27"/>
  <c r="BG344" i="27"/>
  <c r="BF344" i="27"/>
  <c r="BE344" i="27"/>
  <c r="T344" i="27"/>
  <c r="R344" i="27"/>
  <c r="P344" i="27"/>
  <c r="J344" i="27"/>
  <c r="BK343" i="27"/>
  <c r="BI343" i="27"/>
  <c r="BH343" i="27"/>
  <c r="BG343" i="27"/>
  <c r="BF343" i="27"/>
  <c r="BE343" i="27"/>
  <c r="T343" i="27"/>
  <c r="R343" i="27"/>
  <c r="P343" i="27"/>
  <c r="J343" i="27"/>
  <c r="BK340" i="27"/>
  <c r="BI340" i="27"/>
  <c r="BH340" i="27"/>
  <c r="BG340" i="27"/>
  <c r="BF340" i="27"/>
  <c r="BE340" i="27"/>
  <c r="T340" i="27"/>
  <c r="R340" i="27"/>
  <c r="P340" i="27"/>
  <c r="J340" i="27"/>
  <c r="BK337" i="27"/>
  <c r="BI337" i="27"/>
  <c r="BH337" i="27"/>
  <c r="BG337" i="27"/>
  <c r="BF337" i="27"/>
  <c r="BE337" i="27"/>
  <c r="T337" i="27"/>
  <c r="R337" i="27"/>
  <c r="P337" i="27"/>
  <c r="J337" i="27"/>
  <c r="BK334" i="27"/>
  <c r="BI334" i="27"/>
  <c r="BH334" i="27"/>
  <c r="BG334" i="27"/>
  <c r="BF334" i="27"/>
  <c r="BE334" i="27"/>
  <c r="T334" i="27"/>
  <c r="R334" i="27"/>
  <c r="P334" i="27"/>
  <c r="J334" i="27"/>
  <c r="BK331" i="27"/>
  <c r="BI331" i="27"/>
  <c r="BH331" i="27"/>
  <c r="BG331" i="27"/>
  <c r="BF331" i="27"/>
  <c r="BE331" i="27"/>
  <c r="T331" i="27"/>
  <c r="R331" i="27"/>
  <c r="P331" i="27"/>
  <c r="J331" i="27"/>
  <c r="BK328" i="27"/>
  <c r="BI328" i="27"/>
  <c r="BH328" i="27"/>
  <c r="BG328" i="27"/>
  <c r="BF328" i="27"/>
  <c r="BE328" i="27"/>
  <c r="T328" i="27"/>
  <c r="R328" i="27"/>
  <c r="P328" i="27"/>
  <c r="J328" i="27"/>
  <c r="BK325" i="27"/>
  <c r="BI325" i="27"/>
  <c r="BH325" i="27"/>
  <c r="BG325" i="27"/>
  <c r="BF325" i="27"/>
  <c r="BE325" i="27"/>
  <c r="T325" i="27"/>
  <c r="R325" i="27"/>
  <c r="P325" i="27"/>
  <c r="J325" i="27"/>
  <c r="BK319" i="27"/>
  <c r="BI319" i="27"/>
  <c r="BH319" i="27"/>
  <c r="BG319" i="27"/>
  <c r="BF319" i="27"/>
  <c r="BE319" i="27"/>
  <c r="T319" i="27"/>
  <c r="R319" i="27"/>
  <c r="P319" i="27"/>
  <c r="J319" i="27"/>
  <c r="BK315" i="27"/>
  <c r="BI315" i="27"/>
  <c r="BH315" i="27"/>
  <c r="BG315" i="27"/>
  <c r="BF315" i="27"/>
  <c r="BE315" i="27"/>
  <c r="T315" i="27"/>
  <c r="R315" i="27"/>
  <c r="P315" i="27"/>
  <c r="J315" i="27"/>
  <c r="BK311" i="27"/>
  <c r="BI311" i="27"/>
  <c r="BH311" i="27"/>
  <c r="BG311" i="27"/>
  <c r="BF311" i="27"/>
  <c r="BE311" i="27"/>
  <c r="T311" i="27"/>
  <c r="R311" i="27"/>
  <c r="P311" i="27"/>
  <c r="J311" i="27"/>
  <c r="BK307" i="27"/>
  <c r="BI307" i="27"/>
  <c r="BH307" i="27"/>
  <c r="BG307" i="27"/>
  <c r="BF307" i="27"/>
  <c r="BE307" i="27"/>
  <c r="T307" i="27"/>
  <c r="R307" i="27"/>
  <c r="P307" i="27"/>
  <c r="J307" i="27"/>
  <c r="BK303" i="27"/>
  <c r="BI303" i="27"/>
  <c r="BH303" i="27"/>
  <c r="BG303" i="27"/>
  <c r="BF303" i="27"/>
  <c r="BE303" i="27"/>
  <c r="T303" i="27"/>
  <c r="R303" i="27"/>
  <c r="P303" i="27"/>
  <c r="J303" i="27"/>
  <c r="BK299" i="27"/>
  <c r="BI299" i="27"/>
  <c r="BH299" i="27"/>
  <c r="BG299" i="27"/>
  <c r="BF299" i="27"/>
  <c r="BE299" i="27"/>
  <c r="T299" i="27"/>
  <c r="R299" i="27"/>
  <c r="P299" i="27"/>
  <c r="J299" i="27"/>
  <c r="BK298" i="27"/>
  <c r="BI298" i="27"/>
  <c r="BH298" i="27"/>
  <c r="BG298" i="27"/>
  <c r="BF298" i="27"/>
  <c r="BE298" i="27"/>
  <c r="T298" i="27"/>
  <c r="R298" i="27"/>
  <c r="P298" i="27"/>
  <c r="J298" i="27"/>
  <c r="BK295" i="27"/>
  <c r="BI295" i="27"/>
  <c r="BH295" i="27"/>
  <c r="BG295" i="27"/>
  <c r="BF295" i="27"/>
  <c r="BE295" i="27"/>
  <c r="T295" i="27"/>
  <c r="R295" i="27"/>
  <c r="P295" i="27"/>
  <c r="J295" i="27"/>
  <c r="BK291" i="27"/>
  <c r="BI291" i="27"/>
  <c r="BH291" i="27"/>
  <c r="BG291" i="27"/>
  <c r="BF291" i="27"/>
  <c r="BE291" i="27"/>
  <c r="T291" i="27"/>
  <c r="R291" i="27"/>
  <c r="P291" i="27"/>
  <c r="J291" i="27"/>
  <c r="BK288" i="27"/>
  <c r="BI288" i="27"/>
  <c r="BH288" i="27"/>
  <c r="BG288" i="27"/>
  <c r="BF288" i="27"/>
  <c r="BE288" i="27"/>
  <c r="T288" i="27"/>
  <c r="R288" i="27"/>
  <c r="P288" i="27"/>
  <c r="J288" i="27"/>
  <c r="BK284" i="27"/>
  <c r="BI284" i="27"/>
  <c r="BH284" i="27"/>
  <c r="BG284" i="27"/>
  <c r="BF284" i="27"/>
  <c r="BE284" i="27"/>
  <c r="T284" i="27"/>
  <c r="R284" i="27"/>
  <c r="P284" i="27"/>
  <c r="J284" i="27"/>
  <c r="BK280" i="27"/>
  <c r="BI280" i="27"/>
  <c r="BH280" i="27"/>
  <c r="BG280" i="27"/>
  <c r="BF280" i="27"/>
  <c r="BE280" i="27"/>
  <c r="T280" i="27"/>
  <c r="R280" i="27"/>
  <c r="P280" i="27"/>
  <c r="J280" i="27"/>
  <c r="BK276" i="27"/>
  <c r="BI276" i="27"/>
  <c r="BH276" i="27"/>
  <c r="BG276" i="27"/>
  <c r="BF276" i="27"/>
  <c r="BE276" i="27"/>
  <c r="T276" i="27"/>
  <c r="R276" i="27"/>
  <c r="P276" i="27"/>
  <c r="J276" i="27"/>
  <c r="BK272" i="27"/>
  <c r="BI272" i="27"/>
  <c r="BH272" i="27"/>
  <c r="BG272" i="27"/>
  <c r="BF272" i="27"/>
  <c r="BE272" i="27"/>
  <c r="T272" i="27"/>
  <c r="R272" i="27"/>
  <c r="P272" i="27"/>
  <c r="J272" i="27"/>
  <c r="BK268" i="27"/>
  <c r="BI268" i="27"/>
  <c r="BH268" i="27"/>
  <c r="BG268" i="27"/>
  <c r="BF268" i="27"/>
  <c r="BE268" i="27"/>
  <c r="T268" i="27"/>
  <c r="R268" i="27"/>
  <c r="P268" i="27"/>
  <c r="J268" i="27"/>
  <c r="BK264" i="27"/>
  <c r="BI264" i="27"/>
  <c r="BH264" i="27"/>
  <c r="BG264" i="27"/>
  <c r="BF264" i="27"/>
  <c r="BE264" i="27"/>
  <c r="T264" i="27"/>
  <c r="R264" i="27"/>
  <c r="P264" i="27"/>
  <c r="J264" i="27"/>
  <c r="BK260" i="27"/>
  <c r="BI260" i="27"/>
  <c r="BH260" i="27"/>
  <c r="BG260" i="27"/>
  <c r="BF260" i="27"/>
  <c r="BE260" i="27"/>
  <c r="T260" i="27"/>
  <c r="R260" i="27"/>
  <c r="P260" i="27"/>
  <c r="J260" i="27"/>
  <c r="BK256" i="27"/>
  <c r="BI256" i="27"/>
  <c r="BH256" i="27"/>
  <c r="BG256" i="27"/>
  <c r="BF256" i="27"/>
  <c r="BE256" i="27"/>
  <c r="T256" i="27"/>
  <c r="R256" i="27"/>
  <c r="P256" i="27"/>
  <c r="J256" i="27"/>
  <c r="BK253" i="27"/>
  <c r="BI253" i="27"/>
  <c r="BH253" i="27"/>
  <c r="BG253" i="27"/>
  <c r="BF253" i="27"/>
  <c r="BE253" i="27"/>
  <c r="T253" i="27"/>
  <c r="R253" i="27"/>
  <c r="P253" i="27"/>
  <c r="J253" i="27"/>
  <c r="BK252" i="27"/>
  <c r="T252" i="27"/>
  <c r="R252" i="27"/>
  <c r="P252" i="27"/>
  <c r="J252" i="27"/>
  <c r="BK249" i="27"/>
  <c r="BI249" i="27"/>
  <c r="BH249" i="27"/>
  <c r="BG249" i="27"/>
  <c r="BF249" i="27"/>
  <c r="BE249" i="27"/>
  <c r="T249" i="27"/>
  <c r="R249" i="27"/>
  <c r="P249" i="27"/>
  <c r="J249" i="27"/>
  <c r="BK245" i="27"/>
  <c r="BI245" i="27"/>
  <c r="BH245" i="27"/>
  <c r="BG245" i="27"/>
  <c r="BF245" i="27"/>
  <c r="BE245" i="27"/>
  <c r="T245" i="27"/>
  <c r="R245" i="27"/>
  <c r="P245" i="27"/>
  <c r="J245" i="27"/>
  <c r="BK242" i="27"/>
  <c r="BI242" i="27"/>
  <c r="BH242" i="27"/>
  <c r="BG242" i="27"/>
  <c r="BF242" i="27"/>
  <c r="BE242" i="27"/>
  <c r="T242" i="27"/>
  <c r="R242" i="27"/>
  <c r="P242" i="27"/>
  <c r="J242" i="27"/>
  <c r="BK241" i="27"/>
  <c r="BI241" i="27"/>
  <c r="BH241" i="27"/>
  <c r="BG241" i="27"/>
  <c r="BF241" i="27"/>
  <c r="BE241" i="27"/>
  <c r="T241" i="27"/>
  <c r="R241" i="27"/>
  <c r="P241" i="27"/>
  <c r="J241" i="27"/>
  <c r="BK238" i="27"/>
  <c r="BI238" i="27"/>
  <c r="BH238" i="27"/>
  <c r="BG238" i="27"/>
  <c r="BF238" i="27"/>
  <c r="BE238" i="27"/>
  <c r="T238" i="27"/>
  <c r="R238" i="27"/>
  <c r="P238" i="27"/>
  <c r="J238" i="27"/>
  <c r="BK235" i="27"/>
  <c r="BI235" i="27"/>
  <c r="BH235" i="27"/>
  <c r="BG235" i="27"/>
  <c r="BF235" i="27"/>
  <c r="BE235" i="27"/>
  <c r="T235" i="27"/>
  <c r="R235" i="27"/>
  <c r="P235" i="27"/>
  <c r="J235" i="27"/>
  <c r="BK231" i="27"/>
  <c r="BI231" i="27"/>
  <c r="BH231" i="27"/>
  <c r="BG231" i="27"/>
  <c r="BF231" i="27"/>
  <c r="BE231" i="27"/>
  <c r="T231" i="27"/>
  <c r="R231" i="27"/>
  <c r="P231" i="27"/>
  <c r="J231" i="27"/>
  <c r="BK228" i="27"/>
  <c r="BI228" i="27"/>
  <c r="BH228" i="27"/>
  <c r="BG228" i="27"/>
  <c r="BF228" i="27"/>
  <c r="BE228" i="27"/>
  <c r="T228" i="27"/>
  <c r="R228" i="27"/>
  <c r="P228" i="27"/>
  <c r="J228" i="27"/>
  <c r="BK227" i="27"/>
  <c r="BI227" i="27"/>
  <c r="BH227" i="27"/>
  <c r="BG227" i="27"/>
  <c r="BF227" i="27"/>
  <c r="BE227" i="27"/>
  <c r="T227" i="27"/>
  <c r="R227" i="27"/>
  <c r="P227" i="27"/>
  <c r="J227" i="27"/>
  <c r="BK223" i="27"/>
  <c r="BI223" i="27"/>
  <c r="BH223" i="27"/>
  <c r="BG223" i="27"/>
  <c r="BF223" i="27"/>
  <c r="BE223" i="27"/>
  <c r="T223" i="27"/>
  <c r="R223" i="27"/>
  <c r="P223" i="27"/>
  <c r="J223" i="27"/>
  <c r="BK219" i="27"/>
  <c r="BI219" i="27"/>
  <c r="BH219" i="27"/>
  <c r="BG219" i="27"/>
  <c r="BF219" i="27"/>
  <c r="BE219" i="27"/>
  <c r="T219" i="27"/>
  <c r="R219" i="27"/>
  <c r="P219" i="27"/>
  <c r="J219" i="27"/>
  <c r="BK215" i="27"/>
  <c r="BI215" i="27"/>
  <c r="BH215" i="27"/>
  <c r="BG215" i="27"/>
  <c r="BF215" i="27"/>
  <c r="BE215" i="27"/>
  <c r="T215" i="27"/>
  <c r="R215" i="27"/>
  <c r="P215" i="27"/>
  <c r="J215" i="27"/>
  <c r="BK211" i="27"/>
  <c r="BI211" i="27"/>
  <c r="BH211" i="27"/>
  <c r="BG211" i="27"/>
  <c r="BF211" i="27"/>
  <c r="BE211" i="27"/>
  <c r="T211" i="27"/>
  <c r="R211" i="27"/>
  <c r="P211" i="27"/>
  <c r="J211" i="27"/>
  <c r="BK207" i="27"/>
  <c r="BI207" i="27"/>
  <c r="BH207" i="27"/>
  <c r="BG207" i="27"/>
  <c r="BF207" i="27"/>
  <c r="BE207" i="27"/>
  <c r="T207" i="27"/>
  <c r="R207" i="27"/>
  <c r="P207" i="27"/>
  <c r="J207" i="27"/>
  <c r="BK203" i="27"/>
  <c r="BI203" i="27"/>
  <c r="BH203" i="27"/>
  <c r="BG203" i="27"/>
  <c r="BF203" i="27"/>
  <c r="BE203" i="27"/>
  <c r="T203" i="27"/>
  <c r="R203" i="27"/>
  <c r="P203" i="27"/>
  <c r="J203" i="27"/>
  <c r="BK199" i="27"/>
  <c r="BI199" i="27"/>
  <c r="BH199" i="27"/>
  <c r="BG199" i="27"/>
  <c r="BF199" i="27"/>
  <c r="BE199" i="27"/>
  <c r="T199" i="27"/>
  <c r="R199" i="27"/>
  <c r="P199" i="27"/>
  <c r="J199" i="27"/>
  <c r="BK195" i="27"/>
  <c r="BI195" i="27"/>
  <c r="BH195" i="27"/>
  <c r="BG195" i="27"/>
  <c r="BF195" i="27"/>
  <c r="BE195" i="27"/>
  <c r="T195" i="27"/>
  <c r="R195" i="27"/>
  <c r="P195" i="27"/>
  <c r="J195" i="27"/>
  <c r="BK191" i="27"/>
  <c r="BI191" i="27"/>
  <c r="BH191" i="27"/>
  <c r="BG191" i="27"/>
  <c r="BF191" i="27"/>
  <c r="BE191" i="27"/>
  <c r="T191" i="27"/>
  <c r="R191" i="27"/>
  <c r="P191" i="27"/>
  <c r="J191" i="27"/>
  <c r="BK187" i="27"/>
  <c r="BI187" i="27"/>
  <c r="BH187" i="27"/>
  <c r="BG187" i="27"/>
  <c r="BF187" i="27"/>
  <c r="BE187" i="27"/>
  <c r="T187" i="27"/>
  <c r="R187" i="27"/>
  <c r="P187" i="27"/>
  <c r="J187" i="27"/>
  <c r="BK183" i="27"/>
  <c r="BI183" i="27"/>
  <c r="BH183" i="27"/>
  <c r="BG183" i="27"/>
  <c r="BF183" i="27"/>
  <c r="BE183" i="27"/>
  <c r="T183" i="27"/>
  <c r="R183" i="27"/>
  <c r="P183" i="27"/>
  <c r="J183" i="27"/>
  <c r="BK179" i="27"/>
  <c r="BI179" i="27"/>
  <c r="BH179" i="27"/>
  <c r="BG179" i="27"/>
  <c r="BF179" i="27"/>
  <c r="BE179" i="27"/>
  <c r="T179" i="27"/>
  <c r="R179" i="27"/>
  <c r="P179" i="27"/>
  <c r="J179" i="27"/>
  <c r="BK173" i="27"/>
  <c r="BI173" i="27"/>
  <c r="BH173" i="27"/>
  <c r="BG173" i="27"/>
  <c r="BF173" i="27"/>
  <c r="BE173" i="27"/>
  <c r="T173" i="27"/>
  <c r="R173" i="27"/>
  <c r="P173" i="27"/>
  <c r="J173" i="27"/>
  <c r="BK169" i="27"/>
  <c r="BI169" i="27"/>
  <c r="BH169" i="27"/>
  <c r="BG169" i="27"/>
  <c r="BF169" i="27"/>
  <c r="BE169" i="27"/>
  <c r="T169" i="27"/>
  <c r="R169" i="27"/>
  <c r="P169" i="27"/>
  <c r="J169" i="27"/>
  <c r="BK165" i="27"/>
  <c r="BI165" i="27"/>
  <c r="BH165" i="27"/>
  <c r="BG165" i="27"/>
  <c r="BF165" i="27"/>
  <c r="BE165" i="27"/>
  <c r="T165" i="27"/>
  <c r="R165" i="27"/>
  <c r="P165" i="27"/>
  <c r="J165" i="27"/>
  <c r="BK161" i="27"/>
  <c r="BI161" i="27"/>
  <c r="BH161" i="27"/>
  <c r="BG161" i="27"/>
  <c r="BF161" i="27"/>
  <c r="BE161" i="27"/>
  <c r="T161" i="27"/>
  <c r="R161" i="27"/>
  <c r="P161" i="27"/>
  <c r="J161" i="27"/>
  <c r="BK153" i="27"/>
  <c r="BI153" i="27"/>
  <c r="BH153" i="27"/>
  <c r="BG153" i="27"/>
  <c r="BF153" i="27"/>
  <c r="BE153" i="27"/>
  <c r="T153" i="27"/>
  <c r="R153" i="27"/>
  <c r="P153" i="27"/>
  <c r="J153" i="27"/>
  <c r="BK147" i="27"/>
  <c r="BI147" i="27"/>
  <c r="BH147" i="27"/>
  <c r="BG147" i="27"/>
  <c r="BF147" i="27"/>
  <c r="BE147" i="27"/>
  <c r="T147" i="27"/>
  <c r="R147" i="27"/>
  <c r="P147" i="27"/>
  <c r="J147" i="27"/>
  <c r="BK146" i="27"/>
  <c r="T146" i="27"/>
  <c r="R146" i="27"/>
  <c r="P146" i="27"/>
  <c r="J146" i="27"/>
  <c r="BK145" i="27"/>
  <c r="BI145" i="27"/>
  <c r="BH145" i="27"/>
  <c r="BG145" i="27"/>
  <c r="BF145" i="27"/>
  <c r="BE145" i="27"/>
  <c r="T145" i="27"/>
  <c r="R145" i="27"/>
  <c r="P145" i="27"/>
  <c r="J145" i="27"/>
  <c r="BK142" i="27"/>
  <c r="BI142" i="27"/>
  <c r="BH142" i="27"/>
  <c r="BG142" i="27"/>
  <c r="BF142" i="27"/>
  <c r="BE142" i="27"/>
  <c r="T142" i="27"/>
  <c r="R142" i="27"/>
  <c r="P142" i="27"/>
  <c r="J142" i="27"/>
  <c r="BK139" i="27"/>
  <c r="BI139" i="27"/>
  <c r="BH139" i="27"/>
  <c r="BG139" i="27"/>
  <c r="BF139" i="27"/>
  <c r="BE139" i="27"/>
  <c r="T139" i="27"/>
  <c r="R139" i="27"/>
  <c r="P139" i="27"/>
  <c r="J139" i="27"/>
  <c r="BK138" i="27"/>
  <c r="BI138" i="27"/>
  <c r="BH138" i="27"/>
  <c r="BG138" i="27"/>
  <c r="BF138" i="27"/>
  <c r="BE138" i="27"/>
  <c r="T138" i="27"/>
  <c r="R138" i="27"/>
  <c r="P138" i="27"/>
  <c r="J138" i="27"/>
  <c r="BK132" i="27"/>
  <c r="BI132" i="27"/>
  <c r="BH132" i="27"/>
  <c r="BG132" i="27"/>
  <c r="BF132" i="27"/>
  <c r="BE132" i="27"/>
  <c r="T132" i="27"/>
  <c r="R132" i="27"/>
  <c r="P132" i="27"/>
  <c r="J132" i="27"/>
  <c r="BK131" i="27"/>
  <c r="BI131" i="27"/>
  <c r="BH131" i="27"/>
  <c r="BG131" i="27"/>
  <c r="BF131" i="27"/>
  <c r="BE131" i="27"/>
  <c r="T131" i="27"/>
  <c r="R131" i="27"/>
  <c r="P131" i="27"/>
  <c r="J131" i="27"/>
  <c r="BK130" i="27"/>
  <c r="BI130" i="27"/>
  <c r="BH130" i="27"/>
  <c r="BG130" i="27"/>
  <c r="BF130" i="27"/>
  <c r="BE130" i="27"/>
  <c r="T130" i="27"/>
  <c r="R130" i="27"/>
  <c r="P130" i="27"/>
  <c r="J130" i="27"/>
  <c r="BK129" i="27"/>
  <c r="BI129" i="27"/>
  <c r="BH129" i="27"/>
  <c r="BG129" i="27"/>
  <c r="BF129" i="27"/>
  <c r="BE129" i="27"/>
  <c r="T129" i="27"/>
  <c r="R129" i="27"/>
  <c r="P129" i="27"/>
  <c r="J129" i="27"/>
  <c r="BK128" i="27"/>
  <c r="T128" i="27"/>
  <c r="R128" i="27"/>
  <c r="P128" i="27"/>
  <c r="J128" i="27"/>
  <c r="BK127" i="27"/>
  <c r="T127" i="27"/>
  <c r="R127" i="27"/>
  <c r="P127" i="27"/>
  <c r="J127" i="27"/>
  <c r="BK126" i="27"/>
  <c r="T126" i="27"/>
  <c r="R126" i="27"/>
  <c r="P126" i="27"/>
  <c r="J126" i="27"/>
  <c r="J123" i="27"/>
  <c r="F123" i="27"/>
  <c r="J122" i="27"/>
  <c r="F122" i="27"/>
  <c r="J120" i="27"/>
  <c r="F120" i="27"/>
  <c r="E118" i="27"/>
  <c r="E114" i="27"/>
  <c r="J104" i="27"/>
  <c r="J103" i="27"/>
  <c r="J102" i="27"/>
  <c r="J101" i="27"/>
  <c r="J100" i="27"/>
  <c r="J99" i="27"/>
  <c r="J98" i="27"/>
  <c r="J94" i="27"/>
  <c r="F94" i="27"/>
  <c r="J93" i="27"/>
  <c r="F93" i="27"/>
  <c r="J91" i="27"/>
  <c r="F91" i="27"/>
  <c r="E89" i="27"/>
  <c r="E85" i="27"/>
  <c r="J41" i="27"/>
  <c r="J39" i="27"/>
  <c r="F39" i="27"/>
  <c r="J38" i="27"/>
  <c r="F38" i="27"/>
  <c r="J37" i="27"/>
  <c r="F37" i="27"/>
  <c r="J36" i="27"/>
  <c r="F36" i="27"/>
  <c r="J35" i="27"/>
  <c r="F35" i="27"/>
  <c r="J32" i="27"/>
  <c r="J20" i="27"/>
  <c r="E20" i="27"/>
  <c r="J19" i="27"/>
  <c r="J14" i="27"/>
  <c r="E7" i="27"/>
  <c r="BK151" i="26"/>
  <c r="BI151" i="26"/>
  <c r="BH151" i="26"/>
  <c r="BG151" i="26"/>
  <c r="BF151" i="26"/>
  <c r="BE151" i="26"/>
  <c r="T151" i="26"/>
  <c r="R151" i="26"/>
  <c r="P151" i="26"/>
  <c r="J151" i="26"/>
  <c r="BK149" i="26"/>
  <c r="BI149" i="26"/>
  <c r="BH149" i="26"/>
  <c r="BG149" i="26"/>
  <c r="BF149" i="26"/>
  <c r="BE149" i="26"/>
  <c r="T149" i="26"/>
  <c r="R149" i="26"/>
  <c r="P149" i="26"/>
  <c r="J149" i="26"/>
  <c r="BK147" i="26"/>
  <c r="BI147" i="26"/>
  <c r="BH147" i="26"/>
  <c r="BG147" i="26"/>
  <c r="BF147" i="26"/>
  <c r="BE147" i="26"/>
  <c r="T147" i="26"/>
  <c r="R147" i="26"/>
  <c r="P147" i="26"/>
  <c r="J147" i="26"/>
  <c r="BK145" i="26"/>
  <c r="BI145" i="26"/>
  <c r="BH145" i="26"/>
  <c r="BG145" i="26"/>
  <c r="BF145" i="26"/>
  <c r="BE145" i="26"/>
  <c r="T145" i="26"/>
  <c r="R145" i="26"/>
  <c r="P145" i="26"/>
  <c r="J145" i="26"/>
  <c r="BK143" i="26"/>
  <c r="BI143" i="26"/>
  <c r="BH143" i="26"/>
  <c r="BG143" i="26"/>
  <c r="BF143" i="26"/>
  <c r="BE143" i="26"/>
  <c r="T143" i="26"/>
  <c r="R143" i="26"/>
  <c r="P143" i="26"/>
  <c r="J143" i="26"/>
  <c r="BK141" i="26"/>
  <c r="BI141" i="26"/>
  <c r="BH141" i="26"/>
  <c r="BG141" i="26"/>
  <c r="BF141" i="26"/>
  <c r="BE141" i="26"/>
  <c r="T141" i="26"/>
  <c r="R141" i="26"/>
  <c r="P141" i="26"/>
  <c r="J141" i="26"/>
  <c r="BK139" i="26"/>
  <c r="BI139" i="26"/>
  <c r="BH139" i="26"/>
  <c r="BG139" i="26"/>
  <c r="BF139" i="26"/>
  <c r="BE139" i="26"/>
  <c r="T139" i="26"/>
  <c r="R139" i="26"/>
  <c r="P139" i="26"/>
  <c r="J139" i="26"/>
  <c r="BK137" i="26"/>
  <c r="BI137" i="26"/>
  <c r="BH137" i="26"/>
  <c r="BG137" i="26"/>
  <c r="BF137" i="26"/>
  <c r="BE137" i="26"/>
  <c r="T137" i="26"/>
  <c r="R137" i="26"/>
  <c r="P137" i="26"/>
  <c r="J137" i="26"/>
  <c r="BK135" i="26"/>
  <c r="BI135" i="26"/>
  <c r="BH135" i="26"/>
  <c r="BG135" i="26"/>
  <c r="BF135" i="26"/>
  <c r="BE135" i="26"/>
  <c r="T135" i="26"/>
  <c r="R135" i="26"/>
  <c r="P135" i="26"/>
  <c r="J135" i="26"/>
  <c r="BK133" i="26"/>
  <c r="BI133" i="26"/>
  <c r="BH133" i="26"/>
  <c r="BG133" i="26"/>
  <c r="BF133" i="26"/>
  <c r="BE133" i="26"/>
  <c r="T133" i="26"/>
  <c r="R133" i="26"/>
  <c r="P133" i="26"/>
  <c r="J133" i="26"/>
  <c r="BK131" i="26"/>
  <c r="BI131" i="26"/>
  <c r="BH131" i="26"/>
  <c r="BG131" i="26"/>
  <c r="BF131" i="26"/>
  <c r="BE131" i="26"/>
  <c r="T131" i="26"/>
  <c r="R131" i="26"/>
  <c r="P131" i="26"/>
  <c r="J131" i="26"/>
  <c r="BK129" i="26"/>
  <c r="BI129" i="26"/>
  <c r="BH129" i="26"/>
  <c r="BG129" i="26"/>
  <c r="BF129" i="26"/>
  <c r="BE129" i="26"/>
  <c r="T129" i="26"/>
  <c r="R129" i="26"/>
  <c r="P129" i="26"/>
  <c r="J129" i="26"/>
  <c r="BK127" i="26"/>
  <c r="BI127" i="26"/>
  <c r="BH127" i="26"/>
  <c r="BG127" i="26"/>
  <c r="BF127" i="26"/>
  <c r="BE127" i="26"/>
  <c r="T127" i="26"/>
  <c r="R127" i="26"/>
  <c r="P127" i="26"/>
  <c r="J127" i="26"/>
  <c r="BK125" i="26"/>
  <c r="BI125" i="26"/>
  <c r="BH125" i="26"/>
  <c r="BG125" i="26"/>
  <c r="BF125" i="26"/>
  <c r="BE125" i="26"/>
  <c r="T125" i="26"/>
  <c r="R125" i="26"/>
  <c r="P125" i="26"/>
  <c r="J125" i="26"/>
  <c r="BK123" i="26"/>
  <c r="BI123" i="26"/>
  <c r="BH123" i="26"/>
  <c r="BG123" i="26"/>
  <c r="BF123" i="26"/>
  <c r="BE123" i="26"/>
  <c r="T123" i="26"/>
  <c r="R123" i="26"/>
  <c r="P123" i="26"/>
  <c r="J123" i="26"/>
  <c r="BK122" i="26"/>
  <c r="T122" i="26"/>
  <c r="R122" i="26"/>
  <c r="P122" i="26"/>
  <c r="J122" i="26"/>
  <c r="BK121" i="26"/>
  <c r="T121" i="26"/>
  <c r="R121" i="26"/>
  <c r="P121" i="26"/>
  <c r="J121" i="26"/>
  <c r="J118" i="26"/>
  <c r="F118" i="26"/>
  <c r="J117" i="26"/>
  <c r="F117" i="26"/>
  <c r="J115" i="26"/>
  <c r="F115" i="26"/>
  <c r="E113" i="26"/>
  <c r="E109" i="26"/>
  <c r="J99" i="26"/>
  <c r="J98" i="26"/>
  <c r="J94" i="26"/>
  <c r="F94" i="26"/>
  <c r="J93" i="26"/>
  <c r="F93" i="26"/>
  <c r="J91" i="26"/>
  <c r="F91" i="26"/>
  <c r="E89" i="26"/>
  <c r="E85" i="26"/>
  <c r="J41" i="26"/>
  <c r="J39" i="26"/>
  <c r="F39" i="26"/>
  <c r="J38" i="26"/>
  <c r="F38" i="26"/>
  <c r="J37" i="26"/>
  <c r="F37" i="26"/>
  <c r="J36" i="26"/>
  <c r="F36" i="26"/>
  <c r="J35" i="26"/>
  <c r="F35" i="26"/>
  <c r="J32" i="26"/>
  <c r="J20" i="26"/>
  <c r="E20" i="26"/>
  <c r="J19" i="26"/>
  <c r="J14" i="26"/>
  <c r="E7" i="26"/>
  <c r="BK171" i="25"/>
  <c r="BI171" i="25"/>
  <c r="BH171" i="25"/>
  <c r="BG171" i="25"/>
  <c r="BF171" i="25"/>
  <c r="BE171" i="25"/>
  <c r="T171" i="25"/>
  <c r="R171" i="25"/>
  <c r="P171" i="25"/>
  <c r="J171" i="25"/>
  <c r="BK170" i="25"/>
  <c r="BI170" i="25"/>
  <c r="BH170" i="25"/>
  <c r="BG170" i="25"/>
  <c r="BF170" i="25"/>
  <c r="BE170" i="25"/>
  <c r="T170" i="25"/>
  <c r="R170" i="25"/>
  <c r="P170" i="25"/>
  <c r="J170" i="25"/>
  <c r="BK169" i="25"/>
  <c r="BI169" i="25"/>
  <c r="BH169" i="25"/>
  <c r="BG169" i="25"/>
  <c r="BF169" i="25"/>
  <c r="BE169" i="25"/>
  <c r="T169" i="25"/>
  <c r="R169" i="25"/>
  <c r="P169" i="25"/>
  <c r="J169" i="25"/>
  <c r="BK168" i="25"/>
  <c r="BI168" i="25"/>
  <c r="BH168" i="25"/>
  <c r="BG168" i="25"/>
  <c r="BF168" i="25"/>
  <c r="BE168" i="25"/>
  <c r="T168" i="25"/>
  <c r="R168" i="25"/>
  <c r="P168" i="25"/>
  <c r="J168" i="25"/>
  <c r="BK167" i="25"/>
  <c r="BI167" i="25"/>
  <c r="BH167" i="25"/>
  <c r="BG167" i="25"/>
  <c r="BF167" i="25"/>
  <c r="BE167" i="25"/>
  <c r="T167" i="25"/>
  <c r="R167" i="25"/>
  <c r="P167" i="25"/>
  <c r="J167" i="25"/>
  <c r="BK166" i="25"/>
  <c r="BI166" i="25"/>
  <c r="BH166" i="25"/>
  <c r="BG166" i="25"/>
  <c r="BF166" i="25"/>
  <c r="BE166" i="25"/>
  <c r="T166" i="25"/>
  <c r="R166" i="25"/>
  <c r="P166" i="25"/>
  <c r="J166" i="25"/>
  <c r="BK165" i="25"/>
  <c r="BI165" i="25"/>
  <c r="BH165" i="25"/>
  <c r="BG165" i="25"/>
  <c r="BF165" i="25"/>
  <c r="BE165" i="25"/>
  <c r="T165" i="25"/>
  <c r="R165" i="25"/>
  <c r="P165" i="25"/>
  <c r="J165" i="25"/>
  <c r="BK164" i="25"/>
  <c r="BI164" i="25"/>
  <c r="BH164" i="25"/>
  <c r="BG164" i="25"/>
  <c r="BF164" i="25"/>
  <c r="BE164" i="25"/>
  <c r="T164" i="25"/>
  <c r="R164" i="25"/>
  <c r="P164" i="25"/>
  <c r="J164" i="25"/>
  <c r="BK163" i="25"/>
  <c r="BI163" i="25"/>
  <c r="BH163" i="25"/>
  <c r="BG163" i="25"/>
  <c r="BF163" i="25"/>
  <c r="BE163" i="25"/>
  <c r="T163" i="25"/>
  <c r="R163" i="25"/>
  <c r="P163" i="25"/>
  <c r="J163" i="25"/>
  <c r="BK162" i="25"/>
  <c r="BI162" i="25"/>
  <c r="BH162" i="25"/>
  <c r="BG162" i="25"/>
  <c r="BF162" i="25"/>
  <c r="BE162" i="25"/>
  <c r="T162" i="25"/>
  <c r="R162" i="25"/>
  <c r="P162" i="25"/>
  <c r="J162" i="25"/>
  <c r="BK161" i="25"/>
  <c r="BI161" i="25"/>
  <c r="BH161" i="25"/>
  <c r="BG161" i="25"/>
  <c r="BF161" i="25"/>
  <c r="BE161" i="25"/>
  <c r="T161" i="25"/>
  <c r="R161" i="25"/>
  <c r="P161" i="25"/>
  <c r="J161" i="25"/>
  <c r="BK160" i="25"/>
  <c r="BI160" i="25"/>
  <c r="BH160" i="25"/>
  <c r="BG160" i="25"/>
  <c r="BF160" i="25"/>
  <c r="BE160" i="25"/>
  <c r="T160" i="25"/>
  <c r="R160" i="25"/>
  <c r="P160" i="25"/>
  <c r="J160" i="25"/>
  <c r="BK159" i="25"/>
  <c r="BI159" i="25"/>
  <c r="BH159" i="25"/>
  <c r="BG159" i="25"/>
  <c r="BF159" i="25"/>
  <c r="BE159" i="25"/>
  <c r="T159" i="25"/>
  <c r="R159" i="25"/>
  <c r="P159" i="25"/>
  <c r="J159" i="25"/>
  <c r="BK158" i="25"/>
  <c r="BI158" i="25"/>
  <c r="BH158" i="25"/>
  <c r="BG158" i="25"/>
  <c r="BF158" i="25"/>
  <c r="BE158" i="25"/>
  <c r="T158" i="25"/>
  <c r="R158" i="25"/>
  <c r="P158" i="25"/>
  <c r="J158" i="25"/>
  <c r="BK157" i="25"/>
  <c r="BI157" i="25"/>
  <c r="BH157" i="25"/>
  <c r="BG157" i="25"/>
  <c r="BF157" i="25"/>
  <c r="BE157" i="25"/>
  <c r="T157" i="25"/>
  <c r="R157" i="25"/>
  <c r="P157" i="25"/>
  <c r="J157" i="25"/>
  <c r="BK156" i="25"/>
  <c r="BI156" i="25"/>
  <c r="BH156" i="25"/>
  <c r="BG156" i="25"/>
  <c r="BF156" i="25"/>
  <c r="BE156" i="25"/>
  <c r="T156" i="25"/>
  <c r="R156" i="25"/>
  <c r="P156" i="25"/>
  <c r="J156" i="25"/>
  <c r="BK155" i="25"/>
  <c r="BI155" i="25"/>
  <c r="BH155" i="25"/>
  <c r="BG155" i="25"/>
  <c r="BF155" i="25"/>
  <c r="BE155" i="25"/>
  <c r="T155" i="25"/>
  <c r="R155" i="25"/>
  <c r="P155" i="25"/>
  <c r="J155" i="25"/>
  <c r="BK154" i="25"/>
  <c r="BI154" i="25"/>
  <c r="BH154" i="25"/>
  <c r="BG154" i="25"/>
  <c r="BF154" i="25"/>
  <c r="BE154" i="25"/>
  <c r="T154" i="25"/>
  <c r="R154" i="25"/>
  <c r="P154" i="25"/>
  <c r="J154" i="25"/>
  <c r="BK153" i="25"/>
  <c r="BI153" i="25"/>
  <c r="BH153" i="25"/>
  <c r="BG153" i="25"/>
  <c r="BF153" i="25"/>
  <c r="BE153" i="25"/>
  <c r="T153" i="25"/>
  <c r="R153" i="25"/>
  <c r="P153" i="25"/>
  <c r="J153" i="25"/>
  <c r="BK152" i="25"/>
  <c r="BI152" i="25"/>
  <c r="BH152" i="25"/>
  <c r="BG152" i="25"/>
  <c r="BF152" i="25"/>
  <c r="BE152" i="25"/>
  <c r="T152" i="25"/>
  <c r="R152" i="25"/>
  <c r="P152" i="25"/>
  <c r="J152" i="25"/>
  <c r="BK151" i="25"/>
  <c r="BI151" i="25"/>
  <c r="BH151" i="25"/>
  <c r="BG151" i="25"/>
  <c r="BF151" i="25"/>
  <c r="BE151" i="25"/>
  <c r="T151" i="25"/>
  <c r="R151" i="25"/>
  <c r="P151" i="25"/>
  <c r="J151" i="25"/>
  <c r="BK150" i="25"/>
  <c r="BI150" i="25"/>
  <c r="BH150" i="25"/>
  <c r="BG150" i="25"/>
  <c r="BF150" i="25"/>
  <c r="BE150" i="25"/>
  <c r="T150" i="25"/>
  <c r="R150" i="25"/>
  <c r="P150" i="25"/>
  <c r="J150" i="25"/>
  <c r="BK149" i="25"/>
  <c r="BI149" i="25"/>
  <c r="BH149" i="25"/>
  <c r="BG149" i="25"/>
  <c r="BF149" i="25"/>
  <c r="BE149" i="25"/>
  <c r="T149" i="25"/>
  <c r="R149" i="25"/>
  <c r="P149" i="25"/>
  <c r="J149" i="25"/>
  <c r="BK148" i="25"/>
  <c r="BI148" i="25"/>
  <c r="BH148" i="25"/>
  <c r="BG148" i="25"/>
  <c r="BF148" i="25"/>
  <c r="BE148" i="25"/>
  <c r="T148" i="25"/>
  <c r="R148" i="25"/>
  <c r="P148" i="25"/>
  <c r="J148" i="25"/>
  <c r="BK147" i="25"/>
  <c r="BI147" i="25"/>
  <c r="BH147" i="25"/>
  <c r="BG147" i="25"/>
  <c r="BF147" i="25"/>
  <c r="BE147" i="25"/>
  <c r="T147" i="25"/>
  <c r="R147" i="25"/>
  <c r="P147" i="25"/>
  <c r="J147" i="25"/>
  <c r="BK146" i="25"/>
  <c r="BI146" i="25"/>
  <c r="BH146" i="25"/>
  <c r="BG146" i="25"/>
  <c r="BF146" i="25"/>
  <c r="BE146" i="25"/>
  <c r="T146" i="25"/>
  <c r="R146" i="25"/>
  <c r="P146" i="25"/>
  <c r="J146" i="25"/>
  <c r="BK145" i="25"/>
  <c r="BI145" i="25"/>
  <c r="BH145" i="25"/>
  <c r="BG145" i="25"/>
  <c r="BF145" i="25"/>
  <c r="BE145" i="25"/>
  <c r="T145" i="25"/>
  <c r="R145" i="25"/>
  <c r="P145" i="25"/>
  <c r="J145" i="25"/>
  <c r="BK144" i="25"/>
  <c r="BI144" i="25"/>
  <c r="BH144" i="25"/>
  <c r="BG144" i="25"/>
  <c r="BF144" i="25"/>
  <c r="BE144" i="25"/>
  <c r="T144" i="25"/>
  <c r="R144" i="25"/>
  <c r="P144" i="25"/>
  <c r="J144" i="25"/>
  <c r="BK143" i="25"/>
  <c r="BI143" i="25"/>
  <c r="BH143" i="25"/>
  <c r="BG143" i="25"/>
  <c r="BF143" i="25"/>
  <c r="BE143" i="25"/>
  <c r="T143" i="25"/>
  <c r="R143" i="25"/>
  <c r="P143" i="25"/>
  <c r="J143" i="25"/>
  <c r="BK142" i="25"/>
  <c r="BI142" i="25"/>
  <c r="BH142" i="25"/>
  <c r="BG142" i="25"/>
  <c r="BF142" i="25"/>
  <c r="BE142" i="25"/>
  <c r="T142" i="25"/>
  <c r="R142" i="25"/>
  <c r="P142" i="25"/>
  <c r="J142" i="25"/>
  <c r="BK141" i="25"/>
  <c r="BI141" i="25"/>
  <c r="BH141" i="25"/>
  <c r="BG141" i="25"/>
  <c r="BF141" i="25"/>
  <c r="BE141" i="25"/>
  <c r="T141" i="25"/>
  <c r="R141" i="25"/>
  <c r="P141" i="25"/>
  <c r="J141" i="25"/>
  <c r="BK140" i="25"/>
  <c r="BI140" i="25"/>
  <c r="BH140" i="25"/>
  <c r="BG140" i="25"/>
  <c r="BF140" i="25"/>
  <c r="BE140" i="25"/>
  <c r="T140" i="25"/>
  <c r="R140" i="25"/>
  <c r="P140" i="25"/>
  <c r="J140" i="25"/>
  <c r="BK139" i="25"/>
  <c r="BI139" i="25"/>
  <c r="BH139" i="25"/>
  <c r="BG139" i="25"/>
  <c r="BF139" i="25"/>
  <c r="BE139" i="25"/>
  <c r="T139" i="25"/>
  <c r="R139" i="25"/>
  <c r="P139" i="25"/>
  <c r="J139" i="25"/>
  <c r="BK138" i="25"/>
  <c r="BI138" i="25"/>
  <c r="BH138" i="25"/>
  <c r="BG138" i="25"/>
  <c r="BF138" i="25"/>
  <c r="BE138" i="25"/>
  <c r="T138" i="25"/>
  <c r="R138" i="25"/>
  <c r="P138" i="25"/>
  <c r="J138" i="25"/>
  <c r="BK137" i="25"/>
  <c r="BI137" i="25"/>
  <c r="BH137" i="25"/>
  <c r="BG137" i="25"/>
  <c r="BF137" i="25"/>
  <c r="BE137" i="25"/>
  <c r="T137" i="25"/>
  <c r="R137" i="25"/>
  <c r="P137" i="25"/>
  <c r="J137" i="25"/>
  <c r="BK136" i="25"/>
  <c r="BI136" i="25"/>
  <c r="BH136" i="25"/>
  <c r="BG136" i="25"/>
  <c r="BF136" i="25"/>
  <c r="BE136" i="25"/>
  <c r="T136" i="25"/>
  <c r="R136" i="25"/>
  <c r="P136" i="25"/>
  <c r="J136" i="25"/>
  <c r="BK135" i="25"/>
  <c r="BI135" i="25"/>
  <c r="BH135" i="25"/>
  <c r="BG135" i="25"/>
  <c r="BF135" i="25"/>
  <c r="BE135" i="25"/>
  <c r="T135" i="25"/>
  <c r="R135" i="25"/>
  <c r="P135" i="25"/>
  <c r="J135" i="25"/>
  <c r="BK134" i="25"/>
  <c r="BI134" i="25"/>
  <c r="BH134" i="25"/>
  <c r="BG134" i="25"/>
  <c r="BF134" i="25"/>
  <c r="BE134" i="25"/>
  <c r="T134" i="25"/>
  <c r="R134" i="25"/>
  <c r="P134" i="25"/>
  <c r="J134" i="25"/>
  <c r="BK133" i="25"/>
  <c r="BI133" i="25"/>
  <c r="BH133" i="25"/>
  <c r="BG133" i="25"/>
  <c r="BF133" i="25"/>
  <c r="BE133" i="25"/>
  <c r="T133" i="25"/>
  <c r="R133" i="25"/>
  <c r="P133" i="25"/>
  <c r="J133" i="25"/>
  <c r="BK132" i="25"/>
  <c r="BI132" i="25"/>
  <c r="BH132" i="25"/>
  <c r="BG132" i="25"/>
  <c r="BF132" i="25"/>
  <c r="BE132" i="25"/>
  <c r="T132" i="25"/>
  <c r="R132" i="25"/>
  <c r="P132" i="25"/>
  <c r="J132" i="25"/>
  <c r="BK131" i="25"/>
  <c r="BI131" i="25"/>
  <c r="BH131" i="25"/>
  <c r="BG131" i="25"/>
  <c r="BF131" i="25"/>
  <c r="BE131" i="25"/>
  <c r="T131" i="25"/>
  <c r="R131" i="25"/>
  <c r="P131" i="25"/>
  <c r="J131" i="25"/>
  <c r="BK130" i="25"/>
  <c r="BI130" i="25"/>
  <c r="BH130" i="25"/>
  <c r="BG130" i="25"/>
  <c r="BF130" i="25"/>
  <c r="BE130" i="25"/>
  <c r="T130" i="25"/>
  <c r="R130" i="25"/>
  <c r="P130" i="25"/>
  <c r="J130" i="25"/>
  <c r="BK129" i="25"/>
  <c r="BI129" i="25"/>
  <c r="BH129" i="25"/>
  <c r="BG129" i="25"/>
  <c r="BF129" i="25"/>
  <c r="BE129" i="25"/>
  <c r="T129" i="25"/>
  <c r="R129" i="25"/>
  <c r="P129" i="25"/>
  <c r="J129" i="25"/>
  <c r="BK128" i="25"/>
  <c r="BI128" i="25"/>
  <c r="BH128" i="25"/>
  <c r="BG128" i="25"/>
  <c r="BF128" i="25"/>
  <c r="BE128" i="25"/>
  <c r="T128" i="25"/>
  <c r="R128" i="25"/>
  <c r="P128" i="25"/>
  <c r="J128" i="25"/>
  <c r="BK127" i="25"/>
  <c r="BI127" i="25"/>
  <c r="BH127" i="25"/>
  <c r="BG127" i="25"/>
  <c r="BF127" i="25"/>
  <c r="BE127" i="25"/>
  <c r="T127" i="25"/>
  <c r="R127" i="25"/>
  <c r="P127" i="25"/>
  <c r="J127" i="25"/>
  <c r="BK126" i="25"/>
  <c r="BI126" i="25"/>
  <c r="BH126" i="25"/>
  <c r="BG126" i="25"/>
  <c r="BF126" i="25"/>
  <c r="BE126" i="25"/>
  <c r="T126" i="25"/>
  <c r="R126" i="25"/>
  <c r="P126" i="25"/>
  <c r="J126" i="25"/>
  <c r="BK125" i="25"/>
  <c r="BI125" i="25"/>
  <c r="BH125" i="25"/>
  <c r="BG125" i="25"/>
  <c r="BF125" i="25"/>
  <c r="BE125" i="25"/>
  <c r="T125" i="25"/>
  <c r="R125" i="25"/>
  <c r="P125" i="25"/>
  <c r="J125" i="25"/>
  <c r="BK124" i="25"/>
  <c r="T124" i="25"/>
  <c r="R124" i="25"/>
  <c r="P124" i="25"/>
  <c r="J124" i="25"/>
  <c r="J123" i="25"/>
  <c r="BK122" i="25"/>
  <c r="T122" i="25"/>
  <c r="R122" i="25"/>
  <c r="P122" i="25"/>
  <c r="J122" i="25"/>
  <c r="J119" i="25"/>
  <c r="F119" i="25"/>
  <c r="J118" i="25"/>
  <c r="F118" i="25"/>
  <c r="J116" i="25"/>
  <c r="F116" i="25"/>
  <c r="E114" i="25"/>
  <c r="E110" i="25"/>
  <c r="J100" i="25"/>
  <c r="J99" i="25"/>
  <c r="J98" i="25"/>
  <c r="J94" i="25"/>
  <c r="F94" i="25"/>
  <c r="J93" i="25"/>
  <c r="F93" i="25"/>
  <c r="J91" i="25"/>
  <c r="F91" i="25"/>
  <c r="E89" i="25"/>
  <c r="E85" i="25"/>
  <c r="J41" i="25"/>
  <c r="J39" i="25"/>
  <c r="F39" i="25"/>
  <c r="J38" i="25"/>
  <c r="F38" i="25"/>
  <c r="J37" i="25"/>
  <c r="F37" i="25"/>
  <c r="J36" i="25"/>
  <c r="F36" i="25"/>
  <c r="J35" i="25"/>
  <c r="F35" i="25"/>
  <c r="J32" i="25"/>
  <c r="J20" i="25"/>
  <c r="E20" i="25"/>
  <c r="J19" i="25"/>
  <c r="J14" i="25"/>
  <c r="E7" i="25"/>
  <c r="BK123" i="24"/>
  <c r="BI123" i="24"/>
  <c r="BH123" i="24"/>
  <c r="BG123" i="24"/>
  <c r="BF123" i="24"/>
  <c r="BE123" i="24"/>
  <c r="T123" i="24"/>
  <c r="R123" i="24"/>
  <c r="P123" i="24"/>
  <c r="J123" i="24"/>
  <c r="BK122" i="24"/>
  <c r="T122" i="24"/>
  <c r="R122" i="24"/>
  <c r="P122" i="24"/>
  <c r="J122" i="24"/>
  <c r="BK121" i="24"/>
  <c r="T121" i="24"/>
  <c r="R121" i="24"/>
  <c r="P121" i="24"/>
  <c r="J121" i="24"/>
  <c r="J118" i="24"/>
  <c r="F118" i="24"/>
  <c r="J117" i="24"/>
  <c r="F117" i="24"/>
  <c r="J115" i="24"/>
  <c r="F115" i="24"/>
  <c r="E113" i="24"/>
  <c r="E109" i="24"/>
  <c r="J99" i="24"/>
  <c r="J98" i="24"/>
  <c r="J94" i="24"/>
  <c r="F94" i="24"/>
  <c r="J93" i="24"/>
  <c r="F93" i="24"/>
  <c r="J91" i="24"/>
  <c r="F91" i="24"/>
  <c r="E89" i="24"/>
  <c r="E85" i="24"/>
  <c r="J41" i="24"/>
  <c r="J39" i="24"/>
  <c r="F39" i="24"/>
  <c r="J38" i="24"/>
  <c r="F38" i="24"/>
  <c r="J37" i="24"/>
  <c r="F37" i="24"/>
  <c r="J36" i="24"/>
  <c r="F36" i="24"/>
  <c r="J35" i="24"/>
  <c r="F35" i="24"/>
  <c r="J32" i="24"/>
  <c r="J20" i="24"/>
  <c r="E20" i="24"/>
  <c r="J19" i="24"/>
  <c r="J14" i="24"/>
  <c r="E7" i="24"/>
  <c r="BK123" i="23"/>
  <c r="BI123" i="23"/>
  <c r="BH123" i="23"/>
  <c r="BG123" i="23"/>
  <c r="BF123" i="23"/>
  <c r="BE123" i="23"/>
  <c r="T123" i="23"/>
  <c r="R123" i="23"/>
  <c r="P123" i="23"/>
  <c r="J123" i="23"/>
  <c r="BK122" i="23"/>
  <c r="T122" i="23"/>
  <c r="R122" i="23"/>
  <c r="P122" i="23"/>
  <c r="J122" i="23"/>
  <c r="BK121" i="23"/>
  <c r="T121" i="23"/>
  <c r="R121" i="23"/>
  <c r="P121" i="23"/>
  <c r="J121" i="23"/>
  <c r="J118" i="23"/>
  <c r="F118" i="23"/>
  <c r="J117" i="23"/>
  <c r="F117" i="23"/>
  <c r="J115" i="23"/>
  <c r="F115" i="23"/>
  <c r="E113" i="23"/>
  <c r="E109" i="23"/>
  <c r="J99" i="23"/>
  <c r="J98" i="23"/>
  <c r="J94" i="23"/>
  <c r="F94" i="23"/>
  <c r="J93" i="23"/>
  <c r="F93" i="23"/>
  <c r="J91" i="23"/>
  <c r="F91" i="23"/>
  <c r="E89" i="23"/>
  <c r="E85" i="23"/>
  <c r="J41" i="23"/>
  <c r="J39" i="23"/>
  <c r="F39" i="23"/>
  <c r="J38" i="23"/>
  <c r="F38" i="23"/>
  <c r="J37" i="23"/>
  <c r="F37" i="23"/>
  <c r="J36" i="23"/>
  <c r="F36" i="23"/>
  <c r="J35" i="23"/>
  <c r="F35" i="23"/>
  <c r="J32" i="23"/>
  <c r="J20" i="23"/>
  <c r="E20" i="23"/>
  <c r="J19" i="23"/>
  <c r="J14" i="23"/>
  <c r="E7" i="23"/>
  <c r="BK164" i="22"/>
  <c r="BI164" i="22"/>
  <c r="BH164" i="22"/>
  <c r="BG164" i="22"/>
  <c r="BF164" i="22"/>
  <c r="BE164" i="22"/>
  <c r="T164" i="22"/>
  <c r="R164" i="22"/>
  <c r="P164" i="22"/>
  <c r="J164" i="22"/>
  <c r="BK163" i="22"/>
  <c r="T163" i="22"/>
  <c r="R163" i="22"/>
  <c r="P163" i="22"/>
  <c r="J163" i="22"/>
  <c r="BK162" i="22"/>
  <c r="BI162" i="22"/>
  <c r="BH162" i="22"/>
  <c r="BG162" i="22"/>
  <c r="BF162" i="22"/>
  <c r="BE162" i="22"/>
  <c r="T162" i="22"/>
  <c r="R162" i="22"/>
  <c r="P162" i="22"/>
  <c r="J162" i="22"/>
  <c r="BK161" i="22"/>
  <c r="T161" i="22"/>
  <c r="R161" i="22"/>
  <c r="P161" i="22"/>
  <c r="J161" i="22"/>
  <c r="BK160" i="22"/>
  <c r="BI160" i="22"/>
  <c r="BH160" i="22"/>
  <c r="BG160" i="22"/>
  <c r="BF160" i="22"/>
  <c r="BE160" i="22"/>
  <c r="T160" i="22"/>
  <c r="R160" i="22"/>
  <c r="P160" i="22"/>
  <c r="J160" i="22"/>
  <c r="BK159" i="22"/>
  <c r="BI159" i="22"/>
  <c r="BH159" i="22"/>
  <c r="BG159" i="22"/>
  <c r="BF159" i="22"/>
  <c r="BE159" i="22"/>
  <c r="T159" i="22"/>
  <c r="R159" i="22"/>
  <c r="P159" i="22"/>
  <c r="J159" i="22"/>
  <c r="BK158" i="22"/>
  <c r="BI158" i="22"/>
  <c r="BH158" i="22"/>
  <c r="BG158" i="22"/>
  <c r="BF158" i="22"/>
  <c r="BE158" i="22"/>
  <c r="T158" i="22"/>
  <c r="R158" i="22"/>
  <c r="P158" i="22"/>
  <c r="J158" i="22"/>
  <c r="BK157" i="22"/>
  <c r="BI157" i="22"/>
  <c r="BH157" i="22"/>
  <c r="BG157" i="22"/>
  <c r="BF157" i="22"/>
  <c r="BE157" i="22"/>
  <c r="T157" i="22"/>
  <c r="R157" i="22"/>
  <c r="P157" i="22"/>
  <c r="J157" i="22"/>
  <c r="BK156" i="22"/>
  <c r="T156" i="22"/>
  <c r="R156" i="22"/>
  <c r="P156" i="22"/>
  <c r="J156" i="22"/>
  <c r="BK155" i="22"/>
  <c r="BI155" i="22"/>
  <c r="BH155" i="22"/>
  <c r="BG155" i="22"/>
  <c r="BF155" i="22"/>
  <c r="BE155" i="22"/>
  <c r="T155" i="22"/>
  <c r="R155" i="22"/>
  <c r="P155" i="22"/>
  <c r="J155" i="22"/>
  <c r="BK154" i="22"/>
  <c r="BI154" i="22"/>
  <c r="BH154" i="22"/>
  <c r="BG154" i="22"/>
  <c r="BF154" i="22"/>
  <c r="BE154" i="22"/>
  <c r="T154" i="22"/>
  <c r="R154" i="22"/>
  <c r="P154" i="22"/>
  <c r="J154" i="22"/>
  <c r="BK153" i="22"/>
  <c r="BI153" i="22"/>
  <c r="BH153" i="22"/>
  <c r="BG153" i="22"/>
  <c r="BF153" i="22"/>
  <c r="BE153" i="22"/>
  <c r="T153" i="22"/>
  <c r="R153" i="22"/>
  <c r="P153" i="22"/>
  <c r="J153" i="22"/>
  <c r="BK152" i="22"/>
  <c r="BI152" i="22"/>
  <c r="BH152" i="22"/>
  <c r="BG152" i="22"/>
  <c r="BF152" i="22"/>
  <c r="BE152" i="22"/>
  <c r="T152" i="22"/>
  <c r="R152" i="22"/>
  <c r="P152" i="22"/>
  <c r="J152" i="22"/>
  <c r="BK151" i="22"/>
  <c r="BI151" i="22"/>
  <c r="BH151" i="22"/>
  <c r="BG151" i="22"/>
  <c r="BF151" i="22"/>
  <c r="BE151" i="22"/>
  <c r="T151" i="22"/>
  <c r="R151" i="22"/>
  <c r="P151" i="22"/>
  <c r="J151" i="22"/>
  <c r="BK150" i="22"/>
  <c r="BI150" i="22"/>
  <c r="BH150" i="22"/>
  <c r="BG150" i="22"/>
  <c r="BF150" i="22"/>
  <c r="BE150" i="22"/>
  <c r="T150" i="22"/>
  <c r="R150" i="22"/>
  <c r="P150" i="22"/>
  <c r="J150" i="22"/>
  <c r="BK149" i="22"/>
  <c r="BI149" i="22"/>
  <c r="BH149" i="22"/>
  <c r="BG149" i="22"/>
  <c r="BF149" i="22"/>
  <c r="BE149" i="22"/>
  <c r="T149" i="22"/>
  <c r="R149" i="22"/>
  <c r="P149" i="22"/>
  <c r="J149" i="22"/>
  <c r="BK148" i="22"/>
  <c r="BI148" i="22"/>
  <c r="BH148" i="22"/>
  <c r="BG148" i="22"/>
  <c r="BF148" i="22"/>
  <c r="BE148" i="22"/>
  <c r="T148" i="22"/>
  <c r="R148" i="22"/>
  <c r="P148" i="22"/>
  <c r="J148" i="22"/>
  <c r="BK147" i="22"/>
  <c r="BI147" i="22"/>
  <c r="BH147" i="22"/>
  <c r="BG147" i="22"/>
  <c r="BF147" i="22"/>
  <c r="BE147" i="22"/>
  <c r="T147" i="22"/>
  <c r="R147" i="22"/>
  <c r="P147" i="22"/>
  <c r="J147" i="22"/>
  <c r="BK146" i="22"/>
  <c r="BI146" i="22"/>
  <c r="BH146" i="22"/>
  <c r="BG146" i="22"/>
  <c r="BF146" i="22"/>
  <c r="BE146" i="22"/>
  <c r="T146" i="22"/>
  <c r="R146" i="22"/>
  <c r="P146" i="22"/>
  <c r="J146" i="22"/>
  <c r="BK145" i="22"/>
  <c r="BI145" i="22"/>
  <c r="BH145" i="22"/>
  <c r="BG145" i="22"/>
  <c r="BF145" i="22"/>
  <c r="BE145" i="22"/>
  <c r="T145" i="22"/>
  <c r="R145" i="22"/>
  <c r="P145" i="22"/>
  <c r="J145" i="22"/>
  <c r="BK144" i="22"/>
  <c r="BI144" i="22"/>
  <c r="BH144" i="22"/>
  <c r="BG144" i="22"/>
  <c r="BF144" i="22"/>
  <c r="BE144" i="22"/>
  <c r="T144" i="22"/>
  <c r="R144" i="22"/>
  <c r="P144" i="22"/>
  <c r="J144" i="22"/>
  <c r="BK143" i="22"/>
  <c r="BI143" i="22"/>
  <c r="BH143" i="22"/>
  <c r="BG143" i="22"/>
  <c r="BF143" i="22"/>
  <c r="BE143" i="22"/>
  <c r="T143" i="22"/>
  <c r="R143" i="22"/>
  <c r="P143" i="22"/>
  <c r="J143" i="22"/>
  <c r="BK142" i="22"/>
  <c r="T142" i="22"/>
  <c r="R142" i="22"/>
  <c r="P142" i="22"/>
  <c r="J142" i="22"/>
  <c r="BK141" i="22"/>
  <c r="BI141" i="22"/>
  <c r="BH141" i="22"/>
  <c r="BG141" i="22"/>
  <c r="BF141" i="22"/>
  <c r="BE141" i="22"/>
  <c r="T141" i="22"/>
  <c r="R141" i="22"/>
  <c r="P141" i="22"/>
  <c r="J141" i="22"/>
  <c r="BK140" i="22"/>
  <c r="T140" i="22"/>
  <c r="R140" i="22"/>
  <c r="P140" i="22"/>
  <c r="J140" i="22"/>
  <c r="BK139" i="22"/>
  <c r="BI139" i="22"/>
  <c r="BH139" i="22"/>
  <c r="BG139" i="22"/>
  <c r="BF139" i="22"/>
  <c r="BE139" i="22"/>
  <c r="T139" i="22"/>
  <c r="R139" i="22"/>
  <c r="P139" i="22"/>
  <c r="J139" i="22"/>
  <c r="BK138" i="22"/>
  <c r="BI138" i="22"/>
  <c r="BH138" i="22"/>
  <c r="BG138" i="22"/>
  <c r="BF138" i="22"/>
  <c r="BE138" i="22"/>
  <c r="T138" i="22"/>
  <c r="R138" i="22"/>
  <c r="P138" i="22"/>
  <c r="J138" i="22"/>
  <c r="BK137" i="22"/>
  <c r="T137" i="22"/>
  <c r="R137" i="22"/>
  <c r="P137" i="22"/>
  <c r="J137" i="22"/>
  <c r="BK136" i="22"/>
  <c r="BI136" i="22"/>
  <c r="BH136" i="22"/>
  <c r="BG136" i="22"/>
  <c r="BF136" i="22"/>
  <c r="BE136" i="22"/>
  <c r="T136" i="22"/>
  <c r="R136" i="22"/>
  <c r="P136" i="22"/>
  <c r="J136" i="22"/>
  <c r="BK135" i="22"/>
  <c r="BI135" i="22"/>
  <c r="BH135" i="22"/>
  <c r="BG135" i="22"/>
  <c r="BF135" i="22"/>
  <c r="BE135" i="22"/>
  <c r="T135" i="22"/>
  <c r="R135" i="22"/>
  <c r="P135" i="22"/>
  <c r="J135" i="22"/>
  <c r="BK134" i="22"/>
  <c r="BI134" i="22"/>
  <c r="BH134" i="22"/>
  <c r="BG134" i="22"/>
  <c r="BF134" i="22"/>
  <c r="BE134" i="22"/>
  <c r="T134" i="22"/>
  <c r="R134" i="22"/>
  <c r="P134" i="22"/>
  <c r="J134" i="22"/>
  <c r="BK133" i="22"/>
  <c r="BI133" i="22"/>
  <c r="BH133" i="22"/>
  <c r="BG133" i="22"/>
  <c r="BF133" i="22"/>
  <c r="BE133" i="22"/>
  <c r="T133" i="22"/>
  <c r="R133" i="22"/>
  <c r="P133" i="22"/>
  <c r="J133" i="22"/>
  <c r="BK132" i="22"/>
  <c r="BI132" i="22"/>
  <c r="BH132" i="22"/>
  <c r="BG132" i="22"/>
  <c r="BF132" i="22"/>
  <c r="BE132" i="22"/>
  <c r="T132" i="22"/>
  <c r="R132" i="22"/>
  <c r="P132" i="22"/>
  <c r="J132" i="22"/>
  <c r="BK131" i="22"/>
  <c r="BI131" i="22"/>
  <c r="BH131" i="22"/>
  <c r="BG131" i="22"/>
  <c r="BF131" i="22"/>
  <c r="BE131" i="22"/>
  <c r="T131" i="22"/>
  <c r="R131" i="22"/>
  <c r="P131" i="22"/>
  <c r="J131" i="22"/>
  <c r="BK130" i="22"/>
  <c r="T130" i="22"/>
  <c r="R130" i="22"/>
  <c r="P130" i="22"/>
  <c r="J130" i="22"/>
  <c r="BK129" i="22"/>
  <c r="T129" i="22"/>
  <c r="R129" i="22"/>
  <c r="P129" i="22"/>
  <c r="J129" i="22"/>
  <c r="BK128" i="22"/>
  <c r="T128" i="22"/>
  <c r="R128" i="22"/>
  <c r="P128" i="22"/>
  <c r="J128" i="22"/>
  <c r="J125" i="22"/>
  <c r="F125" i="22"/>
  <c r="J124" i="22"/>
  <c r="F124" i="22"/>
  <c r="J122" i="22"/>
  <c r="F122" i="22"/>
  <c r="E120" i="22"/>
  <c r="E116" i="22"/>
  <c r="J106" i="22"/>
  <c r="J105" i="22"/>
  <c r="J104" i="22"/>
  <c r="J103" i="22"/>
  <c r="J102" i="22"/>
  <c r="J101" i="22"/>
  <c r="J100" i="22"/>
  <c r="J99" i="22"/>
  <c r="J98" i="22"/>
  <c r="J94" i="22"/>
  <c r="F94" i="22"/>
  <c r="J93" i="22"/>
  <c r="F93" i="22"/>
  <c r="J91" i="22"/>
  <c r="F91" i="22"/>
  <c r="E89" i="22"/>
  <c r="E85" i="22"/>
  <c r="J41" i="22"/>
  <c r="J39" i="22"/>
  <c r="F39" i="22"/>
  <c r="J38" i="22"/>
  <c r="F38" i="22"/>
  <c r="J37" i="22"/>
  <c r="F37" i="22"/>
  <c r="J36" i="22"/>
  <c r="F36" i="22"/>
  <c r="J35" i="22"/>
  <c r="F35" i="22"/>
  <c r="J32" i="22"/>
  <c r="J20" i="22"/>
  <c r="E20" i="22"/>
  <c r="J19" i="22"/>
  <c r="J14" i="22"/>
  <c r="E7" i="22"/>
  <c r="BK170" i="21"/>
  <c r="BI170" i="21"/>
  <c r="BH170" i="21"/>
  <c r="BG170" i="21"/>
  <c r="BF170" i="21"/>
  <c r="BE170" i="21"/>
  <c r="T170" i="21"/>
  <c r="R170" i="21"/>
  <c r="P170" i="21"/>
  <c r="J170" i="21"/>
  <c r="BK169" i="21"/>
  <c r="BI169" i="21"/>
  <c r="BH169" i="21"/>
  <c r="BG169" i="21"/>
  <c r="BF169" i="21"/>
  <c r="BE169" i="21"/>
  <c r="T169" i="21"/>
  <c r="R169" i="21"/>
  <c r="P169" i="21"/>
  <c r="J169" i="21"/>
  <c r="BK168" i="21"/>
  <c r="BI168" i="21"/>
  <c r="BH168" i="21"/>
  <c r="BG168" i="21"/>
  <c r="BF168" i="21"/>
  <c r="BE168" i="21"/>
  <c r="T168" i="21"/>
  <c r="R168" i="21"/>
  <c r="P168" i="21"/>
  <c r="J168" i="21"/>
  <c r="BK167" i="21"/>
  <c r="BI167" i="21"/>
  <c r="BH167" i="21"/>
  <c r="BG167" i="21"/>
  <c r="BF167" i="21"/>
  <c r="BE167" i="21"/>
  <c r="T167" i="21"/>
  <c r="R167" i="21"/>
  <c r="P167" i="21"/>
  <c r="J167" i="21"/>
  <c r="BK166" i="21"/>
  <c r="BI166" i="21"/>
  <c r="BH166" i="21"/>
  <c r="BG166" i="21"/>
  <c r="BF166" i="21"/>
  <c r="BE166" i="21"/>
  <c r="T166" i="21"/>
  <c r="R166" i="21"/>
  <c r="P166" i="21"/>
  <c r="J166" i="21"/>
  <c r="BK165" i="21"/>
  <c r="BI165" i="21"/>
  <c r="BH165" i="21"/>
  <c r="BG165" i="21"/>
  <c r="BF165" i="21"/>
  <c r="BE165" i="21"/>
  <c r="T165" i="21"/>
  <c r="R165" i="21"/>
  <c r="P165" i="21"/>
  <c r="J165" i="21"/>
  <c r="BK164" i="21"/>
  <c r="T164" i="21"/>
  <c r="R164" i="21"/>
  <c r="P164" i="21"/>
  <c r="J164" i="21"/>
  <c r="BK163" i="21"/>
  <c r="T163" i="21"/>
  <c r="R163" i="21"/>
  <c r="P163" i="21"/>
  <c r="J163" i="21"/>
  <c r="BK162" i="21"/>
  <c r="BI162" i="21"/>
  <c r="BH162" i="21"/>
  <c r="BG162" i="21"/>
  <c r="BF162" i="21"/>
  <c r="BE162" i="21"/>
  <c r="T162" i="21"/>
  <c r="R162" i="21"/>
  <c r="P162" i="21"/>
  <c r="J162" i="21"/>
  <c r="BK161" i="21"/>
  <c r="BI161" i="21"/>
  <c r="BH161" i="21"/>
  <c r="BG161" i="21"/>
  <c r="BF161" i="21"/>
  <c r="BE161" i="21"/>
  <c r="T161" i="21"/>
  <c r="R161" i="21"/>
  <c r="P161" i="21"/>
  <c r="J161" i="21"/>
  <c r="BK160" i="21"/>
  <c r="BI160" i="21"/>
  <c r="BH160" i="21"/>
  <c r="BG160" i="21"/>
  <c r="BF160" i="21"/>
  <c r="BE160" i="21"/>
  <c r="T160" i="21"/>
  <c r="R160" i="21"/>
  <c r="P160" i="21"/>
  <c r="J160" i="21"/>
  <c r="BK159" i="21"/>
  <c r="BI159" i="21"/>
  <c r="BH159" i="21"/>
  <c r="BG159" i="21"/>
  <c r="BF159" i="21"/>
  <c r="BE159" i="21"/>
  <c r="T159" i="21"/>
  <c r="R159" i="21"/>
  <c r="P159" i="21"/>
  <c r="J159" i="21"/>
  <c r="BK158" i="21"/>
  <c r="BI158" i="21"/>
  <c r="BH158" i="21"/>
  <c r="BG158" i="21"/>
  <c r="BF158" i="21"/>
  <c r="BE158" i="21"/>
  <c r="T158" i="21"/>
  <c r="R158" i="21"/>
  <c r="P158" i="21"/>
  <c r="J158" i="21"/>
  <c r="BK157" i="21"/>
  <c r="BI157" i="21"/>
  <c r="BH157" i="21"/>
  <c r="BG157" i="21"/>
  <c r="BF157" i="21"/>
  <c r="BE157" i="21"/>
  <c r="T157" i="21"/>
  <c r="R157" i="21"/>
  <c r="P157" i="21"/>
  <c r="J157" i="21"/>
  <c r="BK156" i="21"/>
  <c r="BI156" i="21"/>
  <c r="BH156" i="21"/>
  <c r="BG156" i="21"/>
  <c r="BF156" i="21"/>
  <c r="BE156" i="21"/>
  <c r="T156" i="21"/>
  <c r="R156" i="21"/>
  <c r="P156" i="21"/>
  <c r="J156" i="21"/>
  <c r="BK155" i="21"/>
  <c r="BI155" i="21"/>
  <c r="BH155" i="21"/>
  <c r="BG155" i="21"/>
  <c r="BF155" i="21"/>
  <c r="BE155" i="21"/>
  <c r="T155" i="21"/>
  <c r="R155" i="21"/>
  <c r="P155" i="21"/>
  <c r="J155" i="21"/>
  <c r="BK154" i="21"/>
  <c r="BI154" i="21"/>
  <c r="BH154" i="21"/>
  <c r="BG154" i="21"/>
  <c r="BF154" i="21"/>
  <c r="BE154" i="21"/>
  <c r="T154" i="21"/>
  <c r="R154" i="21"/>
  <c r="P154" i="21"/>
  <c r="J154" i="21"/>
  <c r="BK153" i="21"/>
  <c r="T153" i="21"/>
  <c r="R153" i="21"/>
  <c r="P153" i="21"/>
  <c r="J153" i="21"/>
  <c r="BK152" i="21"/>
  <c r="BI152" i="21"/>
  <c r="BH152" i="21"/>
  <c r="BG152" i="21"/>
  <c r="BF152" i="21"/>
  <c r="BE152" i="21"/>
  <c r="T152" i="21"/>
  <c r="R152" i="21"/>
  <c r="P152" i="21"/>
  <c r="J152" i="21"/>
  <c r="BK151" i="21"/>
  <c r="BI151" i="21"/>
  <c r="BH151" i="21"/>
  <c r="BG151" i="21"/>
  <c r="BF151" i="21"/>
  <c r="BE151" i="21"/>
  <c r="T151" i="21"/>
  <c r="R151" i="21"/>
  <c r="P151" i="21"/>
  <c r="J151" i="21"/>
  <c r="BK150" i="21"/>
  <c r="BI150" i="21"/>
  <c r="BH150" i="21"/>
  <c r="BG150" i="21"/>
  <c r="BF150" i="21"/>
  <c r="BE150" i="21"/>
  <c r="T150" i="21"/>
  <c r="R150" i="21"/>
  <c r="P150" i="21"/>
  <c r="J150" i="21"/>
  <c r="BK149" i="21"/>
  <c r="BI149" i="21"/>
  <c r="BH149" i="21"/>
  <c r="BG149" i="21"/>
  <c r="BF149" i="21"/>
  <c r="BE149" i="21"/>
  <c r="T149" i="21"/>
  <c r="R149" i="21"/>
  <c r="P149" i="21"/>
  <c r="J149" i="21"/>
  <c r="BK148" i="21"/>
  <c r="BI148" i="21"/>
  <c r="BH148" i="21"/>
  <c r="BG148" i="21"/>
  <c r="BF148" i="21"/>
  <c r="BE148" i="21"/>
  <c r="T148" i="21"/>
  <c r="R148" i="21"/>
  <c r="P148" i="21"/>
  <c r="J148" i="21"/>
  <c r="BK147" i="21"/>
  <c r="BI147" i="21"/>
  <c r="BH147" i="21"/>
  <c r="BG147" i="21"/>
  <c r="BF147" i="21"/>
  <c r="BE147" i="21"/>
  <c r="T147" i="21"/>
  <c r="R147" i="21"/>
  <c r="P147" i="21"/>
  <c r="J147" i="21"/>
  <c r="BK146" i="21"/>
  <c r="BI146" i="21"/>
  <c r="BH146" i="21"/>
  <c r="BG146" i="21"/>
  <c r="BF146" i="21"/>
  <c r="BE146" i="21"/>
  <c r="T146" i="21"/>
  <c r="R146" i="21"/>
  <c r="P146" i="21"/>
  <c r="J146" i="21"/>
  <c r="BK145" i="21"/>
  <c r="BI145" i="21"/>
  <c r="BH145" i="21"/>
  <c r="BG145" i="21"/>
  <c r="BF145" i="21"/>
  <c r="BE145" i="21"/>
  <c r="T145" i="21"/>
  <c r="R145" i="21"/>
  <c r="P145" i="21"/>
  <c r="J145" i="21"/>
  <c r="BK144" i="21"/>
  <c r="BI144" i="21"/>
  <c r="BH144" i="21"/>
  <c r="BG144" i="21"/>
  <c r="BF144" i="21"/>
  <c r="BE144" i="21"/>
  <c r="T144" i="21"/>
  <c r="R144" i="21"/>
  <c r="P144" i="21"/>
  <c r="J144" i="21"/>
  <c r="BK143" i="21"/>
  <c r="BI143" i="21"/>
  <c r="BH143" i="21"/>
  <c r="BG143" i="21"/>
  <c r="BF143" i="21"/>
  <c r="BE143" i="21"/>
  <c r="T143" i="21"/>
  <c r="R143" i="21"/>
  <c r="P143" i="21"/>
  <c r="J143" i="21"/>
  <c r="BK142" i="21"/>
  <c r="BI142" i="21"/>
  <c r="BH142" i="21"/>
  <c r="BG142" i="21"/>
  <c r="BF142" i="21"/>
  <c r="BE142" i="21"/>
  <c r="T142" i="21"/>
  <c r="R142" i="21"/>
  <c r="P142" i="21"/>
  <c r="J142" i="21"/>
  <c r="BK141" i="21"/>
  <c r="T141" i="21"/>
  <c r="R141" i="21"/>
  <c r="P141" i="21"/>
  <c r="J141" i="21"/>
  <c r="BK140" i="21"/>
  <c r="T140" i="21"/>
  <c r="R140" i="21"/>
  <c r="P140" i="21"/>
  <c r="J140" i="21"/>
  <c r="BK139" i="21"/>
  <c r="BI139" i="21"/>
  <c r="BH139" i="21"/>
  <c r="BG139" i="21"/>
  <c r="BF139" i="21"/>
  <c r="BE139" i="21"/>
  <c r="T139" i="21"/>
  <c r="R139" i="21"/>
  <c r="P139" i="21"/>
  <c r="J139" i="21"/>
  <c r="BK138" i="21"/>
  <c r="BI138" i="21"/>
  <c r="BH138" i="21"/>
  <c r="BG138" i="21"/>
  <c r="BF138" i="21"/>
  <c r="BE138" i="21"/>
  <c r="T138" i="21"/>
  <c r="R138" i="21"/>
  <c r="P138" i="21"/>
  <c r="J138" i="21"/>
  <c r="BK137" i="21"/>
  <c r="BI137" i="21"/>
  <c r="BH137" i="21"/>
  <c r="BG137" i="21"/>
  <c r="BF137" i="21"/>
  <c r="BE137" i="21"/>
  <c r="T137" i="21"/>
  <c r="R137" i="21"/>
  <c r="P137" i="21"/>
  <c r="J137" i="21"/>
  <c r="BK136" i="21"/>
  <c r="BI136" i="21"/>
  <c r="BH136" i="21"/>
  <c r="BG136" i="21"/>
  <c r="BF136" i="21"/>
  <c r="BE136" i="21"/>
  <c r="T136" i="21"/>
  <c r="R136" i="21"/>
  <c r="P136" i="21"/>
  <c r="J136" i="21"/>
  <c r="BK135" i="21"/>
  <c r="BI135" i="21"/>
  <c r="BH135" i="21"/>
  <c r="BG135" i="21"/>
  <c r="BF135" i="21"/>
  <c r="BE135" i="21"/>
  <c r="T135" i="21"/>
  <c r="R135" i="21"/>
  <c r="P135" i="21"/>
  <c r="J135" i="21"/>
  <c r="BK134" i="21"/>
  <c r="BI134" i="21"/>
  <c r="BH134" i="21"/>
  <c r="BG134" i="21"/>
  <c r="BF134" i="21"/>
  <c r="BE134" i="21"/>
  <c r="T134" i="21"/>
  <c r="R134" i="21"/>
  <c r="P134" i="21"/>
  <c r="J134" i="21"/>
  <c r="BK133" i="21"/>
  <c r="T133" i="21"/>
  <c r="R133" i="21"/>
  <c r="P133" i="21"/>
  <c r="J133" i="21"/>
  <c r="BK132" i="21"/>
  <c r="T132" i="21"/>
  <c r="R132" i="21"/>
  <c r="P132" i="21"/>
  <c r="J132" i="21"/>
  <c r="BK131" i="21"/>
  <c r="T131" i="21"/>
  <c r="R131" i="21"/>
  <c r="P131" i="21"/>
  <c r="J131" i="21"/>
  <c r="J128" i="21"/>
  <c r="F128" i="21"/>
  <c r="J127" i="21"/>
  <c r="F127" i="21"/>
  <c r="J125" i="21"/>
  <c r="F125" i="21"/>
  <c r="E123" i="21"/>
  <c r="E117" i="21"/>
  <c r="J107" i="21"/>
  <c r="J106" i="21"/>
  <c r="J105" i="21"/>
  <c r="J104" i="21"/>
  <c r="J103" i="21"/>
  <c r="J102" i="21"/>
  <c r="J101" i="21"/>
  <c r="J100" i="21"/>
  <c r="J96" i="21"/>
  <c r="F96" i="21"/>
  <c r="J95" i="21"/>
  <c r="F95" i="21"/>
  <c r="J93" i="21"/>
  <c r="F93" i="21"/>
  <c r="E91" i="21"/>
  <c r="E85" i="21"/>
  <c r="J43" i="21"/>
  <c r="J41" i="21"/>
  <c r="F41" i="21"/>
  <c r="J40" i="21"/>
  <c r="F40" i="21"/>
  <c r="J39" i="21"/>
  <c r="F39" i="21"/>
  <c r="J38" i="21"/>
  <c r="F38" i="21"/>
  <c r="J37" i="21"/>
  <c r="F37" i="21"/>
  <c r="J34" i="21"/>
  <c r="J22" i="21"/>
  <c r="E22" i="21"/>
  <c r="J21" i="21"/>
  <c r="J16" i="21"/>
  <c r="E7" i="21"/>
  <c r="BK127" i="20"/>
  <c r="BI127" i="20"/>
  <c r="BH127" i="20"/>
  <c r="BG127" i="20"/>
  <c r="BF127" i="20"/>
  <c r="BE127" i="20"/>
  <c r="T127" i="20"/>
  <c r="R127" i="20"/>
  <c r="P127" i="20"/>
  <c r="J127" i="20"/>
  <c r="BK126" i="20"/>
  <c r="T126" i="20"/>
  <c r="R126" i="20"/>
  <c r="P126" i="20"/>
  <c r="J126" i="20"/>
  <c r="BK125" i="20"/>
  <c r="T125" i="20"/>
  <c r="R125" i="20"/>
  <c r="P125" i="20"/>
  <c r="J125" i="20"/>
  <c r="J122" i="20"/>
  <c r="F122" i="20"/>
  <c r="J121" i="20"/>
  <c r="F121" i="20"/>
  <c r="J119" i="20"/>
  <c r="F119" i="20"/>
  <c r="E117" i="20"/>
  <c r="E111" i="20"/>
  <c r="J101" i="20"/>
  <c r="J100" i="20"/>
  <c r="J96" i="20"/>
  <c r="F96" i="20"/>
  <c r="J95" i="20"/>
  <c r="F95" i="20"/>
  <c r="J93" i="20"/>
  <c r="F93" i="20"/>
  <c r="E91" i="20"/>
  <c r="E85" i="20"/>
  <c r="J43" i="20"/>
  <c r="J41" i="20"/>
  <c r="F41" i="20"/>
  <c r="J40" i="20"/>
  <c r="F40" i="20"/>
  <c r="J39" i="20"/>
  <c r="F39" i="20"/>
  <c r="J38" i="20"/>
  <c r="F38" i="20"/>
  <c r="J37" i="20"/>
  <c r="F37" i="20"/>
  <c r="J34" i="20"/>
  <c r="J22" i="20"/>
  <c r="E22" i="20"/>
  <c r="J21" i="20"/>
  <c r="J16" i="20"/>
  <c r="E7" i="20"/>
  <c r="BK127" i="19"/>
  <c r="BI127" i="19"/>
  <c r="BH127" i="19"/>
  <c r="BG127" i="19"/>
  <c r="BF127" i="19"/>
  <c r="BE127" i="19"/>
  <c r="T127" i="19"/>
  <c r="R127" i="19"/>
  <c r="P127" i="19"/>
  <c r="J127" i="19"/>
  <c r="BK126" i="19"/>
  <c r="T126" i="19"/>
  <c r="R126" i="19"/>
  <c r="P126" i="19"/>
  <c r="J126" i="19"/>
  <c r="BK125" i="19"/>
  <c r="T125" i="19"/>
  <c r="R125" i="19"/>
  <c r="P125" i="19"/>
  <c r="J125" i="19"/>
  <c r="J122" i="19"/>
  <c r="F122" i="19"/>
  <c r="J121" i="19"/>
  <c r="F121" i="19"/>
  <c r="J119" i="19"/>
  <c r="F119" i="19"/>
  <c r="E117" i="19"/>
  <c r="E111" i="19"/>
  <c r="J101" i="19"/>
  <c r="J100" i="19"/>
  <c r="J96" i="19"/>
  <c r="F96" i="19"/>
  <c r="J95" i="19"/>
  <c r="F95" i="19"/>
  <c r="J93" i="19"/>
  <c r="F93" i="19"/>
  <c r="E91" i="19"/>
  <c r="E85" i="19"/>
  <c r="J43" i="19"/>
  <c r="J41" i="19"/>
  <c r="F41" i="19"/>
  <c r="J40" i="19"/>
  <c r="F40" i="19"/>
  <c r="J39" i="19"/>
  <c r="F39" i="19"/>
  <c r="J38" i="19"/>
  <c r="F38" i="19"/>
  <c r="J37" i="19"/>
  <c r="F37" i="19"/>
  <c r="J34" i="19"/>
  <c r="J22" i="19"/>
  <c r="E22" i="19"/>
  <c r="J21" i="19"/>
  <c r="J16" i="19"/>
  <c r="E7" i="19"/>
  <c r="BK156" i="18"/>
  <c r="BI156" i="18"/>
  <c r="BH156" i="18"/>
  <c r="BG156" i="18"/>
  <c r="BF156" i="18"/>
  <c r="BE156" i="18"/>
  <c r="T156" i="18"/>
  <c r="R156" i="18"/>
  <c r="P156" i="18"/>
  <c r="J156" i="18"/>
  <c r="BK155" i="18"/>
  <c r="T155" i="18"/>
  <c r="R155" i="18"/>
  <c r="P155" i="18"/>
  <c r="J155" i="18"/>
  <c r="BK154" i="18"/>
  <c r="BI154" i="18"/>
  <c r="BH154" i="18"/>
  <c r="BG154" i="18"/>
  <c r="BF154" i="18"/>
  <c r="BE154" i="18"/>
  <c r="T154" i="18"/>
  <c r="R154" i="18"/>
  <c r="P154" i="18"/>
  <c r="J154" i="18"/>
  <c r="BK153" i="18"/>
  <c r="T153" i="18"/>
  <c r="R153" i="18"/>
  <c r="P153" i="18"/>
  <c r="J153" i="18"/>
  <c r="BK152" i="18"/>
  <c r="BI152" i="18"/>
  <c r="BH152" i="18"/>
  <c r="BG152" i="18"/>
  <c r="BF152" i="18"/>
  <c r="BE152" i="18"/>
  <c r="T152" i="18"/>
  <c r="R152" i="18"/>
  <c r="P152" i="18"/>
  <c r="J152" i="18"/>
  <c r="BK151" i="18"/>
  <c r="T151" i="18"/>
  <c r="R151" i="18"/>
  <c r="P151" i="18"/>
  <c r="J151" i="18"/>
  <c r="BK150" i="18"/>
  <c r="BI150" i="18"/>
  <c r="BH150" i="18"/>
  <c r="BG150" i="18"/>
  <c r="BF150" i="18"/>
  <c r="BE150" i="18"/>
  <c r="T150" i="18"/>
  <c r="R150" i="18"/>
  <c r="P150" i="18"/>
  <c r="J150" i="18"/>
  <c r="BK149" i="18"/>
  <c r="BI149" i="18"/>
  <c r="BH149" i="18"/>
  <c r="BG149" i="18"/>
  <c r="BF149" i="18"/>
  <c r="BE149" i="18"/>
  <c r="T149" i="18"/>
  <c r="R149" i="18"/>
  <c r="P149" i="18"/>
  <c r="J149" i="18"/>
  <c r="BK148" i="18"/>
  <c r="BI148" i="18"/>
  <c r="BH148" i="18"/>
  <c r="BG148" i="18"/>
  <c r="BF148" i="18"/>
  <c r="BE148" i="18"/>
  <c r="T148" i="18"/>
  <c r="R148" i="18"/>
  <c r="P148" i="18"/>
  <c r="J148" i="18"/>
  <c r="BK147" i="18"/>
  <c r="T147" i="18"/>
  <c r="R147" i="18"/>
  <c r="P147" i="18"/>
  <c r="J147" i="18"/>
  <c r="BK146" i="18"/>
  <c r="BI146" i="18"/>
  <c r="BH146" i="18"/>
  <c r="BG146" i="18"/>
  <c r="BF146" i="18"/>
  <c r="BE146" i="18"/>
  <c r="T146" i="18"/>
  <c r="R146" i="18"/>
  <c r="P146" i="18"/>
  <c r="J146" i="18"/>
  <c r="BK145" i="18"/>
  <c r="BI145" i="18"/>
  <c r="BH145" i="18"/>
  <c r="BG145" i="18"/>
  <c r="BF145" i="18"/>
  <c r="BE145" i="18"/>
  <c r="T145" i="18"/>
  <c r="R145" i="18"/>
  <c r="P145" i="18"/>
  <c r="J145" i="18"/>
  <c r="BK144" i="18"/>
  <c r="BI144" i="18"/>
  <c r="BH144" i="18"/>
  <c r="BG144" i="18"/>
  <c r="BF144" i="18"/>
  <c r="BE144" i="18"/>
  <c r="T144" i="18"/>
  <c r="R144" i="18"/>
  <c r="P144" i="18"/>
  <c r="J144" i="18"/>
  <c r="BK143" i="18"/>
  <c r="BI143" i="18"/>
  <c r="BH143" i="18"/>
  <c r="BG143" i="18"/>
  <c r="BF143" i="18"/>
  <c r="BE143" i="18"/>
  <c r="T143" i="18"/>
  <c r="R143" i="18"/>
  <c r="P143" i="18"/>
  <c r="J143" i="18"/>
  <c r="BK142" i="18"/>
  <c r="BI142" i="18"/>
  <c r="BH142" i="18"/>
  <c r="BG142" i="18"/>
  <c r="BF142" i="18"/>
  <c r="BE142" i="18"/>
  <c r="T142" i="18"/>
  <c r="R142" i="18"/>
  <c r="P142" i="18"/>
  <c r="J142" i="18"/>
  <c r="BK141" i="18"/>
  <c r="T141" i="18"/>
  <c r="R141" i="18"/>
  <c r="P141" i="18"/>
  <c r="J141" i="18"/>
  <c r="BK140" i="18"/>
  <c r="BI140" i="18"/>
  <c r="BH140" i="18"/>
  <c r="BG140" i="18"/>
  <c r="BF140" i="18"/>
  <c r="BE140" i="18"/>
  <c r="T140" i="18"/>
  <c r="R140" i="18"/>
  <c r="P140" i="18"/>
  <c r="J140" i="18"/>
  <c r="BK139" i="18"/>
  <c r="BI139" i="18"/>
  <c r="BH139" i="18"/>
  <c r="BG139" i="18"/>
  <c r="BF139" i="18"/>
  <c r="BE139" i="18"/>
  <c r="T139" i="18"/>
  <c r="R139" i="18"/>
  <c r="P139" i="18"/>
  <c r="J139" i="18"/>
  <c r="BK138" i="18"/>
  <c r="BI138" i="18"/>
  <c r="BH138" i="18"/>
  <c r="BG138" i="18"/>
  <c r="BF138" i="18"/>
  <c r="BE138" i="18"/>
  <c r="T138" i="18"/>
  <c r="R138" i="18"/>
  <c r="P138" i="18"/>
  <c r="J138" i="18"/>
  <c r="BK137" i="18"/>
  <c r="BI137" i="18"/>
  <c r="BH137" i="18"/>
  <c r="BG137" i="18"/>
  <c r="BF137" i="18"/>
  <c r="BE137" i="18"/>
  <c r="T137" i="18"/>
  <c r="R137" i="18"/>
  <c r="P137" i="18"/>
  <c r="J137" i="18"/>
  <c r="BK136" i="18"/>
  <c r="BI136" i="18"/>
  <c r="BH136" i="18"/>
  <c r="BG136" i="18"/>
  <c r="BF136" i="18"/>
  <c r="BE136" i="18"/>
  <c r="T136" i="18"/>
  <c r="R136" i="18"/>
  <c r="P136" i="18"/>
  <c r="J136" i="18"/>
  <c r="BK135" i="18"/>
  <c r="BI135" i="18"/>
  <c r="BH135" i="18"/>
  <c r="BG135" i="18"/>
  <c r="BF135" i="18"/>
  <c r="BE135" i="18"/>
  <c r="T135" i="18"/>
  <c r="R135" i="18"/>
  <c r="P135" i="18"/>
  <c r="J135" i="18"/>
  <c r="BK134" i="18"/>
  <c r="BI134" i="18"/>
  <c r="BH134" i="18"/>
  <c r="BG134" i="18"/>
  <c r="BF134" i="18"/>
  <c r="BE134" i="18"/>
  <c r="T134" i="18"/>
  <c r="R134" i="18"/>
  <c r="P134" i="18"/>
  <c r="J134" i="18"/>
  <c r="BK133" i="18"/>
  <c r="T133" i="18"/>
  <c r="R133" i="18"/>
  <c r="P133" i="18"/>
  <c r="J133" i="18"/>
  <c r="BK132" i="18"/>
  <c r="T132" i="18"/>
  <c r="R132" i="18"/>
  <c r="P132" i="18"/>
  <c r="J132" i="18"/>
  <c r="BK131" i="18"/>
  <c r="T131" i="18"/>
  <c r="R131" i="18"/>
  <c r="P131" i="18"/>
  <c r="J131" i="18"/>
  <c r="J128" i="18"/>
  <c r="F128" i="18"/>
  <c r="J127" i="18"/>
  <c r="F127" i="18"/>
  <c r="J125" i="18"/>
  <c r="F125" i="18"/>
  <c r="E123" i="18"/>
  <c r="E117" i="18"/>
  <c r="J107" i="18"/>
  <c r="J106" i="18"/>
  <c r="J105" i="18"/>
  <c r="J104" i="18"/>
  <c r="J103" i="18"/>
  <c r="J102" i="18"/>
  <c r="J101" i="18"/>
  <c r="J100" i="18"/>
  <c r="J96" i="18"/>
  <c r="F96" i="18"/>
  <c r="J95" i="18"/>
  <c r="F95" i="18"/>
  <c r="J93" i="18"/>
  <c r="F93" i="18"/>
  <c r="E91" i="18"/>
  <c r="E85" i="18"/>
  <c r="J43" i="18"/>
  <c r="J41" i="18"/>
  <c r="F41" i="18"/>
  <c r="J40" i="18"/>
  <c r="F40" i="18"/>
  <c r="J39" i="18"/>
  <c r="F39" i="18"/>
  <c r="J38" i="18"/>
  <c r="F38" i="18"/>
  <c r="J37" i="18"/>
  <c r="F37" i="18"/>
  <c r="J34" i="18"/>
  <c r="J22" i="18"/>
  <c r="E22" i="18"/>
  <c r="J21" i="18"/>
  <c r="J16" i="18"/>
  <c r="E7" i="18"/>
  <c r="BK156" i="17"/>
  <c r="BI156" i="17"/>
  <c r="BH156" i="17"/>
  <c r="BG156" i="17"/>
  <c r="BF156" i="17"/>
  <c r="BE156" i="17"/>
  <c r="T156" i="17"/>
  <c r="R156" i="17"/>
  <c r="P156" i="17"/>
  <c r="J156" i="17"/>
  <c r="BK155" i="17"/>
  <c r="T155" i="17"/>
  <c r="R155" i="17"/>
  <c r="P155" i="17"/>
  <c r="J155" i="17"/>
  <c r="BK154" i="17"/>
  <c r="BI154" i="17"/>
  <c r="BH154" i="17"/>
  <c r="BG154" i="17"/>
  <c r="BF154" i="17"/>
  <c r="BE154" i="17"/>
  <c r="T154" i="17"/>
  <c r="R154" i="17"/>
  <c r="P154" i="17"/>
  <c r="J154" i="17"/>
  <c r="BK153" i="17"/>
  <c r="T153" i="17"/>
  <c r="R153" i="17"/>
  <c r="P153" i="17"/>
  <c r="J153" i="17"/>
  <c r="BK152" i="17"/>
  <c r="BI152" i="17"/>
  <c r="BH152" i="17"/>
  <c r="BG152" i="17"/>
  <c r="BF152" i="17"/>
  <c r="BE152" i="17"/>
  <c r="T152" i="17"/>
  <c r="R152" i="17"/>
  <c r="P152" i="17"/>
  <c r="J152" i="17"/>
  <c r="BK151" i="17"/>
  <c r="T151" i="17"/>
  <c r="R151" i="17"/>
  <c r="P151" i="17"/>
  <c r="J151" i="17"/>
  <c r="BK150" i="17"/>
  <c r="BI150" i="17"/>
  <c r="BH150" i="17"/>
  <c r="BG150" i="17"/>
  <c r="BF150" i="17"/>
  <c r="BE150" i="17"/>
  <c r="T150" i="17"/>
  <c r="R150" i="17"/>
  <c r="P150" i="17"/>
  <c r="J150" i="17"/>
  <c r="BK149" i="17"/>
  <c r="BI149" i="17"/>
  <c r="BH149" i="17"/>
  <c r="BG149" i="17"/>
  <c r="BF149" i="17"/>
  <c r="BE149" i="17"/>
  <c r="T149" i="17"/>
  <c r="R149" i="17"/>
  <c r="P149" i="17"/>
  <c r="J149" i="17"/>
  <c r="BK148" i="17"/>
  <c r="BI148" i="17"/>
  <c r="BH148" i="17"/>
  <c r="BG148" i="17"/>
  <c r="BF148" i="17"/>
  <c r="BE148" i="17"/>
  <c r="T148" i="17"/>
  <c r="R148" i="17"/>
  <c r="P148" i="17"/>
  <c r="J148" i="17"/>
  <c r="BK147" i="17"/>
  <c r="T147" i="17"/>
  <c r="R147" i="17"/>
  <c r="P147" i="17"/>
  <c r="J147" i="17"/>
  <c r="BK146" i="17"/>
  <c r="BI146" i="17"/>
  <c r="BH146" i="17"/>
  <c r="BG146" i="17"/>
  <c r="BF146" i="17"/>
  <c r="BE146" i="17"/>
  <c r="T146" i="17"/>
  <c r="R146" i="17"/>
  <c r="P146" i="17"/>
  <c r="J146" i="17"/>
  <c r="BK145" i="17"/>
  <c r="BI145" i="17"/>
  <c r="BH145" i="17"/>
  <c r="BG145" i="17"/>
  <c r="BF145" i="17"/>
  <c r="BE145" i="17"/>
  <c r="T145" i="17"/>
  <c r="R145" i="17"/>
  <c r="P145" i="17"/>
  <c r="J145" i="17"/>
  <c r="BK144" i="17"/>
  <c r="BI144" i="17"/>
  <c r="BH144" i="17"/>
  <c r="BG144" i="17"/>
  <c r="BF144" i="17"/>
  <c r="BE144" i="17"/>
  <c r="T144" i="17"/>
  <c r="R144" i="17"/>
  <c r="P144" i="17"/>
  <c r="J144" i="17"/>
  <c r="BK143" i="17"/>
  <c r="BI143" i="17"/>
  <c r="BH143" i="17"/>
  <c r="BG143" i="17"/>
  <c r="BF143" i="17"/>
  <c r="BE143" i="17"/>
  <c r="T143" i="17"/>
  <c r="R143" i="17"/>
  <c r="P143" i="17"/>
  <c r="J143" i="17"/>
  <c r="BK142" i="17"/>
  <c r="BI142" i="17"/>
  <c r="BH142" i="17"/>
  <c r="BG142" i="17"/>
  <c r="BF142" i="17"/>
  <c r="BE142" i="17"/>
  <c r="T142" i="17"/>
  <c r="R142" i="17"/>
  <c r="P142" i="17"/>
  <c r="J142" i="17"/>
  <c r="BK141" i="17"/>
  <c r="T141" i="17"/>
  <c r="R141" i="17"/>
  <c r="P141" i="17"/>
  <c r="J141" i="17"/>
  <c r="BK140" i="17"/>
  <c r="BI140" i="17"/>
  <c r="BH140" i="17"/>
  <c r="BG140" i="17"/>
  <c r="BF140" i="17"/>
  <c r="BE140" i="17"/>
  <c r="T140" i="17"/>
  <c r="R140" i="17"/>
  <c r="P140" i="17"/>
  <c r="J140" i="17"/>
  <c r="BK139" i="17"/>
  <c r="BI139" i="17"/>
  <c r="BH139" i="17"/>
  <c r="BG139" i="17"/>
  <c r="BF139" i="17"/>
  <c r="BE139" i="17"/>
  <c r="T139" i="17"/>
  <c r="R139" i="17"/>
  <c r="P139" i="17"/>
  <c r="J139" i="17"/>
  <c r="BK138" i="17"/>
  <c r="BI138" i="17"/>
  <c r="BH138" i="17"/>
  <c r="BG138" i="17"/>
  <c r="BF138" i="17"/>
  <c r="BE138" i="17"/>
  <c r="T138" i="17"/>
  <c r="R138" i="17"/>
  <c r="P138" i="17"/>
  <c r="J138" i="17"/>
  <c r="BK137" i="17"/>
  <c r="BI137" i="17"/>
  <c r="BH137" i="17"/>
  <c r="BG137" i="17"/>
  <c r="BF137" i="17"/>
  <c r="BE137" i="17"/>
  <c r="T137" i="17"/>
  <c r="R137" i="17"/>
  <c r="P137" i="17"/>
  <c r="J137" i="17"/>
  <c r="BK136" i="17"/>
  <c r="BI136" i="17"/>
  <c r="BH136" i="17"/>
  <c r="BG136" i="17"/>
  <c r="BF136" i="17"/>
  <c r="BE136" i="17"/>
  <c r="T136" i="17"/>
  <c r="R136" i="17"/>
  <c r="P136" i="17"/>
  <c r="J136" i="17"/>
  <c r="BK135" i="17"/>
  <c r="BI135" i="17"/>
  <c r="BH135" i="17"/>
  <c r="BG135" i="17"/>
  <c r="BF135" i="17"/>
  <c r="BE135" i="17"/>
  <c r="T135" i="17"/>
  <c r="R135" i="17"/>
  <c r="P135" i="17"/>
  <c r="J135" i="17"/>
  <c r="BK134" i="17"/>
  <c r="BI134" i="17"/>
  <c r="BH134" i="17"/>
  <c r="BG134" i="17"/>
  <c r="BF134" i="17"/>
  <c r="BE134" i="17"/>
  <c r="T134" i="17"/>
  <c r="R134" i="17"/>
  <c r="P134" i="17"/>
  <c r="J134" i="17"/>
  <c r="BK133" i="17"/>
  <c r="T133" i="17"/>
  <c r="R133" i="17"/>
  <c r="P133" i="17"/>
  <c r="J133" i="17"/>
  <c r="BK132" i="17"/>
  <c r="T132" i="17"/>
  <c r="R132" i="17"/>
  <c r="P132" i="17"/>
  <c r="J132" i="17"/>
  <c r="BK131" i="17"/>
  <c r="T131" i="17"/>
  <c r="R131" i="17"/>
  <c r="P131" i="17"/>
  <c r="J131" i="17"/>
  <c r="J128" i="17"/>
  <c r="F128" i="17"/>
  <c r="J127" i="17"/>
  <c r="F127" i="17"/>
  <c r="J125" i="17"/>
  <c r="F125" i="17"/>
  <c r="E123" i="17"/>
  <c r="E117" i="17"/>
  <c r="J107" i="17"/>
  <c r="J106" i="17"/>
  <c r="J105" i="17"/>
  <c r="J104" i="17"/>
  <c r="J103" i="17"/>
  <c r="J102" i="17"/>
  <c r="J101" i="17"/>
  <c r="J100" i="17"/>
  <c r="J96" i="17"/>
  <c r="F96" i="17"/>
  <c r="J95" i="17"/>
  <c r="F95" i="17"/>
  <c r="J93" i="17"/>
  <c r="F93" i="17"/>
  <c r="E91" i="17"/>
  <c r="E85" i="17"/>
  <c r="J43" i="17"/>
  <c r="J41" i="17"/>
  <c r="F41" i="17"/>
  <c r="J40" i="17"/>
  <c r="F40" i="17"/>
  <c r="J39" i="17"/>
  <c r="F39" i="17"/>
  <c r="J38" i="17"/>
  <c r="F38" i="17"/>
  <c r="J37" i="17"/>
  <c r="F37" i="17"/>
  <c r="J34" i="17"/>
  <c r="J22" i="17"/>
  <c r="E22" i="17"/>
  <c r="J21" i="17"/>
  <c r="J16" i="17"/>
  <c r="E7" i="17"/>
  <c r="BK149" i="16"/>
  <c r="BI149" i="16"/>
  <c r="BH149" i="16"/>
  <c r="BG149" i="16"/>
  <c r="BF149" i="16"/>
  <c r="BE149" i="16"/>
  <c r="T149" i="16"/>
  <c r="R149" i="16"/>
  <c r="P149" i="16"/>
  <c r="J149" i="16"/>
  <c r="BK148" i="16"/>
  <c r="BI148" i="16"/>
  <c r="BH148" i="16"/>
  <c r="BG148" i="16"/>
  <c r="BF148" i="16"/>
  <c r="BE148" i="16"/>
  <c r="T148" i="16"/>
  <c r="R148" i="16"/>
  <c r="P148" i="16"/>
  <c r="J148" i="16"/>
  <c r="BK147" i="16"/>
  <c r="BI147" i="16"/>
  <c r="BH147" i="16"/>
  <c r="BG147" i="16"/>
  <c r="BF147" i="16"/>
  <c r="BE147" i="16"/>
  <c r="T147" i="16"/>
  <c r="R147" i="16"/>
  <c r="P147" i="16"/>
  <c r="J147" i="16"/>
  <c r="BK146" i="16"/>
  <c r="BI146" i="16"/>
  <c r="BH146" i="16"/>
  <c r="BG146" i="16"/>
  <c r="BF146" i="16"/>
  <c r="BE146" i="16"/>
  <c r="T146" i="16"/>
  <c r="R146" i="16"/>
  <c r="P146" i="16"/>
  <c r="J146" i="16"/>
  <c r="BK145" i="16"/>
  <c r="BI145" i="16"/>
  <c r="BH145" i="16"/>
  <c r="BG145" i="16"/>
  <c r="BF145" i="16"/>
  <c r="BE145" i="16"/>
  <c r="T145" i="16"/>
  <c r="R145" i="16"/>
  <c r="P145" i="16"/>
  <c r="J145" i="16"/>
  <c r="BK144" i="16"/>
  <c r="BI144" i="16"/>
  <c r="BH144" i="16"/>
  <c r="BG144" i="16"/>
  <c r="BF144" i="16"/>
  <c r="BE144" i="16"/>
  <c r="T144" i="16"/>
  <c r="R144" i="16"/>
  <c r="P144" i="16"/>
  <c r="J144" i="16"/>
  <c r="BK143" i="16"/>
  <c r="BI143" i="16"/>
  <c r="BH143" i="16"/>
  <c r="BG143" i="16"/>
  <c r="BF143" i="16"/>
  <c r="BE143" i="16"/>
  <c r="T143" i="16"/>
  <c r="R143" i="16"/>
  <c r="P143" i="16"/>
  <c r="J143" i="16"/>
  <c r="BK142" i="16"/>
  <c r="BI142" i="16"/>
  <c r="BH142" i="16"/>
  <c r="BG142" i="16"/>
  <c r="BF142" i="16"/>
  <c r="BE142" i="16"/>
  <c r="T142" i="16"/>
  <c r="R142" i="16"/>
  <c r="P142" i="16"/>
  <c r="J142" i="16"/>
  <c r="BK141" i="16"/>
  <c r="BI141" i="16"/>
  <c r="BH141" i="16"/>
  <c r="BG141" i="16"/>
  <c r="BF141" i="16"/>
  <c r="BE141" i="16"/>
  <c r="T141" i="16"/>
  <c r="R141" i="16"/>
  <c r="P141" i="16"/>
  <c r="J141" i="16"/>
  <c r="BK140" i="16"/>
  <c r="BI140" i="16"/>
  <c r="BH140" i="16"/>
  <c r="BG140" i="16"/>
  <c r="BF140" i="16"/>
  <c r="BE140" i="16"/>
  <c r="T140" i="16"/>
  <c r="R140" i="16"/>
  <c r="P140" i="16"/>
  <c r="J140" i="16"/>
  <c r="BK139" i="16"/>
  <c r="BI139" i="16"/>
  <c r="BH139" i="16"/>
  <c r="BG139" i="16"/>
  <c r="BF139" i="16"/>
  <c r="BE139" i="16"/>
  <c r="T139" i="16"/>
  <c r="R139" i="16"/>
  <c r="P139" i="16"/>
  <c r="J139" i="16"/>
  <c r="BK138" i="16"/>
  <c r="BI138" i="16"/>
  <c r="BH138" i="16"/>
  <c r="BG138" i="16"/>
  <c r="BF138" i="16"/>
  <c r="BE138" i="16"/>
  <c r="T138" i="16"/>
  <c r="R138" i="16"/>
  <c r="P138" i="16"/>
  <c r="J138" i="16"/>
  <c r="BK137" i="16"/>
  <c r="BI137" i="16"/>
  <c r="BH137" i="16"/>
  <c r="BG137" i="16"/>
  <c r="BF137" i="16"/>
  <c r="BE137" i="16"/>
  <c r="T137" i="16"/>
  <c r="R137" i="16"/>
  <c r="P137" i="16"/>
  <c r="J137" i="16"/>
  <c r="BK136" i="16"/>
  <c r="BI136" i="16"/>
  <c r="BH136" i="16"/>
  <c r="BG136" i="16"/>
  <c r="BF136" i="16"/>
  <c r="BE136" i="16"/>
  <c r="T136" i="16"/>
  <c r="R136" i="16"/>
  <c r="P136" i="16"/>
  <c r="J136" i="16"/>
  <c r="BK135" i="16"/>
  <c r="BI135" i="16"/>
  <c r="BH135" i="16"/>
  <c r="BG135" i="16"/>
  <c r="BF135" i="16"/>
  <c r="BE135" i="16"/>
  <c r="T135" i="16"/>
  <c r="R135" i="16"/>
  <c r="P135" i="16"/>
  <c r="J135" i="16"/>
  <c r="BK134" i="16"/>
  <c r="BI134" i="16"/>
  <c r="BH134" i="16"/>
  <c r="BG134" i="16"/>
  <c r="BF134" i="16"/>
  <c r="BE134" i="16"/>
  <c r="T134" i="16"/>
  <c r="R134" i="16"/>
  <c r="P134" i="16"/>
  <c r="J134" i="16"/>
  <c r="BK133" i="16"/>
  <c r="BI133" i="16"/>
  <c r="BH133" i="16"/>
  <c r="BG133" i="16"/>
  <c r="BF133" i="16"/>
  <c r="BE133" i="16"/>
  <c r="T133" i="16"/>
  <c r="R133" i="16"/>
  <c r="P133" i="16"/>
  <c r="J133" i="16"/>
  <c r="BK132" i="16"/>
  <c r="BI132" i="16"/>
  <c r="BH132" i="16"/>
  <c r="BG132" i="16"/>
  <c r="BF132" i="16"/>
  <c r="BE132" i="16"/>
  <c r="T132" i="16"/>
  <c r="R132" i="16"/>
  <c r="P132" i="16"/>
  <c r="J132" i="16"/>
  <c r="BK131" i="16"/>
  <c r="BI131" i="16"/>
  <c r="BH131" i="16"/>
  <c r="BG131" i="16"/>
  <c r="BF131" i="16"/>
  <c r="BE131" i="16"/>
  <c r="T131" i="16"/>
  <c r="R131" i="16"/>
  <c r="P131" i="16"/>
  <c r="J131" i="16"/>
  <c r="BK130" i="16"/>
  <c r="BI130" i="16"/>
  <c r="BH130" i="16"/>
  <c r="BG130" i="16"/>
  <c r="BF130" i="16"/>
  <c r="BE130" i="16"/>
  <c r="T130" i="16"/>
  <c r="R130" i="16"/>
  <c r="P130" i="16"/>
  <c r="J130" i="16"/>
  <c r="BK129" i="16"/>
  <c r="BI129" i="16"/>
  <c r="BH129" i="16"/>
  <c r="BG129" i="16"/>
  <c r="BF129" i="16"/>
  <c r="BE129" i="16"/>
  <c r="T129" i="16"/>
  <c r="R129" i="16"/>
  <c r="P129" i="16"/>
  <c r="J129" i="16"/>
  <c r="BK128" i="16"/>
  <c r="BI128" i="16"/>
  <c r="BH128" i="16"/>
  <c r="BG128" i="16"/>
  <c r="BF128" i="16"/>
  <c r="BE128" i="16"/>
  <c r="T128" i="16"/>
  <c r="R128" i="16"/>
  <c r="P128" i="16"/>
  <c r="J128" i="16"/>
  <c r="BK127" i="16"/>
  <c r="BI127" i="16"/>
  <c r="BH127" i="16"/>
  <c r="BG127" i="16"/>
  <c r="BF127" i="16"/>
  <c r="BE127" i="16"/>
  <c r="T127" i="16"/>
  <c r="R127" i="16"/>
  <c r="P127" i="16"/>
  <c r="J127" i="16"/>
  <c r="BK126" i="16"/>
  <c r="T126" i="16"/>
  <c r="R126" i="16"/>
  <c r="P126" i="16"/>
  <c r="J126" i="16"/>
  <c r="BK125" i="16"/>
  <c r="T125" i="16"/>
  <c r="R125" i="16"/>
  <c r="P125" i="16"/>
  <c r="J125" i="16"/>
  <c r="J122" i="16"/>
  <c r="F122" i="16"/>
  <c r="J121" i="16"/>
  <c r="F121" i="16"/>
  <c r="J119" i="16"/>
  <c r="F119" i="16"/>
  <c r="E117" i="16"/>
  <c r="E111" i="16"/>
  <c r="J101" i="16"/>
  <c r="J100" i="16"/>
  <c r="J96" i="16"/>
  <c r="F96" i="16"/>
  <c r="J95" i="16"/>
  <c r="F95" i="16"/>
  <c r="J93" i="16"/>
  <c r="F93" i="16"/>
  <c r="E91" i="16"/>
  <c r="E85" i="16"/>
  <c r="J43" i="16"/>
  <c r="J41" i="16"/>
  <c r="F41" i="16"/>
  <c r="J40" i="16"/>
  <c r="F40" i="16"/>
  <c r="J39" i="16"/>
  <c r="F39" i="16"/>
  <c r="J38" i="16"/>
  <c r="F38" i="16"/>
  <c r="J37" i="16"/>
  <c r="F37" i="16"/>
  <c r="J34" i="16"/>
  <c r="J22" i="16"/>
  <c r="E22" i="16"/>
  <c r="J21" i="16"/>
  <c r="J16" i="16"/>
  <c r="E7" i="16"/>
  <c r="BK169" i="15"/>
  <c r="BI169" i="15"/>
  <c r="BH169" i="15"/>
  <c r="BG169" i="15"/>
  <c r="BF169" i="15"/>
  <c r="BE169" i="15"/>
  <c r="T169" i="15"/>
  <c r="R169" i="15"/>
  <c r="P169" i="15"/>
  <c r="J169" i="15"/>
  <c r="BK168" i="15"/>
  <c r="T168" i="15"/>
  <c r="R168" i="15"/>
  <c r="P168" i="15"/>
  <c r="J168" i="15"/>
  <c r="BK167" i="15"/>
  <c r="BI167" i="15"/>
  <c r="BH167" i="15"/>
  <c r="BG167" i="15"/>
  <c r="BF167" i="15"/>
  <c r="BE167" i="15"/>
  <c r="T167" i="15"/>
  <c r="R167" i="15"/>
  <c r="P167" i="15"/>
  <c r="J167" i="15"/>
  <c r="BK166" i="15"/>
  <c r="T166" i="15"/>
  <c r="R166" i="15"/>
  <c r="P166" i="15"/>
  <c r="J166" i="15"/>
  <c r="BK165" i="15"/>
  <c r="BI165" i="15"/>
  <c r="BH165" i="15"/>
  <c r="BG165" i="15"/>
  <c r="BF165" i="15"/>
  <c r="BE165" i="15"/>
  <c r="T165" i="15"/>
  <c r="R165" i="15"/>
  <c r="P165" i="15"/>
  <c r="J165" i="15"/>
  <c r="BK164" i="15"/>
  <c r="BI164" i="15"/>
  <c r="BH164" i="15"/>
  <c r="BG164" i="15"/>
  <c r="BF164" i="15"/>
  <c r="BE164" i="15"/>
  <c r="T164" i="15"/>
  <c r="R164" i="15"/>
  <c r="P164" i="15"/>
  <c r="J164" i="15"/>
  <c r="BK163" i="15"/>
  <c r="BI163" i="15"/>
  <c r="BH163" i="15"/>
  <c r="BG163" i="15"/>
  <c r="BF163" i="15"/>
  <c r="BE163" i="15"/>
  <c r="T163" i="15"/>
  <c r="R163" i="15"/>
  <c r="P163" i="15"/>
  <c r="J163" i="15"/>
  <c r="BK162" i="15"/>
  <c r="BI162" i="15"/>
  <c r="BH162" i="15"/>
  <c r="BG162" i="15"/>
  <c r="BF162" i="15"/>
  <c r="BE162" i="15"/>
  <c r="T162" i="15"/>
  <c r="R162" i="15"/>
  <c r="P162" i="15"/>
  <c r="J162" i="15"/>
  <c r="BK161" i="15"/>
  <c r="T161" i="15"/>
  <c r="R161" i="15"/>
  <c r="P161" i="15"/>
  <c r="J161" i="15"/>
  <c r="BK160" i="15"/>
  <c r="BI160" i="15"/>
  <c r="BH160" i="15"/>
  <c r="BG160" i="15"/>
  <c r="BF160" i="15"/>
  <c r="BE160" i="15"/>
  <c r="T160" i="15"/>
  <c r="R160" i="15"/>
  <c r="P160" i="15"/>
  <c r="J160" i="15"/>
  <c r="BK159" i="15"/>
  <c r="BI159" i="15"/>
  <c r="BH159" i="15"/>
  <c r="BG159" i="15"/>
  <c r="BF159" i="15"/>
  <c r="BE159" i="15"/>
  <c r="T159" i="15"/>
  <c r="R159" i="15"/>
  <c r="P159" i="15"/>
  <c r="J159" i="15"/>
  <c r="BK158" i="15"/>
  <c r="BI158" i="15"/>
  <c r="BH158" i="15"/>
  <c r="BG158" i="15"/>
  <c r="BF158" i="15"/>
  <c r="BE158" i="15"/>
  <c r="T158" i="15"/>
  <c r="R158" i="15"/>
  <c r="P158" i="15"/>
  <c r="J158" i="15"/>
  <c r="BK157" i="15"/>
  <c r="BI157" i="15"/>
  <c r="BH157" i="15"/>
  <c r="BG157" i="15"/>
  <c r="BF157" i="15"/>
  <c r="BE157" i="15"/>
  <c r="T157" i="15"/>
  <c r="R157" i="15"/>
  <c r="P157" i="15"/>
  <c r="J157" i="15"/>
  <c r="BK156" i="15"/>
  <c r="BI156" i="15"/>
  <c r="BH156" i="15"/>
  <c r="BG156" i="15"/>
  <c r="BF156" i="15"/>
  <c r="BE156" i="15"/>
  <c r="T156" i="15"/>
  <c r="R156" i="15"/>
  <c r="P156" i="15"/>
  <c r="J156" i="15"/>
  <c r="BK155" i="15"/>
  <c r="BI155" i="15"/>
  <c r="BH155" i="15"/>
  <c r="BG155" i="15"/>
  <c r="BF155" i="15"/>
  <c r="BE155" i="15"/>
  <c r="T155" i="15"/>
  <c r="R155" i="15"/>
  <c r="P155" i="15"/>
  <c r="J155" i="15"/>
  <c r="BK154" i="15"/>
  <c r="BI154" i="15"/>
  <c r="BH154" i="15"/>
  <c r="BG154" i="15"/>
  <c r="BF154" i="15"/>
  <c r="BE154" i="15"/>
  <c r="T154" i="15"/>
  <c r="R154" i="15"/>
  <c r="P154" i="15"/>
  <c r="J154" i="15"/>
  <c r="BK153" i="15"/>
  <c r="BI153" i="15"/>
  <c r="BH153" i="15"/>
  <c r="BG153" i="15"/>
  <c r="BF153" i="15"/>
  <c r="BE153" i="15"/>
  <c r="T153" i="15"/>
  <c r="R153" i="15"/>
  <c r="P153" i="15"/>
  <c r="J153" i="15"/>
  <c r="BK152" i="15"/>
  <c r="BI152" i="15"/>
  <c r="BH152" i="15"/>
  <c r="BG152" i="15"/>
  <c r="BF152" i="15"/>
  <c r="BE152" i="15"/>
  <c r="T152" i="15"/>
  <c r="R152" i="15"/>
  <c r="P152" i="15"/>
  <c r="J152" i="15"/>
  <c r="BK151" i="15"/>
  <c r="BI151" i="15"/>
  <c r="BH151" i="15"/>
  <c r="BG151" i="15"/>
  <c r="BF151" i="15"/>
  <c r="BE151" i="15"/>
  <c r="T151" i="15"/>
  <c r="R151" i="15"/>
  <c r="P151" i="15"/>
  <c r="J151" i="15"/>
  <c r="BK150" i="15"/>
  <c r="BI150" i="15"/>
  <c r="BH150" i="15"/>
  <c r="BG150" i="15"/>
  <c r="BF150" i="15"/>
  <c r="BE150" i="15"/>
  <c r="T150" i="15"/>
  <c r="R150" i="15"/>
  <c r="P150" i="15"/>
  <c r="J150" i="15"/>
  <c r="BK149" i="15"/>
  <c r="T149" i="15"/>
  <c r="R149" i="15"/>
  <c r="P149" i="15"/>
  <c r="J149" i="15"/>
  <c r="BK148" i="15"/>
  <c r="BI148" i="15"/>
  <c r="BH148" i="15"/>
  <c r="BG148" i="15"/>
  <c r="BF148" i="15"/>
  <c r="BE148" i="15"/>
  <c r="T148" i="15"/>
  <c r="R148" i="15"/>
  <c r="P148" i="15"/>
  <c r="J148" i="15"/>
  <c r="BK147" i="15"/>
  <c r="T147" i="15"/>
  <c r="R147" i="15"/>
  <c r="P147" i="15"/>
  <c r="J147" i="15"/>
  <c r="BK146" i="15"/>
  <c r="BI146" i="15"/>
  <c r="BH146" i="15"/>
  <c r="BG146" i="15"/>
  <c r="BF146" i="15"/>
  <c r="BE146" i="15"/>
  <c r="T146" i="15"/>
  <c r="R146" i="15"/>
  <c r="P146" i="15"/>
  <c r="J146" i="15"/>
  <c r="BK145" i="15"/>
  <c r="BI145" i="15"/>
  <c r="BH145" i="15"/>
  <c r="BG145" i="15"/>
  <c r="BF145" i="15"/>
  <c r="BE145" i="15"/>
  <c r="T145" i="15"/>
  <c r="R145" i="15"/>
  <c r="P145" i="15"/>
  <c r="J145" i="15"/>
  <c r="BK144" i="15"/>
  <c r="BI144" i="15"/>
  <c r="BH144" i="15"/>
  <c r="BG144" i="15"/>
  <c r="BF144" i="15"/>
  <c r="BE144" i="15"/>
  <c r="T144" i="15"/>
  <c r="R144" i="15"/>
  <c r="P144" i="15"/>
  <c r="J144" i="15"/>
  <c r="BK143" i="15"/>
  <c r="BI143" i="15"/>
  <c r="BH143" i="15"/>
  <c r="BG143" i="15"/>
  <c r="BF143" i="15"/>
  <c r="BE143" i="15"/>
  <c r="T143" i="15"/>
  <c r="R143" i="15"/>
  <c r="P143" i="15"/>
  <c r="J143" i="15"/>
  <c r="BK142" i="15"/>
  <c r="T142" i="15"/>
  <c r="R142" i="15"/>
  <c r="P142" i="15"/>
  <c r="J142" i="15"/>
  <c r="BK141" i="15"/>
  <c r="BI141" i="15"/>
  <c r="BH141" i="15"/>
  <c r="BG141" i="15"/>
  <c r="BF141" i="15"/>
  <c r="BE141" i="15"/>
  <c r="T141" i="15"/>
  <c r="R141" i="15"/>
  <c r="P141" i="15"/>
  <c r="J141" i="15"/>
  <c r="BK140" i="15"/>
  <c r="BI140" i="15"/>
  <c r="BH140" i="15"/>
  <c r="BG140" i="15"/>
  <c r="BF140" i="15"/>
  <c r="BE140" i="15"/>
  <c r="T140" i="15"/>
  <c r="R140" i="15"/>
  <c r="P140" i="15"/>
  <c r="J140" i="15"/>
  <c r="BK139" i="15"/>
  <c r="BI139" i="15"/>
  <c r="BH139" i="15"/>
  <c r="BG139" i="15"/>
  <c r="BF139" i="15"/>
  <c r="BE139" i="15"/>
  <c r="T139" i="15"/>
  <c r="R139" i="15"/>
  <c r="P139" i="15"/>
  <c r="J139" i="15"/>
  <c r="BK138" i="15"/>
  <c r="BI138" i="15"/>
  <c r="BH138" i="15"/>
  <c r="BG138" i="15"/>
  <c r="BF138" i="15"/>
  <c r="BE138" i="15"/>
  <c r="T138" i="15"/>
  <c r="R138" i="15"/>
  <c r="P138" i="15"/>
  <c r="J138" i="15"/>
  <c r="BK137" i="15"/>
  <c r="BI137" i="15"/>
  <c r="BH137" i="15"/>
  <c r="BG137" i="15"/>
  <c r="BF137" i="15"/>
  <c r="BE137" i="15"/>
  <c r="T137" i="15"/>
  <c r="R137" i="15"/>
  <c r="P137" i="15"/>
  <c r="J137" i="15"/>
  <c r="BK136" i="15"/>
  <c r="BI136" i="15"/>
  <c r="BH136" i="15"/>
  <c r="BG136" i="15"/>
  <c r="BF136" i="15"/>
  <c r="BE136" i="15"/>
  <c r="T136" i="15"/>
  <c r="R136" i="15"/>
  <c r="P136" i="15"/>
  <c r="J136" i="15"/>
  <c r="BK135" i="15"/>
  <c r="BI135" i="15"/>
  <c r="BH135" i="15"/>
  <c r="BG135" i="15"/>
  <c r="BF135" i="15"/>
  <c r="BE135" i="15"/>
  <c r="T135" i="15"/>
  <c r="R135" i="15"/>
  <c r="P135" i="15"/>
  <c r="J135" i="15"/>
  <c r="BK134" i="15"/>
  <c r="T134" i="15"/>
  <c r="R134" i="15"/>
  <c r="P134" i="15"/>
  <c r="J134" i="15"/>
  <c r="BK133" i="15"/>
  <c r="T133" i="15"/>
  <c r="R133" i="15"/>
  <c r="P133" i="15"/>
  <c r="J133" i="15"/>
  <c r="BK132" i="15"/>
  <c r="T132" i="15"/>
  <c r="R132" i="15"/>
  <c r="P132" i="15"/>
  <c r="J132" i="15"/>
  <c r="J129" i="15"/>
  <c r="F129" i="15"/>
  <c r="J128" i="15"/>
  <c r="F128" i="15"/>
  <c r="J126" i="15"/>
  <c r="F126" i="15"/>
  <c r="E124" i="15"/>
  <c r="E118" i="15"/>
  <c r="J108" i="15"/>
  <c r="J107" i="15"/>
  <c r="J106" i="15"/>
  <c r="J105" i="15"/>
  <c r="J104" i="15"/>
  <c r="J103" i="15"/>
  <c r="J102" i="15"/>
  <c r="J101" i="15"/>
  <c r="J100" i="15"/>
  <c r="J96" i="15"/>
  <c r="F96" i="15"/>
  <c r="J95" i="15"/>
  <c r="F95" i="15"/>
  <c r="J93" i="15"/>
  <c r="F93" i="15"/>
  <c r="E91" i="15"/>
  <c r="E85" i="15"/>
  <c r="J43" i="15"/>
  <c r="J41" i="15"/>
  <c r="F41" i="15"/>
  <c r="J40" i="15"/>
  <c r="F40" i="15"/>
  <c r="J39" i="15"/>
  <c r="F39" i="15"/>
  <c r="J38" i="15"/>
  <c r="F38" i="15"/>
  <c r="J37" i="15"/>
  <c r="F37" i="15"/>
  <c r="J34" i="15"/>
  <c r="J22" i="15"/>
  <c r="E22" i="15"/>
  <c r="J21" i="15"/>
  <c r="J16" i="15"/>
  <c r="E7" i="15"/>
  <c r="BK161" i="14"/>
  <c r="BI161" i="14"/>
  <c r="BH161" i="14"/>
  <c r="BG161" i="14"/>
  <c r="BF161" i="14"/>
  <c r="BE161" i="14"/>
  <c r="T161" i="14"/>
  <c r="R161" i="14"/>
  <c r="P161" i="14"/>
  <c r="J161" i="14"/>
  <c r="BK160" i="14"/>
  <c r="T160" i="14"/>
  <c r="R160" i="14"/>
  <c r="P160" i="14"/>
  <c r="J160" i="14"/>
  <c r="BK156" i="14"/>
  <c r="BI156" i="14"/>
  <c r="BH156" i="14"/>
  <c r="BG156" i="14"/>
  <c r="BF156" i="14"/>
  <c r="BE156" i="14"/>
  <c r="T156" i="14"/>
  <c r="R156" i="14"/>
  <c r="P156" i="14"/>
  <c r="J156" i="14"/>
  <c r="BK152" i="14"/>
  <c r="BI152" i="14"/>
  <c r="BH152" i="14"/>
  <c r="BG152" i="14"/>
  <c r="BF152" i="14"/>
  <c r="BE152" i="14"/>
  <c r="T152" i="14"/>
  <c r="R152" i="14"/>
  <c r="P152" i="14"/>
  <c r="J152" i="14"/>
  <c r="BK146" i="14"/>
  <c r="BI146" i="14"/>
  <c r="BH146" i="14"/>
  <c r="BG146" i="14"/>
  <c r="BF146" i="14"/>
  <c r="BE146" i="14"/>
  <c r="T146" i="14"/>
  <c r="R146" i="14"/>
  <c r="P146" i="14"/>
  <c r="J146" i="14"/>
  <c r="BK145" i="14"/>
  <c r="BI145" i="14"/>
  <c r="BH145" i="14"/>
  <c r="BG145" i="14"/>
  <c r="BF145" i="14"/>
  <c r="BE145" i="14"/>
  <c r="T145" i="14"/>
  <c r="R145" i="14"/>
  <c r="P145" i="14"/>
  <c r="J145" i="14"/>
  <c r="BK141" i="14"/>
  <c r="BI141" i="14"/>
  <c r="BH141" i="14"/>
  <c r="BG141" i="14"/>
  <c r="BF141" i="14"/>
  <c r="BE141" i="14"/>
  <c r="T141" i="14"/>
  <c r="R141" i="14"/>
  <c r="P141" i="14"/>
  <c r="J141" i="14"/>
  <c r="BK137" i="14"/>
  <c r="BI137" i="14"/>
  <c r="BH137" i="14"/>
  <c r="BG137" i="14"/>
  <c r="BF137" i="14"/>
  <c r="BE137" i="14"/>
  <c r="T137" i="14"/>
  <c r="R137" i="14"/>
  <c r="P137" i="14"/>
  <c r="J137" i="14"/>
  <c r="BK133" i="14"/>
  <c r="BI133" i="14"/>
  <c r="BH133" i="14"/>
  <c r="BG133" i="14"/>
  <c r="BF133" i="14"/>
  <c r="BE133" i="14"/>
  <c r="T133" i="14"/>
  <c r="R133" i="14"/>
  <c r="P133" i="14"/>
  <c r="J133" i="14"/>
  <c r="BK132" i="14"/>
  <c r="BI132" i="14"/>
  <c r="BH132" i="14"/>
  <c r="BG132" i="14"/>
  <c r="BF132" i="14"/>
  <c r="BE132" i="14"/>
  <c r="T132" i="14"/>
  <c r="R132" i="14"/>
  <c r="P132" i="14"/>
  <c r="J132" i="14"/>
  <c r="BK131" i="14"/>
  <c r="BI131" i="14"/>
  <c r="BH131" i="14"/>
  <c r="BG131" i="14"/>
  <c r="BF131" i="14"/>
  <c r="BE131" i="14"/>
  <c r="T131" i="14"/>
  <c r="R131" i="14"/>
  <c r="P131" i="14"/>
  <c r="J131" i="14"/>
  <c r="BK127" i="14"/>
  <c r="BI127" i="14"/>
  <c r="BH127" i="14"/>
  <c r="BG127" i="14"/>
  <c r="BF127" i="14"/>
  <c r="BE127" i="14"/>
  <c r="T127" i="14"/>
  <c r="R127" i="14"/>
  <c r="P127" i="14"/>
  <c r="J127" i="14"/>
  <c r="BK126" i="14"/>
  <c r="BI126" i="14"/>
  <c r="BH126" i="14"/>
  <c r="BG126" i="14"/>
  <c r="BF126" i="14"/>
  <c r="BE126" i="14"/>
  <c r="T126" i="14"/>
  <c r="R126" i="14"/>
  <c r="P126" i="14"/>
  <c r="J126" i="14"/>
  <c r="BK125" i="14"/>
  <c r="T125" i="14"/>
  <c r="R125" i="14"/>
  <c r="P125" i="14"/>
  <c r="J125" i="14"/>
  <c r="BK124" i="14"/>
  <c r="T124" i="14"/>
  <c r="R124" i="14"/>
  <c r="P124" i="14"/>
  <c r="J124" i="14"/>
  <c r="BK123" i="14"/>
  <c r="T123" i="14"/>
  <c r="R123" i="14"/>
  <c r="P123" i="14"/>
  <c r="J123" i="14"/>
  <c r="J120" i="14"/>
  <c r="F120" i="14"/>
  <c r="J119" i="14"/>
  <c r="F119" i="14"/>
  <c r="J117" i="14"/>
  <c r="F117" i="14"/>
  <c r="E115" i="14"/>
  <c r="E111" i="14"/>
  <c r="J101" i="14"/>
  <c r="J100" i="14"/>
  <c r="J99" i="14"/>
  <c r="J98" i="14"/>
  <c r="J94" i="14"/>
  <c r="F94" i="14"/>
  <c r="J93" i="14"/>
  <c r="F93" i="14"/>
  <c r="J91" i="14"/>
  <c r="F91" i="14"/>
  <c r="E89" i="14"/>
  <c r="E85" i="14"/>
  <c r="J41" i="14"/>
  <c r="J39" i="14"/>
  <c r="F39" i="14"/>
  <c r="J38" i="14"/>
  <c r="F38" i="14"/>
  <c r="J37" i="14"/>
  <c r="F37" i="14"/>
  <c r="J36" i="14"/>
  <c r="F36" i="14"/>
  <c r="J35" i="14"/>
  <c r="F35" i="14"/>
  <c r="J32" i="14"/>
  <c r="J20" i="14"/>
  <c r="E20" i="14"/>
  <c r="J19" i="14"/>
  <c r="J14" i="14"/>
  <c r="E7" i="14"/>
  <c r="BK128" i="13"/>
  <c r="BI128" i="13"/>
  <c r="BH128" i="13"/>
  <c r="BG128" i="13"/>
  <c r="BF128" i="13"/>
  <c r="BE128" i="13"/>
  <c r="T128" i="13"/>
  <c r="R128" i="13"/>
  <c r="P128" i="13"/>
  <c r="J128" i="13"/>
  <c r="BK127" i="13"/>
  <c r="BI127" i="13"/>
  <c r="BH127" i="13"/>
  <c r="BG127" i="13"/>
  <c r="BF127" i="13"/>
  <c r="BE127" i="13"/>
  <c r="T127" i="13"/>
  <c r="R127" i="13"/>
  <c r="P127" i="13"/>
  <c r="J127" i="13"/>
  <c r="BK126" i="13"/>
  <c r="BI126" i="13"/>
  <c r="BH126" i="13"/>
  <c r="BG126" i="13"/>
  <c r="BF126" i="13"/>
  <c r="BE126" i="13"/>
  <c r="T126" i="13"/>
  <c r="R126" i="13"/>
  <c r="P126" i="13"/>
  <c r="J126" i="13"/>
  <c r="BK125" i="13"/>
  <c r="BI125" i="13"/>
  <c r="BH125" i="13"/>
  <c r="BG125" i="13"/>
  <c r="BF125" i="13"/>
  <c r="BE125" i="13"/>
  <c r="T125" i="13"/>
  <c r="R125" i="13"/>
  <c r="P125" i="13"/>
  <c r="J125" i="13"/>
  <c r="BK124" i="13"/>
  <c r="T124" i="13"/>
  <c r="R124" i="13"/>
  <c r="P124" i="13"/>
  <c r="J124" i="13"/>
  <c r="BK123" i="13"/>
  <c r="T123" i="13"/>
  <c r="R123" i="13"/>
  <c r="P123" i="13"/>
  <c r="J123" i="13"/>
  <c r="BK122" i="13"/>
  <c r="T122" i="13"/>
  <c r="R122" i="13"/>
  <c r="P122" i="13"/>
  <c r="J122" i="13"/>
  <c r="J119" i="13"/>
  <c r="F119" i="13"/>
  <c r="J118" i="13"/>
  <c r="F118" i="13"/>
  <c r="J116" i="13"/>
  <c r="F116" i="13"/>
  <c r="E114" i="13"/>
  <c r="E110" i="13"/>
  <c r="J100" i="13"/>
  <c r="J99" i="13"/>
  <c r="J98" i="13"/>
  <c r="J94" i="13"/>
  <c r="F94" i="13"/>
  <c r="J93" i="13"/>
  <c r="F93" i="13"/>
  <c r="J91" i="13"/>
  <c r="F91" i="13"/>
  <c r="E89" i="13"/>
  <c r="E85" i="13"/>
  <c r="J41" i="13"/>
  <c r="J39" i="13"/>
  <c r="F39" i="13"/>
  <c r="J38" i="13"/>
  <c r="F38" i="13"/>
  <c r="J37" i="13"/>
  <c r="F37" i="13"/>
  <c r="J36" i="13"/>
  <c r="F36" i="13"/>
  <c r="J35" i="13"/>
  <c r="F35" i="13"/>
  <c r="J32" i="13"/>
  <c r="J20" i="13"/>
  <c r="E20" i="13"/>
  <c r="J19" i="13"/>
  <c r="J14" i="13"/>
  <c r="E7" i="13"/>
  <c r="BK264" i="12"/>
  <c r="BI264" i="12"/>
  <c r="BH264" i="12"/>
  <c r="BG264" i="12"/>
  <c r="BF264" i="12"/>
  <c r="BE264" i="12"/>
  <c r="T264" i="12"/>
  <c r="R264" i="12"/>
  <c r="P264" i="12"/>
  <c r="J264" i="12"/>
  <c r="BK263" i="12"/>
  <c r="T263" i="12"/>
  <c r="R263" i="12"/>
  <c r="P263" i="12"/>
  <c r="J263" i="12"/>
  <c r="BK262" i="12"/>
  <c r="BI262" i="12"/>
  <c r="BH262" i="12"/>
  <c r="BG262" i="12"/>
  <c r="BF262" i="12"/>
  <c r="BE262" i="12"/>
  <c r="T262" i="12"/>
  <c r="R262" i="12"/>
  <c r="P262" i="12"/>
  <c r="J262" i="12"/>
  <c r="BK261" i="12"/>
  <c r="BI261" i="12"/>
  <c r="BH261" i="12"/>
  <c r="BG261" i="12"/>
  <c r="BF261" i="12"/>
  <c r="BE261" i="12"/>
  <c r="T261" i="12"/>
  <c r="R261" i="12"/>
  <c r="P261" i="12"/>
  <c r="J261" i="12"/>
  <c r="BK260" i="12"/>
  <c r="BI260" i="12"/>
  <c r="BH260" i="12"/>
  <c r="BG260" i="12"/>
  <c r="BF260" i="12"/>
  <c r="BE260" i="12"/>
  <c r="T260" i="12"/>
  <c r="R260" i="12"/>
  <c r="P260" i="12"/>
  <c r="J260" i="12"/>
  <c r="BK259" i="12"/>
  <c r="BI259" i="12"/>
  <c r="BH259" i="12"/>
  <c r="BG259" i="12"/>
  <c r="BF259" i="12"/>
  <c r="BE259" i="12"/>
  <c r="T259" i="12"/>
  <c r="R259" i="12"/>
  <c r="P259" i="12"/>
  <c r="J259" i="12"/>
  <c r="BK258" i="12"/>
  <c r="BI258" i="12"/>
  <c r="BH258" i="12"/>
  <c r="BG258" i="12"/>
  <c r="BF258" i="12"/>
  <c r="BE258" i="12"/>
  <c r="T258" i="12"/>
  <c r="R258" i="12"/>
  <c r="P258" i="12"/>
  <c r="J258" i="12"/>
  <c r="BK257" i="12"/>
  <c r="BI257" i="12"/>
  <c r="BH257" i="12"/>
  <c r="BG257" i="12"/>
  <c r="BF257" i="12"/>
  <c r="BE257" i="12"/>
  <c r="T257" i="12"/>
  <c r="R257" i="12"/>
  <c r="P257" i="12"/>
  <c r="J257" i="12"/>
  <c r="BK256" i="12"/>
  <c r="BI256" i="12"/>
  <c r="BH256" i="12"/>
  <c r="BG256" i="12"/>
  <c r="BF256" i="12"/>
  <c r="BE256" i="12"/>
  <c r="T256" i="12"/>
  <c r="R256" i="12"/>
  <c r="P256" i="12"/>
  <c r="J256" i="12"/>
  <c r="BK255" i="12"/>
  <c r="BI255" i="12"/>
  <c r="BH255" i="12"/>
  <c r="BG255" i="12"/>
  <c r="BF255" i="12"/>
  <c r="BE255" i="12"/>
  <c r="T255" i="12"/>
  <c r="R255" i="12"/>
  <c r="P255" i="12"/>
  <c r="J255" i="12"/>
  <c r="BK254" i="12"/>
  <c r="BI254" i="12"/>
  <c r="BH254" i="12"/>
  <c r="BG254" i="12"/>
  <c r="BF254" i="12"/>
  <c r="BE254" i="12"/>
  <c r="T254" i="12"/>
  <c r="R254" i="12"/>
  <c r="P254" i="12"/>
  <c r="J254" i="12"/>
  <c r="BK253" i="12"/>
  <c r="T253" i="12"/>
  <c r="R253" i="12"/>
  <c r="P253" i="12"/>
  <c r="J253" i="12"/>
  <c r="BK252" i="12"/>
  <c r="T252" i="12"/>
  <c r="R252" i="12"/>
  <c r="P252" i="12"/>
  <c r="J252" i="12"/>
  <c r="BK251" i="12"/>
  <c r="BI251" i="12"/>
  <c r="BH251" i="12"/>
  <c r="BG251" i="12"/>
  <c r="BF251" i="12"/>
  <c r="BE251" i="12"/>
  <c r="T251" i="12"/>
  <c r="R251" i="12"/>
  <c r="P251" i="12"/>
  <c r="J251" i="12"/>
  <c r="BK250" i="12"/>
  <c r="T250" i="12"/>
  <c r="R250" i="12"/>
  <c r="P250" i="12"/>
  <c r="J250" i="12"/>
  <c r="BK249" i="12"/>
  <c r="BI249" i="12"/>
  <c r="BH249" i="12"/>
  <c r="BG249" i="12"/>
  <c r="BF249" i="12"/>
  <c r="BE249" i="12"/>
  <c r="T249" i="12"/>
  <c r="R249" i="12"/>
  <c r="P249" i="12"/>
  <c r="J249" i="12"/>
  <c r="BK248" i="12"/>
  <c r="T248" i="12"/>
  <c r="R248" i="12"/>
  <c r="P248" i="12"/>
  <c r="J248" i="12"/>
  <c r="BK247" i="12"/>
  <c r="T247" i="12"/>
  <c r="R247" i="12"/>
  <c r="P247" i="12"/>
  <c r="J247" i="12"/>
  <c r="BK246" i="12"/>
  <c r="BI246" i="12"/>
  <c r="BH246" i="12"/>
  <c r="BG246" i="12"/>
  <c r="BF246" i="12"/>
  <c r="BE246" i="12"/>
  <c r="T246" i="12"/>
  <c r="R246" i="12"/>
  <c r="P246" i="12"/>
  <c r="J246" i="12"/>
  <c r="BK245" i="12"/>
  <c r="BI245" i="12"/>
  <c r="BH245" i="12"/>
  <c r="BG245" i="12"/>
  <c r="BF245" i="12"/>
  <c r="BE245" i="12"/>
  <c r="T245" i="12"/>
  <c r="R245" i="12"/>
  <c r="P245" i="12"/>
  <c r="J245" i="12"/>
  <c r="BK244" i="12"/>
  <c r="BI244" i="12"/>
  <c r="BH244" i="12"/>
  <c r="BG244" i="12"/>
  <c r="BF244" i="12"/>
  <c r="BE244" i="12"/>
  <c r="T244" i="12"/>
  <c r="R244" i="12"/>
  <c r="P244" i="12"/>
  <c r="J244" i="12"/>
  <c r="BK243" i="12"/>
  <c r="BI243" i="12"/>
  <c r="BH243" i="12"/>
  <c r="BG243" i="12"/>
  <c r="BF243" i="12"/>
  <c r="BE243" i="12"/>
  <c r="T243" i="12"/>
  <c r="R243" i="12"/>
  <c r="P243" i="12"/>
  <c r="J243" i="12"/>
  <c r="BK242" i="12"/>
  <c r="T242" i="12"/>
  <c r="R242" i="12"/>
  <c r="P242" i="12"/>
  <c r="J242" i="12"/>
  <c r="BK241" i="12"/>
  <c r="BI241" i="12"/>
  <c r="BH241" i="12"/>
  <c r="BG241" i="12"/>
  <c r="BF241" i="12"/>
  <c r="BE241" i="12"/>
  <c r="T241" i="12"/>
  <c r="R241" i="12"/>
  <c r="P241" i="12"/>
  <c r="J241" i="12"/>
  <c r="BK240" i="12"/>
  <c r="BI240" i="12"/>
  <c r="BH240" i="12"/>
  <c r="BG240" i="12"/>
  <c r="BF240" i="12"/>
  <c r="BE240" i="12"/>
  <c r="T240" i="12"/>
  <c r="R240" i="12"/>
  <c r="P240" i="12"/>
  <c r="J240" i="12"/>
  <c r="BK239" i="12"/>
  <c r="BI239" i="12"/>
  <c r="BH239" i="12"/>
  <c r="BG239" i="12"/>
  <c r="BF239" i="12"/>
  <c r="BE239" i="12"/>
  <c r="T239" i="12"/>
  <c r="R239" i="12"/>
  <c r="P239" i="12"/>
  <c r="J239" i="12"/>
  <c r="BK238" i="12"/>
  <c r="BI238" i="12"/>
  <c r="BH238" i="12"/>
  <c r="BG238" i="12"/>
  <c r="BF238" i="12"/>
  <c r="BE238" i="12"/>
  <c r="T238" i="12"/>
  <c r="R238" i="12"/>
  <c r="P238" i="12"/>
  <c r="J238" i="12"/>
  <c r="BK237" i="12"/>
  <c r="BI237" i="12"/>
  <c r="BH237" i="12"/>
  <c r="BG237" i="12"/>
  <c r="BF237" i="12"/>
  <c r="BE237" i="12"/>
  <c r="T237" i="12"/>
  <c r="R237" i="12"/>
  <c r="P237" i="12"/>
  <c r="J237" i="12"/>
  <c r="BK236" i="12"/>
  <c r="BI236" i="12"/>
  <c r="BH236" i="12"/>
  <c r="BG236" i="12"/>
  <c r="BF236" i="12"/>
  <c r="BE236" i="12"/>
  <c r="T236" i="12"/>
  <c r="R236" i="12"/>
  <c r="P236" i="12"/>
  <c r="J236" i="12"/>
  <c r="BK235" i="12"/>
  <c r="BI235" i="12"/>
  <c r="BH235" i="12"/>
  <c r="BG235" i="12"/>
  <c r="BF235" i="12"/>
  <c r="BE235" i="12"/>
  <c r="T235" i="12"/>
  <c r="R235" i="12"/>
  <c r="P235" i="12"/>
  <c r="J235" i="12"/>
  <c r="BK234" i="12"/>
  <c r="BI234" i="12"/>
  <c r="BH234" i="12"/>
  <c r="BG234" i="12"/>
  <c r="BF234" i="12"/>
  <c r="BE234" i="12"/>
  <c r="T234" i="12"/>
  <c r="R234" i="12"/>
  <c r="P234" i="12"/>
  <c r="J234" i="12"/>
  <c r="BK233" i="12"/>
  <c r="BI233" i="12"/>
  <c r="BH233" i="12"/>
  <c r="BG233" i="12"/>
  <c r="BF233" i="12"/>
  <c r="BE233" i="12"/>
  <c r="T233" i="12"/>
  <c r="R233" i="12"/>
  <c r="P233" i="12"/>
  <c r="J233" i="12"/>
  <c r="BK232" i="12"/>
  <c r="BI232" i="12"/>
  <c r="BH232" i="12"/>
  <c r="BG232" i="12"/>
  <c r="BF232" i="12"/>
  <c r="BE232" i="12"/>
  <c r="T232" i="12"/>
  <c r="R232" i="12"/>
  <c r="P232" i="12"/>
  <c r="J232" i="12"/>
  <c r="BK231" i="12"/>
  <c r="BI231" i="12"/>
  <c r="BH231" i="12"/>
  <c r="BG231" i="12"/>
  <c r="BF231" i="12"/>
  <c r="BE231" i="12"/>
  <c r="T231" i="12"/>
  <c r="R231" i="12"/>
  <c r="P231" i="12"/>
  <c r="J231" i="12"/>
  <c r="BK230" i="12"/>
  <c r="T230" i="12"/>
  <c r="R230" i="12"/>
  <c r="P230" i="12"/>
  <c r="J230" i="12"/>
  <c r="BK229" i="12"/>
  <c r="BI229" i="12"/>
  <c r="BH229" i="12"/>
  <c r="BG229" i="12"/>
  <c r="BF229" i="12"/>
  <c r="BE229" i="12"/>
  <c r="T229" i="12"/>
  <c r="R229" i="12"/>
  <c r="P229" i="12"/>
  <c r="J229" i="12"/>
  <c r="BK228" i="12"/>
  <c r="BI228" i="12"/>
  <c r="BH228" i="12"/>
  <c r="BG228" i="12"/>
  <c r="BF228" i="12"/>
  <c r="BE228" i="12"/>
  <c r="T228" i="12"/>
  <c r="R228" i="12"/>
  <c r="P228" i="12"/>
  <c r="J228" i="12"/>
  <c r="BK227" i="12"/>
  <c r="BI227" i="12"/>
  <c r="BH227" i="12"/>
  <c r="BG227" i="12"/>
  <c r="BF227" i="12"/>
  <c r="BE227" i="12"/>
  <c r="T227" i="12"/>
  <c r="R227" i="12"/>
  <c r="P227" i="12"/>
  <c r="J227" i="12"/>
  <c r="BK226" i="12"/>
  <c r="BI226" i="12"/>
  <c r="BH226" i="12"/>
  <c r="BG226" i="12"/>
  <c r="BF226" i="12"/>
  <c r="BE226" i="12"/>
  <c r="T226" i="12"/>
  <c r="R226" i="12"/>
  <c r="P226" i="12"/>
  <c r="J226" i="12"/>
  <c r="BK225" i="12"/>
  <c r="T225" i="12"/>
  <c r="R225" i="12"/>
  <c r="P225" i="12"/>
  <c r="J225" i="12"/>
  <c r="BK224" i="12"/>
  <c r="BI224" i="12"/>
  <c r="BH224" i="12"/>
  <c r="BG224" i="12"/>
  <c r="BF224" i="12"/>
  <c r="BE224" i="12"/>
  <c r="T224" i="12"/>
  <c r="R224" i="12"/>
  <c r="P224" i="12"/>
  <c r="J224" i="12"/>
  <c r="BK223" i="12"/>
  <c r="BI223" i="12"/>
  <c r="BH223" i="12"/>
  <c r="BG223" i="12"/>
  <c r="BF223" i="12"/>
  <c r="BE223" i="12"/>
  <c r="T223" i="12"/>
  <c r="R223" i="12"/>
  <c r="P223" i="12"/>
  <c r="J223" i="12"/>
  <c r="BK222" i="12"/>
  <c r="BI222" i="12"/>
  <c r="BH222" i="12"/>
  <c r="BG222" i="12"/>
  <c r="BF222" i="12"/>
  <c r="BE222" i="12"/>
  <c r="T222" i="12"/>
  <c r="R222" i="12"/>
  <c r="P222" i="12"/>
  <c r="J222" i="12"/>
  <c r="BK221" i="12"/>
  <c r="BI221" i="12"/>
  <c r="BH221" i="12"/>
  <c r="BG221" i="12"/>
  <c r="BF221" i="12"/>
  <c r="BE221" i="12"/>
  <c r="T221" i="12"/>
  <c r="R221" i="12"/>
  <c r="P221" i="12"/>
  <c r="J221" i="12"/>
  <c r="BK220" i="12"/>
  <c r="BI220" i="12"/>
  <c r="BH220" i="12"/>
  <c r="BG220" i="12"/>
  <c r="BF220" i="12"/>
  <c r="BE220" i="12"/>
  <c r="T220" i="12"/>
  <c r="R220" i="12"/>
  <c r="P220" i="12"/>
  <c r="J220" i="12"/>
  <c r="BK219" i="12"/>
  <c r="T219" i="12"/>
  <c r="R219" i="12"/>
  <c r="P219" i="12"/>
  <c r="J219" i="12"/>
  <c r="BK218" i="12"/>
  <c r="T218" i="12"/>
  <c r="R218" i="12"/>
  <c r="P218" i="12"/>
  <c r="J218" i="12"/>
  <c r="BK217" i="12"/>
  <c r="BI217" i="12"/>
  <c r="BH217" i="12"/>
  <c r="BG217" i="12"/>
  <c r="BF217" i="12"/>
  <c r="BE217" i="12"/>
  <c r="T217" i="12"/>
  <c r="R217" i="12"/>
  <c r="P217" i="12"/>
  <c r="J217" i="12"/>
  <c r="BK216" i="12"/>
  <c r="BI216" i="12"/>
  <c r="BH216" i="12"/>
  <c r="BG216" i="12"/>
  <c r="BF216" i="12"/>
  <c r="BE216" i="12"/>
  <c r="T216" i="12"/>
  <c r="R216" i="12"/>
  <c r="P216" i="12"/>
  <c r="J216" i="12"/>
  <c r="BK215" i="12"/>
  <c r="BI215" i="12"/>
  <c r="BH215" i="12"/>
  <c r="BG215" i="12"/>
  <c r="BF215" i="12"/>
  <c r="BE215" i="12"/>
  <c r="T215" i="12"/>
  <c r="R215" i="12"/>
  <c r="P215" i="12"/>
  <c r="J215" i="12"/>
  <c r="BK214" i="12"/>
  <c r="T214" i="12"/>
  <c r="R214" i="12"/>
  <c r="P214" i="12"/>
  <c r="J214" i="12"/>
  <c r="BK213" i="12"/>
  <c r="BI213" i="12"/>
  <c r="BH213" i="12"/>
  <c r="BG213" i="12"/>
  <c r="BF213" i="12"/>
  <c r="BE213" i="12"/>
  <c r="T213" i="12"/>
  <c r="R213" i="12"/>
  <c r="P213" i="12"/>
  <c r="J213" i="12"/>
  <c r="BK212" i="12"/>
  <c r="BI212" i="12"/>
  <c r="BH212" i="12"/>
  <c r="BG212" i="12"/>
  <c r="BF212" i="12"/>
  <c r="BE212" i="12"/>
  <c r="T212" i="12"/>
  <c r="R212" i="12"/>
  <c r="P212" i="12"/>
  <c r="J212" i="12"/>
  <c r="BK211" i="12"/>
  <c r="BI211" i="12"/>
  <c r="BH211" i="12"/>
  <c r="BG211" i="12"/>
  <c r="BF211" i="12"/>
  <c r="BE211" i="12"/>
  <c r="T211" i="12"/>
  <c r="R211" i="12"/>
  <c r="P211" i="12"/>
  <c r="J211" i="12"/>
  <c r="BK210" i="12"/>
  <c r="BI210" i="12"/>
  <c r="BH210" i="12"/>
  <c r="BG210" i="12"/>
  <c r="BF210" i="12"/>
  <c r="BE210" i="12"/>
  <c r="T210" i="12"/>
  <c r="R210" i="12"/>
  <c r="P210" i="12"/>
  <c r="J210" i="12"/>
  <c r="BK209" i="12"/>
  <c r="BI209" i="12"/>
  <c r="BH209" i="12"/>
  <c r="BG209" i="12"/>
  <c r="BF209" i="12"/>
  <c r="BE209" i="12"/>
  <c r="T209" i="12"/>
  <c r="R209" i="12"/>
  <c r="P209" i="12"/>
  <c r="J209" i="12"/>
  <c r="BK208" i="12"/>
  <c r="BI208" i="12"/>
  <c r="BH208" i="12"/>
  <c r="BG208" i="12"/>
  <c r="BF208" i="12"/>
  <c r="BE208" i="12"/>
  <c r="T208" i="12"/>
  <c r="R208" i="12"/>
  <c r="P208" i="12"/>
  <c r="J208" i="12"/>
  <c r="BK207" i="12"/>
  <c r="BI207" i="12"/>
  <c r="BH207" i="12"/>
  <c r="BG207" i="12"/>
  <c r="BF207" i="12"/>
  <c r="BE207" i="12"/>
  <c r="T207" i="12"/>
  <c r="R207" i="12"/>
  <c r="P207" i="12"/>
  <c r="J207" i="12"/>
  <c r="BK206" i="12"/>
  <c r="BI206" i="12"/>
  <c r="BH206" i="12"/>
  <c r="BG206" i="12"/>
  <c r="BF206" i="12"/>
  <c r="BE206" i="12"/>
  <c r="T206" i="12"/>
  <c r="R206" i="12"/>
  <c r="P206" i="12"/>
  <c r="J206" i="12"/>
  <c r="BK205" i="12"/>
  <c r="BI205" i="12"/>
  <c r="BH205" i="12"/>
  <c r="BG205" i="12"/>
  <c r="BF205" i="12"/>
  <c r="BE205" i="12"/>
  <c r="T205" i="12"/>
  <c r="R205" i="12"/>
  <c r="P205" i="12"/>
  <c r="J205" i="12"/>
  <c r="BK204" i="12"/>
  <c r="BI204" i="12"/>
  <c r="BH204" i="12"/>
  <c r="BG204" i="12"/>
  <c r="BF204" i="12"/>
  <c r="BE204" i="12"/>
  <c r="T204" i="12"/>
  <c r="R204" i="12"/>
  <c r="P204" i="12"/>
  <c r="J204" i="12"/>
  <c r="BK203" i="12"/>
  <c r="BI203" i="12"/>
  <c r="BH203" i="12"/>
  <c r="BG203" i="12"/>
  <c r="BF203" i="12"/>
  <c r="BE203" i="12"/>
  <c r="T203" i="12"/>
  <c r="R203" i="12"/>
  <c r="P203" i="12"/>
  <c r="J203" i="12"/>
  <c r="BK202" i="12"/>
  <c r="BI202" i="12"/>
  <c r="BH202" i="12"/>
  <c r="BG202" i="12"/>
  <c r="BF202" i="12"/>
  <c r="BE202" i="12"/>
  <c r="T202" i="12"/>
  <c r="R202" i="12"/>
  <c r="P202" i="12"/>
  <c r="J202" i="12"/>
  <c r="BK201" i="12"/>
  <c r="T201" i="12"/>
  <c r="R201" i="12"/>
  <c r="P201" i="12"/>
  <c r="J201" i="12"/>
  <c r="BK200" i="12"/>
  <c r="BI200" i="12"/>
  <c r="BH200" i="12"/>
  <c r="BG200" i="12"/>
  <c r="BF200" i="12"/>
  <c r="BE200" i="12"/>
  <c r="T200" i="12"/>
  <c r="R200" i="12"/>
  <c r="P200" i="12"/>
  <c r="J200" i="12"/>
  <c r="BK199" i="12"/>
  <c r="BI199" i="12"/>
  <c r="BH199" i="12"/>
  <c r="BG199" i="12"/>
  <c r="BF199" i="12"/>
  <c r="BE199" i="12"/>
  <c r="T199" i="12"/>
  <c r="R199" i="12"/>
  <c r="P199" i="12"/>
  <c r="J199" i="12"/>
  <c r="BK198" i="12"/>
  <c r="T198" i="12"/>
  <c r="R198" i="12"/>
  <c r="P198" i="12"/>
  <c r="J198" i="12"/>
  <c r="BK197" i="12"/>
  <c r="BI197" i="12"/>
  <c r="BH197" i="12"/>
  <c r="BG197" i="12"/>
  <c r="BF197" i="12"/>
  <c r="BE197" i="12"/>
  <c r="T197" i="12"/>
  <c r="R197" i="12"/>
  <c r="P197" i="12"/>
  <c r="J197" i="12"/>
  <c r="BK196" i="12"/>
  <c r="BI196" i="12"/>
  <c r="BH196" i="12"/>
  <c r="BG196" i="12"/>
  <c r="BF196" i="12"/>
  <c r="BE196" i="12"/>
  <c r="T196" i="12"/>
  <c r="R196" i="12"/>
  <c r="P196" i="12"/>
  <c r="J196" i="12"/>
  <c r="BK195" i="12"/>
  <c r="T195" i="12"/>
  <c r="R195" i="12"/>
  <c r="P195" i="12"/>
  <c r="J195" i="12"/>
  <c r="BK194" i="12"/>
  <c r="BI194" i="12"/>
  <c r="BH194" i="12"/>
  <c r="BG194" i="12"/>
  <c r="BF194" i="12"/>
  <c r="BE194" i="12"/>
  <c r="T194" i="12"/>
  <c r="R194" i="12"/>
  <c r="P194" i="12"/>
  <c r="J194" i="12"/>
  <c r="BK193" i="12"/>
  <c r="BI193" i="12"/>
  <c r="BH193" i="12"/>
  <c r="BG193" i="12"/>
  <c r="BF193" i="12"/>
  <c r="BE193" i="12"/>
  <c r="T193" i="12"/>
  <c r="R193" i="12"/>
  <c r="P193" i="12"/>
  <c r="J193" i="12"/>
  <c r="BK192" i="12"/>
  <c r="BI192" i="12"/>
  <c r="BH192" i="12"/>
  <c r="BG192" i="12"/>
  <c r="BF192" i="12"/>
  <c r="BE192" i="12"/>
  <c r="T192" i="12"/>
  <c r="R192" i="12"/>
  <c r="P192" i="12"/>
  <c r="J192" i="12"/>
  <c r="BK191" i="12"/>
  <c r="BI191" i="12"/>
  <c r="BH191" i="12"/>
  <c r="BG191" i="12"/>
  <c r="BF191" i="12"/>
  <c r="BE191" i="12"/>
  <c r="T191" i="12"/>
  <c r="R191" i="12"/>
  <c r="P191" i="12"/>
  <c r="J191" i="12"/>
  <c r="BK190" i="12"/>
  <c r="T190" i="12"/>
  <c r="R190" i="12"/>
  <c r="P190" i="12"/>
  <c r="J190" i="12"/>
  <c r="BK189" i="12"/>
  <c r="T189" i="12"/>
  <c r="R189" i="12"/>
  <c r="P189" i="12"/>
  <c r="J189" i="12"/>
  <c r="BK188" i="12"/>
  <c r="BI188" i="12"/>
  <c r="BH188" i="12"/>
  <c r="BG188" i="12"/>
  <c r="BF188" i="12"/>
  <c r="BE188" i="12"/>
  <c r="T188" i="12"/>
  <c r="R188" i="12"/>
  <c r="P188" i="12"/>
  <c r="J188" i="12"/>
  <c r="BK187" i="12"/>
  <c r="BI187" i="12"/>
  <c r="BH187" i="12"/>
  <c r="BG187" i="12"/>
  <c r="BF187" i="12"/>
  <c r="BE187" i="12"/>
  <c r="T187" i="12"/>
  <c r="R187" i="12"/>
  <c r="P187" i="12"/>
  <c r="J187" i="12"/>
  <c r="BK186" i="12"/>
  <c r="BI186" i="12"/>
  <c r="BH186" i="12"/>
  <c r="BG186" i="12"/>
  <c r="BF186" i="12"/>
  <c r="BE186" i="12"/>
  <c r="T186" i="12"/>
  <c r="R186" i="12"/>
  <c r="P186" i="12"/>
  <c r="J186" i="12"/>
  <c r="BK185" i="12"/>
  <c r="BI185" i="12"/>
  <c r="BH185" i="12"/>
  <c r="BG185" i="12"/>
  <c r="BF185" i="12"/>
  <c r="BE185" i="12"/>
  <c r="T185" i="12"/>
  <c r="R185" i="12"/>
  <c r="P185" i="12"/>
  <c r="J185" i="12"/>
  <c r="BK184" i="12"/>
  <c r="T184" i="12"/>
  <c r="R184" i="12"/>
  <c r="P184" i="12"/>
  <c r="J184" i="12"/>
  <c r="BK183" i="12"/>
  <c r="BI183" i="12"/>
  <c r="BH183" i="12"/>
  <c r="BG183" i="12"/>
  <c r="BF183" i="12"/>
  <c r="BE183" i="12"/>
  <c r="T183" i="12"/>
  <c r="R183" i="12"/>
  <c r="P183" i="12"/>
  <c r="J183" i="12"/>
  <c r="BK182" i="12"/>
  <c r="BI182" i="12"/>
  <c r="BH182" i="12"/>
  <c r="BG182" i="12"/>
  <c r="BF182" i="12"/>
  <c r="BE182" i="12"/>
  <c r="T182" i="12"/>
  <c r="R182" i="12"/>
  <c r="P182" i="12"/>
  <c r="J182" i="12"/>
  <c r="BK181" i="12"/>
  <c r="BI181" i="12"/>
  <c r="BH181" i="12"/>
  <c r="BG181" i="12"/>
  <c r="BF181" i="12"/>
  <c r="BE181" i="12"/>
  <c r="T181" i="12"/>
  <c r="R181" i="12"/>
  <c r="P181" i="12"/>
  <c r="J181" i="12"/>
  <c r="BK180" i="12"/>
  <c r="BI180" i="12"/>
  <c r="BH180" i="12"/>
  <c r="BG180" i="12"/>
  <c r="BF180" i="12"/>
  <c r="BE180" i="12"/>
  <c r="T180" i="12"/>
  <c r="R180" i="12"/>
  <c r="P180" i="12"/>
  <c r="J180" i="12"/>
  <c r="BK179" i="12"/>
  <c r="BI179" i="12"/>
  <c r="BH179" i="12"/>
  <c r="BG179" i="12"/>
  <c r="BF179" i="12"/>
  <c r="BE179" i="12"/>
  <c r="T179" i="12"/>
  <c r="R179" i="12"/>
  <c r="P179" i="12"/>
  <c r="J179" i="12"/>
  <c r="BK178" i="12"/>
  <c r="BI178" i="12"/>
  <c r="BH178" i="12"/>
  <c r="BG178" i="12"/>
  <c r="BF178" i="12"/>
  <c r="BE178" i="12"/>
  <c r="T178" i="12"/>
  <c r="R178" i="12"/>
  <c r="P178" i="12"/>
  <c r="J178" i="12"/>
  <c r="BK177" i="12"/>
  <c r="BI177" i="12"/>
  <c r="BH177" i="12"/>
  <c r="BG177" i="12"/>
  <c r="BF177" i="12"/>
  <c r="BE177" i="12"/>
  <c r="T177" i="12"/>
  <c r="R177" i="12"/>
  <c r="P177" i="12"/>
  <c r="J177" i="12"/>
  <c r="BK176" i="12"/>
  <c r="BI176" i="12"/>
  <c r="BH176" i="12"/>
  <c r="BG176" i="12"/>
  <c r="BF176" i="12"/>
  <c r="BE176" i="12"/>
  <c r="T176" i="12"/>
  <c r="R176" i="12"/>
  <c r="P176" i="12"/>
  <c r="J176" i="12"/>
  <c r="BK175" i="12"/>
  <c r="BI175" i="12"/>
  <c r="BH175" i="12"/>
  <c r="BG175" i="12"/>
  <c r="BF175" i="12"/>
  <c r="BE175" i="12"/>
  <c r="T175" i="12"/>
  <c r="R175" i="12"/>
  <c r="P175" i="12"/>
  <c r="J175" i="12"/>
  <c r="BK174" i="12"/>
  <c r="T174" i="12"/>
  <c r="R174" i="12"/>
  <c r="P174" i="12"/>
  <c r="J174" i="12"/>
  <c r="BK173" i="12"/>
  <c r="BI173" i="12"/>
  <c r="BH173" i="12"/>
  <c r="BG173" i="12"/>
  <c r="BF173" i="12"/>
  <c r="BE173" i="12"/>
  <c r="T173" i="12"/>
  <c r="R173" i="12"/>
  <c r="P173" i="12"/>
  <c r="J173" i="12"/>
  <c r="BK172" i="12"/>
  <c r="BI172" i="12"/>
  <c r="BH172" i="12"/>
  <c r="BG172" i="12"/>
  <c r="BF172" i="12"/>
  <c r="BE172" i="12"/>
  <c r="T172" i="12"/>
  <c r="R172" i="12"/>
  <c r="P172" i="12"/>
  <c r="J172" i="12"/>
  <c r="BK171" i="12"/>
  <c r="BI171" i="12"/>
  <c r="BH171" i="12"/>
  <c r="BG171" i="12"/>
  <c r="BF171" i="12"/>
  <c r="BE171" i="12"/>
  <c r="T171" i="12"/>
  <c r="R171" i="12"/>
  <c r="P171" i="12"/>
  <c r="J171" i="12"/>
  <c r="BK170" i="12"/>
  <c r="T170" i="12"/>
  <c r="R170" i="12"/>
  <c r="P170" i="12"/>
  <c r="J170" i="12"/>
  <c r="BK169" i="12"/>
  <c r="BI169" i="12"/>
  <c r="BH169" i="12"/>
  <c r="BG169" i="12"/>
  <c r="BF169" i="12"/>
  <c r="BE169" i="12"/>
  <c r="T169" i="12"/>
  <c r="R169" i="12"/>
  <c r="P169" i="12"/>
  <c r="J169" i="12"/>
  <c r="BK168" i="12"/>
  <c r="BI168" i="12"/>
  <c r="BH168" i="12"/>
  <c r="BG168" i="12"/>
  <c r="BF168" i="12"/>
  <c r="BE168" i="12"/>
  <c r="T168" i="12"/>
  <c r="R168" i="12"/>
  <c r="P168" i="12"/>
  <c r="J168" i="12"/>
  <c r="BK167" i="12"/>
  <c r="BI167" i="12"/>
  <c r="BH167" i="12"/>
  <c r="BG167" i="12"/>
  <c r="BF167" i="12"/>
  <c r="BE167" i="12"/>
  <c r="T167" i="12"/>
  <c r="R167" i="12"/>
  <c r="P167" i="12"/>
  <c r="J167" i="12"/>
  <c r="BK166" i="12"/>
  <c r="BI166" i="12"/>
  <c r="BH166" i="12"/>
  <c r="BG166" i="12"/>
  <c r="BF166" i="12"/>
  <c r="BE166" i="12"/>
  <c r="T166" i="12"/>
  <c r="R166" i="12"/>
  <c r="P166" i="12"/>
  <c r="J166" i="12"/>
  <c r="BK165" i="12"/>
  <c r="T165" i="12"/>
  <c r="R165" i="12"/>
  <c r="P165" i="12"/>
  <c r="J165" i="12"/>
  <c r="BK164" i="12"/>
  <c r="T164" i="12"/>
  <c r="R164" i="12"/>
  <c r="P164" i="12"/>
  <c r="J164" i="12"/>
  <c r="BK163" i="12"/>
  <c r="BI163" i="12"/>
  <c r="BH163" i="12"/>
  <c r="BG163" i="12"/>
  <c r="BF163" i="12"/>
  <c r="BE163" i="12"/>
  <c r="T163" i="12"/>
  <c r="R163" i="12"/>
  <c r="P163" i="12"/>
  <c r="J163" i="12"/>
  <c r="BK162" i="12"/>
  <c r="BI162" i="12"/>
  <c r="BH162" i="12"/>
  <c r="BG162" i="12"/>
  <c r="BF162" i="12"/>
  <c r="BE162" i="12"/>
  <c r="T162" i="12"/>
  <c r="R162" i="12"/>
  <c r="P162" i="12"/>
  <c r="J162" i="12"/>
  <c r="BK161" i="12"/>
  <c r="T161" i="12"/>
  <c r="R161" i="12"/>
  <c r="P161" i="12"/>
  <c r="J161" i="12"/>
  <c r="BK160" i="12"/>
  <c r="BI160" i="12"/>
  <c r="BH160" i="12"/>
  <c r="BG160" i="12"/>
  <c r="BF160" i="12"/>
  <c r="BE160" i="12"/>
  <c r="T160" i="12"/>
  <c r="R160" i="12"/>
  <c r="P160" i="12"/>
  <c r="J160" i="12"/>
  <c r="BK159" i="12"/>
  <c r="BI159" i="12"/>
  <c r="BH159" i="12"/>
  <c r="BG159" i="12"/>
  <c r="BF159" i="12"/>
  <c r="BE159" i="12"/>
  <c r="T159" i="12"/>
  <c r="R159" i="12"/>
  <c r="P159" i="12"/>
  <c r="J159" i="12"/>
  <c r="BK158" i="12"/>
  <c r="BI158" i="12"/>
  <c r="BH158" i="12"/>
  <c r="BG158" i="12"/>
  <c r="BF158" i="12"/>
  <c r="BE158" i="12"/>
  <c r="T158" i="12"/>
  <c r="R158" i="12"/>
  <c r="P158" i="12"/>
  <c r="J158" i="12"/>
  <c r="BK157" i="12"/>
  <c r="T157" i="12"/>
  <c r="R157" i="12"/>
  <c r="P157" i="12"/>
  <c r="J157" i="12"/>
  <c r="BK156" i="12"/>
  <c r="BI156" i="12"/>
  <c r="BH156" i="12"/>
  <c r="BG156" i="12"/>
  <c r="BF156" i="12"/>
  <c r="BE156" i="12"/>
  <c r="T156" i="12"/>
  <c r="R156" i="12"/>
  <c r="P156" i="12"/>
  <c r="J156" i="12"/>
  <c r="BK155" i="12"/>
  <c r="T155" i="12"/>
  <c r="R155" i="12"/>
  <c r="P155" i="12"/>
  <c r="J155" i="12"/>
  <c r="BK154" i="12"/>
  <c r="BI154" i="12"/>
  <c r="BH154" i="12"/>
  <c r="BG154" i="12"/>
  <c r="BF154" i="12"/>
  <c r="BE154" i="12"/>
  <c r="T154" i="12"/>
  <c r="R154" i="12"/>
  <c r="P154" i="12"/>
  <c r="J154" i="12"/>
  <c r="BK153" i="12"/>
  <c r="BI153" i="12"/>
  <c r="BH153" i="12"/>
  <c r="BG153" i="12"/>
  <c r="BF153" i="12"/>
  <c r="BE153" i="12"/>
  <c r="T153" i="12"/>
  <c r="R153" i="12"/>
  <c r="P153" i="12"/>
  <c r="J153" i="12"/>
  <c r="BK152" i="12"/>
  <c r="BI152" i="12"/>
  <c r="BH152" i="12"/>
  <c r="BG152" i="12"/>
  <c r="BF152" i="12"/>
  <c r="BE152" i="12"/>
  <c r="T152" i="12"/>
  <c r="R152" i="12"/>
  <c r="P152" i="12"/>
  <c r="J152" i="12"/>
  <c r="BK151" i="12"/>
  <c r="BI151" i="12"/>
  <c r="BH151" i="12"/>
  <c r="BG151" i="12"/>
  <c r="BF151" i="12"/>
  <c r="BE151" i="12"/>
  <c r="T151" i="12"/>
  <c r="R151" i="12"/>
  <c r="P151" i="12"/>
  <c r="J151" i="12"/>
  <c r="BK150" i="12"/>
  <c r="BI150" i="12"/>
  <c r="BH150" i="12"/>
  <c r="BG150" i="12"/>
  <c r="BF150" i="12"/>
  <c r="BE150" i="12"/>
  <c r="T150" i="12"/>
  <c r="R150" i="12"/>
  <c r="P150" i="12"/>
  <c r="J150" i="12"/>
  <c r="BK149" i="12"/>
  <c r="T149" i="12"/>
  <c r="R149" i="12"/>
  <c r="P149" i="12"/>
  <c r="J149" i="12"/>
  <c r="BK148" i="12"/>
  <c r="T148" i="12"/>
  <c r="R148" i="12"/>
  <c r="P148" i="12"/>
  <c r="J148" i="12"/>
  <c r="BK147" i="12"/>
  <c r="T147" i="12"/>
  <c r="R147" i="12"/>
  <c r="P147" i="12"/>
  <c r="J147" i="12"/>
  <c r="J144" i="12"/>
  <c r="F144" i="12"/>
  <c r="J143" i="12"/>
  <c r="F143" i="12"/>
  <c r="J141" i="12"/>
  <c r="F141" i="12"/>
  <c r="E139" i="12"/>
  <c r="E135" i="12"/>
  <c r="J125" i="12"/>
  <c r="J124" i="12"/>
  <c r="J123" i="12"/>
  <c r="J122" i="12"/>
  <c r="J121" i="12"/>
  <c r="J120" i="12"/>
  <c r="J119" i="12"/>
  <c r="J118" i="12"/>
  <c r="J117" i="12"/>
  <c r="J116" i="12"/>
  <c r="J115" i="12"/>
  <c r="J114" i="12"/>
  <c r="J113" i="12"/>
  <c r="J112" i="12"/>
  <c r="J111" i="12"/>
  <c r="J110" i="12"/>
  <c r="J109" i="12"/>
  <c r="J108" i="12"/>
  <c r="J107" i="12"/>
  <c r="J106" i="12"/>
  <c r="J105" i="12"/>
  <c r="J104" i="12"/>
  <c r="J103" i="12"/>
  <c r="J102" i="12"/>
  <c r="J101" i="12"/>
  <c r="J100" i="12"/>
  <c r="J99" i="12"/>
  <c r="J98" i="12"/>
  <c r="J94" i="12"/>
  <c r="F94" i="12"/>
  <c r="J93" i="12"/>
  <c r="F93" i="12"/>
  <c r="J91" i="12"/>
  <c r="F91" i="12"/>
  <c r="E89" i="12"/>
  <c r="E85" i="12"/>
  <c r="J41" i="12"/>
  <c r="J39" i="12"/>
  <c r="F39" i="12"/>
  <c r="J38" i="12"/>
  <c r="F38" i="12"/>
  <c r="J37" i="12"/>
  <c r="F37" i="12"/>
  <c r="J36" i="12"/>
  <c r="F36" i="12"/>
  <c r="J35" i="12"/>
  <c r="F35" i="12"/>
  <c r="J32" i="12"/>
  <c r="J20" i="12"/>
  <c r="E20" i="12"/>
  <c r="J19" i="12"/>
  <c r="J14" i="12"/>
  <c r="E7" i="12"/>
  <c r="BK275" i="11"/>
  <c r="BI275" i="11"/>
  <c r="BH275" i="11"/>
  <c r="BG275" i="11"/>
  <c r="BF275" i="11"/>
  <c r="BE275" i="11"/>
  <c r="T275" i="11"/>
  <c r="R275" i="11"/>
  <c r="P275" i="11"/>
  <c r="J275" i="11"/>
  <c r="BK274" i="11"/>
  <c r="BI274" i="11"/>
  <c r="BH274" i="11"/>
  <c r="BG274" i="11"/>
  <c r="BF274" i="11"/>
  <c r="BE274" i="11"/>
  <c r="T274" i="11"/>
  <c r="R274" i="11"/>
  <c r="P274" i="11"/>
  <c r="J274" i="11"/>
  <c r="BK273" i="11"/>
  <c r="BI273" i="11"/>
  <c r="BH273" i="11"/>
  <c r="BG273" i="11"/>
  <c r="BF273" i="11"/>
  <c r="BE273" i="11"/>
  <c r="T273" i="11"/>
  <c r="R273" i="11"/>
  <c r="P273" i="11"/>
  <c r="J273" i="11"/>
  <c r="BK272" i="11"/>
  <c r="BI272" i="11"/>
  <c r="BH272" i="11"/>
  <c r="BG272" i="11"/>
  <c r="BF272" i="11"/>
  <c r="BE272" i="11"/>
  <c r="T272" i="11"/>
  <c r="R272" i="11"/>
  <c r="P272" i="11"/>
  <c r="J272" i="11"/>
  <c r="BK271" i="11"/>
  <c r="BI271" i="11"/>
  <c r="BH271" i="11"/>
  <c r="BG271" i="11"/>
  <c r="BF271" i="11"/>
  <c r="BE271" i="11"/>
  <c r="T271" i="11"/>
  <c r="R271" i="11"/>
  <c r="P271" i="11"/>
  <c r="J271" i="11"/>
  <c r="BK270" i="11"/>
  <c r="BI270" i="11"/>
  <c r="BH270" i="11"/>
  <c r="BG270" i="11"/>
  <c r="BF270" i="11"/>
  <c r="BE270" i="11"/>
  <c r="T270" i="11"/>
  <c r="R270" i="11"/>
  <c r="P270" i="11"/>
  <c r="J270" i="11"/>
  <c r="BK269" i="11"/>
  <c r="BI269" i="11"/>
  <c r="BH269" i="11"/>
  <c r="BG269" i="11"/>
  <c r="BF269" i="11"/>
  <c r="BE269" i="11"/>
  <c r="T269" i="11"/>
  <c r="R269" i="11"/>
  <c r="P269" i="11"/>
  <c r="J269" i="11"/>
  <c r="BK268" i="11"/>
  <c r="BI268" i="11"/>
  <c r="BH268" i="11"/>
  <c r="BG268" i="11"/>
  <c r="BF268" i="11"/>
  <c r="BE268" i="11"/>
  <c r="T268" i="11"/>
  <c r="R268" i="11"/>
  <c r="P268" i="11"/>
  <c r="J268" i="11"/>
  <c r="BK267" i="11"/>
  <c r="BI267" i="11"/>
  <c r="BH267" i="11"/>
  <c r="BG267" i="11"/>
  <c r="BF267" i="11"/>
  <c r="BE267" i="11"/>
  <c r="T267" i="11"/>
  <c r="R267" i="11"/>
  <c r="P267" i="11"/>
  <c r="J267" i="11"/>
  <c r="BK266" i="11"/>
  <c r="BI266" i="11"/>
  <c r="BH266" i="11"/>
  <c r="BG266" i="11"/>
  <c r="BF266" i="11"/>
  <c r="BE266" i="11"/>
  <c r="T266" i="11"/>
  <c r="R266" i="11"/>
  <c r="P266" i="11"/>
  <c r="J266" i="11"/>
  <c r="BK265" i="11"/>
  <c r="T265" i="11"/>
  <c r="R265" i="11"/>
  <c r="P265" i="11"/>
  <c r="J265" i="11"/>
  <c r="BK264" i="11"/>
  <c r="BI264" i="11"/>
  <c r="BH264" i="11"/>
  <c r="BG264" i="11"/>
  <c r="BF264" i="11"/>
  <c r="BE264" i="11"/>
  <c r="T264" i="11"/>
  <c r="R264" i="11"/>
  <c r="P264" i="11"/>
  <c r="J264" i="11"/>
  <c r="BK263" i="11"/>
  <c r="BI263" i="11"/>
  <c r="BH263" i="11"/>
  <c r="BG263" i="11"/>
  <c r="BF263" i="11"/>
  <c r="BE263" i="11"/>
  <c r="T263" i="11"/>
  <c r="R263" i="11"/>
  <c r="P263" i="11"/>
  <c r="J263" i="11"/>
  <c r="BK262" i="11"/>
  <c r="BI262" i="11"/>
  <c r="BH262" i="11"/>
  <c r="BG262" i="11"/>
  <c r="BF262" i="11"/>
  <c r="BE262" i="11"/>
  <c r="T262" i="11"/>
  <c r="R262" i="11"/>
  <c r="P262" i="11"/>
  <c r="J262" i="11"/>
  <c r="BK261" i="11"/>
  <c r="BI261" i="11"/>
  <c r="BH261" i="11"/>
  <c r="BG261" i="11"/>
  <c r="BF261" i="11"/>
  <c r="BE261" i="11"/>
  <c r="T261" i="11"/>
  <c r="R261" i="11"/>
  <c r="P261" i="11"/>
  <c r="J261" i="11"/>
  <c r="BK260" i="11"/>
  <c r="BI260" i="11"/>
  <c r="BH260" i="11"/>
  <c r="BG260" i="11"/>
  <c r="BF260" i="11"/>
  <c r="BE260" i="11"/>
  <c r="T260" i="11"/>
  <c r="R260" i="11"/>
  <c r="P260" i="11"/>
  <c r="J260" i="11"/>
  <c r="BK259" i="11"/>
  <c r="BI259" i="11"/>
  <c r="BH259" i="11"/>
  <c r="BG259" i="11"/>
  <c r="BF259" i="11"/>
  <c r="BE259" i="11"/>
  <c r="T259" i="11"/>
  <c r="R259" i="11"/>
  <c r="P259" i="11"/>
  <c r="J259" i="11"/>
  <c r="BK258" i="11"/>
  <c r="BI258" i="11"/>
  <c r="BH258" i="11"/>
  <c r="BG258" i="11"/>
  <c r="BF258" i="11"/>
  <c r="BE258" i="11"/>
  <c r="T258" i="11"/>
  <c r="R258" i="11"/>
  <c r="P258" i="11"/>
  <c r="J258" i="11"/>
  <c r="BK257" i="11"/>
  <c r="BI257" i="11"/>
  <c r="BH257" i="11"/>
  <c r="BG257" i="11"/>
  <c r="BF257" i="11"/>
  <c r="BE257" i="11"/>
  <c r="T257" i="11"/>
  <c r="R257" i="11"/>
  <c r="P257" i="11"/>
  <c r="J257" i="11"/>
  <c r="BK256" i="11"/>
  <c r="BI256" i="11"/>
  <c r="BH256" i="11"/>
  <c r="BG256" i="11"/>
  <c r="BF256" i="11"/>
  <c r="BE256" i="11"/>
  <c r="T256" i="11"/>
  <c r="R256" i="11"/>
  <c r="P256" i="11"/>
  <c r="J256" i="11"/>
  <c r="BK255" i="11"/>
  <c r="T255" i="11"/>
  <c r="R255" i="11"/>
  <c r="P255" i="11"/>
  <c r="J255" i="11"/>
  <c r="BK253" i="11"/>
  <c r="BI253" i="11"/>
  <c r="BH253" i="11"/>
  <c r="BG253" i="11"/>
  <c r="BF253" i="11"/>
  <c r="BE253" i="11"/>
  <c r="T253" i="11"/>
  <c r="R253" i="11"/>
  <c r="P253" i="11"/>
  <c r="J253" i="11"/>
  <c r="BK252" i="11"/>
  <c r="BI252" i="11"/>
  <c r="BH252" i="11"/>
  <c r="BG252" i="11"/>
  <c r="BF252" i="11"/>
  <c r="BE252" i="11"/>
  <c r="T252" i="11"/>
  <c r="R252" i="11"/>
  <c r="P252" i="11"/>
  <c r="J252" i="11"/>
  <c r="BK251" i="11"/>
  <c r="BI251" i="11"/>
  <c r="BH251" i="11"/>
  <c r="BG251" i="11"/>
  <c r="BF251" i="11"/>
  <c r="BE251" i="11"/>
  <c r="T251" i="11"/>
  <c r="R251" i="11"/>
  <c r="P251" i="11"/>
  <c r="J251" i="11"/>
  <c r="BK250" i="11"/>
  <c r="BI250" i="11"/>
  <c r="BH250" i="11"/>
  <c r="BG250" i="11"/>
  <c r="BF250" i="11"/>
  <c r="BE250" i="11"/>
  <c r="T250" i="11"/>
  <c r="R250" i="11"/>
  <c r="P250" i="11"/>
  <c r="J250" i="11"/>
  <c r="BK249" i="11"/>
  <c r="BI249" i="11"/>
  <c r="BH249" i="11"/>
  <c r="BG249" i="11"/>
  <c r="BF249" i="11"/>
  <c r="BE249" i="11"/>
  <c r="T249" i="11"/>
  <c r="R249" i="11"/>
  <c r="P249" i="11"/>
  <c r="J249" i="11"/>
  <c r="BK247" i="11"/>
  <c r="BI247" i="11"/>
  <c r="BH247" i="11"/>
  <c r="BG247" i="11"/>
  <c r="BF247" i="11"/>
  <c r="BE247" i="11"/>
  <c r="T247" i="11"/>
  <c r="R247" i="11"/>
  <c r="P247" i="11"/>
  <c r="J247" i="11"/>
  <c r="BK246" i="11"/>
  <c r="BI246" i="11"/>
  <c r="BH246" i="11"/>
  <c r="BG246" i="11"/>
  <c r="BF246" i="11"/>
  <c r="BE246" i="11"/>
  <c r="T246" i="11"/>
  <c r="R246" i="11"/>
  <c r="P246" i="11"/>
  <c r="J246" i="11"/>
  <c r="BK244" i="11"/>
  <c r="BI244" i="11"/>
  <c r="BH244" i="11"/>
  <c r="BG244" i="11"/>
  <c r="BF244" i="11"/>
  <c r="BE244" i="11"/>
  <c r="T244" i="11"/>
  <c r="R244" i="11"/>
  <c r="P244" i="11"/>
  <c r="J244" i="11"/>
  <c r="BK242" i="11"/>
  <c r="BI242" i="11"/>
  <c r="BH242" i="11"/>
  <c r="BG242" i="11"/>
  <c r="BF242" i="11"/>
  <c r="BE242" i="11"/>
  <c r="T242" i="11"/>
  <c r="R242" i="11"/>
  <c r="P242" i="11"/>
  <c r="J242" i="11"/>
  <c r="BK240" i="11"/>
  <c r="BI240" i="11"/>
  <c r="BH240" i="11"/>
  <c r="BG240" i="11"/>
  <c r="BF240" i="11"/>
  <c r="BE240" i="11"/>
  <c r="T240" i="11"/>
  <c r="R240" i="11"/>
  <c r="P240" i="11"/>
  <c r="J240" i="11"/>
  <c r="BK239" i="11"/>
  <c r="BI239" i="11"/>
  <c r="BH239" i="11"/>
  <c r="BG239" i="11"/>
  <c r="BF239" i="11"/>
  <c r="BE239" i="11"/>
  <c r="T239" i="11"/>
  <c r="R239" i="11"/>
  <c r="P239" i="11"/>
  <c r="J239" i="11"/>
  <c r="BK237" i="11"/>
  <c r="BI237" i="11"/>
  <c r="BH237" i="11"/>
  <c r="BG237" i="11"/>
  <c r="BF237" i="11"/>
  <c r="BE237" i="11"/>
  <c r="T237" i="11"/>
  <c r="R237" i="11"/>
  <c r="P237" i="11"/>
  <c r="J237" i="11"/>
  <c r="BK236" i="11"/>
  <c r="BI236" i="11"/>
  <c r="BH236" i="11"/>
  <c r="BG236" i="11"/>
  <c r="BF236" i="11"/>
  <c r="BE236" i="11"/>
  <c r="T236" i="11"/>
  <c r="R236" i="11"/>
  <c r="P236" i="11"/>
  <c r="J236" i="11"/>
  <c r="BK234" i="11"/>
  <c r="BI234" i="11"/>
  <c r="BH234" i="11"/>
  <c r="BG234" i="11"/>
  <c r="BF234" i="11"/>
  <c r="BE234" i="11"/>
  <c r="T234" i="11"/>
  <c r="R234" i="11"/>
  <c r="P234" i="11"/>
  <c r="J234" i="11"/>
  <c r="BK233" i="11"/>
  <c r="BI233" i="11"/>
  <c r="BH233" i="11"/>
  <c r="BG233" i="11"/>
  <c r="BF233" i="11"/>
  <c r="BE233" i="11"/>
  <c r="T233" i="11"/>
  <c r="R233" i="11"/>
  <c r="P233" i="11"/>
  <c r="J233" i="11"/>
  <c r="BK231" i="11"/>
  <c r="BI231" i="11"/>
  <c r="BH231" i="11"/>
  <c r="BG231" i="11"/>
  <c r="BF231" i="11"/>
  <c r="BE231" i="11"/>
  <c r="T231" i="11"/>
  <c r="R231" i="11"/>
  <c r="P231" i="11"/>
  <c r="J231" i="11"/>
  <c r="BK230" i="11"/>
  <c r="BI230" i="11"/>
  <c r="BH230" i="11"/>
  <c r="BG230" i="11"/>
  <c r="BF230" i="11"/>
  <c r="BE230" i="11"/>
  <c r="T230" i="11"/>
  <c r="R230" i="11"/>
  <c r="P230" i="11"/>
  <c r="J230" i="11"/>
  <c r="BK228" i="11"/>
  <c r="BI228" i="11"/>
  <c r="BH228" i="11"/>
  <c r="BG228" i="11"/>
  <c r="BF228" i="11"/>
  <c r="BE228" i="11"/>
  <c r="T228" i="11"/>
  <c r="R228" i="11"/>
  <c r="P228" i="11"/>
  <c r="J228" i="11"/>
  <c r="BK227" i="11"/>
  <c r="BI227" i="11"/>
  <c r="BH227" i="11"/>
  <c r="BG227" i="11"/>
  <c r="BF227" i="11"/>
  <c r="BE227" i="11"/>
  <c r="T227" i="11"/>
  <c r="R227" i="11"/>
  <c r="P227" i="11"/>
  <c r="J227" i="11"/>
  <c r="BK225" i="11"/>
  <c r="BI225" i="11"/>
  <c r="BH225" i="11"/>
  <c r="BG225" i="11"/>
  <c r="BF225" i="11"/>
  <c r="BE225" i="11"/>
  <c r="T225" i="11"/>
  <c r="R225" i="11"/>
  <c r="P225" i="11"/>
  <c r="J225" i="11"/>
  <c r="BK223" i="11"/>
  <c r="BI223" i="11"/>
  <c r="BH223" i="11"/>
  <c r="BG223" i="11"/>
  <c r="BF223" i="11"/>
  <c r="BE223" i="11"/>
  <c r="T223" i="11"/>
  <c r="R223" i="11"/>
  <c r="P223" i="11"/>
  <c r="J223" i="11"/>
  <c r="BK222" i="11"/>
  <c r="BI222" i="11"/>
  <c r="BH222" i="11"/>
  <c r="BG222" i="11"/>
  <c r="BF222" i="11"/>
  <c r="BE222" i="11"/>
  <c r="T222" i="11"/>
  <c r="R222" i="11"/>
  <c r="P222" i="11"/>
  <c r="J222" i="11"/>
  <c r="BK220" i="11"/>
  <c r="BI220" i="11"/>
  <c r="BH220" i="11"/>
  <c r="BG220" i="11"/>
  <c r="BF220" i="11"/>
  <c r="BE220" i="11"/>
  <c r="T220" i="11"/>
  <c r="R220" i="11"/>
  <c r="P220" i="11"/>
  <c r="J220" i="11"/>
  <c r="BK218" i="11"/>
  <c r="BI218" i="11"/>
  <c r="BH218" i="11"/>
  <c r="BG218" i="11"/>
  <c r="BF218" i="11"/>
  <c r="BE218" i="11"/>
  <c r="T218" i="11"/>
  <c r="R218" i="11"/>
  <c r="P218" i="11"/>
  <c r="J218" i="11"/>
  <c r="BK217" i="11"/>
  <c r="BI217" i="11"/>
  <c r="BH217" i="11"/>
  <c r="BG217" i="11"/>
  <c r="BF217" i="11"/>
  <c r="BE217" i="11"/>
  <c r="T217" i="11"/>
  <c r="R217" i="11"/>
  <c r="P217" i="11"/>
  <c r="J217" i="11"/>
  <c r="BK216" i="11"/>
  <c r="BI216" i="11"/>
  <c r="BH216" i="11"/>
  <c r="BG216" i="11"/>
  <c r="BF216" i="11"/>
  <c r="BE216" i="11"/>
  <c r="T216" i="11"/>
  <c r="R216" i="11"/>
  <c r="P216" i="11"/>
  <c r="J216" i="11"/>
  <c r="BK215" i="11"/>
  <c r="BI215" i="11"/>
  <c r="BH215" i="11"/>
  <c r="BG215" i="11"/>
  <c r="BF215" i="11"/>
  <c r="BE215" i="11"/>
  <c r="T215" i="11"/>
  <c r="R215" i="11"/>
  <c r="P215" i="11"/>
  <c r="J215" i="11"/>
  <c r="BK214" i="11"/>
  <c r="BI214" i="11"/>
  <c r="BH214" i="11"/>
  <c r="BG214" i="11"/>
  <c r="BF214" i="11"/>
  <c r="BE214" i="11"/>
  <c r="T214" i="11"/>
  <c r="R214" i="11"/>
  <c r="P214" i="11"/>
  <c r="J214" i="11"/>
  <c r="BK213" i="11"/>
  <c r="BI213" i="11"/>
  <c r="BH213" i="11"/>
  <c r="BG213" i="11"/>
  <c r="BF213" i="11"/>
  <c r="BE213" i="11"/>
  <c r="T213" i="11"/>
  <c r="R213" i="11"/>
  <c r="P213" i="11"/>
  <c r="J213" i="11"/>
  <c r="BK212" i="11"/>
  <c r="BI212" i="11"/>
  <c r="BH212" i="11"/>
  <c r="BG212" i="11"/>
  <c r="BF212" i="11"/>
  <c r="BE212" i="11"/>
  <c r="T212" i="11"/>
  <c r="R212" i="11"/>
  <c r="P212" i="11"/>
  <c r="J212" i="11"/>
  <c r="BK211" i="11"/>
  <c r="BI211" i="11"/>
  <c r="BH211" i="11"/>
  <c r="BG211" i="11"/>
  <c r="BF211" i="11"/>
  <c r="BE211" i="11"/>
  <c r="T211" i="11"/>
  <c r="R211" i="11"/>
  <c r="P211" i="11"/>
  <c r="J211" i="11"/>
  <c r="BK210" i="11"/>
  <c r="BI210" i="11"/>
  <c r="BH210" i="11"/>
  <c r="BG210" i="11"/>
  <c r="BF210" i="11"/>
  <c r="BE210" i="11"/>
  <c r="T210" i="11"/>
  <c r="R210" i="11"/>
  <c r="P210" i="11"/>
  <c r="J210" i="11"/>
  <c r="BK209" i="11"/>
  <c r="BI209" i="11"/>
  <c r="BH209" i="11"/>
  <c r="BG209" i="11"/>
  <c r="BF209" i="11"/>
  <c r="BE209" i="11"/>
  <c r="T209" i="11"/>
  <c r="R209" i="11"/>
  <c r="P209" i="11"/>
  <c r="J209" i="11"/>
  <c r="BK208" i="11"/>
  <c r="BI208" i="11"/>
  <c r="BH208" i="11"/>
  <c r="BG208" i="11"/>
  <c r="BF208" i="11"/>
  <c r="BE208" i="11"/>
  <c r="T208" i="11"/>
  <c r="R208" i="11"/>
  <c r="P208" i="11"/>
  <c r="J208" i="11"/>
  <c r="BK207" i="11"/>
  <c r="T207" i="11"/>
  <c r="R207" i="11"/>
  <c r="P207" i="11"/>
  <c r="J207" i="11"/>
  <c r="BK206" i="11"/>
  <c r="BI206" i="11"/>
  <c r="BH206" i="11"/>
  <c r="BG206" i="11"/>
  <c r="BF206" i="11"/>
  <c r="BE206" i="11"/>
  <c r="T206" i="11"/>
  <c r="R206" i="11"/>
  <c r="P206" i="11"/>
  <c r="J206" i="11"/>
  <c r="BK205" i="11"/>
  <c r="BI205" i="11"/>
  <c r="BH205" i="11"/>
  <c r="BG205" i="11"/>
  <c r="BF205" i="11"/>
  <c r="BE205" i="11"/>
  <c r="T205" i="11"/>
  <c r="R205" i="11"/>
  <c r="P205" i="11"/>
  <c r="J205" i="11"/>
  <c r="BK204" i="11"/>
  <c r="BI204" i="11"/>
  <c r="BH204" i="11"/>
  <c r="BG204" i="11"/>
  <c r="BF204" i="11"/>
  <c r="BE204" i="11"/>
  <c r="T204" i="11"/>
  <c r="R204" i="11"/>
  <c r="P204" i="11"/>
  <c r="J204" i="11"/>
  <c r="BK203" i="11"/>
  <c r="BI203" i="11"/>
  <c r="BH203" i="11"/>
  <c r="BG203" i="11"/>
  <c r="BF203" i="11"/>
  <c r="BE203" i="11"/>
  <c r="T203" i="11"/>
  <c r="R203" i="11"/>
  <c r="P203" i="11"/>
  <c r="J203" i="11"/>
  <c r="BK202" i="11"/>
  <c r="BI202" i="11"/>
  <c r="BH202" i="11"/>
  <c r="BG202" i="11"/>
  <c r="BF202" i="11"/>
  <c r="BE202" i="11"/>
  <c r="T202" i="11"/>
  <c r="R202" i="11"/>
  <c r="P202" i="11"/>
  <c r="J202" i="11"/>
  <c r="BK201" i="11"/>
  <c r="BI201" i="11"/>
  <c r="BH201" i="11"/>
  <c r="BG201" i="11"/>
  <c r="BF201" i="11"/>
  <c r="BE201" i="11"/>
  <c r="T201" i="11"/>
  <c r="R201" i="11"/>
  <c r="P201" i="11"/>
  <c r="J201" i="11"/>
  <c r="BK200" i="11"/>
  <c r="BI200" i="11"/>
  <c r="BH200" i="11"/>
  <c r="BG200" i="11"/>
  <c r="BF200" i="11"/>
  <c r="BE200" i="11"/>
  <c r="T200" i="11"/>
  <c r="R200" i="11"/>
  <c r="P200" i="11"/>
  <c r="J200" i="11"/>
  <c r="BK199" i="11"/>
  <c r="BI199" i="11"/>
  <c r="BH199" i="11"/>
  <c r="BG199" i="11"/>
  <c r="BF199" i="11"/>
  <c r="BE199" i="11"/>
  <c r="T199" i="11"/>
  <c r="R199" i="11"/>
  <c r="P199" i="11"/>
  <c r="J199" i="11"/>
  <c r="BK198" i="11"/>
  <c r="BI198" i="11"/>
  <c r="BH198" i="11"/>
  <c r="BG198" i="11"/>
  <c r="BF198" i="11"/>
  <c r="BE198" i="11"/>
  <c r="T198" i="11"/>
  <c r="R198" i="11"/>
  <c r="P198" i="11"/>
  <c r="J198" i="11"/>
  <c r="BK197" i="11"/>
  <c r="BI197" i="11"/>
  <c r="BH197" i="11"/>
  <c r="BG197" i="11"/>
  <c r="BF197" i="11"/>
  <c r="BE197" i="11"/>
  <c r="T197" i="11"/>
  <c r="R197" i="11"/>
  <c r="P197" i="11"/>
  <c r="J197" i="11"/>
  <c r="BK196" i="11"/>
  <c r="BI196" i="11"/>
  <c r="BH196" i="11"/>
  <c r="BG196" i="11"/>
  <c r="BF196" i="11"/>
  <c r="BE196" i="11"/>
  <c r="T196" i="11"/>
  <c r="R196" i="11"/>
  <c r="P196" i="11"/>
  <c r="J196" i="11"/>
  <c r="BK195" i="11"/>
  <c r="BI195" i="11"/>
  <c r="BH195" i="11"/>
  <c r="BG195" i="11"/>
  <c r="BF195" i="11"/>
  <c r="BE195" i="11"/>
  <c r="T195" i="11"/>
  <c r="R195" i="11"/>
  <c r="P195" i="11"/>
  <c r="J195" i="11"/>
  <c r="BK194" i="11"/>
  <c r="BI194" i="11"/>
  <c r="BH194" i="11"/>
  <c r="BG194" i="11"/>
  <c r="BF194" i="11"/>
  <c r="BE194" i="11"/>
  <c r="T194" i="11"/>
  <c r="R194" i="11"/>
  <c r="P194" i="11"/>
  <c r="J194" i="11"/>
  <c r="BK193" i="11"/>
  <c r="BI193" i="11"/>
  <c r="BH193" i="11"/>
  <c r="BG193" i="11"/>
  <c r="BF193" i="11"/>
  <c r="BE193" i="11"/>
  <c r="T193" i="11"/>
  <c r="R193" i="11"/>
  <c r="P193" i="11"/>
  <c r="J193" i="11"/>
  <c r="BK192" i="11"/>
  <c r="BI192" i="11"/>
  <c r="BH192" i="11"/>
  <c r="BG192" i="11"/>
  <c r="BF192" i="11"/>
  <c r="BE192" i="11"/>
  <c r="T192" i="11"/>
  <c r="R192" i="11"/>
  <c r="P192" i="11"/>
  <c r="J192" i="11"/>
  <c r="BK191" i="11"/>
  <c r="BI191" i="11"/>
  <c r="BH191" i="11"/>
  <c r="BG191" i="11"/>
  <c r="BF191" i="11"/>
  <c r="BE191" i="11"/>
  <c r="T191" i="11"/>
  <c r="R191" i="11"/>
  <c r="P191" i="11"/>
  <c r="J191" i="11"/>
  <c r="BK189" i="11"/>
  <c r="BI189" i="11"/>
  <c r="BH189" i="11"/>
  <c r="BG189" i="11"/>
  <c r="BF189" i="11"/>
  <c r="BE189" i="11"/>
  <c r="T189" i="11"/>
  <c r="R189" i="11"/>
  <c r="P189" i="11"/>
  <c r="J189" i="11"/>
  <c r="BK188" i="11"/>
  <c r="BI188" i="11"/>
  <c r="BH188" i="11"/>
  <c r="BG188" i="11"/>
  <c r="BF188" i="11"/>
  <c r="BE188" i="11"/>
  <c r="T188" i="11"/>
  <c r="R188" i="11"/>
  <c r="P188" i="11"/>
  <c r="J188" i="11"/>
  <c r="BK187" i="11"/>
  <c r="BI187" i="11"/>
  <c r="BH187" i="11"/>
  <c r="BG187" i="11"/>
  <c r="BF187" i="11"/>
  <c r="BE187" i="11"/>
  <c r="T187" i="11"/>
  <c r="R187" i="11"/>
  <c r="P187" i="11"/>
  <c r="J187" i="11"/>
  <c r="BK186" i="11"/>
  <c r="BI186" i="11"/>
  <c r="BH186" i="11"/>
  <c r="BG186" i="11"/>
  <c r="BF186" i="11"/>
  <c r="BE186" i="11"/>
  <c r="T186" i="11"/>
  <c r="R186" i="11"/>
  <c r="P186" i="11"/>
  <c r="J186" i="11"/>
  <c r="BK185" i="11"/>
  <c r="T185" i="11"/>
  <c r="R185" i="11"/>
  <c r="P185" i="11"/>
  <c r="J185" i="11"/>
  <c r="BK184" i="11"/>
  <c r="BI184" i="11"/>
  <c r="BH184" i="11"/>
  <c r="BG184" i="11"/>
  <c r="BF184" i="11"/>
  <c r="BE184" i="11"/>
  <c r="T184" i="11"/>
  <c r="R184" i="11"/>
  <c r="P184" i="11"/>
  <c r="J184" i="11"/>
  <c r="BK183" i="11"/>
  <c r="BI183" i="11"/>
  <c r="BH183" i="11"/>
  <c r="BG183" i="11"/>
  <c r="BF183" i="11"/>
  <c r="BE183" i="11"/>
  <c r="T183" i="11"/>
  <c r="R183" i="11"/>
  <c r="P183" i="11"/>
  <c r="J183" i="11"/>
  <c r="BK182" i="11"/>
  <c r="BI182" i="11"/>
  <c r="BH182" i="11"/>
  <c r="BG182" i="11"/>
  <c r="BF182" i="11"/>
  <c r="BE182" i="11"/>
  <c r="T182" i="11"/>
  <c r="R182" i="11"/>
  <c r="P182" i="11"/>
  <c r="J182" i="11"/>
  <c r="BK181" i="11"/>
  <c r="BI181" i="11"/>
  <c r="BH181" i="11"/>
  <c r="BG181" i="11"/>
  <c r="BF181" i="11"/>
  <c r="BE181" i="11"/>
  <c r="T181" i="11"/>
  <c r="R181" i="11"/>
  <c r="P181" i="11"/>
  <c r="J181" i="11"/>
  <c r="BK180" i="11"/>
  <c r="BI180" i="11"/>
  <c r="BH180" i="11"/>
  <c r="BG180" i="11"/>
  <c r="BF180" i="11"/>
  <c r="BE180" i="11"/>
  <c r="T180" i="11"/>
  <c r="R180" i="11"/>
  <c r="P180" i="11"/>
  <c r="J180" i="11"/>
  <c r="BK179" i="11"/>
  <c r="BI179" i="11"/>
  <c r="BH179" i="11"/>
  <c r="BG179" i="11"/>
  <c r="BF179" i="11"/>
  <c r="BE179" i="11"/>
  <c r="T179" i="11"/>
  <c r="R179" i="11"/>
  <c r="P179" i="11"/>
  <c r="J179" i="11"/>
  <c r="BK178" i="11"/>
  <c r="BI178" i="11"/>
  <c r="BH178" i="11"/>
  <c r="BG178" i="11"/>
  <c r="BF178" i="11"/>
  <c r="BE178" i="11"/>
  <c r="T178" i="11"/>
  <c r="R178" i="11"/>
  <c r="P178" i="11"/>
  <c r="J178" i="11"/>
  <c r="BK177" i="11"/>
  <c r="BI177" i="11"/>
  <c r="BH177" i="11"/>
  <c r="BG177" i="11"/>
  <c r="BF177" i="11"/>
  <c r="BE177" i="11"/>
  <c r="T177" i="11"/>
  <c r="R177" i="11"/>
  <c r="P177" i="11"/>
  <c r="J177" i="11"/>
  <c r="BK176" i="11"/>
  <c r="BI176" i="11"/>
  <c r="BH176" i="11"/>
  <c r="BG176" i="11"/>
  <c r="BF176" i="11"/>
  <c r="BE176" i="11"/>
  <c r="T176" i="11"/>
  <c r="R176" i="11"/>
  <c r="P176" i="11"/>
  <c r="J176" i="11"/>
  <c r="BK175" i="11"/>
  <c r="BI175" i="11"/>
  <c r="BH175" i="11"/>
  <c r="BG175" i="11"/>
  <c r="BF175" i="11"/>
  <c r="BE175" i="11"/>
  <c r="T175" i="11"/>
  <c r="R175" i="11"/>
  <c r="P175" i="11"/>
  <c r="J175" i="11"/>
  <c r="BK174" i="11"/>
  <c r="BI174" i="11"/>
  <c r="BH174" i="11"/>
  <c r="BG174" i="11"/>
  <c r="BF174" i="11"/>
  <c r="BE174" i="11"/>
  <c r="T174" i="11"/>
  <c r="R174" i="11"/>
  <c r="P174" i="11"/>
  <c r="J174" i="11"/>
  <c r="BK173" i="11"/>
  <c r="BI173" i="11"/>
  <c r="BH173" i="11"/>
  <c r="BG173" i="11"/>
  <c r="BF173" i="11"/>
  <c r="BE173" i="11"/>
  <c r="T173" i="11"/>
  <c r="R173" i="11"/>
  <c r="P173" i="11"/>
  <c r="J173" i="11"/>
  <c r="BK172" i="11"/>
  <c r="BI172" i="11"/>
  <c r="BH172" i="11"/>
  <c r="BG172" i="11"/>
  <c r="BF172" i="11"/>
  <c r="BE172" i="11"/>
  <c r="T172" i="11"/>
  <c r="R172" i="11"/>
  <c r="P172" i="11"/>
  <c r="J172" i="11"/>
  <c r="BK171" i="11"/>
  <c r="BI171" i="11"/>
  <c r="BH171" i="11"/>
  <c r="BG171" i="11"/>
  <c r="BF171" i="11"/>
  <c r="BE171" i="11"/>
  <c r="T171" i="11"/>
  <c r="R171" i="11"/>
  <c r="P171" i="11"/>
  <c r="J171" i="11"/>
  <c r="BK170" i="11"/>
  <c r="BI170" i="11"/>
  <c r="BH170" i="11"/>
  <c r="BG170" i="11"/>
  <c r="BF170" i="11"/>
  <c r="BE170" i="11"/>
  <c r="T170" i="11"/>
  <c r="R170" i="11"/>
  <c r="P170" i="11"/>
  <c r="J170" i="11"/>
  <c r="BK169" i="11"/>
  <c r="BI169" i="11"/>
  <c r="BH169" i="11"/>
  <c r="BG169" i="11"/>
  <c r="BF169" i="11"/>
  <c r="BE169" i="11"/>
  <c r="T169" i="11"/>
  <c r="R169" i="11"/>
  <c r="P169" i="11"/>
  <c r="J169" i="11"/>
  <c r="BK168" i="11"/>
  <c r="BI168" i="11"/>
  <c r="BH168" i="11"/>
  <c r="BG168" i="11"/>
  <c r="BF168" i="11"/>
  <c r="BE168" i="11"/>
  <c r="T168" i="11"/>
  <c r="R168" i="11"/>
  <c r="P168" i="11"/>
  <c r="J168" i="11"/>
  <c r="BK167" i="11"/>
  <c r="BI167" i="11"/>
  <c r="BH167" i="11"/>
  <c r="BG167" i="11"/>
  <c r="BF167" i="11"/>
  <c r="BE167" i="11"/>
  <c r="T167" i="11"/>
  <c r="R167" i="11"/>
  <c r="P167" i="11"/>
  <c r="J167" i="11"/>
  <c r="BK166" i="11"/>
  <c r="BI166" i="11"/>
  <c r="BH166" i="11"/>
  <c r="BG166" i="11"/>
  <c r="BF166" i="11"/>
  <c r="BE166" i="11"/>
  <c r="T166" i="11"/>
  <c r="R166" i="11"/>
  <c r="P166" i="11"/>
  <c r="J166" i="11"/>
  <c r="BK165" i="11"/>
  <c r="BI165" i="11"/>
  <c r="BH165" i="11"/>
  <c r="BG165" i="11"/>
  <c r="BF165" i="11"/>
  <c r="BE165" i="11"/>
  <c r="T165" i="11"/>
  <c r="R165" i="11"/>
  <c r="P165" i="11"/>
  <c r="J165" i="11"/>
  <c r="BK164" i="11"/>
  <c r="BI164" i="11"/>
  <c r="BH164" i="11"/>
  <c r="BG164" i="11"/>
  <c r="BF164" i="11"/>
  <c r="BE164" i="11"/>
  <c r="T164" i="11"/>
  <c r="R164" i="11"/>
  <c r="P164" i="11"/>
  <c r="J164" i="11"/>
  <c r="BK163" i="11"/>
  <c r="BI163" i="11"/>
  <c r="BH163" i="11"/>
  <c r="BG163" i="11"/>
  <c r="BF163" i="11"/>
  <c r="BE163" i="11"/>
  <c r="T163" i="11"/>
  <c r="R163" i="11"/>
  <c r="P163" i="11"/>
  <c r="J163" i="11"/>
  <c r="BK162" i="11"/>
  <c r="BI162" i="11"/>
  <c r="BH162" i="11"/>
  <c r="BG162" i="11"/>
  <c r="BF162" i="11"/>
  <c r="BE162" i="11"/>
  <c r="T162" i="11"/>
  <c r="R162" i="11"/>
  <c r="P162" i="11"/>
  <c r="J162" i="11"/>
  <c r="BK161" i="11"/>
  <c r="BI161" i="11"/>
  <c r="BH161" i="11"/>
  <c r="BG161" i="11"/>
  <c r="BF161" i="11"/>
  <c r="BE161" i="11"/>
  <c r="T161" i="11"/>
  <c r="R161" i="11"/>
  <c r="P161" i="11"/>
  <c r="J161" i="11"/>
  <c r="BK160" i="11"/>
  <c r="BI160" i="11"/>
  <c r="BH160" i="11"/>
  <c r="BG160" i="11"/>
  <c r="BF160" i="11"/>
  <c r="BE160" i="11"/>
  <c r="T160" i="11"/>
  <c r="R160" i="11"/>
  <c r="P160" i="11"/>
  <c r="J160" i="11"/>
  <c r="BK159" i="11"/>
  <c r="T159" i="11"/>
  <c r="R159" i="11"/>
  <c r="P159" i="11"/>
  <c r="J159" i="11"/>
  <c r="BK158" i="11"/>
  <c r="BI158" i="11"/>
  <c r="BH158" i="11"/>
  <c r="BG158" i="11"/>
  <c r="BF158" i="11"/>
  <c r="BE158" i="11"/>
  <c r="T158" i="11"/>
  <c r="R158" i="11"/>
  <c r="P158" i="11"/>
  <c r="J158" i="11"/>
  <c r="BK157" i="11"/>
  <c r="BI157" i="11"/>
  <c r="BH157" i="11"/>
  <c r="BG157" i="11"/>
  <c r="BF157" i="11"/>
  <c r="BE157" i="11"/>
  <c r="T157" i="11"/>
  <c r="R157" i="11"/>
  <c r="P157" i="11"/>
  <c r="J157" i="11"/>
  <c r="BK156" i="11"/>
  <c r="BI156" i="11"/>
  <c r="BH156" i="11"/>
  <c r="BG156" i="11"/>
  <c r="BF156" i="11"/>
  <c r="BE156" i="11"/>
  <c r="T156" i="11"/>
  <c r="R156" i="11"/>
  <c r="P156" i="11"/>
  <c r="J156" i="11"/>
  <c r="BK155" i="11"/>
  <c r="BI155" i="11"/>
  <c r="BH155" i="11"/>
  <c r="BG155" i="11"/>
  <c r="BF155" i="11"/>
  <c r="BE155" i="11"/>
  <c r="T155" i="11"/>
  <c r="R155" i="11"/>
  <c r="P155" i="11"/>
  <c r="J155" i="11"/>
  <c r="BK154" i="11"/>
  <c r="BI154" i="11"/>
  <c r="BH154" i="11"/>
  <c r="BG154" i="11"/>
  <c r="BF154" i="11"/>
  <c r="BE154" i="11"/>
  <c r="T154" i="11"/>
  <c r="R154" i="11"/>
  <c r="P154" i="11"/>
  <c r="J154" i="11"/>
  <c r="BK153" i="11"/>
  <c r="BI153" i="11"/>
  <c r="BH153" i="11"/>
  <c r="BG153" i="11"/>
  <c r="BF153" i="11"/>
  <c r="BE153" i="11"/>
  <c r="T153" i="11"/>
  <c r="R153" i="11"/>
  <c r="P153" i="11"/>
  <c r="J153" i="11"/>
  <c r="BK152" i="11"/>
  <c r="BI152" i="11"/>
  <c r="BH152" i="11"/>
  <c r="BG152" i="11"/>
  <c r="BF152" i="11"/>
  <c r="BE152" i="11"/>
  <c r="T152" i="11"/>
  <c r="R152" i="11"/>
  <c r="P152" i="11"/>
  <c r="J152" i="11"/>
  <c r="BK151" i="11"/>
  <c r="BI151" i="11"/>
  <c r="BH151" i="11"/>
  <c r="BG151" i="11"/>
  <c r="BF151" i="11"/>
  <c r="BE151" i="11"/>
  <c r="T151" i="11"/>
  <c r="R151" i="11"/>
  <c r="P151" i="11"/>
  <c r="J151" i="11"/>
  <c r="BK150" i="11"/>
  <c r="BI150" i="11"/>
  <c r="BH150" i="11"/>
  <c r="BG150" i="11"/>
  <c r="BF150" i="11"/>
  <c r="BE150" i="11"/>
  <c r="T150" i="11"/>
  <c r="R150" i="11"/>
  <c r="P150" i="11"/>
  <c r="J150" i="11"/>
  <c r="BK149" i="11"/>
  <c r="BI149" i="11"/>
  <c r="BH149" i="11"/>
  <c r="BG149" i="11"/>
  <c r="BF149" i="11"/>
  <c r="BE149" i="11"/>
  <c r="T149" i="11"/>
  <c r="R149" i="11"/>
  <c r="P149" i="11"/>
  <c r="J149" i="11"/>
  <c r="BK148" i="11"/>
  <c r="BI148" i="11"/>
  <c r="BH148" i="11"/>
  <c r="BG148" i="11"/>
  <c r="BF148" i="11"/>
  <c r="BE148" i="11"/>
  <c r="T148" i="11"/>
  <c r="R148" i="11"/>
  <c r="P148" i="11"/>
  <c r="J148" i="11"/>
  <c r="BK147" i="11"/>
  <c r="BI147" i="11"/>
  <c r="BH147" i="11"/>
  <c r="BG147" i="11"/>
  <c r="BF147" i="11"/>
  <c r="BE147" i="11"/>
  <c r="T147" i="11"/>
  <c r="R147" i="11"/>
  <c r="P147" i="11"/>
  <c r="J147" i="11"/>
  <c r="BK146" i="11"/>
  <c r="BI146" i="11"/>
  <c r="BH146" i="11"/>
  <c r="BG146" i="11"/>
  <c r="BF146" i="11"/>
  <c r="BE146" i="11"/>
  <c r="T146" i="11"/>
  <c r="R146" i="11"/>
  <c r="P146" i="11"/>
  <c r="J146" i="11"/>
  <c r="BK145" i="11"/>
  <c r="BI145" i="11"/>
  <c r="BH145" i="11"/>
  <c r="BG145" i="11"/>
  <c r="BF145" i="11"/>
  <c r="BE145" i="11"/>
  <c r="T145" i="11"/>
  <c r="R145" i="11"/>
  <c r="P145" i="11"/>
  <c r="J145" i="11"/>
  <c r="BK144" i="11"/>
  <c r="BI144" i="11"/>
  <c r="BH144" i="11"/>
  <c r="BG144" i="11"/>
  <c r="BF144" i="11"/>
  <c r="BE144" i="11"/>
  <c r="T144" i="11"/>
  <c r="R144" i="11"/>
  <c r="P144" i="11"/>
  <c r="J144" i="11"/>
  <c r="BK143" i="11"/>
  <c r="BI143" i="11"/>
  <c r="BH143" i="11"/>
  <c r="BG143" i="11"/>
  <c r="BF143" i="11"/>
  <c r="BE143" i="11"/>
  <c r="T143" i="11"/>
  <c r="R143" i="11"/>
  <c r="P143" i="11"/>
  <c r="J143" i="11"/>
  <c r="BK142" i="11"/>
  <c r="BI142" i="11"/>
  <c r="BH142" i="11"/>
  <c r="BG142" i="11"/>
  <c r="BF142" i="11"/>
  <c r="BE142" i="11"/>
  <c r="T142" i="11"/>
  <c r="R142" i="11"/>
  <c r="P142" i="11"/>
  <c r="J142" i="11"/>
  <c r="BK141" i="11"/>
  <c r="BI141" i="11"/>
  <c r="BH141" i="11"/>
  <c r="BG141" i="11"/>
  <c r="BF141" i="11"/>
  <c r="BE141" i="11"/>
  <c r="T141" i="11"/>
  <c r="R141" i="11"/>
  <c r="P141" i="11"/>
  <c r="J141" i="11"/>
  <c r="BK140" i="11"/>
  <c r="BI140" i="11"/>
  <c r="BH140" i="11"/>
  <c r="BG140" i="11"/>
  <c r="BF140" i="11"/>
  <c r="BE140" i="11"/>
  <c r="T140" i="11"/>
  <c r="R140" i="11"/>
  <c r="P140" i="11"/>
  <c r="J140" i="11"/>
  <c r="BK139" i="11"/>
  <c r="BI139" i="11"/>
  <c r="BH139" i="11"/>
  <c r="BG139" i="11"/>
  <c r="BF139" i="11"/>
  <c r="BE139" i="11"/>
  <c r="T139" i="11"/>
  <c r="R139" i="11"/>
  <c r="P139" i="11"/>
  <c r="J139" i="11"/>
  <c r="BK138" i="11"/>
  <c r="BI138" i="11"/>
  <c r="BH138" i="11"/>
  <c r="BG138" i="11"/>
  <c r="BF138" i="11"/>
  <c r="BE138" i="11"/>
  <c r="T138" i="11"/>
  <c r="R138" i="11"/>
  <c r="P138" i="11"/>
  <c r="J138" i="11"/>
  <c r="BK137" i="11"/>
  <c r="BI137" i="11"/>
  <c r="BH137" i="11"/>
  <c r="BG137" i="11"/>
  <c r="BF137" i="11"/>
  <c r="BE137" i="11"/>
  <c r="T137" i="11"/>
  <c r="R137" i="11"/>
  <c r="P137" i="11"/>
  <c r="J137" i="11"/>
  <c r="BK136" i="11"/>
  <c r="BI136" i="11"/>
  <c r="BH136" i="11"/>
  <c r="BG136" i="11"/>
  <c r="BF136" i="11"/>
  <c r="BE136" i="11"/>
  <c r="T136" i="11"/>
  <c r="R136" i="11"/>
  <c r="P136" i="11"/>
  <c r="J136" i="11"/>
  <c r="BK134" i="11"/>
  <c r="BI134" i="11"/>
  <c r="BH134" i="11"/>
  <c r="BG134" i="11"/>
  <c r="BF134" i="11"/>
  <c r="BE134" i="11"/>
  <c r="T134" i="11"/>
  <c r="R134" i="11"/>
  <c r="P134" i="11"/>
  <c r="J134" i="11"/>
  <c r="BK133" i="11"/>
  <c r="BI133" i="11"/>
  <c r="BH133" i="11"/>
  <c r="BG133" i="11"/>
  <c r="BF133" i="11"/>
  <c r="BE133" i="11"/>
  <c r="T133" i="11"/>
  <c r="R133" i="11"/>
  <c r="P133" i="11"/>
  <c r="J133" i="11"/>
  <c r="BK132" i="11"/>
  <c r="BI132" i="11"/>
  <c r="BH132" i="11"/>
  <c r="BG132" i="11"/>
  <c r="BF132" i="11"/>
  <c r="BE132" i="11"/>
  <c r="T132" i="11"/>
  <c r="R132" i="11"/>
  <c r="P132" i="11"/>
  <c r="J132" i="11"/>
  <c r="BK131" i="11"/>
  <c r="BI131" i="11"/>
  <c r="BH131" i="11"/>
  <c r="BG131" i="11"/>
  <c r="BF131" i="11"/>
  <c r="BE131" i="11"/>
  <c r="T131" i="11"/>
  <c r="R131" i="11"/>
  <c r="P131" i="11"/>
  <c r="J131" i="11"/>
  <c r="BK130" i="11"/>
  <c r="BI130" i="11"/>
  <c r="BH130" i="11"/>
  <c r="BG130" i="11"/>
  <c r="BF130" i="11"/>
  <c r="BE130" i="11"/>
  <c r="T130" i="11"/>
  <c r="R130" i="11"/>
  <c r="P130" i="11"/>
  <c r="J130" i="11"/>
  <c r="BK129" i="11"/>
  <c r="T129" i="11"/>
  <c r="R129" i="11"/>
  <c r="P129" i="11"/>
  <c r="J129" i="11"/>
  <c r="BK128" i="11"/>
  <c r="T128" i="11"/>
  <c r="R128" i="11"/>
  <c r="P128" i="11"/>
  <c r="J128" i="11"/>
  <c r="BK127" i="11"/>
  <c r="T127" i="11"/>
  <c r="R127" i="11"/>
  <c r="P127" i="11"/>
  <c r="J127" i="11"/>
  <c r="J124" i="11"/>
  <c r="F124" i="11"/>
  <c r="J123" i="11"/>
  <c r="F123" i="11"/>
  <c r="J121" i="11"/>
  <c r="F121" i="11"/>
  <c r="E119" i="11"/>
  <c r="E115" i="11"/>
  <c r="J105" i="11"/>
  <c r="J104" i="11"/>
  <c r="J103" i="11"/>
  <c r="J102" i="11"/>
  <c r="J101" i="11"/>
  <c r="J100" i="11"/>
  <c r="J99" i="11"/>
  <c r="J98" i="11"/>
  <c r="J94" i="11"/>
  <c r="F94" i="11"/>
  <c r="J93" i="11"/>
  <c r="F93" i="11"/>
  <c r="J91" i="11"/>
  <c r="F91" i="11"/>
  <c r="E89" i="11"/>
  <c r="E85" i="11"/>
  <c r="J41" i="11"/>
  <c r="J39" i="11"/>
  <c r="F39" i="11"/>
  <c r="J38" i="11"/>
  <c r="F38" i="11"/>
  <c r="J37" i="11"/>
  <c r="F37" i="11"/>
  <c r="J36" i="11"/>
  <c r="F36" i="11"/>
  <c r="J35" i="11"/>
  <c r="F35" i="11"/>
  <c r="J32" i="11"/>
  <c r="J20" i="11"/>
  <c r="E20" i="11"/>
  <c r="J19" i="11"/>
  <c r="J14" i="11"/>
  <c r="E7" i="11"/>
  <c r="BK146" i="10"/>
  <c r="BI146" i="10"/>
  <c r="BH146" i="10"/>
  <c r="BG146" i="10"/>
  <c r="BF146" i="10"/>
  <c r="BE146" i="10"/>
  <c r="T146" i="10"/>
  <c r="R146" i="10"/>
  <c r="P146" i="10"/>
  <c r="J146" i="10"/>
  <c r="BK145" i="10"/>
  <c r="BI145" i="10"/>
  <c r="BH145" i="10"/>
  <c r="BG145" i="10"/>
  <c r="BF145" i="10"/>
  <c r="BE145" i="10"/>
  <c r="T145" i="10"/>
  <c r="R145" i="10"/>
  <c r="P145" i="10"/>
  <c r="J145" i="10"/>
  <c r="BK144" i="10"/>
  <c r="BI144" i="10"/>
  <c r="BH144" i="10"/>
  <c r="BG144" i="10"/>
  <c r="BF144" i="10"/>
  <c r="BE144" i="10"/>
  <c r="T144" i="10"/>
  <c r="R144" i="10"/>
  <c r="P144" i="10"/>
  <c r="J144" i="10"/>
  <c r="BK143" i="10"/>
  <c r="BI143" i="10"/>
  <c r="BH143" i="10"/>
  <c r="BG143" i="10"/>
  <c r="BF143" i="10"/>
  <c r="BE143" i="10"/>
  <c r="T143" i="10"/>
  <c r="R143" i="10"/>
  <c r="P143" i="10"/>
  <c r="J143" i="10"/>
  <c r="BK142" i="10"/>
  <c r="BI142" i="10"/>
  <c r="BH142" i="10"/>
  <c r="BG142" i="10"/>
  <c r="BF142" i="10"/>
  <c r="BE142" i="10"/>
  <c r="T142" i="10"/>
  <c r="R142" i="10"/>
  <c r="P142" i="10"/>
  <c r="J142" i="10"/>
  <c r="BK141" i="10"/>
  <c r="BI141" i="10"/>
  <c r="BH141" i="10"/>
  <c r="BG141" i="10"/>
  <c r="BF141" i="10"/>
  <c r="BE141" i="10"/>
  <c r="T141" i="10"/>
  <c r="R141" i="10"/>
  <c r="P141" i="10"/>
  <c r="J141" i="10"/>
  <c r="BK140" i="10"/>
  <c r="BI140" i="10"/>
  <c r="BH140" i="10"/>
  <c r="BG140" i="10"/>
  <c r="BF140" i="10"/>
  <c r="BE140" i="10"/>
  <c r="T140" i="10"/>
  <c r="R140" i="10"/>
  <c r="P140" i="10"/>
  <c r="J140" i="10"/>
  <c r="BK139" i="10"/>
  <c r="BI139" i="10"/>
  <c r="BH139" i="10"/>
  <c r="BG139" i="10"/>
  <c r="BF139" i="10"/>
  <c r="BE139" i="10"/>
  <c r="T139" i="10"/>
  <c r="R139" i="10"/>
  <c r="P139" i="10"/>
  <c r="J139" i="10"/>
  <c r="BK138" i="10"/>
  <c r="BI138" i="10"/>
  <c r="BH138" i="10"/>
  <c r="BG138" i="10"/>
  <c r="BF138" i="10"/>
  <c r="BE138" i="10"/>
  <c r="T138" i="10"/>
  <c r="R138" i="10"/>
  <c r="P138" i="10"/>
  <c r="J138" i="10"/>
  <c r="BK137" i="10"/>
  <c r="BI137" i="10"/>
  <c r="BH137" i="10"/>
  <c r="BG137" i="10"/>
  <c r="BF137" i="10"/>
  <c r="BE137" i="10"/>
  <c r="T137" i="10"/>
  <c r="R137" i="10"/>
  <c r="P137" i="10"/>
  <c r="J137" i="10"/>
  <c r="BK136" i="10"/>
  <c r="BI136" i="10"/>
  <c r="BH136" i="10"/>
  <c r="BG136" i="10"/>
  <c r="BF136" i="10"/>
  <c r="BE136" i="10"/>
  <c r="T136" i="10"/>
  <c r="R136" i="10"/>
  <c r="P136" i="10"/>
  <c r="J136" i="10"/>
  <c r="BK135" i="10"/>
  <c r="BI135" i="10"/>
  <c r="BH135" i="10"/>
  <c r="BG135" i="10"/>
  <c r="BF135" i="10"/>
  <c r="BE135" i="10"/>
  <c r="T135" i="10"/>
  <c r="R135" i="10"/>
  <c r="P135" i="10"/>
  <c r="J135" i="10"/>
  <c r="BK134" i="10"/>
  <c r="BI134" i="10"/>
  <c r="BH134" i="10"/>
  <c r="BG134" i="10"/>
  <c r="BF134" i="10"/>
  <c r="BE134" i="10"/>
  <c r="T134" i="10"/>
  <c r="R134" i="10"/>
  <c r="P134" i="10"/>
  <c r="J134" i="10"/>
  <c r="BK133" i="10"/>
  <c r="BI133" i="10"/>
  <c r="BH133" i="10"/>
  <c r="BG133" i="10"/>
  <c r="BF133" i="10"/>
  <c r="BE133" i="10"/>
  <c r="T133" i="10"/>
  <c r="R133" i="10"/>
  <c r="P133" i="10"/>
  <c r="J133" i="10"/>
  <c r="BK132" i="10"/>
  <c r="BI132" i="10"/>
  <c r="BH132" i="10"/>
  <c r="BG132" i="10"/>
  <c r="BF132" i="10"/>
  <c r="BE132" i="10"/>
  <c r="T132" i="10"/>
  <c r="R132" i="10"/>
  <c r="P132" i="10"/>
  <c r="J132" i="10"/>
  <c r="BK131" i="10"/>
  <c r="BI131" i="10"/>
  <c r="BH131" i="10"/>
  <c r="BG131" i="10"/>
  <c r="BF131" i="10"/>
  <c r="BE131" i="10"/>
  <c r="T131" i="10"/>
  <c r="R131" i="10"/>
  <c r="P131" i="10"/>
  <c r="J131" i="10"/>
  <c r="BK130" i="10"/>
  <c r="BI130" i="10"/>
  <c r="BH130" i="10"/>
  <c r="BG130" i="10"/>
  <c r="BF130" i="10"/>
  <c r="BE130" i="10"/>
  <c r="T130" i="10"/>
  <c r="R130" i="10"/>
  <c r="P130" i="10"/>
  <c r="J130" i="10"/>
  <c r="BK129" i="10"/>
  <c r="BI129" i="10"/>
  <c r="BH129" i="10"/>
  <c r="BG129" i="10"/>
  <c r="BF129" i="10"/>
  <c r="BE129" i="10"/>
  <c r="T129" i="10"/>
  <c r="R129" i="10"/>
  <c r="P129" i="10"/>
  <c r="J129" i="10"/>
  <c r="BK128" i="10"/>
  <c r="BI128" i="10"/>
  <c r="BH128" i="10"/>
  <c r="BG128" i="10"/>
  <c r="BF128" i="10"/>
  <c r="BE128" i="10"/>
  <c r="T128" i="10"/>
  <c r="R128" i="10"/>
  <c r="P128" i="10"/>
  <c r="J128" i="10"/>
  <c r="BK127" i="10"/>
  <c r="BI127" i="10"/>
  <c r="BH127" i="10"/>
  <c r="BG127" i="10"/>
  <c r="BF127" i="10"/>
  <c r="BE127" i="10"/>
  <c r="T127" i="10"/>
  <c r="R127" i="10"/>
  <c r="P127" i="10"/>
  <c r="J127" i="10"/>
  <c r="BK126" i="10"/>
  <c r="BI126" i="10"/>
  <c r="BH126" i="10"/>
  <c r="BG126" i="10"/>
  <c r="BF126" i="10"/>
  <c r="BE126" i="10"/>
  <c r="T126" i="10"/>
  <c r="R126" i="10"/>
  <c r="P126" i="10"/>
  <c r="J126" i="10"/>
  <c r="BK125" i="10"/>
  <c r="BI125" i="10"/>
  <c r="BH125" i="10"/>
  <c r="BG125" i="10"/>
  <c r="BF125" i="10"/>
  <c r="BE125" i="10"/>
  <c r="T125" i="10"/>
  <c r="R125" i="10"/>
  <c r="P125" i="10"/>
  <c r="J125" i="10"/>
  <c r="BK124" i="10"/>
  <c r="T124" i="10"/>
  <c r="R124" i="10"/>
  <c r="P124" i="10"/>
  <c r="J124" i="10"/>
  <c r="BK123" i="10"/>
  <c r="T123" i="10"/>
  <c r="R123" i="10"/>
  <c r="P123" i="10"/>
  <c r="J123" i="10"/>
  <c r="BK122" i="10"/>
  <c r="T122" i="10"/>
  <c r="R122" i="10"/>
  <c r="P122" i="10"/>
  <c r="J122" i="10"/>
  <c r="J119" i="10"/>
  <c r="F119" i="10"/>
  <c r="J118" i="10"/>
  <c r="F118" i="10"/>
  <c r="J116" i="10"/>
  <c r="F116" i="10"/>
  <c r="E114" i="10"/>
  <c r="E110" i="10"/>
  <c r="J100" i="10"/>
  <c r="J99" i="10"/>
  <c r="J98" i="10"/>
  <c r="J94" i="10"/>
  <c r="F94" i="10"/>
  <c r="J93" i="10"/>
  <c r="F93" i="10"/>
  <c r="J91" i="10"/>
  <c r="F91" i="10"/>
  <c r="E89" i="10"/>
  <c r="E85" i="10"/>
  <c r="J41" i="10"/>
  <c r="J39" i="10"/>
  <c r="F39" i="10"/>
  <c r="J38" i="10"/>
  <c r="F38" i="10"/>
  <c r="J37" i="10"/>
  <c r="F37" i="10"/>
  <c r="J36" i="10"/>
  <c r="F36" i="10"/>
  <c r="J35" i="10"/>
  <c r="F35" i="10"/>
  <c r="J32" i="10"/>
  <c r="J20" i="10"/>
  <c r="E20" i="10"/>
  <c r="J19" i="10"/>
  <c r="J14" i="10"/>
  <c r="E7" i="10"/>
  <c r="BK308" i="9"/>
  <c r="BI308" i="9"/>
  <c r="BH308" i="9"/>
  <c r="BG308" i="9"/>
  <c r="BF308" i="9"/>
  <c r="BE308" i="9"/>
  <c r="T308" i="9"/>
  <c r="R308" i="9"/>
  <c r="P308" i="9"/>
  <c r="J308" i="9"/>
  <c r="BK307" i="9"/>
  <c r="T307" i="9"/>
  <c r="R307" i="9"/>
  <c r="P307" i="9"/>
  <c r="J307" i="9"/>
  <c r="BK305" i="9"/>
  <c r="BI305" i="9"/>
  <c r="BH305" i="9"/>
  <c r="BG305" i="9"/>
  <c r="BF305" i="9"/>
  <c r="BE305" i="9"/>
  <c r="T305" i="9"/>
  <c r="R305" i="9"/>
  <c r="P305" i="9"/>
  <c r="J305" i="9"/>
  <c r="BK304" i="9"/>
  <c r="T304" i="9"/>
  <c r="R304" i="9"/>
  <c r="P304" i="9"/>
  <c r="J304" i="9"/>
  <c r="BK302" i="9"/>
  <c r="BI302" i="9"/>
  <c r="BH302" i="9"/>
  <c r="BG302" i="9"/>
  <c r="BF302" i="9"/>
  <c r="BE302" i="9"/>
  <c r="T302" i="9"/>
  <c r="R302" i="9"/>
  <c r="P302" i="9"/>
  <c r="J302" i="9"/>
  <c r="BK301" i="9"/>
  <c r="T301" i="9"/>
  <c r="R301" i="9"/>
  <c r="P301" i="9"/>
  <c r="J301" i="9"/>
  <c r="BK300" i="9"/>
  <c r="BI300" i="9"/>
  <c r="BH300" i="9"/>
  <c r="BG300" i="9"/>
  <c r="BF300" i="9"/>
  <c r="BE300" i="9"/>
  <c r="T300" i="9"/>
  <c r="R300" i="9"/>
  <c r="P300" i="9"/>
  <c r="J300" i="9"/>
  <c r="BK299" i="9"/>
  <c r="BI299" i="9"/>
  <c r="BH299" i="9"/>
  <c r="BG299" i="9"/>
  <c r="BF299" i="9"/>
  <c r="BE299" i="9"/>
  <c r="T299" i="9"/>
  <c r="R299" i="9"/>
  <c r="P299" i="9"/>
  <c r="J299" i="9"/>
  <c r="BK298" i="9"/>
  <c r="BI298" i="9"/>
  <c r="BH298" i="9"/>
  <c r="BG298" i="9"/>
  <c r="BF298" i="9"/>
  <c r="BE298" i="9"/>
  <c r="T298" i="9"/>
  <c r="R298" i="9"/>
  <c r="P298" i="9"/>
  <c r="J298" i="9"/>
  <c r="BK297" i="9"/>
  <c r="BI297" i="9"/>
  <c r="BH297" i="9"/>
  <c r="BG297" i="9"/>
  <c r="BF297" i="9"/>
  <c r="BE297" i="9"/>
  <c r="T297" i="9"/>
  <c r="R297" i="9"/>
  <c r="P297" i="9"/>
  <c r="J297" i="9"/>
  <c r="BK296" i="9"/>
  <c r="BI296" i="9"/>
  <c r="BH296" i="9"/>
  <c r="BG296" i="9"/>
  <c r="BF296" i="9"/>
  <c r="BE296" i="9"/>
  <c r="T296" i="9"/>
  <c r="R296" i="9"/>
  <c r="P296" i="9"/>
  <c r="J296" i="9"/>
  <c r="BK295" i="9"/>
  <c r="T295" i="9"/>
  <c r="R295" i="9"/>
  <c r="P295" i="9"/>
  <c r="J295" i="9"/>
  <c r="BK294" i="9"/>
  <c r="BI294" i="9"/>
  <c r="BH294" i="9"/>
  <c r="BG294" i="9"/>
  <c r="BF294" i="9"/>
  <c r="BE294" i="9"/>
  <c r="T294" i="9"/>
  <c r="R294" i="9"/>
  <c r="P294" i="9"/>
  <c r="J294" i="9"/>
  <c r="BK293" i="9"/>
  <c r="BI293" i="9"/>
  <c r="BH293" i="9"/>
  <c r="BG293" i="9"/>
  <c r="BF293" i="9"/>
  <c r="BE293" i="9"/>
  <c r="T293" i="9"/>
  <c r="R293" i="9"/>
  <c r="P293" i="9"/>
  <c r="J293" i="9"/>
  <c r="BK292" i="9"/>
  <c r="BI292" i="9"/>
  <c r="BH292" i="9"/>
  <c r="BG292" i="9"/>
  <c r="BF292" i="9"/>
  <c r="BE292" i="9"/>
  <c r="T292" i="9"/>
  <c r="R292" i="9"/>
  <c r="P292" i="9"/>
  <c r="J292" i="9"/>
  <c r="BK291" i="9"/>
  <c r="BI291" i="9"/>
  <c r="BH291" i="9"/>
  <c r="BG291" i="9"/>
  <c r="BF291" i="9"/>
  <c r="BE291" i="9"/>
  <c r="T291" i="9"/>
  <c r="R291" i="9"/>
  <c r="P291" i="9"/>
  <c r="J291" i="9"/>
  <c r="BK290" i="9"/>
  <c r="BI290" i="9"/>
  <c r="BH290" i="9"/>
  <c r="BG290" i="9"/>
  <c r="BF290" i="9"/>
  <c r="BE290" i="9"/>
  <c r="T290" i="9"/>
  <c r="R290" i="9"/>
  <c r="P290" i="9"/>
  <c r="J290" i="9"/>
  <c r="BK289" i="9"/>
  <c r="BI289" i="9"/>
  <c r="BH289" i="9"/>
  <c r="BG289" i="9"/>
  <c r="BF289" i="9"/>
  <c r="BE289" i="9"/>
  <c r="T289" i="9"/>
  <c r="R289" i="9"/>
  <c r="P289" i="9"/>
  <c r="J289" i="9"/>
  <c r="BK288" i="9"/>
  <c r="BI288" i="9"/>
  <c r="BH288" i="9"/>
  <c r="BG288" i="9"/>
  <c r="BF288" i="9"/>
  <c r="BE288" i="9"/>
  <c r="T288" i="9"/>
  <c r="R288" i="9"/>
  <c r="P288" i="9"/>
  <c r="J288" i="9"/>
  <c r="BK287" i="9"/>
  <c r="BI287" i="9"/>
  <c r="BH287" i="9"/>
  <c r="BG287" i="9"/>
  <c r="BF287" i="9"/>
  <c r="BE287" i="9"/>
  <c r="T287" i="9"/>
  <c r="R287" i="9"/>
  <c r="P287" i="9"/>
  <c r="J287" i="9"/>
  <c r="BK286" i="9"/>
  <c r="T286" i="9"/>
  <c r="R286" i="9"/>
  <c r="P286" i="9"/>
  <c r="J286" i="9"/>
  <c r="BK285" i="9"/>
  <c r="BI285" i="9"/>
  <c r="BH285" i="9"/>
  <c r="BG285" i="9"/>
  <c r="BF285" i="9"/>
  <c r="BE285" i="9"/>
  <c r="T285" i="9"/>
  <c r="R285" i="9"/>
  <c r="P285" i="9"/>
  <c r="J285" i="9"/>
  <c r="BK284" i="9"/>
  <c r="BI284" i="9"/>
  <c r="BH284" i="9"/>
  <c r="BG284" i="9"/>
  <c r="BF284" i="9"/>
  <c r="BE284" i="9"/>
  <c r="T284" i="9"/>
  <c r="R284" i="9"/>
  <c r="P284" i="9"/>
  <c r="J284" i="9"/>
  <c r="BK283" i="9"/>
  <c r="T283" i="9"/>
  <c r="R283" i="9"/>
  <c r="P283" i="9"/>
  <c r="J283" i="9"/>
  <c r="BK281" i="9"/>
  <c r="BI281" i="9"/>
  <c r="BH281" i="9"/>
  <c r="BG281" i="9"/>
  <c r="BF281" i="9"/>
  <c r="BE281" i="9"/>
  <c r="T281" i="9"/>
  <c r="R281" i="9"/>
  <c r="P281" i="9"/>
  <c r="J281" i="9"/>
  <c r="BK280" i="9"/>
  <c r="BI280" i="9"/>
  <c r="BH280" i="9"/>
  <c r="BG280" i="9"/>
  <c r="BF280" i="9"/>
  <c r="BE280" i="9"/>
  <c r="T280" i="9"/>
  <c r="R280" i="9"/>
  <c r="P280" i="9"/>
  <c r="J280" i="9"/>
  <c r="BK279" i="9"/>
  <c r="BI279" i="9"/>
  <c r="BH279" i="9"/>
  <c r="BG279" i="9"/>
  <c r="BF279" i="9"/>
  <c r="BE279" i="9"/>
  <c r="T279" i="9"/>
  <c r="R279" i="9"/>
  <c r="P279" i="9"/>
  <c r="J279" i="9"/>
  <c r="BK278" i="9"/>
  <c r="BI278" i="9"/>
  <c r="BH278" i="9"/>
  <c r="BG278" i="9"/>
  <c r="BF278" i="9"/>
  <c r="BE278" i="9"/>
  <c r="T278" i="9"/>
  <c r="R278" i="9"/>
  <c r="P278" i="9"/>
  <c r="J278" i="9"/>
  <c r="BK277" i="9"/>
  <c r="T277" i="9"/>
  <c r="R277" i="9"/>
  <c r="P277" i="9"/>
  <c r="J277" i="9"/>
  <c r="BK275" i="9"/>
  <c r="BI275" i="9"/>
  <c r="BH275" i="9"/>
  <c r="BG275" i="9"/>
  <c r="BF275" i="9"/>
  <c r="BE275" i="9"/>
  <c r="T275" i="9"/>
  <c r="R275" i="9"/>
  <c r="P275" i="9"/>
  <c r="J275" i="9"/>
  <c r="BK274" i="9"/>
  <c r="BI274" i="9"/>
  <c r="BH274" i="9"/>
  <c r="BG274" i="9"/>
  <c r="BF274" i="9"/>
  <c r="BE274" i="9"/>
  <c r="T274" i="9"/>
  <c r="R274" i="9"/>
  <c r="P274" i="9"/>
  <c r="J274" i="9"/>
  <c r="BK273" i="9"/>
  <c r="BI273" i="9"/>
  <c r="BH273" i="9"/>
  <c r="BG273" i="9"/>
  <c r="BF273" i="9"/>
  <c r="BE273" i="9"/>
  <c r="T273" i="9"/>
  <c r="R273" i="9"/>
  <c r="P273" i="9"/>
  <c r="J273" i="9"/>
  <c r="BK272" i="9"/>
  <c r="BI272" i="9"/>
  <c r="BH272" i="9"/>
  <c r="BG272" i="9"/>
  <c r="BF272" i="9"/>
  <c r="BE272" i="9"/>
  <c r="T272" i="9"/>
  <c r="R272" i="9"/>
  <c r="P272" i="9"/>
  <c r="J272" i="9"/>
  <c r="BK271" i="9"/>
  <c r="BI271" i="9"/>
  <c r="BH271" i="9"/>
  <c r="BG271" i="9"/>
  <c r="BF271" i="9"/>
  <c r="BE271" i="9"/>
  <c r="T271" i="9"/>
  <c r="R271" i="9"/>
  <c r="P271" i="9"/>
  <c r="J271" i="9"/>
  <c r="BK270" i="9"/>
  <c r="T270" i="9"/>
  <c r="R270" i="9"/>
  <c r="P270" i="9"/>
  <c r="J270" i="9"/>
  <c r="BK269" i="9"/>
  <c r="T269" i="9"/>
  <c r="R269" i="9"/>
  <c r="P269" i="9"/>
  <c r="J269" i="9"/>
  <c r="BK268" i="9"/>
  <c r="BI268" i="9"/>
  <c r="BH268" i="9"/>
  <c r="BG268" i="9"/>
  <c r="BF268" i="9"/>
  <c r="BE268" i="9"/>
  <c r="T268" i="9"/>
  <c r="R268" i="9"/>
  <c r="P268" i="9"/>
  <c r="J268" i="9"/>
  <c r="BK267" i="9"/>
  <c r="BI267" i="9"/>
  <c r="BH267" i="9"/>
  <c r="BG267" i="9"/>
  <c r="BF267" i="9"/>
  <c r="BE267" i="9"/>
  <c r="T267" i="9"/>
  <c r="R267" i="9"/>
  <c r="P267" i="9"/>
  <c r="J267" i="9"/>
  <c r="BK266" i="9"/>
  <c r="BI266" i="9"/>
  <c r="BH266" i="9"/>
  <c r="BG266" i="9"/>
  <c r="BF266" i="9"/>
  <c r="BE266" i="9"/>
  <c r="T266" i="9"/>
  <c r="R266" i="9"/>
  <c r="P266" i="9"/>
  <c r="J266" i="9"/>
  <c r="BK265" i="9"/>
  <c r="T265" i="9"/>
  <c r="R265" i="9"/>
  <c r="P265" i="9"/>
  <c r="J265" i="9"/>
  <c r="BK264" i="9"/>
  <c r="BI264" i="9"/>
  <c r="BH264" i="9"/>
  <c r="BG264" i="9"/>
  <c r="BF264" i="9"/>
  <c r="BE264" i="9"/>
  <c r="T264" i="9"/>
  <c r="R264" i="9"/>
  <c r="P264" i="9"/>
  <c r="J264" i="9"/>
  <c r="BK263" i="9"/>
  <c r="BI263" i="9"/>
  <c r="BH263" i="9"/>
  <c r="BG263" i="9"/>
  <c r="BF263" i="9"/>
  <c r="BE263" i="9"/>
  <c r="T263" i="9"/>
  <c r="R263" i="9"/>
  <c r="P263" i="9"/>
  <c r="J263" i="9"/>
  <c r="BK262" i="9"/>
  <c r="BI262" i="9"/>
  <c r="BH262" i="9"/>
  <c r="BG262" i="9"/>
  <c r="BF262" i="9"/>
  <c r="BE262" i="9"/>
  <c r="T262" i="9"/>
  <c r="R262" i="9"/>
  <c r="P262" i="9"/>
  <c r="J262" i="9"/>
  <c r="BK261" i="9"/>
  <c r="T261" i="9"/>
  <c r="R261" i="9"/>
  <c r="P261" i="9"/>
  <c r="J261" i="9"/>
  <c r="BK260" i="9"/>
  <c r="BI260" i="9"/>
  <c r="BH260" i="9"/>
  <c r="BG260" i="9"/>
  <c r="BF260" i="9"/>
  <c r="BE260" i="9"/>
  <c r="T260" i="9"/>
  <c r="R260" i="9"/>
  <c r="P260" i="9"/>
  <c r="J260" i="9"/>
  <c r="BK259" i="9"/>
  <c r="BI259" i="9"/>
  <c r="BH259" i="9"/>
  <c r="BG259" i="9"/>
  <c r="BF259" i="9"/>
  <c r="BE259" i="9"/>
  <c r="T259" i="9"/>
  <c r="R259" i="9"/>
  <c r="P259" i="9"/>
  <c r="J259" i="9"/>
  <c r="BK258" i="9"/>
  <c r="BI258" i="9"/>
  <c r="BH258" i="9"/>
  <c r="BG258" i="9"/>
  <c r="BF258" i="9"/>
  <c r="BE258" i="9"/>
  <c r="T258" i="9"/>
  <c r="R258" i="9"/>
  <c r="P258" i="9"/>
  <c r="J258" i="9"/>
  <c r="BK257" i="9"/>
  <c r="BI257" i="9"/>
  <c r="BH257" i="9"/>
  <c r="BG257" i="9"/>
  <c r="BF257" i="9"/>
  <c r="BE257" i="9"/>
  <c r="T257" i="9"/>
  <c r="R257" i="9"/>
  <c r="P257" i="9"/>
  <c r="J257" i="9"/>
  <c r="BK256" i="9"/>
  <c r="BI256" i="9"/>
  <c r="BH256" i="9"/>
  <c r="BG256" i="9"/>
  <c r="BF256" i="9"/>
  <c r="BE256" i="9"/>
  <c r="T256" i="9"/>
  <c r="R256" i="9"/>
  <c r="P256" i="9"/>
  <c r="J256" i="9"/>
  <c r="BK255" i="9"/>
  <c r="BI255" i="9"/>
  <c r="BH255" i="9"/>
  <c r="BG255" i="9"/>
  <c r="BF255" i="9"/>
  <c r="BE255" i="9"/>
  <c r="T255" i="9"/>
  <c r="R255" i="9"/>
  <c r="P255" i="9"/>
  <c r="J255" i="9"/>
  <c r="BK254" i="9"/>
  <c r="BI254" i="9"/>
  <c r="BH254" i="9"/>
  <c r="BG254" i="9"/>
  <c r="BF254" i="9"/>
  <c r="BE254" i="9"/>
  <c r="T254" i="9"/>
  <c r="R254" i="9"/>
  <c r="P254" i="9"/>
  <c r="J254" i="9"/>
  <c r="BK253" i="9"/>
  <c r="BI253" i="9"/>
  <c r="BH253" i="9"/>
  <c r="BG253" i="9"/>
  <c r="BF253" i="9"/>
  <c r="BE253" i="9"/>
  <c r="T253" i="9"/>
  <c r="R253" i="9"/>
  <c r="P253" i="9"/>
  <c r="J253" i="9"/>
  <c r="BK252" i="9"/>
  <c r="BI252" i="9"/>
  <c r="BH252" i="9"/>
  <c r="BG252" i="9"/>
  <c r="BF252" i="9"/>
  <c r="BE252" i="9"/>
  <c r="T252" i="9"/>
  <c r="R252" i="9"/>
  <c r="P252" i="9"/>
  <c r="J252" i="9"/>
  <c r="BK251" i="9"/>
  <c r="T251" i="9"/>
  <c r="R251" i="9"/>
  <c r="P251" i="9"/>
  <c r="J251" i="9"/>
  <c r="BK250" i="9"/>
  <c r="BI250" i="9"/>
  <c r="BH250" i="9"/>
  <c r="BG250" i="9"/>
  <c r="BF250" i="9"/>
  <c r="BE250" i="9"/>
  <c r="T250" i="9"/>
  <c r="R250" i="9"/>
  <c r="P250" i="9"/>
  <c r="J250" i="9"/>
  <c r="BK249" i="9"/>
  <c r="BI249" i="9"/>
  <c r="BH249" i="9"/>
  <c r="BG249" i="9"/>
  <c r="BF249" i="9"/>
  <c r="BE249" i="9"/>
  <c r="T249" i="9"/>
  <c r="R249" i="9"/>
  <c r="P249" i="9"/>
  <c r="J249" i="9"/>
  <c r="BK248" i="9"/>
  <c r="T248" i="9"/>
  <c r="R248" i="9"/>
  <c r="P248" i="9"/>
  <c r="J248" i="9"/>
  <c r="BK246" i="9"/>
  <c r="BI246" i="9"/>
  <c r="BH246" i="9"/>
  <c r="BG246" i="9"/>
  <c r="BF246" i="9"/>
  <c r="BE246" i="9"/>
  <c r="T246" i="9"/>
  <c r="R246" i="9"/>
  <c r="P246" i="9"/>
  <c r="J246" i="9"/>
  <c r="BK245" i="9"/>
  <c r="BI245" i="9"/>
  <c r="BH245" i="9"/>
  <c r="BG245" i="9"/>
  <c r="BF245" i="9"/>
  <c r="BE245" i="9"/>
  <c r="T245" i="9"/>
  <c r="R245" i="9"/>
  <c r="P245" i="9"/>
  <c r="J245" i="9"/>
  <c r="BK244" i="9"/>
  <c r="BI244" i="9"/>
  <c r="BH244" i="9"/>
  <c r="BG244" i="9"/>
  <c r="BF244" i="9"/>
  <c r="BE244" i="9"/>
  <c r="T244" i="9"/>
  <c r="R244" i="9"/>
  <c r="P244" i="9"/>
  <c r="J244" i="9"/>
  <c r="BK243" i="9"/>
  <c r="BI243" i="9"/>
  <c r="BH243" i="9"/>
  <c r="BG243" i="9"/>
  <c r="BF243" i="9"/>
  <c r="BE243" i="9"/>
  <c r="T243" i="9"/>
  <c r="R243" i="9"/>
  <c r="P243" i="9"/>
  <c r="J243" i="9"/>
  <c r="BK242" i="9"/>
  <c r="BI242" i="9"/>
  <c r="BH242" i="9"/>
  <c r="BG242" i="9"/>
  <c r="BF242" i="9"/>
  <c r="BE242" i="9"/>
  <c r="T242" i="9"/>
  <c r="R242" i="9"/>
  <c r="P242" i="9"/>
  <c r="J242" i="9"/>
  <c r="BK241" i="9"/>
  <c r="BI241" i="9"/>
  <c r="BH241" i="9"/>
  <c r="BG241" i="9"/>
  <c r="BF241" i="9"/>
  <c r="BE241" i="9"/>
  <c r="T241" i="9"/>
  <c r="R241" i="9"/>
  <c r="P241" i="9"/>
  <c r="J241" i="9"/>
  <c r="BK240" i="9"/>
  <c r="BI240" i="9"/>
  <c r="BH240" i="9"/>
  <c r="BG240" i="9"/>
  <c r="BF240" i="9"/>
  <c r="BE240" i="9"/>
  <c r="T240" i="9"/>
  <c r="R240" i="9"/>
  <c r="P240" i="9"/>
  <c r="J240" i="9"/>
  <c r="BK239" i="9"/>
  <c r="T239" i="9"/>
  <c r="R239" i="9"/>
  <c r="P239" i="9"/>
  <c r="J239" i="9"/>
  <c r="BK238" i="9"/>
  <c r="BI238" i="9"/>
  <c r="BH238" i="9"/>
  <c r="BG238" i="9"/>
  <c r="BF238" i="9"/>
  <c r="BE238" i="9"/>
  <c r="T238" i="9"/>
  <c r="R238" i="9"/>
  <c r="P238" i="9"/>
  <c r="J238" i="9"/>
  <c r="BK237" i="9"/>
  <c r="BI237" i="9"/>
  <c r="BH237" i="9"/>
  <c r="BG237" i="9"/>
  <c r="BF237" i="9"/>
  <c r="BE237" i="9"/>
  <c r="T237" i="9"/>
  <c r="R237" i="9"/>
  <c r="P237" i="9"/>
  <c r="J237" i="9"/>
  <c r="BK236" i="9"/>
  <c r="BI236" i="9"/>
  <c r="BH236" i="9"/>
  <c r="BG236" i="9"/>
  <c r="BF236" i="9"/>
  <c r="BE236" i="9"/>
  <c r="T236" i="9"/>
  <c r="R236" i="9"/>
  <c r="P236" i="9"/>
  <c r="J236" i="9"/>
  <c r="BK235" i="9"/>
  <c r="BI235" i="9"/>
  <c r="BH235" i="9"/>
  <c r="BG235" i="9"/>
  <c r="BF235" i="9"/>
  <c r="BE235" i="9"/>
  <c r="T235" i="9"/>
  <c r="R235" i="9"/>
  <c r="P235" i="9"/>
  <c r="J235" i="9"/>
  <c r="BK234" i="9"/>
  <c r="BI234" i="9"/>
  <c r="BH234" i="9"/>
  <c r="BG234" i="9"/>
  <c r="BF234" i="9"/>
  <c r="BE234" i="9"/>
  <c r="T234" i="9"/>
  <c r="R234" i="9"/>
  <c r="P234" i="9"/>
  <c r="J234" i="9"/>
  <c r="BK233" i="9"/>
  <c r="BI233" i="9"/>
  <c r="BH233" i="9"/>
  <c r="BG233" i="9"/>
  <c r="BF233" i="9"/>
  <c r="BE233" i="9"/>
  <c r="T233" i="9"/>
  <c r="R233" i="9"/>
  <c r="P233" i="9"/>
  <c r="J233" i="9"/>
  <c r="BK232" i="9"/>
  <c r="BI232" i="9"/>
  <c r="BH232" i="9"/>
  <c r="BG232" i="9"/>
  <c r="BF232" i="9"/>
  <c r="BE232" i="9"/>
  <c r="T232" i="9"/>
  <c r="R232" i="9"/>
  <c r="P232" i="9"/>
  <c r="J232" i="9"/>
  <c r="BK231" i="9"/>
  <c r="BI231" i="9"/>
  <c r="BH231" i="9"/>
  <c r="BG231" i="9"/>
  <c r="BF231" i="9"/>
  <c r="BE231" i="9"/>
  <c r="T231" i="9"/>
  <c r="R231" i="9"/>
  <c r="P231" i="9"/>
  <c r="J231" i="9"/>
  <c r="BK230" i="9"/>
  <c r="BI230" i="9"/>
  <c r="BH230" i="9"/>
  <c r="BG230" i="9"/>
  <c r="BF230" i="9"/>
  <c r="BE230" i="9"/>
  <c r="T230" i="9"/>
  <c r="R230" i="9"/>
  <c r="P230" i="9"/>
  <c r="J230" i="9"/>
  <c r="BK229" i="9"/>
  <c r="BI229" i="9"/>
  <c r="BH229" i="9"/>
  <c r="BG229" i="9"/>
  <c r="BF229" i="9"/>
  <c r="BE229" i="9"/>
  <c r="T229" i="9"/>
  <c r="R229" i="9"/>
  <c r="P229" i="9"/>
  <c r="J229" i="9"/>
  <c r="BK228" i="9"/>
  <c r="BI228" i="9"/>
  <c r="BH228" i="9"/>
  <c r="BG228" i="9"/>
  <c r="BF228" i="9"/>
  <c r="BE228" i="9"/>
  <c r="T228" i="9"/>
  <c r="R228" i="9"/>
  <c r="P228" i="9"/>
  <c r="J228" i="9"/>
  <c r="BK227" i="9"/>
  <c r="BI227" i="9"/>
  <c r="BH227" i="9"/>
  <c r="BG227" i="9"/>
  <c r="BF227" i="9"/>
  <c r="BE227" i="9"/>
  <c r="T227" i="9"/>
  <c r="R227" i="9"/>
  <c r="P227" i="9"/>
  <c r="J227" i="9"/>
  <c r="BK226" i="9"/>
  <c r="BI226" i="9"/>
  <c r="BH226" i="9"/>
  <c r="BG226" i="9"/>
  <c r="BF226" i="9"/>
  <c r="BE226" i="9"/>
  <c r="T226" i="9"/>
  <c r="R226" i="9"/>
  <c r="P226" i="9"/>
  <c r="J226" i="9"/>
  <c r="BK225" i="9"/>
  <c r="BI225" i="9"/>
  <c r="BH225" i="9"/>
  <c r="BG225" i="9"/>
  <c r="BF225" i="9"/>
  <c r="BE225" i="9"/>
  <c r="T225" i="9"/>
  <c r="R225" i="9"/>
  <c r="P225" i="9"/>
  <c r="J225" i="9"/>
  <c r="BK224" i="9"/>
  <c r="BI224" i="9"/>
  <c r="BH224" i="9"/>
  <c r="BG224" i="9"/>
  <c r="BF224" i="9"/>
  <c r="BE224" i="9"/>
  <c r="T224" i="9"/>
  <c r="R224" i="9"/>
  <c r="P224" i="9"/>
  <c r="J224" i="9"/>
  <c r="BK223" i="9"/>
  <c r="T223" i="9"/>
  <c r="R223" i="9"/>
  <c r="P223" i="9"/>
  <c r="J223" i="9"/>
  <c r="BK222" i="9"/>
  <c r="BI222" i="9"/>
  <c r="BH222" i="9"/>
  <c r="BG222" i="9"/>
  <c r="BF222" i="9"/>
  <c r="BE222" i="9"/>
  <c r="T222" i="9"/>
  <c r="R222" i="9"/>
  <c r="P222" i="9"/>
  <c r="J222" i="9"/>
  <c r="BK221" i="9"/>
  <c r="BI221" i="9"/>
  <c r="BH221" i="9"/>
  <c r="BG221" i="9"/>
  <c r="BF221" i="9"/>
  <c r="BE221" i="9"/>
  <c r="T221" i="9"/>
  <c r="R221" i="9"/>
  <c r="P221" i="9"/>
  <c r="J221" i="9"/>
  <c r="BK220" i="9"/>
  <c r="T220" i="9"/>
  <c r="R220" i="9"/>
  <c r="P220" i="9"/>
  <c r="J220" i="9"/>
  <c r="BK219" i="9"/>
  <c r="BI219" i="9"/>
  <c r="BH219" i="9"/>
  <c r="BG219" i="9"/>
  <c r="BF219" i="9"/>
  <c r="BE219" i="9"/>
  <c r="T219" i="9"/>
  <c r="R219" i="9"/>
  <c r="P219" i="9"/>
  <c r="J219" i="9"/>
  <c r="BK218" i="9"/>
  <c r="BI218" i="9"/>
  <c r="BH218" i="9"/>
  <c r="BG218" i="9"/>
  <c r="BF218" i="9"/>
  <c r="BE218" i="9"/>
  <c r="T218" i="9"/>
  <c r="R218" i="9"/>
  <c r="P218" i="9"/>
  <c r="J218" i="9"/>
  <c r="BK217" i="9"/>
  <c r="T217" i="9"/>
  <c r="R217" i="9"/>
  <c r="P217" i="9"/>
  <c r="J217" i="9"/>
  <c r="BK216" i="9"/>
  <c r="BI216" i="9"/>
  <c r="BH216" i="9"/>
  <c r="BG216" i="9"/>
  <c r="BF216" i="9"/>
  <c r="BE216" i="9"/>
  <c r="T216" i="9"/>
  <c r="R216" i="9"/>
  <c r="P216" i="9"/>
  <c r="J216" i="9"/>
  <c r="BK215" i="9"/>
  <c r="BI215" i="9"/>
  <c r="BH215" i="9"/>
  <c r="BG215" i="9"/>
  <c r="BF215" i="9"/>
  <c r="BE215" i="9"/>
  <c r="T215" i="9"/>
  <c r="R215" i="9"/>
  <c r="P215" i="9"/>
  <c r="J215" i="9"/>
  <c r="BK214" i="9"/>
  <c r="BI214" i="9"/>
  <c r="BH214" i="9"/>
  <c r="BG214" i="9"/>
  <c r="BF214" i="9"/>
  <c r="BE214" i="9"/>
  <c r="T214" i="9"/>
  <c r="R214" i="9"/>
  <c r="P214" i="9"/>
  <c r="J214" i="9"/>
  <c r="BK213" i="9"/>
  <c r="BI213" i="9"/>
  <c r="BH213" i="9"/>
  <c r="BG213" i="9"/>
  <c r="BF213" i="9"/>
  <c r="BE213" i="9"/>
  <c r="T213" i="9"/>
  <c r="R213" i="9"/>
  <c r="P213" i="9"/>
  <c r="J213" i="9"/>
  <c r="BK212" i="9"/>
  <c r="T212" i="9"/>
  <c r="R212" i="9"/>
  <c r="P212" i="9"/>
  <c r="J212" i="9"/>
  <c r="BK211" i="9"/>
  <c r="T211" i="9"/>
  <c r="R211" i="9"/>
  <c r="P211" i="9"/>
  <c r="J211" i="9"/>
  <c r="BK209" i="9"/>
  <c r="BI209" i="9"/>
  <c r="BH209" i="9"/>
  <c r="BG209" i="9"/>
  <c r="BF209" i="9"/>
  <c r="BE209" i="9"/>
  <c r="T209" i="9"/>
  <c r="R209" i="9"/>
  <c r="P209" i="9"/>
  <c r="J209" i="9"/>
  <c r="BK207" i="9"/>
  <c r="BI207" i="9"/>
  <c r="BH207" i="9"/>
  <c r="BG207" i="9"/>
  <c r="BF207" i="9"/>
  <c r="BE207" i="9"/>
  <c r="T207" i="9"/>
  <c r="R207" i="9"/>
  <c r="P207" i="9"/>
  <c r="J207" i="9"/>
  <c r="BK205" i="9"/>
  <c r="BI205" i="9"/>
  <c r="BH205" i="9"/>
  <c r="BG205" i="9"/>
  <c r="BF205" i="9"/>
  <c r="BE205" i="9"/>
  <c r="T205" i="9"/>
  <c r="R205" i="9"/>
  <c r="P205" i="9"/>
  <c r="J205" i="9"/>
  <c r="BK204" i="9"/>
  <c r="T204" i="9"/>
  <c r="R204" i="9"/>
  <c r="P204" i="9"/>
  <c r="J204" i="9"/>
  <c r="BK202" i="9"/>
  <c r="BI202" i="9"/>
  <c r="BH202" i="9"/>
  <c r="BG202" i="9"/>
  <c r="BF202" i="9"/>
  <c r="BE202" i="9"/>
  <c r="T202" i="9"/>
  <c r="R202" i="9"/>
  <c r="P202" i="9"/>
  <c r="J202" i="9"/>
  <c r="BK200" i="9"/>
  <c r="BI200" i="9"/>
  <c r="BH200" i="9"/>
  <c r="BG200" i="9"/>
  <c r="BF200" i="9"/>
  <c r="BE200" i="9"/>
  <c r="T200" i="9"/>
  <c r="R200" i="9"/>
  <c r="P200" i="9"/>
  <c r="J200" i="9"/>
  <c r="BK198" i="9"/>
  <c r="BI198" i="9"/>
  <c r="BH198" i="9"/>
  <c r="BG198" i="9"/>
  <c r="BF198" i="9"/>
  <c r="BE198" i="9"/>
  <c r="T198" i="9"/>
  <c r="R198" i="9"/>
  <c r="P198" i="9"/>
  <c r="J198" i="9"/>
  <c r="BK197" i="9"/>
  <c r="T197" i="9"/>
  <c r="R197" i="9"/>
  <c r="P197" i="9"/>
  <c r="J197" i="9"/>
  <c r="BK196" i="9"/>
  <c r="T196" i="9"/>
  <c r="R196" i="9"/>
  <c r="P196" i="9"/>
  <c r="J196" i="9"/>
  <c r="BK195" i="9"/>
  <c r="BI195" i="9"/>
  <c r="BH195" i="9"/>
  <c r="BG195" i="9"/>
  <c r="BF195" i="9"/>
  <c r="BE195" i="9"/>
  <c r="T195" i="9"/>
  <c r="R195" i="9"/>
  <c r="P195" i="9"/>
  <c r="J195" i="9"/>
  <c r="BK194" i="9"/>
  <c r="BI194" i="9"/>
  <c r="BH194" i="9"/>
  <c r="BG194" i="9"/>
  <c r="BF194" i="9"/>
  <c r="BE194" i="9"/>
  <c r="T194" i="9"/>
  <c r="R194" i="9"/>
  <c r="P194" i="9"/>
  <c r="J194" i="9"/>
  <c r="BK193" i="9"/>
  <c r="BI193" i="9"/>
  <c r="BH193" i="9"/>
  <c r="BG193" i="9"/>
  <c r="BF193" i="9"/>
  <c r="BE193" i="9"/>
  <c r="T193" i="9"/>
  <c r="R193" i="9"/>
  <c r="P193" i="9"/>
  <c r="J193" i="9"/>
  <c r="BK192" i="9"/>
  <c r="T192" i="9"/>
  <c r="R192" i="9"/>
  <c r="P192" i="9"/>
  <c r="J192" i="9"/>
  <c r="BK191" i="9"/>
  <c r="BI191" i="9"/>
  <c r="BH191" i="9"/>
  <c r="BG191" i="9"/>
  <c r="BF191" i="9"/>
  <c r="BE191" i="9"/>
  <c r="T191" i="9"/>
  <c r="R191" i="9"/>
  <c r="P191" i="9"/>
  <c r="J191" i="9"/>
  <c r="BK190" i="9"/>
  <c r="BI190" i="9"/>
  <c r="BH190" i="9"/>
  <c r="BG190" i="9"/>
  <c r="BF190" i="9"/>
  <c r="BE190" i="9"/>
  <c r="T190" i="9"/>
  <c r="R190" i="9"/>
  <c r="P190" i="9"/>
  <c r="J190" i="9"/>
  <c r="BK189" i="9"/>
  <c r="BI189" i="9"/>
  <c r="BH189" i="9"/>
  <c r="BG189" i="9"/>
  <c r="BF189" i="9"/>
  <c r="BE189" i="9"/>
  <c r="T189" i="9"/>
  <c r="R189" i="9"/>
  <c r="P189" i="9"/>
  <c r="J189" i="9"/>
  <c r="BK188" i="9"/>
  <c r="BI188" i="9"/>
  <c r="BH188" i="9"/>
  <c r="BG188" i="9"/>
  <c r="BF188" i="9"/>
  <c r="BE188" i="9"/>
  <c r="T188" i="9"/>
  <c r="R188" i="9"/>
  <c r="P188" i="9"/>
  <c r="J188" i="9"/>
  <c r="BK187" i="9"/>
  <c r="BI187" i="9"/>
  <c r="BH187" i="9"/>
  <c r="BG187" i="9"/>
  <c r="BF187" i="9"/>
  <c r="BE187" i="9"/>
  <c r="T187" i="9"/>
  <c r="R187" i="9"/>
  <c r="P187" i="9"/>
  <c r="J187" i="9"/>
  <c r="BK186" i="9"/>
  <c r="BI186" i="9"/>
  <c r="BH186" i="9"/>
  <c r="BG186" i="9"/>
  <c r="BF186" i="9"/>
  <c r="BE186" i="9"/>
  <c r="T186" i="9"/>
  <c r="R186" i="9"/>
  <c r="P186" i="9"/>
  <c r="J186" i="9"/>
  <c r="BK185" i="9"/>
  <c r="BI185" i="9"/>
  <c r="BH185" i="9"/>
  <c r="BG185" i="9"/>
  <c r="BF185" i="9"/>
  <c r="BE185" i="9"/>
  <c r="T185" i="9"/>
  <c r="R185" i="9"/>
  <c r="P185" i="9"/>
  <c r="J185" i="9"/>
  <c r="BK184" i="9"/>
  <c r="BI184" i="9"/>
  <c r="BH184" i="9"/>
  <c r="BG184" i="9"/>
  <c r="BF184" i="9"/>
  <c r="BE184" i="9"/>
  <c r="T184" i="9"/>
  <c r="R184" i="9"/>
  <c r="P184" i="9"/>
  <c r="J184" i="9"/>
  <c r="BK183" i="9"/>
  <c r="BI183" i="9"/>
  <c r="BH183" i="9"/>
  <c r="BG183" i="9"/>
  <c r="BF183" i="9"/>
  <c r="BE183" i="9"/>
  <c r="T183" i="9"/>
  <c r="R183" i="9"/>
  <c r="P183" i="9"/>
  <c r="J183" i="9"/>
  <c r="BK182" i="9"/>
  <c r="BI182" i="9"/>
  <c r="BH182" i="9"/>
  <c r="BG182" i="9"/>
  <c r="BF182" i="9"/>
  <c r="BE182" i="9"/>
  <c r="T182" i="9"/>
  <c r="R182" i="9"/>
  <c r="P182" i="9"/>
  <c r="J182" i="9"/>
  <c r="BK181" i="9"/>
  <c r="BI181" i="9"/>
  <c r="BH181" i="9"/>
  <c r="BG181" i="9"/>
  <c r="BF181" i="9"/>
  <c r="BE181" i="9"/>
  <c r="T181" i="9"/>
  <c r="R181" i="9"/>
  <c r="P181" i="9"/>
  <c r="J181" i="9"/>
  <c r="BK180" i="9"/>
  <c r="BI180" i="9"/>
  <c r="BH180" i="9"/>
  <c r="BG180" i="9"/>
  <c r="BF180" i="9"/>
  <c r="BE180" i="9"/>
  <c r="T180" i="9"/>
  <c r="R180" i="9"/>
  <c r="P180" i="9"/>
  <c r="J180" i="9"/>
  <c r="BK179" i="9"/>
  <c r="BI179" i="9"/>
  <c r="BH179" i="9"/>
  <c r="BG179" i="9"/>
  <c r="BF179" i="9"/>
  <c r="BE179" i="9"/>
  <c r="T179" i="9"/>
  <c r="R179" i="9"/>
  <c r="P179" i="9"/>
  <c r="J179" i="9"/>
  <c r="BK178" i="9"/>
  <c r="T178" i="9"/>
  <c r="R178" i="9"/>
  <c r="P178" i="9"/>
  <c r="J178" i="9"/>
  <c r="BK177" i="9"/>
  <c r="BI177" i="9"/>
  <c r="BH177" i="9"/>
  <c r="BG177" i="9"/>
  <c r="BF177" i="9"/>
  <c r="BE177" i="9"/>
  <c r="T177" i="9"/>
  <c r="R177" i="9"/>
  <c r="P177" i="9"/>
  <c r="J177" i="9"/>
  <c r="BK176" i="9"/>
  <c r="T176" i="9"/>
  <c r="R176" i="9"/>
  <c r="P176" i="9"/>
  <c r="J176" i="9"/>
  <c r="BK175" i="9"/>
  <c r="BI175" i="9"/>
  <c r="BH175" i="9"/>
  <c r="BG175" i="9"/>
  <c r="BF175" i="9"/>
  <c r="BE175" i="9"/>
  <c r="T175" i="9"/>
  <c r="R175" i="9"/>
  <c r="P175" i="9"/>
  <c r="J175" i="9"/>
  <c r="BK174" i="9"/>
  <c r="BI174" i="9"/>
  <c r="BH174" i="9"/>
  <c r="BG174" i="9"/>
  <c r="BF174" i="9"/>
  <c r="BE174" i="9"/>
  <c r="T174" i="9"/>
  <c r="R174" i="9"/>
  <c r="P174" i="9"/>
  <c r="J174" i="9"/>
  <c r="BK173" i="9"/>
  <c r="T173" i="9"/>
  <c r="R173" i="9"/>
  <c r="P173" i="9"/>
  <c r="J173" i="9"/>
  <c r="BK172" i="9"/>
  <c r="BI172" i="9"/>
  <c r="BH172" i="9"/>
  <c r="BG172" i="9"/>
  <c r="BF172" i="9"/>
  <c r="BE172" i="9"/>
  <c r="T172" i="9"/>
  <c r="R172" i="9"/>
  <c r="P172" i="9"/>
  <c r="J172" i="9"/>
  <c r="BK171" i="9"/>
  <c r="BI171" i="9"/>
  <c r="BH171" i="9"/>
  <c r="BG171" i="9"/>
  <c r="BF171" i="9"/>
  <c r="BE171" i="9"/>
  <c r="T171" i="9"/>
  <c r="R171" i="9"/>
  <c r="P171" i="9"/>
  <c r="J171" i="9"/>
  <c r="BK170" i="9"/>
  <c r="BI170" i="9"/>
  <c r="BH170" i="9"/>
  <c r="BG170" i="9"/>
  <c r="BF170" i="9"/>
  <c r="BE170" i="9"/>
  <c r="T170" i="9"/>
  <c r="R170" i="9"/>
  <c r="P170" i="9"/>
  <c r="J170" i="9"/>
  <c r="BK169" i="9"/>
  <c r="BI169" i="9"/>
  <c r="BH169" i="9"/>
  <c r="BG169" i="9"/>
  <c r="BF169" i="9"/>
  <c r="BE169" i="9"/>
  <c r="T169" i="9"/>
  <c r="R169" i="9"/>
  <c r="P169" i="9"/>
  <c r="J169" i="9"/>
  <c r="BK168" i="9"/>
  <c r="BI168" i="9"/>
  <c r="BH168" i="9"/>
  <c r="BG168" i="9"/>
  <c r="BF168" i="9"/>
  <c r="BE168" i="9"/>
  <c r="T168" i="9"/>
  <c r="R168" i="9"/>
  <c r="P168" i="9"/>
  <c r="J168" i="9"/>
  <c r="BK167" i="9"/>
  <c r="T167" i="9"/>
  <c r="R167" i="9"/>
  <c r="P167" i="9"/>
  <c r="J167" i="9"/>
  <c r="BK165" i="9"/>
  <c r="BI165" i="9"/>
  <c r="BH165" i="9"/>
  <c r="BG165" i="9"/>
  <c r="BF165" i="9"/>
  <c r="BE165" i="9"/>
  <c r="T165" i="9"/>
  <c r="R165" i="9"/>
  <c r="P165" i="9"/>
  <c r="J165" i="9"/>
  <c r="BK163" i="9"/>
  <c r="BI163" i="9"/>
  <c r="BH163" i="9"/>
  <c r="BG163" i="9"/>
  <c r="BF163" i="9"/>
  <c r="BE163" i="9"/>
  <c r="T163" i="9"/>
  <c r="R163" i="9"/>
  <c r="P163" i="9"/>
  <c r="J163" i="9"/>
  <c r="BK162" i="9"/>
  <c r="BI162" i="9"/>
  <c r="BH162" i="9"/>
  <c r="BG162" i="9"/>
  <c r="BF162" i="9"/>
  <c r="BE162" i="9"/>
  <c r="T162" i="9"/>
  <c r="R162" i="9"/>
  <c r="P162" i="9"/>
  <c r="J162" i="9"/>
  <c r="BK161" i="9"/>
  <c r="BI161" i="9"/>
  <c r="BH161" i="9"/>
  <c r="BG161" i="9"/>
  <c r="BF161" i="9"/>
  <c r="BE161" i="9"/>
  <c r="T161" i="9"/>
  <c r="R161" i="9"/>
  <c r="P161" i="9"/>
  <c r="J161" i="9"/>
  <c r="BK160" i="9"/>
  <c r="BI160" i="9"/>
  <c r="BH160" i="9"/>
  <c r="BG160" i="9"/>
  <c r="BF160" i="9"/>
  <c r="BE160" i="9"/>
  <c r="T160" i="9"/>
  <c r="R160" i="9"/>
  <c r="P160" i="9"/>
  <c r="J160" i="9"/>
  <c r="BK159" i="9"/>
  <c r="BI159" i="9"/>
  <c r="BH159" i="9"/>
  <c r="BG159" i="9"/>
  <c r="BF159" i="9"/>
  <c r="BE159" i="9"/>
  <c r="T159" i="9"/>
  <c r="R159" i="9"/>
  <c r="P159" i="9"/>
  <c r="J159" i="9"/>
  <c r="BK158" i="9"/>
  <c r="BI158" i="9"/>
  <c r="BH158" i="9"/>
  <c r="BG158" i="9"/>
  <c r="BF158" i="9"/>
  <c r="BE158" i="9"/>
  <c r="T158" i="9"/>
  <c r="R158" i="9"/>
  <c r="P158" i="9"/>
  <c r="J158" i="9"/>
  <c r="BK157" i="9"/>
  <c r="BI157" i="9"/>
  <c r="BH157" i="9"/>
  <c r="BG157" i="9"/>
  <c r="BF157" i="9"/>
  <c r="BE157" i="9"/>
  <c r="T157" i="9"/>
  <c r="R157" i="9"/>
  <c r="P157" i="9"/>
  <c r="J157" i="9"/>
  <c r="BK156" i="9"/>
  <c r="BI156" i="9"/>
  <c r="BH156" i="9"/>
  <c r="BG156" i="9"/>
  <c r="BF156" i="9"/>
  <c r="BE156" i="9"/>
  <c r="T156" i="9"/>
  <c r="R156" i="9"/>
  <c r="P156" i="9"/>
  <c r="J156" i="9"/>
  <c r="BK155" i="9"/>
  <c r="T155" i="9"/>
  <c r="R155" i="9"/>
  <c r="P155" i="9"/>
  <c r="J155" i="9"/>
  <c r="BK153" i="9"/>
  <c r="BI153" i="9"/>
  <c r="BH153" i="9"/>
  <c r="BG153" i="9"/>
  <c r="BF153" i="9"/>
  <c r="BE153" i="9"/>
  <c r="T153" i="9"/>
  <c r="R153" i="9"/>
  <c r="P153" i="9"/>
  <c r="J153" i="9"/>
  <c r="BK152" i="9"/>
  <c r="T152" i="9"/>
  <c r="R152" i="9"/>
  <c r="P152" i="9"/>
  <c r="J152" i="9"/>
  <c r="BK151" i="9"/>
  <c r="T151" i="9"/>
  <c r="R151" i="9"/>
  <c r="P151" i="9"/>
  <c r="J151" i="9"/>
  <c r="BK150" i="9"/>
  <c r="T150" i="9"/>
  <c r="R150" i="9"/>
  <c r="P150" i="9"/>
  <c r="J150" i="9"/>
  <c r="J147" i="9"/>
  <c r="F147" i="9"/>
  <c r="J146" i="9"/>
  <c r="F146" i="9"/>
  <c r="J144" i="9"/>
  <c r="F144" i="9"/>
  <c r="E142" i="9"/>
  <c r="E138" i="9"/>
  <c r="J128" i="9"/>
  <c r="J127" i="9"/>
  <c r="J126" i="9"/>
  <c r="J125" i="9"/>
  <c r="J124" i="9"/>
  <c r="J123" i="9"/>
  <c r="J122" i="9"/>
  <c r="J121" i="9"/>
  <c r="J120" i="9"/>
  <c r="J119" i="9"/>
  <c r="J118" i="9"/>
  <c r="J117" i="9"/>
  <c r="J116" i="9"/>
  <c r="J115" i="9"/>
  <c r="J114" i="9"/>
  <c r="J113" i="9"/>
  <c r="J112" i="9"/>
  <c r="J111" i="9"/>
  <c r="J110" i="9"/>
  <c r="J109" i="9"/>
  <c r="J108" i="9"/>
  <c r="J107" i="9"/>
  <c r="J106" i="9"/>
  <c r="J105" i="9"/>
  <c r="J104" i="9"/>
  <c r="J103" i="9"/>
  <c r="J102" i="9"/>
  <c r="J101" i="9"/>
  <c r="J100" i="9"/>
  <c r="J99" i="9"/>
  <c r="J98" i="9"/>
  <c r="J94" i="9"/>
  <c r="F94" i="9"/>
  <c r="J93" i="9"/>
  <c r="F93" i="9"/>
  <c r="J91" i="9"/>
  <c r="F91" i="9"/>
  <c r="E89" i="9"/>
  <c r="E85" i="9"/>
  <c r="J41" i="9"/>
  <c r="J39" i="9"/>
  <c r="F39" i="9"/>
  <c r="J38" i="9"/>
  <c r="F38" i="9"/>
  <c r="J37" i="9"/>
  <c r="F37" i="9"/>
  <c r="J36" i="9"/>
  <c r="F36" i="9"/>
  <c r="J35" i="9"/>
  <c r="F35" i="9"/>
  <c r="J32" i="9"/>
  <c r="J20" i="9"/>
  <c r="E20" i="9"/>
  <c r="J19" i="9"/>
  <c r="J14" i="9"/>
  <c r="E7" i="9"/>
  <c r="BK330" i="8"/>
  <c r="BI330" i="8"/>
  <c r="BH330" i="8"/>
  <c r="BG330" i="8"/>
  <c r="BF330" i="8"/>
  <c r="BE330" i="8"/>
  <c r="T330" i="8"/>
  <c r="R330" i="8"/>
  <c r="P330" i="8"/>
  <c r="J330" i="8"/>
  <c r="BK329" i="8"/>
  <c r="BI329" i="8"/>
  <c r="BH329" i="8"/>
  <c r="BG329" i="8"/>
  <c r="BF329" i="8"/>
  <c r="BE329" i="8"/>
  <c r="T329" i="8"/>
  <c r="R329" i="8"/>
  <c r="P329" i="8"/>
  <c r="J329" i="8"/>
  <c r="BK328" i="8"/>
  <c r="BI328" i="8"/>
  <c r="BH328" i="8"/>
  <c r="BG328" i="8"/>
  <c r="BF328" i="8"/>
  <c r="BE328" i="8"/>
  <c r="T328" i="8"/>
  <c r="R328" i="8"/>
  <c r="P328" i="8"/>
  <c r="J328" i="8"/>
  <c r="BK327" i="8"/>
  <c r="BI327" i="8"/>
  <c r="BH327" i="8"/>
  <c r="BG327" i="8"/>
  <c r="BF327" i="8"/>
  <c r="BE327" i="8"/>
  <c r="T327" i="8"/>
  <c r="R327" i="8"/>
  <c r="P327" i="8"/>
  <c r="J327" i="8"/>
  <c r="BK326" i="8"/>
  <c r="BI326" i="8"/>
  <c r="BH326" i="8"/>
  <c r="BG326" i="8"/>
  <c r="BF326" i="8"/>
  <c r="BE326" i="8"/>
  <c r="T326" i="8"/>
  <c r="R326" i="8"/>
  <c r="P326" i="8"/>
  <c r="J326" i="8"/>
  <c r="BK325" i="8"/>
  <c r="T325" i="8"/>
  <c r="R325" i="8"/>
  <c r="P325" i="8"/>
  <c r="J325" i="8"/>
  <c r="BK324" i="8"/>
  <c r="BI324" i="8"/>
  <c r="BH324" i="8"/>
  <c r="BG324" i="8"/>
  <c r="BF324" i="8"/>
  <c r="BE324" i="8"/>
  <c r="T324" i="8"/>
  <c r="R324" i="8"/>
  <c r="P324" i="8"/>
  <c r="J324" i="8"/>
  <c r="BK323" i="8"/>
  <c r="BI323" i="8"/>
  <c r="BH323" i="8"/>
  <c r="BG323" i="8"/>
  <c r="BF323" i="8"/>
  <c r="BE323" i="8"/>
  <c r="T323" i="8"/>
  <c r="R323" i="8"/>
  <c r="P323" i="8"/>
  <c r="J323" i="8"/>
  <c r="BK322" i="8"/>
  <c r="BI322" i="8"/>
  <c r="BH322" i="8"/>
  <c r="BG322" i="8"/>
  <c r="BF322" i="8"/>
  <c r="BE322" i="8"/>
  <c r="T322" i="8"/>
  <c r="R322" i="8"/>
  <c r="P322" i="8"/>
  <c r="J322" i="8"/>
  <c r="BK321" i="8"/>
  <c r="BI321" i="8"/>
  <c r="BH321" i="8"/>
  <c r="BG321" i="8"/>
  <c r="BF321" i="8"/>
  <c r="BE321" i="8"/>
  <c r="T321" i="8"/>
  <c r="R321" i="8"/>
  <c r="P321" i="8"/>
  <c r="J321" i="8"/>
  <c r="BK320" i="8"/>
  <c r="T320" i="8"/>
  <c r="R320" i="8"/>
  <c r="P320" i="8"/>
  <c r="J320" i="8"/>
  <c r="BK319" i="8"/>
  <c r="BI319" i="8"/>
  <c r="BH319" i="8"/>
  <c r="BG319" i="8"/>
  <c r="BF319" i="8"/>
  <c r="BE319" i="8"/>
  <c r="T319" i="8"/>
  <c r="R319" i="8"/>
  <c r="P319" i="8"/>
  <c r="J319" i="8"/>
  <c r="BK318" i="8"/>
  <c r="BI318" i="8"/>
  <c r="BH318" i="8"/>
  <c r="BG318" i="8"/>
  <c r="BF318" i="8"/>
  <c r="BE318" i="8"/>
  <c r="T318" i="8"/>
  <c r="R318" i="8"/>
  <c r="P318" i="8"/>
  <c r="J318" i="8"/>
  <c r="BK317" i="8"/>
  <c r="BI317" i="8"/>
  <c r="BH317" i="8"/>
  <c r="BG317" i="8"/>
  <c r="BF317" i="8"/>
  <c r="BE317" i="8"/>
  <c r="T317" i="8"/>
  <c r="R317" i="8"/>
  <c r="P317" i="8"/>
  <c r="J317" i="8"/>
  <c r="BK316" i="8"/>
  <c r="BI316" i="8"/>
  <c r="BH316" i="8"/>
  <c r="BG316" i="8"/>
  <c r="BF316" i="8"/>
  <c r="BE316" i="8"/>
  <c r="T316" i="8"/>
  <c r="R316" i="8"/>
  <c r="P316" i="8"/>
  <c r="J316" i="8"/>
  <c r="BK315" i="8"/>
  <c r="BI315" i="8"/>
  <c r="BH315" i="8"/>
  <c r="BG315" i="8"/>
  <c r="BF315" i="8"/>
  <c r="BE315" i="8"/>
  <c r="T315" i="8"/>
  <c r="R315" i="8"/>
  <c r="P315" i="8"/>
  <c r="J315" i="8"/>
  <c r="BK314" i="8"/>
  <c r="BI314" i="8"/>
  <c r="BH314" i="8"/>
  <c r="BG314" i="8"/>
  <c r="BF314" i="8"/>
  <c r="BE314" i="8"/>
  <c r="T314" i="8"/>
  <c r="R314" i="8"/>
  <c r="P314" i="8"/>
  <c r="J314" i="8"/>
  <c r="BK313" i="8"/>
  <c r="BI313" i="8"/>
  <c r="BH313" i="8"/>
  <c r="BG313" i="8"/>
  <c r="BF313" i="8"/>
  <c r="BE313" i="8"/>
  <c r="T313" i="8"/>
  <c r="R313" i="8"/>
  <c r="P313" i="8"/>
  <c r="J313" i="8"/>
  <c r="BK312" i="8"/>
  <c r="BI312" i="8"/>
  <c r="BH312" i="8"/>
  <c r="BG312" i="8"/>
  <c r="BF312" i="8"/>
  <c r="BE312" i="8"/>
  <c r="T312" i="8"/>
  <c r="R312" i="8"/>
  <c r="P312" i="8"/>
  <c r="J312" i="8"/>
  <c r="BK311" i="8"/>
  <c r="BI311" i="8"/>
  <c r="BH311" i="8"/>
  <c r="BG311" i="8"/>
  <c r="BF311" i="8"/>
  <c r="BE311" i="8"/>
  <c r="T311" i="8"/>
  <c r="R311" i="8"/>
  <c r="P311" i="8"/>
  <c r="J311" i="8"/>
  <c r="BK310" i="8"/>
  <c r="BI310" i="8"/>
  <c r="BH310" i="8"/>
  <c r="BG310" i="8"/>
  <c r="BF310" i="8"/>
  <c r="BE310" i="8"/>
  <c r="T310" i="8"/>
  <c r="R310" i="8"/>
  <c r="P310" i="8"/>
  <c r="J310" i="8"/>
  <c r="BK309" i="8"/>
  <c r="BI309" i="8"/>
  <c r="BH309" i="8"/>
  <c r="BG309" i="8"/>
  <c r="BF309" i="8"/>
  <c r="BE309" i="8"/>
  <c r="T309" i="8"/>
  <c r="R309" i="8"/>
  <c r="P309" i="8"/>
  <c r="J309" i="8"/>
  <c r="BK308" i="8"/>
  <c r="BI308" i="8"/>
  <c r="BH308" i="8"/>
  <c r="BG308" i="8"/>
  <c r="BF308" i="8"/>
  <c r="BE308" i="8"/>
  <c r="T308" i="8"/>
  <c r="R308" i="8"/>
  <c r="P308" i="8"/>
  <c r="J308" i="8"/>
  <c r="BK307" i="8"/>
  <c r="BI307" i="8"/>
  <c r="BH307" i="8"/>
  <c r="BG307" i="8"/>
  <c r="BF307" i="8"/>
  <c r="BE307" i="8"/>
  <c r="T307" i="8"/>
  <c r="R307" i="8"/>
  <c r="P307" i="8"/>
  <c r="J307" i="8"/>
  <c r="BK306" i="8"/>
  <c r="BI306" i="8"/>
  <c r="BH306" i="8"/>
  <c r="BG306" i="8"/>
  <c r="BF306" i="8"/>
  <c r="BE306" i="8"/>
  <c r="T306" i="8"/>
  <c r="R306" i="8"/>
  <c r="P306" i="8"/>
  <c r="J306" i="8"/>
  <c r="BK305" i="8"/>
  <c r="BI305" i="8"/>
  <c r="BH305" i="8"/>
  <c r="BG305" i="8"/>
  <c r="BF305" i="8"/>
  <c r="BE305" i="8"/>
  <c r="T305" i="8"/>
  <c r="R305" i="8"/>
  <c r="P305" i="8"/>
  <c r="J305" i="8"/>
  <c r="BK304" i="8"/>
  <c r="BI304" i="8"/>
  <c r="BH304" i="8"/>
  <c r="BG304" i="8"/>
  <c r="BF304" i="8"/>
  <c r="BE304" i="8"/>
  <c r="T304" i="8"/>
  <c r="R304" i="8"/>
  <c r="P304" i="8"/>
  <c r="J304" i="8"/>
  <c r="BK303" i="8"/>
  <c r="T303" i="8"/>
  <c r="R303" i="8"/>
  <c r="P303" i="8"/>
  <c r="J303" i="8"/>
  <c r="BK302" i="8"/>
  <c r="BI302" i="8"/>
  <c r="BH302" i="8"/>
  <c r="BG302" i="8"/>
  <c r="BF302" i="8"/>
  <c r="BE302" i="8"/>
  <c r="T302" i="8"/>
  <c r="R302" i="8"/>
  <c r="P302" i="8"/>
  <c r="J302" i="8"/>
  <c r="BK301" i="8"/>
  <c r="BI301" i="8"/>
  <c r="BH301" i="8"/>
  <c r="BG301" i="8"/>
  <c r="BF301" i="8"/>
  <c r="BE301" i="8"/>
  <c r="T301" i="8"/>
  <c r="R301" i="8"/>
  <c r="P301" i="8"/>
  <c r="J301" i="8"/>
  <c r="BK300" i="8"/>
  <c r="BI300" i="8"/>
  <c r="BH300" i="8"/>
  <c r="BG300" i="8"/>
  <c r="BF300" i="8"/>
  <c r="BE300" i="8"/>
  <c r="T300" i="8"/>
  <c r="R300" i="8"/>
  <c r="P300" i="8"/>
  <c r="J300" i="8"/>
  <c r="BK299" i="8"/>
  <c r="BI299" i="8"/>
  <c r="BH299" i="8"/>
  <c r="BG299" i="8"/>
  <c r="BF299" i="8"/>
  <c r="BE299" i="8"/>
  <c r="T299" i="8"/>
  <c r="R299" i="8"/>
  <c r="P299" i="8"/>
  <c r="J299" i="8"/>
  <c r="BK298" i="8"/>
  <c r="BI298" i="8"/>
  <c r="BH298" i="8"/>
  <c r="BG298" i="8"/>
  <c r="BF298" i="8"/>
  <c r="BE298" i="8"/>
  <c r="T298" i="8"/>
  <c r="R298" i="8"/>
  <c r="P298" i="8"/>
  <c r="J298" i="8"/>
  <c r="BK297" i="8"/>
  <c r="BI297" i="8"/>
  <c r="BH297" i="8"/>
  <c r="BG297" i="8"/>
  <c r="BF297" i="8"/>
  <c r="BE297" i="8"/>
  <c r="T297" i="8"/>
  <c r="R297" i="8"/>
  <c r="P297" i="8"/>
  <c r="J297" i="8"/>
  <c r="BK296" i="8"/>
  <c r="BI296" i="8"/>
  <c r="BH296" i="8"/>
  <c r="BG296" i="8"/>
  <c r="BF296" i="8"/>
  <c r="BE296" i="8"/>
  <c r="T296" i="8"/>
  <c r="R296" i="8"/>
  <c r="P296" i="8"/>
  <c r="J296" i="8"/>
  <c r="BK295" i="8"/>
  <c r="BI295" i="8"/>
  <c r="BH295" i="8"/>
  <c r="BG295" i="8"/>
  <c r="BF295" i="8"/>
  <c r="BE295" i="8"/>
  <c r="T295" i="8"/>
  <c r="R295" i="8"/>
  <c r="P295" i="8"/>
  <c r="J295" i="8"/>
  <c r="BK294" i="8"/>
  <c r="BI294" i="8"/>
  <c r="BH294" i="8"/>
  <c r="BG294" i="8"/>
  <c r="BF294" i="8"/>
  <c r="BE294" i="8"/>
  <c r="T294" i="8"/>
  <c r="R294" i="8"/>
  <c r="P294" i="8"/>
  <c r="J294" i="8"/>
  <c r="BK293" i="8"/>
  <c r="BI293" i="8"/>
  <c r="BH293" i="8"/>
  <c r="BG293" i="8"/>
  <c r="BF293" i="8"/>
  <c r="BE293" i="8"/>
  <c r="T293" i="8"/>
  <c r="R293" i="8"/>
  <c r="P293" i="8"/>
  <c r="J293" i="8"/>
  <c r="BK292" i="8"/>
  <c r="BI292" i="8"/>
  <c r="BH292" i="8"/>
  <c r="BG292" i="8"/>
  <c r="BF292" i="8"/>
  <c r="BE292" i="8"/>
  <c r="T292" i="8"/>
  <c r="R292" i="8"/>
  <c r="P292" i="8"/>
  <c r="J292" i="8"/>
  <c r="BK291" i="8"/>
  <c r="BI291" i="8"/>
  <c r="BH291" i="8"/>
  <c r="BG291" i="8"/>
  <c r="BF291" i="8"/>
  <c r="BE291" i="8"/>
  <c r="T291" i="8"/>
  <c r="R291" i="8"/>
  <c r="P291" i="8"/>
  <c r="J291" i="8"/>
  <c r="BK290" i="8"/>
  <c r="BI290" i="8"/>
  <c r="BH290" i="8"/>
  <c r="BG290" i="8"/>
  <c r="BF290" i="8"/>
  <c r="BE290" i="8"/>
  <c r="T290" i="8"/>
  <c r="R290" i="8"/>
  <c r="P290" i="8"/>
  <c r="J290" i="8"/>
  <c r="BK289" i="8"/>
  <c r="BI289" i="8"/>
  <c r="BH289" i="8"/>
  <c r="BG289" i="8"/>
  <c r="BF289" i="8"/>
  <c r="BE289" i="8"/>
  <c r="T289" i="8"/>
  <c r="R289" i="8"/>
  <c r="P289" i="8"/>
  <c r="J289" i="8"/>
  <c r="BK288" i="8"/>
  <c r="T288" i="8"/>
  <c r="R288" i="8"/>
  <c r="P288" i="8"/>
  <c r="J288" i="8"/>
  <c r="BK287" i="8"/>
  <c r="BI287" i="8"/>
  <c r="BH287" i="8"/>
  <c r="BG287" i="8"/>
  <c r="BF287" i="8"/>
  <c r="BE287" i="8"/>
  <c r="T287" i="8"/>
  <c r="R287" i="8"/>
  <c r="P287" i="8"/>
  <c r="J287" i="8"/>
  <c r="BK286" i="8"/>
  <c r="BI286" i="8"/>
  <c r="BH286" i="8"/>
  <c r="BG286" i="8"/>
  <c r="BF286" i="8"/>
  <c r="BE286" i="8"/>
  <c r="T286" i="8"/>
  <c r="R286" i="8"/>
  <c r="P286" i="8"/>
  <c r="J286" i="8"/>
  <c r="BK285" i="8"/>
  <c r="T285" i="8"/>
  <c r="R285" i="8"/>
  <c r="P285" i="8"/>
  <c r="J285" i="8"/>
  <c r="BK284" i="8"/>
  <c r="T284" i="8"/>
  <c r="R284" i="8"/>
  <c r="P284" i="8"/>
  <c r="J284" i="8"/>
  <c r="BK283" i="8"/>
  <c r="BI283" i="8"/>
  <c r="BH283" i="8"/>
  <c r="BG283" i="8"/>
  <c r="BF283" i="8"/>
  <c r="BE283" i="8"/>
  <c r="T283" i="8"/>
  <c r="R283" i="8"/>
  <c r="P283" i="8"/>
  <c r="J283" i="8"/>
  <c r="BK282" i="8"/>
  <c r="BI282" i="8"/>
  <c r="BH282" i="8"/>
  <c r="BG282" i="8"/>
  <c r="BF282" i="8"/>
  <c r="BE282" i="8"/>
  <c r="T282" i="8"/>
  <c r="R282" i="8"/>
  <c r="P282" i="8"/>
  <c r="J282" i="8"/>
  <c r="BK281" i="8"/>
  <c r="BI281" i="8"/>
  <c r="BH281" i="8"/>
  <c r="BG281" i="8"/>
  <c r="BF281" i="8"/>
  <c r="BE281" i="8"/>
  <c r="T281" i="8"/>
  <c r="R281" i="8"/>
  <c r="P281" i="8"/>
  <c r="J281" i="8"/>
  <c r="BK280" i="8"/>
  <c r="BI280" i="8"/>
  <c r="BH280" i="8"/>
  <c r="BG280" i="8"/>
  <c r="BF280" i="8"/>
  <c r="BE280" i="8"/>
  <c r="T280" i="8"/>
  <c r="R280" i="8"/>
  <c r="P280" i="8"/>
  <c r="J280" i="8"/>
  <c r="BK279" i="8"/>
  <c r="BI279" i="8"/>
  <c r="BH279" i="8"/>
  <c r="BG279" i="8"/>
  <c r="BF279" i="8"/>
  <c r="BE279" i="8"/>
  <c r="T279" i="8"/>
  <c r="R279" i="8"/>
  <c r="P279" i="8"/>
  <c r="J279" i="8"/>
  <c r="BK278" i="8"/>
  <c r="T278" i="8"/>
  <c r="R278" i="8"/>
  <c r="P278" i="8"/>
  <c r="J278" i="8"/>
  <c r="BK277" i="8"/>
  <c r="BI277" i="8"/>
  <c r="BH277" i="8"/>
  <c r="BG277" i="8"/>
  <c r="BF277" i="8"/>
  <c r="BE277" i="8"/>
  <c r="T277" i="8"/>
  <c r="R277" i="8"/>
  <c r="P277" i="8"/>
  <c r="J277" i="8"/>
  <c r="BK276" i="8"/>
  <c r="BI276" i="8"/>
  <c r="BH276" i="8"/>
  <c r="BG276" i="8"/>
  <c r="BF276" i="8"/>
  <c r="BE276" i="8"/>
  <c r="T276" i="8"/>
  <c r="R276" i="8"/>
  <c r="P276" i="8"/>
  <c r="J276" i="8"/>
  <c r="BK275" i="8"/>
  <c r="BI275" i="8"/>
  <c r="BH275" i="8"/>
  <c r="BG275" i="8"/>
  <c r="BF275" i="8"/>
  <c r="BE275" i="8"/>
  <c r="T275" i="8"/>
  <c r="R275" i="8"/>
  <c r="P275" i="8"/>
  <c r="J275" i="8"/>
  <c r="BK274" i="8"/>
  <c r="BI274" i="8"/>
  <c r="BH274" i="8"/>
  <c r="BG274" i="8"/>
  <c r="BF274" i="8"/>
  <c r="BE274" i="8"/>
  <c r="T274" i="8"/>
  <c r="R274" i="8"/>
  <c r="P274" i="8"/>
  <c r="J274" i="8"/>
  <c r="BK273" i="8"/>
  <c r="T273" i="8"/>
  <c r="R273" i="8"/>
  <c r="P273" i="8"/>
  <c r="J273" i="8"/>
  <c r="BK272" i="8"/>
  <c r="BI272" i="8"/>
  <c r="BH272" i="8"/>
  <c r="BG272" i="8"/>
  <c r="BF272" i="8"/>
  <c r="BE272" i="8"/>
  <c r="T272" i="8"/>
  <c r="R272" i="8"/>
  <c r="P272" i="8"/>
  <c r="J272" i="8"/>
  <c r="BK271" i="8"/>
  <c r="BI271" i="8"/>
  <c r="BH271" i="8"/>
  <c r="BG271" i="8"/>
  <c r="BF271" i="8"/>
  <c r="BE271" i="8"/>
  <c r="T271" i="8"/>
  <c r="R271" i="8"/>
  <c r="P271" i="8"/>
  <c r="J271" i="8"/>
  <c r="BK270" i="8"/>
  <c r="BI270" i="8"/>
  <c r="BH270" i="8"/>
  <c r="BG270" i="8"/>
  <c r="BF270" i="8"/>
  <c r="BE270" i="8"/>
  <c r="T270" i="8"/>
  <c r="R270" i="8"/>
  <c r="P270" i="8"/>
  <c r="J270" i="8"/>
  <c r="BK269" i="8"/>
  <c r="BI269" i="8"/>
  <c r="BH269" i="8"/>
  <c r="BG269" i="8"/>
  <c r="BF269" i="8"/>
  <c r="BE269" i="8"/>
  <c r="T269" i="8"/>
  <c r="R269" i="8"/>
  <c r="P269" i="8"/>
  <c r="J269" i="8"/>
  <c r="BK268" i="8"/>
  <c r="BI268" i="8"/>
  <c r="BH268" i="8"/>
  <c r="BG268" i="8"/>
  <c r="BF268" i="8"/>
  <c r="BE268" i="8"/>
  <c r="T268" i="8"/>
  <c r="R268" i="8"/>
  <c r="P268" i="8"/>
  <c r="J268" i="8"/>
  <c r="BK267" i="8"/>
  <c r="BI267" i="8"/>
  <c r="BH267" i="8"/>
  <c r="BG267" i="8"/>
  <c r="BF267" i="8"/>
  <c r="BE267" i="8"/>
  <c r="T267" i="8"/>
  <c r="R267" i="8"/>
  <c r="P267" i="8"/>
  <c r="J267" i="8"/>
  <c r="BK266" i="8"/>
  <c r="BI266" i="8"/>
  <c r="BH266" i="8"/>
  <c r="BG266" i="8"/>
  <c r="BF266" i="8"/>
  <c r="BE266" i="8"/>
  <c r="T266" i="8"/>
  <c r="R266" i="8"/>
  <c r="P266" i="8"/>
  <c r="J266" i="8"/>
  <c r="BK265" i="8"/>
  <c r="BI265" i="8"/>
  <c r="BH265" i="8"/>
  <c r="BG265" i="8"/>
  <c r="BF265" i="8"/>
  <c r="BE265" i="8"/>
  <c r="T265" i="8"/>
  <c r="R265" i="8"/>
  <c r="P265" i="8"/>
  <c r="J265" i="8"/>
  <c r="BK264" i="8"/>
  <c r="BI264" i="8"/>
  <c r="BH264" i="8"/>
  <c r="BG264" i="8"/>
  <c r="BF264" i="8"/>
  <c r="BE264" i="8"/>
  <c r="T264" i="8"/>
  <c r="R264" i="8"/>
  <c r="P264" i="8"/>
  <c r="J264" i="8"/>
  <c r="BK263" i="8"/>
  <c r="BI263" i="8"/>
  <c r="BH263" i="8"/>
  <c r="BG263" i="8"/>
  <c r="BF263" i="8"/>
  <c r="BE263" i="8"/>
  <c r="T263" i="8"/>
  <c r="R263" i="8"/>
  <c r="P263" i="8"/>
  <c r="J263" i="8"/>
  <c r="BK262" i="8"/>
  <c r="BI262" i="8"/>
  <c r="BH262" i="8"/>
  <c r="BG262" i="8"/>
  <c r="BF262" i="8"/>
  <c r="BE262" i="8"/>
  <c r="T262" i="8"/>
  <c r="R262" i="8"/>
  <c r="P262" i="8"/>
  <c r="J262" i="8"/>
  <c r="BK261" i="8"/>
  <c r="BI261" i="8"/>
  <c r="BH261" i="8"/>
  <c r="BG261" i="8"/>
  <c r="BF261" i="8"/>
  <c r="BE261" i="8"/>
  <c r="T261" i="8"/>
  <c r="R261" i="8"/>
  <c r="P261" i="8"/>
  <c r="J261" i="8"/>
  <c r="BK260" i="8"/>
  <c r="T260" i="8"/>
  <c r="R260" i="8"/>
  <c r="P260" i="8"/>
  <c r="J260" i="8"/>
  <c r="BK259" i="8"/>
  <c r="BI259" i="8"/>
  <c r="BH259" i="8"/>
  <c r="BG259" i="8"/>
  <c r="BF259" i="8"/>
  <c r="BE259" i="8"/>
  <c r="T259" i="8"/>
  <c r="R259" i="8"/>
  <c r="P259" i="8"/>
  <c r="J259" i="8"/>
  <c r="BK258" i="8"/>
  <c r="BI258" i="8"/>
  <c r="BH258" i="8"/>
  <c r="BG258" i="8"/>
  <c r="BF258" i="8"/>
  <c r="BE258" i="8"/>
  <c r="T258" i="8"/>
  <c r="R258" i="8"/>
  <c r="P258" i="8"/>
  <c r="J258" i="8"/>
  <c r="BK257" i="8"/>
  <c r="BI257" i="8"/>
  <c r="BH257" i="8"/>
  <c r="BG257" i="8"/>
  <c r="BF257" i="8"/>
  <c r="BE257" i="8"/>
  <c r="T257" i="8"/>
  <c r="R257" i="8"/>
  <c r="P257" i="8"/>
  <c r="J257" i="8"/>
  <c r="BK256" i="8"/>
  <c r="BI256" i="8"/>
  <c r="BH256" i="8"/>
  <c r="BG256" i="8"/>
  <c r="BF256" i="8"/>
  <c r="BE256" i="8"/>
  <c r="T256" i="8"/>
  <c r="R256" i="8"/>
  <c r="P256" i="8"/>
  <c r="J256" i="8"/>
  <c r="BK255" i="8"/>
  <c r="BI255" i="8"/>
  <c r="BH255" i="8"/>
  <c r="BG255" i="8"/>
  <c r="BF255" i="8"/>
  <c r="BE255" i="8"/>
  <c r="T255" i="8"/>
  <c r="R255" i="8"/>
  <c r="P255" i="8"/>
  <c r="J255" i="8"/>
  <c r="BK254" i="8"/>
  <c r="BI254" i="8"/>
  <c r="BH254" i="8"/>
  <c r="BG254" i="8"/>
  <c r="BF254" i="8"/>
  <c r="BE254" i="8"/>
  <c r="T254" i="8"/>
  <c r="R254" i="8"/>
  <c r="P254" i="8"/>
  <c r="J254" i="8"/>
  <c r="BK253" i="8"/>
  <c r="BI253" i="8"/>
  <c r="BH253" i="8"/>
  <c r="BG253" i="8"/>
  <c r="BF253" i="8"/>
  <c r="BE253" i="8"/>
  <c r="T253" i="8"/>
  <c r="R253" i="8"/>
  <c r="P253" i="8"/>
  <c r="J253" i="8"/>
  <c r="BK252" i="8"/>
  <c r="BI252" i="8"/>
  <c r="BH252" i="8"/>
  <c r="BG252" i="8"/>
  <c r="BF252" i="8"/>
  <c r="BE252" i="8"/>
  <c r="T252" i="8"/>
  <c r="R252" i="8"/>
  <c r="P252" i="8"/>
  <c r="J252" i="8"/>
  <c r="BK251" i="8"/>
  <c r="BI251" i="8"/>
  <c r="BH251" i="8"/>
  <c r="BG251" i="8"/>
  <c r="BF251" i="8"/>
  <c r="BE251" i="8"/>
  <c r="T251" i="8"/>
  <c r="R251" i="8"/>
  <c r="P251" i="8"/>
  <c r="J251" i="8"/>
  <c r="BK250" i="8"/>
  <c r="BI250" i="8"/>
  <c r="BH250" i="8"/>
  <c r="BG250" i="8"/>
  <c r="BF250" i="8"/>
  <c r="BE250" i="8"/>
  <c r="T250" i="8"/>
  <c r="R250" i="8"/>
  <c r="P250" i="8"/>
  <c r="J250" i="8"/>
  <c r="BK249" i="8"/>
  <c r="BI249" i="8"/>
  <c r="BH249" i="8"/>
  <c r="BG249" i="8"/>
  <c r="BF249" i="8"/>
  <c r="BE249" i="8"/>
  <c r="T249" i="8"/>
  <c r="R249" i="8"/>
  <c r="P249" i="8"/>
  <c r="J249" i="8"/>
  <c r="BK248" i="8"/>
  <c r="BI248" i="8"/>
  <c r="BH248" i="8"/>
  <c r="BG248" i="8"/>
  <c r="BF248" i="8"/>
  <c r="BE248" i="8"/>
  <c r="T248" i="8"/>
  <c r="R248" i="8"/>
  <c r="P248" i="8"/>
  <c r="J248" i="8"/>
  <c r="BK247" i="8"/>
  <c r="T247" i="8"/>
  <c r="R247" i="8"/>
  <c r="P247" i="8"/>
  <c r="J247" i="8"/>
  <c r="BK246" i="8"/>
  <c r="BI246" i="8"/>
  <c r="BH246" i="8"/>
  <c r="BG246" i="8"/>
  <c r="BF246" i="8"/>
  <c r="BE246" i="8"/>
  <c r="T246" i="8"/>
  <c r="R246" i="8"/>
  <c r="P246" i="8"/>
  <c r="J246" i="8"/>
  <c r="BK245" i="8"/>
  <c r="BI245" i="8"/>
  <c r="BH245" i="8"/>
  <c r="BG245" i="8"/>
  <c r="BF245" i="8"/>
  <c r="BE245" i="8"/>
  <c r="T245" i="8"/>
  <c r="R245" i="8"/>
  <c r="P245" i="8"/>
  <c r="J245" i="8"/>
  <c r="BK244" i="8"/>
  <c r="T244" i="8"/>
  <c r="R244" i="8"/>
  <c r="P244" i="8"/>
  <c r="J244" i="8"/>
  <c r="BK243" i="8"/>
  <c r="T243" i="8"/>
  <c r="R243" i="8"/>
  <c r="P243" i="8"/>
  <c r="J243" i="8"/>
  <c r="BK242" i="8"/>
  <c r="BI242" i="8"/>
  <c r="BH242" i="8"/>
  <c r="BG242" i="8"/>
  <c r="BF242" i="8"/>
  <c r="BE242" i="8"/>
  <c r="T242" i="8"/>
  <c r="R242" i="8"/>
  <c r="P242" i="8"/>
  <c r="J242" i="8"/>
  <c r="BK241" i="8"/>
  <c r="BI241" i="8"/>
  <c r="BH241" i="8"/>
  <c r="BG241" i="8"/>
  <c r="BF241" i="8"/>
  <c r="BE241" i="8"/>
  <c r="T241" i="8"/>
  <c r="R241" i="8"/>
  <c r="P241" i="8"/>
  <c r="J241" i="8"/>
  <c r="BK240" i="8"/>
  <c r="BI240" i="8"/>
  <c r="BH240" i="8"/>
  <c r="BG240" i="8"/>
  <c r="BF240" i="8"/>
  <c r="BE240" i="8"/>
  <c r="T240" i="8"/>
  <c r="R240" i="8"/>
  <c r="P240" i="8"/>
  <c r="J240" i="8"/>
  <c r="BK239" i="8"/>
  <c r="BI239" i="8"/>
  <c r="BH239" i="8"/>
  <c r="BG239" i="8"/>
  <c r="BF239" i="8"/>
  <c r="BE239" i="8"/>
  <c r="T239" i="8"/>
  <c r="R239" i="8"/>
  <c r="P239" i="8"/>
  <c r="J239" i="8"/>
  <c r="BK238" i="8"/>
  <c r="T238" i="8"/>
  <c r="R238" i="8"/>
  <c r="P238" i="8"/>
  <c r="J238" i="8"/>
  <c r="BK237" i="8"/>
  <c r="BI237" i="8"/>
  <c r="BH237" i="8"/>
  <c r="BG237" i="8"/>
  <c r="BF237" i="8"/>
  <c r="BE237" i="8"/>
  <c r="T237" i="8"/>
  <c r="R237" i="8"/>
  <c r="P237" i="8"/>
  <c r="J237" i="8"/>
  <c r="BK236" i="8"/>
  <c r="BI236" i="8"/>
  <c r="BH236" i="8"/>
  <c r="BG236" i="8"/>
  <c r="BF236" i="8"/>
  <c r="BE236" i="8"/>
  <c r="T236" i="8"/>
  <c r="R236" i="8"/>
  <c r="P236" i="8"/>
  <c r="J236" i="8"/>
  <c r="BK235" i="8"/>
  <c r="BI235" i="8"/>
  <c r="BH235" i="8"/>
  <c r="BG235" i="8"/>
  <c r="BF235" i="8"/>
  <c r="BE235" i="8"/>
  <c r="T235" i="8"/>
  <c r="R235" i="8"/>
  <c r="P235" i="8"/>
  <c r="J235" i="8"/>
  <c r="BK234" i="8"/>
  <c r="BI234" i="8"/>
  <c r="BH234" i="8"/>
  <c r="BG234" i="8"/>
  <c r="BF234" i="8"/>
  <c r="BE234" i="8"/>
  <c r="T234" i="8"/>
  <c r="R234" i="8"/>
  <c r="P234" i="8"/>
  <c r="J234" i="8"/>
  <c r="BK233" i="8"/>
  <c r="T233" i="8"/>
  <c r="R233" i="8"/>
  <c r="P233" i="8"/>
  <c r="J233" i="8"/>
  <c r="BK232" i="8"/>
  <c r="BI232" i="8"/>
  <c r="BH232" i="8"/>
  <c r="BG232" i="8"/>
  <c r="BF232" i="8"/>
  <c r="BE232" i="8"/>
  <c r="T232" i="8"/>
  <c r="R232" i="8"/>
  <c r="P232" i="8"/>
  <c r="J232" i="8"/>
  <c r="BK231" i="8"/>
  <c r="BI231" i="8"/>
  <c r="BH231" i="8"/>
  <c r="BG231" i="8"/>
  <c r="BF231" i="8"/>
  <c r="BE231" i="8"/>
  <c r="T231" i="8"/>
  <c r="R231" i="8"/>
  <c r="P231" i="8"/>
  <c r="J231" i="8"/>
  <c r="BK230" i="8"/>
  <c r="BI230" i="8"/>
  <c r="BH230" i="8"/>
  <c r="BG230" i="8"/>
  <c r="BF230" i="8"/>
  <c r="BE230" i="8"/>
  <c r="T230" i="8"/>
  <c r="R230" i="8"/>
  <c r="P230" i="8"/>
  <c r="J230" i="8"/>
  <c r="BK229" i="8"/>
  <c r="BI229" i="8"/>
  <c r="BH229" i="8"/>
  <c r="BG229" i="8"/>
  <c r="BF229" i="8"/>
  <c r="BE229" i="8"/>
  <c r="T229" i="8"/>
  <c r="R229" i="8"/>
  <c r="P229" i="8"/>
  <c r="J229" i="8"/>
  <c r="BK228" i="8"/>
  <c r="BI228" i="8"/>
  <c r="BH228" i="8"/>
  <c r="BG228" i="8"/>
  <c r="BF228" i="8"/>
  <c r="BE228" i="8"/>
  <c r="T228" i="8"/>
  <c r="R228" i="8"/>
  <c r="P228" i="8"/>
  <c r="J228" i="8"/>
  <c r="BK227" i="8"/>
  <c r="BI227" i="8"/>
  <c r="BH227" i="8"/>
  <c r="BG227" i="8"/>
  <c r="BF227" i="8"/>
  <c r="BE227" i="8"/>
  <c r="T227" i="8"/>
  <c r="R227" i="8"/>
  <c r="P227" i="8"/>
  <c r="J227" i="8"/>
  <c r="BK226" i="8"/>
  <c r="BI226" i="8"/>
  <c r="BH226" i="8"/>
  <c r="BG226" i="8"/>
  <c r="BF226" i="8"/>
  <c r="BE226" i="8"/>
  <c r="T226" i="8"/>
  <c r="R226" i="8"/>
  <c r="P226" i="8"/>
  <c r="J226" i="8"/>
  <c r="BK225" i="8"/>
  <c r="BI225" i="8"/>
  <c r="BH225" i="8"/>
  <c r="BG225" i="8"/>
  <c r="BF225" i="8"/>
  <c r="BE225" i="8"/>
  <c r="T225" i="8"/>
  <c r="R225" i="8"/>
  <c r="P225" i="8"/>
  <c r="J225" i="8"/>
  <c r="BK224" i="8"/>
  <c r="BI224" i="8"/>
  <c r="BH224" i="8"/>
  <c r="BG224" i="8"/>
  <c r="BF224" i="8"/>
  <c r="BE224" i="8"/>
  <c r="T224" i="8"/>
  <c r="R224" i="8"/>
  <c r="P224" i="8"/>
  <c r="J224" i="8"/>
  <c r="BK223" i="8"/>
  <c r="BI223" i="8"/>
  <c r="BH223" i="8"/>
  <c r="BG223" i="8"/>
  <c r="BF223" i="8"/>
  <c r="BE223" i="8"/>
  <c r="T223" i="8"/>
  <c r="R223" i="8"/>
  <c r="P223" i="8"/>
  <c r="J223" i="8"/>
  <c r="BK222" i="8"/>
  <c r="BI222" i="8"/>
  <c r="BH222" i="8"/>
  <c r="BG222" i="8"/>
  <c r="BF222" i="8"/>
  <c r="BE222" i="8"/>
  <c r="T222" i="8"/>
  <c r="R222" i="8"/>
  <c r="P222" i="8"/>
  <c r="J222" i="8"/>
  <c r="BK221" i="8"/>
  <c r="BI221" i="8"/>
  <c r="BH221" i="8"/>
  <c r="BG221" i="8"/>
  <c r="BF221" i="8"/>
  <c r="BE221" i="8"/>
  <c r="T221" i="8"/>
  <c r="R221" i="8"/>
  <c r="P221" i="8"/>
  <c r="J221" i="8"/>
  <c r="BK220" i="8"/>
  <c r="BI220" i="8"/>
  <c r="BH220" i="8"/>
  <c r="BG220" i="8"/>
  <c r="BF220" i="8"/>
  <c r="BE220" i="8"/>
  <c r="T220" i="8"/>
  <c r="R220" i="8"/>
  <c r="P220" i="8"/>
  <c r="J220" i="8"/>
  <c r="BK219" i="8"/>
  <c r="BI219" i="8"/>
  <c r="BH219" i="8"/>
  <c r="BG219" i="8"/>
  <c r="BF219" i="8"/>
  <c r="BE219" i="8"/>
  <c r="T219" i="8"/>
  <c r="R219" i="8"/>
  <c r="P219" i="8"/>
  <c r="J219" i="8"/>
  <c r="BK218" i="8"/>
  <c r="BI218" i="8"/>
  <c r="BH218" i="8"/>
  <c r="BG218" i="8"/>
  <c r="BF218" i="8"/>
  <c r="BE218" i="8"/>
  <c r="T218" i="8"/>
  <c r="R218" i="8"/>
  <c r="P218" i="8"/>
  <c r="J218" i="8"/>
  <c r="BK217" i="8"/>
  <c r="BI217" i="8"/>
  <c r="BH217" i="8"/>
  <c r="BG217" i="8"/>
  <c r="BF217" i="8"/>
  <c r="BE217" i="8"/>
  <c r="T217" i="8"/>
  <c r="R217" i="8"/>
  <c r="P217" i="8"/>
  <c r="J217" i="8"/>
  <c r="BK216" i="8"/>
  <c r="T216" i="8"/>
  <c r="R216" i="8"/>
  <c r="P216" i="8"/>
  <c r="J216" i="8"/>
  <c r="BK215" i="8"/>
  <c r="BI215" i="8"/>
  <c r="BH215" i="8"/>
  <c r="BG215" i="8"/>
  <c r="BF215" i="8"/>
  <c r="BE215" i="8"/>
  <c r="T215" i="8"/>
  <c r="R215" i="8"/>
  <c r="P215" i="8"/>
  <c r="J215" i="8"/>
  <c r="BK214" i="8"/>
  <c r="BI214" i="8"/>
  <c r="BH214" i="8"/>
  <c r="BG214" i="8"/>
  <c r="BF214" i="8"/>
  <c r="BE214" i="8"/>
  <c r="T214" i="8"/>
  <c r="R214" i="8"/>
  <c r="P214" i="8"/>
  <c r="J214" i="8"/>
  <c r="BK213" i="8"/>
  <c r="BI213" i="8"/>
  <c r="BH213" i="8"/>
  <c r="BG213" i="8"/>
  <c r="BF213" i="8"/>
  <c r="BE213" i="8"/>
  <c r="T213" i="8"/>
  <c r="R213" i="8"/>
  <c r="P213" i="8"/>
  <c r="J213" i="8"/>
  <c r="BK212" i="8"/>
  <c r="BI212" i="8"/>
  <c r="BH212" i="8"/>
  <c r="BG212" i="8"/>
  <c r="BF212" i="8"/>
  <c r="BE212" i="8"/>
  <c r="T212" i="8"/>
  <c r="R212" i="8"/>
  <c r="P212" i="8"/>
  <c r="J212" i="8"/>
  <c r="BK211" i="8"/>
  <c r="BI211" i="8"/>
  <c r="BH211" i="8"/>
  <c r="BG211" i="8"/>
  <c r="BF211" i="8"/>
  <c r="BE211" i="8"/>
  <c r="T211" i="8"/>
  <c r="R211" i="8"/>
  <c r="P211" i="8"/>
  <c r="J211" i="8"/>
  <c r="BK210" i="8"/>
  <c r="BI210" i="8"/>
  <c r="BH210" i="8"/>
  <c r="BG210" i="8"/>
  <c r="BF210" i="8"/>
  <c r="BE210" i="8"/>
  <c r="T210" i="8"/>
  <c r="R210" i="8"/>
  <c r="P210" i="8"/>
  <c r="J210" i="8"/>
  <c r="BK209" i="8"/>
  <c r="BI209" i="8"/>
  <c r="BH209" i="8"/>
  <c r="BG209" i="8"/>
  <c r="BF209" i="8"/>
  <c r="BE209" i="8"/>
  <c r="T209" i="8"/>
  <c r="R209" i="8"/>
  <c r="P209" i="8"/>
  <c r="J209" i="8"/>
  <c r="BK208" i="8"/>
  <c r="BI208" i="8"/>
  <c r="BH208" i="8"/>
  <c r="BG208" i="8"/>
  <c r="BF208" i="8"/>
  <c r="BE208" i="8"/>
  <c r="T208" i="8"/>
  <c r="R208" i="8"/>
  <c r="P208" i="8"/>
  <c r="J208" i="8"/>
  <c r="BK207" i="8"/>
  <c r="BI207" i="8"/>
  <c r="BH207" i="8"/>
  <c r="BG207" i="8"/>
  <c r="BF207" i="8"/>
  <c r="BE207" i="8"/>
  <c r="T207" i="8"/>
  <c r="R207" i="8"/>
  <c r="P207" i="8"/>
  <c r="J207" i="8"/>
  <c r="BK206" i="8"/>
  <c r="BI206" i="8"/>
  <c r="BH206" i="8"/>
  <c r="BG206" i="8"/>
  <c r="BF206" i="8"/>
  <c r="BE206" i="8"/>
  <c r="T206" i="8"/>
  <c r="R206" i="8"/>
  <c r="P206" i="8"/>
  <c r="J206" i="8"/>
  <c r="BK205" i="8"/>
  <c r="BI205" i="8"/>
  <c r="BH205" i="8"/>
  <c r="BG205" i="8"/>
  <c r="BF205" i="8"/>
  <c r="BE205" i="8"/>
  <c r="T205" i="8"/>
  <c r="R205" i="8"/>
  <c r="P205" i="8"/>
  <c r="J205" i="8"/>
  <c r="BK204" i="8"/>
  <c r="BI204" i="8"/>
  <c r="BH204" i="8"/>
  <c r="BG204" i="8"/>
  <c r="BF204" i="8"/>
  <c r="BE204" i="8"/>
  <c r="T204" i="8"/>
  <c r="R204" i="8"/>
  <c r="P204" i="8"/>
  <c r="J204" i="8"/>
  <c r="BK203" i="8"/>
  <c r="BI203" i="8"/>
  <c r="BH203" i="8"/>
  <c r="BG203" i="8"/>
  <c r="BF203" i="8"/>
  <c r="BE203" i="8"/>
  <c r="T203" i="8"/>
  <c r="R203" i="8"/>
  <c r="P203" i="8"/>
  <c r="J203" i="8"/>
  <c r="BK202" i="8"/>
  <c r="BI202" i="8"/>
  <c r="BH202" i="8"/>
  <c r="BG202" i="8"/>
  <c r="BF202" i="8"/>
  <c r="BE202" i="8"/>
  <c r="T202" i="8"/>
  <c r="R202" i="8"/>
  <c r="P202" i="8"/>
  <c r="J202" i="8"/>
  <c r="BK201" i="8"/>
  <c r="T201" i="8"/>
  <c r="R201" i="8"/>
  <c r="P201" i="8"/>
  <c r="J201" i="8"/>
  <c r="BK200" i="8"/>
  <c r="BI200" i="8"/>
  <c r="BH200" i="8"/>
  <c r="BG200" i="8"/>
  <c r="BF200" i="8"/>
  <c r="BE200" i="8"/>
  <c r="T200" i="8"/>
  <c r="R200" i="8"/>
  <c r="P200" i="8"/>
  <c r="J200" i="8"/>
  <c r="BK199" i="8"/>
  <c r="BI199" i="8"/>
  <c r="BH199" i="8"/>
  <c r="BG199" i="8"/>
  <c r="BF199" i="8"/>
  <c r="BE199" i="8"/>
  <c r="T199" i="8"/>
  <c r="R199" i="8"/>
  <c r="P199" i="8"/>
  <c r="J199" i="8"/>
  <c r="BK198" i="8"/>
  <c r="T198" i="8"/>
  <c r="R198" i="8"/>
  <c r="P198" i="8"/>
  <c r="J198" i="8"/>
  <c r="BK197" i="8"/>
  <c r="T197" i="8"/>
  <c r="R197" i="8"/>
  <c r="P197" i="8"/>
  <c r="J197" i="8"/>
  <c r="BK196" i="8"/>
  <c r="BI196" i="8"/>
  <c r="BH196" i="8"/>
  <c r="BG196" i="8"/>
  <c r="BF196" i="8"/>
  <c r="BE196" i="8"/>
  <c r="T196" i="8"/>
  <c r="R196" i="8"/>
  <c r="P196" i="8"/>
  <c r="J196" i="8"/>
  <c r="BK195" i="8"/>
  <c r="BI195" i="8"/>
  <c r="BH195" i="8"/>
  <c r="BG195" i="8"/>
  <c r="BF195" i="8"/>
  <c r="BE195" i="8"/>
  <c r="T195" i="8"/>
  <c r="R195" i="8"/>
  <c r="P195" i="8"/>
  <c r="J195" i="8"/>
  <c r="BK194" i="8"/>
  <c r="BI194" i="8"/>
  <c r="BH194" i="8"/>
  <c r="BG194" i="8"/>
  <c r="BF194" i="8"/>
  <c r="BE194" i="8"/>
  <c r="T194" i="8"/>
  <c r="R194" i="8"/>
  <c r="P194" i="8"/>
  <c r="J194" i="8"/>
  <c r="BK193" i="8"/>
  <c r="BI193" i="8"/>
  <c r="BH193" i="8"/>
  <c r="BG193" i="8"/>
  <c r="BF193" i="8"/>
  <c r="BE193" i="8"/>
  <c r="T193" i="8"/>
  <c r="R193" i="8"/>
  <c r="P193" i="8"/>
  <c r="J193" i="8"/>
  <c r="BK192" i="8"/>
  <c r="T192" i="8"/>
  <c r="R192" i="8"/>
  <c r="P192" i="8"/>
  <c r="J192" i="8"/>
  <c r="BK191" i="8"/>
  <c r="BI191" i="8"/>
  <c r="BH191" i="8"/>
  <c r="BG191" i="8"/>
  <c r="BF191" i="8"/>
  <c r="BE191" i="8"/>
  <c r="T191" i="8"/>
  <c r="R191" i="8"/>
  <c r="P191" i="8"/>
  <c r="J191" i="8"/>
  <c r="BK190" i="8"/>
  <c r="BI190" i="8"/>
  <c r="BH190" i="8"/>
  <c r="BG190" i="8"/>
  <c r="BF190" i="8"/>
  <c r="BE190" i="8"/>
  <c r="T190" i="8"/>
  <c r="R190" i="8"/>
  <c r="P190" i="8"/>
  <c r="J190" i="8"/>
  <c r="BK189" i="8"/>
  <c r="BI189" i="8"/>
  <c r="BH189" i="8"/>
  <c r="BG189" i="8"/>
  <c r="BF189" i="8"/>
  <c r="BE189" i="8"/>
  <c r="T189" i="8"/>
  <c r="R189" i="8"/>
  <c r="P189" i="8"/>
  <c r="J189" i="8"/>
  <c r="BK188" i="8"/>
  <c r="BI188" i="8"/>
  <c r="BH188" i="8"/>
  <c r="BG188" i="8"/>
  <c r="BF188" i="8"/>
  <c r="BE188" i="8"/>
  <c r="T188" i="8"/>
  <c r="R188" i="8"/>
  <c r="P188" i="8"/>
  <c r="J188" i="8"/>
  <c r="BK187" i="8"/>
  <c r="T187" i="8"/>
  <c r="R187" i="8"/>
  <c r="P187" i="8"/>
  <c r="J187" i="8"/>
  <c r="BK186" i="8"/>
  <c r="BI186" i="8"/>
  <c r="BH186" i="8"/>
  <c r="BG186" i="8"/>
  <c r="BF186" i="8"/>
  <c r="BE186" i="8"/>
  <c r="T186" i="8"/>
  <c r="R186" i="8"/>
  <c r="P186" i="8"/>
  <c r="J186" i="8"/>
  <c r="BK185" i="8"/>
  <c r="BI185" i="8"/>
  <c r="BH185" i="8"/>
  <c r="BG185" i="8"/>
  <c r="BF185" i="8"/>
  <c r="BE185" i="8"/>
  <c r="T185" i="8"/>
  <c r="R185" i="8"/>
  <c r="P185" i="8"/>
  <c r="J185" i="8"/>
  <c r="BK184" i="8"/>
  <c r="BI184" i="8"/>
  <c r="BH184" i="8"/>
  <c r="BG184" i="8"/>
  <c r="BF184" i="8"/>
  <c r="BE184" i="8"/>
  <c r="T184" i="8"/>
  <c r="R184" i="8"/>
  <c r="P184" i="8"/>
  <c r="J184" i="8"/>
  <c r="BK183" i="8"/>
  <c r="BI183" i="8"/>
  <c r="BH183" i="8"/>
  <c r="BG183" i="8"/>
  <c r="BF183" i="8"/>
  <c r="BE183" i="8"/>
  <c r="T183" i="8"/>
  <c r="R183" i="8"/>
  <c r="P183" i="8"/>
  <c r="J183" i="8"/>
  <c r="BK182" i="8"/>
  <c r="BI182" i="8"/>
  <c r="BH182" i="8"/>
  <c r="BG182" i="8"/>
  <c r="BF182" i="8"/>
  <c r="BE182" i="8"/>
  <c r="T182" i="8"/>
  <c r="R182" i="8"/>
  <c r="P182" i="8"/>
  <c r="J182" i="8"/>
  <c r="BK181" i="8"/>
  <c r="BI181" i="8"/>
  <c r="BH181" i="8"/>
  <c r="BG181" i="8"/>
  <c r="BF181" i="8"/>
  <c r="BE181" i="8"/>
  <c r="T181" i="8"/>
  <c r="R181" i="8"/>
  <c r="P181" i="8"/>
  <c r="J181" i="8"/>
  <c r="BK180" i="8"/>
  <c r="BI180" i="8"/>
  <c r="BH180" i="8"/>
  <c r="BG180" i="8"/>
  <c r="BF180" i="8"/>
  <c r="BE180" i="8"/>
  <c r="T180" i="8"/>
  <c r="R180" i="8"/>
  <c r="P180" i="8"/>
  <c r="J180" i="8"/>
  <c r="BK179" i="8"/>
  <c r="BI179" i="8"/>
  <c r="BH179" i="8"/>
  <c r="BG179" i="8"/>
  <c r="BF179" i="8"/>
  <c r="BE179" i="8"/>
  <c r="T179" i="8"/>
  <c r="R179" i="8"/>
  <c r="P179" i="8"/>
  <c r="J179" i="8"/>
  <c r="BK178" i="8"/>
  <c r="BI178" i="8"/>
  <c r="BH178" i="8"/>
  <c r="BG178" i="8"/>
  <c r="BF178" i="8"/>
  <c r="BE178" i="8"/>
  <c r="T178" i="8"/>
  <c r="R178" i="8"/>
  <c r="P178" i="8"/>
  <c r="J178" i="8"/>
  <c r="BK177" i="8"/>
  <c r="BI177" i="8"/>
  <c r="BH177" i="8"/>
  <c r="BG177" i="8"/>
  <c r="BF177" i="8"/>
  <c r="BE177" i="8"/>
  <c r="T177" i="8"/>
  <c r="R177" i="8"/>
  <c r="P177" i="8"/>
  <c r="J177" i="8"/>
  <c r="BK176" i="8"/>
  <c r="BI176" i="8"/>
  <c r="BH176" i="8"/>
  <c r="BG176" i="8"/>
  <c r="BF176" i="8"/>
  <c r="BE176" i="8"/>
  <c r="T176" i="8"/>
  <c r="R176" i="8"/>
  <c r="P176" i="8"/>
  <c r="J176" i="8"/>
  <c r="BK175" i="8"/>
  <c r="BI175" i="8"/>
  <c r="BH175" i="8"/>
  <c r="BG175" i="8"/>
  <c r="BF175" i="8"/>
  <c r="BE175" i="8"/>
  <c r="T175" i="8"/>
  <c r="R175" i="8"/>
  <c r="P175" i="8"/>
  <c r="J175" i="8"/>
  <c r="BK174" i="8"/>
  <c r="BI174" i="8"/>
  <c r="BH174" i="8"/>
  <c r="BG174" i="8"/>
  <c r="BF174" i="8"/>
  <c r="BE174" i="8"/>
  <c r="T174" i="8"/>
  <c r="R174" i="8"/>
  <c r="P174" i="8"/>
  <c r="J174" i="8"/>
  <c r="BK173" i="8"/>
  <c r="BI173" i="8"/>
  <c r="BH173" i="8"/>
  <c r="BG173" i="8"/>
  <c r="BF173" i="8"/>
  <c r="BE173" i="8"/>
  <c r="T173" i="8"/>
  <c r="R173" i="8"/>
  <c r="P173" i="8"/>
  <c r="J173" i="8"/>
  <c r="BK172" i="8"/>
  <c r="BI172" i="8"/>
  <c r="BH172" i="8"/>
  <c r="BG172" i="8"/>
  <c r="BF172" i="8"/>
  <c r="BE172" i="8"/>
  <c r="T172" i="8"/>
  <c r="R172" i="8"/>
  <c r="P172" i="8"/>
  <c r="J172" i="8"/>
  <c r="BK171" i="8"/>
  <c r="BI171" i="8"/>
  <c r="BH171" i="8"/>
  <c r="BG171" i="8"/>
  <c r="BF171" i="8"/>
  <c r="BE171" i="8"/>
  <c r="T171" i="8"/>
  <c r="R171" i="8"/>
  <c r="P171" i="8"/>
  <c r="J171" i="8"/>
  <c r="BK170" i="8"/>
  <c r="T170" i="8"/>
  <c r="R170" i="8"/>
  <c r="P170" i="8"/>
  <c r="J170" i="8"/>
  <c r="BK169" i="8"/>
  <c r="BI169" i="8"/>
  <c r="BH169" i="8"/>
  <c r="BG169" i="8"/>
  <c r="BF169" i="8"/>
  <c r="BE169" i="8"/>
  <c r="T169" i="8"/>
  <c r="R169" i="8"/>
  <c r="P169" i="8"/>
  <c r="J169" i="8"/>
  <c r="BK168" i="8"/>
  <c r="BI168" i="8"/>
  <c r="BH168" i="8"/>
  <c r="BG168" i="8"/>
  <c r="BF168" i="8"/>
  <c r="BE168" i="8"/>
  <c r="T168" i="8"/>
  <c r="R168" i="8"/>
  <c r="P168" i="8"/>
  <c r="J168" i="8"/>
  <c r="BK167" i="8"/>
  <c r="BI167" i="8"/>
  <c r="BH167" i="8"/>
  <c r="BG167" i="8"/>
  <c r="BF167" i="8"/>
  <c r="BE167" i="8"/>
  <c r="T167" i="8"/>
  <c r="R167" i="8"/>
  <c r="P167" i="8"/>
  <c r="J167" i="8"/>
  <c r="BK166" i="8"/>
  <c r="BI166" i="8"/>
  <c r="BH166" i="8"/>
  <c r="BG166" i="8"/>
  <c r="BF166" i="8"/>
  <c r="BE166" i="8"/>
  <c r="T166" i="8"/>
  <c r="R166" i="8"/>
  <c r="P166" i="8"/>
  <c r="J166" i="8"/>
  <c r="BK165" i="8"/>
  <c r="BI165" i="8"/>
  <c r="BH165" i="8"/>
  <c r="BG165" i="8"/>
  <c r="BF165" i="8"/>
  <c r="BE165" i="8"/>
  <c r="T165" i="8"/>
  <c r="R165" i="8"/>
  <c r="P165" i="8"/>
  <c r="J165" i="8"/>
  <c r="BK164" i="8"/>
  <c r="BI164" i="8"/>
  <c r="BH164" i="8"/>
  <c r="BG164" i="8"/>
  <c r="BF164" i="8"/>
  <c r="BE164" i="8"/>
  <c r="T164" i="8"/>
  <c r="R164" i="8"/>
  <c r="P164" i="8"/>
  <c r="J164" i="8"/>
  <c r="BK163" i="8"/>
  <c r="BI163" i="8"/>
  <c r="BH163" i="8"/>
  <c r="BG163" i="8"/>
  <c r="BF163" i="8"/>
  <c r="BE163" i="8"/>
  <c r="T163" i="8"/>
  <c r="R163" i="8"/>
  <c r="P163" i="8"/>
  <c r="J163" i="8"/>
  <c r="BK162" i="8"/>
  <c r="BI162" i="8"/>
  <c r="BH162" i="8"/>
  <c r="BG162" i="8"/>
  <c r="BF162" i="8"/>
  <c r="BE162" i="8"/>
  <c r="T162" i="8"/>
  <c r="R162" i="8"/>
  <c r="P162" i="8"/>
  <c r="J162" i="8"/>
  <c r="BK161" i="8"/>
  <c r="BI161" i="8"/>
  <c r="BH161" i="8"/>
  <c r="BG161" i="8"/>
  <c r="BF161" i="8"/>
  <c r="BE161" i="8"/>
  <c r="T161" i="8"/>
  <c r="R161" i="8"/>
  <c r="P161" i="8"/>
  <c r="J161" i="8"/>
  <c r="BK160" i="8"/>
  <c r="BI160" i="8"/>
  <c r="BH160" i="8"/>
  <c r="BG160" i="8"/>
  <c r="BF160" i="8"/>
  <c r="BE160" i="8"/>
  <c r="T160" i="8"/>
  <c r="R160" i="8"/>
  <c r="P160" i="8"/>
  <c r="J160" i="8"/>
  <c r="BK159" i="8"/>
  <c r="BI159" i="8"/>
  <c r="BH159" i="8"/>
  <c r="BG159" i="8"/>
  <c r="BF159" i="8"/>
  <c r="BE159" i="8"/>
  <c r="T159" i="8"/>
  <c r="R159" i="8"/>
  <c r="P159" i="8"/>
  <c r="J159" i="8"/>
  <c r="BK158" i="8"/>
  <c r="BI158" i="8"/>
  <c r="BH158" i="8"/>
  <c r="BG158" i="8"/>
  <c r="BF158" i="8"/>
  <c r="BE158" i="8"/>
  <c r="T158" i="8"/>
  <c r="R158" i="8"/>
  <c r="P158" i="8"/>
  <c r="J158" i="8"/>
  <c r="BK157" i="8"/>
  <c r="BI157" i="8"/>
  <c r="BH157" i="8"/>
  <c r="BG157" i="8"/>
  <c r="BF157" i="8"/>
  <c r="BE157" i="8"/>
  <c r="T157" i="8"/>
  <c r="R157" i="8"/>
  <c r="P157" i="8"/>
  <c r="J157" i="8"/>
  <c r="BK156" i="8"/>
  <c r="BI156" i="8"/>
  <c r="BH156" i="8"/>
  <c r="BG156" i="8"/>
  <c r="BF156" i="8"/>
  <c r="BE156" i="8"/>
  <c r="T156" i="8"/>
  <c r="R156" i="8"/>
  <c r="P156" i="8"/>
  <c r="J156" i="8"/>
  <c r="BK155" i="8"/>
  <c r="BI155" i="8"/>
  <c r="BH155" i="8"/>
  <c r="BG155" i="8"/>
  <c r="BF155" i="8"/>
  <c r="BE155" i="8"/>
  <c r="T155" i="8"/>
  <c r="R155" i="8"/>
  <c r="P155" i="8"/>
  <c r="J155" i="8"/>
  <c r="BK154" i="8"/>
  <c r="BI154" i="8"/>
  <c r="BH154" i="8"/>
  <c r="BG154" i="8"/>
  <c r="BF154" i="8"/>
  <c r="BE154" i="8"/>
  <c r="T154" i="8"/>
  <c r="R154" i="8"/>
  <c r="P154" i="8"/>
  <c r="J154" i="8"/>
  <c r="BK153" i="8"/>
  <c r="BI153" i="8"/>
  <c r="BH153" i="8"/>
  <c r="BG153" i="8"/>
  <c r="BF153" i="8"/>
  <c r="BE153" i="8"/>
  <c r="T153" i="8"/>
  <c r="R153" i="8"/>
  <c r="P153" i="8"/>
  <c r="J153" i="8"/>
  <c r="BK152" i="8"/>
  <c r="BI152" i="8"/>
  <c r="BH152" i="8"/>
  <c r="BG152" i="8"/>
  <c r="BF152" i="8"/>
  <c r="BE152" i="8"/>
  <c r="T152" i="8"/>
  <c r="R152" i="8"/>
  <c r="P152" i="8"/>
  <c r="J152" i="8"/>
  <c r="BK151" i="8"/>
  <c r="BI151" i="8"/>
  <c r="BH151" i="8"/>
  <c r="BG151" i="8"/>
  <c r="BF151" i="8"/>
  <c r="BE151" i="8"/>
  <c r="T151" i="8"/>
  <c r="R151" i="8"/>
  <c r="P151" i="8"/>
  <c r="J151" i="8"/>
  <c r="BK150" i="8"/>
  <c r="BI150" i="8"/>
  <c r="BH150" i="8"/>
  <c r="BG150" i="8"/>
  <c r="BF150" i="8"/>
  <c r="BE150" i="8"/>
  <c r="T150" i="8"/>
  <c r="R150" i="8"/>
  <c r="P150" i="8"/>
  <c r="J150" i="8"/>
  <c r="BK149" i="8"/>
  <c r="T149" i="8"/>
  <c r="R149" i="8"/>
  <c r="P149" i="8"/>
  <c r="J149" i="8"/>
  <c r="BK148" i="8"/>
  <c r="BI148" i="8"/>
  <c r="BH148" i="8"/>
  <c r="BG148" i="8"/>
  <c r="BF148" i="8"/>
  <c r="BE148" i="8"/>
  <c r="T148" i="8"/>
  <c r="R148" i="8"/>
  <c r="P148" i="8"/>
  <c r="J148" i="8"/>
  <c r="BK147" i="8"/>
  <c r="BI147" i="8"/>
  <c r="BH147" i="8"/>
  <c r="BG147" i="8"/>
  <c r="BF147" i="8"/>
  <c r="BE147" i="8"/>
  <c r="T147" i="8"/>
  <c r="R147" i="8"/>
  <c r="P147" i="8"/>
  <c r="J147" i="8"/>
  <c r="BK146" i="8"/>
  <c r="T146" i="8"/>
  <c r="R146" i="8"/>
  <c r="P146" i="8"/>
  <c r="J146" i="8"/>
  <c r="BK145" i="8"/>
  <c r="T145" i="8"/>
  <c r="R145" i="8"/>
  <c r="P145" i="8"/>
  <c r="J145" i="8"/>
  <c r="BK144" i="8"/>
  <c r="T144" i="8"/>
  <c r="R144" i="8"/>
  <c r="P144" i="8"/>
  <c r="J144" i="8"/>
  <c r="J141" i="8"/>
  <c r="F141" i="8"/>
  <c r="J140" i="8"/>
  <c r="F140" i="8"/>
  <c r="J138" i="8"/>
  <c r="F138" i="8"/>
  <c r="E136" i="8"/>
  <c r="E132" i="8"/>
  <c r="J122" i="8"/>
  <c r="J121" i="8"/>
  <c r="J120" i="8"/>
  <c r="J119" i="8"/>
  <c r="J118" i="8"/>
  <c r="J117" i="8"/>
  <c r="J116" i="8"/>
  <c r="J115" i="8"/>
  <c r="J114" i="8"/>
  <c r="J113" i="8"/>
  <c r="J112" i="8"/>
  <c r="J111" i="8"/>
  <c r="J110" i="8"/>
  <c r="J109" i="8"/>
  <c r="J108" i="8"/>
  <c r="J107" i="8"/>
  <c r="J106" i="8"/>
  <c r="J105" i="8"/>
  <c r="J104" i="8"/>
  <c r="J103" i="8"/>
  <c r="J102" i="8"/>
  <c r="J101" i="8"/>
  <c r="J100" i="8"/>
  <c r="J99" i="8"/>
  <c r="J98" i="8"/>
  <c r="J94" i="8"/>
  <c r="F94" i="8"/>
  <c r="J93" i="8"/>
  <c r="F93" i="8"/>
  <c r="J91" i="8"/>
  <c r="F91" i="8"/>
  <c r="E89" i="8"/>
  <c r="E85" i="8"/>
  <c r="J41" i="8"/>
  <c r="J39" i="8"/>
  <c r="F39" i="8"/>
  <c r="J38" i="8"/>
  <c r="F38" i="8"/>
  <c r="J37" i="8"/>
  <c r="F37" i="8"/>
  <c r="J36" i="8"/>
  <c r="F36" i="8"/>
  <c r="J35" i="8"/>
  <c r="F35" i="8"/>
  <c r="J32" i="8"/>
  <c r="J20" i="8"/>
  <c r="E20" i="8"/>
  <c r="J19" i="8"/>
  <c r="J14" i="8"/>
  <c r="E7" i="8"/>
  <c r="BK427" i="7"/>
  <c r="BI427" i="7"/>
  <c r="BH427" i="7"/>
  <c r="BG427" i="7"/>
  <c r="BF427" i="7"/>
  <c r="BE427" i="7"/>
  <c r="T427" i="7"/>
  <c r="R427" i="7"/>
  <c r="P427" i="7"/>
  <c r="J427" i="7"/>
  <c r="BK426" i="7"/>
  <c r="BI426" i="7"/>
  <c r="BH426" i="7"/>
  <c r="BG426" i="7"/>
  <c r="BF426" i="7"/>
  <c r="BE426" i="7"/>
  <c r="T426" i="7"/>
  <c r="R426" i="7"/>
  <c r="P426" i="7"/>
  <c r="J426" i="7"/>
  <c r="BK425" i="7"/>
  <c r="BI425" i="7"/>
  <c r="BH425" i="7"/>
  <c r="BG425" i="7"/>
  <c r="BF425" i="7"/>
  <c r="BE425" i="7"/>
  <c r="T425" i="7"/>
  <c r="R425" i="7"/>
  <c r="P425" i="7"/>
  <c r="J425" i="7"/>
  <c r="BK424" i="7"/>
  <c r="T424" i="7"/>
  <c r="R424" i="7"/>
  <c r="P424" i="7"/>
  <c r="J424" i="7"/>
  <c r="BK423" i="7"/>
  <c r="T423" i="7"/>
  <c r="R423" i="7"/>
  <c r="P423" i="7"/>
  <c r="J423" i="7"/>
  <c r="BK422" i="7"/>
  <c r="BI422" i="7"/>
  <c r="BH422" i="7"/>
  <c r="BG422" i="7"/>
  <c r="BF422" i="7"/>
  <c r="BE422" i="7"/>
  <c r="T422" i="7"/>
  <c r="R422" i="7"/>
  <c r="P422" i="7"/>
  <c r="J422" i="7"/>
  <c r="BK421" i="7"/>
  <c r="BI421" i="7"/>
  <c r="BH421" i="7"/>
  <c r="BG421" i="7"/>
  <c r="BF421" i="7"/>
  <c r="BE421" i="7"/>
  <c r="T421" i="7"/>
  <c r="R421" i="7"/>
  <c r="P421" i="7"/>
  <c r="J421" i="7"/>
  <c r="BK420" i="7"/>
  <c r="BI420" i="7"/>
  <c r="BH420" i="7"/>
  <c r="BG420" i="7"/>
  <c r="BF420" i="7"/>
  <c r="BE420" i="7"/>
  <c r="T420" i="7"/>
  <c r="R420" i="7"/>
  <c r="P420" i="7"/>
  <c r="J420" i="7"/>
  <c r="BK419" i="7"/>
  <c r="T419" i="7"/>
  <c r="R419" i="7"/>
  <c r="P419" i="7"/>
  <c r="J419" i="7"/>
  <c r="BK418" i="7"/>
  <c r="BI418" i="7"/>
  <c r="BH418" i="7"/>
  <c r="BG418" i="7"/>
  <c r="BF418" i="7"/>
  <c r="BE418" i="7"/>
  <c r="T418" i="7"/>
  <c r="R418" i="7"/>
  <c r="P418" i="7"/>
  <c r="J418" i="7"/>
  <c r="BK417" i="7"/>
  <c r="BI417" i="7"/>
  <c r="BH417" i="7"/>
  <c r="BG417" i="7"/>
  <c r="BF417" i="7"/>
  <c r="BE417" i="7"/>
  <c r="T417" i="7"/>
  <c r="R417" i="7"/>
  <c r="P417" i="7"/>
  <c r="J417" i="7"/>
  <c r="BK416" i="7"/>
  <c r="BI416" i="7"/>
  <c r="BH416" i="7"/>
  <c r="BG416" i="7"/>
  <c r="BF416" i="7"/>
  <c r="BE416" i="7"/>
  <c r="T416" i="7"/>
  <c r="R416" i="7"/>
  <c r="P416" i="7"/>
  <c r="J416" i="7"/>
  <c r="BK415" i="7"/>
  <c r="BI415" i="7"/>
  <c r="BH415" i="7"/>
  <c r="BG415" i="7"/>
  <c r="BF415" i="7"/>
  <c r="BE415" i="7"/>
  <c r="T415" i="7"/>
  <c r="R415" i="7"/>
  <c r="P415" i="7"/>
  <c r="J415" i="7"/>
  <c r="BK414" i="7"/>
  <c r="BI414" i="7"/>
  <c r="BH414" i="7"/>
  <c r="BG414" i="7"/>
  <c r="BF414" i="7"/>
  <c r="BE414" i="7"/>
  <c r="T414" i="7"/>
  <c r="R414" i="7"/>
  <c r="P414" i="7"/>
  <c r="J414" i="7"/>
  <c r="BK413" i="7"/>
  <c r="BI413" i="7"/>
  <c r="BH413" i="7"/>
  <c r="BG413" i="7"/>
  <c r="BF413" i="7"/>
  <c r="BE413" i="7"/>
  <c r="T413" i="7"/>
  <c r="R413" i="7"/>
  <c r="P413" i="7"/>
  <c r="J413" i="7"/>
  <c r="BK412" i="7"/>
  <c r="BI412" i="7"/>
  <c r="BH412" i="7"/>
  <c r="BG412" i="7"/>
  <c r="BF412" i="7"/>
  <c r="BE412" i="7"/>
  <c r="T412" i="7"/>
  <c r="R412" i="7"/>
  <c r="P412" i="7"/>
  <c r="J412" i="7"/>
  <c r="BK411" i="7"/>
  <c r="BI411" i="7"/>
  <c r="BH411" i="7"/>
  <c r="BG411" i="7"/>
  <c r="BF411" i="7"/>
  <c r="BE411" i="7"/>
  <c r="T411" i="7"/>
  <c r="R411" i="7"/>
  <c r="P411" i="7"/>
  <c r="J411" i="7"/>
  <c r="BK410" i="7"/>
  <c r="BI410" i="7"/>
  <c r="BH410" i="7"/>
  <c r="BG410" i="7"/>
  <c r="BF410" i="7"/>
  <c r="BE410" i="7"/>
  <c r="T410" i="7"/>
  <c r="R410" i="7"/>
  <c r="P410" i="7"/>
  <c r="J410" i="7"/>
  <c r="BK409" i="7"/>
  <c r="BI409" i="7"/>
  <c r="BH409" i="7"/>
  <c r="BG409" i="7"/>
  <c r="BF409" i="7"/>
  <c r="BE409" i="7"/>
  <c r="T409" i="7"/>
  <c r="R409" i="7"/>
  <c r="P409" i="7"/>
  <c r="J409" i="7"/>
  <c r="BK407" i="7"/>
  <c r="BI407" i="7"/>
  <c r="BH407" i="7"/>
  <c r="BG407" i="7"/>
  <c r="BF407" i="7"/>
  <c r="BE407" i="7"/>
  <c r="T407" i="7"/>
  <c r="R407" i="7"/>
  <c r="P407" i="7"/>
  <c r="J407" i="7"/>
  <c r="BK406" i="7"/>
  <c r="T406" i="7"/>
  <c r="R406" i="7"/>
  <c r="P406" i="7"/>
  <c r="J406" i="7"/>
  <c r="BK405" i="7"/>
  <c r="BI405" i="7"/>
  <c r="BH405" i="7"/>
  <c r="BG405" i="7"/>
  <c r="BF405" i="7"/>
  <c r="BE405" i="7"/>
  <c r="T405" i="7"/>
  <c r="R405" i="7"/>
  <c r="P405" i="7"/>
  <c r="J405" i="7"/>
  <c r="BK404" i="7"/>
  <c r="BI404" i="7"/>
  <c r="BH404" i="7"/>
  <c r="BG404" i="7"/>
  <c r="BF404" i="7"/>
  <c r="BE404" i="7"/>
  <c r="T404" i="7"/>
  <c r="R404" i="7"/>
  <c r="P404" i="7"/>
  <c r="J404" i="7"/>
  <c r="BK403" i="7"/>
  <c r="BI403" i="7"/>
  <c r="BH403" i="7"/>
  <c r="BG403" i="7"/>
  <c r="BF403" i="7"/>
  <c r="BE403" i="7"/>
  <c r="T403" i="7"/>
  <c r="R403" i="7"/>
  <c r="P403" i="7"/>
  <c r="J403" i="7"/>
  <c r="BK402" i="7"/>
  <c r="BI402" i="7"/>
  <c r="BH402" i="7"/>
  <c r="BG402" i="7"/>
  <c r="BF402" i="7"/>
  <c r="BE402" i="7"/>
  <c r="T402" i="7"/>
  <c r="R402" i="7"/>
  <c r="P402" i="7"/>
  <c r="J402" i="7"/>
  <c r="BK401" i="7"/>
  <c r="BI401" i="7"/>
  <c r="BH401" i="7"/>
  <c r="BG401" i="7"/>
  <c r="BF401" i="7"/>
  <c r="BE401" i="7"/>
  <c r="T401" i="7"/>
  <c r="R401" i="7"/>
  <c r="P401" i="7"/>
  <c r="J401" i="7"/>
  <c r="BK400" i="7"/>
  <c r="BI400" i="7"/>
  <c r="BH400" i="7"/>
  <c r="BG400" i="7"/>
  <c r="BF400" i="7"/>
  <c r="BE400" i="7"/>
  <c r="T400" i="7"/>
  <c r="R400" i="7"/>
  <c r="P400" i="7"/>
  <c r="J400" i="7"/>
  <c r="BK399" i="7"/>
  <c r="BI399" i="7"/>
  <c r="BH399" i="7"/>
  <c r="BG399" i="7"/>
  <c r="BF399" i="7"/>
  <c r="BE399" i="7"/>
  <c r="T399" i="7"/>
  <c r="R399" i="7"/>
  <c r="P399" i="7"/>
  <c r="J399" i="7"/>
  <c r="BK398" i="7"/>
  <c r="BI398" i="7"/>
  <c r="BH398" i="7"/>
  <c r="BG398" i="7"/>
  <c r="BF398" i="7"/>
  <c r="BE398" i="7"/>
  <c r="T398" i="7"/>
  <c r="R398" i="7"/>
  <c r="P398" i="7"/>
  <c r="J398" i="7"/>
  <c r="BK397" i="7"/>
  <c r="BI397" i="7"/>
  <c r="BH397" i="7"/>
  <c r="BG397" i="7"/>
  <c r="BF397" i="7"/>
  <c r="BE397" i="7"/>
  <c r="T397" i="7"/>
  <c r="R397" i="7"/>
  <c r="P397" i="7"/>
  <c r="J397" i="7"/>
  <c r="BK396" i="7"/>
  <c r="BI396" i="7"/>
  <c r="BH396" i="7"/>
  <c r="BG396" i="7"/>
  <c r="BF396" i="7"/>
  <c r="BE396" i="7"/>
  <c r="T396" i="7"/>
  <c r="R396" i="7"/>
  <c r="P396" i="7"/>
  <c r="J396" i="7"/>
  <c r="BK395" i="7"/>
  <c r="BI395" i="7"/>
  <c r="BH395" i="7"/>
  <c r="BG395" i="7"/>
  <c r="BF395" i="7"/>
  <c r="BE395" i="7"/>
  <c r="T395" i="7"/>
  <c r="R395" i="7"/>
  <c r="P395" i="7"/>
  <c r="J395" i="7"/>
  <c r="BK393" i="7"/>
  <c r="BI393" i="7"/>
  <c r="BH393" i="7"/>
  <c r="BG393" i="7"/>
  <c r="BF393" i="7"/>
  <c r="BE393" i="7"/>
  <c r="T393" i="7"/>
  <c r="R393" i="7"/>
  <c r="P393" i="7"/>
  <c r="J393" i="7"/>
  <c r="BK392" i="7"/>
  <c r="T392" i="7"/>
  <c r="R392" i="7"/>
  <c r="P392" i="7"/>
  <c r="J392" i="7"/>
  <c r="BK391" i="7"/>
  <c r="BI391" i="7"/>
  <c r="BH391" i="7"/>
  <c r="BG391" i="7"/>
  <c r="BF391" i="7"/>
  <c r="BE391" i="7"/>
  <c r="T391" i="7"/>
  <c r="R391" i="7"/>
  <c r="P391" i="7"/>
  <c r="J391" i="7"/>
  <c r="BK390" i="7"/>
  <c r="BI390" i="7"/>
  <c r="BH390" i="7"/>
  <c r="BG390" i="7"/>
  <c r="BF390" i="7"/>
  <c r="BE390" i="7"/>
  <c r="T390" i="7"/>
  <c r="R390" i="7"/>
  <c r="P390" i="7"/>
  <c r="J390" i="7"/>
  <c r="BK389" i="7"/>
  <c r="BI389" i="7"/>
  <c r="BH389" i="7"/>
  <c r="BG389" i="7"/>
  <c r="BF389" i="7"/>
  <c r="BE389" i="7"/>
  <c r="T389" i="7"/>
  <c r="R389" i="7"/>
  <c r="P389" i="7"/>
  <c r="J389" i="7"/>
  <c r="BK388" i="7"/>
  <c r="BI388" i="7"/>
  <c r="BH388" i="7"/>
  <c r="BG388" i="7"/>
  <c r="BF388" i="7"/>
  <c r="BE388" i="7"/>
  <c r="T388" i="7"/>
  <c r="R388" i="7"/>
  <c r="P388" i="7"/>
  <c r="J388" i="7"/>
  <c r="BK387" i="7"/>
  <c r="BI387" i="7"/>
  <c r="BH387" i="7"/>
  <c r="BG387" i="7"/>
  <c r="BF387" i="7"/>
  <c r="BE387" i="7"/>
  <c r="T387" i="7"/>
  <c r="R387" i="7"/>
  <c r="P387" i="7"/>
  <c r="J387" i="7"/>
  <c r="BK386" i="7"/>
  <c r="BI386" i="7"/>
  <c r="BH386" i="7"/>
  <c r="BG386" i="7"/>
  <c r="BF386" i="7"/>
  <c r="BE386" i="7"/>
  <c r="T386" i="7"/>
  <c r="R386" i="7"/>
  <c r="P386" i="7"/>
  <c r="J386" i="7"/>
  <c r="BK385" i="7"/>
  <c r="BI385" i="7"/>
  <c r="BH385" i="7"/>
  <c r="BG385" i="7"/>
  <c r="BF385" i="7"/>
  <c r="BE385" i="7"/>
  <c r="T385" i="7"/>
  <c r="R385" i="7"/>
  <c r="P385" i="7"/>
  <c r="J385" i="7"/>
  <c r="BK384" i="7"/>
  <c r="T384" i="7"/>
  <c r="R384" i="7"/>
  <c r="P384" i="7"/>
  <c r="J384" i="7"/>
  <c r="BK383" i="7"/>
  <c r="BI383" i="7"/>
  <c r="BH383" i="7"/>
  <c r="BG383" i="7"/>
  <c r="BF383" i="7"/>
  <c r="BE383" i="7"/>
  <c r="T383" i="7"/>
  <c r="R383" i="7"/>
  <c r="P383" i="7"/>
  <c r="J383" i="7"/>
  <c r="BK382" i="7"/>
  <c r="BI382" i="7"/>
  <c r="BH382" i="7"/>
  <c r="BG382" i="7"/>
  <c r="BF382" i="7"/>
  <c r="BE382" i="7"/>
  <c r="T382" i="7"/>
  <c r="R382" i="7"/>
  <c r="P382" i="7"/>
  <c r="J382" i="7"/>
  <c r="BK381" i="7"/>
  <c r="BI381" i="7"/>
  <c r="BH381" i="7"/>
  <c r="BG381" i="7"/>
  <c r="BF381" i="7"/>
  <c r="BE381" i="7"/>
  <c r="T381" i="7"/>
  <c r="R381" i="7"/>
  <c r="P381" i="7"/>
  <c r="J381" i="7"/>
  <c r="BK380" i="7"/>
  <c r="BI380" i="7"/>
  <c r="BH380" i="7"/>
  <c r="BG380" i="7"/>
  <c r="BF380" i="7"/>
  <c r="BE380" i="7"/>
  <c r="T380" i="7"/>
  <c r="R380" i="7"/>
  <c r="P380" i="7"/>
  <c r="J380" i="7"/>
  <c r="BK379" i="7"/>
  <c r="BI379" i="7"/>
  <c r="BH379" i="7"/>
  <c r="BG379" i="7"/>
  <c r="BF379" i="7"/>
  <c r="BE379" i="7"/>
  <c r="T379" i="7"/>
  <c r="R379" i="7"/>
  <c r="P379" i="7"/>
  <c r="J379" i="7"/>
  <c r="BK378" i="7"/>
  <c r="BI378" i="7"/>
  <c r="BH378" i="7"/>
  <c r="BG378" i="7"/>
  <c r="BF378" i="7"/>
  <c r="BE378" i="7"/>
  <c r="T378" i="7"/>
  <c r="R378" i="7"/>
  <c r="P378" i="7"/>
  <c r="J378" i="7"/>
  <c r="BK377" i="7"/>
  <c r="BI377" i="7"/>
  <c r="BH377" i="7"/>
  <c r="BG377" i="7"/>
  <c r="BF377" i="7"/>
  <c r="BE377" i="7"/>
  <c r="T377" i="7"/>
  <c r="R377" i="7"/>
  <c r="P377" i="7"/>
  <c r="J377" i="7"/>
  <c r="BK376" i="7"/>
  <c r="BI376" i="7"/>
  <c r="BH376" i="7"/>
  <c r="BG376" i="7"/>
  <c r="BF376" i="7"/>
  <c r="BE376" i="7"/>
  <c r="T376" i="7"/>
  <c r="R376" i="7"/>
  <c r="P376" i="7"/>
  <c r="J376" i="7"/>
  <c r="BK375" i="7"/>
  <c r="BI375" i="7"/>
  <c r="BH375" i="7"/>
  <c r="BG375" i="7"/>
  <c r="BF375" i="7"/>
  <c r="BE375" i="7"/>
  <c r="T375" i="7"/>
  <c r="R375" i="7"/>
  <c r="P375" i="7"/>
  <c r="J375" i="7"/>
  <c r="BK374" i="7"/>
  <c r="BI374" i="7"/>
  <c r="BH374" i="7"/>
  <c r="BG374" i="7"/>
  <c r="BF374" i="7"/>
  <c r="BE374" i="7"/>
  <c r="T374" i="7"/>
  <c r="R374" i="7"/>
  <c r="P374" i="7"/>
  <c r="J374" i="7"/>
  <c r="BK373" i="7"/>
  <c r="BI373" i="7"/>
  <c r="BH373" i="7"/>
  <c r="BG373" i="7"/>
  <c r="BF373" i="7"/>
  <c r="BE373" i="7"/>
  <c r="T373" i="7"/>
  <c r="R373" i="7"/>
  <c r="P373" i="7"/>
  <c r="J373" i="7"/>
  <c r="BK372" i="7"/>
  <c r="BI372" i="7"/>
  <c r="BH372" i="7"/>
  <c r="BG372" i="7"/>
  <c r="BF372" i="7"/>
  <c r="BE372" i="7"/>
  <c r="T372" i="7"/>
  <c r="R372" i="7"/>
  <c r="P372" i="7"/>
  <c r="J372" i="7"/>
  <c r="BK371" i="7"/>
  <c r="BI371" i="7"/>
  <c r="BH371" i="7"/>
  <c r="BG371" i="7"/>
  <c r="BF371" i="7"/>
  <c r="BE371" i="7"/>
  <c r="T371" i="7"/>
  <c r="R371" i="7"/>
  <c r="P371" i="7"/>
  <c r="J371" i="7"/>
  <c r="BK370" i="7"/>
  <c r="BI370" i="7"/>
  <c r="BH370" i="7"/>
  <c r="BG370" i="7"/>
  <c r="BF370" i="7"/>
  <c r="BE370" i="7"/>
  <c r="T370" i="7"/>
  <c r="R370" i="7"/>
  <c r="P370" i="7"/>
  <c r="J370" i="7"/>
  <c r="BK369" i="7"/>
  <c r="BI369" i="7"/>
  <c r="BH369" i="7"/>
  <c r="BG369" i="7"/>
  <c r="BF369" i="7"/>
  <c r="BE369" i="7"/>
  <c r="T369" i="7"/>
  <c r="R369" i="7"/>
  <c r="P369" i="7"/>
  <c r="J369" i="7"/>
  <c r="BK368" i="7"/>
  <c r="BI368" i="7"/>
  <c r="BH368" i="7"/>
  <c r="BG368" i="7"/>
  <c r="BF368" i="7"/>
  <c r="BE368" i="7"/>
  <c r="T368" i="7"/>
  <c r="R368" i="7"/>
  <c r="P368" i="7"/>
  <c r="J368" i="7"/>
  <c r="BK367" i="7"/>
  <c r="BI367" i="7"/>
  <c r="BH367" i="7"/>
  <c r="BG367" i="7"/>
  <c r="BF367" i="7"/>
  <c r="BE367" i="7"/>
  <c r="T367" i="7"/>
  <c r="R367" i="7"/>
  <c r="P367" i="7"/>
  <c r="J367" i="7"/>
  <c r="BK365" i="7"/>
  <c r="BI365" i="7"/>
  <c r="BH365" i="7"/>
  <c r="BG365" i="7"/>
  <c r="BF365" i="7"/>
  <c r="BE365" i="7"/>
  <c r="T365" i="7"/>
  <c r="R365" i="7"/>
  <c r="P365" i="7"/>
  <c r="J365" i="7"/>
  <c r="BK364" i="7"/>
  <c r="T364" i="7"/>
  <c r="R364" i="7"/>
  <c r="P364" i="7"/>
  <c r="J364" i="7"/>
  <c r="BK363" i="7"/>
  <c r="T363" i="7"/>
  <c r="R363" i="7"/>
  <c r="P363" i="7"/>
  <c r="J363" i="7"/>
  <c r="BK362" i="7"/>
  <c r="BI362" i="7"/>
  <c r="BH362" i="7"/>
  <c r="BG362" i="7"/>
  <c r="BF362" i="7"/>
  <c r="BE362" i="7"/>
  <c r="T362" i="7"/>
  <c r="R362" i="7"/>
  <c r="P362" i="7"/>
  <c r="J362" i="7"/>
  <c r="BK361" i="7"/>
  <c r="BI361" i="7"/>
  <c r="BH361" i="7"/>
  <c r="BG361" i="7"/>
  <c r="BF361" i="7"/>
  <c r="BE361" i="7"/>
  <c r="T361" i="7"/>
  <c r="R361" i="7"/>
  <c r="P361" i="7"/>
  <c r="J361" i="7"/>
  <c r="BK360" i="7"/>
  <c r="BI360" i="7"/>
  <c r="BH360" i="7"/>
  <c r="BG360" i="7"/>
  <c r="BF360" i="7"/>
  <c r="BE360" i="7"/>
  <c r="T360" i="7"/>
  <c r="R360" i="7"/>
  <c r="P360" i="7"/>
  <c r="J360" i="7"/>
  <c r="BK359" i="7"/>
  <c r="BI359" i="7"/>
  <c r="BH359" i="7"/>
  <c r="BG359" i="7"/>
  <c r="BF359" i="7"/>
  <c r="BE359" i="7"/>
  <c r="T359" i="7"/>
  <c r="R359" i="7"/>
  <c r="P359" i="7"/>
  <c r="J359" i="7"/>
  <c r="BK358" i="7"/>
  <c r="T358" i="7"/>
  <c r="R358" i="7"/>
  <c r="P358" i="7"/>
  <c r="J358" i="7"/>
  <c r="BK357" i="7"/>
  <c r="BI357" i="7"/>
  <c r="BH357" i="7"/>
  <c r="BG357" i="7"/>
  <c r="BF357" i="7"/>
  <c r="BE357" i="7"/>
  <c r="T357" i="7"/>
  <c r="R357" i="7"/>
  <c r="P357" i="7"/>
  <c r="J357" i="7"/>
  <c r="BK356" i="7"/>
  <c r="BI356" i="7"/>
  <c r="BH356" i="7"/>
  <c r="BG356" i="7"/>
  <c r="BF356" i="7"/>
  <c r="BE356" i="7"/>
  <c r="T356" i="7"/>
  <c r="R356" i="7"/>
  <c r="P356" i="7"/>
  <c r="J356" i="7"/>
  <c r="BK355" i="7"/>
  <c r="BI355" i="7"/>
  <c r="BH355" i="7"/>
  <c r="BG355" i="7"/>
  <c r="BF355" i="7"/>
  <c r="BE355" i="7"/>
  <c r="T355" i="7"/>
  <c r="R355" i="7"/>
  <c r="P355" i="7"/>
  <c r="J355" i="7"/>
  <c r="BK354" i="7"/>
  <c r="BI354" i="7"/>
  <c r="BH354" i="7"/>
  <c r="BG354" i="7"/>
  <c r="BF354" i="7"/>
  <c r="BE354" i="7"/>
  <c r="T354" i="7"/>
  <c r="R354" i="7"/>
  <c r="P354" i="7"/>
  <c r="J354" i="7"/>
  <c r="BK353" i="7"/>
  <c r="BI353" i="7"/>
  <c r="BH353" i="7"/>
  <c r="BG353" i="7"/>
  <c r="BF353" i="7"/>
  <c r="BE353" i="7"/>
  <c r="T353" i="7"/>
  <c r="R353" i="7"/>
  <c r="P353" i="7"/>
  <c r="J353" i="7"/>
  <c r="BK352" i="7"/>
  <c r="BI352" i="7"/>
  <c r="BH352" i="7"/>
  <c r="BG352" i="7"/>
  <c r="BF352" i="7"/>
  <c r="BE352" i="7"/>
  <c r="T352" i="7"/>
  <c r="R352" i="7"/>
  <c r="P352" i="7"/>
  <c r="J352" i="7"/>
  <c r="BK351" i="7"/>
  <c r="BI351" i="7"/>
  <c r="BH351" i="7"/>
  <c r="BG351" i="7"/>
  <c r="BF351" i="7"/>
  <c r="BE351" i="7"/>
  <c r="T351" i="7"/>
  <c r="R351" i="7"/>
  <c r="P351" i="7"/>
  <c r="J351" i="7"/>
  <c r="BK350" i="7"/>
  <c r="BI350" i="7"/>
  <c r="BH350" i="7"/>
  <c r="BG350" i="7"/>
  <c r="BF350" i="7"/>
  <c r="BE350" i="7"/>
  <c r="T350" i="7"/>
  <c r="R350" i="7"/>
  <c r="P350" i="7"/>
  <c r="J350" i="7"/>
  <c r="BK349" i="7"/>
  <c r="BI349" i="7"/>
  <c r="BH349" i="7"/>
  <c r="BG349" i="7"/>
  <c r="BF349" i="7"/>
  <c r="BE349" i="7"/>
  <c r="T349" i="7"/>
  <c r="R349" i="7"/>
  <c r="P349" i="7"/>
  <c r="J349" i="7"/>
  <c r="BK348" i="7"/>
  <c r="BI348" i="7"/>
  <c r="BH348" i="7"/>
  <c r="BG348" i="7"/>
  <c r="BF348" i="7"/>
  <c r="BE348" i="7"/>
  <c r="T348" i="7"/>
  <c r="R348" i="7"/>
  <c r="P348" i="7"/>
  <c r="J348" i="7"/>
  <c r="BK346" i="7"/>
  <c r="BI346" i="7"/>
  <c r="BH346" i="7"/>
  <c r="BG346" i="7"/>
  <c r="BF346" i="7"/>
  <c r="BE346" i="7"/>
  <c r="T346" i="7"/>
  <c r="R346" i="7"/>
  <c r="P346" i="7"/>
  <c r="J346" i="7"/>
  <c r="BK345" i="7"/>
  <c r="T345" i="7"/>
  <c r="R345" i="7"/>
  <c r="P345" i="7"/>
  <c r="J345" i="7"/>
  <c r="BK344" i="7"/>
  <c r="BI344" i="7"/>
  <c r="BH344" i="7"/>
  <c r="BG344" i="7"/>
  <c r="BF344" i="7"/>
  <c r="BE344" i="7"/>
  <c r="T344" i="7"/>
  <c r="R344" i="7"/>
  <c r="P344" i="7"/>
  <c r="J344" i="7"/>
  <c r="BK343" i="7"/>
  <c r="BI343" i="7"/>
  <c r="BH343" i="7"/>
  <c r="BG343" i="7"/>
  <c r="BF343" i="7"/>
  <c r="BE343" i="7"/>
  <c r="T343" i="7"/>
  <c r="R343" i="7"/>
  <c r="P343" i="7"/>
  <c r="J343" i="7"/>
  <c r="BK342" i="7"/>
  <c r="BI342" i="7"/>
  <c r="BH342" i="7"/>
  <c r="BG342" i="7"/>
  <c r="BF342" i="7"/>
  <c r="BE342" i="7"/>
  <c r="T342" i="7"/>
  <c r="R342" i="7"/>
  <c r="P342" i="7"/>
  <c r="J342" i="7"/>
  <c r="BK341" i="7"/>
  <c r="BI341" i="7"/>
  <c r="BH341" i="7"/>
  <c r="BG341" i="7"/>
  <c r="BF341" i="7"/>
  <c r="BE341" i="7"/>
  <c r="T341" i="7"/>
  <c r="R341" i="7"/>
  <c r="P341" i="7"/>
  <c r="J341" i="7"/>
  <c r="BK340" i="7"/>
  <c r="BI340" i="7"/>
  <c r="BH340" i="7"/>
  <c r="BG340" i="7"/>
  <c r="BF340" i="7"/>
  <c r="BE340" i="7"/>
  <c r="T340" i="7"/>
  <c r="R340" i="7"/>
  <c r="P340" i="7"/>
  <c r="J340" i="7"/>
  <c r="BK339" i="7"/>
  <c r="BI339" i="7"/>
  <c r="BH339" i="7"/>
  <c r="BG339" i="7"/>
  <c r="BF339" i="7"/>
  <c r="BE339" i="7"/>
  <c r="T339" i="7"/>
  <c r="R339" i="7"/>
  <c r="P339" i="7"/>
  <c r="J339" i="7"/>
  <c r="BK338" i="7"/>
  <c r="BI338" i="7"/>
  <c r="BH338" i="7"/>
  <c r="BG338" i="7"/>
  <c r="BF338" i="7"/>
  <c r="BE338" i="7"/>
  <c r="T338" i="7"/>
  <c r="R338" i="7"/>
  <c r="P338" i="7"/>
  <c r="J338" i="7"/>
  <c r="BK337" i="7"/>
  <c r="BI337" i="7"/>
  <c r="BH337" i="7"/>
  <c r="BG337" i="7"/>
  <c r="BF337" i="7"/>
  <c r="BE337" i="7"/>
  <c r="T337" i="7"/>
  <c r="R337" i="7"/>
  <c r="P337" i="7"/>
  <c r="J337" i="7"/>
  <c r="BK336" i="7"/>
  <c r="BI336" i="7"/>
  <c r="BH336" i="7"/>
  <c r="BG336" i="7"/>
  <c r="BF336" i="7"/>
  <c r="BE336" i="7"/>
  <c r="T336" i="7"/>
  <c r="R336" i="7"/>
  <c r="P336" i="7"/>
  <c r="J336" i="7"/>
  <c r="BK335" i="7"/>
  <c r="BI335" i="7"/>
  <c r="BH335" i="7"/>
  <c r="BG335" i="7"/>
  <c r="BF335" i="7"/>
  <c r="BE335" i="7"/>
  <c r="T335" i="7"/>
  <c r="R335" i="7"/>
  <c r="P335" i="7"/>
  <c r="J335" i="7"/>
  <c r="BK333" i="7"/>
  <c r="BI333" i="7"/>
  <c r="BH333" i="7"/>
  <c r="BG333" i="7"/>
  <c r="BF333" i="7"/>
  <c r="BE333" i="7"/>
  <c r="T333" i="7"/>
  <c r="R333" i="7"/>
  <c r="P333" i="7"/>
  <c r="J333" i="7"/>
  <c r="BK332" i="7"/>
  <c r="T332" i="7"/>
  <c r="R332" i="7"/>
  <c r="P332" i="7"/>
  <c r="J332" i="7"/>
  <c r="BK331" i="7"/>
  <c r="BI331" i="7"/>
  <c r="BH331" i="7"/>
  <c r="BG331" i="7"/>
  <c r="BF331" i="7"/>
  <c r="BE331" i="7"/>
  <c r="T331" i="7"/>
  <c r="R331" i="7"/>
  <c r="P331" i="7"/>
  <c r="J331" i="7"/>
  <c r="BK330" i="7"/>
  <c r="BI330" i="7"/>
  <c r="BH330" i="7"/>
  <c r="BG330" i="7"/>
  <c r="BF330" i="7"/>
  <c r="BE330" i="7"/>
  <c r="T330" i="7"/>
  <c r="R330" i="7"/>
  <c r="P330" i="7"/>
  <c r="J330" i="7"/>
  <c r="BK329" i="7"/>
  <c r="BI329" i="7"/>
  <c r="BH329" i="7"/>
  <c r="BG329" i="7"/>
  <c r="BF329" i="7"/>
  <c r="BE329" i="7"/>
  <c r="T329" i="7"/>
  <c r="R329" i="7"/>
  <c r="P329" i="7"/>
  <c r="J329" i="7"/>
  <c r="BK328" i="7"/>
  <c r="BI328" i="7"/>
  <c r="BH328" i="7"/>
  <c r="BG328" i="7"/>
  <c r="BF328" i="7"/>
  <c r="BE328" i="7"/>
  <c r="T328" i="7"/>
  <c r="R328" i="7"/>
  <c r="P328" i="7"/>
  <c r="J328" i="7"/>
  <c r="BK327" i="7"/>
  <c r="BI327" i="7"/>
  <c r="BH327" i="7"/>
  <c r="BG327" i="7"/>
  <c r="BF327" i="7"/>
  <c r="BE327" i="7"/>
  <c r="T327" i="7"/>
  <c r="R327" i="7"/>
  <c r="P327" i="7"/>
  <c r="J327" i="7"/>
  <c r="BK326" i="7"/>
  <c r="BI326" i="7"/>
  <c r="BH326" i="7"/>
  <c r="BG326" i="7"/>
  <c r="BF326" i="7"/>
  <c r="BE326" i="7"/>
  <c r="T326" i="7"/>
  <c r="R326" i="7"/>
  <c r="P326" i="7"/>
  <c r="J326" i="7"/>
  <c r="BK325" i="7"/>
  <c r="BI325" i="7"/>
  <c r="BH325" i="7"/>
  <c r="BG325" i="7"/>
  <c r="BF325" i="7"/>
  <c r="BE325" i="7"/>
  <c r="T325" i="7"/>
  <c r="R325" i="7"/>
  <c r="P325" i="7"/>
  <c r="J325" i="7"/>
  <c r="BK324" i="7"/>
  <c r="BI324" i="7"/>
  <c r="BH324" i="7"/>
  <c r="BG324" i="7"/>
  <c r="BF324" i="7"/>
  <c r="BE324" i="7"/>
  <c r="T324" i="7"/>
  <c r="R324" i="7"/>
  <c r="P324" i="7"/>
  <c r="J324" i="7"/>
  <c r="BK323" i="7"/>
  <c r="BI323" i="7"/>
  <c r="BH323" i="7"/>
  <c r="BG323" i="7"/>
  <c r="BF323" i="7"/>
  <c r="BE323" i="7"/>
  <c r="T323" i="7"/>
  <c r="R323" i="7"/>
  <c r="P323" i="7"/>
  <c r="J323" i="7"/>
  <c r="BK322" i="7"/>
  <c r="BI322" i="7"/>
  <c r="BH322" i="7"/>
  <c r="BG322" i="7"/>
  <c r="BF322" i="7"/>
  <c r="BE322" i="7"/>
  <c r="T322" i="7"/>
  <c r="R322" i="7"/>
  <c r="P322" i="7"/>
  <c r="J322" i="7"/>
  <c r="BK321" i="7"/>
  <c r="T321" i="7"/>
  <c r="R321" i="7"/>
  <c r="P321" i="7"/>
  <c r="J321" i="7"/>
  <c r="BK320" i="7"/>
  <c r="T320" i="7"/>
  <c r="R320" i="7"/>
  <c r="P320" i="7"/>
  <c r="J320" i="7"/>
  <c r="BK319" i="7"/>
  <c r="BI319" i="7"/>
  <c r="BH319" i="7"/>
  <c r="BG319" i="7"/>
  <c r="BF319" i="7"/>
  <c r="BE319" i="7"/>
  <c r="T319" i="7"/>
  <c r="R319" i="7"/>
  <c r="P319" i="7"/>
  <c r="J319" i="7"/>
  <c r="BK318" i="7"/>
  <c r="BI318" i="7"/>
  <c r="BH318" i="7"/>
  <c r="BG318" i="7"/>
  <c r="BF318" i="7"/>
  <c r="BE318" i="7"/>
  <c r="T318" i="7"/>
  <c r="R318" i="7"/>
  <c r="P318" i="7"/>
  <c r="J318" i="7"/>
  <c r="BK317" i="7"/>
  <c r="BI317" i="7"/>
  <c r="BH317" i="7"/>
  <c r="BG317" i="7"/>
  <c r="BF317" i="7"/>
  <c r="BE317" i="7"/>
  <c r="T317" i="7"/>
  <c r="R317" i="7"/>
  <c r="P317" i="7"/>
  <c r="J317" i="7"/>
  <c r="BK316" i="7"/>
  <c r="BI316" i="7"/>
  <c r="BH316" i="7"/>
  <c r="BG316" i="7"/>
  <c r="BF316" i="7"/>
  <c r="BE316" i="7"/>
  <c r="T316" i="7"/>
  <c r="R316" i="7"/>
  <c r="P316" i="7"/>
  <c r="J316" i="7"/>
  <c r="BK315" i="7"/>
  <c r="T315" i="7"/>
  <c r="R315" i="7"/>
  <c r="P315" i="7"/>
  <c r="J315" i="7"/>
  <c r="BK314" i="7"/>
  <c r="BI314" i="7"/>
  <c r="BH314" i="7"/>
  <c r="BG314" i="7"/>
  <c r="BF314" i="7"/>
  <c r="BE314" i="7"/>
  <c r="T314" i="7"/>
  <c r="R314" i="7"/>
  <c r="P314" i="7"/>
  <c r="J314" i="7"/>
  <c r="BK313" i="7"/>
  <c r="BI313" i="7"/>
  <c r="BH313" i="7"/>
  <c r="BG313" i="7"/>
  <c r="BF313" i="7"/>
  <c r="BE313" i="7"/>
  <c r="T313" i="7"/>
  <c r="R313" i="7"/>
  <c r="P313" i="7"/>
  <c r="J313" i="7"/>
  <c r="BK312" i="7"/>
  <c r="BI312" i="7"/>
  <c r="BH312" i="7"/>
  <c r="BG312" i="7"/>
  <c r="BF312" i="7"/>
  <c r="BE312" i="7"/>
  <c r="T312" i="7"/>
  <c r="R312" i="7"/>
  <c r="P312" i="7"/>
  <c r="J312" i="7"/>
  <c r="BK311" i="7"/>
  <c r="BI311" i="7"/>
  <c r="BH311" i="7"/>
  <c r="BG311" i="7"/>
  <c r="BF311" i="7"/>
  <c r="BE311" i="7"/>
  <c r="T311" i="7"/>
  <c r="R311" i="7"/>
  <c r="P311" i="7"/>
  <c r="J311" i="7"/>
  <c r="BK310" i="7"/>
  <c r="BI310" i="7"/>
  <c r="BH310" i="7"/>
  <c r="BG310" i="7"/>
  <c r="BF310" i="7"/>
  <c r="BE310" i="7"/>
  <c r="T310" i="7"/>
  <c r="R310" i="7"/>
  <c r="P310" i="7"/>
  <c r="J310" i="7"/>
  <c r="BK309" i="7"/>
  <c r="BI309" i="7"/>
  <c r="BH309" i="7"/>
  <c r="BG309" i="7"/>
  <c r="BF309" i="7"/>
  <c r="BE309" i="7"/>
  <c r="T309" i="7"/>
  <c r="R309" i="7"/>
  <c r="P309" i="7"/>
  <c r="J309" i="7"/>
  <c r="BK308" i="7"/>
  <c r="BI308" i="7"/>
  <c r="BH308" i="7"/>
  <c r="BG308" i="7"/>
  <c r="BF308" i="7"/>
  <c r="BE308" i="7"/>
  <c r="T308" i="7"/>
  <c r="R308" i="7"/>
  <c r="P308" i="7"/>
  <c r="J308" i="7"/>
  <c r="BK307" i="7"/>
  <c r="BI307" i="7"/>
  <c r="BH307" i="7"/>
  <c r="BG307" i="7"/>
  <c r="BF307" i="7"/>
  <c r="BE307" i="7"/>
  <c r="T307" i="7"/>
  <c r="R307" i="7"/>
  <c r="P307" i="7"/>
  <c r="J307" i="7"/>
  <c r="BK306" i="7"/>
  <c r="BI306" i="7"/>
  <c r="BH306" i="7"/>
  <c r="BG306" i="7"/>
  <c r="BF306" i="7"/>
  <c r="BE306" i="7"/>
  <c r="T306" i="7"/>
  <c r="R306" i="7"/>
  <c r="P306" i="7"/>
  <c r="J306" i="7"/>
  <c r="BK304" i="7"/>
  <c r="BI304" i="7"/>
  <c r="BH304" i="7"/>
  <c r="BG304" i="7"/>
  <c r="BF304" i="7"/>
  <c r="BE304" i="7"/>
  <c r="T304" i="7"/>
  <c r="R304" i="7"/>
  <c r="P304" i="7"/>
  <c r="J304" i="7"/>
  <c r="BK303" i="7"/>
  <c r="T303" i="7"/>
  <c r="R303" i="7"/>
  <c r="P303" i="7"/>
  <c r="J303" i="7"/>
  <c r="BK302" i="7"/>
  <c r="BI302" i="7"/>
  <c r="BH302" i="7"/>
  <c r="BG302" i="7"/>
  <c r="BF302" i="7"/>
  <c r="BE302" i="7"/>
  <c r="T302" i="7"/>
  <c r="R302" i="7"/>
  <c r="P302" i="7"/>
  <c r="J302" i="7"/>
  <c r="BK301" i="7"/>
  <c r="BI301" i="7"/>
  <c r="BH301" i="7"/>
  <c r="BG301" i="7"/>
  <c r="BF301" i="7"/>
  <c r="BE301" i="7"/>
  <c r="T301" i="7"/>
  <c r="R301" i="7"/>
  <c r="P301" i="7"/>
  <c r="J301" i="7"/>
  <c r="BK300" i="7"/>
  <c r="BI300" i="7"/>
  <c r="BH300" i="7"/>
  <c r="BG300" i="7"/>
  <c r="BF300" i="7"/>
  <c r="BE300" i="7"/>
  <c r="T300" i="7"/>
  <c r="R300" i="7"/>
  <c r="P300" i="7"/>
  <c r="J300" i="7"/>
  <c r="BK299" i="7"/>
  <c r="BI299" i="7"/>
  <c r="BH299" i="7"/>
  <c r="BG299" i="7"/>
  <c r="BF299" i="7"/>
  <c r="BE299" i="7"/>
  <c r="T299" i="7"/>
  <c r="R299" i="7"/>
  <c r="P299" i="7"/>
  <c r="J299" i="7"/>
  <c r="BK298" i="7"/>
  <c r="BI298" i="7"/>
  <c r="BH298" i="7"/>
  <c r="BG298" i="7"/>
  <c r="BF298" i="7"/>
  <c r="BE298" i="7"/>
  <c r="T298" i="7"/>
  <c r="R298" i="7"/>
  <c r="P298" i="7"/>
  <c r="J298" i="7"/>
  <c r="BK297" i="7"/>
  <c r="BI297" i="7"/>
  <c r="BH297" i="7"/>
  <c r="BG297" i="7"/>
  <c r="BF297" i="7"/>
  <c r="BE297" i="7"/>
  <c r="T297" i="7"/>
  <c r="R297" i="7"/>
  <c r="P297" i="7"/>
  <c r="J297" i="7"/>
  <c r="BK296" i="7"/>
  <c r="BI296" i="7"/>
  <c r="BH296" i="7"/>
  <c r="BG296" i="7"/>
  <c r="BF296" i="7"/>
  <c r="BE296" i="7"/>
  <c r="T296" i="7"/>
  <c r="R296" i="7"/>
  <c r="P296" i="7"/>
  <c r="J296" i="7"/>
  <c r="BK295" i="7"/>
  <c r="BI295" i="7"/>
  <c r="BH295" i="7"/>
  <c r="BG295" i="7"/>
  <c r="BF295" i="7"/>
  <c r="BE295" i="7"/>
  <c r="T295" i="7"/>
  <c r="R295" i="7"/>
  <c r="P295" i="7"/>
  <c r="J295" i="7"/>
  <c r="BK294" i="7"/>
  <c r="BI294" i="7"/>
  <c r="BH294" i="7"/>
  <c r="BG294" i="7"/>
  <c r="BF294" i="7"/>
  <c r="BE294" i="7"/>
  <c r="T294" i="7"/>
  <c r="R294" i="7"/>
  <c r="P294" i="7"/>
  <c r="J294" i="7"/>
  <c r="BK292" i="7"/>
  <c r="BI292" i="7"/>
  <c r="BH292" i="7"/>
  <c r="BG292" i="7"/>
  <c r="BF292" i="7"/>
  <c r="BE292" i="7"/>
  <c r="T292" i="7"/>
  <c r="R292" i="7"/>
  <c r="P292" i="7"/>
  <c r="J292" i="7"/>
  <c r="BK291" i="7"/>
  <c r="T291" i="7"/>
  <c r="R291" i="7"/>
  <c r="P291" i="7"/>
  <c r="J291" i="7"/>
  <c r="BK290" i="7"/>
  <c r="BI290" i="7"/>
  <c r="BH290" i="7"/>
  <c r="BG290" i="7"/>
  <c r="BF290" i="7"/>
  <c r="BE290" i="7"/>
  <c r="T290" i="7"/>
  <c r="R290" i="7"/>
  <c r="P290" i="7"/>
  <c r="J290" i="7"/>
  <c r="BK289" i="7"/>
  <c r="BI289" i="7"/>
  <c r="BH289" i="7"/>
  <c r="BG289" i="7"/>
  <c r="BF289" i="7"/>
  <c r="BE289" i="7"/>
  <c r="T289" i="7"/>
  <c r="R289" i="7"/>
  <c r="P289" i="7"/>
  <c r="J289" i="7"/>
  <c r="BK288" i="7"/>
  <c r="BI288" i="7"/>
  <c r="BH288" i="7"/>
  <c r="BG288" i="7"/>
  <c r="BF288" i="7"/>
  <c r="BE288" i="7"/>
  <c r="T288" i="7"/>
  <c r="R288" i="7"/>
  <c r="P288" i="7"/>
  <c r="J288" i="7"/>
  <c r="BK287" i="7"/>
  <c r="BI287" i="7"/>
  <c r="BH287" i="7"/>
  <c r="BG287" i="7"/>
  <c r="BF287" i="7"/>
  <c r="BE287" i="7"/>
  <c r="T287" i="7"/>
  <c r="R287" i="7"/>
  <c r="P287" i="7"/>
  <c r="J287" i="7"/>
  <c r="BK286" i="7"/>
  <c r="BI286" i="7"/>
  <c r="BH286" i="7"/>
  <c r="BG286" i="7"/>
  <c r="BF286" i="7"/>
  <c r="BE286" i="7"/>
  <c r="T286" i="7"/>
  <c r="R286" i="7"/>
  <c r="P286" i="7"/>
  <c r="J286" i="7"/>
  <c r="BK285" i="7"/>
  <c r="BI285" i="7"/>
  <c r="BH285" i="7"/>
  <c r="BG285" i="7"/>
  <c r="BF285" i="7"/>
  <c r="BE285" i="7"/>
  <c r="T285" i="7"/>
  <c r="R285" i="7"/>
  <c r="P285" i="7"/>
  <c r="J285" i="7"/>
  <c r="BK284" i="7"/>
  <c r="BI284" i="7"/>
  <c r="BH284" i="7"/>
  <c r="BG284" i="7"/>
  <c r="BF284" i="7"/>
  <c r="BE284" i="7"/>
  <c r="T284" i="7"/>
  <c r="R284" i="7"/>
  <c r="P284" i="7"/>
  <c r="J284" i="7"/>
  <c r="BK283" i="7"/>
  <c r="BI283" i="7"/>
  <c r="BH283" i="7"/>
  <c r="BG283" i="7"/>
  <c r="BF283" i="7"/>
  <c r="BE283" i="7"/>
  <c r="T283" i="7"/>
  <c r="R283" i="7"/>
  <c r="P283" i="7"/>
  <c r="J283" i="7"/>
  <c r="BK282" i="7"/>
  <c r="BI282" i="7"/>
  <c r="BH282" i="7"/>
  <c r="BG282" i="7"/>
  <c r="BF282" i="7"/>
  <c r="BE282" i="7"/>
  <c r="T282" i="7"/>
  <c r="R282" i="7"/>
  <c r="P282" i="7"/>
  <c r="J282" i="7"/>
  <c r="BK280" i="7"/>
  <c r="BI280" i="7"/>
  <c r="BH280" i="7"/>
  <c r="BG280" i="7"/>
  <c r="BF280" i="7"/>
  <c r="BE280" i="7"/>
  <c r="T280" i="7"/>
  <c r="R280" i="7"/>
  <c r="P280" i="7"/>
  <c r="J280" i="7"/>
  <c r="BK279" i="7"/>
  <c r="T279" i="7"/>
  <c r="R279" i="7"/>
  <c r="P279" i="7"/>
  <c r="J279" i="7"/>
  <c r="BK278" i="7"/>
  <c r="BI278" i="7"/>
  <c r="BH278" i="7"/>
  <c r="BG278" i="7"/>
  <c r="BF278" i="7"/>
  <c r="BE278" i="7"/>
  <c r="T278" i="7"/>
  <c r="R278" i="7"/>
  <c r="P278" i="7"/>
  <c r="J278" i="7"/>
  <c r="BK277" i="7"/>
  <c r="BI277" i="7"/>
  <c r="BH277" i="7"/>
  <c r="BG277" i="7"/>
  <c r="BF277" i="7"/>
  <c r="BE277" i="7"/>
  <c r="T277" i="7"/>
  <c r="R277" i="7"/>
  <c r="P277" i="7"/>
  <c r="J277" i="7"/>
  <c r="BK276" i="7"/>
  <c r="BI276" i="7"/>
  <c r="BH276" i="7"/>
  <c r="BG276" i="7"/>
  <c r="BF276" i="7"/>
  <c r="BE276" i="7"/>
  <c r="T276" i="7"/>
  <c r="R276" i="7"/>
  <c r="P276" i="7"/>
  <c r="J276" i="7"/>
  <c r="BK275" i="7"/>
  <c r="BI275" i="7"/>
  <c r="BH275" i="7"/>
  <c r="BG275" i="7"/>
  <c r="BF275" i="7"/>
  <c r="BE275" i="7"/>
  <c r="T275" i="7"/>
  <c r="R275" i="7"/>
  <c r="P275" i="7"/>
  <c r="J275" i="7"/>
  <c r="BK274" i="7"/>
  <c r="BI274" i="7"/>
  <c r="BH274" i="7"/>
  <c r="BG274" i="7"/>
  <c r="BF274" i="7"/>
  <c r="BE274" i="7"/>
  <c r="T274" i="7"/>
  <c r="R274" i="7"/>
  <c r="P274" i="7"/>
  <c r="J274" i="7"/>
  <c r="BK273" i="7"/>
  <c r="BI273" i="7"/>
  <c r="BH273" i="7"/>
  <c r="BG273" i="7"/>
  <c r="BF273" i="7"/>
  <c r="BE273" i="7"/>
  <c r="T273" i="7"/>
  <c r="R273" i="7"/>
  <c r="P273" i="7"/>
  <c r="J273" i="7"/>
  <c r="BK272" i="7"/>
  <c r="BI272" i="7"/>
  <c r="BH272" i="7"/>
  <c r="BG272" i="7"/>
  <c r="BF272" i="7"/>
  <c r="BE272" i="7"/>
  <c r="T272" i="7"/>
  <c r="R272" i="7"/>
  <c r="P272" i="7"/>
  <c r="J272" i="7"/>
  <c r="BK271" i="7"/>
  <c r="BI271" i="7"/>
  <c r="BH271" i="7"/>
  <c r="BG271" i="7"/>
  <c r="BF271" i="7"/>
  <c r="BE271" i="7"/>
  <c r="T271" i="7"/>
  <c r="R271" i="7"/>
  <c r="P271" i="7"/>
  <c r="J271" i="7"/>
  <c r="BK270" i="7"/>
  <c r="BI270" i="7"/>
  <c r="BH270" i="7"/>
  <c r="BG270" i="7"/>
  <c r="BF270" i="7"/>
  <c r="BE270" i="7"/>
  <c r="T270" i="7"/>
  <c r="R270" i="7"/>
  <c r="P270" i="7"/>
  <c r="J270" i="7"/>
  <c r="BK269" i="7"/>
  <c r="BI269" i="7"/>
  <c r="BH269" i="7"/>
  <c r="BG269" i="7"/>
  <c r="BF269" i="7"/>
  <c r="BE269" i="7"/>
  <c r="T269" i="7"/>
  <c r="R269" i="7"/>
  <c r="P269" i="7"/>
  <c r="J269" i="7"/>
  <c r="BK268" i="7"/>
  <c r="BI268" i="7"/>
  <c r="BH268" i="7"/>
  <c r="BG268" i="7"/>
  <c r="BF268" i="7"/>
  <c r="BE268" i="7"/>
  <c r="T268" i="7"/>
  <c r="R268" i="7"/>
  <c r="P268" i="7"/>
  <c r="J268" i="7"/>
  <c r="BK267" i="7"/>
  <c r="BI267" i="7"/>
  <c r="BH267" i="7"/>
  <c r="BG267" i="7"/>
  <c r="BF267" i="7"/>
  <c r="BE267" i="7"/>
  <c r="T267" i="7"/>
  <c r="R267" i="7"/>
  <c r="P267" i="7"/>
  <c r="J267" i="7"/>
  <c r="BK266" i="7"/>
  <c r="T266" i="7"/>
  <c r="R266" i="7"/>
  <c r="P266" i="7"/>
  <c r="J266" i="7"/>
  <c r="BK265" i="7"/>
  <c r="T265" i="7"/>
  <c r="R265" i="7"/>
  <c r="P265" i="7"/>
  <c r="J265" i="7"/>
  <c r="BK264" i="7"/>
  <c r="BI264" i="7"/>
  <c r="BH264" i="7"/>
  <c r="BG264" i="7"/>
  <c r="BF264" i="7"/>
  <c r="BE264" i="7"/>
  <c r="T264" i="7"/>
  <c r="R264" i="7"/>
  <c r="P264" i="7"/>
  <c r="J264" i="7"/>
  <c r="BK263" i="7"/>
  <c r="BI263" i="7"/>
  <c r="BH263" i="7"/>
  <c r="BG263" i="7"/>
  <c r="BF263" i="7"/>
  <c r="BE263" i="7"/>
  <c r="T263" i="7"/>
  <c r="R263" i="7"/>
  <c r="P263" i="7"/>
  <c r="J263" i="7"/>
  <c r="BK262" i="7"/>
  <c r="BI262" i="7"/>
  <c r="BH262" i="7"/>
  <c r="BG262" i="7"/>
  <c r="BF262" i="7"/>
  <c r="BE262" i="7"/>
  <c r="T262" i="7"/>
  <c r="R262" i="7"/>
  <c r="P262" i="7"/>
  <c r="J262" i="7"/>
  <c r="BK261" i="7"/>
  <c r="T261" i="7"/>
  <c r="R261" i="7"/>
  <c r="P261" i="7"/>
  <c r="J261" i="7"/>
  <c r="BK260" i="7"/>
  <c r="BI260" i="7"/>
  <c r="BH260" i="7"/>
  <c r="BG260" i="7"/>
  <c r="BF260" i="7"/>
  <c r="BE260" i="7"/>
  <c r="T260" i="7"/>
  <c r="R260" i="7"/>
  <c r="P260" i="7"/>
  <c r="J260" i="7"/>
  <c r="BK259" i="7"/>
  <c r="BI259" i="7"/>
  <c r="BH259" i="7"/>
  <c r="BG259" i="7"/>
  <c r="BF259" i="7"/>
  <c r="BE259" i="7"/>
  <c r="T259" i="7"/>
  <c r="R259" i="7"/>
  <c r="P259" i="7"/>
  <c r="J259" i="7"/>
  <c r="BK258" i="7"/>
  <c r="BI258" i="7"/>
  <c r="BH258" i="7"/>
  <c r="BG258" i="7"/>
  <c r="BF258" i="7"/>
  <c r="BE258" i="7"/>
  <c r="T258" i="7"/>
  <c r="R258" i="7"/>
  <c r="P258" i="7"/>
  <c r="J258" i="7"/>
  <c r="BK257" i="7"/>
  <c r="BI257" i="7"/>
  <c r="BH257" i="7"/>
  <c r="BG257" i="7"/>
  <c r="BF257" i="7"/>
  <c r="BE257" i="7"/>
  <c r="T257" i="7"/>
  <c r="R257" i="7"/>
  <c r="P257" i="7"/>
  <c r="J257" i="7"/>
  <c r="BK256" i="7"/>
  <c r="BI256" i="7"/>
  <c r="BH256" i="7"/>
  <c r="BG256" i="7"/>
  <c r="BF256" i="7"/>
  <c r="BE256" i="7"/>
  <c r="T256" i="7"/>
  <c r="R256" i="7"/>
  <c r="P256" i="7"/>
  <c r="J256" i="7"/>
  <c r="BK255" i="7"/>
  <c r="T255" i="7"/>
  <c r="R255" i="7"/>
  <c r="P255" i="7"/>
  <c r="J255" i="7"/>
  <c r="BK254" i="7"/>
  <c r="BI254" i="7"/>
  <c r="BH254" i="7"/>
  <c r="BG254" i="7"/>
  <c r="BF254" i="7"/>
  <c r="BE254" i="7"/>
  <c r="T254" i="7"/>
  <c r="R254" i="7"/>
  <c r="P254" i="7"/>
  <c r="J254" i="7"/>
  <c r="BK253" i="7"/>
  <c r="BI253" i="7"/>
  <c r="BH253" i="7"/>
  <c r="BG253" i="7"/>
  <c r="BF253" i="7"/>
  <c r="BE253" i="7"/>
  <c r="T253" i="7"/>
  <c r="R253" i="7"/>
  <c r="P253" i="7"/>
  <c r="J253" i="7"/>
  <c r="BK252" i="7"/>
  <c r="BI252" i="7"/>
  <c r="BH252" i="7"/>
  <c r="BG252" i="7"/>
  <c r="BF252" i="7"/>
  <c r="BE252" i="7"/>
  <c r="T252" i="7"/>
  <c r="R252" i="7"/>
  <c r="P252" i="7"/>
  <c r="J252" i="7"/>
  <c r="BK251" i="7"/>
  <c r="BI251" i="7"/>
  <c r="BH251" i="7"/>
  <c r="BG251" i="7"/>
  <c r="BF251" i="7"/>
  <c r="BE251" i="7"/>
  <c r="T251" i="7"/>
  <c r="R251" i="7"/>
  <c r="P251" i="7"/>
  <c r="J251" i="7"/>
  <c r="BK250" i="7"/>
  <c r="BI250" i="7"/>
  <c r="BH250" i="7"/>
  <c r="BG250" i="7"/>
  <c r="BF250" i="7"/>
  <c r="BE250" i="7"/>
  <c r="T250" i="7"/>
  <c r="R250" i="7"/>
  <c r="P250" i="7"/>
  <c r="J250" i="7"/>
  <c r="BK249" i="7"/>
  <c r="T249" i="7"/>
  <c r="R249" i="7"/>
  <c r="P249" i="7"/>
  <c r="J249" i="7"/>
  <c r="BK248" i="7"/>
  <c r="BI248" i="7"/>
  <c r="BH248" i="7"/>
  <c r="BG248" i="7"/>
  <c r="BF248" i="7"/>
  <c r="BE248" i="7"/>
  <c r="T248" i="7"/>
  <c r="R248" i="7"/>
  <c r="P248" i="7"/>
  <c r="J248" i="7"/>
  <c r="BK247" i="7"/>
  <c r="BI247" i="7"/>
  <c r="BH247" i="7"/>
  <c r="BG247" i="7"/>
  <c r="BF247" i="7"/>
  <c r="BE247" i="7"/>
  <c r="T247" i="7"/>
  <c r="R247" i="7"/>
  <c r="P247" i="7"/>
  <c r="J247" i="7"/>
  <c r="BK246" i="7"/>
  <c r="BI246" i="7"/>
  <c r="BH246" i="7"/>
  <c r="BG246" i="7"/>
  <c r="BF246" i="7"/>
  <c r="BE246" i="7"/>
  <c r="T246" i="7"/>
  <c r="R246" i="7"/>
  <c r="P246" i="7"/>
  <c r="J246" i="7"/>
  <c r="BK245" i="7"/>
  <c r="BI245" i="7"/>
  <c r="BH245" i="7"/>
  <c r="BG245" i="7"/>
  <c r="BF245" i="7"/>
  <c r="BE245" i="7"/>
  <c r="T245" i="7"/>
  <c r="R245" i="7"/>
  <c r="P245" i="7"/>
  <c r="J245" i="7"/>
  <c r="BK244" i="7"/>
  <c r="BI244" i="7"/>
  <c r="BH244" i="7"/>
  <c r="BG244" i="7"/>
  <c r="BF244" i="7"/>
  <c r="BE244" i="7"/>
  <c r="T244" i="7"/>
  <c r="R244" i="7"/>
  <c r="P244" i="7"/>
  <c r="J244" i="7"/>
  <c r="BK243" i="7"/>
  <c r="T243" i="7"/>
  <c r="R243" i="7"/>
  <c r="P243" i="7"/>
  <c r="J243" i="7"/>
  <c r="BK242" i="7"/>
  <c r="BI242" i="7"/>
  <c r="BH242" i="7"/>
  <c r="BG242" i="7"/>
  <c r="BF242" i="7"/>
  <c r="BE242" i="7"/>
  <c r="T242" i="7"/>
  <c r="R242" i="7"/>
  <c r="P242" i="7"/>
  <c r="J242" i="7"/>
  <c r="BK241" i="7"/>
  <c r="BI241" i="7"/>
  <c r="BH241" i="7"/>
  <c r="BG241" i="7"/>
  <c r="BF241" i="7"/>
  <c r="BE241" i="7"/>
  <c r="T241" i="7"/>
  <c r="R241" i="7"/>
  <c r="P241" i="7"/>
  <c r="J241" i="7"/>
  <c r="BK240" i="7"/>
  <c r="BI240" i="7"/>
  <c r="BH240" i="7"/>
  <c r="BG240" i="7"/>
  <c r="BF240" i="7"/>
  <c r="BE240" i="7"/>
  <c r="T240" i="7"/>
  <c r="R240" i="7"/>
  <c r="P240" i="7"/>
  <c r="J240" i="7"/>
  <c r="BK239" i="7"/>
  <c r="BI239" i="7"/>
  <c r="BH239" i="7"/>
  <c r="BG239" i="7"/>
  <c r="BF239" i="7"/>
  <c r="BE239" i="7"/>
  <c r="T239" i="7"/>
  <c r="R239" i="7"/>
  <c r="P239" i="7"/>
  <c r="J239" i="7"/>
  <c r="BK238" i="7"/>
  <c r="BI238" i="7"/>
  <c r="BH238" i="7"/>
  <c r="BG238" i="7"/>
  <c r="BF238" i="7"/>
  <c r="BE238" i="7"/>
  <c r="T238" i="7"/>
  <c r="R238" i="7"/>
  <c r="P238" i="7"/>
  <c r="J238" i="7"/>
  <c r="BK237" i="7"/>
  <c r="BI237" i="7"/>
  <c r="BH237" i="7"/>
  <c r="BG237" i="7"/>
  <c r="BF237" i="7"/>
  <c r="BE237" i="7"/>
  <c r="T237" i="7"/>
  <c r="R237" i="7"/>
  <c r="P237" i="7"/>
  <c r="J237" i="7"/>
  <c r="BK236" i="7"/>
  <c r="BI236" i="7"/>
  <c r="BH236" i="7"/>
  <c r="BG236" i="7"/>
  <c r="BF236" i="7"/>
  <c r="BE236" i="7"/>
  <c r="T236" i="7"/>
  <c r="R236" i="7"/>
  <c r="P236" i="7"/>
  <c r="J236" i="7"/>
  <c r="BK235" i="7"/>
  <c r="BI235" i="7"/>
  <c r="BH235" i="7"/>
  <c r="BG235" i="7"/>
  <c r="BF235" i="7"/>
  <c r="BE235" i="7"/>
  <c r="T235" i="7"/>
  <c r="R235" i="7"/>
  <c r="P235" i="7"/>
  <c r="J235" i="7"/>
  <c r="BK234" i="7"/>
  <c r="BI234" i="7"/>
  <c r="BH234" i="7"/>
  <c r="BG234" i="7"/>
  <c r="BF234" i="7"/>
  <c r="BE234" i="7"/>
  <c r="T234" i="7"/>
  <c r="R234" i="7"/>
  <c r="P234" i="7"/>
  <c r="J234" i="7"/>
  <c r="BK232" i="7"/>
  <c r="BI232" i="7"/>
  <c r="BH232" i="7"/>
  <c r="BG232" i="7"/>
  <c r="BF232" i="7"/>
  <c r="BE232" i="7"/>
  <c r="T232" i="7"/>
  <c r="R232" i="7"/>
  <c r="P232" i="7"/>
  <c r="J232" i="7"/>
  <c r="BK231" i="7"/>
  <c r="T231" i="7"/>
  <c r="R231" i="7"/>
  <c r="P231" i="7"/>
  <c r="J231" i="7"/>
  <c r="BK230" i="7"/>
  <c r="BI230" i="7"/>
  <c r="BH230" i="7"/>
  <c r="BG230" i="7"/>
  <c r="BF230" i="7"/>
  <c r="BE230" i="7"/>
  <c r="T230" i="7"/>
  <c r="R230" i="7"/>
  <c r="P230" i="7"/>
  <c r="J230" i="7"/>
  <c r="BK229" i="7"/>
  <c r="BI229" i="7"/>
  <c r="BH229" i="7"/>
  <c r="BG229" i="7"/>
  <c r="BF229" i="7"/>
  <c r="BE229" i="7"/>
  <c r="T229" i="7"/>
  <c r="R229" i="7"/>
  <c r="P229" i="7"/>
  <c r="J229" i="7"/>
  <c r="BK228" i="7"/>
  <c r="BI228" i="7"/>
  <c r="BH228" i="7"/>
  <c r="BG228" i="7"/>
  <c r="BF228" i="7"/>
  <c r="BE228" i="7"/>
  <c r="T228" i="7"/>
  <c r="R228" i="7"/>
  <c r="P228" i="7"/>
  <c r="J228" i="7"/>
  <c r="BK227" i="7"/>
  <c r="BI227" i="7"/>
  <c r="BH227" i="7"/>
  <c r="BG227" i="7"/>
  <c r="BF227" i="7"/>
  <c r="BE227" i="7"/>
  <c r="T227" i="7"/>
  <c r="R227" i="7"/>
  <c r="P227" i="7"/>
  <c r="J227" i="7"/>
  <c r="BK226" i="7"/>
  <c r="BI226" i="7"/>
  <c r="BH226" i="7"/>
  <c r="BG226" i="7"/>
  <c r="BF226" i="7"/>
  <c r="BE226" i="7"/>
  <c r="T226" i="7"/>
  <c r="R226" i="7"/>
  <c r="P226" i="7"/>
  <c r="J226" i="7"/>
  <c r="BK225" i="7"/>
  <c r="BI225" i="7"/>
  <c r="BH225" i="7"/>
  <c r="BG225" i="7"/>
  <c r="BF225" i="7"/>
  <c r="BE225" i="7"/>
  <c r="T225" i="7"/>
  <c r="R225" i="7"/>
  <c r="P225" i="7"/>
  <c r="J225" i="7"/>
  <c r="BK224" i="7"/>
  <c r="BI224" i="7"/>
  <c r="BH224" i="7"/>
  <c r="BG224" i="7"/>
  <c r="BF224" i="7"/>
  <c r="BE224" i="7"/>
  <c r="T224" i="7"/>
  <c r="R224" i="7"/>
  <c r="P224" i="7"/>
  <c r="J224" i="7"/>
  <c r="BK223" i="7"/>
  <c r="BI223" i="7"/>
  <c r="BH223" i="7"/>
  <c r="BG223" i="7"/>
  <c r="BF223" i="7"/>
  <c r="BE223" i="7"/>
  <c r="T223" i="7"/>
  <c r="R223" i="7"/>
  <c r="P223" i="7"/>
  <c r="J223" i="7"/>
  <c r="BK222" i="7"/>
  <c r="BI222" i="7"/>
  <c r="BH222" i="7"/>
  <c r="BG222" i="7"/>
  <c r="BF222" i="7"/>
  <c r="BE222" i="7"/>
  <c r="T222" i="7"/>
  <c r="R222" i="7"/>
  <c r="P222" i="7"/>
  <c r="J222" i="7"/>
  <c r="BK221" i="7"/>
  <c r="BI221" i="7"/>
  <c r="BH221" i="7"/>
  <c r="BG221" i="7"/>
  <c r="BF221" i="7"/>
  <c r="BE221" i="7"/>
  <c r="T221" i="7"/>
  <c r="R221" i="7"/>
  <c r="P221" i="7"/>
  <c r="J221" i="7"/>
  <c r="BK219" i="7"/>
  <c r="BI219" i="7"/>
  <c r="BH219" i="7"/>
  <c r="BG219" i="7"/>
  <c r="BF219" i="7"/>
  <c r="BE219" i="7"/>
  <c r="T219" i="7"/>
  <c r="R219" i="7"/>
  <c r="P219" i="7"/>
  <c r="J219" i="7"/>
  <c r="BK218" i="7"/>
  <c r="T218" i="7"/>
  <c r="R218" i="7"/>
  <c r="P218" i="7"/>
  <c r="J218" i="7"/>
  <c r="BK217" i="7"/>
  <c r="BI217" i="7"/>
  <c r="BH217" i="7"/>
  <c r="BG217" i="7"/>
  <c r="BF217" i="7"/>
  <c r="BE217" i="7"/>
  <c r="T217" i="7"/>
  <c r="R217" i="7"/>
  <c r="P217" i="7"/>
  <c r="J217" i="7"/>
  <c r="BK216" i="7"/>
  <c r="BI216" i="7"/>
  <c r="BH216" i="7"/>
  <c r="BG216" i="7"/>
  <c r="BF216" i="7"/>
  <c r="BE216" i="7"/>
  <c r="T216" i="7"/>
  <c r="R216" i="7"/>
  <c r="P216" i="7"/>
  <c r="J216" i="7"/>
  <c r="BK215" i="7"/>
  <c r="BI215" i="7"/>
  <c r="BH215" i="7"/>
  <c r="BG215" i="7"/>
  <c r="BF215" i="7"/>
  <c r="BE215" i="7"/>
  <c r="T215" i="7"/>
  <c r="R215" i="7"/>
  <c r="P215" i="7"/>
  <c r="J215" i="7"/>
  <c r="BK214" i="7"/>
  <c r="BI214" i="7"/>
  <c r="BH214" i="7"/>
  <c r="BG214" i="7"/>
  <c r="BF214" i="7"/>
  <c r="BE214" i="7"/>
  <c r="T214" i="7"/>
  <c r="R214" i="7"/>
  <c r="P214" i="7"/>
  <c r="J214" i="7"/>
  <c r="BK213" i="7"/>
  <c r="BI213" i="7"/>
  <c r="BH213" i="7"/>
  <c r="BG213" i="7"/>
  <c r="BF213" i="7"/>
  <c r="BE213" i="7"/>
  <c r="T213" i="7"/>
  <c r="R213" i="7"/>
  <c r="P213" i="7"/>
  <c r="J213" i="7"/>
  <c r="BK212" i="7"/>
  <c r="BI212" i="7"/>
  <c r="BH212" i="7"/>
  <c r="BG212" i="7"/>
  <c r="BF212" i="7"/>
  <c r="BE212" i="7"/>
  <c r="T212" i="7"/>
  <c r="R212" i="7"/>
  <c r="P212" i="7"/>
  <c r="J212" i="7"/>
  <c r="BK211" i="7"/>
  <c r="BI211" i="7"/>
  <c r="BH211" i="7"/>
  <c r="BG211" i="7"/>
  <c r="BF211" i="7"/>
  <c r="BE211" i="7"/>
  <c r="T211" i="7"/>
  <c r="R211" i="7"/>
  <c r="P211" i="7"/>
  <c r="J211" i="7"/>
  <c r="BK210" i="7"/>
  <c r="BI210" i="7"/>
  <c r="BH210" i="7"/>
  <c r="BG210" i="7"/>
  <c r="BF210" i="7"/>
  <c r="BE210" i="7"/>
  <c r="T210" i="7"/>
  <c r="R210" i="7"/>
  <c r="P210" i="7"/>
  <c r="J210" i="7"/>
  <c r="BK209" i="7"/>
  <c r="BI209" i="7"/>
  <c r="BH209" i="7"/>
  <c r="BG209" i="7"/>
  <c r="BF209" i="7"/>
  <c r="BE209" i="7"/>
  <c r="T209" i="7"/>
  <c r="R209" i="7"/>
  <c r="P209" i="7"/>
  <c r="J209" i="7"/>
  <c r="BK208" i="7"/>
  <c r="BI208" i="7"/>
  <c r="BH208" i="7"/>
  <c r="BG208" i="7"/>
  <c r="BF208" i="7"/>
  <c r="BE208" i="7"/>
  <c r="T208" i="7"/>
  <c r="R208" i="7"/>
  <c r="P208" i="7"/>
  <c r="J208" i="7"/>
  <c r="BK207" i="7"/>
  <c r="BI207" i="7"/>
  <c r="BH207" i="7"/>
  <c r="BG207" i="7"/>
  <c r="BF207" i="7"/>
  <c r="BE207" i="7"/>
  <c r="T207" i="7"/>
  <c r="R207" i="7"/>
  <c r="P207" i="7"/>
  <c r="J207" i="7"/>
  <c r="BK206" i="7"/>
  <c r="BI206" i="7"/>
  <c r="BH206" i="7"/>
  <c r="BG206" i="7"/>
  <c r="BF206" i="7"/>
  <c r="BE206" i="7"/>
  <c r="T206" i="7"/>
  <c r="R206" i="7"/>
  <c r="P206" i="7"/>
  <c r="J206" i="7"/>
  <c r="BK204" i="7"/>
  <c r="BI204" i="7"/>
  <c r="BH204" i="7"/>
  <c r="BG204" i="7"/>
  <c r="BF204" i="7"/>
  <c r="BE204" i="7"/>
  <c r="T204" i="7"/>
  <c r="R204" i="7"/>
  <c r="P204" i="7"/>
  <c r="J204" i="7"/>
  <c r="BK203" i="7"/>
  <c r="T203" i="7"/>
  <c r="R203" i="7"/>
  <c r="P203" i="7"/>
  <c r="J203" i="7"/>
  <c r="BK202" i="7"/>
  <c r="BI202" i="7"/>
  <c r="BH202" i="7"/>
  <c r="BG202" i="7"/>
  <c r="BF202" i="7"/>
  <c r="BE202" i="7"/>
  <c r="T202" i="7"/>
  <c r="R202" i="7"/>
  <c r="P202" i="7"/>
  <c r="J202" i="7"/>
  <c r="BK201" i="7"/>
  <c r="BI201" i="7"/>
  <c r="BH201" i="7"/>
  <c r="BG201" i="7"/>
  <c r="BF201" i="7"/>
  <c r="BE201" i="7"/>
  <c r="T201" i="7"/>
  <c r="R201" i="7"/>
  <c r="P201" i="7"/>
  <c r="J201" i="7"/>
  <c r="BK200" i="7"/>
  <c r="BI200" i="7"/>
  <c r="BH200" i="7"/>
  <c r="BG200" i="7"/>
  <c r="BF200" i="7"/>
  <c r="BE200" i="7"/>
  <c r="T200" i="7"/>
  <c r="R200" i="7"/>
  <c r="P200" i="7"/>
  <c r="J200" i="7"/>
  <c r="BK199" i="7"/>
  <c r="BI199" i="7"/>
  <c r="BH199" i="7"/>
  <c r="BG199" i="7"/>
  <c r="BF199" i="7"/>
  <c r="BE199" i="7"/>
  <c r="T199" i="7"/>
  <c r="R199" i="7"/>
  <c r="P199" i="7"/>
  <c r="J199" i="7"/>
  <c r="BK198" i="7"/>
  <c r="BI198" i="7"/>
  <c r="BH198" i="7"/>
  <c r="BG198" i="7"/>
  <c r="BF198" i="7"/>
  <c r="BE198" i="7"/>
  <c r="T198" i="7"/>
  <c r="R198" i="7"/>
  <c r="P198" i="7"/>
  <c r="J198" i="7"/>
  <c r="BK197" i="7"/>
  <c r="BI197" i="7"/>
  <c r="BH197" i="7"/>
  <c r="BG197" i="7"/>
  <c r="BF197" i="7"/>
  <c r="BE197" i="7"/>
  <c r="T197" i="7"/>
  <c r="R197" i="7"/>
  <c r="P197" i="7"/>
  <c r="J197" i="7"/>
  <c r="BK196" i="7"/>
  <c r="BI196" i="7"/>
  <c r="BH196" i="7"/>
  <c r="BG196" i="7"/>
  <c r="BF196" i="7"/>
  <c r="BE196" i="7"/>
  <c r="T196" i="7"/>
  <c r="R196" i="7"/>
  <c r="P196" i="7"/>
  <c r="J196" i="7"/>
  <c r="BK195" i="7"/>
  <c r="BI195" i="7"/>
  <c r="BH195" i="7"/>
  <c r="BG195" i="7"/>
  <c r="BF195" i="7"/>
  <c r="BE195" i="7"/>
  <c r="T195" i="7"/>
  <c r="R195" i="7"/>
  <c r="P195" i="7"/>
  <c r="J195" i="7"/>
  <c r="BK194" i="7"/>
  <c r="BI194" i="7"/>
  <c r="BH194" i="7"/>
  <c r="BG194" i="7"/>
  <c r="BF194" i="7"/>
  <c r="BE194" i="7"/>
  <c r="T194" i="7"/>
  <c r="R194" i="7"/>
  <c r="P194" i="7"/>
  <c r="J194" i="7"/>
  <c r="BK193" i="7"/>
  <c r="BI193" i="7"/>
  <c r="BH193" i="7"/>
  <c r="BG193" i="7"/>
  <c r="BF193" i="7"/>
  <c r="BE193" i="7"/>
  <c r="T193" i="7"/>
  <c r="R193" i="7"/>
  <c r="P193" i="7"/>
  <c r="J193" i="7"/>
  <c r="BK192" i="7"/>
  <c r="BI192" i="7"/>
  <c r="BH192" i="7"/>
  <c r="BG192" i="7"/>
  <c r="BF192" i="7"/>
  <c r="BE192" i="7"/>
  <c r="T192" i="7"/>
  <c r="R192" i="7"/>
  <c r="P192" i="7"/>
  <c r="J192" i="7"/>
  <c r="BK190" i="7"/>
  <c r="BI190" i="7"/>
  <c r="BH190" i="7"/>
  <c r="BG190" i="7"/>
  <c r="BF190" i="7"/>
  <c r="BE190" i="7"/>
  <c r="T190" i="7"/>
  <c r="R190" i="7"/>
  <c r="P190" i="7"/>
  <c r="J190" i="7"/>
  <c r="BK189" i="7"/>
  <c r="T189" i="7"/>
  <c r="R189" i="7"/>
  <c r="P189" i="7"/>
  <c r="J189" i="7"/>
  <c r="BK188" i="7"/>
  <c r="BI188" i="7"/>
  <c r="BH188" i="7"/>
  <c r="BG188" i="7"/>
  <c r="BF188" i="7"/>
  <c r="BE188" i="7"/>
  <c r="T188" i="7"/>
  <c r="R188" i="7"/>
  <c r="P188" i="7"/>
  <c r="J188" i="7"/>
  <c r="BK187" i="7"/>
  <c r="BI187" i="7"/>
  <c r="BH187" i="7"/>
  <c r="BG187" i="7"/>
  <c r="BF187" i="7"/>
  <c r="BE187" i="7"/>
  <c r="T187" i="7"/>
  <c r="R187" i="7"/>
  <c r="P187" i="7"/>
  <c r="J187" i="7"/>
  <c r="BK186" i="7"/>
  <c r="BI186" i="7"/>
  <c r="BH186" i="7"/>
  <c r="BG186" i="7"/>
  <c r="BF186" i="7"/>
  <c r="BE186" i="7"/>
  <c r="T186" i="7"/>
  <c r="R186" i="7"/>
  <c r="P186" i="7"/>
  <c r="J186" i="7"/>
  <c r="BK185" i="7"/>
  <c r="BI185" i="7"/>
  <c r="BH185" i="7"/>
  <c r="BG185" i="7"/>
  <c r="BF185" i="7"/>
  <c r="BE185" i="7"/>
  <c r="T185" i="7"/>
  <c r="R185" i="7"/>
  <c r="P185" i="7"/>
  <c r="J185" i="7"/>
  <c r="BK184" i="7"/>
  <c r="BI184" i="7"/>
  <c r="BH184" i="7"/>
  <c r="BG184" i="7"/>
  <c r="BF184" i="7"/>
  <c r="BE184" i="7"/>
  <c r="T184" i="7"/>
  <c r="R184" i="7"/>
  <c r="P184" i="7"/>
  <c r="J184" i="7"/>
  <c r="BK183" i="7"/>
  <c r="BI183" i="7"/>
  <c r="BH183" i="7"/>
  <c r="BG183" i="7"/>
  <c r="BF183" i="7"/>
  <c r="BE183" i="7"/>
  <c r="T183" i="7"/>
  <c r="R183" i="7"/>
  <c r="P183" i="7"/>
  <c r="J183" i="7"/>
  <c r="BK182" i="7"/>
  <c r="BI182" i="7"/>
  <c r="BH182" i="7"/>
  <c r="BG182" i="7"/>
  <c r="BF182" i="7"/>
  <c r="BE182" i="7"/>
  <c r="T182" i="7"/>
  <c r="R182" i="7"/>
  <c r="P182" i="7"/>
  <c r="J182" i="7"/>
  <c r="BK181" i="7"/>
  <c r="BI181" i="7"/>
  <c r="BH181" i="7"/>
  <c r="BG181" i="7"/>
  <c r="BF181" i="7"/>
  <c r="BE181" i="7"/>
  <c r="T181" i="7"/>
  <c r="R181" i="7"/>
  <c r="P181" i="7"/>
  <c r="J181" i="7"/>
  <c r="BK180" i="7"/>
  <c r="BI180" i="7"/>
  <c r="BH180" i="7"/>
  <c r="BG180" i="7"/>
  <c r="BF180" i="7"/>
  <c r="BE180" i="7"/>
  <c r="T180" i="7"/>
  <c r="R180" i="7"/>
  <c r="P180" i="7"/>
  <c r="J180" i="7"/>
  <c r="BK179" i="7"/>
  <c r="BI179" i="7"/>
  <c r="BH179" i="7"/>
  <c r="BG179" i="7"/>
  <c r="BF179" i="7"/>
  <c r="BE179" i="7"/>
  <c r="T179" i="7"/>
  <c r="R179" i="7"/>
  <c r="P179" i="7"/>
  <c r="J179" i="7"/>
  <c r="BK177" i="7"/>
  <c r="BI177" i="7"/>
  <c r="BH177" i="7"/>
  <c r="BG177" i="7"/>
  <c r="BF177" i="7"/>
  <c r="BE177" i="7"/>
  <c r="T177" i="7"/>
  <c r="R177" i="7"/>
  <c r="P177" i="7"/>
  <c r="J177" i="7"/>
  <c r="BK176" i="7"/>
  <c r="T176" i="7"/>
  <c r="R176" i="7"/>
  <c r="P176" i="7"/>
  <c r="J176" i="7"/>
  <c r="BK175" i="7"/>
  <c r="BI175" i="7"/>
  <c r="BH175" i="7"/>
  <c r="BG175" i="7"/>
  <c r="BF175" i="7"/>
  <c r="BE175" i="7"/>
  <c r="T175" i="7"/>
  <c r="R175" i="7"/>
  <c r="P175" i="7"/>
  <c r="J175" i="7"/>
  <c r="BK174" i="7"/>
  <c r="BI174" i="7"/>
  <c r="BH174" i="7"/>
  <c r="BG174" i="7"/>
  <c r="BF174" i="7"/>
  <c r="BE174" i="7"/>
  <c r="T174" i="7"/>
  <c r="R174" i="7"/>
  <c r="P174" i="7"/>
  <c r="J174" i="7"/>
  <c r="BK173" i="7"/>
  <c r="BI173" i="7"/>
  <c r="BH173" i="7"/>
  <c r="BG173" i="7"/>
  <c r="BF173" i="7"/>
  <c r="BE173" i="7"/>
  <c r="T173" i="7"/>
  <c r="R173" i="7"/>
  <c r="P173" i="7"/>
  <c r="J173" i="7"/>
  <c r="BK172" i="7"/>
  <c r="BI172" i="7"/>
  <c r="BH172" i="7"/>
  <c r="BG172" i="7"/>
  <c r="BF172" i="7"/>
  <c r="BE172" i="7"/>
  <c r="T172" i="7"/>
  <c r="R172" i="7"/>
  <c r="P172" i="7"/>
  <c r="J172" i="7"/>
  <c r="BK171" i="7"/>
  <c r="BI171" i="7"/>
  <c r="BH171" i="7"/>
  <c r="BG171" i="7"/>
  <c r="BF171" i="7"/>
  <c r="BE171" i="7"/>
  <c r="T171" i="7"/>
  <c r="R171" i="7"/>
  <c r="P171" i="7"/>
  <c r="J171" i="7"/>
  <c r="BK170" i="7"/>
  <c r="BI170" i="7"/>
  <c r="BH170" i="7"/>
  <c r="BG170" i="7"/>
  <c r="BF170" i="7"/>
  <c r="BE170" i="7"/>
  <c r="T170" i="7"/>
  <c r="R170" i="7"/>
  <c r="P170" i="7"/>
  <c r="J170" i="7"/>
  <c r="BK169" i="7"/>
  <c r="BI169" i="7"/>
  <c r="BH169" i="7"/>
  <c r="BG169" i="7"/>
  <c r="BF169" i="7"/>
  <c r="BE169" i="7"/>
  <c r="T169" i="7"/>
  <c r="R169" i="7"/>
  <c r="P169" i="7"/>
  <c r="J169" i="7"/>
  <c r="BK168" i="7"/>
  <c r="BI168" i="7"/>
  <c r="BH168" i="7"/>
  <c r="BG168" i="7"/>
  <c r="BF168" i="7"/>
  <c r="BE168" i="7"/>
  <c r="T168" i="7"/>
  <c r="R168" i="7"/>
  <c r="P168" i="7"/>
  <c r="J168" i="7"/>
  <c r="BK167" i="7"/>
  <c r="BI167" i="7"/>
  <c r="BH167" i="7"/>
  <c r="BG167" i="7"/>
  <c r="BF167" i="7"/>
  <c r="BE167" i="7"/>
  <c r="T167" i="7"/>
  <c r="R167" i="7"/>
  <c r="P167" i="7"/>
  <c r="J167" i="7"/>
  <c r="BK166" i="7"/>
  <c r="BI166" i="7"/>
  <c r="BH166" i="7"/>
  <c r="BG166" i="7"/>
  <c r="BF166" i="7"/>
  <c r="BE166" i="7"/>
  <c r="T166" i="7"/>
  <c r="R166" i="7"/>
  <c r="P166" i="7"/>
  <c r="J166" i="7"/>
  <c r="BK165" i="7"/>
  <c r="BI165" i="7"/>
  <c r="BH165" i="7"/>
  <c r="BG165" i="7"/>
  <c r="BF165" i="7"/>
  <c r="BE165" i="7"/>
  <c r="T165" i="7"/>
  <c r="R165" i="7"/>
  <c r="P165" i="7"/>
  <c r="J165" i="7"/>
  <c r="BK164" i="7"/>
  <c r="BI164" i="7"/>
  <c r="BH164" i="7"/>
  <c r="BG164" i="7"/>
  <c r="BF164" i="7"/>
  <c r="BE164" i="7"/>
  <c r="T164" i="7"/>
  <c r="R164" i="7"/>
  <c r="P164" i="7"/>
  <c r="J164" i="7"/>
  <c r="BK163" i="7"/>
  <c r="BI163" i="7"/>
  <c r="BH163" i="7"/>
  <c r="BG163" i="7"/>
  <c r="BF163" i="7"/>
  <c r="BE163" i="7"/>
  <c r="T163" i="7"/>
  <c r="R163" i="7"/>
  <c r="P163" i="7"/>
  <c r="J163" i="7"/>
  <c r="BK162" i="7"/>
  <c r="BI162" i="7"/>
  <c r="BH162" i="7"/>
  <c r="BG162" i="7"/>
  <c r="BF162" i="7"/>
  <c r="BE162" i="7"/>
  <c r="T162" i="7"/>
  <c r="R162" i="7"/>
  <c r="P162" i="7"/>
  <c r="J162" i="7"/>
  <c r="BK161" i="7"/>
  <c r="BI161" i="7"/>
  <c r="BH161" i="7"/>
  <c r="BG161" i="7"/>
  <c r="BF161" i="7"/>
  <c r="BE161" i="7"/>
  <c r="T161" i="7"/>
  <c r="R161" i="7"/>
  <c r="P161" i="7"/>
  <c r="J161" i="7"/>
  <c r="BK160" i="7"/>
  <c r="BI160" i="7"/>
  <c r="BH160" i="7"/>
  <c r="BG160" i="7"/>
  <c r="BF160" i="7"/>
  <c r="BE160" i="7"/>
  <c r="T160" i="7"/>
  <c r="R160" i="7"/>
  <c r="P160" i="7"/>
  <c r="J160" i="7"/>
  <c r="BK159" i="7"/>
  <c r="BI159" i="7"/>
  <c r="BH159" i="7"/>
  <c r="BG159" i="7"/>
  <c r="BF159" i="7"/>
  <c r="BE159" i="7"/>
  <c r="T159" i="7"/>
  <c r="R159" i="7"/>
  <c r="P159" i="7"/>
  <c r="J159" i="7"/>
  <c r="BK158" i="7"/>
  <c r="BI158" i="7"/>
  <c r="BH158" i="7"/>
  <c r="BG158" i="7"/>
  <c r="BF158" i="7"/>
  <c r="BE158" i="7"/>
  <c r="T158" i="7"/>
  <c r="R158" i="7"/>
  <c r="P158" i="7"/>
  <c r="J158" i="7"/>
  <c r="BK157" i="7"/>
  <c r="BI157" i="7"/>
  <c r="BH157" i="7"/>
  <c r="BG157" i="7"/>
  <c r="BF157" i="7"/>
  <c r="BE157" i="7"/>
  <c r="T157" i="7"/>
  <c r="R157" i="7"/>
  <c r="P157" i="7"/>
  <c r="J157" i="7"/>
  <c r="BK156" i="7"/>
  <c r="BI156" i="7"/>
  <c r="BH156" i="7"/>
  <c r="BG156" i="7"/>
  <c r="BF156" i="7"/>
  <c r="BE156" i="7"/>
  <c r="T156" i="7"/>
  <c r="R156" i="7"/>
  <c r="P156" i="7"/>
  <c r="J156" i="7"/>
  <c r="BK155" i="7"/>
  <c r="BI155" i="7"/>
  <c r="BH155" i="7"/>
  <c r="BG155" i="7"/>
  <c r="BF155" i="7"/>
  <c r="BE155" i="7"/>
  <c r="T155" i="7"/>
  <c r="R155" i="7"/>
  <c r="P155" i="7"/>
  <c r="J155" i="7"/>
  <c r="BK153" i="7"/>
  <c r="BI153" i="7"/>
  <c r="BH153" i="7"/>
  <c r="BG153" i="7"/>
  <c r="BF153" i="7"/>
  <c r="BE153" i="7"/>
  <c r="T153" i="7"/>
  <c r="R153" i="7"/>
  <c r="P153" i="7"/>
  <c r="J153" i="7"/>
  <c r="BK152" i="7"/>
  <c r="T152" i="7"/>
  <c r="R152" i="7"/>
  <c r="P152" i="7"/>
  <c r="J152" i="7"/>
  <c r="BK151" i="7"/>
  <c r="T151" i="7"/>
  <c r="R151" i="7"/>
  <c r="P151" i="7"/>
  <c r="J151" i="7"/>
  <c r="BK150" i="7"/>
  <c r="T150" i="7"/>
  <c r="R150" i="7"/>
  <c r="P150" i="7"/>
  <c r="J150" i="7"/>
  <c r="J147" i="7"/>
  <c r="F147" i="7"/>
  <c r="J146" i="7"/>
  <c r="F146" i="7"/>
  <c r="J144" i="7"/>
  <c r="F144" i="7"/>
  <c r="E142" i="7"/>
  <c r="E138" i="7"/>
  <c r="J128" i="7"/>
  <c r="J127" i="7"/>
  <c r="J126" i="7"/>
  <c r="J125" i="7"/>
  <c r="J124" i="7"/>
  <c r="J123" i="7"/>
  <c r="J122" i="7"/>
  <c r="J121" i="7"/>
  <c r="J120" i="7"/>
  <c r="J119" i="7"/>
  <c r="J118" i="7"/>
  <c r="J117" i="7"/>
  <c r="J116" i="7"/>
  <c r="J115" i="7"/>
  <c r="J114" i="7"/>
  <c r="J113" i="7"/>
  <c r="J112" i="7"/>
  <c r="J111" i="7"/>
  <c r="J110" i="7"/>
  <c r="J109" i="7"/>
  <c r="J108" i="7"/>
  <c r="J107" i="7"/>
  <c r="J106" i="7"/>
  <c r="J105" i="7"/>
  <c r="J104" i="7"/>
  <c r="J103" i="7"/>
  <c r="J102" i="7"/>
  <c r="J101" i="7"/>
  <c r="J100" i="7"/>
  <c r="J99" i="7"/>
  <c r="J98" i="7"/>
  <c r="J94" i="7"/>
  <c r="F94" i="7"/>
  <c r="J93" i="7"/>
  <c r="F93" i="7"/>
  <c r="J91" i="7"/>
  <c r="F91" i="7"/>
  <c r="E89" i="7"/>
  <c r="E85" i="7"/>
  <c r="J41" i="7"/>
  <c r="J39" i="7"/>
  <c r="F39" i="7"/>
  <c r="J38" i="7"/>
  <c r="F38" i="7"/>
  <c r="J37" i="7"/>
  <c r="F37" i="7"/>
  <c r="J36" i="7"/>
  <c r="F36" i="7"/>
  <c r="J35" i="7"/>
  <c r="F35" i="7"/>
  <c r="J32" i="7"/>
  <c r="J20" i="7"/>
  <c r="E20" i="7"/>
  <c r="J19" i="7"/>
  <c r="J14" i="7"/>
  <c r="E7" i="7"/>
  <c r="BK164" i="6"/>
  <c r="BI164" i="6"/>
  <c r="BH164" i="6"/>
  <c r="BG164" i="6"/>
  <c r="BF164" i="6"/>
  <c r="BE164" i="6"/>
  <c r="T164" i="6"/>
  <c r="R164" i="6"/>
  <c r="P164" i="6"/>
  <c r="J164" i="6"/>
  <c r="BK163" i="6"/>
  <c r="BI163" i="6"/>
  <c r="BH163" i="6"/>
  <c r="BG163" i="6"/>
  <c r="BF163" i="6"/>
  <c r="BE163" i="6"/>
  <c r="T163" i="6"/>
  <c r="R163" i="6"/>
  <c r="P163" i="6"/>
  <c r="J163" i="6"/>
  <c r="BK162" i="6"/>
  <c r="BI162" i="6"/>
  <c r="BH162" i="6"/>
  <c r="BG162" i="6"/>
  <c r="BF162" i="6"/>
  <c r="BE162" i="6"/>
  <c r="T162" i="6"/>
  <c r="R162" i="6"/>
  <c r="P162" i="6"/>
  <c r="J162" i="6"/>
  <c r="BK161" i="6"/>
  <c r="BI161" i="6"/>
  <c r="BH161" i="6"/>
  <c r="BG161" i="6"/>
  <c r="BF161" i="6"/>
  <c r="BE161" i="6"/>
  <c r="T161" i="6"/>
  <c r="R161" i="6"/>
  <c r="P161" i="6"/>
  <c r="J161" i="6"/>
  <c r="BK160" i="6"/>
  <c r="BI160" i="6"/>
  <c r="BH160" i="6"/>
  <c r="BG160" i="6"/>
  <c r="BF160" i="6"/>
  <c r="BE160" i="6"/>
  <c r="T160" i="6"/>
  <c r="R160" i="6"/>
  <c r="P160" i="6"/>
  <c r="J160" i="6"/>
  <c r="BK159" i="6"/>
  <c r="BI159" i="6"/>
  <c r="BH159" i="6"/>
  <c r="BG159" i="6"/>
  <c r="BF159" i="6"/>
  <c r="BE159" i="6"/>
  <c r="T159" i="6"/>
  <c r="R159" i="6"/>
  <c r="P159" i="6"/>
  <c r="J159" i="6"/>
  <c r="BK158" i="6"/>
  <c r="BI158" i="6"/>
  <c r="BH158" i="6"/>
  <c r="BG158" i="6"/>
  <c r="BF158" i="6"/>
  <c r="BE158" i="6"/>
  <c r="T158" i="6"/>
  <c r="R158" i="6"/>
  <c r="P158" i="6"/>
  <c r="J158" i="6"/>
  <c r="BK157" i="6"/>
  <c r="BI157" i="6"/>
  <c r="BH157" i="6"/>
  <c r="BG157" i="6"/>
  <c r="BF157" i="6"/>
  <c r="BE157" i="6"/>
  <c r="T157" i="6"/>
  <c r="R157" i="6"/>
  <c r="P157" i="6"/>
  <c r="J157" i="6"/>
  <c r="BK156" i="6"/>
  <c r="BI156" i="6"/>
  <c r="BH156" i="6"/>
  <c r="BG156" i="6"/>
  <c r="BF156" i="6"/>
  <c r="BE156" i="6"/>
  <c r="T156" i="6"/>
  <c r="R156" i="6"/>
  <c r="P156" i="6"/>
  <c r="J156" i="6"/>
  <c r="BK155" i="6"/>
  <c r="BI155" i="6"/>
  <c r="BH155" i="6"/>
  <c r="BG155" i="6"/>
  <c r="BF155" i="6"/>
  <c r="BE155" i="6"/>
  <c r="T155" i="6"/>
  <c r="R155" i="6"/>
  <c r="P155" i="6"/>
  <c r="J155" i="6"/>
  <c r="BK154" i="6"/>
  <c r="BI154" i="6"/>
  <c r="BH154" i="6"/>
  <c r="BG154" i="6"/>
  <c r="BF154" i="6"/>
  <c r="BE154" i="6"/>
  <c r="T154" i="6"/>
  <c r="R154" i="6"/>
  <c r="P154" i="6"/>
  <c r="J154" i="6"/>
  <c r="BK153" i="6"/>
  <c r="BI153" i="6"/>
  <c r="BH153" i="6"/>
  <c r="BG153" i="6"/>
  <c r="BF153" i="6"/>
  <c r="BE153" i="6"/>
  <c r="T153" i="6"/>
  <c r="R153" i="6"/>
  <c r="P153" i="6"/>
  <c r="J153" i="6"/>
  <c r="BK152" i="6"/>
  <c r="BI152" i="6"/>
  <c r="BH152" i="6"/>
  <c r="BG152" i="6"/>
  <c r="BF152" i="6"/>
  <c r="BE152" i="6"/>
  <c r="T152" i="6"/>
  <c r="R152" i="6"/>
  <c r="P152" i="6"/>
  <c r="J152" i="6"/>
  <c r="BK151" i="6"/>
  <c r="BI151" i="6"/>
  <c r="BH151" i="6"/>
  <c r="BG151" i="6"/>
  <c r="BF151" i="6"/>
  <c r="BE151" i="6"/>
  <c r="T151" i="6"/>
  <c r="R151" i="6"/>
  <c r="P151" i="6"/>
  <c r="J151" i="6"/>
  <c r="BK150" i="6"/>
  <c r="BI150" i="6"/>
  <c r="BH150" i="6"/>
  <c r="BG150" i="6"/>
  <c r="BF150" i="6"/>
  <c r="BE150" i="6"/>
  <c r="T150" i="6"/>
  <c r="R150" i="6"/>
  <c r="P150" i="6"/>
  <c r="J150" i="6"/>
  <c r="BK149" i="6"/>
  <c r="BI149" i="6"/>
  <c r="BH149" i="6"/>
  <c r="BG149" i="6"/>
  <c r="BF149" i="6"/>
  <c r="BE149" i="6"/>
  <c r="T149" i="6"/>
  <c r="R149" i="6"/>
  <c r="P149" i="6"/>
  <c r="J149" i="6"/>
  <c r="BK148" i="6"/>
  <c r="T148" i="6"/>
  <c r="R148" i="6"/>
  <c r="P148" i="6"/>
  <c r="J148" i="6"/>
  <c r="BK147" i="6"/>
  <c r="BI147" i="6"/>
  <c r="BH147" i="6"/>
  <c r="BG147" i="6"/>
  <c r="BF147" i="6"/>
  <c r="BE147" i="6"/>
  <c r="T147" i="6"/>
  <c r="R147" i="6"/>
  <c r="P147" i="6"/>
  <c r="J147" i="6"/>
  <c r="BK146" i="6"/>
  <c r="BI146" i="6"/>
  <c r="BH146" i="6"/>
  <c r="BG146" i="6"/>
  <c r="BF146" i="6"/>
  <c r="BE146" i="6"/>
  <c r="T146" i="6"/>
  <c r="R146" i="6"/>
  <c r="P146" i="6"/>
  <c r="J146" i="6"/>
  <c r="BK145" i="6"/>
  <c r="BI145" i="6"/>
  <c r="BH145" i="6"/>
  <c r="BG145" i="6"/>
  <c r="BF145" i="6"/>
  <c r="BE145" i="6"/>
  <c r="T145" i="6"/>
  <c r="R145" i="6"/>
  <c r="P145" i="6"/>
  <c r="J145" i="6"/>
  <c r="BK144" i="6"/>
  <c r="BI144" i="6"/>
  <c r="BH144" i="6"/>
  <c r="BG144" i="6"/>
  <c r="BF144" i="6"/>
  <c r="BE144" i="6"/>
  <c r="T144" i="6"/>
  <c r="R144" i="6"/>
  <c r="P144" i="6"/>
  <c r="J144" i="6"/>
  <c r="BK143" i="6"/>
  <c r="BI143" i="6"/>
  <c r="BH143" i="6"/>
  <c r="BG143" i="6"/>
  <c r="BF143" i="6"/>
  <c r="BE143" i="6"/>
  <c r="T143" i="6"/>
  <c r="R143" i="6"/>
  <c r="P143" i="6"/>
  <c r="J143" i="6"/>
  <c r="BK142" i="6"/>
  <c r="BI142" i="6"/>
  <c r="BH142" i="6"/>
  <c r="BG142" i="6"/>
  <c r="BF142" i="6"/>
  <c r="BE142" i="6"/>
  <c r="T142" i="6"/>
  <c r="R142" i="6"/>
  <c r="P142" i="6"/>
  <c r="J142" i="6"/>
  <c r="BK141" i="6"/>
  <c r="BI141" i="6"/>
  <c r="BH141" i="6"/>
  <c r="BG141" i="6"/>
  <c r="BF141" i="6"/>
  <c r="BE141" i="6"/>
  <c r="T141" i="6"/>
  <c r="R141" i="6"/>
  <c r="P141" i="6"/>
  <c r="J141" i="6"/>
  <c r="BK140" i="6"/>
  <c r="BI140" i="6"/>
  <c r="BH140" i="6"/>
  <c r="BG140" i="6"/>
  <c r="BF140" i="6"/>
  <c r="BE140" i="6"/>
  <c r="T140" i="6"/>
  <c r="R140" i="6"/>
  <c r="P140" i="6"/>
  <c r="J140" i="6"/>
  <c r="BK139" i="6"/>
  <c r="BI139" i="6"/>
  <c r="BH139" i="6"/>
  <c r="BG139" i="6"/>
  <c r="BF139" i="6"/>
  <c r="BE139" i="6"/>
  <c r="T139" i="6"/>
  <c r="R139" i="6"/>
  <c r="P139" i="6"/>
  <c r="J139" i="6"/>
  <c r="BK138" i="6"/>
  <c r="BI138" i="6"/>
  <c r="BH138" i="6"/>
  <c r="BG138" i="6"/>
  <c r="BF138" i="6"/>
  <c r="BE138" i="6"/>
  <c r="T138" i="6"/>
  <c r="R138" i="6"/>
  <c r="P138" i="6"/>
  <c r="J138" i="6"/>
  <c r="BK137" i="6"/>
  <c r="BI137" i="6"/>
  <c r="BH137" i="6"/>
  <c r="BG137" i="6"/>
  <c r="BF137" i="6"/>
  <c r="BE137" i="6"/>
  <c r="T137" i="6"/>
  <c r="R137" i="6"/>
  <c r="P137" i="6"/>
  <c r="J137" i="6"/>
  <c r="BK136" i="6"/>
  <c r="BI136" i="6"/>
  <c r="BH136" i="6"/>
  <c r="BG136" i="6"/>
  <c r="BF136" i="6"/>
  <c r="BE136" i="6"/>
  <c r="T136" i="6"/>
  <c r="R136" i="6"/>
  <c r="P136" i="6"/>
  <c r="J136" i="6"/>
  <c r="BK135" i="6"/>
  <c r="BI135" i="6"/>
  <c r="BH135" i="6"/>
  <c r="BG135" i="6"/>
  <c r="BF135" i="6"/>
  <c r="BE135" i="6"/>
  <c r="T135" i="6"/>
  <c r="R135" i="6"/>
  <c r="P135" i="6"/>
  <c r="J135" i="6"/>
  <c r="BK134" i="6"/>
  <c r="BI134" i="6"/>
  <c r="BH134" i="6"/>
  <c r="BG134" i="6"/>
  <c r="BF134" i="6"/>
  <c r="BE134" i="6"/>
  <c r="T134" i="6"/>
  <c r="R134" i="6"/>
  <c r="P134" i="6"/>
  <c r="J134" i="6"/>
  <c r="BK133" i="6"/>
  <c r="BI133" i="6"/>
  <c r="BH133" i="6"/>
  <c r="BG133" i="6"/>
  <c r="BF133" i="6"/>
  <c r="BE133" i="6"/>
  <c r="T133" i="6"/>
  <c r="R133" i="6"/>
  <c r="P133" i="6"/>
  <c r="J133" i="6"/>
  <c r="BK132" i="6"/>
  <c r="BI132" i="6"/>
  <c r="BH132" i="6"/>
  <c r="BG132" i="6"/>
  <c r="BF132" i="6"/>
  <c r="BE132" i="6"/>
  <c r="T132" i="6"/>
  <c r="R132" i="6"/>
  <c r="P132" i="6"/>
  <c r="J132" i="6"/>
  <c r="BK131" i="6"/>
  <c r="BI131" i="6"/>
  <c r="BH131" i="6"/>
  <c r="BG131" i="6"/>
  <c r="BF131" i="6"/>
  <c r="BE131" i="6"/>
  <c r="T131" i="6"/>
  <c r="R131" i="6"/>
  <c r="P131" i="6"/>
  <c r="J131" i="6"/>
  <c r="BK130" i="6"/>
  <c r="BI130" i="6"/>
  <c r="BH130" i="6"/>
  <c r="BG130" i="6"/>
  <c r="BF130" i="6"/>
  <c r="BE130" i="6"/>
  <c r="T130" i="6"/>
  <c r="R130" i="6"/>
  <c r="P130" i="6"/>
  <c r="J130" i="6"/>
  <c r="BK129" i="6"/>
  <c r="BI129" i="6"/>
  <c r="BH129" i="6"/>
  <c r="BG129" i="6"/>
  <c r="BF129" i="6"/>
  <c r="BE129" i="6"/>
  <c r="T129" i="6"/>
  <c r="R129" i="6"/>
  <c r="P129" i="6"/>
  <c r="J129" i="6"/>
  <c r="BK128" i="6"/>
  <c r="BI128" i="6"/>
  <c r="BH128" i="6"/>
  <c r="BG128" i="6"/>
  <c r="BF128" i="6"/>
  <c r="BE128" i="6"/>
  <c r="T128" i="6"/>
  <c r="R128" i="6"/>
  <c r="P128" i="6"/>
  <c r="J128" i="6"/>
  <c r="BK127" i="6"/>
  <c r="BI127" i="6"/>
  <c r="BH127" i="6"/>
  <c r="BG127" i="6"/>
  <c r="BF127" i="6"/>
  <c r="BE127" i="6"/>
  <c r="T127" i="6"/>
  <c r="R127" i="6"/>
  <c r="P127" i="6"/>
  <c r="J127" i="6"/>
  <c r="BK126" i="6"/>
  <c r="BI126" i="6"/>
  <c r="BH126" i="6"/>
  <c r="BG126" i="6"/>
  <c r="BF126" i="6"/>
  <c r="BE126" i="6"/>
  <c r="T126" i="6"/>
  <c r="R126" i="6"/>
  <c r="P126" i="6"/>
  <c r="J126" i="6"/>
  <c r="BK125" i="6"/>
  <c r="BI125" i="6"/>
  <c r="BH125" i="6"/>
  <c r="BG125" i="6"/>
  <c r="BF125" i="6"/>
  <c r="BE125" i="6"/>
  <c r="T125" i="6"/>
  <c r="R125" i="6"/>
  <c r="P125" i="6"/>
  <c r="J125" i="6"/>
  <c r="BK124" i="6"/>
  <c r="BI124" i="6"/>
  <c r="BH124" i="6"/>
  <c r="BG124" i="6"/>
  <c r="BF124" i="6"/>
  <c r="BE124" i="6"/>
  <c r="T124" i="6"/>
  <c r="R124" i="6"/>
  <c r="P124" i="6"/>
  <c r="J124" i="6"/>
  <c r="BK123" i="6"/>
  <c r="T123" i="6"/>
  <c r="R123" i="6"/>
  <c r="P123" i="6"/>
  <c r="J123" i="6"/>
  <c r="BK122" i="6"/>
  <c r="T122" i="6"/>
  <c r="R122" i="6"/>
  <c r="P122" i="6"/>
  <c r="J122" i="6"/>
  <c r="J119" i="6"/>
  <c r="F119" i="6"/>
  <c r="J118" i="6"/>
  <c r="F118" i="6"/>
  <c r="J116" i="6"/>
  <c r="F116" i="6"/>
  <c r="E114" i="6"/>
  <c r="E110" i="6"/>
  <c r="J100" i="6"/>
  <c r="J99" i="6"/>
  <c r="J98" i="6"/>
  <c r="J94" i="6"/>
  <c r="F94" i="6"/>
  <c r="J93" i="6"/>
  <c r="F93" i="6"/>
  <c r="J91" i="6"/>
  <c r="F91" i="6"/>
  <c r="E89" i="6"/>
  <c r="E85" i="6"/>
  <c r="J41" i="6"/>
  <c r="J39" i="6"/>
  <c r="F39" i="6"/>
  <c r="J38" i="6"/>
  <c r="F38" i="6"/>
  <c r="J37" i="6"/>
  <c r="F37" i="6"/>
  <c r="J36" i="6"/>
  <c r="F36" i="6"/>
  <c r="J35" i="6"/>
  <c r="F35" i="6"/>
  <c r="J32" i="6"/>
  <c r="J20" i="6"/>
  <c r="E20" i="6"/>
  <c r="J19" i="6"/>
  <c r="J14" i="6"/>
  <c r="E7" i="6"/>
  <c r="BK220" i="5"/>
  <c r="BI220" i="5"/>
  <c r="BH220" i="5"/>
  <c r="BG220" i="5"/>
  <c r="BF220" i="5"/>
  <c r="BE220" i="5"/>
  <c r="T220" i="5"/>
  <c r="R220" i="5"/>
  <c r="P220" i="5"/>
  <c r="J220" i="5"/>
  <c r="BK219" i="5"/>
  <c r="BI219" i="5"/>
  <c r="BH219" i="5"/>
  <c r="BG219" i="5"/>
  <c r="BF219" i="5"/>
  <c r="BE219" i="5"/>
  <c r="T219" i="5"/>
  <c r="R219" i="5"/>
  <c r="P219" i="5"/>
  <c r="J219" i="5"/>
  <c r="BK218" i="5"/>
  <c r="BI218" i="5"/>
  <c r="BH218" i="5"/>
  <c r="BG218" i="5"/>
  <c r="BF218" i="5"/>
  <c r="BE218" i="5"/>
  <c r="T218" i="5"/>
  <c r="R218" i="5"/>
  <c r="P218" i="5"/>
  <c r="J218" i="5"/>
  <c r="BK217" i="5"/>
  <c r="BI217" i="5"/>
  <c r="BH217" i="5"/>
  <c r="BG217" i="5"/>
  <c r="BF217" i="5"/>
  <c r="BE217" i="5"/>
  <c r="T217" i="5"/>
  <c r="R217" i="5"/>
  <c r="P217" i="5"/>
  <c r="J217" i="5"/>
  <c r="BK216" i="5"/>
  <c r="BI216" i="5"/>
  <c r="BH216" i="5"/>
  <c r="BG216" i="5"/>
  <c r="BF216" i="5"/>
  <c r="BE216" i="5"/>
  <c r="T216" i="5"/>
  <c r="R216" i="5"/>
  <c r="P216" i="5"/>
  <c r="J216" i="5"/>
  <c r="BK215" i="5"/>
  <c r="BI215" i="5"/>
  <c r="BH215" i="5"/>
  <c r="BG215" i="5"/>
  <c r="BF215" i="5"/>
  <c r="BE215" i="5"/>
  <c r="T215" i="5"/>
  <c r="R215" i="5"/>
  <c r="P215" i="5"/>
  <c r="J215" i="5"/>
  <c r="BK214" i="5"/>
  <c r="BI214" i="5"/>
  <c r="BH214" i="5"/>
  <c r="BG214" i="5"/>
  <c r="BF214" i="5"/>
  <c r="BE214" i="5"/>
  <c r="T214" i="5"/>
  <c r="R214" i="5"/>
  <c r="P214" i="5"/>
  <c r="J214" i="5"/>
  <c r="BK213" i="5"/>
  <c r="BI213" i="5"/>
  <c r="BH213" i="5"/>
  <c r="BG213" i="5"/>
  <c r="BF213" i="5"/>
  <c r="BE213" i="5"/>
  <c r="T213" i="5"/>
  <c r="R213" i="5"/>
  <c r="P213" i="5"/>
  <c r="J213" i="5"/>
  <c r="BK212" i="5"/>
  <c r="BI212" i="5"/>
  <c r="BH212" i="5"/>
  <c r="BG212" i="5"/>
  <c r="BF212" i="5"/>
  <c r="BE212" i="5"/>
  <c r="T212" i="5"/>
  <c r="R212" i="5"/>
  <c r="P212" i="5"/>
  <c r="J212" i="5"/>
  <c r="BK211" i="5"/>
  <c r="BI211" i="5"/>
  <c r="BH211" i="5"/>
  <c r="BG211" i="5"/>
  <c r="BF211" i="5"/>
  <c r="BE211" i="5"/>
  <c r="T211" i="5"/>
  <c r="R211" i="5"/>
  <c r="P211" i="5"/>
  <c r="J211" i="5"/>
  <c r="BK210" i="5"/>
  <c r="BI210" i="5"/>
  <c r="BH210" i="5"/>
  <c r="BG210" i="5"/>
  <c r="BF210" i="5"/>
  <c r="BE210" i="5"/>
  <c r="T210" i="5"/>
  <c r="R210" i="5"/>
  <c r="P210" i="5"/>
  <c r="J210" i="5"/>
  <c r="BK209" i="5"/>
  <c r="BI209" i="5"/>
  <c r="BH209" i="5"/>
  <c r="BG209" i="5"/>
  <c r="BF209" i="5"/>
  <c r="BE209" i="5"/>
  <c r="T209" i="5"/>
  <c r="R209" i="5"/>
  <c r="P209" i="5"/>
  <c r="J209" i="5"/>
  <c r="BK208" i="5"/>
  <c r="BI208" i="5"/>
  <c r="BH208" i="5"/>
  <c r="BG208" i="5"/>
  <c r="BF208" i="5"/>
  <c r="BE208" i="5"/>
  <c r="T208" i="5"/>
  <c r="R208" i="5"/>
  <c r="P208" i="5"/>
  <c r="J208" i="5"/>
  <c r="BK207" i="5"/>
  <c r="BI207" i="5"/>
  <c r="BH207" i="5"/>
  <c r="BG207" i="5"/>
  <c r="BF207" i="5"/>
  <c r="BE207" i="5"/>
  <c r="T207" i="5"/>
  <c r="R207" i="5"/>
  <c r="P207" i="5"/>
  <c r="J207" i="5"/>
  <c r="BK206" i="5"/>
  <c r="BI206" i="5"/>
  <c r="BH206" i="5"/>
  <c r="BG206" i="5"/>
  <c r="BF206" i="5"/>
  <c r="BE206" i="5"/>
  <c r="T206" i="5"/>
  <c r="R206" i="5"/>
  <c r="P206" i="5"/>
  <c r="J206" i="5"/>
  <c r="BK205" i="5"/>
  <c r="BI205" i="5"/>
  <c r="BH205" i="5"/>
  <c r="BG205" i="5"/>
  <c r="BF205" i="5"/>
  <c r="BE205" i="5"/>
  <c r="T205" i="5"/>
  <c r="R205" i="5"/>
  <c r="P205" i="5"/>
  <c r="J205" i="5"/>
  <c r="BK204" i="5"/>
  <c r="BI204" i="5"/>
  <c r="BH204" i="5"/>
  <c r="BG204" i="5"/>
  <c r="BF204" i="5"/>
  <c r="BE204" i="5"/>
  <c r="T204" i="5"/>
  <c r="R204" i="5"/>
  <c r="P204" i="5"/>
  <c r="J204" i="5"/>
  <c r="BK203" i="5"/>
  <c r="BI203" i="5"/>
  <c r="BH203" i="5"/>
  <c r="BG203" i="5"/>
  <c r="BF203" i="5"/>
  <c r="BE203" i="5"/>
  <c r="T203" i="5"/>
  <c r="R203" i="5"/>
  <c r="P203" i="5"/>
  <c r="J203" i="5"/>
  <c r="BK202" i="5"/>
  <c r="BI202" i="5"/>
  <c r="BH202" i="5"/>
  <c r="BG202" i="5"/>
  <c r="BF202" i="5"/>
  <c r="BE202" i="5"/>
  <c r="T202" i="5"/>
  <c r="R202" i="5"/>
  <c r="P202" i="5"/>
  <c r="J202" i="5"/>
  <c r="BK201" i="5"/>
  <c r="BI201" i="5"/>
  <c r="BH201" i="5"/>
  <c r="BG201" i="5"/>
  <c r="BF201" i="5"/>
  <c r="BE201" i="5"/>
  <c r="T201" i="5"/>
  <c r="R201" i="5"/>
  <c r="P201" i="5"/>
  <c r="J201" i="5"/>
  <c r="BK200" i="5"/>
  <c r="BI200" i="5"/>
  <c r="BH200" i="5"/>
  <c r="BG200" i="5"/>
  <c r="BF200" i="5"/>
  <c r="BE200" i="5"/>
  <c r="T200" i="5"/>
  <c r="R200" i="5"/>
  <c r="P200" i="5"/>
  <c r="J200" i="5"/>
  <c r="BK199" i="5"/>
  <c r="BI199" i="5"/>
  <c r="BH199" i="5"/>
  <c r="BG199" i="5"/>
  <c r="BF199" i="5"/>
  <c r="BE199" i="5"/>
  <c r="T199" i="5"/>
  <c r="R199" i="5"/>
  <c r="P199" i="5"/>
  <c r="J199" i="5"/>
  <c r="BK198" i="5"/>
  <c r="BI198" i="5"/>
  <c r="BH198" i="5"/>
  <c r="BG198" i="5"/>
  <c r="BF198" i="5"/>
  <c r="BE198" i="5"/>
  <c r="T198" i="5"/>
  <c r="R198" i="5"/>
  <c r="P198" i="5"/>
  <c r="J198" i="5"/>
  <c r="BK197" i="5"/>
  <c r="BI197" i="5"/>
  <c r="BH197" i="5"/>
  <c r="BG197" i="5"/>
  <c r="BF197" i="5"/>
  <c r="BE197" i="5"/>
  <c r="T197" i="5"/>
  <c r="R197" i="5"/>
  <c r="P197" i="5"/>
  <c r="J197" i="5"/>
  <c r="BK196" i="5"/>
  <c r="BI196" i="5"/>
  <c r="BH196" i="5"/>
  <c r="BG196" i="5"/>
  <c r="BF196" i="5"/>
  <c r="BE196" i="5"/>
  <c r="T196" i="5"/>
  <c r="R196" i="5"/>
  <c r="P196" i="5"/>
  <c r="J196" i="5"/>
  <c r="BK195" i="5"/>
  <c r="BI195" i="5"/>
  <c r="BH195" i="5"/>
  <c r="BG195" i="5"/>
  <c r="BF195" i="5"/>
  <c r="BE195" i="5"/>
  <c r="T195" i="5"/>
  <c r="R195" i="5"/>
  <c r="P195" i="5"/>
  <c r="J195" i="5"/>
  <c r="BK194" i="5"/>
  <c r="BI194" i="5"/>
  <c r="BH194" i="5"/>
  <c r="BG194" i="5"/>
  <c r="BF194" i="5"/>
  <c r="BE194" i="5"/>
  <c r="T194" i="5"/>
  <c r="R194" i="5"/>
  <c r="P194" i="5"/>
  <c r="J194" i="5"/>
  <c r="BK193" i="5"/>
  <c r="BI193" i="5"/>
  <c r="BH193" i="5"/>
  <c r="BG193" i="5"/>
  <c r="BF193" i="5"/>
  <c r="BE193" i="5"/>
  <c r="T193" i="5"/>
  <c r="R193" i="5"/>
  <c r="P193" i="5"/>
  <c r="J193" i="5"/>
  <c r="BK192" i="5"/>
  <c r="BI192" i="5"/>
  <c r="BH192" i="5"/>
  <c r="BG192" i="5"/>
  <c r="BF192" i="5"/>
  <c r="BE192" i="5"/>
  <c r="T192" i="5"/>
  <c r="R192" i="5"/>
  <c r="P192" i="5"/>
  <c r="J192" i="5"/>
  <c r="BK191" i="5"/>
  <c r="BI191" i="5"/>
  <c r="BH191" i="5"/>
  <c r="BG191" i="5"/>
  <c r="BF191" i="5"/>
  <c r="BE191" i="5"/>
  <c r="T191" i="5"/>
  <c r="R191" i="5"/>
  <c r="P191" i="5"/>
  <c r="J191" i="5"/>
  <c r="BK190" i="5"/>
  <c r="BI190" i="5"/>
  <c r="BH190" i="5"/>
  <c r="BG190" i="5"/>
  <c r="BF190" i="5"/>
  <c r="BE190" i="5"/>
  <c r="T190" i="5"/>
  <c r="R190" i="5"/>
  <c r="P190" i="5"/>
  <c r="J190" i="5"/>
  <c r="BK189" i="5"/>
  <c r="BI189" i="5"/>
  <c r="BH189" i="5"/>
  <c r="BG189" i="5"/>
  <c r="BF189" i="5"/>
  <c r="BE189" i="5"/>
  <c r="T189" i="5"/>
  <c r="R189" i="5"/>
  <c r="P189" i="5"/>
  <c r="J189" i="5"/>
  <c r="BK188" i="5"/>
  <c r="BI188" i="5"/>
  <c r="BH188" i="5"/>
  <c r="BG188" i="5"/>
  <c r="BF188" i="5"/>
  <c r="BE188" i="5"/>
  <c r="T188" i="5"/>
  <c r="R188" i="5"/>
  <c r="P188" i="5"/>
  <c r="J188" i="5"/>
  <c r="BK187" i="5"/>
  <c r="BI187" i="5"/>
  <c r="BH187" i="5"/>
  <c r="BG187" i="5"/>
  <c r="BF187" i="5"/>
  <c r="BE187" i="5"/>
  <c r="T187" i="5"/>
  <c r="R187" i="5"/>
  <c r="P187" i="5"/>
  <c r="J187" i="5"/>
  <c r="BK186" i="5"/>
  <c r="BI186" i="5"/>
  <c r="BH186" i="5"/>
  <c r="BG186" i="5"/>
  <c r="BF186" i="5"/>
  <c r="BE186" i="5"/>
  <c r="T186" i="5"/>
  <c r="R186" i="5"/>
  <c r="P186" i="5"/>
  <c r="J186" i="5"/>
  <c r="BK185" i="5"/>
  <c r="BI185" i="5"/>
  <c r="BH185" i="5"/>
  <c r="BG185" i="5"/>
  <c r="BF185" i="5"/>
  <c r="BE185" i="5"/>
  <c r="T185" i="5"/>
  <c r="R185" i="5"/>
  <c r="P185" i="5"/>
  <c r="J185" i="5"/>
  <c r="BK184" i="5"/>
  <c r="BI184" i="5"/>
  <c r="BH184" i="5"/>
  <c r="BG184" i="5"/>
  <c r="BF184" i="5"/>
  <c r="BE184" i="5"/>
  <c r="T184" i="5"/>
  <c r="R184" i="5"/>
  <c r="P184" i="5"/>
  <c r="J184" i="5"/>
  <c r="BK183" i="5"/>
  <c r="BI183" i="5"/>
  <c r="BH183" i="5"/>
  <c r="BG183" i="5"/>
  <c r="BF183" i="5"/>
  <c r="BE183" i="5"/>
  <c r="T183" i="5"/>
  <c r="R183" i="5"/>
  <c r="P183" i="5"/>
  <c r="J183" i="5"/>
  <c r="BK182" i="5"/>
  <c r="BI182" i="5"/>
  <c r="BH182" i="5"/>
  <c r="BG182" i="5"/>
  <c r="BF182" i="5"/>
  <c r="BE182" i="5"/>
  <c r="T182" i="5"/>
  <c r="R182" i="5"/>
  <c r="P182" i="5"/>
  <c r="J182" i="5"/>
  <c r="BK181" i="5"/>
  <c r="BI181" i="5"/>
  <c r="BH181" i="5"/>
  <c r="BG181" i="5"/>
  <c r="BF181" i="5"/>
  <c r="BE181" i="5"/>
  <c r="T181" i="5"/>
  <c r="R181" i="5"/>
  <c r="P181" i="5"/>
  <c r="J181" i="5"/>
  <c r="BK180" i="5"/>
  <c r="BI180" i="5"/>
  <c r="BH180" i="5"/>
  <c r="BG180" i="5"/>
  <c r="BF180" i="5"/>
  <c r="BE180" i="5"/>
  <c r="T180" i="5"/>
  <c r="R180" i="5"/>
  <c r="P180" i="5"/>
  <c r="J180" i="5"/>
  <c r="BK179" i="5"/>
  <c r="BI179" i="5"/>
  <c r="BH179" i="5"/>
  <c r="BG179" i="5"/>
  <c r="BF179" i="5"/>
  <c r="BE179" i="5"/>
  <c r="T179" i="5"/>
  <c r="R179" i="5"/>
  <c r="P179" i="5"/>
  <c r="J179" i="5"/>
  <c r="BK178" i="5"/>
  <c r="BI178" i="5"/>
  <c r="BH178" i="5"/>
  <c r="BG178" i="5"/>
  <c r="BF178" i="5"/>
  <c r="BE178" i="5"/>
  <c r="T178" i="5"/>
  <c r="R178" i="5"/>
  <c r="P178" i="5"/>
  <c r="J178" i="5"/>
  <c r="BK177" i="5"/>
  <c r="BI177" i="5"/>
  <c r="BH177" i="5"/>
  <c r="BG177" i="5"/>
  <c r="BF177" i="5"/>
  <c r="BE177" i="5"/>
  <c r="T177" i="5"/>
  <c r="R177" i="5"/>
  <c r="P177" i="5"/>
  <c r="J177" i="5"/>
  <c r="BK176" i="5"/>
  <c r="BI176" i="5"/>
  <c r="BH176" i="5"/>
  <c r="BG176" i="5"/>
  <c r="BF176" i="5"/>
  <c r="BE176" i="5"/>
  <c r="T176" i="5"/>
  <c r="R176" i="5"/>
  <c r="P176" i="5"/>
  <c r="J176" i="5"/>
  <c r="BK175" i="5"/>
  <c r="BI175" i="5"/>
  <c r="BH175" i="5"/>
  <c r="BG175" i="5"/>
  <c r="BF175" i="5"/>
  <c r="BE175" i="5"/>
  <c r="T175" i="5"/>
  <c r="R175" i="5"/>
  <c r="P175" i="5"/>
  <c r="J175" i="5"/>
  <c r="BK174" i="5"/>
  <c r="BI174" i="5"/>
  <c r="BH174" i="5"/>
  <c r="BG174" i="5"/>
  <c r="BF174" i="5"/>
  <c r="BE174" i="5"/>
  <c r="T174" i="5"/>
  <c r="R174" i="5"/>
  <c r="P174" i="5"/>
  <c r="J174" i="5"/>
  <c r="BK173" i="5"/>
  <c r="BI173" i="5"/>
  <c r="BH173" i="5"/>
  <c r="BG173" i="5"/>
  <c r="BF173" i="5"/>
  <c r="BE173" i="5"/>
  <c r="T173" i="5"/>
  <c r="R173" i="5"/>
  <c r="P173" i="5"/>
  <c r="J173" i="5"/>
  <c r="BK172" i="5"/>
  <c r="BI172" i="5"/>
  <c r="BH172" i="5"/>
  <c r="BG172" i="5"/>
  <c r="BF172" i="5"/>
  <c r="BE172" i="5"/>
  <c r="T172" i="5"/>
  <c r="R172" i="5"/>
  <c r="P172" i="5"/>
  <c r="J172" i="5"/>
  <c r="BK171" i="5"/>
  <c r="BI171" i="5"/>
  <c r="BH171" i="5"/>
  <c r="BG171" i="5"/>
  <c r="BF171" i="5"/>
  <c r="BE171" i="5"/>
  <c r="T171" i="5"/>
  <c r="R171" i="5"/>
  <c r="P171" i="5"/>
  <c r="J171" i="5"/>
  <c r="BK170" i="5"/>
  <c r="BI170" i="5"/>
  <c r="BH170" i="5"/>
  <c r="BG170" i="5"/>
  <c r="BF170" i="5"/>
  <c r="BE170" i="5"/>
  <c r="T170" i="5"/>
  <c r="R170" i="5"/>
  <c r="P170" i="5"/>
  <c r="J170" i="5"/>
  <c r="BK169" i="5"/>
  <c r="BI169" i="5"/>
  <c r="BH169" i="5"/>
  <c r="BG169" i="5"/>
  <c r="BF169" i="5"/>
  <c r="BE169" i="5"/>
  <c r="T169" i="5"/>
  <c r="R169" i="5"/>
  <c r="P169" i="5"/>
  <c r="J169" i="5"/>
  <c r="BK168" i="5"/>
  <c r="BI168" i="5"/>
  <c r="BH168" i="5"/>
  <c r="BG168" i="5"/>
  <c r="BF168" i="5"/>
  <c r="BE168" i="5"/>
  <c r="T168" i="5"/>
  <c r="R168" i="5"/>
  <c r="P168" i="5"/>
  <c r="J168" i="5"/>
  <c r="BK167" i="5"/>
  <c r="BI167" i="5"/>
  <c r="BH167" i="5"/>
  <c r="BG167" i="5"/>
  <c r="BF167" i="5"/>
  <c r="BE167" i="5"/>
  <c r="T167" i="5"/>
  <c r="R167" i="5"/>
  <c r="P167" i="5"/>
  <c r="J167" i="5"/>
  <c r="BK166" i="5"/>
  <c r="BI166" i="5"/>
  <c r="BH166" i="5"/>
  <c r="BG166" i="5"/>
  <c r="BF166" i="5"/>
  <c r="BE166" i="5"/>
  <c r="T166" i="5"/>
  <c r="R166" i="5"/>
  <c r="P166" i="5"/>
  <c r="J166" i="5"/>
  <c r="BK165" i="5"/>
  <c r="BI165" i="5"/>
  <c r="BH165" i="5"/>
  <c r="BG165" i="5"/>
  <c r="BF165" i="5"/>
  <c r="BE165" i="5"/>
  <c r="T165" i="5"/>
  <c r="R165" i="5"/>
  <c r="P165" i="5"/>
  <c r="J165" i="5"/>
  <c r="BK164" i="5"/>
  <c r="BI164" i="5"/>
  <c r="BH164" i="5"/>
  <c r="BG164" i="5"/>
  <c r="BF164" i="5"/>
  <c r="BE164" i="5"/>
  <c r="T164" i="5"/>
  <c r="R164" i="5"/>
  <c r="P164" i="5"/>
  <c r="J164" i="5"/>
  <c r="BK163" i="5"/>
  <c r="BI163" i="5"/>
  <c r="BH163" i="5"/>
  <c r="BG163" i="5"/>
  <c r="BF163" i="5"/>
  <c r="BE163" i="5"/>
  <c r="T163" i="5"/>
  <c r="R163" i="5"/>
  <c r="P163" i="5"/>
  <c r="J163" i="5"/>
  <c r="BK162" i="5"/>
  <c r="BI162" i="5"/>
  <c r="BH162" i="5"/>
  <c r="BG162" i="5"/>
  <c r="BF162" i="5"/>
  <c r="BE162" i="5"/>
  <c r="T162" i="5"/>
  <c r="R162" i="5"/>
  <c r="P162" i="5"/>
  <c r="J162" i="5"/>
  <c r="BK161" i="5"/>
  <c r="BI161" i="5"/>
  <c r="BH161" i="5"/>
  <c r="BG161" i="5"/>
  <c r="BF161" i="5"/>
  <c r="BE161" i="5"/>
  <c r="T161" i="5"/>
  <c r="R161" i="5"/>
  <c r="P161" i="5"/>
  <c r="J161" i="5"/>
  <c r="BK160" i="5"/>
  <c r="BI160" i="5"/>
  <c r="BH160" i="5"/>
  <c r="BG160" i="5"/>
  <c r="BF160" i="5"/>
  <c r="BE160" i="5"/>
  <c r="T160" i="5"/>
  <c r="R160" i="5"/>
  <c r="P160" i="5"/>
  <c r="J160" i="5"/>
  <c r="BK159" i="5"/>
  <c r="BI159" i="5"/>
  <c r="BH159" i="5"/>
  <c r="BG159" i="5"/>
  <c r="BF159" i="5"/>
  <c r="BE159" i="5"/>
  <c r="T159" i="5"/>
  <c r="R159" i="5"/>
  <c r="P159" i="5"/>
  <c r="J159" i="5"/>
  <c r="BK158" i="5"/>
  <c r="BI158" i="5"/>
  <c r="BH158" i="5"/>
  <c r="BG158" i="5"/>
  <c r="BF158" i="5"/>
  <c r="BE158" i="5"/>
  <c r="T158" i="5"/>
  <c r="R158" i="5"/>
  <c r="P158" i="5"/>
  <c r="J158" i="5"/>
  <c r="BK157" i="5"/>
  <c r="T157" i="5"/>
  <c r="R157" i="5"/>
  <c r="P157" i="5"/>
  <c r="J157" i="5"/>
  <c r="BK155" i="5"/>
  <c r="BI155" i="5"/>
  <c r="BH155" i="5"/>
  <c r="BG155" i="5"/>
  <c r="BF155" i="5"/>
  <c r="BE155" i="5"/>
  <c r="T155" i="5"/>
  <c r="R155" i="5"/>
  <c r="P155" i="5"/>
  <c r="J155" i="5"/>
  <c r="BK153" i="5"/>
  <c r="BI153" i="5"/>
  <c r="BH153" i="5"/>
  <c r="BG153" i="5"/>
  <c r="BF153" i="5"/>
  <c r="BE153" i="5"/>
  <c r="T153" i="5"/>
  <c r="R153" i="5"/>
  <c r="P153" i="5"/>
  <c r="J153" i="5"/>
  <c r="BK151" i="5"/>
  <c r="BI151" i="5"/>
  <c r="BH151" i="5"/>
  <c r="BG151" i="5"/>
  <c r="BF151" i="5"/>
  <c r="BE151" i="5"/>
  <c r="T151" i="5"/>
  <c r="R151" i="5"/>
  <c r="P151" i="5"/>
  <c r="J151" i="5"/>
  <c r="BK149" i="5"/>
  <c r="BI149" i="5"/>
  <c r="BH149" i="5"/>
  <c r="BG149" i="5"/>
  <c r="BF149" i="5"/>
  <c r="BE149" i="5"/>
  <c r="T149" i="5"/>
  <c r="R149" i="5"/>
  <c r="P149" i="5"/>
  <c r="J149" i="5"/>
  <c r="BK147" i="5"/>
  <c r="BI147" i="5"/>
  <c r="BH147" i="5"/>
  <c r="BG147" i="5"/>
  <c r="BF147" i="5"/>
  <c r="BE147" i="5"/>
  <c r="T147" i="5"/>
  <c r="R147" i="5"/>
  <c r="P147" i="5"/>
  <c r="J147" i="5"/>
  <c r="BK146" i="5"/>
  <c r="T146" i="5"/>
  <c r="R146" i="5"/>
  <c r="P146" i="5"/>
  <c r="J146" i="5"/>
  <c r="BK145" i="5"/>
  <c r="BI145" i="5"/>
  <c r="BH145" i="5"/>
  <c r="BG145" i="5"/>
  <c r="BF145" i="5"/>
  <c r="BE145" i="5"/>
  <c r="T145" i="5"/>
  <c r="R145" i="5"/>
  <c r="P145" i="5"/>
  <c r="J145" i="5"/>
  <c r="BK144" i="5"/>
  <c r="BI144" i="5"/>
  <c r="BH144" i="5"/>
  <c r="BG144" i="5"/>
  <c r="BF144" i="5"/>
  <c r="BE144" i="5"/>
  <c r="T144" i="5"/>
  <c r="R144" i="5"/>
  <c r="P144" i="5"/>
  <c r="J144" i="5"/>
  <c r="BK143" i="5"/>
  <c r="BI143" i="5"/>
  <c r="BH143" i="5"/>
  <c r="BG143" i="5"/>
  <c r="BF143" i="5"/>
  <c r="BE143" i="5"/>
  <c r="T143" i="5"/>
  <c r="R143" i="5"/>
  <c r="P143" i="5"/>
  <c r="J143" i="5"/>
  <c r="BK142" i="5"/>
  <c r="BI142" i="5"/>
  <c r="BH142" i="5"/>
  <c r="BG142" i="5"/>
  <c r="BF142" i="5"/>
  <c r="BE142" i="5"/>
  <c r="T142" i="5"/>
  <c r="R142" i="5"/>
  <c r="P142" i="5"/>
  <c r="J142" i="5"/>
  <c r="BK141" i="5"/>
  <c r="BI141" i="5"/>
  <c r="BH141" i="5"/>
  <c r="BG141" i="5"/>
  <c r="BF141" i="5"/>
  <c r="BE141" i="5"/>
  <c r="T141" i="5"/>
  <c r="R141" i="5"/>
  <c r="P141" i="5"/>
  <c r="J141" i="5"/>
  <c r="BK140" i="5"/>
  <c r="BI140" i="5"/>
  <c r="BH140" i="5"/>
  <c r="BG140" i="5"/>
  <c r="BF140" i="5"/>
  <c r="BE140" i="5"/>
  <c r="T140" i="5"/>
  <c r="R140" i="5"/>
  <c r="P140" i="5"/>
  <c r="J140" i="5"/>
  <c r="BK139" i="5"/>
  <c r="BI139" i="5"/>
  <c r="BH139" i="5"/>
  <c r="BG139" i="5"/>
  <c r="BF139" i="5"/>
  <c r="BE139" i="5"/>
  <c r="T139" i="5"/>
  <c r="R139" i="5"/>
  <c r="P139" i="5"/>
  <c r="J139" i="5"/>
  <c r="BK138" i="5"/>
  <c r="BI138" i="5"/>
  <c r="BH138" i="5"/>
  <c r="BG138" i="5"/>
  <c r="BF138" i="5"/>
  <c r="BE138" i="5"/>
  <c r="T138" i="5"/>
  <c r="R138" i="5"/>
  <c r="P138" i="5"/>
  <c r="J138" i="5"/>
  <c r="BK137" i="5"/>
  <c r="BI137" i="5"/>
  <c r="BH137" i="5"/>
  <c r="BG137" i="5"/>
  <c r="BF137" i="5"/>
  <c r="BE137" i="5"/>
  <c r="T137" i="5"/>
  <c r="R137" i="5"/>
  <c r="P137" i="5"/>
  <c r="J137" i="5"/>
  <c r="BK136" i="5"/>
  <c r="BI136" i="5"/>
  <c r="BH136" i="5"/>
  <c r="BG136" i="5"/>
  <c r="BF136" i="5"/>
  <c r="BE136" i="5"/>
  <c r="T136" i="5"/>
  <c r="R136" i="5"/>
  <c r="P136" i="5"/>
  <c r="J136" i="5"/>
  <c r="BK135" i="5"/>
  <c r="BI135" i="5"/>
  <c r="BH135" i="5"/>
  <c r="BG135" i="5"/>
  <c r="BF135" i="5"/>
  <c r="BE135" i="5"/>
  <c r="T135" i="5"/>
  <c r="R135" i="5"/>
  <c r="P135" i="5"/>
  <c r="J135" i="5"/>
  <c r="BK134" i="5"/>
  <c r="BI134" i="5"/>
  <c r="BH134" i="5"/>
  <c r="BG134" i="5"/>
  <c r="BF134" i="5"/>
  <c r="BE134" i="5"/>
  <c r="T134" i="5"/>
  <c r="R134" i="5"/>
  <c r="P134" i="5"/>
  <c r="J134" i="5"/>
  <c r="BK133" i="5"/>
  <c r="BI133" i="5"/>
  <c r="BH133" i="5"/>
  <c r="BG133" i="5"/>
  <c r="BF133" i="5"/>
  <c r="BE133" i="5"/>
  <c r="T133" i="5"/>
  <c r="R133" i="5"/>
  <c r="P133" i="5"/>
  <c r="J133" i="5"/>
  <c r="BK132" i="5"/>
  <c r="BI132" i="5"/>
  <c r="BH132" i="5"/>
  <c r="BG132" i="5"/>
  <c r="BF132" i="5"/>
  <c r="BE132" i="5"/>
  <c r="T132" i="5"/>
  <c r="R132" i="5"/>
  <c r="P132" i="5"/>
  <c r="J132" i="5"/>
  <c r="BK131" i="5"/>
  <c r="BI131" i="5"/>
  <c r="BH131" i="5"/>
  <c r="BG131" i="5"/>
  <c r="BF131" i="5"/>
  <c r="BE131" i="5"/>
  <c r="T131" i="5"/>
  <c r="R131" i="5"/>
  <c r="P131" i="5"/>
  <c r="J131" i="5"/>
  <c r="BK130" i="5"/>
  <c r="BI130" i="5"/>
  <c r="BH130" i="5"/>
  <c r="BG130" i="5"/>
  <c r="BF130" i="5"/>
  <c r="BE130" i="5"/>
  <c r="T130" i="5"/>
  <c r="R130" i="5"/>
  <c r="P130" i="5"/>
  <c r="J130" i="5"/>
  <c r="BK129" i="5"/>
  <c r="BI129" i="5"/>
  <c r="BH129" i="5"/>
  <c r="BG129" i="5"/>
  <c r="BF129" i="5"/>
  <c r="BE129" i="5"/>
  <c r="T129" i="5"/>
  <c r="R129" i="5"/>
  <c r="P129" i="5"/>
  <c r="J129" i="5"/>
  <c r="BK128" i="5"/>
  <c r="BI128" i="5"/>
  <c r="BH128" i="5"/>
  <c r="BG128" i="5"/>
  <c r="BF128" i="5"/>
  <c r="BE128" i="5"/>
  <c r="T128" i="5"/>
  <c r="R128" i="5"/>
  <c r="P128" i="5"/>
  <c r="J128" i="5"/>
  <c r="BK127" i="5"/>
  <c r="BI127" i="5"/>
  <c r="BH127" i="5"/>
  <c r="BG127" i="5"/>
  <c r="BF127" i="5"/>
  <c r="BE127" i="5"/>
  <c r="T127" i="5"/>
  <c r="R127" i="5"/>
  <c r="P127" i="5"/>
  <c r="J127" i="5"/>
  <c r="BK126" i="5"/>
  <c r="T126" i="5"/>
  <c r="R126" i="5"/>
  <c r="P126" i="5"/>
  <c r="J126" i="5"/>
  <c r="BK125" i="5"/>
  <c r="T125" i="5"/>
  <c r="R125" i="5"/>
  <c r="P125" i="5"/>
  <c r="J125" i="5"/>
  <c r="BK124" i="5"/>
  <c r="T124" i="5"/>
  <c r="R124" i="5"/>
  <c r="P124" i="5"/>
  <c r="J124" i="5"/>
  <c r="J121" i="5"/>
  <c r="F121" i="5"/>
  <c r="J120" i="5"/>
  <c r="F120" i="5"/>
  <c r="J118" i="5"/>
  <c r="F118" i="5"/>
  <c r="E116" i="5"/>
  <c r="E112" i="5"/>
  <c r="J102" i="5"/>
  <c r="J101" i="5"/>
  <c r="J100" i="5"/>
  <c r="J99" i="5"/>
  <c r="J98" i="5"/>
  <c r="J94" i="5"/>
  <c r="F94" i="5"/>
  <c r="J93" i="5"/>
  <c r="F93" i="5"/>
  <c r="J91" i="5"/>
  <c r="F91" i="5"/>
  <c r="E89" i="5"/>
  <c r="E85" i="5"/>
  <c r="J41" i="5"/>
  <c r="J39" i="5"/>
  <c r="F39" i="5"/>
  <c r="J38" i="5"/>
  <c r="F38" i="5"/>
  <c r="J37" i="5"/>
  <c r="F37" i="5"/>
  <c r="J36" i="5"/>
  <c r="F36" i="5"/>
  <c r="J35" i="5"/>
  <c r="F35" i="5"/>
  <c r="J32" i="5"/>
  <c r="J20" i="5"/>
  <c r="E20" i="5"/>
  <c r="J19" i="5"/>
  <c r="J14" i="5"/>
  <c r="E7" i="5"/>
  <c r="BK191" i="4"/>
  <c r="BI191" i="4"/>
  <c r="BH191" i="4"/>
  <c r="BG191" i="4"/>
  <c r="BF191" i="4"/>
  <c r="BE191" i="4"/>
  <c r="T191" i="4"/>
  <c r="R191" i="4"/>
  <c r="P191" i="4"/>
  <c r="J191" i="4"/>
  <c r="BK190" i="4"/>
  <c r="T190" i="4"/>
  <c r="R190" i="4"/>
  <c r="P190" i="4"/>
  <c r="J190" i="4"/>
  <c r="BK189" i="4"/>
  <c r="BI189" i="4"/>
  <c r="BH189" i="4"/>
  <c r="BG189" i="4"/>
  <c r="BF189" i="4"/>
  <c r="BE189" i="4"/>
  <c r="T189" i="4"/>
  <c r="R189" i="4"/>
  <c r="P189" i="4"/>
  <c r="J189" i="4"/>
  <c r="BK188" i="4"/>
  <c r="BI188" i="4"/>
  <c r="BH188" i="4"/>
  <c r="BG188" i="4"/>
  <c r="BF188" i="4"/>
  <c r="BE188" i="4"/>
  <c r="T188" i="4"/>
  <c r="R188" i="4"/>
  <c r="P188" i="4"/>
  <c r="J188" i="4"/>
  <c r="BK187" i="4"/>
  <c r="BI187" i="4"/>
  <c r="BH187" i="4"/>
  <c r="BG187" i="4"/>
  <c r="BF187" i="4"/>
  <c r="BE187" i="4"/>
  <c r="T187" i="4"/>
  <c r="R187" i="4"/>
  <c r="P187" i="4"/>
  <c r="J187" i="4"/>
  <c r="BK186" i="4"/>
  <c r="BI186" i="4"/>
  <c r="BH186" i="4"/>
  <c r="BG186" i="4"/>
  <c r="BF186" i="4"/>
  <c r="BE186" i="4"/>
  <c r="T186" i="4"/>
  <c r="R186" i="4"/>
  <c r="P186" i="4"/>
  <c r="J186" i="4"/>
  <c r="BK185" i="4"/>
  <c r="BI185" i="4"/>
  <c r="BH185" i="4"/>
  <c r="BG185" i="4"/>
  <c r="BF185" i="4"/>
  <c r="BE185" i="4"/>
  <c r="T185" i="4"/>
  <c r="R185" i="4"/>
  <c r="P185" i="4"/>
  <c r="J185" i="4"/>
  <c r="BK184" i="4"/>
  <c r="BI184" i="4"/>
  <c r="BH184" i="4"/>
  <c r="BG184" i="4"/>
  <c r="BF184" i="4"/>
  <c r="BE184" i="4"/>
  <c r="T184" i="4"/>
  <c r="R184" i="4"/>
  <c r="P184" i="4"/>
  <c r="J184" i="4"/>
  <c r="BK183" i="4"/>
  <c r="BI183" i="4"/>
  <c r="BH183" i="4"/>
  <c r="BG183" i="4"/>
  <c r="BF183" i="4"/>
  <c r="BE183" i="4"/>
  <c r="T183" i="4"/>
  <c r="R183" i="4"/>
  <c r="P183" i="4"/>
  <c r="J183" i="4"/>
  <c r="BK182" i="4"/>
  <c r="BI182" i="4"/>
  <c r="BH182" i="4"/>
  <c r="BG182" i="4"/>
  <c r="BF182" i="4"/>
  <c r="BE182" i="4"/>
  <c r="T182" i="4"/>
  <c r="R182" i="4"/>
  <c r="P182" i="4"/>
  <c r="J182" i="4"/>
  <c r="BK181" i="4"/>
  <c r="BI181" i="4"/>
  <c r="BH181" i="4"/>
  <c r="BG181" i="4"/>
  <c r="BF181" i="4"/>
  <c r="BE181" i="4"/>
  <c r="T181" i="4"/>
  <c r="R181" i="4"/>
  <c r="P181" i="4"/>
  <c r="J181" i="4"/>
  <c r="BK180" i="4"/>
  <c r="T180" i="4"/>
  <c r="R180" i="4"/>
  <c r="P180" i="4"/>
  <c r="J180" i="4"/>
  <c r="BK179" i="4"/>
  <c r="BI179" i="4"/>
  <c r="BH179" i="4"/>
  <c r="BG179" i="4"/>
  <c r="BF179" i="4"/>
  <c r="BE179" i="4"/>
  <c r="T179" i="4"/>
  <c r="R179" i="4"/>
  <c r="P179" i="4"/>
  <c r="J179" i="4"/>
  <c r="BK178" i="4"/>
  <c r="BI178" i="4"/>
  <c r="BH178" i="4"/>
  <c r="BG178" i="4"/>
  <c r="BF178" i="4"/>
  <c r="BE178" i="4"/>
  <c r="T178" i="4"/>
  <c r="R178" i="4"/>
  <c r="P178" i="4"/>
  <c r="J178" i="4"/>
  <c r="BK177" i="4"/>
  <c r="BI177" i="4"/>
  <c r="BH177" i="4"/>
  <c r="BG177" i="4"/>
  <c r="BF177" i="4"/>
  <c r="BE177" i="4"/>
  <c r="T177" i="4"/>
  <c r="R177" i="4"/>
  <c r="P177" i="4"/>
  <c r="J177" i="4"/>
  <c r="BK176" i="4"/>
  <c r="BI176" i="4"/>
  <c r="BH176" i="4"/>
  <c r="BG176" i="4"/>
  <c r="BF176" i="4"/>
  <c r="BE176" i="4"/>
  <c r="T176" i="4"/>
  <c r="R176" i="4"/>
  <c r="P176" i="4"/>
  <c r="J176" i="4"/>
  <c r="BK175" i="4"/>
  <c r="T175" i="4"/>
  <c r="R175" i="4"/>
  <c r="P175" i="4"/>
  <c r="J175" i="4"/>
  <c r="BK174" i="4"/>
  <c r="BI174" i="4"/>
  <c r="BH174" i="4"/>
  <c r="BG174" i="4"/>
  <c r="BF174" i="4"/>
  <c r="BE174" i="4"/>
  <c r="T174" i="4"/>
  <c r="R174" i="4"/>
  <c r="P174" i="4"/>
  <c r="J174" i="4"/>
  <c r="BK173" i="4"/>
  <c r="BI173" i="4"/>
  <c r="BH173" i="4"/>
  <c r="BG173" i="4"/>
  <c r="BF173" i="4"/>
  <c r="BE173" i="4"/>
  <c r="T173" i="4"/>
  <c r="R173" i="4"/>
  <c r="P173" i="4"/>
  <c r="J173" i="4"/>
  <c r="BK172" i="4"/>
  <c r="BI172" i="4"/>
  <c r="BH172" i="4"/>
  <c r="BG172" i="4"/>
  <c r="BF172" i="4"/>
  <c r="BE172" i="4"/>
  <c r="T172" i="4"/>
  <c r="R172" i="4"/>
  <c r="P172" i="4"/>
  <c r="J172" i="4"/>
  <c r="BK171" i="4"/>
  <c r="BI171" i="4"/>
  <c r="BH171" i="4"/>
  <c r="BG171" i="4"/>
  <c r="BF171" i="4"/>
  <c r="BE171" i="4"/>
  <c r="T171" i="4"/>
  <c r="R171" i="4"/>
  <c r="P171" i="4"/>
  <c r="J171" i="4"/>
  <c r="BK170" i="4"/>
  <c r="T170" i="4"/>
  <c r="R170" i="4"/>
  <c r="P170" i="4"/>
  <c r="J170" i="4"/>
  <c r="BK169" i="4"/>
  <c r="BI169" i="4"/>
  <c r="BH169" i="4"/>
  <c r="BG169" i="4"/>
  <c r="BF169" i="4"/>
  <c r="BE169" i="4"/>
  <c r="T169" i="4"/>
  <c r="R169" i="4"/>
  <c r="P169" i="4"/>
  <c r="J169" i="4"/>
  <c r="BK168" i="4"/>
  <c r="BI168" i="4"/>
  <c r="BH168" i="4"/>
  <c r="BG168" i="4"/>
  <c r="BF168" i="4"/>
  <c r="BE168" i="4"/>
  <c r="T168" i="4"/>
  <c r="R168" i="4"/>
  <c r="P168" i="4"/>
  <c r="J168" i="4"/>
  <c r="BK167" i="4"/>
  <c r="BI167" i="4"/>
  <c r="BH167" i="4"/>
  <c r="BG167" i="4"/>
  <c r="BF167" i="4"/>
  <c r="BE167" i="4"/>
  <c r="T167" i="4"/>
  <c r="R167" i="4"/>
  <c r="P167" i="4"/>
  <c r="J167" i="4"/>
  <c r="BK166" i="4"/>
  <c r="BI166" i="4"/>
  <c r="BH166" i="4"/>
  <c r="BG166" i="4"/>
  <c r="BF166" i="4"/>
  <c r="BE166" i="4"/>
  <c r="T166" i="4"/>
  <c r="R166" i="4"/>
  <c r="P166" i="4"/>
  <c r="J166" i="4"/>
  <c r="BK165" i="4"/>
  <c r="T165" i="4"/>
  <c r="R165" i="4"/>
  <c r="P165" i="4"/>
  <c r="J165" i="4"/>
  <c r="BK164" i="4"/>
  <c r="BI164" i="4"/>
  <c r="BH164" i="4"/>
  <c r="BG164" i="4"/>
  <c r="BF164" i="4"/>
  <c r="BE164" i="4"/>
  <c r="T164" i="4"/>
  <c r="R164" i="4"/>
  <c r="P164" i="4"/>
  <c r="J164" i="4"/>
  <c r="BK163" i="4"/>
  <c r="BI163" i="4"/>
  <c r="BH163" i="4"/>
  <c r="BG163" i="4"/>
  <c r="BF163" i="4"/>
  <c r="BE163" i="4"/>
  <c r="T163" i="4"/>
  <c r="R163" i="4"/>
  <c r="P163" i="4"/>
  <c r="J163" i="4"/>
  <c r="BK162" i="4"/>
  <c r="BI162" i="4"/>
  <c r="BH162" i="4"/>
  <c r="BG162" i="4"/>
  <c r="BF162" i="4"/>
  <c r="BE162" i="4"/>
  <c r="T162" i="4"/>
  <c r="R162" i="4"/>
  <c r="P162" i="4"/>
  <c r="J162" i="4"/>
  <c r="BK161" i="4"/>
  <c r="BI161" i="4"/>
  <c r="BH161" i="4"/>
  <c r="BG161" i="4"/>
  <c r="BF161" i="4"/>
  <c r="BE161" i="4"/>
  <c r="T161" i="4"/>
  <c r="R161" i="4"/>
  <c r="P161" i="4"/>
  <c r="J161" i="4"/>
  <c r="BK160" i="4"/>
  <c r="BI160" i="4"/>
  <c r="BH160" i="4"/>
  <c r="BG160" i="4"/>
  <c r="BF160" i="4"/>
  <c r="BE160" i="4"/>
  <c r="T160" i="4"/>
  <c r="R160" i="4"/>
  <c r="P160" i="4"/>
  <c r="J160" i="4"/>
  <c r="BK159" i="4"/>
  <c r="BI159" i="4"/>
  <c r="BH159" i="4"/>
  <c r="BG159" i="4"/>
  <c r="BF159" i="4"/>
  <c r="BE159" i="4"/>
  <c r="T159" i="4"/>
  <c r="R159" i="4"/>
  <c r="P159" i="4"/>
  <c r="J159" i="4"/>
  <c r="BK158" i="4"/>
  <c r="BI158" i="4"/>
  <c r="BH158" i="4"/>
  <c r="BG158" i="4"/>
  <c r="BF158" i="4"/>
  <c r="BE158" i="4"/>
  <c r="T158" i="4"/>
  <c r="R158" i="4"/>
  <c r="P158" i="4"/>
  <c r="J158" i="4"/>
  <c r="BK157" i="4"/>
  <c r="BI157" i="4"/>
  <c r="BH157" i="4"/>
  <c r="BG157" i="4"/>
  <c r="BF157" i="4"/>
  <c r="BE157" i="4"/>
  <c r="T157" i="4"/>
  <c r="R157" i="4"/>
  <c r="P157" i="4"/>
  <c r="J157" i="4"/>
  <c r="BK156" i="4"/>
  <c r="BI156" i="4"/>
  <c r="BH156" i="4"/>
  <c r="BG156" i="4"/>
  <c r="BF156" i="4"/>
  <c r="BE156" i="4"/>
  <c r="T156" i="4"/>
  <c r="R156" i="4"/>
  <c r="P156" i="4"/>
  <c r="J156" i="4"/>
  <c r="BK155" i="4"/>
  <c r="BI155" i="4"/>
  <c r="BH155" i="4"/>
  <c r="BG155" i="4"/>
  <c r="BF155" i="4"/>
  <c r="BE155" i="4"/>
  <c r="T155" i="4"/>
  <c r="R155" i="4"/>
  <c r="P155" i="4"/>
  <c r="J155" i="4"/>
  <c r="BK154" i="4"/>
  <c r="BI154" i="4"/>
  <c r="BH154" i="4"/>
  <c r="BG154" i="4"/>
  <c r="BF154" i="4"/>
  <c r="BE154" i="4"/>
  <c r="T154" i="4"/>
  <c r="R154" i="4"/>
  <c r="P154" i="4"/>
  <c r="J154" i="4"/>
  <c r="BK153" i="4"/>
  <c r="BI153" i="4"/>
  <c r="BH153" i="4"/>
  <c r="BG153" i="4"/>
  <c r="BF153" i="4"/>
  <c r="BE153" i="4"/>
  <c r="T153" i="4"/>
  <c r="R153" i="4"/>
  <c r="P153" i="4"/>
  <c r="J153" i="4"/>
  <c r="BK152" i="4"/>
  <c r="BI152" i="4"/>
  <c r="BH152" i="4"/>
  <c r="BG152" i="4"/>
  <c r="BF152" i="4"/>
  <c r="BE152" i="4"/>
  <c r="T152" i="4"/>
  <c r="R152" i="4"/>
  <c r="P152" i="4"/>
  <c r="J152" i="4"/>
  <c r="BK151" i="4"/>
  <c r="T151" i="4"/>
  <c r="R151" i="4"/>
  <c r="P151" i="4"/>
  <c r="J151" i="4"/>
  <c r="BK150" i="4"/>
  <c r="BI150" i="4"/>
  <c r="BH150" i="4"/>
  <c r="BG150" i="4"/>
  <c r="BF150" i="4"/>
  <c r="BE150" i="4"/>
  <c r="T150" i="4"/>
  <c r="R150" i="4"/>
  <c r="P150" i="4"/>
  <c r="J150" i="4"/>
  <c r="BK149" i="4"/>
  <c r="BI149" i="4"/>
  <c r="BH149" i="4"/>
  <c r="BG149" i="4"/>
  <c r="BF149" i="4"/>
  <c r="BE149" i="4"/>
  <c r="T149" i="4"/>
  <c r="R149" i="4"/>
  <c r="P149" i="4"/>
  <c r="J149" i="4"/>
  <c r="BK148" i="4"/>
  <c r="BI148" i="4"/>
  <c r="BH148" i="4"/>
  <c r="BG148" i="4"/>
  <c r="BF148" i="4"/>
  <c r="BE148" i="4"/>
  <c r="T148" i="4"/>
  <c r="R148" i="4"/>
  <c r="P148" i="4"/>
  <c r="J148" i="4"/>
  <c r="BK147" i="4"/>
  <c r="T147" i="4"/>
  <c r="R147" i="4"/>
  <c r="P147" i="4"/>
  <c r="J147" i="4"/>
  <c r="BK146" i="4"/>
  <c r="BI146" i="4"/>
  <c r="BH146" i="4"/>
  <c r="BG146" i="4"/>
  <c r="BF146" i="4"/>
  <c r="BE146" i="4"/>
  <c r="T146" i="4"/>
  <c r="R146" i="4"/>
  <c r="P146" i="4"/>
  <c r="J146" i="4"/>
  <c r="BK145" i="4"/>
  <c r="BI145" i="4"/>
  <c r="BH145" i="4"/>
  <c r="BG145" i="4"/>
  <c r="BF145" i="4"/>
  <c r="BE145" i="4"/>
  <c r="T145" i="4"/>
  <c r="R145" i="4"/>
  <c r="P145" i="4"/>
  <c r="J145" i="4"/>
  <c r="BK144" i="4"/>
  <c r="BI144" i="4"/>
  <c r="BH144" i="4"/>
  <c r="BG144" i="4"/>
  <c r="BF144" i="4"/>
  <c r="BE144" i="4"/>
  <c r="T144" i="4"/>
  <c r="R144" i="4"/>
  <c r="P144" i="4"/>
  <c r="J144" i="4"/>
  <c r="BK143" i="4"/>
  <c r="BI143" i="4"/>
  <c r="BH143" i="4"/>
  <c r="BG143" i="4"/>
  <c r="BF143" i="4"/>
  <c r="BE143" i="4"/>
  <c r="T143" i="4"/>
  <c r="R143" i="4"/>
  <c r="P143" i="4"/>
  <c r="J143" i="4"/>
  <c r="BK142" i="4"/>
  <c r="BI142" i="4"/>
  <c r="BH142" i="4"/>
  <c r="BG142" i="4"/>
  <c r="BF142" i="4"/>
  <c r="BE142" i="4"/>
  <c r="T142" i="4"/>
  <c r="R142" i="4"/>
  <c r="P142" i="4"/>
  <c r="J142" i="4"/>
  <c r="BK141" i="4"/>
  <c r="BI141" i="4"/>
  <c r="BH141" i="4"/>
  <c r="BG141" i="4"/>
  <c r="BF141" i="4"/>
  <c r="BE141" i="4"/>
  <c r="T141" i="4"/>
  <c r="R141" i="4"/>
  <c r="P141" i="4"/>
  <c r="J141" i="4"/>
  <c r="BK140" i="4"/>
  <c r="BI140" i="4"/>
  <c r="BH140" i="4"/>
  <c r="BG140" i="4"/>
  <c r="BF140" i="4"/>
  <c r="BE140" i="4"/>
  <c r="T140" i="4"/>
  <c r="R140" i="4"/>
  <c r="P140" i="4"/>
  <c r="J140" i="4"/>
  <c r="BK139" i="4"/>
  <c r="BI139" i="4"/>
  <c r="BH139" i="4"/>
  <c r="BG139" i="4"/>
  <c r="BF139" i="4"/>
  <c r="BE139" i="4"/>
  <c r="T139" i="4"/>
  <c r="R139" i="4"/>
  <c r="P139" i="4"/>
  <c r="J139" i="4"/>
  <c r="BK138" i="4"/>
  <c r="BI138" i="4"/>
  <c r="BH138" i="4"/>
  <c r="BG138" i="4"/>
  <c r="BF138" i="4"/>
  <c r="BE138" i="4"/>
  <c r="T138" i="4"/>
  <c r="R138" i="4"/>
  <c r="P138" i="4"/>
  <c r="J138" i="4"/>
  <c r="BK137" i="4"/>
  <c r="T137" i="4"/>
  <c r="R137" i="4"/>
  <c r="P137" i="4"/>
  <c r="J137" i="4"/>
  <c r="BK136" i="4"/>
  <c r="BI136" i="4"/>
  <c r="BH136" i="4"/>
  <c r="BG136" i="4"/>
  <c r="BF136" i="4"/>
  <c r="BE136" i="4"/>
  <c r="T136" i="4"/>
  <c r="R136" i="4"/>
  <c r="P136" i="4"/>
  <c r="J136" i="4"/>
  <c r="BK135" i="4"/>
  <c r="BI135" i="4"/>
  <c r="BH135" i="4"/>
  <c r="BG135" i="4"/>
  <c r="BF135" i="4"/>
  <c r="BE135" i="4"/>
  <c r="T135" i="4"/>
  <c r="R135" i="4"/>
  <c r="P135" i="4"/>
  <c r="J135" i="4"/>
  <c r="BK134" i="4"/>
  <c r="BI134" i="4"/>
  <c r="BH134" i="4"/>
  <c r="BG134" i="4"/>
  <c r="BF134" i="4"/>
  <c r="BE134" i="4"/>
  <c r="T134" i="4"/>
  <c r="R134" i="4"/>
  <c r="P134" i="4"/>
  <c r="J134" i="4"/>
  <c r="BK133" i="4"/>
  <c r="BI133" i="4"/>
  <c r="BH133" i="4"/>
  <c r="BG133" i="4"/>
  <c r="BF133" i="4"/>
  <c r="BE133" i="4"/>
  <c r="T133" i="4"/>
  <c r="R133" i="4"/>
  <c r="P133" i="4"/>
  <c r="J133" i="4"/>
  <c r="BK132" i="4"/>
  <c r="T132" i="4"/>
  <c r="R132" i="4"/>
  <c r="P132" i="4"/>
  <c r="J132" i="4"/>
  <c r="BK131" i="4"/>
  <c r="T131" i="4"/>
  <c r="R131" i="4"/>
  <c r="P131" i="4"/>
  <c r="J131" i="4"/>
  <c r="BK130" i="4"/>
  <c r="T130" i="4"/>
  <c r="R130" i="4"/>
  <c r="P130" i="4"/>
  <c r="J130" i="4"/>
  <c r="J127" i="4"/>
  <c r="F127" i="4"/>
  <c r="J126" i="4"/>
  <c r="F126" i="4"/>
  <c r="J124" i="4"/>
  <c r="F124" i="4"/>
  <c r="E122" i="4"/>
  <c r="E118" i="4"/>
  <c r="J108" i="4"/>
  <c r="J107" i="4"/>
  <c r="J106" i="4"/>
  <c r="J105" i="4"/>
  <c r="J104" i="4"/>
  <c r="J103" i="4"/>
  <c r="J102" i="4"/>
  <c r="J101" i="4"/>
  <c r="J100" i="4"/>
  <c r="J99" i="4"/>
  <c r="J98" i="4"/>
  <c r="J94" i="4"/>
  <c r="F94" i="4"/>
  <c r="J93" i="4"/>
  <c r="F93" i="4"/>
  <c r="J91" i="4"/>
  <c r="F91" i="4"/>
  <c r="E89" i="4"/>
  <c r="E85" i="4"/>
  <c r="J41" i="4"/>
  <c r="J39" i="4"/>
  <c r="F39" i="4"/>
  <c r="J38" i="4"/>
  <c r="F38" i="4"/>
  <c r="J37" i="4"/>
  <c r="F37" i="4"/>
  <c r="J36" i="4"/>
  <c r="F36" i="4"/>
  <c r="J35" i="4"/>
  <c r="F35" i="4"/>
  <c r="J32" i="4"/>
  <c r="J20" i="4"/>
  <c r="E20" i="4"/>
  <c r="J19" i="4"/>
  <c r="J14" i="4"/>
  <c r="E7" i="4"/>
  <c r="BK2646" i="3"/>
  <c r="BI2646" i="3"/>
  <c r="BH2646" i="3"/>
  <c r="BG2646" i="3"/>
  <c r="BF2646" i="3"/>
  <c r="BE2646" i="3"/>
  <c r="T2646" i="3"/>
  <c r="R2646" i="3"/>
  <c r="P2646" i="3"/>
  <c r="J2646" i="3"/>
  <c r="BK2633" i="3"/>
  <c r="BI2633" i="3"/>
  <c r="BH2633" i="3"/>
  <c r="BG2633" i="3"/>
  <c r="BF2633" i="3"/>
  <c r="BE2633" i="3"/>
  <c r="T2633" i="3"/>
  <c r="R2633" i="3"/>
  <c r="P2633" i="3"/>
  <c r="J2633" i="3"/>
  <c r="BK2632" i="3"/>
  <c r="T2632" i="3"/>
  <c r="R2632" i="3"/>
  <c r="P2632" i="3"/>
  <c r="J2632" i="3"/>
  <c r="BK2621" i="3"/>
  <c r="BI2621" i="3"/>
  <c r="BH2621" i="3"/>
  <c r="BG2621" i="3"/>
  <c r="BF2621" i="3"/>
  <c r="BE2621" i="3"/>
  <c r="T2621" i="3"/>
  <c r="R2621" i="3"/>
  <c r="P2621" i="3"/>
  <c r="J2621" i="3"/>
  <c r="BK2613" i="3"/>
  <c r="BI2613" i="3"/>
  <c r="BH2613" i="3"/>
  <c r="BG2613" i="3"/>
  <c r="BF2613" i="3"/>
  <c r="BE2613" i="3"/>
  <c r="T2613" i="3"/>
  <c r="R2613" i="3"/>
  <c r="P2613" i="3"/>
  <c r="J2613" i="3"/>
  <c r="BK2607" i="3"/>
  <c r="BI2607" i="3"/>
  <c r="BH2607" i="3"/>
  <c r="BG2607" i="3"/>
  <c r="BF2607" i="3"/>
  <c r="BE2607" i="3"/>
  <c r="T2607" i="3"/>
  <c r="R2607" i="3"/>
  <c r="P2607" i="3"/>
  <c r="J2607" i="3"/>
  <c r="BK2601" i="3"/>
  <c r="BI2601" i="3"/>
  <c r="BH2601" i="3"/>
  <c r="BG2601" i="3"/>
  <c r="BF2601" i="3"/>
  <c r="BE2601" i="3"/>
  <c r="T2601" i="3"/>
  <c r="R2601" i="3"/>
  <c r="P2601" i="3"/>
  <c r="J2601" i="3"/>
  <c r="BK2577" i="3"/>
  <c r="BI2577" i="3"/>
  <c r="BH2577" i="3"/>
  <c r="BG2577" i="3"/>
  <c r="BF2577" i="3"/>
  <c r="BE2577" i="3"/>
  <c r="T2577" i="3"/>
  <c r="R2577" i="3"/>
  <c r="P2577" i="3"/>
  <c r="J2577" i="3"/>
  <c r="BK2571" i="3"/>
  <c r="BI2571" i="3"/>
  <c r="BH2571" i="3"/>
  <c r="BG2571" i="3"/>
  <c r="BF2571" i="3"/>
  <c r="BE2571" i="3"/>
  <c r="T2571" i="3"/>
  <c r="R2571" i="3"/>
  <c r="P2571" i="3"/>
  <c r="J2571" i="3"/>
  <c r="BK2570" i="3"/>
  <c r="T2570" i="3"/>
  <c r="R2570" i="3"/>
  <c r="P2570" i="3"/>
  <c r="J2570" i="3"/>
  <c r="BK2569" i="3"/>
  <c r="BI2569" i="3"/>
  <c r="BH2569" i="3"/>
  <c r="BG2569" i="3"/>
  <c r="BF2569" i="3"/>
  <c r="BE2569" i="3"/>
  <c r="T2569" i="3"/>
  <c r="R2569" i="3"/>
  <c r="P2569" i="3"/>
  <c r="J2569" i="3"/>
  <c r="H2569" i="3"/>
  <c r="BK2567" i="3"/>
  <c r="BI2567" i="3"/>
  <c r="BH2567" i="3"/>
  <c r="BG2567" i="3"/>
  <c r="BF2567" i="3"/>
  <c r="BE2567" i="3"/>
  <c r="T2567" i="3"/>
  <c r="R2567" i="3"/>
  <c r="P2567" i="3"/>
  <c r="J2567" i="3"/>
  <c r="BK2562" i="3"/>
  <c r="BI2562" i="3"/>
  <c r="BH2562" i="3"/>
  <c r="BG2562" i="3"/>
  <c r="BF2562" i="3"/>
  <c r="BE2562" i="3"/>
  <c r="T2562" i="3"/>
  <c r="R2562" i="3"/>
  <c r="P2562" i="3"/>
  <c r="J2562" i="3"/>
  <c r="BK2561" i="3"/>
  <c r="T2561" i="3"/>
  <c r="R2561" i="3"/>
  <c r="P2561" i="3"/>
  <c r="J2561" i="3"/>
  <c r="BK2560" i="3"/>
  <c r="BI2560" i="3"/>
  <c r="BH2560" i="3"/>
  <c r="BG2560" i="3"/>
  <c r="BF2560" i="3"/>
  <c r="BE2560" i="3"/>
  <c r="T2560" i="3"/>
  <c r="R2560" i="3"/>
  <c r="P2560" i="3"/>
  <c r="J2560" i="3"/>
  <c r="H2560" i="3"/>
  <c r="BK2552" i="3"/>
  <c r="BI2552" i="3"/>
  <c r="BH2552" i="3"/>
  <c r="BG2552" i="3"/>
  <c r="BF2552" i="3"/>
  <c r="BE2552" i="3"/>
  <c r="T2552" i="3"/>
  <c r="R2552" i="3"/>
  <c r="P2552" i="3"/>
  <c r="J2552" i="3"/>
  <c r="BK2537" i="3"/>
  <c r="BI2537" i="3"/>
  <c r="BH2537" i="3"/>
  <c r="BG2537" i="3"/>
  <c r="BF2537" i="3"/>
  <c r="BE2537" i="3"/>
  <c r="T2537" i="3"/>
  <c r="R2537" i="3"/>
  <c r="P2537" i="3"/>
  <c r="J2537" i="3"/>
  <c r="BK2519" i="3"/>
  <c r="BI2519" i="3"/>
  <c r="BH2519" i="3"/>
  <c r="BG2519" i="3"/>
  <c r="BF2519" i="3"/>
  <c r="BE2519" i="3"/>
  <c r="T2519" i="3"/>
  <c r="R2519" i="3"/>
  <c r="P2519" i="3"/>
  <c r="J2519" i="3"/>
  <c r="BK2515" i="3"/>
  <c r="BI2515" i="3"/>
  <c r="BH2515" i="3"/>
  <c r="BG2515" i="3"/>
  <c r="BF2515" i="3"/>
  <c r="BE2515" i="3"/>
  <c r="T2515" i="3"/>
  <c r="R2515" i="3"/>
  <c r="P2515" i="3"/>
  <c r="J2515" i="3"/>
  <c r="BK2508" i="3"/>
  <c r="BI2508" i="3"/>
  <c r="BH2508" i="3"/>
  <c r="BG2508" i="3"/>
  <c r="BF2508" i="3"/>
  <c r="BE2508" i="3"/>
  <c r="T2508" i="3"/>
  <c r="R2508" i="3"/>
  <c r="P2508" i="3"/>
  <c r="J2508" i="3"/>
  <c r="BK2506" i="3"/>
  <c r="BI2506" i="3"/>
  <c r="BH2506" i="3"/>
  <c r="BG2506" i="3"/>
  <c r="BF2506" i="3"/>
  <c r="BE2506" i="3"/>
  <c r="T2506" i="3"/>
  <c r="R2506" i="3"/>
  <c r="P2506" i="3"/>
  <c r="J2506" i="3"/>
  <c r="BK2494" i="3"/>
  <c r="BI2494" i="3"/>
  <c r="BH2494" i="3"/>
  <c r="BG2494" i="3"/>
  <c r="BF2494" i="3"/>
  <c r="BE2494" i="3"/>
  <c r="T2494" i="3"/>
  <c r="R2494" i="3"/>
  <c r="P2494" i="3"/>
  <c r="J2494" i="3"/>
  <c r="BK2487" i="3"/>
  <c r="BI2487" i="3"/>
  <c r="BH2487" i="3"/>
  <c r="BG2487" i="3"/>
  <c r="BF2487" i="3"/>
  <c r="BE2487" i="3"/>
  <c r="T2487" i="3"/>
  <c r="R2487" i="3"/>
  <c r="P2487" i="3"/>
  <c r="J2487" i="3"/>
  <c r="BK2486" i="3"/>
  <c r="BI2486" i="3"/>
  <c r="BH2486" i="3"/>
  <c r="BG2486" i="3"/>
  <c r="BF2486" i="3"/>
  <c r="BE2486" i="3"/>
  <c r="T2486" i="3"/>
  <c r="R2486" i="3"/>
  <c r="P2486" i="3"/>
  <c r="J2486" i="3"/>
  <c r="BK2485" i="3"/>
  <c r="BI2485" i="3"/>
  <c r="BH2485" i="3"/>
  <c r="BG2485" i="3"/>
  <c r="BF2485" i="3"/>
  <c r="BE2485" i="3"/>
  <c r="T2485" i="3"/>
  <c r="R2485" i="3"/>
  <c r="P2485" i="3"/>
  <c r="J2485" i="3"/>
  <c r="BK2484" i="3"/>
  <c r="T2484" i="3"/>
  <c r="R2484" i="3"/>
  <c r="P2484" i="3"/>
  <c r="J2484" i="3"/>
  <c r="BK2483" i="3"/>
  <c r="BI2483" i="3"/>
  <c r="BH2483" i="3"/>
  <c r="BG2483" i="3"/>
  <c r="BF2483" i="3"/>
  <c r="BE2483" i="3"/>
  <c r="T2483" i="3"/>
  <c r="R2483" i="3"/>
  <c r="P2483" i="3"/>
  <c r="J2483" i="3"/>
  <c r="H2483" i="3"/>
  <c r="BK2481" i="3"/>
  <c r="BI2481" i="3"/>
  <c r="BH2481" i="3"/>
  <c r="BG2481" i="3"/>
  <c r="BF2481" i="3"/>
  <c r="BE2481" i="3"/>
  <c r="T2481" i="3"/>
  <c r="R2481" i="3"/>
  <c r="P2481" i="3"/>
  <c r="J2481" i="3"/>
  <c r="BK2470" i="3"/>
  <c r="BI2470" i="3"/>
  <c r="BH2470" i="3"/>
  <c r="BG2470" i="3"/>
  <c r="BF2470" i="3"/>
  <c r="BE2470" i="3"/>
  <c r="T2470" i="3"/>
  <c r="R2470" i="3"/>
  <c r="P2470" i="3"/>
  <c r="J2470" i="3"/>
  <c r="BK2459" i="3"/>
  <c r="BI2459" i="3"/>
  <c r="BH2459" i="3"/>
  <c r="BG2459" i="3"/>
  <c r="BF2459" i="3"/>
  <c r="BE2459" i="3"/>
  <c r="T2459" i="3"/>
  <c r="R2459" i="3"/>
  <c r="P2459" i="3"/>
  <c r="J2459" i="3"/>
  <c r="BK2458" i="3"/>
  <c r="T2458" i="3"/>
  <c r="R2458" i="3"/>
  <c r="P2458" i="3"/>
  <c r="J2458" i="3"/>
  <c r="BK2457" i="3"/>
  <c r="BI2457" i="3"/>
  <c r="BH2457" i="3"/>
  <c r="BG2457" i="3"/>
  <c r="BF2457" i="3"/>
  <c r="BE2457" i="3"/>
  <c r="T2457" i="3"/>
  <c r="R2457" i="3"/>
  <c r="P2457" i="3"/>
  <c r="J2457" i="3"/>
  <c r="H2457" i="3"/>
  <c r="BK2454" i="3"/>
  <c r="BI2454" i="3"/>
  <c r="BH2454" i="3"/>
  <c r="BG2454" i="3"/>
  <c r="BF2454" i="3"/>
  <c r="BE2454" i="3"/>
  <c r="T2454" i="3"/>
  <c r="R2454" i="3"/>
  <c r="P2454" i="3"/>
  <c r="J2454" i="3"/>
  <c r="BK2453" i="3"/>
  <c r="T2453" i="3"/>
  <c r="R2453" i="3"/>
  <c r="P2453" i="3"/>
  <c r="J2453" i="3"/>
  <c r="BK2452" i="3"/>
  <c r="BI2452" i="3"/>
  <c r="BH2452" i="3"/>
  <c r="BG2452" i="3"/>
  <c r="BF2452" i="3"/>
  <c r="BE2452" i="3"/>
  <c r="T2452" i="3"/>
  <c r="R2452" i="3"/>
  <c r="P2452" i="3"/>
  <c r="J2452" i="3"/>
  <c r="H2452" i="3"/>
  <c r="BK2447" i="3"/>
  <c r="BI2447" i="3"/>
  <c r="BH2447" i="3"/>
  <c r="BG2447" i="3"/>
  <c r="BF2447" i="3"/>
  <c r="BE2447" i="3"/>
  <c r="T2447" i="3"/>
  <c r="R2447" i="3"/>
  <c r="P2447" i="3"/>
  <c r="J2447" i="3"/>
  <c r="BK2445" i="3"/>
  <c r="BI2445" i="3"/>
  <c r="BH2445" i="3"/>
  <c r="BG2445" i="3"/>
  <c r="BF2445" i="3"/>
  <c r="BE2445" i="3"/>
  <c r="T2445" i="3"/>
  <c r="R2445" i="3"/>
  <c r="P2445" i="3"/>
  <c r="J2445" i="3"/>
  <c r="BK2416" i="3"/>
  <c r="BI2416" i="3"/>
  <c r="BH2416" i="3"/>
  <c r="BG2416" i="3"/>
  <c r="BF2416" i="3"/>
  <c r="BE2416" i="3"/>
  <c r="T2416" i="3"/>
  <c r="R2416" i="3"/>
  <c r="P2416" i="3"/>
  <c r="J2416" i="3"/>
  <c r="BK2414" i="3"/>
  <c r="BI2414" i="3"/>
  <c r="BH2414" i="3"/>
  <c r="BG2414" i="3"/>
  <c r="BF2414" i="3"/>
  <c r="BE2414" i="3"/>
  <c r="T2414" i="3"/>
  <c r="R2414" i="3"/>
  <c r="P2414" i="3"/>
  <c r="J2414" i="3"/>
  <c r="BK2403" i="3"/>
  <c r="BI2403" i="3"/>
  <c r="BH2403" i="3"/>
  <c r="BG2403" i="3"/>
  <c r="BF2403" i="3"/>
  <c r="BE2403" i="3"/>
  <c r="T2403" i="3"/>
  <c r="R2403" i="3"/>
  <c r="P2403" i="3"/>
  <c r="J2403" i="3"/>
  <c r="BK2395" i="3"/>
  <c r="BI2395" i="3"/>
  <c r="BH2395" i="3"/>
  <c r="BG2395" i="3"/>
  <c r="BF2395" i="3"/>
  <c r="BE2395" i="3"/>
  <c r="T2395" i="3"/>
  <c r="R2395" i="3"/>
  <c r="P2395" i="3"/>
  <c r="J2395" i="3"/>
  <c r="BK2388" i="3"/>
  <c r="BI2388" i="3"/>
  <c r="BH2388" i="3"/>
  <c r="BG2388" i="3"/>
  <c r="BF2388" i="3"/>
  <c r="BE2388" i="3"/>
  <c r="T2388" i="3"/>
  <c r="R2388" i="3"/>
  <c r="P2388" i="3"/>
  <c r="J2388" i="3"/>
  <c r="BK2378" i="3"/>
  <c r="BI2378" i="3"/>
  <c r="BH2378" i="3"/>
  <c r="BG2378" i="3"/>
  <c r="BF2378" i="3"/>
  <c r="BE2378" i="3"/>
  <c r="T2378" i="3"/>
  <c r="R2378" i="3"/>
  <c r="P2378" i="3"/>
  <c r="J2378" i="3"/>
  <c r="BK2370" i="3"/>
  <c r="BI2370" i="3"/>
  <c r="BH2370" i="3"/>
  <c r="BG2370" i="3"/>
  <c r="BF2370" i="3"/>
  <c r="BE2370" i="3"/>
  <c r="T2370" i="3"/>
  <c r="R2370" i="3"/>
  <c r="P2370" i="3"/>
  <c r="J2370" i="3"/>
  <c r="BK2356" i="3"/>
  <c r="BI2356" i="3"/>
  <c r="BH2356" i="3"/>
  <c r="BG2356" i="3"/>
  <c r="BF2356" i="3"/>
  <c r="BE2356" i="3"/>
  <c r="T2356" i="3"/>
  <c r="R2356" i="3"/>
  <c r="P2356" i="3"/>
  <c r="J2356" i="3"/>
  <c r="BK2349" i="3"/>
  <c r="BI2349" i="3"/>
  <c r="BH2349" i="3"/>
  <c r="BG2349" i="3"/>
  <c r="BF2349" i="3"/>
  <c r="BE2349" i="3"/>
  <c r="T2349" i="3"/>
  <c r="R2349" i="3"/>
  <c r="P2349" i="3"/>
  <c r="J2349" i="3"/>
  <c r="BK2342" i="3"/>
  <c r="BI2342" i="3"/>
  <c r="BH2342" i="3"/>
  <c r="BG2342" i="3"/>
  <c r="BF2342" i="3"/>
  <c r="BE2342" i="3"/>
  <c r="T2342" i="3"/>
  <c r="R2342" i="3"/>
  <c r="P2342" i="3"/>
  <c r="J2342" i="3"/>
  <c r="BK2341" i="3"/>
  <c r="T2341" i="3"/>
  <c r="R2341" i="3"/>
  <c r="P2341" i="3"/>
  <c r="J2341" i="3"/>
  <c r="BK2340" i="3"/>
  <c r="BI2340" i="3"/>
  <c r="BH2340" i="3"/>
  <c r="BG2340" i="3"/>
  <c r="BF2340" i="3"/>
  <c r="BE2340" i="3"/>
  <c r="T2340" i="3"/>
  <c r="R2340" i="3"/>
  <c r="P2340" i="3"/>
  <c r="J2340" i="3"/>
  <c r="H2340" i="3"/>
  <c r="BK2338" i="3"/>
  <c r="BI2338" i="3"/>
  <c r="BH2338" i="3"/>
  <c r="BG2338" i="3"/>
  <c r="BF2338" i="3"/>
  <c r="BE2338" i="3"/>
  <c r="T2338" i="3"/>
  <c r="R2338" i="3"/>
  <c r="P2338" i="3"/>
  <c r="J2338" i="3"/>
  <c r="BK2336" i="3"/>
  <c r="BI2336" i="3"/>
  <c r="BH2336" i="3"/>
  <c r="BG2336" i="3"/>
  <c r="BF2336" i="3"/>
  <c r="BE2336" i="3"/>
  <c r="T2336" i="3"/>
  <c r="R2336" i="3"/>
  <c r="P2336" i="3"/>
  <c r="J2336" i="3"/>
  <c r="BK2334" i="3"/>
  <c r="BI2334" i="3"/>
  <c r="BH2334" i="3"/>
  <c r="BG2334" i="3"/>
  <c r="BF2334" i="3"/>
  <c r="BE2334" i="3"/>
  <c r="T2334" i="3"/>
  <c r="R2334" i="3"/>
  <c r="P2334" i="3"/>
  <c r="J2334" i="3"/>
  <c r="BK2332" i="3"/>
  <c r="BI2332" i="3"/>
  <c r="BH2332" i="3"/>
  <c r="BG2332" i="3"/>
  <c r="BF2332" i="3"/>
  <c r="BE2332" i="3"/>
  <c r="T2332" i="3"/>
  <c r="R2332" i="3"/>
  <c r="P2332" i="3"/>
  <c r="J2332" i="3"/>
  <c r="BK2330" i="3"/>
  <c r="BI2330" i="3"/>
  <c r="BH2330" i="3"/>
  <c r="BG2330" i="3"/>
  <c r="BF2330" i="3"/>
  <c r="BE2330" i="3"/>
  <c r="T2330" i="3"/>
  <c r="R2330" i="3"/>
  <c r="P2330" i="3"/>
  <c r="J2330" i="3"/>
  <c r="BK2328" i="3"/>
  <c r="BI2328" i="3"/>
  <c r="BH2328" i="3"/>
  <c r="BG2328" i="3"/>
  <c r="BF2328" i="3"/>
  <c r="BE2328" i="3"/>
  <c r="T2328" i="3"/>
  <c r="R2328" i="3"/>
  <c r="P2328" i="3"/>
  <c r="J2328" i="3"/>
  <c r="BK2327" i="3"/>
  <c r="BI2327" i="3"/>
  <c r="BH2327" i="3"/>
  <c r="BG2327" i="3"/>
  <c r="BF2327" i="3"/>
  <c r="BE2327" i="3"/>
  <c r="T2327" i="3"/>
  <c r="R2327" i="3"/>
  <c r="P2327" i="3"/>
  <c r="J2327" i="3"/>
  <c r="BK2326" i="3"/>
  <c r="BI2326" i="3"/>
  <c r="BH2326" i="3"/>
  <c r="BG2326" i="3"/>
  <c r="BF2326" i="3"/>
  <c r="BE2326" i="3"/>
  <c r="T2326" i="3"/>
  <c r="R2326" i="3"/>
  <c r="P2326" i="3"/>
  <c r="J2326" i="3"/>
  <c r="BK2325" i="3"/>
  <c r="BI2325" i="3"/>
  <c r="BH2325" i="3"/>
  <c r="BG2325" i="3"/>
  <c r="BF2325" i="3"/>
  <c r="BE2325" i="3"/>
  <c r="T2325" i="3"/>
  <c r="R2325" i="3"/>
  <c r="P2325" i="3"/>
  <c r="J2325" i="3"/>
  <c r="BK2324" i="3"/>
  <c r="BI2324" i="3"/>
  <c r="BH2324" i="3"/>
  <c r="BG2324" i="3"/>
  <c r="BF2324" i="3"/>
  <c r="BE2324" i="3"/>
  <c r="T2324" i="3"/>
  <c r="R2324" i="3"/>
  <c r="P2324" i="3"/>
  <c r="J2324" i="3"/>
  <c r="BK2323" i="3"/>
  <c r="BI2323" i="3"/>
  <c r="BH2323" i="3"/>
  <c r="BG2323" i="3"/>
  <c r="BF2323" i="3"/>
  <c r="BE2323" i="3"/>
  <c r="T2323" i="3"/>
  <c r="R2323" i="3"/>
  <c r="P2323" i="3"/>
  <c r="J2323" i="3"/>
  <c r="BK2322" i="3"/>
  <c r="BI2322" i="3"/>
  <c r="BH2322" i="3"/>
  <c r="BG2322" i="3"/>
  <c r="BF2322" i="3"/>
  <c r="BE2322" i="3"/>
  <c r="T2322" i="3"/>
  <c r="R2322" i="3"/>
  <c r="P2322" i="3"/>
  <c r="J2322" i="3"/>
  <c r="BK2321" i="3"/>
  <c r="BI2321" i="3"/>
  <c r="BH2321" i="3"/>
  <c r="BG2321" i="3"/>
  <c r="BF2321" i="3"/>
  <c r="BE2321" i="3"/>
  <c r="T2321" i="3"/>
  <c r="R2321" i="3"/>
  <c r="P2321" i="3"/>
  <c r="J2321" i="3"/>
  <c r="BK2320" i="3"/>
  <c r="BI2320" i="3"/>
  <c r="BH2320" i="3"/>
  <c r="BG2320" i="3"/>
  <c r="BF2320" i="3"/>
  <c r="BE2320" i="3"/>
  <c r="T2320" i="3"/>
  <c r="R2320" i="3"/>
  <c r="P2320" i="3"/>
  <c r="J2320" i="3"/>
  <c r="BK2319" i="3"/>
  <c r="T2319" i="3"/>
  <c r="R2319" i="3"/>
  <c r="P2319" i="3"/>
  <c r="J2319" i="3"/>
  <c r="BK2318" i="3"/>
  <c r="BI2318" i="3"/>
  <c r="BH2318" i="3"/>
  <c r="BG2318" i="3"/>
  <c r="BF2318" i="3"/>
  <c r="BE2318" i="3"/>
  <c r="T2318" i="3"/>
  <c r="R2318" i="3"/>
  <c r="P2318" i="3"/>
  <c r="J2318" i="3"/>
  <c r="H2318" i="3"/>
  <c r="BK2317" i="3"/>
  <c r="BI2317" i="3"/>
  <c r="BH2317" i="3"/>
  <c r="BG2317" i="3"/>
  <c r="BF2317" i="3"/>
  <c r="BE2317" i="3"/>
  <c r="T2317" i="3"/>
  <c r="R2317" i="3"/>
  <c r="P2317" i="3"/>
  <c r="J2317" i="3"/>
  <c r="BK2309" i="3"/>
  <c r="BI2309" i="3"/>
  <c r="BH2309" i="3"/>
  <c r="BG2309" i="3"/>
  <c r="BF2309" i="3"/>
  <c r="BE2309" i="3"/>
  <c r="T2309" i="3"/>
  <c r="R2309" i="3"/>
  <c r="P2309" i="3"/>
  <c r="J2309" i="3"/>
  <c r="BK2301" i="3"/>
  <c r="BI2301" i="3"/>
  <c r="BH2301" i="3"/>
  <c r="BG2301" i="3"/>
  <c r="BF2301" i="3"/>
  <c r="BE2301" i="3"/>
  <c r="T2301" i="3"/>
  <c r="R2301" i="3"/>
  <c r="P2301" i="3"/>
  <c r="J2301" i="3"/>
  <c r="BK2299" i="3"/>
  <c r="BI2299" i="3"/>
  <c r="BH2299" i="3"/>
  <c r="BG2299" i="3"/>
  <c r="BF2299" i="3"/>
  <c r="BE2299" i="3"/>
  <c r="T2299" i="3"/>
  <c r="R2299" i="3"/>
  <c r="P2299" i="3"/>
  <c r="J2299" i="3"/>
  <c r="BK2296" i="3"/>
  <c r="BI2296" i="3"/>
  <c r="BH2296" i="3"/>
  <c r="BG2296" i="3"/>
  <c r="BF2296" i="3"/>
  <c r="BE2296" i="3"/>
  <c r="T2296" i="3"/>
  <c r="R2296" i="3"/>
  <c r="P2296" i="3"/>
  <c r="J2296" i="3"/>
  <c r="BK2295" i="3"/>
  <c r="T2295" i="3"/>
  <c r="R2295" i="3"/>
  <c r="P2295" i="3"/>
  <c r="J2295" i="3"/>
  <c r="BK2294" i="3"/>
  <c r="BI2294" i="3"/>
  <c r="BH2294" i="3"/>
  <c r="BG2294" i="3"/>
  <c r="BF2294" i="3"/>
  <c r="BE2294" i="3"/>
  <c r="T2294" i="3"/>
  <c r="R2294" i="3"/>
  <c r="P2294" i="3"/>
  <c r="J2294" i="3"/>
  <c r="H2294" i="3"/>
  <c r="BK2293" i="3"/>
  <c r="BI2293" i="3"/>
  <c r="BH2293" i="3"/>
  <c r="BG2293" i="3"/>
  <c r="BF2293" i="3"/>
  <c r="BE2293" i="3"/>
  <c r="T2293" i="3"/>
  <c r="R2293" i="3"/>
  <c r="P2293" i="3"/>
  <c r="J2293" i="3"/>
  <c r="BK2292" i="3"/>
  <c r="BI2292" i="3"/>
  <c r="BH2292" i="3"/>
  <c r="BG2292" i="3"/>
  <c r="BF2292" i="3"/>
  <c r="BE2292" i="3"/>
  <c r="T2292" i="3"/>
  <c r="R2292" i="3"/>
  <c r="P2292" i="3"/>
  <c r="J2292" i="3"/>
  <c r="BK2291" i="3"/>
  <c r="BI2291" i="3"/>
  <c r="BH2291" i="3"/>
  <c r="BG2291" i="3"/>
  <c r="BF2291" i="3"/>
  <c r="BE2291" i="3"/>
  <c r="T2291" i="3"/>
  <c r="R2291" i="3"/>
  <c r="P2291" i="3"/>
  <c r="J2291" i="3"/>
  <c r="BK2290" i="3"/>
  <c r="BI2290" i="3"/>
  <c r="BH2290" i="3"/>
  <c r="BG2290" i="3"/>
  <c r="BF2290" i="3"/>
  <c r="BE2290" i="3"/>
  <c r="T2290" i="3"/>
  <c r="R2290" i="3"/>
  <c r="P2290" i="3"/>
  <c r="J2290" i="3"/>
  <c r="BK2289" i="3"/>
  <c r="BI2289" i="3"/>
  <c r="BH2289" i="3"/>
  <c r="BG2289" i="3"/>
  <c r="BF2289" i="3"/>
  <c r="BE2289" i="3"/>
  <c r="T2289" i="3"/>
  <c r="R2289" i="3"/>
  <c r="P2289" i="3"/>
  <c r="J2289" i="3"/>
  <c r="BK2288" i="3"/>
  <c r="BI2288" i="3"/>
  <c r="BH2288" i="3"/>
  <c r="BG2288" i="3"/>
  <c r="BF2288" i="3"/>
  <c r="BE2288" i="3"/>
  <c r="T2288" i="3"/>
  <c r="R2288" i="3"/>
  <c r="P2288" i="3"/>
  <c r="J2288" i="3"/>
  <c r="BK2287" i="3"/>
  <c r="BI2287" i="3"/>
  <c r="BH2287" i="3"/>
  <c r="BG2287" i="3"/>
  <c r="BF2287" i="3"/>
  <c r="BE2287" i="3"/>
  <c r="T2287" i="3"/>
  <c r="R2287" i="3"/>
  <c r="P2287" i="3"/>
  <c r="J2287" i="3"/>
  <c r="BK2286" i="3"/>
  <c r="BI2286" i="3"/>
  <c r="BH2286" i="3"/>
  <c r="BG2286" i="3"/>
  <c r="BF2286" i="3"/>
  <c r="BE2286" i="3"/>
  <c r="T2286" i="3"/>
  <c r="R2286" i="3"/>
  <c r="P2286" i="3"/>
  <c r="J2286" i="3"/>
  <c r="BK2285" i="3"/>
  <c r="BI2285" i="3"/>
  <c r="BH2285" i="3"/>
  <c r="BG2285" i="3"/>
  <c r="BF2285" i="3"/>
  <c r="BE2285" i="3"/>
  <c r="T2285" i="3"/>
  <c r="R2285" i="3"/>
  <c r="P2285" i="3"/>
  <c r="J2285" i="3"/>
  <c r="BK2284" i="3"/>
  <c r="BI2284" i="3"/>
  <c r="BH2284" i="3"/>
  <c r="BG2284" i="3"/>
  <c r="BF2284" i="3"/>
  <c r="BE2284" i="3"/>
  <c r="T2284" i="3"/>
  <c r="R2284" i="3"/>
  <c r="P2284" i="3"/>
  <c r="J2284" i="3"/>
  <c r="BK2283" i="3"/>
  <c r="BI2283" i="3"/>
  <c r="BH2283" i="3"/>
  <c r="BG2283" i="3"/>
  <c r="BF2283" i="3"/>
  <c r="BE2283" i="3"/>
  <c r="T2283" i="3"/>
  <c r="R2283" i="3"/>
  <c r="P2283" i="3"/>
  <c r="J2283" i="3"/>
  <c r="BK2282" i="3"/>
  <c r="BI2282" i="3"/>
  <c r="BH2282" i="3"/>
  <c r="BG2282" i="3"/>
  <c r="BF2282" i="3"/>
  <c r="BE2282" i="3"/>
  <c r="T2282" i="3"/>
  <c r="R2282" i="3"/>
  <c r="P2282" i="3"/>
  <c r="J2282" i="3"/>
  <c r="BK2281" i="3"/>
  <c r="BI2281" i="3"/>
  <c r="BH2281" i="3"/>
  <c r="BG2281" i="3"/>
  <c r="BF2281" i="3"/>
  <c r="BE2281" i="3"/>
  <c r="T2281" i="3"/>
  <c r="R2281" i="3"/>
  <c r="P2281" i="3"/>
  <c r="J2281" i="3"/>
  <c r="BK2280" i="3"/>
  <c r="BI2280" i="3"/>
  <c r="BH2280" i="3"/>
  <c r="BG2280" i="3"/>
  <c r="BF2280" i="3"/>
  <c r="BE2280" i="3"/>
  <c r="T2280" i="3"/>
  <c r="R2280" i="3"/>
  <c r="P2280" i="3"/>
  <c r="J2280" i="3"/>
  <c r="BK2279" i="3"/>
  <c r="BI2279" i="3"/>
  <c r="BH2279" i="3"/>
  <c r="BG2279" i="3"/>
  <c r="BF2279" i="3"/>
  <c r="BE2279" i="3"/>
  <c r="T2279" i="3"/>
  <c r="R2279" i="3"/>
  <c r="P2279" i="3"/>
  <c r="J2279" i="3"/>
  <c r="BK2278" i="3"/>
  <c r="BI2278" i="3"/>
  <c r="BH2278" i="3"/>
  <c r="BG2278" i="3"/>
  <c r="BF2278" i="3"/>
  <c r="BE2278" i="3"/>
  <c r="T2278" i="3"/>
  <c r="R2278" i="3"/>
  <c r="P2278" i="3"/>
  <c r="J2278" i="3"/>
  <c r="BK2277" i="3"/>
  <c r="BI2277" i="3"/>
  <c r="BH2277" i="3"/>
  <c r="BG2277" i="3"/>
  <c r="BF2277" i="3"/>
  <c r="BE2277" i="3"/>
  <c r="T2277" i="3"/>
  <c r="R2277" i="3"/>
  <c r="P2277" i="3"/>
  <c r="J2277" i="3"/>
  <c r="BK2276" i="3"/>
  <c r="BI2276" i="3"/>
  <c r="BH2276" i="3"/>
  <c r="BG2276" i="3"/>
  <c r="BF2276" i="3"/>
  <c r="BE2276" i="3"/>
  <c r="T2276" i="3"/>
  <c r="R2276" i="3"/>
  <c r="P2276" i="3"/>
  <c r="J2276" i="3"/>
  <c r="BK2275" i="3"/>
  <c r="BI2275" i="3"/>
  <c r="BH2275" i="3"/>
  <c r="BG2275" i="3"/>
  <c r="BF2275" i="3"/>
  <c r="BE2275" i="3"/>
  <c r="T2275" i="3"/>
  <c r="R2275" i="3"/>
  <c r="P2275" i="3"/>
  <c r="J2275" i="3"/>
  <c r="BK2274" i="3"/>
  <c r="BI2274" i="3"/>
  <c r="BH2274" i="3"/>
  <c r="BG2274" i="3"/>
  <c r="BF2274" i="3"/>
  <c r="BE2274" i="3"/>
  <c r="T2274" i="3"/>
  <c r="R2274" i="3"/>
  <c r="P2274" i="3"/>
  <c r="J2274" i="3"/>
  <c r="BK2273" i="3"/>
  <c r="BI2273" i="3"/>
  <c r="BH2273" i="3"/>
  <c r="BG2273" i="3"/>
  <c r="BF2273" i="3"/>
  <c r="BE2273" i="3"/>
  <c r="T2273" i="3"/>
  <c r="R2273" i="3"/>
  <c r="P2273" i="3"/>
  <c r="J2273" i="3"/>
  <c r="BK2272" i="3"/>
  <c r="BI2272" i="3"/>
  <c r="BH2272" i="3"/>
  <c r="BG2272" i="3"/>
  <c r="BF2272" i="3"/>
  <c r="BE2272" i="3"/>
  <c r="T2272" i="3"/>
  <c r="R2272" i="3"/>
  <c r="P2272" i="3"/>
  <c r="J2272" i="3"/>
  <c r="BK2271" i="3"/>
  <c r="BI2271" i="3"/>
  <c r="BH2271" i="3"/>
  <c r="BG2271" i="3"/>
  <c r="BF2271" i="3"/>
  <c r="BE2271" i="3"/>
  <c r="T2271" i="3"/>
  <c r="R2271" i="3"/>
  <c r="P2271" i="3"/>
  <c r="J2271" i="3"/>
  <c r="BK2270" i="3"/>
  <c r="T2270" i="3"/>
  <c r="R2270" i="3"/>
  <c r="P2270" i="3"/>
  <c r="J2270" i="3"/>
  <c r="BK2269" i="3"/>
  <c r="BI2269" i="3"/>
  <c r="BH2269" i="3"/>
  <c r="BG2269" i="3"/>
  <c r="BF2269" i="3"/>
  <c r="BE2269" i="3"/>
  <c r="T2269" i="3"/>
  <c r="R2269" i="3"/>
  <c r="P2269" i="3"/>
  <c r="J2269" i="3"/>
  <c r="H2269" i="3"/>
  <c r="BK2262" i="3"/>
  <c r="BI2262" i="3"/>
  <c r="BH2262" i="3"/>
  <c r="BG2262" i="3"/>
  <c r="BF2262" i="3"/>
  <c r="BE2262" i="3"/>
  <c r="T2262" i="3"/>
  <c r="R2262" i="3"/>
  <c r="P2262" i="3"/>
  <c r="J2262" i="3"/>
  <c r="BK2255" i="3"/>
  <c r="BI2255" i="3"/>
  <c r="BH2255" i="3"/>
  <c r="BG2255" i="3"/>
  <c r="BF2255" i="3"/>
  <c r="BE2255" i="3"/>
  <c r="T2255" i="3"/>
  <c r="R2255" i="3"/>
  <c r="P2255" i="3"/>
  <c r="J2255" i="3"/>
  <c r="BK2252" i="3"/>
  <c r="BI2252" i="3"/>
  <c r="BH2252" i="3"/>
  <c r="BG2252" i="3"/>
  <c r="BF2252" i="3"/>
  <c r="BE2252" i="3"/>
  <c r="T2252" i="3"/>
  <c r="R2252" i="3"/>
  <c r="P2252" i="3"/>
  <c r="J2252" i="3"/>
  <c r="BK2244" i="3"/>
  <c r="BI2244" i="3"/>
  <c r="BH2244" i="3"/>
  <c r="BG2244" i="3"/>
  <c r="BF2244" i="3"/>
  <c r="BE2244" i="3"/>
  <c r="T2244" i="3"/>
  <c r="R2244" i="3"/>
  <c r="P2244" i="3"/>
  <c r="J2244" i="3"/>
  <c r="BK2231" i="3"/>
  <c r="BI2231" i="3"/>
  <c r="BH2231" i="3"/>
  <c r="BG2231" i="3"/>
  <c r="BF2231" i="3"/>
  <c r="BE2231" i="3"/>
  <c r="T2231" i="3"/>
  <c r="R2231" i="3"/>
  <c r="P2231" i="3"/>
  <c r="J2231" i="3"/>
  <c r="BK2221" i="3"/>
  <c r="BI2221" i="3"/>
  <c r="BH2221" i="3"/>
  <c r="BG2221" i="3"/>
  <c r="BF2221" i="3"/>
  <c r="BE2221" i="3"/>
  <c r="T2221" i="3"/>
  <c r="R2221" i="3"/>
  <c r="P2221" i="3"/>
  <c r="J2221" i="3"/>
  <c r="BK2208" i="3"/>
  <c r="BI2208" i="3"/>
  <c r="BH2208" i="3"/>
  <c r="BG2208" i="3"/>
  <c r="BF2208" i="3"/>
  <c r="BE2208" i="3"/>
  <c r="T2208" i="3"/>
  <c r="R2208" i="3"/>
  <c r="P2208" i="3"/>
  <c r="J2208" i="3"/>
  <c r="BK2206" i="3"/>
  <c r="BI2206" i="3"/>
  <c r="BH2206" i="3"/>
  <c r="BG2206" i="3"/>
  <c r="BF2206" i="3"/>
  <c r="BE2206" i="3"/>
  <c r="T2206" i="3"/>
  <c r="R2206" i="3"/>
  <c r="P2206" i="3"/>
  <c r="J2206" i="3"/>
  <c r="BK2198" i="3"/>
  <c r="BI2198" i="3"/>
  <c r="BH2198" i="3"/>
  <c r="BG2198" i="3"/>
  <c r="BF2198" i="3"/>
  <c r="BE2198" i="3"/>
  <c r="T2198" i="3"/>
  <c r="R2198" i="3"/>
  <c r="P2198" i="3"/>
  <c r="J2198" i="3"/>
  <c r="BK2196" i="3"/>
  <c r="BI2196" i="3"/>
  <c r="BH2196" i="3"/>
  <c r="BG2196" i="3"/>
  <c r="BF2196" i="3"/>
  <c r="BE2196" i="3"/>
  <c r="T2196" i="3"/>
  <c r="R2196" i="3"/>
  <c r="P2196" i="3"/>
  <c r="J2196" i="3"/>
  <c r="BK2189" i="3"/>
  <c r="BI2189" i="3"/>
  <c r="BH2189" i="3"/>
  <c r="BG2189" i="3"/>
  <c r="BF2189" i="3"/>
  <c r="BE2189" i="3"/>
  <c r="T2189" i="3"/>
  <c r="R2189" i="3"/>
  <c r="P2189" i="3"/>
  <c r="J2189" i="3"/>
  <c r="BK2187" i="3"/>
  <c r="BI2187" i="3"/>
  <c r="BH2187" i="3"/>
  <c r="BG2187" i="3"/>
  <c r="BF2187" i="3"/>
  <c r="BE2187" i="3"/>
  <c r="T2187" i="3"/>
  <c r="R2187" i="3"/>
  <c r="P2187" i="3"/>
  <c r="J2187" i="3"/>
  <c r="BK2180" i="3"/>
  <c r="BI2180" i="3"/>
  <c r="BH2180" i="3"/>
  <c r="BG2180" i="3"/>
  <c r="BF2180" i="3"/>
  <c r="BE2180" i="3"/>
  <c r="T2180" i="3"/>
  <c r="R2180" i="3"/>
  <c r="P2180" i="3"/>
  <c r="J2180" i="3"/>
  <c r="BK2173" i="3"/>
  <c r="BI2173" i="3"/>
  <c r="BH2173" i="3"/>
  <c r="BG2173" i="3"/>
  <c r="BF2173" i="3"/>
  <c r="BE2173" i="3"/>
  <c r="T2173" i="3"/>
  <c r="R2173" i="3"/>
  <c r="P2173" i="3"/>
  <c r="J2173" i="3"/>
  <c r="BK2172" i="3"/>
  <c r="T2172" i="3"/>
  <c r="R2172" i="3"/>
  <c r="P2172" i="3"/>
  <c r="J2172" i="3"/>
  <c r="BK2171" i="3"/>
  <c r="BI2171" i="3"/>
  <c r="BH2171" i="3"/>
  <c r="BG2171" i="3"/>
  <c r="BF2171" i="3"/>
  <c r="BE2171" i="3"/>
  <c r="T2171" i="3"/>
  <c r="R2171" i="3"/>
  <c r="P2171" i="3"/>
  <c r="J2171" i="3"/>
  <c r="H2171" i="3"/>
  <c r="BK2166" i="3"/>
  <c r="BI2166" i="3"/>
  <c r="BH2166" i="3"/>
  <c r="BG2166" i="3"/>
  <c r="BF2166" i="3"/>
  <c r="BE2166" i="3"/>
  <c r="T2166" i="3"/>
  <c r="R2166" i="3"/>
  <c r="P2166" i="3"/>
  <c r="J2166" i="3"/>
  <c r="BK2159" i="3"/>
  <c r="BI2159" i="3"/>
  <c r="BH2159" i="3"/>
  <c r="BG2159" i="3"/>
  <c r="BF2159" i="3"/>
  <c r="BE2159" i="3"/>
  <c r="T2159" i="3"/>
  <c r="R2159" i="3"/>
  <c r="P2159" i="3"/>
  <c r="J2159" i="3"/>
  <c r="BK2152" i="3"/>
  <c r="BI2152" i="3"/>
  <c r="BH2152" i="3"/>
  <c r="BG2152" i="3"/>
  <c r="BF2152" i="3"/>
  <c r="BE2152" i="3"/>
  <c r="T2152" i="3"/>
  <c r="R2152" i="3"/>
  <c r="P2152" i="3"/>
  <c r="J2152" i="3"/>
  <c r="BK2145" i="3"/>
  <c r="BI2145" i="3"/>
  <c r="BH2145" i="3"/>
  <c r="BG2145" i="3"/>
  <c r="BF2145" i="3"/>
  <c r="BE2145" i="3"/>
  <c r="T2145" i="3"/>
  <c r="R2145" i="3"/>
  <c r="P2145" i="3"/>
  <c r="J2145" i="3"/>
  <c r="BK2138" i="3"/>
  <c r="BI2138" i="3"/>
  <c r="BH2138" i="3"/>
  <c r="BG2138" i="3"/>
  <c r="BF2138" i="3"/>
  <c r="BE2138" i="3"/>
  <c r="T2138" i="3"/>
  <c r="R2138" i="3"/>
  <c r="P2138" i="3"/>
  <c r="J2138" i="3"/>
  <c r="BK2131" i="3"/>
  <c r="BI2131" i="3"/>
  <c r="BH2131" i="3"/>
  <c r="BG2131" i="3"/>
  <c r="BF2131" i="3"/>
  <c r="BE2131" i="3"/>
  <c r="T2131" i="3"/>
  <c r="R2131" i="3"/>
  <c r="P2131" i="3"/>
  <c r="J2131" i="3"/>
  <c r="BK2128" i="3"/>
  <c r="BI2128" i="3"/>
  <c r="BH2128" i="3"/>
  <c r="BG2128" i="3"/>
  <c r="BF2128" i="3"/>
  <c r="BE2128" i="3"/>
  <c r="T2128" i="3"/>
  <c r="R2128" i="3"/>
  <c r="P2128" i="3"/>
  <c r="J2128" i="3"/>
  <c r="BK2127" i="3"/>
  <c r="T2127" i="3"/>
  <c r="R2127" i="3"/>
  <c r="P2127" i="3"/>
  <c r="J2127" i="3"/>
  <c r="BK2126" i="3"/>
  <c r="BI2126" i="3"/>
  <c r="BH2126" i="3"/>
  <c r="BG2126" i="3"/>
  <c r="BF2126" i="3"/>
  <c r="BE2126" i="3"/>
  <c r="T2126" i="3"/>
  <c r="R2126" i="3"/>
  <c r="P2126" i="3"/>
  <c r="J2126" i="3"/>
  <c r="H2126" i="3"/>
  <c r="BK2124" i="3"/>
  <c r="BI2124" i="3"/>
  <c r="BH2124" i="3"/>
  <c r="BG2124" i="3"/>
  <c r="BF2124" i="3"/>
  <c r="BE2124" i="3"/>
  <c r="T2124" i="3"/>
  <c r="R2124" i="3"/>
  <c r="P2124" i="3"/>
  <c r="J2124" i="3"/>
  <c r="BK2115" i="3"/>
  <c r="BI2115" i="3"/>
  <c r="BH2115" i="3"/>
  <c r="BG2115" i="3"/>
  <c r="BF2115" i="3"/>
  <c r="BE2115" i="3"/>
  <c r="T2115" i="3"/>
  <c r="R2115" i="3"/>
  <c r="P2115" i="3"/>
  <c r="J2115" i="3"/>
  <c r="BK2114" i="3"/>
  <c r="T2114" i="3"/>
  <c r="R2114" i="3"/>
  <c r="P2114" i="3"/>
  <c r="J2114" i="3"/>
  <c r="BK2113" i="3"/>
  <c r="BI2113" i="3"/>
  <c r="BH2113" i="3"/>
  <c r="BG2113" i="3"/>
  <c r="BF2113" i="3"/>
  <c r="BE2113" i="3"/>
  <c r="T2113" i="3"/>
  <c r="R2113" i="3"/>
  <c r="P2113" i="3"/>
  <c r="J2113" i="3"/>
  <c r="H2113" i="3"/>
  <c r="BK2111" i="3"/>
  <c r="BI2111" i="3"/>
  <c r="BH2111" i="3"/>
  <c r="BG2111" i="3"/>
  <c r="BF2111" i="3"/>
  <c r="BE2111" i="3"/>
  <c r="T2111" i="3"/>
  <c r="R2111" i="3"/>
  <c r="P2111" i="3"/>
  <c r="J2111" i="3"/>
  <c r="BK2109" i="3"/>
  <c r="BI2109" i="3"/>
  <c r="BH2109" i="3"/>
  <c r="BG2109" i="3"/>
  <c r="BF2109" i="3"/>
  <c r="BE2109" i="3"/>
  <c r="T2109" i="3"/>
  <c r="R2109" i="3"/>
  <c r="P2109" i="3"/>
  <c r="J2109" i="3"/>
  <c r="BK2102" i="3"/>
  <c r="BI2102" i="3"/>
  <c r="BH2102" i="3"/>
  <c r="BG2102" i="3"/>
  <c r="BF2102" i="3"/>
  <c r="BE2102" i="3"/>
  <c r="T2102" i="3"/>
  <c r="R2102" i="3"/>
  <c r="P2102" i="3"/>
  <c r="J2102" i="3"/>
  <c r="BK2099" i="3"/>
  <c r="BI2099" i="3"/>
  <c r="BH2099" i="3"/>
  <c r="BG2099" i="3"/>
  <c r="BF2099" i="3"/>
  <c r="BE2099" i="3"/>
  <c r="T2099" i="3"/>
  <c r="R2099" i="3"/>
  <c r="P2099" i="3"/>
  <c r="J2099" i="3"/>
  <c r="BK2096" i="3"/>
  <c r="BI2096" i="3"/>
  <c r="BH2096" i="3"/>
  <c r="BG2096" i="3"/>
  <c r="BF2096" i="3"/>
  <c r="BE2096" i="3"/>
  <c r="T2096" i="3"/>
  <c r="R2096" i="3"/>
  <c r="P2096" i="3"/>
  <c r="J2096" i="3"/>
  <c r="BK2093" i="3"/>
  <c r="BI2093" i="3"/>
  <c r="BH2093" i="3"/>
  <c r="BG2093" i="3"/>
  <c r="BF2093" i="3"/>
  <c r="BE2093" i="3"/>
  <c r="T2093" i="3"/>
  <c r="R2093" i="3"/>
  <c r="P2093" i="3"/>
  <c r="J2093" i="3"/>
  <c r="BK2087" i="3"/>
  <c r="BI2087" i="3"/>
  <c r="BH2087" i="3"/>
  <c r="BG2087" i="3"/>
  <c r="BF2087" i="3"/>
  <c r="BE2087" i="3"/>
  <c r="T2087" i="3"/>
  <c r="R2087" i="3"/>
  <c r="P2087" i="3"/>
  <c r="J2087" i="3"/>
  <c r="BK2084" i="3"/>
  <c r="BI2084" i="3"/>
  <c r="BH2084" i="3"/>
  <c r="BG2084" i="3"/>
  <c r="BF2084" i="3"/>
  <c r="BE2084" i="3"/>
  <c r="T2084" i="3"/>
  <c r="R2084" i="3"/>
  <c r="P2084" i="3"/>
  <c r="J2084" i="3"/>
  <c r="BK2081" i="3"/>
  <c r="BI2081" i="3"/>
  <c r="BH2081" i="3"/>
  <c r="BG2081" i="3"/>
  <c r="BF2081" i="3"/>
  <c r="BE2081" i="3"/>
  <c r="T2081" i="3"/>
  <c r="R2081" i="3"/>
  <c r="P2081" i="3"/>
  <c r="J2081" i="3"/>
  <c r="BK2074" i="3"/>
  <c r="BI2074" i="3"/>
  <c r="BH2074" i="3"/>
  <c r="BG2074" i="3"/>
  <c r="BF2074" i="3"/>
  <c r="BE2074" i="3"/>
  <c r="T2074" i="3"/>
  <c r="R2074" i="3"/>
  <c r="P2074" i="3"/>
  <c r="J2074" i="3"/>
  <c r="BK2071" i="3"/>
  <c r="BI2071" i="3"/>
  <c r="BH2071" i="3"/>
  <c r="BG2071" i="3"/>
  <c r="BF2071" i="3"/>
  <c r="BE2071" i="3"/>
  <c r="T2071" i="3"/>
  <c r="R2071" i="3"/>
  <c r="P2071" i="3"/>
  <c r="J2071" i="3"/>
  <c r="BK2070" i="3"/>
  <c r="BI2070" i="3"/>
  <c r="BH2070" i="3"/>
  <c r="BG2070" i="3"/>
  <c r="BF2070" i="3"/>
  <c r="BE2070" i="3"/>
  <c r="T2070" i="3"/>
  <c r="R2070" i="3"/>
  <c r="P2070" i="3"/>
  <c r="J2070" i="3"/>
  <c r="BK2061" i="3"/>
  <c r="BI2061" i="3"/>
  <c r="BH2061" i="3"/>
  <c r="BG2061" i="3"/>
  <c r="BF2061" i="3"/>
  <c r="BE2061" i="3"/>
  <c r="T2061" i="3"/>
  <c r="R2061" i="3"/>
  <c r="P2061" i="3"/>
  <c r="J2061" i="3"/>
  <c r="BK2053" i="3"/>
  <c r="BI2053" i="3"/>
  <c r="BH2053" i="3"/>
  <c r="BG2053" i="3"/>
  <c r="BF2053" i="3"/>
  <c r="BE2053" i="3"/>
  <c r="T2053" i="3"/>
  <c r="R2053" i="3"/>
  <c r="P2053" i="3"/>
  <c r="J2053" i="3"/>
  <c r="BK2050" i="3"/>
  <c r="BI2050" i="3"/>
  <c r="BH2050" i="3"/>
  <c r="BG2050" i="3"/>
  <c r="BF2050" i="3"/>
  <c r="BE2050" i="3"/>
  <c r="T2050" i="3"/>
  <c r="R2050" i="3"/>
  <c r="P2050" i="3"/>
  <c r="J2050" i="3"/>
  <c r="BK2042" i="3"/>
  <c r="BI2042" i="3"/>
  <c r="BH2042" i="3"/>
  <c r="BG2042" i="3"/>
  <c r="BF2042" i="3"/>
  <c r="BE2042" i="3"/>
  <c r="T2042" i="3"/>
  <c r="R2042" i="3"/>
  <c r="P2042" i="3"/>
  <c r="J2042" i="3"/>
  <c r="BK2035" i="3"/>
  <c r="BI2035" i="3"/>
  <c r="BH2035" i="3"/>
  <c r="BG2035" i="3"/>
  <c r="BF2035" i="3"/>
  <c r="BE2035" i="3"/>
  <c r="T2035" i="3"/>
  <c r="R2035" i="3"/>
  <c r="P2035" i="3"/>
  <c r="J2035" i="3"/>
  <c r="BK2021" i="3"/>
  <c r="BI2021" i="3"/>
  <c r="BH2021" i="3"/>
  <c r="BG2021" i="3"/>
  <c r="BF2021" i="3"/>
  <c r="BE2021" i="3"/>
  <c r="T2021" i="3"/>
  <c r="R2021" i="3"/>
  <c r="P2021" i="3"/>
  <c r="J2021" i="3"/>
  <c r="BK2018" i="3"/>
  <c r="BI2018" i="3"/>
  <c r="BH2018" i="3"/>
  <c r="BG2018" i="3"/>
  <c r="BF2018" i="3"/>
  <c r="BE2018" i="3"/>
  <c r="T2018" i="3"/>
  <c r="R2018" i="3"/>
  <c r="P2018" i="3"/>
  <c r="J2018" i="3"/>
  <c r="BK2017" i="3"/>
  <c r="BI2017" i="3"/>
  <c r="BH2017" i="3"/>
  <c r="BG2017" i="3"/>
  <c r="BF2017" i="3"/>
  <c r="BE2017" i="3"/>
  <c r="T2017" i="3"/>
  <c r="R2017" i="3"/>
  <c r="P2017" i="3"/>
  <c r="J2017" i="3"/>
  <c r="BK2014" i="3"/>
  <c r="BI2014" i="3"/>
  <c r="BH2014" i="3"/>
  <c r="BG2014" i="3"/>
  <c r="BF2014" i="3"/>
  <c r="BE2014" i="3"/>
  <c r="T2014" i="3"/>
  <c r="R2014" i="3"/>
  <c r="P2014" i="3"/>
  <c r="J2014" i="3"/>
  <c r="BK2009" i="3"/>
  <c r="BI2009" i="3"/>
  <c r="BH2009" i="3"/>
  <c r="BG2009" i="3"/>
  <c r="BF2009" i="3"/>
  <c r="BE2009" i="3"/>
  <c r="T2009" i="3"/>
  <c r="R2009" i="3"/>
  <c r="P2009" i="3"/>
  <c r="J2009" i="3"/>
  <c r="BK2006" i="3"/>
  <c r="BI2006" i="3"/>
  <c r="BH2006" i="3"/>
  <c r="BG2006" i="3"/>
  <c r="BF2006" i="3"/>
  <c r="BE2006" i="3"/>
  <c r="T2006" i="3"/>
  <c r="R2006" i="3"/>
  <c r="P2006" i="3"/>
  <c r="J2006" i="3"/>
  <c r="BK2003" i="3"/>
  <c r="BI2003" i="3"/>
  <c r="BH2003" i="3"/>
  <c r="BG2003" i="3"/>
  <c r="BF2003" i="3"/>
  <c r="BE2003" i="3"/>
  <c r="T2003" i="3"/>
  <c r="R2003" i="3"/>
  <c r="P2003" i="3"/>
  <c r="J2003" i="3"/>
  <c r="BK2001" i="3"/>
  <c r="BI2001" i="3"/>
  <c r="BH2001" i="3"/>
  <c r="BG2001" i="3"/>
  <c r="BF2001" i="3"/>
  <c r="BE2001" i="3"/>
  <c r="T2001" i="3"/>
  <c r="R2001" i="3"/>
  <c r="P2001" i="3"/>
  <c r="J2001" i="3"/>
  <c r="BK1993" i="3"/>
  <c r="BI1993" i="3"/>
  <c r="BH1993" i="3"/>
  <c r="BG1993" i="3"/>
  <c r="BF1993" i="3"/>
  <c r="BE1993" i="3"/>
  <c r="T1993" i="3"/>
  <c r="R1993" i="3"/>
  <c r="P1993" i="3"/>
  <c r="J1993" i="3"/>
  <c r="BK1991" i="3"/>
  <c r="BI1991" i="3"/>
  <c r="BH1991" i="3"/>
  <c r="BG1991" i="3"/>
  <c r="BF1991" i="3"/>
  <c r="BE1991" i="3"/>
  <c r="T1991" i="3"/>
  <c r="R1991" i="3"/>
  <c r="P1991" i="3"/>
  <c r="J1991" i="3"/>
  <c r="BK1964" i="3"/>
  <c r="BI1964" i="3"/>
  <c r="BH1964" i="3"/>
  <c r="BG1964" i="3"/>
  <c r="BF1964" i="3"/>
  <c r="BE1964" i="3"/>
  <c r="T1964" i="3"/>
  <c r="R1964" i="3"/>
  <c r="P1964" i="3"/>
  <c r="J1964" i="3"/>
  <c r="BK1962" i="3"/>
  <c r="BI1962" i="3"/>
  <c r="BH1962" i="3"/>
  <c r="BG1962" i="3"/>
  <c r="BF1962" i="3"/>
  <c r="BE1962" i="3"/>
  <c r="T1962" i="3"/>
  <c r="R1962" i="3"/>
  <c r="P1962" i="3"/>
  <c r="J1962" i="3"/>
  <c r="BK1957" i="3"/>
  <c r="BI1957" i="3"/>
  <c r="BH1957" i="3"/>
  <c r="BG1957" i="3"/>
  <c r="BF1957" i="3"/>
  <c r="BE1957" i="3"/>
  <c r="T1957" i="3"/>
  <c r="R1957" i="3"/>
  <c r="P1957" i="3"/>
  <c r="J1957" i="3"/>
  <c r="BK1956" i="3"/>
  <c r="T1956" i="3"/>
  <c r="R1956" i="3"/>
  <c r="P1956" i="3"/>
  <c r="J1956" i="3"/>
  <c r="BK1955" i="3"/>
  <c r="BI1955" i="3"/>
  <c r="BH1955" i="3"/>
  <c r="BG1955" i="3"/>
  <c r="BF1955" i="3"/>
  <c r="BE1955" i="3"/>
  <c r="T1955" i="3"/>
  <c r="R1955" i="3"/>
  <c r="P1955" i="3"/>
  <c r="J1955" i="3"/>
  <c r="H1955" i="3"/>
  <c r="BK1952" i="3"/>
  <c r="BI1952" i="3"/>
  <c r="BH1952" i="3"/>
  <c r="BG1952" i="3"/>
  <c r="BF1952" i="3"/>
  <c r="BE1952" i="3"/>
  <c r="T1952" i="3"/>
  <c r="R1952" i="3"/>
  <c r="P1952" i="3"/>
  <c r="J1952" i="3"/>
  <c r="BK1950" i="3"/>
  <c r="BI1950" i="3"/>
  <c r="BH1950" i="3"/>
  <c r="BG1950" i="3"/>
  <c r="BF1950" i="3"/>
  <c r="BE1950" i="3"/>
  <c r="T1950" i="3"/>
  <c r="R1950" i="3"/>
  <c r="P1950" i="3"/>
  <c r="J1950" i="3"/>
  <c r="BK1948" i="3"/>
  <c r="BI1948" i="3"/>
  <c r="BH1948" i="3"/>
  <c r="BG1948" i="3"/>
  <c r="BF1948" i="3"/>
  <c r="BE1948" i="3"/>
  <c r="T1948" i="3"/>
  <c r="R1948" i="3"/>
  <c r="P1948" i="3"/>
  <c r="J1948" i="3"/>
  <c r="BK1946" i="3"/>
  <c r="BI1946" i="3"/>
  <c r="BH1946" i="3"/>
  <c r="BG1946" i="3"/>
  <c r="BF1946" i="3"/>
  <c r="BE1946" i="3"/>
  <c r="T1946" i="3"/>
  <c r="R1946" i="3"/>
  <c r="P1946" i="3"/>
  <c r="J1946" i="3"/>
  <c r="BK1944" i="3"/>
  <c r="BI1944" i="3"/>
  <c r="BH1944" i="3"/>
  <c r="BG1944" i="3"/>
  <c r="BF1944" i="3"/>
  <c r="BE1944" i="3"/>
  <c r="T1944" i="3"/>
  <c r="R1944" i="3"/>
  <c r="P1944" i="3"/>
  <c r="J1944" i="3"/>
  <c r="BK1942" i="3"/>
  <c r="BI1942" i="3"/>
  <c r="BH1942" i="3"/>
  <c r="BG1942" i="3"/>
  <c r="BF1942" i="3"/>
  <c r="BE1942" i="3"/>
  <c r="T1942" i="3"/>
  <c r="R1942" i="3"/>
  <c r="P1942" i="3"/>
  <c r="J1942" i="3"/>
  <c r="BK1940" i="3"/>
  <c r="BI1940" i="3"/>
  <c r="BH1940" i="3"/>
  <c r="BG1940" i="3"/>
  <c r="BF1940" i="3"/>
  <c r="BE1940" i="3"/>
  <c r="T1940" i="3"/>
  <c r="R1940" i="3"/>
  <c r="P1940" i="3"/>
  <c r="J1940" i="3"/>
  <c r="BK1925" i="3"/>
  <c r="BI1925" i="3"/>
  <c r="BH1925" i="3"/>
  <c r="BG1925" i="3"/>
  <c r="BF1925" i="3"/>
  <c r="BE1925" i="3"/>
  <c r="T1925" i="3"/>
  <c r="R1925" i="3"/>
  <c r="P1925" i="3"/>
  <c r="J1925" i="3"/>
  <c r="BK1923" i="3"/>
  <c r="BI1923" i="3"/>
  <c r="BH1923" i="3"/>
  <c r="BG1923" i="3"/>
  <c r="BF1923" i="3"/>
  <c r="BE1923" i="3"/>
  <c r="T1923" i="3"/>
  <c r="R1923" i="3"/>
  <c r="P1923" i="3"/>
  <c r="J1923" i="3"/>
  <c r="BK1912" i="3"/>
  <c r="BI1912" i="3"/>
  <c r="BH1912" i="3"/>
  <c r="BG1912" i="3"/>
  <c r="BF1912" i="3"/>
  <c r="BE1912" i="3"/>
  <c r="T1912" i="3"/>
  <c r="R1912" i="3"/>
  <c r="P1912" i="3"/>
  <c r="J1912" i="3"/>
  <c r="BK1911" i="3"/>
  <c r="T1911" i="3"/>
  <c r="R1911" i="3"/>
  <c r="P1911" i="3"/>
  <c r="J1911" i="3"/>
  <c r="BK1910" i="3"/>
  <c r="BI1910" i="3"/>
  <c r="BH1910" i="3"/>
  <c r="BG1910" i="3"/>
  <c r="BF1910" i="3"/>
  <c r="BE1910" i="3"/>
  <c r="T1910" i="3"/>
  <c r="R1910" i="3"/>
  <c r="P1910" i="3"/>
  <c r="J1910" i="3"/>
  <c r="H1910" i="3"/>
  <c r="BK1908" i="3"/>
  <c r="BI1908" i="3"/>
  <c r="BH1908" i="3"/>
  <c r="BG1908" i="3"/>
  <c r="BF1908" i="3"/>
  <c r="BE1908" i="3"/>
  <c r="T1908" i="3"/>
  <c r="R1908" i="3"/>
  <c r="P1908" i="3"/>
  <c r="J1908" i="3"/>
  <c r="BK1899" i="3"/>
  <c r="BI1899" i="3"/>
  <c r="BH1899" i="3"/>
  <c r="BG1899" i="3"/>
  <c r="BF1899" i="3"/>
  <c r="BE1899" i="3"/>
  <c r="T1899" i="3"/>
  <c r="R1899" i="3"/>
  <c r="P1899" i="3"/>
  <c r="J1899" i="3"/>
  <c r="BK1897" i="3"/>
  <c r="BI1897" i="3"/>
  <c r="BH1897" i="3"/>
  <c r="BG1897" i="3"/>
  <c r="BF1897" i="3"/>
  <c r="BE1897" i="3"/>
  <c r="T1897" i="3"/>
  <c r="R1897" i="3"/>
  <c r="P1897" i="3"/>
  <c r="J1897" i="3"/>
  <c r="BK1893" i="3"/>
  <c r="BI1893" i="3"/>
  <c r="BH1893" i="3"/>
  <c r="BG1893" i="3"/>
  <c r="BF1893" i="3"/>
  <c r="BE1893" i="3"/>
  <c r="T1893" i="3"/>
  <c r="R1893" i="3"/>
  <c r="P1893" i="3"/>
  <c r="J1893" i="3"/>
  <c r="BK1891" i="3"/>
  <c r="BI1891" i="3"/>
  <c r="BH1891" i="3"/>
  <c r="BG1891" i="3"/>
  <c r="BF1891" i="3"/>
  <c r="BE1891" i="3"/>
  <c r="T1891" i="3"/>
  <c r="R1891" i="3"/>
  <c r="P1891" i="3"/>
  <c r="J1891" i="3"/>
  <c r="BK1888" i="3"/>
  <c r="BI1888" i="3"/>
  <c r="BH1888" i="3"/>
  <c r="BG1888" i="3"/>
  <c r="BF1888" i="3"/>
  <c r="BE1888" i="3"/>
  <c r="T1888" i="3"/>
  <c r="R1888" i="3"/>
  <c r="P1888" i="3"/>
  <c r="J1888" i="3"/>
  <c r="BK1886" i="3"/>
  <c r="BI1886" i="3"/>
  <c r="BH1886" i="3"/>
  <c r="BG1886" i="3"/>
  <c r="BF1886" i="3"/>
  <c r="BE1886" i="3"/>
  <c r="T1886" i="3"/>
  <c r="R1886" i="3"/>
  <c r="P1886" i="3"/>
  <c r="J1886" i="3"/>
  <c r="BK1882" i="3"/>
  <c r="BI1882" i="3"/>
  <c r="BH1882" i="3"/>
  <c r="BG1882" i="3"/>
  <c r="BF1882" i="3"/>
  <c r="BE1882" i="3"/>
  <c r="T1882" i="3"/>
  <c r="R1882" i="3"/>
  <c r="P1882" i="3"/>
  <c r="J1882" i="3"/>
  <c r="BK1880" i="3"/>
  <c r="BI1880" i="3"/>
  <c r="BH1880" i="3"/>
  <c r="BG1880" i="3"/>
  <c r="BF1880" i="3"/>
  <c r="BE1880" i="3"/>
  <c r="T1880" i="3"/>
  <c r="R1880" i="3"/>
  <c r="P1880" i="3"/>
  <c r="J1880" i="3"/>
  <c r="BK1878" i="3"/>
  <c r="BI1878" i="3"/>
  <c r="BH1878" i="3"/>
  <c r="BG1878" i="3"/>
  <c r="BF1878" i="3"/>
  <c r="BE1878" i="3"/>
  <c r="T1878" i="3"/>
  <c r="R1878" i="3"/>
  <c r="P1878" i="3"/>
  <c r="J1878" i="3"/>
  <c r="BK1877" i="3"/>
  <c r="T1877" i="3"/>
  <c r="R1877" i="3"/>
  <c r="P1877" i="3"/>
  <c r="J1877" i="3"/>
  <c r="BK1875" i="3"/>
  <c r="BI1875" i="3"/>
  <c r="BH1875" i="3"/>
  <c r="BG1875" i="3"/>
  <c r="BF1875" i="3"/>
  <c r="BE1875" i="3"/>
  <c r="T1875" i="3"/>
  <c r="R1875" i="3"/>
  <c r="P1875" i="3"/>
  <c r="J1875" i="3"/>
  <c r="BK1873" i="3"/>
  <c r="BI1873" i="3"/>
  <c r="BH1873" i="3"/>
  <c r="BG1873" i="3"/>
  <c r="BF1873" i="3"/>
  <c r="BE1873" i="3"/>
  <c r="T1873" i="3"/>
  <c r="R1873" i="3"/>
  <c r="P1873" i="3"/>
  <c r="J1873" i="3"/>
  <c r="BK1871" i="3"/>
  <c r="BI1871" i="3"/>
  <c r="BH1871" i="3"/>
  <c r="BG1871" i="3"/>
  <c r="BF1871" i="3"/>
  <c r="BE1871" i="3"/>
  <c r="T1871" i="3"/>
  <c r="R1871" i="3"/>
  <c r="P1871" i="3"/>
  <c r="J1871" i="3"/>
  <c r="BK1869" i="3"/>
  <c r="BI1869" i="3"/>
  <c r="BH1869" i="3"/>
  <c r="BG1869" i="3"/>
  <c r="BF1869" i="3"/>
  <c r="BE1869" i="3"/>
  <c r="T1869" i="3"/>
  <c r="R1869" i="3"/>
  <c r="P1869" i="3"/>
  <c r="J1869" i="3"/>
  <c r="BK1867" i="3"/>
  <c r="BI1867" i="3"/>
  <c r="BH1867" i="3"/>
  <c r="BG1867" i="3"/>
  <c r="BF1867" i="3"/>
  <c r="BE1867" i="3"/>
  <c r="T1867" i="3"/>
  <c r="R1867" i="3"/>
  <c r="P1867" i="3"/>
  <c r="J1867" i="3"/>
  <c r="BK1865" i="3"/>
  <c r="BI1865" i="3"/>
  <c r="BH1865" i="3"/>
  <c r="BG1865" i="3"/>
  <c r="BF1865" i="3"/>
  <c r="BE1865" i="3"/>
  <c r="T1865" i="3"/>
  <c r="R1865" i="3"/>
  <c r="P1865" i="3"/>
  <c r="J1865" i="3"/>
  <c r="BK1863" i="3"/>
  <c r="BI1863" i="3"/>
  <c r="BH1863" i="3"/>
  <c r="BG1863" i="3"/>
  <c r="BF1863" i="3"/>
  <c r="BE1863" i="3"/>
  <c r="T1863" i="3"/>
  <c r="R1863" i="3"/>
  <c r="P1863" i="3"/>
  <c r="J1863" i="3"/>
  <c r="BK1861" i="3"/>
  <c r="BI1861" i="3"/>
  <c r="BH1861" i="3"/>
  <c r="BG1861" i="3"/>
  <c r="BF1861" i="3"/>
  <c r="BE1861" i="3"/>
  <c r="T1861" i="3"/>
  <c r="R1861" i="3"/>
  <c r="P1861" i="3"/>
  <c r="J1861" i="3"/>
  <c r="BK1859" i="3"/>
  <c r="BI1859" i="3"/>
  <c r="BH1859" i="3"/>
  <c r="BG1859" i="3"/>
  <c r="BF1859" i="3"/>
  <c r="BE1859" i="3"/>
  <c r="T1859" i="3"/>
  <c r="R1859" i="3"/>
  <c r="P1859" i="3"/>
  <c r="J1859" i="3"/>
  <c r="BK1857" i="3"/>
  <c r="BI1857" i="3"/>
  <c r="BH1857" i="3"/>
  <c r="BG1857" i="3"/>
  <c r="BF1857" i="3"/>
  <c r="BE1857" i="3"/>
  <c r="T1857" i="3"/>
  <c r="R1857" i="3"/>
  <c r="P1857" i="3"/>
  <c r="J1857" i="3"/>
  <c r="BK1855" i="3"/>
  <c r="BI1855" i="3"/>
  <c r="BH1855" i="3"/>
  <c r="BG1855" i="3"/>
  <c r="BF1855" i="3"/>
  <c r="BE1855" i="3"/>
  <c r="T1855" i="3"/>
  <c r="R1855" i="3"/>
  <c r="P1855" i="3"/>
  <c r="J1855" i="3"/>
  <c r="BK1853" i="3"/>
  <c r="BI1853" i="3"/>
  <c r="BH1853" i="3"/>
  <c r="BG1853" i="3"/>
  <c r="BF1853" i="3"/>
  <c r="BE1853" i="3"/>
  <c r="T1853" i="3"/>
  <c r="R1853" i="3"/>
  <c r="P1853" i="3"/>
  <c r="J1853" i="3"/>
  <c r="BK1851" i="3"/>
  <c r="BI1851" i="3"/>
  <c r="BH1851" i="3"/>
  <c r="BG1851" i="3"/>
  <c r="BF1851" i="3"/>
  <c r="BE1851" i="3"/>
  <c r="T1851" i="3"/>
  <c r="R1851" i="3"/>
  <c r="P1851" i="3"/>
  <c r="J1851" i="3"/>
  <c r="BK1849" i="3"/>
  <c r="BI1849" i="3"/>
  <c r="BH1849" i="3"/>
  <c r="BG1849" i="3"/>
  <c r="BF1849" i="3"/>
  <c r="BE1849" i="3"/>
  <c r="T1849" i="3"/>
  <c r="R1849" i="3"/>
  <c r="P1849" i="3"/>
  <c r="J1849" i="3"/>
  <c r="BK1847" i="3"/>
  <c r="BI1847" i="3"/>
  <c r="BH1847" i="3"/>
  <c r="BG1847" i="3"/>
  <c r="BF1847" i="3"/>
  <c r="BE1847" i="3"/>
  <c r="T1847" i="3"/>
  <c r="R1847" i="3"/>
  <c r="P1847" i="3"/>
  <c r="J1847" i="3"/>
  <c r="BK1845" i="3"/>
  <c r="BI1845" i="3"/>
  <c r="BH1845" i="3"/>
  <c r="BG1845" i="3"/>
  <c r="BF1845" i="3"/>
  <c r="BE1845" i="3"/>
  <c r="T1845" i="3"/>
  <c r="R1845" i="3"/>
  <c r="P1845" i="3"/>
  <c r="J1845" i="3"/>
  <c r="BK1843" i="3"/>
  <c r="BI1843" i="3"/>
  <c r="BH1843" i="3"/>
  <c r="BG1843" i="3"/>
  <c r="BF1843" i="3"/>
  <c r="BE1843" i="3"/>
  <c r="T1843" i="3"/>
  <c r="R1843" i="3"/>
  <c r="P1843" i="3"/>
  <c r="J1843" i="3"/>
  <c r="BK1841" i="3"/>
  <c r="BI1841" i="3"/>
  <c r="BH1841" i="3"/>
  <c r="BG1841" i="3"/>
  <c r="BF1841" i="3"/>
  <c r="BE1841" i="3"/>
  <c r="T1841" i="3"/>
  <c r="R1841" i="3"/>
  <c r="P1841" i="3"/>
  <c r="J1841" i="3"/>
  <c r="BK1839" i="3"/>
  <c r="BI1839" i="3"/>
  <c r="BH1839" i="3"/>
  <c r="BG1839" i="3"/>
  <c r="BF1839" i="3"/>
  <c r="BE1839" i="3"/>
  <c r="T1839" i="3"/>
  <c r="R1839" i="3"/>
  <c r="P1839" i="3"/>
  <c r="J1839" i="3"/>
  <c r="BK1838" i="3"/>
  <c r="T1838" i="3"/>
  <c r="R1838" i="3"/>
  <c r="P1838" i="3"/>
  <c r="J1838" i="3"/>
  <c r="BK1836" i="3"/>
  <c r="BI1836" i="3"/>
  <c r="BH1836" i="3"/>
  <c r="BG1836" i="3"/>
  <c r="BF1836" i="3"/>
  <c r="BE1836" i="3"/>
  <c r="T1836" i="3"/>
  <c r="R1836" i="3"/>
  <c r="P1836" i="3"/>
  <c r="J1836" i="3"/>
  <c r="BK1834" i="3"/>
  <c r="BI1834" i="3"/>
  <c r="BH1834" i="3"/>
  <c r="BG1834" i="3"/>
  <c r="BF1834" i="3"/>
  <c r="BE1834" i="3"/>
  <c r="T1834" i="3"/>
  <c r="R1834" i="3"/>
  <c r="P1834" i="3"/>
  <c r="J1834" i="3"/>
  <c r="BK1832" i="3"/>
  <c r="BI1832" i="3"/>
  <c r="BH1832" i="3"/>
  <c r="BG1832" i="3"/>
  <c r="BF1832" i="3"/>
  <c r="BE1832" i="3"/>
  <c r="T1832" i="3"/>
  <c r="R1832" i="3"/>
  <c r="P1832" i="3"/>
  <c r="J1832" i="3"/>
  <c r="BK1830" i="3"/>
  <c r="BI1830" i="3"/>
  <c r="BH1830" i="3"/>
  <c r="BG1830" i="3"/>
  <c r="BF1830" i="3"/>
  <c r="BE1830" i="3"/>
  <c r="T1830" i="3"/>
  <c r="R1830" i="3"/>
  <c r="P1830" i="3"/>
  <c r="J1830" i="3"/>
  <c r="BK1828" i="3"/>
  <c r="BI1828" i="3"/>
  <c r="BH1828" i="3"/>
  <c r="BG1828" i="3"/>
  <c r="BF1828" i="3"/>
  <c r="BE1828" i="3"/>
  <c r="T1828" i="3"/>
  <c r="R1828" i="3"/>
  <c r="P1828" i="3"/>
  <c r="J1828" i="3"/>
  <c r="BK1826" i="3"/>
  <c r="BI1826" i="3"/>
  <c r="BH1826" i="3"/>
  <c r="BG1826" i="3"/>
  <c r="BF1826" i="3"/>
  <c r="BE1826" i="3"/>
  <c r="T1826" i="3"/>
  <c r="R1826" i="3"/>
  <c r="P1826" i="3"/>
  <c r="J1826" i="3"/>
  <c r="BK1824" i="3"/>
  <c r="BI1824" i="3"/>
  <c r="BH1824" i="3"/>
  <c r="BG1824" i="3"/>
  <c r="BF1824" i="3"/>
  <c r="BE1824" i="3"/>
  <c r="T1824" i="3"/>
  <c r="R1824" i="3"/>
  <c r="P1824" i="3"/>
  <c r="J1824" i="3"/>
  <c r="BK1822" i="3"/>
  <c r="BI1822" i="3"/>
  <c r="BH1822" i="3"/>
  <c r="BG1822" i="3"/>
  <c r="BF1822" i="3"/>
  <c r="BE1822" i="3"/>
  <c r="T1822" i="3"/>
  <c r="R1822" i="3"/>
  <c r="P1822" i="3"/>
  <c r="J1822" i="3"/>
  <c r="BK1820" i="3"/>
  <c r="BI1820" i="3"/>
  <c r="BH1820" i="3"/>
  <c r="BG1820" i="3"/>
  <c r="BF1820" i="3"/>
  <c r="BE1820" i="3"/>
  <c r="T1820" i="3"/>
  <c r="R1820" i="3"/>
  <c r="P1820" i="3"/>
  <c r="J1820" i="3"/>
  <c r="BK1818" i="3"/>
  <c r="BI1818" i="3"/>
  <c r="BH1818" i="3"/>
  <c r="BG1818" i="3"/>
  <c r="BF1818" i="3"/>
  <c r="BE1818" i="3"/>
  <c r="T1818" i="3"/>
  <c r="R1818" i="3"/>
  <c r="P1818" i="3"/>
  <c r="J1818" i="3"/>
  <c r="BK1816" i="3"/>
  <c r="BI1816" i="3"/>
  <c r="BH1816" i="3"/>
  <c r="BG1816" i="3"/>
  <c r="BF1816" i="3"/>
  <c r="BE1816" i="3"/>
  <c r="T1816" i="3"/>
  <c r="R1816" i="3"/>
  <c r="P1816" i="3"/>
  <c r="J1816" i="3"/>
  <c r="BK1814" i="3"/>
  <c r="BI1814" i="3"/>
  <c r="BH1814" i="3"/>
  <c r="BG1814" i="3"/>
  <c r="BF1814" i="3"/>
  <c r="BE1814" i="3"/>
  <c r="T1814" i="3"/>
  <c r="R1814" i="3"/>
  <c r="P1814" i="3"/>
  <c r="J1814" i="3"/>
  <c r="BK1812" i="3"/>
  <c r="BI1812" i="3"/>
  <c r="BH1812" i="3"/>
  <c r="BG1812" i="3"/>
  <c r="BF1812" i="3"/>
  <c r="BE1812" i="3"/>
  <c r="T1812" i="3"/>
  <c r="R1812" i="3"/>
  <c r="P1812" i="3"/>
  <c r="J1812" i="3"/>
  <c r="BK1810" i="3"/>
  <c r="BI1810" i="3"/>
  <c r="BH1810" i="3"/>
  <c r="BG1810" i="3"/>
  <c r="BF1810" i="3"/>
  <c r="BE1810" i="3"/>
  <c r="T1810" i="3"/>
  <c r="R1810" i="3"/>
  <c r="P1810" i="3"/>
  <c r="J1810" i="3"/>
  <c r="BK1808" i="3"/>
  <c r="BI1808" i="3"/>
  <c r="BH1808" i="3"/>
  <c r="BG1808" i="3"/>
  <c r="BF1808" i="3"/>
  <c r="BE1808" i="3"/>
  <c r="T1808" i="3"/>
  <c r="R1808" i="3"/>
  <c r="P1808" i="3"/>
  <c r="J1808" i="3"/>
  <c r="BK1806" i="3"/>
  <c r="BI1806" i="3"/>
  <c r="BH1806" i="3"/>
  <c r="BG1806" i="3"/>
  <c r="BF1806" i="3"/>
  <c r="BE1806" i="3"/>
  <c r="T1806" i="3"/>
  <c r="R1806" i="3"/>
  <c r="P1806" i="3"/>
  <c r="J1806" i="3"/>
  <c r="BK1804" i="3"/>
  <c r="BI1804" i="3"/>
  <c r="BH1804" i="3"/>
  <c r="BG1804" i="3"/>
  <c r="BF1804" i="3"/>
  <c r="BE1804" i="3"/>
  <c r="T1804" i="3"/>
  <c r="R1804" i="3"/>
  <c r="P1804" i="3"/>
  <c r="J1804" i="3"/>
  <c r="BK1803" i="3"/>
  <c r="T1803" i="3"/>
  <c r="R1803" i="3"/>
  <c r="P1803" i="3"/>
  <c r="J1803" i="3"/>
  <c r="BK1801" i="3"/>
  <c r="BI1801" i="3"/>
  <c r="BH1801" i="3"/>
  <c r="BG1801" i="3"/>
  <c r="BF1801" i="3"/>
  <c r="BE1801" i="3"/>
  <c r="T1801" i="3"/>
  <c r="R1801" i="3"/>
  <c r="P1801" i="3"/>
  <c r="J1801" i="3"/>
  <c r="BK1799" i="3"/>
  <c r="BI1799" i="3"/>
  <c r="BH1799" i="3"/>
  <c r="BG1799" i="3"/>
  <c r="BF1799" i="3"/>
  <c r="BE1799" i="3"/>
  <c r="T1799" i="3"/>
  <c r="R1799" i="3"/>
  <c r="P1799" i="3"/>
  <c r="J1799" i="3"/>
  <c r="BK1797" i="3"/>
  <c r="BI1797" i="3"/>
  <c r="BH1797" i="3"/>
  <c r="BG1797" i="3"/>
  <c r="BF1797" i="3"/>
  <c r="BE1797" i="3"/>
  <c r="T1797" i="3"/>
  <c r="R1797" i="3"/>
  <c r="P1797" i="3"/>
  <c r="J1797" i="3"/>
  <c r="BK1795" i="3"/>
  <c r="BI1795" i="3"/>
  <c r="BH1795" i="3"/>
  <c r="BG1795" i="3"/>
  <c r="BF1795" i="3"/>
  <c r="BE1795" i="3"/>
  <c r="T1795" i="3"/>
  <c r="R1795" i="3"/>
  <c r="P1795" i="3"/>
  <c r="J1795" i="3"/>
  <c r="BK1793" i="3"/>
  <c r="BI1793" i="3"/>
  <c r="BH1793" i="3"/>
  <c r="BG1793" i="3"/>
  <c r="BF1793" i="3"/>
  <c r="BE1793" i="3"/>
  <c r="T1793" i="3"/>
  <c r="R1793" i="3"/>
  <c r="P1793" i="3"/>
  <c r="J1793" i="3"/>
  <c r="BK1791" i="3"/>
  <c r="BI1791" i="3"/>
  <c r="BH1791" i="3"/>
  <c r="BG1791" i="3"/>
  <c r="BF1791" i="3"/>
  <c r="BE1791" i="3"/>
  <c r="T1791" i="3"/>
  <c r="R1791" i="3"/>
  <c r="P1791" i="3"/>
  <c r="J1791" i="3"/>
  <c r="BK1789" i="3"/>
  <c r="BI1789" i="3"/>
  <c r="BH1789" i="3"/>
  <c r="BG1789" i="3"/>
  <c r="BF1789" i="3"/>
  <c r="BE1789" i="3"/>
  <c r="T1789" i="3"/>
  <c r="R1789" i="3"/>
  <c r="P1789" i="3"/>
  <c r="J1789" i="3"/>
  <c r="BK1787" i="3"/>
  <c r="BI1787" i="3"/>
  <c r="BH1787" i="3"/>
  <c r="BG1787" i="3"/>
  <c r="BF1787" i="3"/>
  <c r="BE1787" i="3"/>
  <c r="T1787" i="3"/>
  <c r="R1787" i="3"/>
  <c r="P1787" i="3"/>
  <c r="J1787" i="3"/>
  <c r="BK1785" i="3"/>
  <c r="BI1785" i="3"/>
  <c r="BH1785" i="3"/>
  <c r="BG1785" i="3"/>
  <c r="BF1785" i="3"/>
  <c r="BE1785" i="3"/>
  <c r="T1785" i="3"/>
  <c r="R1785" i="3"/>
  <c r="P1785" i="3"/>
  <c r="J1785" i="3"/>
  <c r="BK1783" i="3"/>
  <c r="BI1783" i="3"/>
  <c r="BH1783" i="3"/>
  <c r="BG1783" i="3"/>
  <c r="BF1783" i="3"/>
  <c r="BE1783" i="3"/>
  <c r="T1783" i="3"/>
  <c r="R1783" i="3"/>
  <c r="P1783" i="3"/>
  <c r="J1783" i="3"/>
  <c r="BK1781" i="3"/>
  <c r="BI1781" i="3"/>
  <c r="BH1781" i="3"/>
  <c r="BG1781" i="3"/>
  <c r="BF1781" i="3"/>
  <c r="BE1781" i="3"/>
  <c r="T1781" i="3"/>
  <c r="R1781" i="3"/>
  <c r="P1781" i="3"/>
  <c r="J1781" i="3"/>
  <c r="BK1779" i="3"/>
  <c r="BI1779" i="3"/>
  <c r="BH1779" i="3"/>
  <c r="BG1779" i="3"/>
  <c r="BF1779" i="3"/>
  <c r="BE1779" i="3"/>
  <c r="T1779" i="3"/>
  <c r="R1779" i="3"/>
  <c r="P1779" i="3"/>
  <c r="J1779" i="3"/>
  <c r="BK1777" i="3"/>
  <c r="BI1777" i="3"/>
  <c r="BH1777" i="3"/>
  <c r="BG1777" i="3"/>
  <c r="BF1777" i="3"/>
  <c r="BE1777" i="3"/>
  <c r="T1777" i="3"/>
  <c r="R1777" i="3"/>
  <c r="P1777" i="3"/>
  <c r="J1777" i="3"/>
  <c r="BK1775" i="3"/>
  <c r="BI1775" i="3"/>
  <c r="BH1775" i="3"/>
  <c r="BG1775" i="3"/>
  <c r="BF1775" i="3"/>
  <c r="BE1775" i="3"/>
  <c r="T1775" i="3"/>
  <c r="R1775" i="3"/>
  <c r="P1775" i="3"/>
  <c r="J1775" i="3"/>
  <c r="BK1773" i="3"/>
  <c r="BI1773" i="3"/>
  <c r="BH1773" i="3"/>
  <c r="BG1773" i="3"/>
  <c r="BF1773" i="3"/>
  <c r="BE1773" i="3"/>
  <c r="T1773" i="3"/>
  <c r="R1773" i="3"/>
  <c r="P1773" i="3"/>
  <c r="J1773" i="3"/>
  <c r="BK1771" i="3"/>
  <c r="BI1771" i="3"/>
  <c r="BH1771" i="3"/>
  <c r="BG1771" i="3"/>
  <c r="BF1771" i="3"/>
  <c r="BE1771" i="3"/>
  <c r="T1771" i="3"/>
  <c r="R1771" i="3"/>
  <c r="P1771" i="3"/>
  <c r="J1771" i="3"/>
  <c r="BK1769" i="3"/>
  <c r="BI1769" i="3"/>
  <c r="BH1769" i="3"/>
  <c r="BG1769" i="3"/>
  <c r="BF1769" i="3"/>
  <c r="BE1769" i="3"/>
  <c r="T1769" i="3"/>
  <c r="R1769" i="3"/>
  <c r="P1769" i="3"/>
  <c r="J1769" i="3"/>
  <c r="BK1767" i="3"/>
  <c r="BI1767" i="3"/>
  <c r="BH1767" i="3"/>
  <c r="BG1767" i="3"/>
  <c r="BF1767" i="3"/>
  <c r="BE1767" i="3"/>
  <c r="T1767" i="3"/>
  <c r="R1767" i="3"/>
  <c r="P1767" i="3"/>
  <c r="J1767" i="3"/>
  <c r="BK1765" i="3"/>
  <c r="BI1765" i="3"/>
  <c r="BH1765" i="3"/>
  <c r="BG1765" i="3"/>
  <c r="BF1765" i="3"/>
  <c r="BE1765" i="3"/>
  <c r="T1765" i="3"/>
  <c r="R1765" i="3"/>
  <c r="P1765" i="3"/>
  <c r="J1765" i="3"/>
  <c r="BK1763" i="3"/>
  <c r="BI1763" i="3"/>
  <c r="BH1763" i="3"/>
  <c r="BG1763" i="3"/>
  <c r="BF1763" i="3"/>
  <c r="BE1763" i="3"/>
  <c r="T1763" i="3"/>
  <c r="R1763" i="3"/>
  <c r="P1763" i="3"/>
  <c r="J1763" i="3"/>
  <c r="BK1761" i="3"/>
  <c r="BI1761" i="3"/>
  <c r="BH1761" i="3"/>
  <c r="BG1761" i="3"/>
  <c r="BF1761" i="3"/>
  <c r="BE1761" i="3"/>
  <c r="T1761" i="3"/>
  <c r="R1761" i="3"/>
  <c r="P1761" i="3"/>
  <c r="J1761" i="3"/>
  <c r="BK1759" i="3"/>
  <c r="BI1759" i="3"/>
  <c r="BH1759" i="3"/>
  <c r="BG1759" i="3"/>
  <c r="BF1759" i="3"/>
  <c r="BE1759" i="3"/>
  <c r="T1759" i="3"/>
  <c r="R1759" i="3"/>
  <c r="P1759" i="3"/>
  <c r="J1759" i="3"/>
  <c r="BK1757" i="3"/>
  <c r="BI1757" i="3"/>
  <c r="BH1757" i="3"/>
  <c r="BG1757" i="3"/>
  <c r="BF1757" i="3"/>
  <c r="BE1757" i="3"/>
  <c r="T1757" i="3"/>
  <c r="R1757" i="3"/>
  <c r="P1757" i="3"/>
  <c r="J1757" i="3"/>
  <c r="BK1755" i="3"/>
  <c r="BI1755" i="3"/>
  <c r="BH1755" i="3"/>
  <c r="BG1755" i="3"/>
  <c r="BF1755" i="3"/>
  <c r="BE1755" i="3"/>
  <c r="T1755" i="3"/>
  <c r="R1755" i="3"/>
  <c r="P1755" i="3"/>
  <c r="J1755" i="3"/>
  <c r="BK1753" i="3"/>
  <c r="BI1753" i="3"/>
  <c r="BH1753" i="3"/>
  <c r="BG1753" i="3"/>
  <c r="BF1753" i="3"/>
  <c r="BE1753" i="3"/>
  <c r="T1753" i="3"/>
  <c r="R1753" i="3"/>
  <c r="P1753" i="3"/>
  <c r="J1753" i="3"/>
  <c r="BK1751" i="3"/>
  <c r="BI1751" i="3"/>
  <c r="BH1751" i="3"/>
  <c r="BG1751" i="3"/>
  <c r="BF1751" i="3"/>
  <c r="BE1751" i="3"/>
  <c r="T1751" i="3"/>
  <c r="R1751" i="3"/>
  <c r="P1751" i="3"/>
  <c r="J1751" i="3"/>
  <c r="BK1749" i="3"/>
  <c r="BI1749" i="3"/>
  <c r="BH1749" i="3"/>
  <c r="BG1749" i="3"/>
  <c r="BF1749" i="3"/>
  <c r="BE1749" i="3"/>
  <c r="T1749" i="3"/>
  <c r="R1749" i="3"/>
  <c r="P1749" i="3"/>
  <c r="J1749" i="3"/>
  <c r="BK1747" i="3"/>
  <c r="BI1747" i="3"/>
  <c r="BH1747" i="3"/>
  <c r="BG1747" i="3"/>
  <c r="BF1747" i="3"/>
  <c r="BE1747" i="3"/>
  <c r="T1747" i="3"/>
  <c r="R1747" i="3"/>
  <c r="P1747" i="3"/>
  <c r="J1747" i="3"/>
  <c r="BK1745" i="3"/>
  <c r="BI1745" i="3"/>
  <c r="BH1745" i="3"/>
  <c r="BG1745" i="3"/>
  <c r="BF1745" i="3"/>
  <c r="BE1745" i="3"/>
  <c r="T1745" i="3"/>
  <c r="R1745" i="3"/>
  <c r="P1745" i="3"/>
  <c r="J1745" i="3"/>
  <c r="BK1743" i="3"/>
  <c r="BI1743" i="3"/>
  <c r="BH1743" i="3"/>
  <c r="BG1743" i="3"/>
  <c r="BF1743" i="3"/>
  <c r="BE1743" i="3"/>
  <c r="T1743" i="3"/>
  <c r="R1743" i="3"/>
  <c r="P1743" i="3"/>
  <c r="J1743" i="3"/>
  <c r="BK1741" i="3"/>
  <c r="BI1741" i="3"/>
  <c r="BH1741" i="3"/>
  <c r="BG1741" i="3"/>
  <c r="BF1741" i="3"/>
  <c r="BE1741" i="3"/>
  <c r="T1741" i="3"/>
  <c r="R1741" i="3"/>
  <c r="P1741" i="3"/>
  <c r="J1741" i="3"/>
  <c r="BK1739" i="3"/>
  <c r="BI1739" i="3"/>
  <c r="BH1739" i="3"/>
  <c r="BG1739" i="3"/>
  <c r="BF1739" i="3"/>
  <c r="BE1739" i="3"/>
  <c r="T1739" i="3"/>
  <c r="R1739" i="3"/>
  <c r="P1739" i="3"/>
  <c r="J1739" i="3"/>
  <c r="BK1737" i="3"/>
  <c r="BI1737" i="3"/>
  <c r="BH1737" i="3"/>
  <c r="BG1737" i="3"/>
  <c r="BF1737" i="3"/>
  <c r="BE1737" i="3"/>
  <c r="T1737" i="3"/>
  <c r="R1737" i="3"/>
  <c r="P1737" i="3"/>
  <c r="J1737" i="3"/>
  <c r="BK1735" i="3"/>
  <c r="BI1735" i="3"/>
  <c r="BH1735" i="3"/>
  <c r="BG1735" i="3"/>
  <c r="BF1735" i="3"/>
  <c r="BE1735" i="3"/>
  <c r="T1735" i="3"/>
  <c r="R1735" i="3"/>
  <c r="P1735" i="3"/>
  <c r="J1735" i="3"/>
  <c r="BK1733" i="3"/>
  <c r="BI1733" i="3"/>
  <c r="BH1733" i="3"/>
  <c r="BG1733" i="3"/>
  <c r="BF1733" i="3"/>
  <c r="BE1733" i="3"/>
  <c r="T1733" i="3"/>
  <c r="R1733" i="3"/>
  <c r="P1733" i="3"/>
  <c r="J1733" i="3"/>
  <c r="BK1731" i="3"/>
  <c r="BI1731" i="3"/>
  <c r="BH1731" i="3"/>
  <c r="BG1731" i="3"/>
  <c r="BF1731" i="3"/>
  <c r="BE1731" i="3"/>
  <c r="T1731" i="3"/>
  <c r="R1731" i="3"/>
  <c r="P1731" i="3"/>
  <c r="J1731" i="3"/>
  <c r="BK1729" i="3"/>
  <c r="BI1729" i="3"/>
  <c r="BH1729" i="3"/>
  <c r="BG1729" i="3"/>
  <c r="BF1729" i="3"/>
  <c r="BE1729" i="3"/>
  <c r="T1729" i="3"/>
  <c r="R1729" i="3"/>
  <c r="P1729" i="3"/>
  <c r="J1729" i="3"/>
  <c r="BK1727" i="3"/>
  <c r="BI1727" i="3"/>
  <c r="BH1727" i="3"/>
  <c r="BG1727" i="3"/>
  <c r="BF1727" i="3"/>
  <c r="BE1727" i="3"/>
  <c r="T1727" i="3"/>
  <c r="R1727" i="3"/>
  <c r="P1727" i="3"/>
  <c r="J1727" i="3"/>
  <c r="BK1725" i="3"/>
  <c r="BI1725" i="3"/>
  <c r="BH1725" i="3"/>
  <c r="BG1725" i="3"/>
  <c r="BF1725" i="3"/>
  <c r="BE1725" i="3"/>
  <c r="T1725" i="3"/>
  <c r="R1725" i="3"/>
  <c r="P1725" i="3"/>
  <c r="J1725" i="3"/>
  <c r="BK1723" i="3"/>
  <c r="BI1723" i="3"/>
  <c r="BH1723" i="3"/>
  <c r="BG1723" i="3"/>
  <c r="BF1723" i="3"/>
  <c r="BE1723" i="3"/>
  <c r="T1723" i="3"/>
  <c r="R1723" i="3"/>
  <c r="P1723" i="3"/>
  <c r="J1723" i="3"/>
  <c r="BK1721" i="3"/>
  <c r="BI1721" i="3"/>
  <c r="BH1721" i="3"/>
  <c r="BG1721" i="3"/>
  <c r="BF1721" i="3"/>
  <c r="BE1721" i="3"/>
  <c r="T1721" i="3"/>
  <c r="R1721" i="3"/>
  <c r="P1721" i="3"/>
  <c r="J1721" i="3"/>
  <c r="BK1719" i="3"/>
  <c r="BI1719" i="3"/>
  <c r="BH1719" i="3"/>
  <c r="BG1719" i="3"/>
  <c r="BF1719" i="3"/>
  <c r="BE1719" i="3"/>
  <c r="T1719" i="3"/>
  <c r="R1719" i="3"/>
  <c r="P1719" i="3"/>
  <c r="J1719" i="3"/>
  <c r="BK1717" i="3"/>
  <c r="BI1717" i="3"/>
  <c r="BH1717" i="3"/>
  <c r="BG1717" i="3"/>
  <c r="BF1717" i="3"/>
  <c r="BE1717" i="3"/>
  <c r="T1717" i="3"/>
  <c r="R1717" i="3"/>
  <c r="P1717" i="3"/>
  <c r="J1717" i="3"/>
  <c r="BK1715" i="3"/>
  <c r="BI1715" i="3"/>
  <c r="BH1715" i="3"/>
  <c r="BG1715" i="3"/>
  <c r="BF1715" i="3"/>
  <c r="BE1715" i="3"/>
  <c r="T1715" i="3"/>
  <c r="R1715" i="3"/>
  <c r="P1715" i="3"/>
  <c r="J1715" i="3"/>
  <c r="BK1713" i="3"/>
  <c r="BI1713" i="3"/>
  <c r="BH1713" i="3"/>
  <c r="BG1713" i="3"/>
  <c r="BF1713" i="3"/>
  <c r="BE1713" i="3"/>
  <c r="T1713" i="3"/>
  <c r="R1713" i="3"/>
  <c r="P1713" i="3"/>
  <c r="J1713" i="3"/>
  <c r="BK1711" i="3"/>
  <c r="BI1711" i="3"/>
  <c r="BH1711" i="3"/>
  <c r="BG1711" i="3"/>
  <c r="BF1711" i="3"/>
  <c r="BE1711" i="3"/>
  <c r="T1711" i="3"/>
  <c r="R1711" i="3"/>
  <c r="P1711" i="3"/>
  <c r="J1711" i="3"/>
  <c r="BK1709" i="3"/>
  <c r="BI1709" i="3"/>
  <c r="BH1709" i="3"/>
  <c r="BG1709" i="3"/>
  <c r="BF1709" i="3"/>
  <c r="BE1709" i="3"/>
  <c r="T1709" i="3"/>
  <c r="R1709" i="3"/>
  <c r="P1709" i="3"/>
  <c r="J1709" i="3"/>
  <c r="BK1707" i="3"/>
  <c r="BI1707" i="3"/>
  <c r="BH1707" i="3"/>
  <c r="BG1707" i="3"/>
  <c r="BF1707" i="3"/>
  <c r="BE1707" i="3"/>
  <c r="T1707" i="3"/>
  <c r="R1707" i="3"/>
  <c r="P1707" i="3"/>
  <c r="J1707" i="3"/>
  <c r="BK1705" i="3"/>
  <c r="BI1705" i="3"/>
  <c r="BH1705" i="3"/>
  <c r="BG1705" i="3"/>
  <c r="BF1705" i="3"/>
  <c r="BE1705" i="3"/>
  <c r="T1705" i="3"/>
  <c r="R1705" i="3"/>
  <c r="P1705" i="3"/>
  <c r="J1705" i="3"/>
  <c r="BK1703" i="3"/>
  <c r="BI1703" i="3"/>
  <c r="BH1703" i="3"/>
  <c r="BG1703" i="3"/>
  <c r="BF1703" i="3"/>
  <c r="BE1703" i="3"/>
  <c r="T1703" i="3"/>
  <c r="R1703" i="3"/>
  <c r="P1703" i="3"/>
  <c r="J1703" i="3"/>
  <c r="BK1701" i="3"/>
  <c r="BI1701" i="3"/>
  <c r="BH1701" i="3"/>
  <c r="BG1701" i="3"/>
  <c r="BF1701" i="3"/>
  <c r="BE1701" i="3"/>
  <c r="T1701" i="3"/>
  <c r="R1701" i="3"/>
  <c r="P1701" i="3"/>
  <c r="J1701" i="3"/>
  <c r="BK1699" i="3"/>
  <c r="BI1699" i="3"/>
  <c r="BH1699" i="3"/>
  <c r="BG1699" i="3"/>
  <c r="BF1699" i="3"/>
  <c r="BE1699" i="3"/>
  <c r="T1699" i="3"/>
  <c r="R1699" i="3"/>
  <c r="P1699" i="3"/>
  <c r="J1699" i="3"/>
  <c r="BK1697" i="3"/>
  <c r="BI1697" i="3"/>
  <c r="BH1697" i="3"/>
  <c r="BG1697" i="3"/>
  <c r="BF1697" i="3"/>
  <c r="BE1697" i="3"/>
  <c r="T1697" i="3"/>
  <c r="R1697" i="3"/>
  <c r="P1697" i="3"/>
  <c r="J1697" i="3"/>
  <c r="BK1695" i="3"/>
  <c r="BI1695" i="3"/>
  <c r="BH1695" i="3"/>
  <c r="BG1695" i="3"/>
  <c r="BF1695" i="3"/>
  <c r="BE1695" i="3"/>
  <c r="T1695" i="3"/>
  <c r="R1695" i="3"/>
  <c r="P1695" i="3"/>
  <c r="J1695" i="3"/>
  <c r="BK1693" i="3"/>
  <c r="BI1693" i="3"/>
  <c r="BH1693" i="3"/>
  <c r="BG1693" i="3"/>
  <c r="BF1693" i="3"/>
  <c r="BE1693" i="3"/>
  <c r="T1693" i="3"/>
  <c r="R1693" i="3"/>
  <c r="P1693" i="3"/>
  <c r="J1693" i="3"/>
  <c r="BK1691" i="3"/>
  <c r="BI1691" i="3"/>
  <c r="BH1691" i="3"/>
  <c r="BG1691" i="3"/>
  <c r="BF1691" i="3"/>
  <c r="BE1691" i="3"/>
  <c r="T1691" i="3"/>
  <c r="R1691" i="3"/>
  <c r="P1691" i="3"/>
  <c r="J1691" i="3"/>
  <c r="BK1689" i="3"/>
  <c r="BI1689" i="3"/>
  <c r="BH1689" i="3"/>
  <c r="BG1689" i="3"/>
  <c r="BF1689" i="3"/>
  <c r="BE1689" i="3"/>
  <c r="T1689" i="3"/>
  <c r="R1689" i="3"/>
  <c r="P1689" i="3"/>
  <c r="J1689" i="3"/>
  <c r="BK1687" i="3"/>
  <c r="BI1687" i="3"/>
  <c r="BH1687" i="3"/>
  <c r="BG1687" i="3"/>
  <c r="BF1687" i="3"/>
  <c r="BE1687" i="3"/>
  <c r="T1687" i="3"/>
  <c r="R1687" i="3"/>
  <c r="P1687" i="3"/>
  <c r="J1687" i="3"/>
  <c r="BK1685" i="3"/>
  <c r="BI1685" i="3"/>
  <c r="BH1685" i="3"/>
  <c r="BG1685" i="3"/>
  <c r="BF1685" i="3"/>
  <c r="BE1685" i="3"/>
  <c r="T1685" i="3"/>
  <c r="R1685" i="3"/>
  <c r="P1685" i="3"/>
  <c r="J1685" i="3"/>
  <c r="BK1683" i="3"/>
  <c r="BI1683" i="3"/>
  <c r="BH1683" i="3"/>
  <c r="BG1683" i="3"/>
  <c r="BF1683" i="3"/>
  <c r="BE1683" i="3"/>
  <c r="T1683" i="3"/>
  <c r="R1683" i="3"/>
  <c r="P1683" i="3"/>
  <c r="J1683" i="3"/>
  <c r="BK1681" i="3"/>
  <c r="BI1681" i="3"/>
  <c r="BH1681" i="3"/>
  <c r="BG1681" i="3"/>
  <c r="BF1681" i="3"/>
  <c r="BE1681" i="3"/>
  <c r="T1681" i="3"/>
  <c r="R1681" i="3"/>
  <c r="P1681" i="3"/>
  <c r="J1681" i="3"/>
  <c r="BK1679" i="3"/>
  <c r="BI1679" i="3"/>
  <c r="BH1679" i="3"/>
  <c r="BG1679" i="3"/>
  <c r="BF1679" i="3"/>
  <c r="BE1679" i="3"/>
  <c r="T1679" i="3"/>
  <c r="R1679" i="3"/>
  <c r="P1679" i="3"/>
  <c r="J1679" i="3"/>
  <c r="BK1677" i="3"/>
  <c r="BI1677" i="3"/>
  <c r="BH1677" i="3"/>
  <c r="BG1677" i="3"/>
  <c r="BF1677" i="3"/>
  <c r="BE1677" i="3"/>
  <c r="T1677" i="3"/>
  <c r="R1677" i="3"/>
  <c r="P1677" i="3"/>
  <c r="J1677" i="3"/>
  <c r="BK1675" i="3"/>
  <c r="BI1675" i="3"/>
  <c r="BH1675" i="3"/>
  <c r="BG1675" i="3"/>
  <c r="BF1675" i="3"/>
  <c r="BE1675" i="3"/>
  <c r="T1675" i="3"/>
  <c r="R1675" i="3"/>
  <c r="P1675" i="3"/>
  <c r="J1675" i="3"/>
  <c r="BK1673" i="3"/>
  <c r="BI1673" i="3"/>
  <c r="BH1673" i="3"/>
  <c r="BG1673" i="3"/>
  <c r="BF1673" i="3"/>
  <c r="BE1673" i="3"/>
  <c r="T1673" i="3"/>
  <c r="R1673" i="3"/>
  <c r="P1673" i="3"/>
  <c r="J1673" i="3"/>
  <c r="BK1671" i="3"/>
  <c r="BI1671" i="3"/>
  <c r="BH1671" i="3"/>
  <c r="BG1671" i="3"/>
  <c r="BF1671" i="3"/>
  <c r="BE1671" i="3"/>
  <c r="T1671" i="3"/>
  <c r="R1671" i="3"/>
  <c r="P1671" i="3"/>
  <c r="J1671" i="3"/>
  <c r="BK1669" i="3"/>
  <c r="BI1669" i="3"/>
  <c r="BH1669" i="3"/>
  <c r="BG1669" i="3"/>
  <c r="BF1669" i="3"/>
  <c r="BE1669" i="3"/>
  <c r="T1669" i="3"/>
  <c r="R1669" i="3"/>
  <c r="P1669" i="3"/>
  <c r="J1669" i="3"/>
  <c r="BK1667" i="3"/>
  <c r="BI1667" i="3"/>
  <c r="BH1667" i="3"/>
  <c r="BG1667" i="3"/>
  <c r="BF1667" i="3"/>
  <c r="BE1667" i="3"/>
  <c r="T1667" i="3"/>
  <c r="R1667" i="3"/>
  <c r="P1667" i="3"/>
  <c r="J1667" i="3"/>
  <c r="BK1665" i="3"/>
  <c r="BI1665" i="3"/>
  <c r="BH1665" i="3"/>
  <c r="BG1665" i="3"/>
  <c r="BF1665" i="3"/>
  <c r="BE1665" i="3"/>
  <c r="T1665" i="3"/>
  <c r="R1665" i="3"/>
  <c r="P1665" i="3"/>
  <c r="J1665" i="3"/>
  <c r="BK1663" i="3"/>
  <c r="BI1663" i="3"/>
  <c r="BH1663" i="3"/>
  <c r="BG1663" i="3"/>
  <c r="BF1663" i="3"/>
  <c r="BE1663" i="3"/>
  <c r="T1663" i="3"/>
  <c r="R1663" i="3"/>
  <c r="P1663" i="3"/>
  <c r="J1663" i="3"/>
  <c r="BK1661" i="3"/>
  <c r="BI1661" i="3"/>
  <c r="BH1661" i="3"/>
  <c r="BG1661" i="3"/>
  <c r="BF1661" i="3"/>
  <c r="BE1661" i="3"/>
  <c r="T1661" i="3"/>
  <c r="R1661" i="3"/>
  <c r="P1661" i="3"/>
  <c r="J1661" i="3"/>
  <c r="BK1659" i="3"/>
  <c r="BI1659" i="3"/>
  <c r="BH1659" i="3"/>
  <c r="BG1659" i="3"/>
  <c r="BF1659" i="3"/>
  <c r="BE1659" i="3"/>
  <c r="T1659" i="3"/>
  <c r="R1659" i="3"/>
  <c r="P1659" i="3"/>
  <c r="J1659" i="3"/>
  <c r="BK1657" i="3"/>
  <c r="BI1657" i="3"/>
  <c r="BH1657" i="3"/>
  <c r="BG1657" i="3"/>
  <c r="BF1657" i="3"/>
  <c r="BE1657" i="3"/>
  <c r="T1657" i="3"/>
  <c r="R1657" i="3"/>
  <c r="P1657" i="3"/>
  <c r="J1657" i="3"/>
  <c r="BK1655" i="3"/>
  <c r="BI1655" i="3"/>
  <c r="BH1655" i="3"/>
  <c r="BG1655" i="3"/>
  <c r="BF1655" i="3"/>
  <c r="BE1655" i="3"/>
  <c r="T1655" i="3"/>
  <c r="R1655" i="3"/>
  <c r="P1655" i="3"/>
  <c r="J1655" i="3"/>
  <c r="BK1653" i="3"/>
  <c r="BI1653" i="3"/>
  <c r="BH1653" i="3"/>
  <c r="BG1653" i="3"/>
  <c r="BF1653" i="3"/>
  <c r="BE1653" i="3"/>
  <c r="T1653" i="3"/>
  <c r="R1653" i="3"/>
  <c r="P1653" i="3"/>
  <c r="J1653" i="3"/>
  <c r="BK1651" i="3"/>
  <c r="BI1651" i="3"/>
  <c r="BH1651" i="3"/>
  <c r="BG1651" i="3"/>
  <c r="BF1651" i="3"/>
  <c r="BE1651" i="3"/>
  <c r="T1651" i="3"/>
  <c r="R1651" i="3"/>
  <c r="P1651" i="3"/>
  <c r="J1651" i="3"/>
  <c r="BK1649" i="3"/>
  <c r="BI1649" i="3"/>
  <c r="BH1649" i="3"/>
  <c r="BG1649" i="3"/>
  <c r="BF1649" i="3"/>
  <c r="BE1649" i="3"/>
  <c r="T1649" i="3"/>
  <c r="R1649" i="3"/>
  <c r="P1649" i="3"/>
  <c r="J1649" i="3"/>
  <c r="BK1647" i="3"/>
  <c r="BI1647" i="3"/>
  <c r="BH1647" i="3"/>
  <c r="BG1647" i="3"/>
  <c r="BF1647" i="3"/>
  <c r="BE1647" i="3"/>
  <c r="T1647" i="3"/>
  <c r="R1647" i="3"/>
  <c r="P1647" i="3"/>
  <c r="J1647" i="3"/>
  <c r="BK1645" i="3"/>
  <c r="BI1645" i="3"/>
  <c r="BH1645" i="3"/>
  <c r="BG1645" i="3"/>
  <c r="BF1645" i="3"/>
  <c r="BE1645" i="3"/>
  <c r="T1645" i="3"/>
  <c r="R1645" i="3"/>
  <c r="P1645" i="3"/>
  <c r="J1645" i="3"/>
  <c r="BK1643" i="3"/>
  <c r="BI1643" i="3"/>
  <c r="BH1643" i="3"/>
  <c r="BG1643" i="3"/>
  <c r="BF1643" i="3"/>
  <c r="BE1643" i="3"/>
  <c r="T1643" i="3"/>
  <c r="R1643" i="3"/>
  <c r="P1643" i="3"/>
  <c r="J1643" i="3"/>
  <c r="BK1641" i="3"/>
  <c r="BI1641" i="3"/>
  <c r="BH1641" i="3"/>
  <c r="BG1641" i="3"/>
  <c r="BF1641" i="3"/>
  <c r="BE1641" i="3"/>
  <c r="T1641" i="3"/>
  <c r="R1641" i="3"/>
  <c r="P1641" i="3"/>
  <c r="J1641" i="3"/>
  <c r="BK1639" i="3"/>
  <c r="BI1639" i="3"/>
  <c r="BH1639" i="3"/>
  <c r="BG1639" i="3"/>
  <c r="BF1639" i="3"/>
  <c r="BE1639" i="3"/>
  <c r="T1639" i="3"/>
  <c r="R1639" i="3"/>
  <c r="P1639" i="3"/>
  <c r="J1639" i="3"/>
  <c r="BK1637" i="3"/>
  <c r="BI1637" i="3"/>
  <c r="BH1637" i="3"/>
  <c r="BG1637" i="3"/>
  <c r="BF1637" i="3"/>
  <c r="BE1637" i="3"/>
  <c r="T1637" i="3"/>
  <c r="R1637" i="3"/>
  <c r="P1637" i="3"/>
  <c r="J1637" i="3"/>
  <c r="BK1635" i="3"/>
  <c r="BI1635" i="3"/>
  <c r="BH1635" i="3"/>
  <c r="BG1635" i="3"/>
  <c r="BF1635" i="3"/>
  <c r="BE1635" i="3"/>
  <c r="T1635" i="3"/>
  <c r="R1635" i="3"/>
  <c r="P1635" i="3"/>
  <c r="J1635" i="3"/>
  <c r="BK1633" i="3"/>
  <c r="BI1633" i="3"/>
  <c r="BH1633" i="3"/>
  <c r="BG1633" i="3"/>
  <c r="BF1633" i="3"/>
  <c r="BE1633" i="3"/>
  <c r="T1633" i="3"/>
  <c r="R1633" i="3"/>
  <c r="P1633" i="3"/>
  <c r="J1633" i="3"/>
  <c r="BK1631" i="3"/>
  <c r="BI1631" i="3"/>
  <c r="BH1631" i="3"/>
  <c r="BG1631" i="3"/>
  <c r="BF1631" i="3"/>
  <c r="BE1631" i="3"/>
  <c r="T1631" i="3"/>
  <c r="R1631" i="3"/>
  <c r="P1631" i="3"/>
  <c r="J1631" i="3"/>
  <c r="BK1629" i="3"/>
  <c r="BI1629" i="3"/>
  <c r="BH1629" i="3"/>
  <c r="BG1629" i="3"/>
  <c r="BF1629" i="3"/>
  <c r="BE1629" i="3"/>
  <c r="T1629" i="3"/>
  <c r="R1629" i="3"/>
  <c r="P1629" i="3"/>
  <c r="J1629" i="3"/>
  <c r="BK1627" i="3"/>
  <c r="BI1627" i="3"/>
  <c r="BH1627" i="3"/>
  <c r="BG1627" i="3"/>
  <c r="BF1627" i="3"/>
  <c r="BE1627" i="3"/>
  <c r="T1627" i="3"/>
  <c r="R1627" i="3"/>
  <c r="P1627" i="3"/>
  <c r="J1627" i="3"/>
  <c r="BK1625" i="3"/>
  <c r="BI1625" i="3"/>
  <c r="BH1625" i="3"/>
  <c r="BG1625" i="3"/>
  <c r="BF1625" i="3"/>
  <c r="BE1625" i="3"/>
  <c r="T1625" i="3"/>
  <c r="R1625" i="3"/>
  <c r="P1625" i="3"/>
  <c r="J1625" i="3"/>
  <c r="BK1623" i="3"/>
  <c r="BI1623" i="3"/>
  <c r="BH1623" i="3"/>
  <c r="BG1623" i="3"/>
  <c r="BF1623" i="3"/>
  <c r="BE1623" i="3"/>
  <c r="T1623" i="3"/>
  <c r="R1623" i="3"/>
  <c r="P1623" i="3"/>
  <c r="J1623" i="3"/>
  <c r="BK1621" i="3"/>
  <c r="BI1621" i="3"/>
  <c r="BH1621" i="3"/>
  <c r="BG1621" i="3"/>
  <c r="BF1621" i="3"/>
  <c r="BE1621" i="3"/>
  <c r="T1621" i="3"/>
  <c r="R1621" i="3"/>
  <c r="P1621" i="3"/>
  <c r="J1621" i="3"/>
  <c r="BK1619" i="3"/>
  <c r="BI1619" i="3"/>
  <c r="BH1619" i="3"/>
  <c r="BG1619" i="3"/>
  <c r="BF1619" i="3"/>
  <c r="BE1619" i="3"/>
  <c r="T1619" i="3"/>
  <c r="R1619" i="3"/>
  <c r="P1619" i="3"/>
  <c r="J1619" i="3"/>
  <c r="BK1617" i="3"/>
  <c r="BI1617" i="3"/>
  <c r="BH1617" i="3"/>
  <c r="BG1617" i="3"/>
  <c r="BF1617" i="3"/>
  <c r="BE1617" i="3"/>
  <c r="T1617" i="3"/>
  <c r="R1617" i="3"/>
  <c r="P1617" i="3"/>
  <c r="J1617" i="3"/>
  <c r="BK1615" i="3"/>
  <c r="BI1615" i="3"/>
  <c r="BH1615" i="3"/>
  <c r="BG1615" i="3"/>
  <c r="BF1615" i="3"/>
  <c r="BE1615" i="3"/>
  <c r="T1615" i="3"/>
  <c r="R1615" i="3"/>
  <c r="P1615" i="3"/>
  <c r="J1615" i="3"/>
  <c r="BK1613" i="3"/>
  <c r="BI1613" i="3"/>
  <c r="BH1613" i="3"/>
  <c r="BG1613" i="3"/>
  <c r="BF1613" i="3"/>
  <c r="BE1613" i="3"/>
  <c r="T1613" i="3"/>
  <c r="R1613" i="3"/>
  <c r="P1613" i="3"/>
  <c r="J1613" i="3"/>
  <c r="BK1611" i="3"/>
  <c r="BI1611" i="3"/>
  <c r="BH1611" i="3"/>
  <c r="BG1611" i="3"/>
  <c r="BF1611" i="3"/>
  <c r="BE1611" i="3"/>
  <c r="T1611" i="3"/>
  <c r="R1611" i="3"/>
  <c r="P1611" i="3"/>
  <c r="J1611" i="3"/>
  <c r="BK1609" i="3"/>
  <c r="BI1609" i="3"/>
  <c r="BH1609" i="3"/>
  <c r="BG1609" i="3"/>
  <c r="BF1609" i="3"/>
  <c r="BE1609" i="3"/>
  <c r="T1609" i="3"/>
  <c r="R1609" i="3"/>
  <c r="P1609" i="3"/>
  <c r="J1609" i="3"/>
  <c r="BK1607" i="3"/>
  <c r="BI1607" i="3"/>
  <c r="BH1607" i="3"/>
  <c r="BG1607" i="3"/>
  <c r="BF1607" i="3"/>
  <c r="BE1607" i="3"/>
  <c r="T1607" i="3"/>
  <c r="R1607" i="3"/>
  <c r="P1607" i="3"/>
  <c r="J1607" i="3"/>
  <c r="BK1605" i="3"/>
  <c r="BI1605" i="3"/>
  <c r="BH1605" i="3"/>
  <c r="BG1605" i="3"/>
  <c r="BF1605" i="3"/>
  <c r="BE1605" i="3"/>
  <c r="T1605" i="3"/>
  <c r="R1605" i="3"/>
  <c r="P1605" i="3"/>
  <c r="J1605" i="3"/>
  <c r="BK1603" i="3"/>
  <c r="BI1603" i="3"/>
  <c r="BH1603" i="3"/>
  <c r="BG1603" i="3"/>
  <c r="BF1603" i="3"/>
  <c r="BE1603" i="3"/>
  <c r="T1603" i="3"/>
  <c r="R1603" i="3"/>
  <c r="P1603" i="3"/>
  <c r="J1603" i="3"/>
  <c r="BK1601" i="3"/>
  <c r="BI1601" i="3"/>
  <c r="BH1601" i="3"/>
  <c r="BG1601" i="3"/>
  <c r="BF1601" i="3"/>
  <c r="BE1601" i="3"/>
  <c r="T1601" i="3"/>
  <c r="R1601" i="3"/>
  <c r="P1601" i="3"/>
  <c r="J1601" i="3"/>
  <c r="BK1599" i="3"/>
  <c r="BI1599" i="3"/>
  <c r="BH1599" i="3"/>
  <c r="BG1599" i="3"/>
  <c r="BF1599" i="3"/>
  <c r="BE1599" i="3"/>
  <c r="T1599" i="3"/>
  <c r="R1599" i="3"/>
  <c r="P1599" i="3"/>
  <c r="J1599" i="3"/>
  <c r="BK1597" i="3"/>
  <c r="BI1597" i="3"/>
  <c r="BH1597" i="3"/>
  <c r="BG1597" i="3"/>
  <c r="BF1597" i="3"/>
  <c r="BE1597" i="3"/>
  <c r="T1597" i="3"/>
  <c r="R1597" i="3"/>
  <c r="P1597" i="3"/>
  <c r="J1597" i="3"/>
  <c r="BK1595" i="3"/>
  <c r="BI1595" i="3"/>
  <c r="BH1595" i="3"/>
  <c r="BG1595" i="3"/>
  <c r="BF1595" i="3"/>
  <c r="BE1595" i="3"/>
  <c r="T1595" i="3"/>
  <c r="R1595" i="3"/>
  <c r="P1595" i="3"/>
  <c r="J1595" i="3"/>
  <c r="BK1593" i="3"/>
  <c r="BI1593" i="3"/>
  <c r="BH1593" i="3"/>
  <c r="BG1593" i="3"/>
  <c r="BF1593" i="3"/>
  <c r="BE1593" i="3"/>
  <c r="T1593" i="3"/>
  <c r="R1593" i="3"/>
  <c r="P1593" i="3"/>
  <c r="J1593" i="3"/>
  <c r="BK1591" i="3"/>
  <c r="BI1591" i="3"/>
  <c r="BH1591" i="3"/>
  <c r="BG1591" i="3"/>
  <c r="BF1591" i="3"/>
  <c r="BE1591" i="3"/>
  <c r="T1591" i="3"/>
  <c r="R1591" i="3"/>
  <c r="P1591" i="3"/>
  <c r="J1591" i="3"/>
  <c r="BK1589" i="3"/>
  <c r="BI1589" i="3"/>
  <c r="BH1589" i="3"/>
  <c r="BG1589" i="3"/>
  <c r="BF1589" i="3"/>
  <c r="BE1589" i="3"/>
  <c r="T1589" i="3"/>
  <c r="R1589" i="3"/>
  <c r="P1589" i="3"/>
  <c r="J1589" i="3"/>
  <c r="BK1587" i="3"/>
  <c r="BI1587" i="3"/>
  <c r="BH1587" i="3"/>
  <c r="BG1587" i="3"/>
  <c r="BF1587" i="3"/>
  <c r="BE1587" i="3"/>
  <c r="T1587" i="3"/>
  <c r="R1587" i="3"/>
  <c r="P1587" i="3"/>
  <c r="J1587" i="3"/>
  <c r="BK1585" i="3"/>
  <c r="BI1585" i="3"/>
  <c r="BH1585" i="3"/>
  <c r="BG1585" i="3"/>
  <c r="BF1585" i="3"/>
  <c r="BE1585" i="3"/>
  <c r="T1585" i="3"/>
  <c r="R1585" i="3"/>
  <c r="P1585" i="3"/>
  <c r="J1585" i="3"/>
  <c r="BK1583" i="3"/>
  <c r="BI1583" i="3"/>
  <c r="BH1583" i="3"/>
  <c r="BG1583" i="3"/>
  <c r="BF1583" i="3"/>
  <c r="BE1583" i="3"/>
  <c r="T1583" i="3"/>
  <c r="R1583" i="3"/>
  <c r="P1583" i="3"/>
  <c r="J1583" i="3"/>
  <c r="BK1581" i="3"/>
  <c r="BI1581" i="3"/>
  <c r="BH1581" i="3"/>
  <c r="BG1581" i="3"/>
  <c r="BF1581" i="3"/>
  <c r="BE1581" i="3"/>
  <c r="T1581" i="3"/>
  <c r="R1581" i="3"/>
  <c r="P1581" i="3"/>
  <c r="J1581" i="3"/>
  <c r="BK1579" i="3"/>
  <c r="BI1579" i="3"/>
  <c r="BH1579" i="3"/>
  <c r="BG1579" i="3"/>
  <c r="BF1579" i="3"/>
  <c r="BE1579" i="3"/>
  <c r="T1579" i="3"/>
  <c r="R1579" i="3"/>
  <c r="P1579" i="3"/>
  <c r="J1579" i="3"/>
  <c r="BK1577" i="3"/>
  <c r="BI1577" i="3"/>
  <c r="BH1577" i="3"/>
  <c r="BG1577" i="3"/>
  <c r="BF1577" i="3"/>
  <c r="BE1577" i="3"/>
  <c r="T1577" i="3"/>
  <c r="R1577" i="3"/>
  <c r="P1577" i="3"/>
  <c r="J1577" i="3"/>
  <c r="BK1575" i="3"/>
  <c r="BI1575" i="3"/>
  <c r="BH1575" i="3"/>
  <c r="BG1575" i="3"/>
  <c r="BF1575" i="3"/>
  <c r="BE1575" i="3"/>
  <c r="T1575" i="3"/>
  <c r="R1575" i="3"/>
  <c r="P1575" i="3"/>
  <c r="J1575" i="3"/>
  <c r="BK1573" i="3"/>
  <c r="BI1573" i="3"/>
  <c r="BH1573" i="3"/>
  <c r="BG1573" i="3"/>
  <c r="BF1573" i="3"/>
  <c r="BE1573" i="3"/>
  <c r="T1573" i="3"/>
  <c r="R1573" i="3"/>
  <c r="P1573" i="3"/>
  <c r="J1573" i="3"/>
  <c r="BK1571" i="3"/>
  <c r="BI1571" i="3"/>
  <c r="BH1571" i="3"/>
  <c r="BG1571" i="3"/>
  <c r="BF1571" i="3"/>
  <c r="BE1571" i="3"/>
  <c r="T1571" i="3"/>
  <c r="R1571" i="3"/>
  <c r="P1571" i="3"/>
  <c r="J1571" i="3"/>
  <c r="BK1569" i="3"/>
  <c r="BI1569" i="3"/>
  <c r="BH1569" i="3"/>
  <c r="BG1569" i="3"/>
  <c r="BF1569" i="3"/>
  <c r="BE1569" i="3"/>
  <c r="T1569" i="3"/>
  <c r="R1569" i="3"/>
  <c r="P1569" i="3"/>
  <c r="J1569" i="3"/>
  <c r="BK1567" i="3"/>
  <c r="BI1567" i="3"/>
  <c r="BH1567" i="3"/>
  <c r="BG1567" i="3"/>
  <c r="BF1567" i="3"/>
  <c r="BE1567" i="3"/>
  <c r="T1567" i="3"/>
  <c r="R1567" i="3"/>
  <c r="P1567" i="3"/>
  <c r="J1567" i="3"/>
  <c r="BK1565" i="3"/>
  <c r="BI1565" i="3"/>
  <c r="BH1565" i="3"/>
  <c r="BG1565" i="3"/>
  <c r="BF1565" i="3"/>
  <c r="BE1565" i="3"/>
  <c r="T1565" i="3"/>
  <c r="R1565" i="3"/>
  <c r="P1565" i="3"/>
  <c r="J1565" i="3"/>
  <c r="BK1563" i="3"/>
  <c r="BI1563" i="3"/>
  <c r="BH1563" i="3"/>
  <c r="BG1563" i="3"/>
  <c r="BF1563" i="3"/>
  <c r="BE1563" i="3"/>
  <c r="T1563" i="3"/>
  <c r="R1563" i="3"/>
  <c r="P1563" i="3"/>
  <c r="J1563" i="3"/>
  <c r="BK1561" i="3"/>
  <c r="BI1561" i="3"/>
  <c r="BH1561" i="3"/>
  <c r="BG1561" i="3"/>
  <c r="BF1561" i="3"/>
  <c r="BE1561" i="3"/>
  <c r="T1561" i="3"/>
  <c r="R1561" i="3"/>
  <c r="P1561" i="3"/>
  <c r="J1561" i="3"/>
  <c r="BK1559" i="3"/>
  <c r="BI1559" i="3"/>
  <c r="BH1559" i="3"/>
  <c r="BG1559" i="3"/>
  <c r="BF1559" i="3"/>
  <c r="BE1559" i="3"/>
  <c r="T1559" i="3"/>
  <c r="R1559" i="3"/>
  <c r="P1559" i="3"/>
  <c r="J1559" i="3"/>
  <c r="BK1557" i="3"/>
  <c r="BI1557" i="3"/>
  <c r="BH1557" i="3"/>
  <c r="BG1557" i="3"/>
  <c r="BF1557" i="3"/>
  <c r="BE1557" i="3"/>
  <c r="T1557" i="3"/>
  <c r="R1557" i="3"/>
  <c r="P1557" i="3"/>
  <c r="J1557" i="3"/>
  <c r="BK1555" i="3"/>
  <c r="BI1555" i="3"/>
  <c r="BH1555" i="3"/>
  <c r="BG1555" i="3"/>
  <c r="BF1555" i="3"/>
  <c r="BE1555" i="3"/>
  <c r="T1555" i="3"/>
  <c r="R1555" i="3"/>
  <c r="P1555" i="3"/>
  <c r="J1555" i="3"/>
  <c r="BK1553" i="3"/>
  <c r="BI1553" i="3"/>
  <c r="BH1553" i="3"/>
  <c r="BG1553" i="3"/>
  <c r="BF1553" i="3"/>
  <c r="BE1553" i="3"/>
  <c r="T1553" i="3"/>
  <c r="R1553" i="3"/>
  <c r="P1553" i="3"/>
  <c r="J1553" i="3"/>
  <c r="BK1551" i="3"/>
  <c r="BI1551" i="3"/>
  <c r="BH1551" i="3"/>
  <c r="BG1551" i="3"/>
  <c r="BF1551" i="3"/>
  <c r="BE1551" i="3"/>
  <c r="T1551" i="3"/>
  <c r="R1551" i="3"/>
  <c r="P1551" i="3"/>
  <c r="J1551" i="3"/>
  <c r="BK1549" i="3"/>
  <c r="BI1549" i="3"/>
  <c r="BH1549" i="3"/>
  <c r="BG1549" i="3"/>
  <c r="BF1549" i="3"/>
  <c r="BE1549" i="3"/>
  <c r="T1549" i="3"/>
  <c r="R1549" i="3"/>
  <c r="P1549" i="3"/>
  <c r="J1549" i="3"/>
  <c r="BK1547" i="3"/>
  <c r="BI1547" i="3"/>
  <c r="BH1547" i="3"/>
  <c r="BG1547" i="3"/>
  <c r="BF1547" i="3"/>
  <c r="BE1547" i="3"/>
  <c r="T1547" i="3"/>
  <c r="R1547" i="3"/>
  <c r="P1547" i="3"/>
  <c r="J1547" i="3"/>
  <c r="BK1545" i="3"/>
  <c r="BI1545" i="3"/>
  <c r="BH1545" i="3"/>
  <c r="BG1545" i="3"/>
  <c r="BF1545" i="3"/>
  <c r="BE1545" i="3"/>
  <c r="T1545" i="3"/>
  <c r="R1545" i="3"/>
  <c r="P1545" i="3"/>
  <c r="J1545" i="3"/>
  <c r="BK1543" i="3"/>
  <c r="BI1543" i="3"/>
  <c r="BH1543" i="3"/>
  <c r="BG1543" i="3"/>
  <c r="BF1543" i="3"/>
  <c r="BE1543" i="3"/>
  <c r="T1543" i="3"/>
  <c r="R1543" i="3"/>
  <c r="P1543" i="3"/>
  <c r="J1543" i="3"/>
  <c r="BK1541" i="3"/>
  <c r="BI1541" i="3"/>
  <c r="BH1541" i="3"/>
  <c r="BG1541" i="3"/>
  <c r="BF1541" i="3"/>
  <c r="BE1541" i="3"/>
  <c r="T1541" i="3"/>
  <c r="R1541" i="3"/>
  <c r="P1541" i="3"/>
  <c r="J1541" i="3"/>
  <c r="BK1539" i="3"/>
  <c r="BI1539" i="3"/>
  <c r="BH1539" i="3"/>
  <c r="BG1539" i="3"/>
  <c r="BF1539" i="3"/>
  <c r="BE1539" i="3"/>
  <c r="T1539" i="3"/>
  <c r="R1539" i="3"/>
  <c r="P1539" i="3"/>
  <c r="J1539" i="3"/>
  <c r="BK1537" i="3"/>
  <c r="BI1537" i="3"/>
  <c r="BH1537" i="3"/>
  <c r="BG1537" i="3"/>
  <c r="BF1537" i="3"/>
  <c r="BE1537" i="3"/>
  <c r="T1537" i="3"/>
  <c r="R1537" i="3"/>
  <c r="P1537" i="3"/>
  <c r="J1537" i="3"/>
  <c r="BK1535" i="3"/>
  <c r="BI1535" i="3"/>
  <c r="BH1535" i="3"/>
  <c r="BG1535" i="3"/>
  <c r="BF1535" i="3"/>
  <c r="BE1535" i="3"/>
  <c r="T1535" i="3"/>
  <c r="R1535" i="3"/>
  <c r="P1535" i="3"/>
  <c r="J1535" i="3"/>
  <c r="BK1533" i="3"/>
  <c r="BI1533" i="3"/>
  <c r="BH1533" i="3"/>
  <c r="BG1533" i="3"/>
  <c r="BF1533" i="3"/>
  <c r="BE1533" i="3"/>
  <c r="T1533" i="3"/>
  <c r="R1533" i="3"/>
  <c r="P1533" i="3"/>
  <c r="J1533" i="3"/>
  <c r="BK1531" i="3"/>
  <c r="BI1531" i="3"/>
  <c r="BH1531" i="3"/>
  <c r="BG1531" i="3"/>
  <c r="BF1531" i="3"/>
  <c r="BE1531" i="3"/>
  <c r="T1531" i="3"/>
  <c r="R1531" i="3"/>
  <c r="P1531" i="3"/>
  <c r="J1531" i="3"/>
  <c r="BK1529" i="3"/>
  <c r="BI1529" i="3"/>
  <c r="BH1529" i="3"/>
  <c r="BG1529" i="3"/>
  <c r="BF1529" i="3"/>
  <c r="BE1529" i="3"/>
  <c r="T1529" i="3"/>
  <c r="R1529" i="3"/>
  <c r="P1529" i="3"/>
  <c r="J1529" i="3"/>
  <c r="BK1527" i="3"/>
  <c r="BI1527" i="3"/>
  <c r="BH1527" i="3"/>
  <c r="BG1527" i="3"/>
  <c r="BF1527" i="3"/>
  <c r="BE1527" i="3"/>
  <c r="T1527" i="3"/>
  <c r="R1527" i="3"/>
  <c r="P1527" i="3"/>
  <c r="J1527" i="3"/>
  <c r="BK1525" i="3"/>
  <c r="BI1525" i="3"/>
  <c r="BH1525" i="3"/>
  <c r="BG1525" i="3"/>
  <c r="BF1525" i="3"/>
  <c r="BE1525" i="3"/>
  <c r="T1525" i="3"/>
  <c r="R1525" i="3"/>
  <c r="P1525" i="3"/>
  <c r="J1525" i="3"/>
  <c r="BK1523" i="3"/>
  <c r="BI1523" i="3"/>
  <c r="BH1523" i="3"/>
  <c r="BG1523" i="3"/>
  <c r="BF1523" i="3"/>
  <c r="BE1523" i="3"/>
  <c r="T1523" i="3"/>
  <c r="R1523" i="3"/>
  <c r="P1523" i="3"/>
  <c r="J1523" i="3"/>
  <c r="BK1521" i="3"/>
  <c r="BI1521" i="3"/>
  <c r="BH1521" i="3"/>
  <c r="BG1521" i="3"/>
  <c r="BF1521" i="3"/>
  <c r="BE1521" i="3"/>
  <c r="T1521" i="3"/>
  <c r="R1521" i="3"/>
  <c r="P1521" i="3"/>
  <c r="J1521" i="3"/>
  <c r="BK1519" i="3"/>
  <c r="BI1519" i="3"/>
  <c r="BH1519" i="3"/>
  <c r="BG1519" i="3"/>
  <c r="BF1519" i="3"/>
  <c r="BE1519" i="3"/>
  <c r="T1519" i="3"/>
  <c r="R1519" i="3"/>
  <c r="P1519" i="3"/>
  <c r="J1519" i="3"/>
  <c r="BK1517" i="3"/>
  <c r="BI1517" i="3"/>
  <c r="BH1517" i="3"/>
  <c r="BG1517" i="3"/>
  <c r="BF1517" i="3"/>
  <c r="BE1517" i="3"/>
  <c r="T1517" i="3"/>
  <c r="R1517" i="3"/>
  <c r="P1517" i="3"/>
  <c r="J1517" i="3"/>
  <c r="BK1515" i="3"/>
  <c r="BI1515" i="3"/>
  <c r="BH1515" i="3"/>
  <c r="BG1515" i="3"/>
  <c r="BF1515" i="3"/>
  <c r="BE1515" i="3"/>
  <c r="T1515" i="3"/>
  <c r="R1515" i="3"/>
  <c r="P1515" i="3"/>
  <c r="J1515" i="3"/>
  <c r="BK1513" i="3"/>
  <c r="BI1513" i="3"/>
  <c r="BH1513" i="3"/>
  <c r="BG1513" i="3"/>
  <c r="BF1513" i="3"/>
  <c r="BE1513" i="3"/>
  <c r="T1513" i="3"/>
  <c r="R1513" i="3"/>
  <c r="P1513" i="3"/>
  <c r="J1513" i="3"/>
  <c r="BK1511" i="3"/>
  <c r="BI1511" i="3"/>
  <c r="BH1511" i="3"/>
  <c r="BG1511" i="3"/>
  <c r="BF1511" i="3"/>
  <c r="BE1511" i="3"/>
  <c r="T1511" i="3"/>
  <c r="R1511" i="3"/>
  <c r="P1511" i="3"/>
  <c r="J1511" i="3"/>
  <c r="BK1509" i="3"/>
  <c r="BI1509" i="3"/>
  <c r="BH1509" i="3"/>
  <c r="BG1509" i="3"/>
  <c r="BF1509" i="3"/>
  <c r="BE1509" i="3"/>
  <c r="T1509" i="3"/>
  <c r="R1509" i="3"/>
  <c r="P1509" i="3"/>
  <c r="J1509" i="3"/>
  <c r="BK1507" i="3"/>
  <c r="BI1507" i="3"/>
  <c r="BH1507" i="3"/>
  <c r="BG1507" i="3"/>
  <c r="BF1507" i="3"/>
  <c r="BE1507" i="3"/>
  <c r="T1507" i="3"/>
  <c r="R1507" i="3"/>
  <c r="P1507" i="3"/>
  <c r="J1507" i="3"/>
  <c r="BK1505" i="3"/>
  <c r="BI1505" i="3"/>
  <c r="BH1505" i="3"/>
  <c r="BG1505" i="3"/>
  <c r="BF1505" i="3"/>
  <c r="BE1505" i="3"/>
  <c r="T1505" i="3"/>
  <c r="R1505" i="3"/>
  <c r="P1505" i="3"/>
  <c r="J1505" i="3"/>
  <c r="BK1503" i="3"/>
  <c r="BI1503" i="3"/>
  <c r="BH1503" i="3"/>
  <c r="BG1503" i="3"/>
  <c r="BF1503" i="3"/>
  <c r="BE1503" i="3"/>
  <c r="T1503" i="3"/>
  <c r="R1503" i="3"/>
  <c r="P1503" i="3"/>
  <c r="J1503" i="3"/>
  <c r="BK1501" i="3"/>
  <c r="BI1501" i="3"/>
  <c r="BH1501" i="3"/>
  <c r="BG1501" i="3"/>
  <c r="BF1501" i="3"/>
  <c r="BE1501" i="3"/>
  <c r="T1501" i="3"/>
  <c r="R1501" i="3"/>
  <c r="P1501" i="3"/>
  <c r="J1501" i="3"/>
  <c r="BK1499" i="3"/>
  <c r="BI1499" i="3"/>
  <c r="BH1499" i="3"/>
  <c r="BG1499" i="3"/>
  <c r="BF1499" i="3"/>
  <c r="BE1499" i="3"/>
  <c r="T1499" i="3"/>
  <c r="R1499" i="3"/>
  <c r="P1499" i="3"/>
  <c r="J1499" i="3"/>
  <c r="BK1497" i="3"/>
  <c r="BI1497" i="3"/>
  <c r="BH1497" i="3"/>
  <c r="BG1497" i="3"/>
  <c r="BF1497" i="3"/>
  <c r="BE1497" i="3"/>
  <c r="T1497" i="3"/>
  <c r="R1497" i="3"/>
  <c r="P1497" i="3"/>
  <c r="J1497" i="3"/>
  <c r="BK1495" i="3"/>
  <c r="BI1495" i="3"/>
  <c r="BH1495" i="3"/>
  <c r="BG1495" i="3"/>
  <c r="BF1495" i="3"/>
  <c r="BE1495" i="3"/>
  <c r="T1495" i="3"/>
  <c r="R1495" i="3"/>
  <c r="P1495" i="3"/>
  <c r="J1495" i="3"/>
  <c r="BK1493" i="3"/>
  <c r="BI1493" i="3"/>
  <c r="BH1493" i="3"/>
  <c r="BG1493" i="3"/>
  <c r="BF1493" i="3"/>
  <c r="BE1493" i="3"/>
  <c r="T1493" i="3"/>
  <c r="R1493" i="3"/>
  <c r="P1493" i="3"/>
  <c r="J1493" i="3"/>
  <c r="BK1491" i="3"/>
  <c r="BI1491" i="3"/>
  <c r="BH1491" i="3"/>
  <c r="BG1491" i="3"/>
  <c r="BF1491" i="3"/>
  <c r="BE1491" i="3"/>
  <c r="T1491" i="3"/>
  <c r="R1491" i="3"/>
  <c r="P1491" i="3"/>
  <c r="J1491" i="3"/>
  <c r="BK1489" i="3"/>
  <c r="BI1489" i="3"/>
  <c r="BH1489" i="3"/>
  <c r="BG1489" i="3"/>
  <c r="BF1489" i="3"/>
  <c r="BE1489" i="3"/>
  <c r="T1489" i="3"/>
  <c r="R1489" i="3"/>
  <c r="P1489" i="3"/>
  <c r="J1489" i="3"/>
  <c r="BK1487" i="3"/>
  <c r="BI1487" i="3"/>
  <c r="BH1487" i="3"/>
  <c r="BG1487" i="3"/>
  <c r="BF1487" i="3"/>
  <c r="BE1487" i="3"/>
  <c r="T1487" i="3"/>
  <c r="R1487" i="3"/>
  <c r="P1487" i="3"/>
  <c r="J1487" i="3"/>
  <c r="BK1485" i="3"/>
  <c r="BI1485" i="3"/>
  <c r="BH1485" i="3"/>
  <c r="BG1485" i="3"/>
  <c r="BF1485" i="3"/>
  <c r="BE1485" i="3"/>
  <c r="T1485" i="3"/>
  <c r="R1485" i="3"/>
  <c r="P1485" i="3"/>
  <c r="J1485" i="3"/>
  <c r="BK1483" i="3"/>
  <c r="BI1483" i="3"/>
  <c r="BH1483" i="3"/>
  <c r="BG1483" i="3"/>
  <c r="BF1483" i="3"/>
  <c r="BE1483" i="3"/>
  <c r="T1483" i="3"/>
  <c r="R1483" i="3"/>
  <c r="P1483" i="3"/>
  <c r="J1483" i="3"/>
  <c r="BK1481" i="3"/>
  <c r="BI1481" i="3"/>
  <c r="BH1481" i="3"/>
  <c r="BG1481" i="3"/>
  <c r="BF1481" i="3"/>
  <c r="BE1481" i="3"/>
  <c r="T1481" i="3"/>
  <c r="R1481" i="3"/>
  <c r="P1481" i="3"/>
  <c r="J1481" i="3"/>
  <c r="BK1479" i="3"/>
  <c r="BI1479" i="3"/>
  <c r="BH1479" i="3"/>
  <c r="BG1479" i="3"/>
  <c r="BF1479" i="3"/>
  <c r="BE1479" i="3"/>
  <c r="T1479" i="3"/>
  <c r="R1479" i="3"/>
  <c r="P1479" i="3"/>
  <c r="J1479" i="3"/>
  <c r="BK1477" i="3"/>
  <c r="BI1477" i="3"/>
  <c r="BH1477" i="3"/>
  <c r="BG1477" i="3"/>
  <c r="BF1477" i="3"/>
  <c r="BE1477" i="3"/>
  <c r="T1477" i="3"/>
  <c r="R1477" i="3"/>
  <c r="P1477" i="3"/>
  <c r="J1477" i="3"/>
  <c r="BK1475" i="3"/>
  <c r="BI1475" i="3"/>
  <c r="BH1475" i="3"/>
  <c r="BG1475" i="3"/>
  <c r="BF1475" i="3"/>
  <c r="BE1475" i="3"/>
  <c r="T1475" i="3"/>
  <c r="R1475" i="3"/>
  <c r="P1475" i="3"/>
  <c r="J1475" i="3"/>
  <c r="BK1473" i="3"/>
  <c r="BI1473" i="3"/>
  <c r="BH1473" i="3"/>
  <c r="BG1473" i="3"/>
  <c r="BF1473" i="3"/>
  <c r="BE1473" i="3"/>
  <c r="T1473" i="3"/>
  <c r="R1473" i="3"/>
  <c r="P1473" i="3"/>
  <c r="J1473" i="3"/>
  <c r="BK1471" i="3"/>
  <c r="BI1471" i="3"/>
  <c r="BH1471" i="3"/>
  <c r="BG1471" i="3"/>
  <c r="BF1471" i="3"/>
  <c r="BE1471" i="3"/>
  <c r="T1471" i="3"/>
  <c r="R1471" i="3"/>
  <c r="P1471" i="3"/>
  <c r="J1471" i="3"/>
  <c r="BK1469" i="3"/>
  <c r="BI1469" i="3"/>
  <c r="BH1469" i="3"/>
  <c r="BG1469" i="3"/>
  <c r="BF1469" i="3"/>
  <c r="BE1469" i="3"/>
  <c r="T1469" i="3"/>
  <c r="R1469" i="3"/>
  <c r="P1469" i="3"/>
  <c r="J1469" i="3"/>
  <c r="BK1467" i="3"/>
  <c r="BI1467" i="3"/>
  <c r="BH1467" i="3"/>
  <c r="BG1467" i="3"/>
  <c r="BF1467" i="3"/>
  <c r="BE1467" i="3"/>
  <c r="T1467" i="3"/>
  <c r="R1467" i="3"/>
  <c r="P1467" i="3"/>
  <c r="J1467" i="3"/>
  <c r="BK1465" i="3"/>
  <c r="BI1465" i="3"/>
  <c r="BH1465" i="3"/>
  <c r="BG1465" i="3"/>
  <c r="BF1465" i="3"/>
  <c r="BE1465" i="3"/>
  <c r="T1465" i="3"/>
  <c r="R1465" i="3"/>
  <c r="P1465" i="3"/>
  <c r="J1465" i="3"/>
  <c r="BK1463" i="3"/>
  <c r="BI1463" i="3"/>
  <c r="BH1463" i="3"/>
  <c r="BG1463" i="3"/>
  <c r="BF1463" i="3"/>
  <c r="BE1463" i="3"/>
  <c r="T1463" i="3"/>
  <c r="R1463" i="3"/>
  <c r="P1463" i="3"/>
  <c r="J1463" i="3"/>
  <c r="BK1461" i="3"/>
  <c r="BI1461" i="3"/>
  <c r="BH1461" i="3"/>
  <c r="BG1461" i="3"/>
  <c r="BF1461" i="3"/>
  <c r="BE1461" i="3"/>
  <c r="T1461" i="3"/>
  <c r="R1461" i="3"/>
  <c r="P1461" i="3"/>
  <c r="J1461" i="3"/>
  <c r="BK1459" i="3"/>
  <c r="BI1459" i="3"/>
  <c r="BH1459" i="3"/>
  <c r="BG1459" i="3"/>
  <c r="BF1459" i="3"/>
  <c r="BE1459" i="3"/>
  <c r="T1459" i="3"/>
  <c r="R1459" i="3"/>
  <c r="P1459" i="3"/>
  <c r="J1459" i="3"/>
  <c r="BK1457" i="3"/>
  <c r="BI1457" i="3"/>
  <c r="BH1457" i="3"/>
  <c r="BG1457" i="3"/>
  <c r="BF1457" i="3"/>
  <c r="BE1457" i="3"/>
  <c r="T1457" i="3"/>
  <c r="R1457" i="3"/>
  <c r="P1457" i="3"/>
  <c r="J1457" i="3"/>
  <c r="BK1455" i="3"/>
  <c r="BI1455" i="3"/>
  <c r="BH1455" i="3"/>
  <c r="BG1455" i="3"/>
  <c r="BF1455" i="3"/>
  <c r="BE1455" i="3"/>
  <c r="T1455" i="3"/>
  <c r="R1455" i="3"/>
  <c r="P1455" i="3"/>
  <c r="J1455" i="3"/>
  <c r="BK1453" i="3"/>
  <c r="BI1453" i="3"/>
  <c r="BH1453" i="3"/>
  <c r="BG1453" i="3"/>
  <c r="BF1453" i="3"/>
  <c r="BE1453" i="3"/>
  <c r="T1453" i="3"/>
  <c r="R1453" i="3"/>
  <c r="P1453" i="3"/>
  <c r="J1453" i="3"/>
  <c r="BK1451" i="3"/>
  <c r="BI1451" i="3"/>
  <c r="BH1451" i="3"/>
  <c r="BG1451" i="3"/>
  <c r="BF1451" i="3"/>
  <c r="BE1451" i="3"/>
  <c r="T1451" i="3"/>
  <c r="R1451" i="3"/>
  <c r="P1451" i="3"/>
  <c r="J1451" i="3"/>
  <c r="BK1449" i="3"/>
  <c r="BI1449" i="3"/>
  <c r="BH1449" i="3"/>
  <c r="BG1449" i="3"/>
  <c r="BF1449" i="3"/>
  <c r="BE1449" i="3"/>
  <c r="T1449" i="3"/>
  <c r="R1449" i="3"/>
  <c r="P1449" i="3"/>
  <c r="J1449" i="3"/>
  <c r="BK1447" i="3"/>
  <c r="BI1447" i="3"/>
  <c r="BH1447" i="3"/>
  <c r="BG1447" i="3"/>
  <c r="BF1447" i="3"/>
  <c r="BE1447" i="3"/>
  <c r="T1447" i="3"/>
  <c r="R1447" i="3"/>
  <c r="P1447" i="3"/>
  <c r="J1447" i="3"/>
  <c r="BK1445" i="3"/>
  <c r="BI1445" i="3"/>
  <c r="BH1445" i="3"/>
  <c r="BG1445" i="3"/>
  <c r="BF1445" i="3"/>
  <c r="BE1445" i="3"/>
  <c r="T1445" i="3"/>
  <c r="R1445" i="3"/>
  <c r="P1445" i="3"/>
  <c r="J1445" i="3"/>
  <c r="BK1443" i="3"/>
  <c r="BI1443" i="3"/>
  <c r="BH1443" i="3"/>
  <c r="BG1443" i="3"/>
  <c r="BF1443" i="3"/>
  <c r="BE1443" i="3"/>
  <c r="T1443" i="3"/>
  <c r="R1443" i="3"/>
  <c r="P1443" i="3"/>
  <c r="J1443" i="3"/>
  <c r="BK1441" i="3"/>
  <c r="BI1441" i="3"/>
  <c r="BH1441" i="3"/>
  <c r="BG1441" i="3"/>
  <c r="BF1441" i="3"/>
  <c r="BE1441" i="3"/>
  <c r="T1441" i="3"/>
  <c r="R1441" i="3"/>
  <c r="P1441" i="3"/>
  <c r="J1441" i="3"/>
  <c r="BK1439" i="3"/>
  <c r="BI1439" i="3"/>
  <c r="BH1439" i="3"/>
  <c r="BG1439" i="3"/>
  <c r="BF1439" i="3"/>
  <c r="BE1439" i="3"/>
  <c r="T1439" i="3"/>
  <c r="R1439" i="3"/>
  <c r="P1439" i="3"/>
  <c r="J1439" i="3"/>
  <c r="BK1437" i="3"/>
  <c r="BI1437" i="3"/>
  <c r="BH1437" i="3"/>
  <c r="BG1437" i="3"/>
  <c r="BF1437" i="3"/>
  <c r="BE1437" i="3"/>
  <c r="T1437" i="3"/>
  <c r="R1437" i="3"/>
  <c r="P1437" i="3"/>
  <c r="J1437" i="3"/>
  <c r="BK1435" i="3"/>
  <c r="BI1435" i="3"/>
  <c r="BH1435" i="3"/>
  <c r="BG1435" i="3"/>
  <c r="BF1435" i="3"/>
  <c r="BE1435" i="3"/>
  <c r="T1435" i="3"/>
  <c r="R1435" i="3"/>
  <c r="P1435" i="3"/>
  <c r="J1435" i="3"/>
  <c r="BK1433" i="3"/>
  <c r="BI1433" i="3"/>
  <c r="BH1433" i="3"/>
  <c r="BG1433" i="3"/>
  <c r="BF1433" i="3"/>
  <c r="BE1433" i="3"/>
  <c r="T1433" i="3"/>
  <c r="R1433" i="3"/>
  <c r="P1433" i="3"/>
  <c r="J1433" i="3"/>
  <c r="BK1431" i="3"/>
  <c r="BI1431" i="3"/>
  <c r="BH1431" i="3"/>
  <c r="BG1431" i="3"/>
  <c r="BF1431" i="3"/>
  <c r="BE1431" i="3"/>
  <c r="T1431" i="3"/>
  <c r="R1431" i="3"/>
  <c r="P1431" i="3"/>
  <c r="J1431" i="3"/>
  <c r="BK1429" i="3"/>
  <c r="BI1429" i="3"/>
  <c r="BH1429" i="3"/>
  <c r="BG1429" i="3"/>
  <c r="BF1429" i="3"/>
  <c r="BE1429" i="3"/>
  <c r="T1429" i="3"/>
  <c r="R1429" i="3"/>
  <c r="P1429" i="3"/>
  <c r="J1429" i="3"/>
  <c r="BK1427" i="3"/>
  <c r="BI1427" i="3"/>
  <c r="BH1427" i="3"/>
  <c r="BG1427" i="3"/>
  <c r="BF1427" i="3"/>
  <c r="BE1427" i="3"/>
  <c r="T1427" i="3"/>
  <c r="R1427" i="3"/>
  <c r="P1427" i="3"/>
  <c r="J1427" i="3"/>
  <c r="BK1425" i="3"/>
  <c r="BI1425" i="3"/>
  <c r="BH1425" i="3"/>
  <c r="BG1425" i="3"/>
  <c r="BF1425" i="3"/>
  <c r="BE1425" i="3"/>
  <c r="T1425" i="3"/>
  <c r="R1425" i="3"/>
  <c r="P1425" i="3"/>
  <c r="J1425" i="3"/>
  <c r="BK1423" i="3"/>
  <c r="BI1423" i="3"/>
  <c r="BH1423" i="3"/>
  <c r="BG1423" i="3"/>
  <c r="BF1423" i="3"/>
  <c r="BE1423" i="3"/>
  <c r="T1423" i="3"/>
  <c r="R1423" i="3"/>
  <c r="P1423" i="3"/>
  <c r="J1423" i="3"/>
  <c r="BK1421" i="3"/>
  <c r="BI1421" i="3"/>
  <c r="BH1421" i="3"/>
  <c r="BG1421" i="3"/>
  <c r="BF1421" i="3"/>
  <c r="BE1421" i="3"/>
  <c r="T1421" i="3"/>
  <c r="R1421" i="3"/>
  <c r="P1421" i="3"/>
  <c r="J1421" i="3"/>
  <c r="BK1419" i="3"/>
  <c r="BI1419" i="3"/>
  <c r="BH1419" i="3"/>
  <c r="BG1419" i="3"/>
  <c r="BF1419" i="3"/>
  <c r="BE1419" i="3"/>
  <c r="T1419" i="3"/>
  <c r="R1419" i="3"/>
  <c r="P1419" i="3"/>
  <c r="J1419" i="3"/>
  <c r="BK1417" i="3"/>
  <c r="BI1417" i="3"/>
  <c r="BH1417" i="3"/>
  <c r="BG1417" i="3"/>
  <c r="BF1417" i="3"/>
  <c r="BE1417" i="3"/>
  <c r="T1417" i="3"/>
  <c r="R1417" i="3"/>
  <c r="P1417" i="3"/>
  <c r="J1417" i="3"/>
  <c r="BK1415" i="3"/>
  <c r="BI1415" i="3"/>
  <c r="BH1415" i="3"/>
  <c r="BG1415" i="3"/>
  <c r="BF1415" i="3"/>
  <c r="BE1415" i="3"/>
  <c r="T1415" i="3"/>
  <c r="R1415" i="3"/>
  <c r="P1415" i="3"/>
  <c r="J1415" i="3"/>
  <c r="BK1413" i="3"/>
  <c r="BI1413" i="3"/>
  <c r="BH1413" i="3"/>
  <c r="BG1413" i="3"/>
  <c r="BF1413" i="3"/>
  <c r="BE1413" i="3"/>
  <c r="T1413" i="3"/>
  <c r="R1413" i="3"/>
  <c r="P1413" i="3"/>
  <c r="J1413" i="3"/>
  <c r="BK1411" i="3"/>
  <c r="BI1411" i="3"/>
  <c r="BH1411" i="3"/>
  <c r="BG1411" i="3"/>
  <c r="BF1411" i="3"/>
  <c r="BE1411" i="3"/>
  <c r="T1411" i="3"/>
  <c r="R1411" i="3"/>
  <c r="P1411" i="3"/>
  <c r="J1411" i="3"/>
  <c r="BK1409" i="3"/>
  <c r="BI1409" i="3"/>
  <c r="BH1409" i="3"/>
  <c r="BG1409" i="3"/>
  <c r="BF1409" i="3"/>
  <c r="BE1409" i="3"/>
  <c r="T1409" i="3"/>
  <c r="R1409" i="3"/>
  <c r="P1409" i="3"/>
  <c r="J1409" i="3"/>
  <c r="BK1407" i="3"/>
  <c r="BI1407" i="3"/>
  <c r="BH1407" i="3"/>
  <c r="BG1407" i="3"/>
  <c r="BF1407" i="3"/>
  <c r="BE1407" i="3"/>
  <c r="T1407" i="3"/>
  <c r="R1407" i="3"/>
  <c r="P1407" i="3"/>
  <c r="J1407" i="3"/>
  <c r="BK1405" i="3"/>
  <c r="BI1405" i="3"/>
  <c r="BH1405" i="3"/>
  <c r="BG1405" i="3"/>
  <c r="BF1405" i="3"/>
  <c r="BE1405" i="3"/>
  <c r="T1405" i="3"/>
  <c r="R1405" i="3"/>
  <c r="P1405" i="3"/>
  <c r="J1405" i="3"/>
  <c r="BK1403" i="3"/>
  <c r="BI1403" i="3"/>
  <c r="BH1403" i="3"/>
  <c r="BG1403" i="3"/>
  <c r="BF1403" i="3"/>
  <c r="BE1403" i="3"/>
  <c r="T1403" i="3"/>
  <c r="R1403" i="3"/>
  <c r="P1403" i="3"/>
  <c r="J1403" i="3"/>
  <c r="BK1401" i="3"/>
  <c r="BI1401" i="3"/>
  <c r="BH1401" i="3"/>
  <c r="BG1401" i="3"/>
  <c r="BF1401" i="3"/>
  <c r="BE1401" i="3"/>
  <c r="T1401" i="3"/>
  <c r="R1401" i="3"/>
  <c r="P1401" i="3"/>
  <c r="J1401" i="3"/>
  <c r="BK1399" i="3"/>
  <c r="BI1399" i="3"/>
  <c r="BH1399" i="3"/>
  <c r="BG1399" i="3"/>
  <c r="BF1399" i="3"/>
  <c r="BE1399" i="3"/>
  <c r="T1399" i="3"/>
  <c r="R1399" i="3"/>
  <c r="P1399" i="3"/>
  <c r="J1399" i="3"/>
  <c r="BK1397" i="3"/>
  <c r="BI1397" i="3"/>
  <c r="BH1397" i="3"/>
  <c r="BG1397" i="3"/>
  <c r="BF1397" i="3"/>
  <c r="BE1397" i="3"/>
  <c r="T1397" i="3"/>
  <c r="R1397" i="3"/>
  <c r="P1397" i="3"/>
  <c r="J1397" i="3"/>
  <c r="BK1395" i="3"/>
  <c r="BI1395" i="3"/>
  <c r="BH1395" i="3"/>
  <c r="BG1395" i="3"/>
  <c r="BF1395" i="3"/>
  <c r="BE1395" i="3"/>
  <c r="T1395" i="3"/>
  <c r="R1395" i="3"/>
  <c r="P1395" i="3"/>
  <c r="J1395" i="3"/>
  <c r="BK1393" i="3"/>
  <c r="BI1393" i="3"/>
  <c r="BH1393" i="3"/>
  <c r="BG1393" i="3"/>
  <c r="BF1393" i="3"/>
  <c r="BE1393" i="3"/>
  <c r="T1393" i="3"/>
  <c r="R1393" i="3"/>
  <c r="P1393" i="3"/>
  <c r="J1393" i="3"/>
  <c r="BK1391" i="3"/>
  <c r="BI1391" i="3"/>
  <c r="BH1391" i="3"/>
  <c r="BG1391" i="3"/>
  <c r="BF1391" i="3"/>
  <c r="BE1391" i="3"/>
  <c r="T1391" i="3"/>
  <c r="R1391" i="3"/>
  <c r="P1391" i="3"/>
  <c r="J1391" i="3"/>
  <c r="BK1389" i="3"/>
  <c r="BI1389" i="3"/>
  <c r="BH1389" i="3"/>
  <c r="BG1389" i="3"/>
  <c r="BF1389" i="3"/>
  <c r="BE1389" i="3"/>
  <c r="T1389" i="3"/>
  <c r="R1389" i="3"/>
  <c r="P1389" i="3"/>
  <c r="J1389" i="3"/>
  <c r="BK1387" i="3"/>
  <c r="BI1387" i="3"/>
  <c r="BH1387" i="3"/>
  <c r="BG1387" i="3"/>
  <c r="BF1387" i="3"/>
  <c r="BE1387" i="3"/>
  <c r="T1387" i="3"/>
  <c r="R1387" i="3"/>
  <c r="P1387" i="3"/>
  <c r="J1387" i="3"/>
  <c r="BK1385" i="3"/>
  <c r="BI1385" i="3"/>
  <c r="BH1385" i="3"/>
  <c r="BG1385" i="3"/>
  <c r="BF1385" i="3"/>
  <c r="BE1385" i="3"/>
  <c r="T1385" i="3"/>
  <c r="R1385" i="3"/>
  <c r="P1385" i="3"/>
  <c r="J1385" i="3"/>
  <c r="BK1383" i="3"/>
  <c r="BI1383" i="3"/>
  <c r="BH1383" i="3"/>
  <c r="BG1383" i="3"/>
  <c r="BF1383" i="3"/>
  <c r="BE1383" i="3"/>
  <c r="T1383" i="3"/>
  <c r="R1383" i="3"/>
  <c r="P1383" i="3"/>
  <c r="J1383" i="3"/>
  <c r="BK1381" i="3"/>
  <c r="BI1381" i="3"/>
  <c r="BH1381" i="3"/>
  <c r="BG1381" i="3"/>
  <c r="BF1381" i="3"/>
  <c r="BE1381" i="3"/>
  <c r="T1381" i="3"/>
  <c r="R1381" i="3"/>
  <c r="P1381" i="3"/>
  <c r="J1381" i="3"/>
  <c r="BK1379" i="3"/>
  <c r="BI1379" i="3"/>
  <c r="BH1379" i="3"/>
  <c r="BG1379" i="3"/>
  <c r="BF1379" i="3"/>
  <c r="BE1379" i="3"/>
  <c r="T1379" i="3"/>
  <c r="R1379" i="3"/>
  <c r="P1379" i="3"/>
  <c r="J1379" i="3"/>
  <c r="BK1377" i="3"/>
  <c r="BI1377" i="3"/>
  <c r="BH1377" i="3"/>
  <c r="BG1377" i="3"/>
  <c r="BF1377" i="3"/>
  <c r="BE1377" i="3"/>
  <c r="T1377" i="3"/>
  <c r="R1377" i="3"/>
  <c r="P1377" i="3"/>
  <c r="J1377" i="3"/>
  <c r="BK1375" i="3"/>
  <c r="BI1375" i="3"/>
  <c r="BH1375" i="3"/>
  <c r="BG1375" i="3"/>
  <c r="BF1375" i="3"/>
  <c r="BE1375" i="3"/>
  <c r="T1375" i="3"/>
  <c r="R1375" i="3"/>
  <c r="P1375" i="3"/>
  <c r="J1375" i="3"/>
  <c r="BK1373" i="3"/>
  <c r="BI1373" i="3"/>
  <c r="BH1373" i="3"/>
  <c r="BG1373" i="3"/>
  <c r="BF1373" i="3"/>
  <c r="BE1373" i="3"/>
  <c r="T1373" i="3"/>
  <c r="R1373" i="3"/>
  <c r="P1373" i="3"/>
  <c r="J1373" i="3"/>
  <c r="BK1371" i="3"/>
  <c r="BI1371" i="3"/>
  <c r="BH1371" i="3"/>
  <c r="BG1371" i="3"/>
  <c r="BF1371" i="3"/>
  <c r="BE1371" i="3"/>
  <c r="T1371" i="3"/>
  <c r="R1371" i="3"/>
  <c r="P1371" i="3"/>
  <c r="J1371" i="3"/>
  <c r="BK1369" i="3"/>
  <c r="BI1369" i="3"/>
  <c r="BH1369" i="3"/>
  <c r="BG1369" i="3"/>
  <c r="BF1369" i="3"/>
  <c r="BE1369" i="3"/>
  <c r="T1369" i="3"/>
  <c r="R1369" i="3"/>
  <c r="P1369" i="3"/>
  <c r="J1369" i="3"/>
  <c r="BK1367" i="3"/>
  <c r="BI1367" i="3"/>
  <c r="BH1367" i="3"/>
  <c r="BG1367" i="3"/>
  <c r="BF1367" i="3"/>
  <c r="BE1367" i="3"/>
  <c r="T1367" i="3"/>
  <c r="R1367" i="3"/>
  <c r="P1367" i="3"/>
  <c r="J1367" i="3"/>
  <c r="BK1365" i="3"/>
  <c r="BI1365" i="3"/>
  <c r="BH1365" i="3"/>
  <c r="BG1365" i="3"/>
  <c r="BF1365" i="3"/>
  <c r="BE1365" i="3"/>
  <c r="T1365" i="3"/>
  <c r="R1365" i="3"/>
  <c r="P1365" i="3"/>
  <c r="J1365" i="3"/>
  <c r="BK1363" i="3"/>
  <c r="BI1363" i="3"/>
  <c r="BH1363" i="3"/>
  <c r="BG1363" i="3"/>
  <c r="BF1363" i="3"/>
  <c r="BE1363" i="3"/>
  <c r="T1363" i="3"/>
  <c r="R1363" i="3"/>
  <c r="P1363" i="3"/>
  <c r="J1363" i="3"/>
  <c r="BK1361" i="3"/>
  <c r="BI1361" i="3"/>
  <c r="BH1361" i="3"/>
  <c r="BG1361" i="3"/>
  <c r="BF1361" i="3"/>
  <c r="BE1361" i="3"/>
  <c r="T1361" i="3"/>
  <c r="R1361" i="3"/>
  <c r="P1361" i="3"/>
  <c r="J1361" i="3"/>
  <c r="BK1359" i="3"/>
  <c r="BI1359" i="3"/>
  <c r="BH1359" i="3"/>
  <c r="BG1359" i="3"/>
  <c r="BF1359" i="3"/>
  <c r="BE1359" i="3"/>
  <c r="T1359" i="3"/>
  <c r="R1359" i="3"/>
  <c r="P1359" i="3"/>
  <c r="J1359" i="3"/>
  <c r="BK1357" i="3"/>
  <c r="BI1357" i="3"/>
  <c r="BH1357" i="3"/>
  <c r="BG1357" i="3"/>
  <c r="BF1357" i="3"/>
  <c r="BE1357" i="3"/>
  <c r="T1357" i="3"/>
  <c r="R1357" i="3"/>
  <c r="P1357" i="3"/>
  <c r="J1357" i="3"/>
  <c r="BK1355" i="3"/>
  <c r="BI1355" i="3"/>
  <c r="BH1355" i="3"/>
  <c r="BG1355" i="3"/>
  <c r="BF1355" i="3"/>
  <c r="BE1355" i="3"/>
  <c r="T1355" i="3"/>
  <c r="R1355" i="3"/>
  <c r="P1355" i="3"/>
  <c r="J1355" i="3"/>
  <c r="BK1353" i="3"/>
  <c r="BI1353" i="3"/>
  <c r="BH1353" i="3"/>
  <c r="BG1353" i="3"/>
  <c r="BF1353" i="3"/>
  <c r="BE1353" i="3"/>
  <c r="T1353" i="3"/>
  <c r="R1353" i="3"/>
  <c r="P1353" i="3"/>
  <c r="J1353" i="3"/>
  <c r="BK1351" i="3"/>
  <c r="BI1351" i="3"/>
  <c r="BH1351" i="3"/>
  <c r="BG1351" i="3"/>
  <c r="BF1351" i="3"/>
  <c r="BE1351" i="3"/>
  <c r="T1351" i="3"/>
  <c r="R1351" i="3"/>
  <c r="P1351" i="3"/>
  <c r="J1351" i="3"/>
  <c r="BK1349" i="3"/>
  <c r="BI1349" i="3"/>
  <c r="BH1349" i="3"/>
  <c r="BG1349" i="3"/>
  <c r="BF1349" i="3"/>
  <c r="BE1349" i="3"/>
  <c r="T1349" i="3"/>
  <c r="R1349" i="3"/>
  <c r="P1349" i="3"/>
  <c r="J1349" i="3"/>
  <c r="BK1347" i="3"/>
  <c r="BI1347" i="3"/>
  <c r="BH1347" i="3"/>
  <c r="BG1347" i="3"/>
  <c r="BF1347" i="3"/>
  <c r="BE1347" i="3"/>
  <c r="T1347" i="3"/>
  <c r="R1347" i="3"/>
  <c r="P1347" i="3"/>
  <c r="J1347" i="3"/>
  <c r="BK1345" i="3"/>
  <c r="BI1345" i="3"/>
  <c r="BH1345" i="3"/>
  <c r="BG1345" i="3"/>
  <c r="BF1345" i="3"/>
  <c r="BE1345" i="3"/>
  <c r="T1345" i="3"/>
  <c r="R1345" i="3"/>
  <c r="P1345" i="3"/>
  <c r="J1345" i="3"/>
  <c r="BK1343" i="3"/>
  <c r="BI1343" i="3"/>
  <c r="BH1343" i="3"/>
  <c r="BG1343" i="3"/>
  <c r="BF1343" i="3"/>
  <c r="BE1343" i="3"/>
  <c r="T1343" i="3"/>
  <c r="R1343" i="3"/>
  <c r="P1343" i="3"/>
  <c r="J1343" i="3"/>
  <c r="BK1341" i="3"/>
  <c r="BI1341" i="3"/>
  <c r="BH1341" i="3"/>
  <c r="BG1341" i="3"/>
  <c r="BF1341" i="3"/>
  <c r="BE1341" i="3"/>
  <c r="T1341" i="3"/>
  <c r="R1341" i="3"/>
  <c r="P1341" i="3"/>
  <c r="J1341" i="3"/>
  <c r="BK1339" i="3"/>
  <c r="BI1339" i="3"/>
  <c r="BH1339" i="3"/>
  <c r="BG1339" i="3"/>
  <c r="BF1339" i="3"/>
  <c r="BE1339" i="3"/>
  <c r="T1339" i="3"/>
  <c r="R1339" i="3"/>
  <c r="P1339" i="3"/>
  <c r="J1339" i="3"/>
  <c r="BK1337" i="3"/>
  <c r="BI1337" i="3"/>
  <c r="BH1337" i="3"/>
  <c r="BG1337" i="3"/>
  <c r="BF1337" i="3"/>
  <c r="BE1337" i="3"/>
  <c r="T1337" i="3"/>
  <c r="R1337" i="3"/>
  <c r="P1337" i="3"/>
  <c r="J1337" i="3"/>
  <c r="BK1335" i="3"/>
  <c r="BI1335" i="3"/>
  <c r="BH1335" i="3"/>
  <c r="BG1335" i="3"/>
  <c r="BF1335" i="3"/>
  <c r="BE1335" i="3"/>
  <c r="T1335" i="3"/>
  <c r="R1335" i="3"/>
  <c r="P1335" i="3"/>
  <c r="J1335" i="3"/>
  <c r="BK1333" i="3"/>
  <c r="BI1333" i="3"/>
  <c r="BH1333" i="3"/>
  <c r="BG1333" i="3"/>
  <c r="BF1333" i="3"/>
  <c r="BE1333" i="3"/>
  <c r="T1333" i="3"/>
  <c r="R1333" i="3"/>
  <c r="P1333" i="3"/>
  <c r="J1333" i="3"/>
  <c r="BK1331" i="3"/>
  <c r="BI1331" i="3"/>
  <c r="BH1331" i="3"/>
  <c r="BG1331" i="3"/>
  <c r="BF1331" i="3"/>
  <c r="BE1331" i="3"/>
  <c r="T1331" i="3"/>
  <c r="R1331" i="3"/>
  <c r="P1331" i="3"/>
  <c r="J1331" i="3"/>
  <c r="BK1329" i="3"/>
  <c r="BI1329" i="3"/>
  <c r="BH1329" i="3"/>
  <c r="BG1329" i="3"/>
  <c r="BF1329" i="3"/>
  <c r="BE1329" i="3"/>
  <c r="T1329" i="3"/>
  <c r="R1329" i="3"/>
  <c r="P1329" i="3"/>
  <c r="J1329" i="3"/>
  <c r="BK1327" i="3"/>
  <c r="BI1327" i="3"/>
  <c r="BH1327" i="3"/>
  <c r="BG1327" i="3"/>
  <c r="BF1327" i="3"/>
  <c r="BE1327" i="3"/>
  <c r="T1327" i="3"/>
  <c r="R1327" i="3"/>
  <c r="P1327" i="3"/>
  <c r="J1327" i="3"/>
  <c r="BK1325" i="3"/>
  <c r="BI1325" i="3"/>
  <c r="BH1325" i="3"/>
  <c r="BG1325" i="3"/>
  <c r="BF1325" i="3"/>
  <c r="BE1325" i="3"/>
  <c r="T1325" i="3"/>
  <c r="R1325" i="3"/>
  <c r="P1325" i="3"/>
  <c r="J1325" i="3"/>
  <c r="BK1323" i="3"/>
  <c r="BI1323" i="3"/>
  <c r="BH1323" i="3"/>
  <c r="BG1323" i="3"/>
  <c r="BF1323" i="3"/>
  <c r="BE1323" i="3"/>
  <c r="T1323" i="3"/>
  <c r="R1323" i="3"/>
  <c r="P1323" i="3"/>
  <c r="J1323" i="3"/>
  <c r="BK1321" i="3"/>
  <c r="BI1321" i="3"/>
  <c r="BH1321" i="3"/>
  <c r="BG1321" i="3"/>
  <c r="BF1321" i="3"/>
  <c r="BE1321" i="3"/>
  <c r="T1321" i="3"/>
  <c r="R1321" i="3"/>
  <c r="P1321" i="3"/>
  <c r="J1321" i="3"/>
  <c r="BK1319" i="3"/>
  <c r="BI1319" i="3"/>
  <c r="BH1319" i="3"/>
  <c r="BG1319" i="3"/>
  <c r="BF1319" i="3"/>
  <c r="BE1319" i="3"/>
  <c r="T1319" i="3"/>
  <c r="R1319" i="3"/>
  <c r="P1319" i="3"/>
  <c r="J1319" i="3"/>
  <c r="BK1317" i="3"/>
  <c r="BI1317" i="3"/>
  <c r="BH1317" i="3"/>
  <c r="BG1317" i="3"/>
  <c r="BF1317" i="3"/>
  <c r="BE1317" i="3"/>
  <c r="T1317" i="3"/>
  <c r="R1317" i="3"/>
  <c r="P1317" i="3"/>
  <c r="J1317" i="3"/>
  <c r="BK1315" i="3"/>
  <c r="BI1315" i="3"/>
  <c r="BH1315" i="3"/>
  <c r="BG1315" i="3"/>
  <c r="BF1315" i="3"/>
  <c r="BE1315" i="3"/>
  <c r="T1315" i="3"/>
  <c r="R1315" i="3"/>
  <c r="P1315" i="3"/>
  <c r="J1315" i="3"/>
  <c r="BK1313" i="3"/>
  <c r="BI1313" i="3"/>
  <c r="BH1313" i="3"/>
  <c r="BG1313" i="3"/>
  <c r="BF1313" i="3"/>
  <c r="BE1313" i="3"/>
  <c r="T1313" i="3"/>
  <c r="R1313" i="3"/>
  <c r="P1313" i="3"/>
  <c r="J1313" i="3"/>
  <c r="BK1311" i="3"/>
  <c r="BI1311" i="3"/>
  <c r="BH1311" i="3"/>
  <c r="BG1311" i="3"/>
  <c r="BF1311" i="3"/>
  <c r="BE1311" i="3"/>
  <c r="T1311" i="3"/>
  <c r="R1311" i="3"/>
  <c r="P1311" i="3"/>
  <c r="J1311" i="3"/>
  <c r="BK1309" i="3"/>
  <c r="BI1309" i="3"/>
  <c r="BH1309" i="3"/>
  <c r="BG1309" i="3"/>
  <c r="BF1309" i="3"/>
  <c r="BE1309" i="3"/>
  <c r="T1309" i="3"/>
  <c r="R1309" i="3"/>
  <c r="P1309" i="3"/>
  <c r="J1309" i="3"/>
  <c r="BK1307" i="3"/>
  <c r="BI1307" i="3"/>
  <c r="BH1307" i="3"/>
  <c r="BG1307" i="3"/>
  <c r="BF1307" i="3"/>
  <c r="BE1307" i="3"/>
  <c r="T1307" i="3"/>
  <c r="R1307" i="3"/>
  <c r="P1307" i="3"/>
  <c r="J1307" i="3"/>
  <c r="BK1305" i="3"/>
  <c r="BI1305" i="3"/>
  <c r="BH1305" i="3"/>
  <c r="BG1305" i="3"/>
  <c r="BF1305" i="3"/>
  <c r="BE1305" i="3"/>
  <c r="T1305" i="3"/>
  <c r="R1305" i="3"/>
  <c r="P1305" i="3"/>
  <c r="J1305" i="3"/>
  <c r="BK1303" i="3"/>
  <c r="BI1303" i="3"/>
  <c r="BH1303" i="3"/>
  <c r="BG1303" i="3"/>
  <c r="BF1303" i="3"/>
  <c r="BE1303" i="3"/>
  <c r="T1303" i="3"/>
  <c r="R1303" i="3"/>
  <c r="P1303" i="3"/>
  <c r="J1303" i="3"/>
  <c r="BK1301" i="3"/>
  <c r="BI1301" i="3"/>
  <c r="BH1301" i="3"/>
  <c r="BG1301" i="3"/>
  <c r="BF1301" i="3"/>
  <c r="BE1301" i="3"/>
  <c r="T1301" i="3"/>
  <c r="R1301" i="3"/>
  <c r="P1301" i="3"/>
  <c r="J1301" i="3"/>
  <c r="BK1299" i="3"/>
  <c r="BI1299" i="3"/>
  <c r="BH1299" i="3"/>
  <c r="BG1299" i="3"/>
  <c r="BF1299" i="3"/>
  <c r="BE1299" i="3"/>
  <c r="T1299" i="3"/>
  <c r="R1299" i="3"/>
  <c r="P1299" i="3"/>
  <c r="J1299" i="3"/>
  <c r="BK1297" i="3"/>
  <c r="BI1297" i="3"/>
  <c r="BH1297" i="3"/>
  <c r="BG1297" i="3"/>
  <c r="BF1297" i="3"/>
  <c r="BE1297" i="3"/>
  <c r="T1297" i="3"/>
  <c r="R1297" i="3"/>
  <c r="P1297" i="3"/>
  <c r="J1297" i="3"/>
  <c r="BK1295" i="3"/>
  <c r="BI1295" i="3"/>
  <c r="BH1295" i="3"/>
  <c r="BG1295" i="3"/>
  <c r="BF1295" i="3"/>
  <c r="BE1295" i="3"/>
  <c r="T1295" i="3"/>
  <c r="R1295" i="3"/>
  <c r="P1295" i="3"/>
  <c r="J1295" i="3"/>
  <c r="BK1293" i="3"/>
  <c r="BI1293" i="3"/>
  <c r="BH1293" i="3"/>
  <c r="BG1293" i="3"/>
  <c r="BF1293" i="3"/>
  <c r="BE1293" i="3"/>
  <c r="T1293" i="3"/>
  <c r="R1293" i="3"/>
  <c r="P1293" i="3"/>
  <c r="J1293" i="3"/>
  <c r="BK1291" i="3"/>
  <c r="BI1291" i="3"/>
  <c r="BH1291" i="3"/>
  <c r="BG1291" i="3"/>
  <c r="BF1291" i="3"/>
  <c r="BE1291" i="3"/>
  <c r="T1291" i="3"/>
  <c r="R1291" i="3"/>
  <c r="P1291" i="3"/>
  <c r="J1291" i="3"/>
  <c r="BK1289" i="3"/>
  <c r="BI1289" i="3"/>
  <c r="BH1289" i="3"/>
  <c r="BG1289" i="3"/>
  <c r="BF1289" i="3"/>
  <c r="BE1289" i="3"/>
  <c r="T1289" i="3"/>
  <c r="R1289" i="3"/>
  <c r="P1289" i="3"/>
  <c r="J1289" i="3"/>
  <c r="BK1287" i="3"/>
  <c r="BI1287" i="3"/>
  <c r="BH1287" i="3"/>
  <c r="BG1287" i="3"/>
  <c r="BF1287" i="3"/>
  <c r="BE1287" i="3"/>
  <c r="T1287" i="3"/>
  <c r="R1287" i="3"/>
  <c r="P1287" i="3"/>
  <c r="J1287" i="3"/>
  <c r="BK1285" i="3"/>
  <c r="BI1285" i="3"/>
  <c r="BH1285" i="3"/>
  <c r="BG1285" i="3"/>
  <c r="BF1285" i="3"/>
  <c r="BE1285" i="3"/>
  <c r="T1285" i="3"/>
  <c r="R1285" i="3"/>
  <c r="P1285" i="3"/>
  <c r="J1285" i="3"/>
  <c r="BK1283" i="3"/>
  <c r="BI1283" i="3"/>
  <c r="BH1283" i="3"/>
  <c r="BG1283" i="3"/>
  <c r="BF1283" i="3"/>
  <c r="BE1283" i="3"/>
  <c r="T1283" i="3"/>
  <c r="R1283" i="3"/>
  <c r="P1283" i="3"/>
  <c r="J1283" i="3"/>
  <c r="BK1281" i="3"/>
  <c r="BI1281" i="3"/>
  <c r="BH1281" i="3"/>
  <c r="BG1281" i="3"/>
  <c r="BF1281" i="3"/>
  <c r="BE1281" i="3"/>
  <c r="T1281" i="3"/>
  <c r="R1281" i="3"/>
  <c r="P1281" i="3"/>
  <c r="J1281" i="3"/>
  <c r="BK1279" i="3"/>
  <c r="BI1279" i="3"/>
  <c r="BH1279" i="3"/>
  <c r="BG1279" i="3"/>
  <c r="BF1279" i="3"/>
  <c r="BE1279" i="3"/>
  <c r="T1279" i="3"/>
  <c r="R1279" i="3"/>
  <c r="P1279" i="3"/>
  <c r="J1279" i="3"/>
  <c r="BK1277" i="3"/>
  <c r="BI1277" i="3"/>
  <c r="BH1277" i="3"/>
  <c r="BG1277" i="3"/>
  <c r="BF1277" i="3"/>
  <c r="BE1277" i="3"/>
  <c r="T1277" i="3"/>
  <c r="R1277" i="3"/>
  <c r="P1277" i="3"/>
  <c r="J1277" i="3"/>
  <c r="BK1275" i="3"/>
  <c r="BI1275" i="3"/>
  <c r="BH1275" i="3"/>
  <c r="BG1275" i="3"/>
  <c r="BF1275" i="3"/>
  <c r="BE1275" i="3"/>
  <c r="T1275" i="3"/>
  <c r="R1275" i="3"/>
  <c r="P1275" i="3"/>
  <c r="J1275" i="3"/>
  <c r="BK1273" i="3"/>
  <c r="BI1273" i="3"/>
  <c r="BH1273" i="3"/>
  <c r="BG1273" i="3"/>
  <c r="BF1273" i="3"/>
  <c r="BE1273" i="3"/>
  <c r="T1273" i="3"/>
  <c r="R1273" i="3"/>
  <c r="P1273" i="3"/>
  <c r="J1273" i="3"/>
  <c r="BK1271" i="3"/>
  <c r="BI1271" i="3"/>
  <c r="BH1271" i="3"/>
  <c r="BG1271" i="3"/>
  <c r="BF1271" i="3"/>
  <c r="BE1271" i="3"/>
  <c r="T1271" i="3"/>
  <c r="R1271" i="3"/>
  <c r="P1271" i="3"/>
  <c r="J1271" i="3"/>
  <c r="BK1269" i="3"/>
  <c r="BI1269" i="3"/>
  <c r="BH1269" i="3"/>
  <c r="BG1269" i="3"/>
  <c r="BF1269" i="3"/>
  <c r="BE1269" i="3"/>
  <c r="T1269" i="3"/>
  <c r="R1269" i="3"/>
  <c r="P1269" i="3"/>
  <c r="J1269" i="3"/>
  <c r="BK1267" i="3"/>
  <c r="BI1267" i="3"/>
  <c r="BH1267" i="3"/>
  <c r="BG1267" i="3"/>
  <c r="BF1267" i="3"/>
  <c r="BE1267" i="3"/>
  <c r="T1267" i="3"/>
  <c r="R1267" i="3"/>
  <c r="P1267" i="3"/>
  <c r="J1267" i="3"/>
  <c r="BK1265" i="3"/>
  <c r="BI1265" i="3"/>
  <c r="BH1265" i="3"/>
  <c r="BG1265" i="3"/>
  <c r="BF1265" i="3"/>
  <c r="BE1265" i="3"/>
  <c r="T1265" i="3"/>
  <c r="R1265" i="3"/>
  <c r="P1265" i="3"/>
  <c r="J1265" i="3"/>
  <c r="BK1263" i="3"/>
  <c r="BI1263" i="3"/>
  <c r="BH1263" i="3"/>
  <c r="BG1263" i="3"/>
  <c r="BF1263" i="3"/>
  <c r="BE1263" i="3"/>
  <c r="T1263" i="3"/>
  <c r="R1263" i="3"/>
  <c r="P1263" i="3"/>
  <c r="J1263" i="3"/>
  <c r="BK1261" i="3"/>
  <c r="BI1261" i="3"/>
  <c r="BH1261" i="3"/>
  <c r="BG1261" i="3"/>
  <c r="BF1261" i="3"/>
  <c r="BE1261" i="3"/>
  <c r="T1261" i="3"/>
  <c r="R1261" i="3"/>
  <c r="P1261" i="3"/>
  <c r="J1261" i="3"/>
  <c r="BK1259" i="3"/>
  <c r="BI1259" i="3"/>
  <c r="BH1259" i="3"/>
  <c r="BG1259" i="3"/>
  <c r="BF1259" i="3"/>
  <c r="BE1259" i="3"/>
  <c r="T1259" i="3"/>
  <c r="R1259" i="3"/>
  <c r="P1259" i="3"/>
  <c r="J1259" i="3"/>
  <c r="BK1257" i="3"/>
  <c r="BI1257" i="3"/>
  <c r="BH1257" i="3"/>
  <c r="BG1257" i="3"/>
  <c r="BF1257" i="3"/>
  <c r="BE1257" i="3"/>
  <c r="T1257" i="3"/>
  <c r="R1257" i="3"/>
  <c r="P1257" i="3"/>
  <c r="J1257" i="3"/>
  <c r="BK1255" i="3"/>
  <c r="BI1255" i="3"/>
  <c r="BH1255" i="3"/>
  <c r="BG1255" i="3"/>
  <c r="BF1255" i="3"/>
  <c r="BE1255" i="3"/>
  <c r="T1255" i="3"/>
  <c r="R1255" i="3"/>
  <c r="P1255" i="3"/>
  <c r="J1255" i="3"/>
  <c r="BK1253" i="3"/>
  <c r="BI1253" i="3"/>
  <c r="BH1253" i="3"/>
  <c r="BG1253" i="3"/>
  <c r="BF1253" i="3"/>
  <c r="BE1253" i="3"/>
  <c r="T1253" i="3"/>
  <c r="R1253" i="3"/>
  <c r="P1253" i="3"/>
  <c r="J1253" i="3"/>
  <c r="BK1251" i="3"/>
  <c r="BI1251" i="3"/>
  <c r="BH1251" i="3"/>
  <c r="BG1251" i="3"/>
  <c r="BF1251" i="3"/>
  <c r="BE1251" i="3"/>
  <c r="T1251" i="3"/>
  <c r="R1251" i="3"/>
  <c r="P1251" i="3"/>
  <c r="J1251" i="3"/>
  <c r="BK1249" i="3"/>
  <c r="BI1249" i="3"/>
  <c r="BH1249" i="3"/>
  <c r="BG1249" i="3"/>
  <c r="BF1249" i="3"/>
  <c r="BE1249" i="3"/>
  <c r="T1249" i="3"/>
  <c r="R1249" i="3"/>
  <c r="P1249" i="3"/>
  <c r="J1249" i="3"/>
  <c r="BK1247" i="3"/>
  <c r="BI1247" i="3"/>
  <c r="BH1247" i="3"/>
  <c r="BG1247" i="3"/>
  <c r="BF1247" i="3"/>
  <c r="BE1247" i="3"/>
  <c r="T1247" i="3"/>
  <c r="R1247" i="3"/>
  <c r="P1247" i="3"/>
  <c r="J1247" i="3"/>
  <c r="BK1245" i="3"/>
  <c r="BI1245" i="3"/>
  <c r="BH1245" i="3"/>
  <c r="BG1245" i="3"/>
  <c r="BF1245" i="3"/>
  <c r="BE1245" i="3"/>
  <c r="T1245" i="3"/>
  <c r="R1245" i="3"/>
  <c r="P1245" i="3"/>
  <c r="J1245" i="3"/>
  <c r="BK1243" i="3"/>
  <c r="BI1243" i="3"/>
  <c r="BH1243" i="3"/>
  <c r="BG1243" i="3"/>
  <c r="BF1243" i="3"/>
  <c r="BE1243" i="3"/>
  <c r="T1243" i="3"/>
  <c r="R1243" i="3"/>
  <c r="P1243" i="3"/>
  <c r="J1243" i="3"/>
  <c r="BK1241" i="3"/>
  <c r="BI1241" i="3"/>
  <c r="BH1241" i="3"/>
  <c r="BG1241" i="3"/>
  <c r="BF1241" i="3"/>
  <c r="BE1241" i="3"/>
  <c r="T1241" i="3"/>
  <c r="R1241" i="3"/>
  <c r="P1241" i="3"/>
  <c r="J1241" i="3"/>
  <c r="BK1239" i="3"/>
  <c r="BI1239" i="3"/>
  <c r="BH1239" i="3"/>
  <c r="BG1239" i="3"/>
  <c r="BF1239" i="3"/>
  <c r="BE1239" i="3"/>
  <c r="T1239" i="3"/>
  <c r="R1239" i="3"/>
  <c r="P1239" i="3"/>
  <c r="J1239" i="3"/>
  <c r="BK1237" i="3"/>
  <c r="BI1237" i="3"/>
  <c r="BH1237" i="3"/>
  <c r="BG1237" i="3"/>
  <c r="BF1237" i="3"/>
  <c r="BE1237" i="3"/>
  <c r="T1237" i="3"/>
  <c r="R1237" i="3"/>
  <c r="P1237" i="3"/>
  <c r="J1237" i="3"/>
  <c r="BK1235" i="3"/>
  <c r="BI1235" i="3"/>
  <c r="BH1235" i="3"/>
  <c r="BG1235" i="3"/>
  <c r="BF1235" i="3"/>
  <c r="BE1235" i="3"/>
  <c r="T1235" i="3"/>
  <c r="R1235" i="3"/>
  <c r="P1235" i="3"/>
  <c r="J1235" i="3"/>
  <c r="BK1233" i="3"/>
  <c r="BI1233" i="3"/>
  <c r="BH1233" i="3"/>
  <c r="BG1233" i="3"/>
  <c r="BF1233" i="3"/>
  <c r="BE1233" i="3"/>
  <c r="T1233" i="3"/>
  <c r="R1233" i="3"/>
  <c r="P1233" i="3"/>
  <c r="J1233" i="3"/>
  <c r="BK1231" i="3"/>
  <c r="BI1231" i="3"/>
  <c r="BH1231" i="3"/>
  <c r="BG1231" i="3"/>
  <c r="BF1231" i="3"/>
  <c r="BE1231" i="3"/>
  <c r="T1231" i="3"/>
  <c r="R1231" i="3"/>
  <c r="P1231" i="3"/>
  <c r="J1231" i="3"/>
  <c r="BK1229" i="3"/>
  <c r="BI1229" i="3"/>
  <c r="BH1229" i="3"/>
  <c r="BG1229" i="3"/>
  <c r="BF1229" i="3"/>
  <c r="BE1229" i="3"/>
  <c r="T1229" i="3"/>
  <c r="R1229" i="3"/>
  <c r="P1229" i="3"/>
  <c r="J1229" i="3"/>
  <c r="BK1227" i="3"/>
  <c r="BI1227" i="3"/>
  <c r="BH1227" i="3"/>
  <c r="BG1227" i="3"/>
  <c r="BF1227" i="3"/>
  <c r="BE1227" i="3"/>
  <c r="T1227" i="3"/>
  <c r="R1227" i="3"/>
  <c r="P1227" i="3"/>
  <c r="J1227" i="3"/>
  <c r="BK1225" i="3"/>
  <c r="BI1225" i="3"/>
  <c r="BH1225" i="3"/>
  <c r="BG1225" i="3"/>
  <c r="BF1225" i="3"/>
  <c r="BE1225" i="3"/>
  <c r="T1225" i="3"/>
  <c r="R1225" i="3"/>
  <c r="P1225" i="3"/>
  <c r="J1225" i="3"/>
  <c r="BK1223" i="3"/>
  <c r="BI1223" i="3"/>
  <c r="BH1223" i="3"/>
  <c r="BG1223" i="3"/>
  <c r="BF1223" i="3"/>
  <c r="BE1223" i="3"/>
  <c r="T1223" i="3"/>
  <c r="R1223" i="3"/>
  <c r="P1223" i="3"/>
  <c r="J1223" i="3"/>
  <c r="BK1222" i="3"/>
  <c r="T1222" i="3"/>
  <c r="R1222" i="3"/>
  <c r="P1222" i="3"/>
  <c r="J1222" i="3"/>
  <c r="BK1221" i="3"/>
  <c r="T1221" i="3"/>
  <c r="R1221" i="3"/>
  <c r="P1221" i="3"/>
  <c r="J1221" i="3"/>
  <c r="BK1220" i="3"/>
  <c r="BI1220" i="3"/>
  <c r="BH1220" i="3"/>
  <c r="BG1220" i="3"/>
  <c r="BF1220" i="3"/>
  <c r="BE1220" i="3"/>
  <c r="T1220" i="3"/>
  <c r="R1220" i="3"/>
  <c r="P1220" i="3"/>
  <c r="J1220" i="3"/>
  <c r="BK1219" i="3"/>
  <c r="T1219" i="3"/>
  <c r="R1219" i="3"/>
  <c r="P1219" i="3"/>
  <c r="J1219" i="3"/>
  <c r="BK1196" i="3"/>
  <c r="BI1196" i="3"/>
  <c r="BH1196" i="3"/>
  <c r="BG1196" i="3"/>
  <c r="BF1196" i="3"/>
  <c r="BE1196" i="3"/>
  <c r="T1196" i="3"/>
  <c r="R1196" i="3"/>
  <c r="P1196" i="3"/>
  <c r="J1196" i="3"/>
  <c r="BK1181" i="3"/>
  <c r="BI1181" i="3"/>
  <c r="BH1181" i="3"/>
  <c r="BG1181" i="3"/>
  <c r="BF1181" i="3"/>
  <c r="BE1181" i="3"/>
  <c r="T1181" i="3"/>
  <c r="R1181" i="3"/>
  <c r="P1181" i="3"/>
  <c r="J1181" i="3"/>
  <c r="BK1176" i="3"/>
  <c r="BI1176" i="3"/>
  <c r="BH1176" i="3"/>
  <c r="BG1176" i="3"/>
  <c r="BF1176" i="3"/>
  <c r="BE1176" i="3"/>
  <c r="T1176" i="3"/>
  <c r="R1176" i="3"/>
  <c r="P1176" i="3"/>
  <c r="J1176" i="3"/>
  <c r="BK1175" i="3"/>
  <c r="BI1175" i="3"/>
  <c r="BH1175" i="3"/>
  <c r="BG1175" i="3"/>
  <c r="BF1175" i="3"/>
  <c r="BE1175" i="3"/>
  <c r="T1175" i="3"/>
  <c r="R1175" i="3"/>
  <c r="P1175" i="3"/>
  <c r="J1175" i="3"/>
  <c r="BK1174" i="3"/>
  <c r="BI1174" i="3"/>
  <c r="BH1174" i="3"/>
  <c r="BG1174" i="3"/>
  <c r="BF1174" i="3"/>
  <c r="BE1174" i="3"/>
  <c r="T1174" i="3"/>
  <c r="R1174" i="3"/>
  <c r="P1174" i="3"/>
  <c r="J1174" i="3"/>
  <c r="BK1172" i="3"/>
  <c r="BI1172" i="3"/>
  <c r="BH1172" i="3"/>
  <c r="BG1172" i="3"/>
  <c r="BF1172" i="3"/>
  <c r="BE1172" i="3"/>
  <c r="T1172" i="3"/>
  <c r="R1172" i="3"/>
  <c r="P1172" i="3"/>
  <c r="J1172" i="3"/>
  <c r="BK1170" i="3"/>
  <c r="BI1170" i="3"/>
  <c r="BH1170" i="3"/>
  <c r="BG1170" i="3"/>
  <c r="BF1170" i="3"/>
  <c r="BE1170" i="3"/>
  <c r="T1170" i="3"/>
  <c r="R1170" i="3"/>
  <c r="P1170" i="3"/>
  <c r="J1170" i="3"/>
  <c r="BK1168" i="3"/>
  <c r="BI1168" i="3"/>
  <c r="BH1168" i="3"/>
  <c r="BG1168" i="3"/>
  <c r="BF1168" i="3"/>
  <c r="BE1168" i="3"/>
  <c r="T1168" i="3"/>
  <c r="R1168" i="3"/>
  <c r="P1168" i="3"/>
  <c r="J1168" i="3"/>
  <c r="BK1166" i="3"/>
  <c r="BI1166" i="3"/>
  <c r="BH1166" i="3"/>
  <c r="BG1166" i="3"/>
  <c r="BF1166" i="3"/>
  <c r="BE1166" i="3"/>
  <c r="T1166" i="3"/>
  <c r="R1166" i="3"/>
  <c r="P1166" i="3"/>
  <c r="J1166" i="3"/>
  <c r="BK1164" i="3"/>
  <c r="BI1164" i="3"/>
  <c r="BH1164" i="3"/>
  <c r="BG1164" i="3"/>
  <c r="BF1164" i="3"/>
  <c r="BE1164" i="3"/>
  <c r="T1164" i="3"/>
  <c r="R1164" i="3"/>
  <c r="P1164" i="3"/>
  <c r="J1164" i="3"/>
  <c r="BK1162" i="3"/>
  <c r="BI1162" i="3"/>
  <c r="BH1162" i="3"/>
  <c r="BG1162" i="3"/>
  <c r="BF1162" i="3"/>
  <c r="BE1162" i="3"/>
  <c r="T1162" i="3"/>
  <c r="R1162" i="3"/>
  <c r="P1162" i="3"/>
  <c r="J1162" i="3"/>
  <c r="BK1160" i="3"/>
  <c r="BI1160" i="3"/>
  <c r="BH1160" i="3"/>
  <c r="BG1160" i="3"/>
  <c r="BF1160" i="3"/>
  <c r="BE1160" i="3"/>
  <c r="T1160" i="3"/>
  <c r="R1160" i="3"/>
  <c r="P1160" i="3"/>
  <c r="J1160" i="3"/>
  <c r="BK1158" i="3"/>
  <c r="BI1158" i="3"/>
  <c r="BH1158" i="3"/>
  <c r="BG1158" i="3"/>
  <c r="BF1158" i="3"/>
  <c r="BE1158" i="3"/>
  <c r="T1158" i="3"/>
  <c r="R1158" i="3"/>
  <c r="P1158" i="3"/>
  <c r="J1158" i="3"/>
  <c r="BK1156" i="3"/>
  <c r="BI1156" i="3"/>
  <c r="BH1156" i="3"/>
  <c r="BG1156" i="3"/>
  <c r="BF1156" i="3"/>
  <c r="BE1156" i="3"/>
  <c r="T1156" i="3"/>
  <c r="R1156" i="3"/>
  <c r="P1156" i="3"/>
  <c r="J1156" i="3"/>
  <c r="BK1154" i="3"/>
  <c r="BI1154" i="3"/>
  <c r="BH1154" i="3"/>
  <c r="BG1154" i="3"/>
  <c r="BF1154" i="3"/>
  <c r="BE1154" i="3"/>
  <c r="T1154" i="3"/>
  <c r="R1154" i="3"/>
  <c r="P1154" i="3"/>
  <c r="J1154" i="3"/>
  <c r="BK1152" i="3"/>
  <c r="BI1152" i="3"/>
  <c r="BH1152" i="3"/>
  <c r="BG1152" i="3"/>
  <c r="BF1152" i="3"/>
  <c r="BE1152" i="3"/>
  <c r="T1152" i="3"/>
  <c r="R1152" i="3"/>
  <c r="P1152" i="3"/>
  <c r="J1152" i="3"/>
  <c r="BK1150" i="3"/>
  <c r="BI1150" i="3"/>
  <c r="BH1150" i="3"/>
  <c r="BG1150" i="3"/>
  <c r="BF1150" i="3"/>
  <c r="BE1150" i="3"/>
  <c r="T1150" i="3"/>
  <c r="R1150" i="3"/>
  <c r="P1150" i="3"/>
  <c r="J1150" i="3"/>
  <c r="BK1148" i="3"/>
  <c r="BI1148" i="3"/>
  <c r="BH1148" i="3"/>
  <c r="BG1148" i="3"/>
  <c r="BF1148" i="3"/>
  <c r="BE1148" i="3"/>
  <c r="T1148" i="3"/>
  <c r="R1148" i="3"/>
  <c r="P1148" i="3"/>
  <c r="J1148" i="3"/>
  <c r="BK1146" i="3"/>
  <c r="BI1146" i="3"/>
  <c r="BH1146" i="3"/>
  <c r="BG1146" i="3"/>
  <c r="BF1146" i="3"/>
  <c r="BE1146" i="3"/>
  <c r="T1146" i="3"/>
  <c r="R1146" i="3"/>
  <c r="P1146" i="3"/>
  <c r="J1146" i="3"/>
  <c r="BK1144" i="3"/>
  <c r="BI1144" i="3"/>
  <c r="BH1144" i="3"/>
  <c r="BG1144" i="3"/>
  <c r="BF1144" i="3"/>
  <c r="BE1144" i="3"/>
  <c r="T1144" i="3"/>
  <c r="R1144" i="3"/>
  <c r="P1144" i="3"/>
  <c r="J1144" i="3"/>
  <c r="BK1142" i="3"/>
  <c r="BI1142" i="3"/>
  <c r="BH1142" i="3"/>
  <c r="BG1142" i="3"/>
  <c r="BF1142" i="3"/>
  <c r="BE1142" i="3"/>
  <c r="T1142" i="3"/>
  <c r="R1142" i="3"/>
  <c r="P1142" i="3"/>
  <c r="J1142" i="3"/>
  <c r="BK1140" i="3"/>
  <c r="BI1140" i="3"/>
  <c r="BH1140" i="3"/>
  <c r="BG1140" i="3"/>
  <c r="BF1140" i="3"/>
  <c r="BE1140" i="3"/>
  <c r="T1140" i="3"/>
  <c r="R1140" i="3"/>
  <c r="P1140" i="3"/>
  <c r="J1140" i="3"/>
  <c r="BK1138" i="3"/>
  <c r="BI1138" i="3"/>
  <c r="BH1138" i="3"/>
  <c r="BG1138" i="3"/>
  <c r="BF1138" i="3"/>
  <c r="BE1138" i="3"/>
  <c r="T1138" i="3"/>
  <c r="R1138" i="3"/>
  <c r="P1138" i="3"/>
  <c r="J1138" i="3"/>
  <c r="BK1136" i="3"/>
  <c r="BI1136" i="3"/>
  <c r="BH1136" i="3"/>
  <c r="BG1136" i="3"/>
  <c r="BF1136" i="3"/>
  <c r="BE1136" i="3"/>
  <c r="T1136" i="3"/>
  <c r="R1136" i="3"/>
  <c r="P1136" i="3"/>
  <c r="J1136" i="3"/>
  <c r="BK1134" i="3"/>
  <c r="BI1134" i="3"/>
  <c r="BH1134" i="3"/>
  <c r="BG1134" i="3"/>
  <c r="BF1134" i="3"/>
  <c r="BE1134" i="3"/>
  <c r="T1134" i="3"/>
  <c r="R1134" i="3"/>
  <c r="P1134" i="3"/>
  <c r="J1134" i="3"/>
  <c r="BK1132" i="3"/>
  <c r="BI1132" i="3"/>
  <c r="BH1132" i="3"/>
  <c r="BG1132" i="3"/>
  <c r="BF1132" i="3"/>
  <c r="BE1132" i="3"/>
  <c r="T1132" i="3"/>
  <c r="R1132" i="3"/>
  <c r="P1132" i="3"/>
  <c r="J1132" i="3"/>
  <c r="BK1130" i="3"/>
  <c r="BI1130" i="3"/>
  <c r="BH1130" i="3"/>
  <c r="BG1130" i="3"/>
  <c r="BF1130" i="3"/>
  <c r="BE1130" i="3"/>
  <c r="T1130" i="3"/>
  <c r="R1130" i="3"/>
  <c r="P1130" i="3"/>
  <c r="J1130" i="3"/>
  <c r="BK1128" i="3"/>
  <c r="BI1128" i="3"/>
  <c r="BH1128" i="3"/>
  <c r="BG1128" i="3"/>
  <c r="BF1128" i="3"/>
  <c r="BE1128" i="3"/>
  <c r="T1128" i="3"/>
  <c r="R1128" i="3"/>
  <c r="P1128" i="3"/>
  <c r="J1128" i="3"/>
  <c r="BK1126" i="3"/>
  <c r="BI1126" i="3"/>
  <c r="BH1126" i="3"/>
  <c r="BG1126" i="3"/>
  <c r="BF1126" i="3"/>
  <c r="BE1126" i="3"/>
  <c r="T1126" i="3"/>
  <c r="R1126" i="3"/>
  <c r="P1126" i="3"/>
  <c r="J1126" i="3"/>
  <c r="BK1124" i="3"/>
  <c r="BI1124" i="3"/>
  <c r="BH1124" i="3"/>
  <c r="BG1124" i="3"/>
  <c r="BF1124" i="3"/>
  <c r="BE1124" i="3"/>
  <c r="T1124" i="3"/>
  <c r="R1124" i="3"/>
  <c r="P1124" i="3"/>
  <c r="J1124" i="3"/>
  <c r="BK1122" i="3"/>
  <c r="BI1122" i="3"/>
  <c r="BH1122" i="3"/>
  <c r="BG1122" i="3"/>
  <c r="BF1122" i="3"/>
  <c r="BE1122" i="3"/>
  <c r="T1122" i="3"/>
  <c r="R1122" i="3"/>
  <c r="P1122" i="3"/>
  <c r="J1122" i="3"/>
  <c r="BK1120" i="3"/>
  <c r="BI1120" i="3"/>
  <c r="BH1120" i="3"/>
  <c r="BG1120" i="3"/>
  <c r="BF1120" i="3"/>
  <c r="BE1120" i="3"/>
  <c r="T1120" i="3"/>
  <c r="R1120" i="3"/>
  <c r="P1120" i="3"/>
  <c r="J1120" i="3"/>
  <c r="BK1118" i="3"/>
  <c r="BI1118" i="3"/>
  <c r="BH1118" i="3"/>
  <c r="BG1118" i="3"/>
  <c r="BF1118" i="3"/>
  <c r="BE1118" i="3"/>
  <c r="T1118" i="3"/>
  <c r="R1118" i="3"/>
  <c r="P1118" i="3"/>
  <c r="J1118" i="3"/>
  <c r="BK1116" i="3"/>
  <c r="BI1116" i="3"/>
  <c r="BH1116" i="3"/>
  <c r="BG1116" i="3"/>
  <c r="BF1116" i="3"/>
  <c r="BE1116" i="3"/>
  <c r="T1116" i="3"/>
  <c r="R1116" i="3"/>
  <c r="P1116" i="3"/>
  <c r="J1116" i="3"/>
  <c r="BK1114" i="3"/>
  <c r="BI1114" i="3"/>
  <c r="BH1114" i="3"/>
  <c r="BG1114" i="3"/>
  <c r="BF1114" i="3"/>
  <c r="BE1114" i="3"/>
  <c r="T1114" i="3"/>
  <c r="R1114" i="3"/>
  <c r="P1114" i="3"/>
  <c r="J1114" i="3"/>
  <c r="BK1112" i="3"/>
  <c r="BI1112" i="3"/>
  <c r="BH1112" i="3"/>
  <c r="BG1112" i="3"/>
  <c r="BF1112" i="3"/>
  <c r="BE1112" i="3"/>
  <c r="T1112" i="3"/>
  <c r="R1112" i="3"/>
  <c r="P1112" i="3"/>
  <c r="J1112" i="3"/>
  <c r="BK1110" i="3"/>
  <c r="BI1110" i="3"/>
  <c r="BH1110" i="3"/>
  <c r="BG1110" i="3"/>
  <c r="BF1110" i="3"/>
  <c r="BE1110" i="3"/>
  <c r="T1110" i="3"/>
  <c r="R1110" i="3"/>
  <c r="P1110" i="3"/>
  <c r="J1110" i="3"/>
  <c r="BK1108" i="3"/>
  <c r="BI1108" i="3"/>
  <c r="BH1108" i="3"/>
  <c r="BG1108" i="3"/>
  <c r="BF1108" i="3"/>
  <c r="BE1108" i="3"/>
  <c r="T1108" i="3"/>
  <c r="R1108" i="3"/>
  <c r="P1108" i="3"/>
  <c r="J1108" i="3"/>
  <c r="BK1106" i="3"/>
  <c r="BI1106" i="3"/>
  <c r="BH1106" i="3"/>
  <c r="BG1106" i="3"/>
  <c r="BF1106" i="3"/>
  <c r="BE1106" i="3"/>
  <c r="T1106" i="3"/>
  <c r="R1106" i="3"/>
  <c r="P1106" i="3"/>
  <c r="J1106" i="3"/>
  <c r="BK1104" i="3"/>
  <c r="BI1104" i="3"/>
  <c r="BH1104" i="3"/>
  <c r="BG1104" i="3"/>
  <c r="BF1104" i="3"/>
  <c r="BE1104" i="3"/>
  <c r="T1104" i="3"/>
  <c r="R1104" i="3"/>
  <c r="P1104" i="3"/>
  <c r="J1104" i="3"/>
  <c r="BK1102" i="3"/>
  <c r="BI1102" i="3"/>
  <c r="BH1102" i="3"/>
  <c r="BG1102" i="3"/>
  <c r="BF1102" i="3"/>
  <c r="BE1102" i="3"/>
  <c r="T1102" i="3"/>
  <c r="R1102" i="3"/>
  <c r="P1102" i="3"/>
  <c r="J1102" i="3"/>
  <c r="BK1100" i="3"/>
  <c r="BI1100" i="3"/>
  <c r="BH1100" i="3"/>
  <c r="BG1100" i="3"/>
  <c r="BF1100" i="3"/>
  <c r="BE1100" i="3"/>
  <c r="T1100" i="3"/>
  <c r="R1100" i="3"/>
  <c r="P1100" i="3"/>
  <c r="J1100" i="3"/>
  <c r="BK1098" i="3"/>
  <c r="BI1098" i="3"/>
  <c r="BH1098" i="3"/>
  <c r="BG1098" i="3"/>
  <c r="BF1098" i="3"/>
  <c r="BE1098" i="3"/>
  <c r="T1098" i="3"/>
  <c r="R1098" i="3"/>
  <c r="P1098" i="3"/>
  <c r="J1098" i="3"/>
  <c r="BK1097" i="3"/>
  <c r="BI1097" i="3"/>
  <c r="BH1097" i="3"/>
  <c r="BG1097" i="3"/>
  <c r="BF1097" i="3"/>
  <c r="BE1097" i="3"/>
  <c r="T1097" i="3"/>
  <c r="R1097" i="3"/>
  <c r="P1097" i="3"/>
  <c r="J1097" i="3"/>
  <c r="BK1096" i="3"/>
  <c r="BI1096" i="3"/>
  <c r="BH1096" i="3"/>
  <c r="BG1096" i="3"/>
  <c r="BF1096" i="3"/>
  <c r="BE1096" i="3"/>
  <c r="T1096" i="3"/>
  <c r="R1096" i="3"/>
  <c r="P1096" i="3"/>
  <c r="J1096" i="3"/>
  <c r="BK1094" i="3"/>
  <c r="BI1094" i="3"/>
  <c r="BH1094" i="3"/>
  <c r="BG1094" i="3"/>
  <c r="BF1094" i="3"/>
  <c r="BE1094" i="3"/>
  <c r="T1094" i="3"/>
  <c r="R1094" i="3"/>
  <c r="P1094" i="3"/>
  <c r="J1094" i="3"/>
  <c r="BK1092" i="3"/>
  <c r="BI1092" i="3"/>
  <c r="BH1092" i="3"/>
  <c r="BG1092" i="3"/>
  <c r="BF1092" i="3"/>
  <c r="BE1092" i="3"/>
  <c r="T1092" i="3"/>
  <c r="R1092" i="3"/>
  <c r="P1092" i="3"/>
  <c r="J1092" i="3"/>
  <c r="BK1090" i="3"/>
  <c r="BI1090" i="3"/>
  <c r="BH1090" i="3"/>
  <c r="BG1090" i="3"/>
  <c r="BF1090" i="3"/>
  <c r="BE1090" i="3"/>
  <c r="T1090" i="3"/>
  <c r="R1090" i="3"/>
  <c r="P1090" i="3"/>
  <c r="J1090" i="3"/>
  <c r="BK1089" i="3"/>
  <c r="BI1089" i="3"/>
  <c r="BH1089" i="3"/>
  <c r="BG1089" i="3"/>
  <c r="BF1089" i="3"/>
  <c r="BE1089" i="3"/>
  <c r="T1089" i="3"/>
  <c r="R1089" i="3"/>
  <c r="P1089" i="3"/>
  <c r="J1089" i="3"/>
  <c r="BK1087" i="3"/>
  <c r="BI1087" i="3"/>
  <c r="BH1087" i="3"/>
  <c r="BG1087" i="3"/>
  <c r="BF1087" i="3"/>
  <c r="BE1087" i="3"/>
  <c r="T1087" i="3"/>
  <c r="R1087" i="3"/>
  <c r="P1087" i="3"/>
  <c r="J1087" i="3"/>
  <c r="BK1085" i="3"/>
  <c r="BI1085" i="3"/>
  <c r="BH1085" i="3"/>
  <c r="BG1085" i="3"/>
  <c r="BF1085" i="3"/>
  <c r="BE1085" i="3"/>
  <c r="T1085" i="3"/>
  <c r="R1085" i="3"/>
  <c r="P1085" i="3"/>
  <c r="J1085" i="3"/>
  <c r="BK1083" i="3"/>
  <c r="BI1083" i="3"/>
  <c r="BH1083" i="3"/>
  <c r="BG1083" i="3"/>
  <c r="BF1083" i="3"/>
  <c r="BE1083" i="3"/>
  <c r="T1083" i="3"/>
  <c r="R1083" i="3"/>
  <c r="P1083" i="3"/>
  <c r="J1083" i="3"/>
  <c r="BK1081" i="3"/>
  <c r="BI1081" i="3"/>
  <c r="BH1081" i="3"/>
  <c r="BG1081" i="3"/>
  <c r="BF1081" i="3"/>
  <c r="BE1081" i="3"/>
  <c r="T1081" i="3"/>
  <c r="R1081" i="3"/>
  <c r="P1081" i="3"/>
  <c r="J1081" i="3"/>
  <c r="BK1079" i="3"/>
  <c r="BI1079" i="3"/>
  <c r="BH1079" i="3"/>
  <c r="BG1079" i="3"/>
  <c r="BF1079" i="3"/>
  <c r="BE1079" i="3"/>
  <c r="T1079" i="3"/>
  <c r="R1079" i="3"/>
  <c r="P1079" i="3"/>
  <c r="J1079" i="3"/>
  <c r="BK1077" i="3"/>
  <c r="BI1077" i="3"/>
  <c r="BH1077" i="3"/>
  <c r="BG1077" i="3"/>
  <c r="BF1077" i="3"/>
  <c r="BE1077" i="3"/>
  <c r="T1077" i="3"/>
  <c r="R1077" i="3"/>
  <c r="P1077" i="3"/>
  <c r="J1077" i="3"/>
  <c r="BK1075" i="3"/>
  <c r="BI1075" i="3"/>
  <c r="BH1075" i="3"/>
  <c r="BG1075" i="3"/>
  <c r="BF1075" i="3"/>
  <c r="BE1075" i="3"/>
  <c r="T1075" i="3"/>
  <c r="R1075" i="3"/>
  <c r="P1075" i="3"/>
  <c r="J1075" i="3"/>
  <c r="BK1073" i="3"/>
  <c r="BI1073" i="3"/>
  <c r="BH1073" i="3"/>
  <c r="BG1073" i="3"/>
  <c r="BF1073" i="3"/>
  <c r="BE1073" i="3"/>
  <c r="T1073" i="3"/>
  <c r="R1073" i="3"/>
  <c r="P1073" i="3"/>
  <c r="J1073" i="3"/>
  <c r="BK1071" i="3"/>
  <c r="BI1071" i="3"/>
  <c r="BH1071" i="3"/>
  <c r="BG1071" i="3"/>
  <c r="BF1071" i="3"/>
  <c r="BE1071" i="3"/>
  <c r="T1071" i="3"/>
  <c r="R1071" i="3"/>
  <c r="P1071" i="3"/>
  <c r="J1071" i="3"/>
  <c r="BK1069" i="3"/>
  <c r="BI1069" i="3"/>
  <c r="BH1069" i="3"/>
  <c r="BG1069" i="3"/>
  <c r="BF1069" i="3"/>
  <c r="BE1069" i="3"/>
  <c r="T1069" i="3"/>
  <c r="R1069" i="3"/>
  <c r="P1069" i="3"/>
  <c r="J1069" i="3"/>
  <c r="BK1067" i="3"/>
  <c r="BI1067" i="3"/>
  <c r="BH1067" i="3"/>
  <c r="BG1067" i="3"/>
  <c r="BF1067" i="3"/>
  <c r="BE1067" i="3"/>
  <c r="T1067" i="3"/>
  <c r="R1067" i="3"/>
  <c r="P1067" i="3"/>
  <c r="J1067" i="3"/>
  <c r="BK1065" i="3"/>
  <c r="BI1065" i="3"/>
  <c r="BH1065" i="3"/>
  <c r="BG1065" i="3"/>
  <c r="BF1065" i="3"/>
  <c r="BE1065" i="3"/>
  <c r="T1065" i="3"/>
  <c r="R1065" i="3"/>
  <c r="P1065" i="3"/>
  <c r="J1065" i="3"/>
  <c r="BK1063" i="3"/>
  <c r="BI1063" i="3"/>
  <c r="BH1063" i="3"/>
  <c r="BG1063" i="3"/>
  <c r="BF1063" i="3"/>
  <c r="BE1063" i="3"/>
  <c r="T1063" i="3"/>
  <c r="R1063" i="3"/>
  <c r="P1063" i="3"/>
  <c r="J1063" i="3"/>
  <c r="BK1061" i="3"/>
  <c r="BI1061" i="3"/>
  <c r="BH1061" i="3"/>
  <c r="BG1061" i="3"/>
  <c r="BF1061" i="3"/>
  <c r="BE1061" i="3"/>
  <c r="T1061" i="3"/>
  <c r="R1061" i="3"/>
  <c r="P1061" i="3"/>
  <c r="J1061" i="3"/>
  <c r="BK1059" i="3"/>
  <c r="BI1059" i="3"/>
  <c r="BH1059" i="3"/>
  <c r="BG1059" i="3"/>
  <c r="BF1059" i="3"/>
  <c r="BE1059" i="3"/>
  <c r="T1059" i="3"/>
  <c r="R1059" i="3"/>
  <c r="P1059" i="3"/>
  <c r="J1059" i="3"/>
  <c r="BK1057" i="3"/>
  <c r="BI1057" i="3"/>
  <c r="BH1057" i="3"/>
  <c r="BG1057" i="3"/>
  <c r="BF1057" i="3"/>
  <c r="BE1057" i="3"/>
  <c r="T1057" i="3"/>
  <c r="R1057" i="3"/>
  <c r="P1057" i="3"/>
  <c r="J1057" i="3"/>
  <c r="BK1055" i="3"/>
  <c r="BI1055" i="3"/>
  <c r="BH1055" i="3"/>
  <c r="BG1055" i="3"/>
  <c r="BF1055" i="3"/>
  <c r="BE1055" i="3"/>
  <c r="T1055" i="3"/>
  <c r="R1055" i="3"/>
  <c r="P1055" i="3"/>
  <c r="J1055" i="3"/>
  <c r="BK1053" i="3"/>
  <c r="BI1053" i="3"/>
  <c r="BH1053" i="3"/>
  <c r="BG1053" i="3"/>
  <c r="BF1053" i="3"/>
  <c r="BE1053" i="3"/>
  <c r="T1053" i="3"/>
  <c r="R1053" i="3"/>
  <c r="P1053" i="3"/>
  <c r="J1053" i="3"/>
  <c r="BK1051" i="3"/>
  <c r="BI1051" i="3"/>
  <c r="BH1051" i="3"/>
  <c r="BG1051" i="3"/>
  <c r="BF1051" i="3"/>
  <c r="BE1051" i="3"/>
  <c r="T1051" i="3"/>
  <c r="R1051" i="3"/>
  <c r="P1051" i="3"/>
  <c r="J1051" i="3"/>
  <c r="BK1049" i="3"/>
  <c r="BI1049" i="3"/>
  <c r="BH1049" i="3"/>
  <c r="BG1049" i="3"/>
  <c r="BF1049" i="3"/>
  <c r="BE1049" i="3"/>
  <c r="T1049" i="3"/>
  <c r="R1049" i="3"/>
  <c r="P1049" i="3"/>
  <c r="J1049" i="3"/>
  <c r="BK1048" i="3"/>
  <c r="BI1048" i="3"/>
  <c r="BH1048" i="3"/>
  <c r="BG1048" i="3"/>
  <c r="BF1048" i="3"/>
  <c r="BE1048" i="3"/>
  <c r="T1048" i="3"/>
  <c r="R1048" i="3"/>
  <c r="P1048" i="3"/>
  <c r="J1048" i="3"/>
  <c r="BK1046" i="3"/>
  <c r="BI1046" i="3"/>
  <c r="BH1046" i="3"/>
  <c r="BG1046" i="3"/>
  <c r="BF1046" i="3"/>
  <c r="BE1046" i="3"/>
  <c r="T1046" i="3"/>
  <c r="R1046" i="3"/>
  <c r="P1046" i="3"/>
  <c r="J1046" i="3"/>
  <c r="BK1044" i="3"/>
  <c r="BI1044" i="3"/>
  <c r="BH1044" i="3"/>
  <c r="BG1044" i="3"/>
  <c r="BF1044" i="3"/>
  <c r="BE1044" i="3"/>
  <c r="T1044" i="3"/>
  <c r="R1044" i="3"/>
  <c r="P1044" i="3"/>
  <c r="J1044" i="3"/>
  <c r="BK1041" i="3"/>
  <c r="BI1041" i="3"/>
  <c r="BH1041" i="3"/>
  <c r="BG1041" i="3"/>
  <c r="BF1041" i="3"/>
  <c r="BE1041" i="3"/>
  <c r="T1041" i="3"/>
  <c r="R1041" i="3"/>
  <c r="P1041" i="3"/>
  <c r="J1041" i="3"/>
  <c r="BK1040" i="3"/>
  <c r="T1040" i="3"/>
  <c r="R1040" i="3"/>
  <c r="P1040" i="3"/>
  <c r="J1040" i="3"/>
  <c r="BK1038" i="3"/>
  <c r="BI1038" i="3"/>
  <c r="BH1038" i="3"/>
  <c r="BG1038" i="3"/>
  <c r="BF1038" i="3"/>
  <c r="BE1038" i="3"/>
  <c r="T1038" i="3"/>
  <c r="R1038" i="3"/>
  <c r="P1038" i="3"/>
  <c r="J1038" i="3"/>
  <c r="BK1026" i="3"/>
  <c r="BI1026" i="3"/>
  <c r="BH1026" i="3"/>
  <c r="BG1026" i="3"/>
  <c r="BF1026" i="3"/>
  <c r="BE1026" i="3"/>
  <c r="T1026" i="3"/>
  <c r="R1026" i="3"/>
  <c r="P1026" i="3"/>
  <c r="J1026" i="3"/>
  <c r="BK1024" i="3"/>
  <c r="BI1024" i="3"/>
  <c r="BH1024" i="3"/>
  <c r="BG1024" i="3"/>
  <c r="BF1024" i="3"/>
  <c r="BE1024" i="3"/>
  <c r="T1024" i="3"/>
  <c r="R1024" i="3"/>
  <c r="P1024" i="3"/>
  <c r="J1024" i="3"/>
  <c r="BK1012" i="3"/>
  <c r="BI1012" i="3"/>
  <c r="BH1012" i="3"/>
  <c r="BG1012" i="3"/>
  <c r="BF1012" i="3"/>
  <c r="BE1012" i="3"/>
  <c r="T1012" i="3"/>
  <c r="R1012" i="3"/>
  <c r="P1012" i="3"/>
  <c r="J1012" i="3"/>
  <c r="BK1008" i="3"/>
  <c r="BI1008" i="3"/>
  <c r="BH1008" i="3"/>
  <c r="BG1008" i="3"/>
  <c r="BF1008" i="3"/>
  <c r="BE1008" i="3"/>
  <c r="T1008" i="3"/>
  <c r="R1008" i="3"/>
  <c r="P1008" i="3"/>
  <c r="J1008" i="3"/>
  <c r="BK1004" i="3"/>
  <c r="BI1004" i="3"/>
  <c r="BH1004" i="3"/>
  <c r="BG1004" i="3"/>
  <c r="BF1004" i="3"/>
  <c r="BE1004" i="3"/>
  <c r="T1004" i="3"/>
  <c r="R1004" i="3"/>
  <c r="P1004" i="3"/>
  <c r="J1004" i="3"/>
  <c r="BK1001" i="3"/>
  <c r="BI1001" i="3"/>
  <c r="BH1001" i="3"/>
  <c r="BG1001" i="3"/>
  <c r="BF1001" i="3"/>
  <c r="BE1001" i="3"/>
  <c r="T1001" i="3"/>
  <c r="R1001" i="3"/>
  <c r="P1001" i="3"/>
  <c r="J1001" i="3"/>
  <c r="BK995" i="3"/>
  <c r="BI995" i="3"/>
  <c r="BH995" i="3"/>
  <c r="BG995" i="3"/>
  <c r="BF995" i="3"/>
  <c r="BE995" i="3"/>
  <c r="T995" i="3"/>
  <c r="R995" i="3"/>
  <c r="P995" i="3"/>
  <c r="J995" i="3"/>
  <c r="BK973" i="3"/>
  <c r="BI973" i="3"/>
  <c r="BH973" i="3"/>
  <c r="BG973" i="3"/>
  <c r="BF973" i="3"/>
  <c r="BE973" i="3"/>
  <c r="T973" i="3"/>
  <c r="R973" i="3"/>
  <c r="P973" i="3"/>
  <c r="J973" i="3"/>
  <c r="BK967" i="3"/>
  <c r="BI967" i="3"/>
  <c r="BH967" i="3"/>
  <c r="BG967" i="3"/>
  <c r="BF967" i="3"/>
  <c r="BE967" i="3"/>
  <c r="T967" i="3"/>
  <c r="R967" i="3"/>
  <c r="P967" i="3"/>
  <c r="J967" i="3"/>
  <c r="BK956" i="3"/>
  <c r="BI956" i="3"/>
  <c r="BH956" i="3"/>
  <c r="BG956" i="3"/>
  <c r="BF956" i="3"/>
  <c r="BE956" i="3"/>
  <c r="T956" i="3"/>
  <c r="R956" i="3"/>
  <c r="P956" i="3"/>
  <c r="J956" i="3"/>
  <c r="BK953" i="3"/>
  <c r="BI953" i="3"/>
  <c r="BH953" i="3"/>
  <c r="BG953" i="3"/>
  <c r="BF953" i="3"/>
  <c r="BE953" i="3"/>
  <c r="T953" i="3"/>
  <c r="R953" i="3"/>
  <c r="P953" i="3"/>
  <c r="J953" i="3"/>
  <c r="BK946" i="3"/>
  <c r="BI946" i="3"/>
  <c r="BH946" i="3"/>
  <c r="BG946" i="3"/>
  <c r="BF946" i="3"/>
  <c r="BE946" i="3"/>
  <c r="T946" i="3"/>
  <c r="R946" i="3"/>
  <c r="P946" i="3"/>
  <c r="J946" i="3"/>
  <c r="BK939" i="3"/>
  <c r="BI939" i="3"/>
  <c r="BH939" i="3"/>
  <c r="BG939" i="3"/>
  <c r="BF939" i="3"/>
  <c r="BE939" i="3"/>
  <c r="T939" i="3"/>
  <c r="R939" i="3"/>
  <c r="P939" i="3"/>
  <c r="J939" i="3"/>
  <c r="BK935" i="3"/>
  <c r="BI935" i="3"/>
  <c r="BH935" i="3"/>
  <c r="BG935" i="3"/>
  <c r="BF935" i="3"/>
  <c r="BE935" i="3"/>
  <c r="T935" i="3"/>
  <c r="R935" i="3"/>
  <c r="P935" i="3"/>
  <c r="J935" i="3"/>
  <c r="BK934" i="3"/>
  <c r="T934" i="3"/>
  <c r="R934" i="3"/>
  <c r="P934" i="3"/>
  <c r="J934" i="3"/>
  <c r="BK927" i="3"/>
  <c r="BI927" i="3"/>
  <c r="BH927" i="3"/>
  <c r="BG927" i="3"/>
  <c r="BF927" i="3"/>
  <c r="BE927" i="3"/>
  <c r="T927" i="3"/>
  <c r="R927" i="3"/>
  <c r="P927" i="3"/>
  <c r="J927" i="3"/>
  <c r="BK926" i="3"/>
  <c r="BI926" i="3"/>
  <c r="BH926" i="3"/>
  <c r="BG926" i="3"/>
  <c r="BF926" i="3"/>
  <c r="BE926" i="3"/>
  <c r="T926" i="3"/>
  <c r="R926" i="3"/>
  <c r="P926" i="3"/>
  <c r="J926" i="3"/>
  <c r="BK925" i="3"/>
  <c r="BI925" i="3"/>
  <c r="BH925" i="3"/>
  <c r="BG925" i="3"/>
  <c r="BF925" i="3"/>
  <c r="BE925" i="3"/>
  <c r="T925" i="3"/>
  <c r="R925" i="3"/>
  <c r="P925" i="3"/>
  <c r="J925" i="3"/>
  <c r="BK924" i="3"/>
  <c r="BI924" i="3"/>
  <c r="BH924" i="3"/>
  <c r="BG924" i="3"/>
  <c r="BF924" i="3"/>
  <c r="BE924" i="3"/>
  <c r="T924" i="3"/>
  <c r="R924" i="3"/>
  <c r="P924" i="3"/>
  <c r="J924" i="3"/>
  <c r="BK923" i="3"/>
  <c r="BI923" i="3"/>
  <c r="BH923" i="3"/>
  <c r="BG923" i="3"/>
  <c r="BF923" i="3"/>
  <c r="BE923" i="3"/>
  <c r="T923" i="3"/>
  <c r="R923" i="3"/>
  <c r="P923" i="3"/>
  <c r="J923" i="3"/>
  <c r="BK922" i="3"/>
  <c r="BI922" i="3"/>
  <c r="BH922" i="3"/>
  <c r="BG922" i="3"/>
  <c r="BF922" i="3"/>
  <c r="BE922" i="3"/>
  <c r="T922" i="3"/>
  <c r="R922" i="3"/>
  <c r="P922" i="3"/>
  <c r="J922" i="3"/>
  <c r="BK916" i="3"/>
  <c r="BI916" i="3"/>
  <c r="BH916" i="3"/>
  <c r="BG916" i="3"/>
  <c r="BF916" i="3"/>
  <c r="BE916" i="3"/>
  <c r="T916" i="3"/>
  <c r="R916" i="3"/>
  <c r="P916" i="3"/>
  <c r="J916" i="3"/>
  <c r="BK908" i="3"/>
  <c r="BI908" i="3"/>
  <c r="BH908" i="3"/>
  <c r="BG908" i="3"/>
  <c r="BF908" i="3"/>
  <c r="BE908" i="3"/>
  <c r="T908" i="3"/>
  <c r="R908" i="3"/>
  <c r="P908" i="3"/>
  <c r="J908" i="3"/>
  <c r="BK900" i="3"/>
  <c r="BI900" i="3"/>
  <c r="BH900" i="3"/>
  <c r="BG900" i="3"/>
  <c r="BF900" i="3"/>
  <c r="BE900" i="3"/>
  <c r="T900" i="3"/>
  <c r="R900" i="3"/>
  <c r="P900" i="3"/>
  <c r="J900" i="3"/>
  <c r="BK897" i="3"/>
  <c r="BI897" i="3"/>
  <c r="BH897" i="3"/>
  <c r="BG897" i="3"/>
  <c r="BF897" i="3"/>
  <c r="BE897" i="3"/>
  <c r="T897" i="3"/>
  <c r="R897" i="3"/>
  <c r="P897" i="3"/>
  <c r="J897" i="3"/>
  <c r="BK892" i="3"/>
  <c r="BI892" i="3"/>
  <c r="BH892" i="3"/>
  <c r="BG892" i="3"/>
  <c r="BF892" i="3"/>
  <c r="BE892" i="3"/>
  <c r="T892" i="3"/>
  <c r="R892" i="3"/>
  <c r="P892" i="3"/>
  <c r="J892" i="3"/>
  <c r="BK886" i="3"/>
  <c r="BI886" i="3"/>
  <c r="BH886" i="3"/>
  <c r="BG886" i="3"/>
  <c r="BF886" i="3"/>
  <c r="BE886" i="3"/>
  <c r="T886" i="3"/>
  <c r="R886" i="3"/>
  <c r="P886" i="3"/>
  <c r="J886" i="3"/>
  <c r="BK880" i="3"/>
  <c r="BI880" i="3"/>
  <c r="BH880" i="3"/>
  <c r="BG880" i="3"/>
  <c r="BF880" i="3"/>
  <c r="BE880" i="3"/>
  <c r="T880" i="3"/>
  <c r="R880" i="3"/>
  <c r="P880" i="3"/>
  <c r="J880" i="3"/>
  <c r="BK874" i="3"/>
  <c r="BI874" i="3"/>
  <c r="BH874" i="3"/>
  <c r="BG874" i="3"/>
  <c r="BF874" i="3"/>
  <c r="BE874" i="3"/>
  <c r="T874" i="3"/>
  <c r="R874" i="3"/>
  <c r="P874" i="3"/>
  <c r="J874" i="3"/>
  <c r="BK865" i="3"/>
  <c r="BI865" i="3"/>
  <c r="BH865" i="3"/>
  <c r="BG865" i="3"/>
  <c r="BF865" i="3"/>
  <c r="BE865" i="3"/>
  <c r="T865" i="3"/>
  <c r="R865" i="3"/>
  <c r="P865" i="3"/>
  <c r="J865" i="3"/>
  <c r="BK855" i="3"/>
  <c r="BI855" i="3"/>
  <c r="BH855" i="3"/>
  <c r="BG855" i="3"/>
  <c r="BF855" i="3"/>
  <c r="BE855" i="3"/>
  <c r="T855" i="3"/>
  <c r="R855" i="3"/>
  <c r="P855" i="3"/>
  <c r="J855" i="3"/>
  <c r="BK843" i="3"/>
  <c r="BI843" i="3"/>
  <c r="BH843" i="3"/>
  <c r="BG843" i="3"/>
  <c r="BF843" i="3"/>
  <c r="BE843" i="3"/>
  <c r="T843" i="3"/>
  <c r="R843" i="3"/>
  <c r="P843" i="3"/>
  <c r="J843" i="3"/>
  <c r="BK831" i="3"/>
  <c r="BI831" i="3"/>
  <c r="BH831" i="3"/>
  <c r="BG831" i="3"/>
  <c r="BF831" i="3"/>
  <c r="BE831" i="3"/>
  <c r="T831" i="3"/>
  <c r="R831" i="3"/>
  <c r="P831" i="3"/>
  <c r="J831" i="3"/>
  <c r="BK819" i="3"/>
  <c r="BI819" i="3"/>
  <c r="BH819" i="3"/>
  <c r="BG819" i="3"/>
  <c r="BF819" i="3"/>
  <c r="BE819" i="3"/>
  <c r="T819" i="3"/>
  <c r="R819" i="3"/>
  <c r="P819" i="3"/>
  <c r="J819" i="3"/>
  <c r="BK807" i="3"/>
  <c r="BI807" i="3"/>
  <c r="BH807" i="3"/>
  <c r="BG807" i="3"/>
  <c r="BF807" i="3"/>
  <c r="BE807" i="3"/>
  <c r="T807" i="3"/>
  <c r="R807" i="3"/>
  <c r="P807" i="3"/>
  <c r="J807" i="3"/>
  <c r="BK804" i="3"/>
  <c r="BI804" i="3"/>
  <c r="BH804" i="3"/>
  <c r="BG804" i="3"/>
  <c r="BF804" i="3"/>
  <c r="BE804" i="3"/>
  <c r="T804" i="3"/>
  <c r="R804" i="3"/>
  <c r="P804" i="3"/>
  <c r="J804" i="3"/>
  <c r="BK801" i="3"/>
  <c r="BI801" i="3"/>
  <c r="BH801" i="3"/>
  <c r="BG801" i="3"/>
  <c r="BF801" i="3"/>
  <c r="BE801" i="3"/>
  <c r="T801" i="3"/>
  <c r="R801" i="3"/>
  <c r="P801" i="3"/>
  <c r="J801" i="3"/>
  <c r="BK799" i="3"/>
  <c r="BI799" i="3"/>
  <c r="BH799" i="3"/>
  <c r="BG799" i="3"/>
  <c r="BF799" i="3"/>
  <c r="BE799" i="3"/>
  <c r="T799" i="3"/>
  <c r="R799" i="3"/>
  <c r="P799" i="3"/>
  <c r="J799" i="3"/>
  <c r="BK797" i="3"/>
  <c r="BI797" i="3"/>
  <c r="BH797" i="3"/>
  <c r="BG797" i="3"/>
  <c r="BF797" i="3"/>
  <c r="BE797" i="3"/>
  <c r="T797" i="3"/>
  <c r="R797" i="3"/>
  <c r="P797" i="3"/>
  <c r="J797" i="3"/>
  <c r="BK795" i="3"/>
  <c r="BI795" i="3"/>
  <c r="BH795" i="3"/>
  <c r="BG795" i="3"/>
  <c r="BF795" i="3"/>
  <c r="BE795" i="3"/>
  <c r="T795" i="3"/>
  <c r="R795" i="3"/>
  <c r="P795" i="3"/>
  <c r="J795" i="3"/>
  <c r="BK793" i="3"/>
  <c r="BI793" i="3"/>
  <c r="BH793" i="3"/>
  <c r="BG793" i="3"/>
  <c r="BF793" i="3"/>
  <c r="BE793" i="3"/>
  <c r="T793" i="3"/>
  <c r="R793" i="3"/>
  <c r="P793" i="3"/>
  <c r="J793" i="3"/>
  <c r="BK790" i="3"/>
  <c r="BI790" i="3"/>
  <c r="BH790" i="3"/>
  <c r="BG790" i="3"/>
  <c r="BF790" i="3"/>
  <c r="BE790" i="3"/>
  <c r="T790" i="3"/>
  <c r="R790" i="3"/>
  <c r="P790" i="3"/>
  <c r="J790" i="3"/>
  <c r="BK784" i="3"/>
  <c r="BI784" i="3"/>
  <c r="BH784" i="3"/>
  <c r="BG784" i="3"/>
  <c r="BF784" i="3"/>
  <c r="BE784" i="3"/>
  <c r="T784" i="3"/>
  <c r="R784" i="3"/>
  <c r="P784" i="3"/>
  <c r="J784" i="3"/>
  <c r="BK778" i="3"/>
  <c r="BI778" i="3"/>
  <c r="BH778" i="3"/>
  <c r="BG778" i="3"/>
  <c r="BF778" i="3"/>
  <c r="BE778" i="3"/>
  <c r="T778" i="3"/>
  <c r="R778" i="3"/>
  <c r="P778" i="3"/>
  <c r="J778" i="3"/>
  <c r="BK749" i="3"/>
  <c r="BI749" i="3"/>
  <c r="BH749" i="3"/>
  <c r="BG749" i="3"/>
  <c r="BF749" i="3"/>
  <c r="BE749" i="3"/>
  <c r="T749" i="3"/>
  <c r="R749" i="3"/>
  <c r="P749" i="3"/>
  <c r="J749" i="3"/>
  <c r="BK719" i="3"/>
  <c r="BI719" i="3"/>
  <c r="BH719" i="3"/>
  <c r="BG719" i="3"/>
  <c r="BF719" i="3"/>
  <c r="BE719" i="3"/>
  <c r="T719" i="3"/>
  <c r="R719" i="3"/>
  <c r="P719" i="3"/>
  <c r="J719" i="3"/>
  <c r="BK689" i="3"/>
  <c r="BI689" i="3"/>
  <c r="BH689" i="3"/>
  <c r="BG689" i="3"/>
  <c r="BF689" i="3"/>
  <c r="BE689" i="3"/>
  <c r="T689" i="3"/>
  <c r="R689" i="3"/>
  <c r="P689" i="3"/>
  <c r="J689" i="3"/>
  <c r="BK659" i="3"/>
  <c r="BI659" i="3"/>
  <c r="BH659" i="3"/>
  <c r="BG659" i="3"/>
  <c r="BF659" i="3"/>
  <c r="BE659" i="3"/>
  <c r="T659" i="3"/>
  <c r="R659" i="3"/>
  <c r="P659" i="3"/>
  <c r="J659" i="3"/>
  <c r="BK629" i="3"/>
  <c r="BI629" i="3"/>
  <c r="BH629" i="3"/>
  <c r="BG629" i="3"/>
  <c r="BF629" i="3"/>
  <c r="BE629" i="3"/>
  <c r="T629" i="3"/>
  <c r="R629" i="3"/>
  <c r="P629" i="3"/>
  <c r="J629" i="3"/>
  <c r="BK626" i="3"/>
  <c r="BI626" i="3"/>
  <c r="BH626" i="3"/>
  <c r="BG626" i="3"/>
  <c r="BF626" i="3"/>
  <c r="BE626" i="3"/>
  <c r="T626" i="3"/>
  <c r="R626" i="3"/>
  <c r="P626" i="3"/>
  <c r="J626" i="3"/>
  <c r="BK623" i="3"/>
  <c r="BI623" i="3"/>
  <c r="BH623" i="3"/>
  <c r="BG623" i="3"/>
  <c r="BF623" i="3"/>
  <c r="BE623" i="3"/>
  <c r="T623" i="3"/>
  <c r="R623" i="3"/>
  <c r="P623" i="3"/>
  <c r="J623" i="3"/>
  <c r="BK617" i="3"/>
  <c r="BI617" i="3"/>
  <c r="BH617" i="3"/>
  <c r="BG617" i="3"/>
  <c r="BF617" i="3"/>
  <c r="BE617" i="3"/>
  <c r="T617" i="3"/>
  <c r="R617" i="3"/>
  <c r="P617" i="3"/>
  <c r="J617" i="3"/>
  <c r="BK610" i="3"/>
  <c r="BI610" i="3"/>
  <c r="BH610" i="3"/>
  <c r="BG610" i="3"/>
  <c r="BF610" i="3"/>
  <c r="BE610" i="3"/>
  <c r="T610" i="3"/>
  <c r="R610" i="3"/>
  <c r="P610" i="3"/>
  <c r="J610" i="3"/>
  <c r="BK603" i="3"/>
  <c r="BI603" i="3"/>
  <c r="BH603" i="3"/>
  <c r="BG603" i="3"/>
  <c r="BF603" i="3"/>
  <c r="BE603" i="3"/>
  <c r="T603" i="3"/>
  <c r="R603" i="3"/>
  <c r="P603" i="3"/>
  <c r="J603" i="3"/>
  <c r="BK596" i="3"/>
  <c r="BI596" i="3"/>
  <c r="BH596" i="3"/>
  <c r="BG596" i="3"/>
  <c r="BF596" i="3"/>
  <c r="BE596" i="3"/>
  <c r="T596" i="3"/>
  <c r="R596" i="3"/>
  <c r="P596" i="3"/>
  <c r="J596" i="3"/>
  <c r="BK589" i="3"/>
  <c r="BI589" i="3"/>
  <c r="BH589" i="3"/>
  <c r="BG589" i="3"/>
  <c r="BF589" i="3"/>
  <c r="BE589" i="3"/>
  <c r="T589" i="3"/>
  <c r="R589" i="3"/>
  <c r="P589" i="3"/>
  <c r="J589" i="3"/>
  <c r="BK588" i="3"/>
  <c r="T588" i="3"/>
  <c r="R588" i="3"/>
  <c r="P588" i="3"/>
  <c r="J588" i="3"/>
  <c r="BK586" i="3"/>
  <c r="BI586" i="3"/>
  <c r="BH586" i="3"/>
  <c r="BG586" i="3"/>
  <c r="BF586" i="3"/>
  <c r="BE586" i="3"/>
  <c r="T586" i="3"/>
  <c r="R586" i="3"/>
  <c r="P586" i="3"/>
  <c r="J586" i="3"/>
  <c r="BK580" i="3"/>
  <c r="BI580" i="3"/>
  <c r="BH580" i="3"/>
  <c r="BG580" i="3"/>
  <c r="BF580" i="3"/>
  <c r="BE580" i="3"/>
  <c r="T580" i="3"/>
  <c r="R580" i="3"/>
  <c r="P580" i="3"/>
  <c r="J580" i="3"/>
  <c r="BK567" i="3"/>
  <c r="BI567" i="3"/>
  <c r="BH567" i="3"/>
  <c r="BG567" i="3"/>
  <c r="BF567" i="3"/>
  <c r="BE567" i="3"/>
  <c r="T567" i="3"/>
  <c r="R567" i="3"/>
  <c r="P567" i="3"/>
  <c r="J567" i="3"/>
  <c r="BK552" i="3"/>
  <c r="BI552" i="3"/>
  <c r="BH552" i="3"/>
  <c r="BG552" i="3"/>
  <c r="BF552" i="3"/>
  <c r="BE552" i="3"/>
  <c r="T552" i="3"/>
  <c r="R552" i="3"/>
  <c r="P552" i="3"/>
  <c r="J552" i="3"/>
  <c r="BK544" i="3"/>
  <c r="BI544" i="3"/>
  <c r="BH544" i="3"/>
  <c r="BG544" i="3"/>
  <c r="BF544" i="3"/>
  <c r="BE544" i="3"/>
  <c r="T544" i="3"/>
  <c r="R544" i="3"/>
  <c r="P544" i="3"/>
  <c r="J544" i="3"/>
  <c r="BK534" i="3"/>
  <c r="BI534" i="3"/>
  <c r="BH534" i="3"/>
  <c r="BG534" i="3"/>
  <c r="BF534" i="3"/>
  <c r="BE534" i="3"/>
  <c r="T534" i="3"/>
  <c r="R534" i="3"/>
  <c r="P534" i="3"/>
  <c r="J534" i="3"/>
  <c r="BK533" i="3"/>
  <c r="BI533" i="3"/>
  <c r="BH533" i="3"/>
  <c r="BG533" i="3"/>
  <c r="BF533" i="3"/>
  <c r="BE533" i="3"/>
  <c r="T533" i="3"/>
  <c r="R533" i="3"/>
  <c r="P533" i="3"/>
  <c r="J533" i="3"/>
  <c r="BK532" i="3"/>
  <c r="BI532" i="3"/>
  <c r="BH532" i="3"/>
  <c r="BG532" i="3"/>
  <c r="BF532" i="3"/>
  <c r="BE532" i="3"/>
  <c r="T532" i="3"/>
  <c r="R532" i="3"/>
  <c r="P532" i="3"/>
  <c r="J532" i="3"/>
  <c r="BK531" i="3"/>
  <c r="BI531" i="3"/>
  <c r="BH531" i="3"/>
  <c r="BG531" i="3"/>
  <c r="BF531" i="3"/>
  <c r="BE531" i="3"/>
  <c r="T531" i="3"/>
  <c r="R531" i="3"/>
  <c r="P531" i="3"/>
  <c r="J531" i="3"/>
  <c r="BK530" i="3"/>
  <c r="BI530" i="3"/>
  <c r="BH530" i="3"/>
  <c r="BG530" i="3"/>
  <c r="BF530" i="3"/>
  <c r="BE530" i="3"/>
  <c r="T530" i="3"/>
  <c r="R530" i="3"/>
  <c r="P530" i="3"/>
  <c r="J530" i="3"/>
  <c r="BK529" i="3"/>
  <c r="BI529" i="3"/>
  <c r="BH529" i="3"/>
  <c r="BG529" i="3"/>
  <c r="BF529" i="3"/>
  <c r="BE529" i="3"/>
  <c r="T529" i="3"/>
  <c r="R529" i="3"/>
  <c r="P529" i="3"/>
  <c r="J529" i="3"/>
  <c r="BK528" i="3"/>
  <c r="BI528" i="3"/>
  <c r="BH528" i="3"/>
  <c r="BG528" i="3"/>
  <c r="BF528" i="3"/>
  <c r="BE528" i="3"/>
  <c r="T528" i="3"/>
  <c r="R528" i="3"/>
  <c r="P528" i="3"/>
  <c r="J528" i="3"/>
  <c r="BK527" i="3"/>
  <c r="BI527" i="3"/>
  <c r="BH527" i="3"/>
  <c r="BG527" i="3"/>
  <c r="BF527" i="3"/>
  <c r="BE527" i="3"/>
  <c r="T527" i="3"/>
  <c r="R527" i="3"/>
  <c r="P527" i="3"/>
  <c r="J527" i="3"/>
  <c r="BK526" i="3"/>
  <c r="BI526" i="3"/>
  <c r="BH526" i="3"/>
  <c r="BG526" i="3"/>
  <c r="BF526" i="3"/>
  <c r="BE526" i="3"/>
  <c r="T526" i="3"/>
  <c r="R526" i="3"/>
  <c r="P526" i="3"/>
  <c r="J526" i="3"/>
  <c r="BK525" i="3"/>
  <c r="BI525" i="3"/>
  <c r="BH525" i="3"/>
  <c r="BG525" i="3"/>
  <c r="BF525" i="3"/>
  <c r="BE525" i="3"/>
  <c r="T525" i="3"/>
  <c r="R525" i="3"/>
  <c r="P525" i="3"/>
  <c r="J525" i="3"/>
  <c r="BK524" i="3"/>
  <c r="BI524" i="3"/>
  <c r="BH524" i="3"/>
  <c r="BG524" i="3"/>
  <c r="BF524" i="3"/>
  <c r="BE524" i="3"/>
  <c r="T524" i="3"/>
  <c r="R524" i="3"/>
  <c r="P524" i="3"/>
  <c r="J524" i="3"/>
  <c r="BK523" i="3"/>
  <c r="BI523" i="3"/>
  <c r="BH523" i="3"/>
  <c r="BG523" i="3"/>
  <c r="BF523" i="3"/>
  <c r="BE523" i="3"/>
  <c r="T523" i="3"/>
  <c r="R523" i="3"/>
  <c r="P523" i="3"/>
  <c r="J523" i="3"/>
  <c r="BK522" i="3"/>
  <c r="BI522" i="3"/>
  <c r="BH522" i="3"/>
  <c r="BG522" i="3"/>
  <c r="BF522" i="3"/>
  <c r="BE522" i="3"/>
  <c r="T522" i="3"/>
  <c r="R522" i="3"/>
  <c r="P522" i="3"/>
  <c r="J522" i="3"/>
  <c r="BK521" i="3"/>
  <c r="BI521" i="3"/>
  <c r="BH521" i="3"/>
  <c r="BG521" i="3"/>
  <c r="BF521" i="3"/>
  <c r="BE521" i="3"/>
  <c r="T521" i="3"/>
  <c r="R521" i="3"/>
  <c r="P521" i="3"/>
  <c r="J521" i="3"/>
  <c r="BK520" i="3"/>
  <c r="BI520" i="3"/>
  <c r="BH520" i="3"/>
  <c r="BG520" i="3"/>
  <c r="BF520" i="3"/>
  <c r="BE520" i="3"/>
  <c r="T520" i="3"/>
  <c r="R520" i="3"/>
  <c r="P520" i="3"/>
  <c r="J520" i="3"/>
  <c r="BK471" i="3"/>
  <c r="BI471" i="3"/>
  <c r="BH471" i="3"/>
  <c r="BG471" i="3"/>
  <c r="BF471" i="3"/>
  <c r="BE471" i="3"/>
  <c r="T471" i="3"/>
  <c r="R471" i="3"/>
  <c r="P471" i="3"/>
  <c r="J471" i="3"/>
  <c r="BK437" i="3"/>
  <c r="BI437" i="3"/>
  <c r="BH437" i="3"/>
  <c r="BG437" i="3"/>
  <c r="BF437" i="3"/>
  <c r="BE437" i="3"/>
  <c r="T437" i="3"/>
  <c r="R437" i="3"/>
  <c r="P437" i="3"/>
  <c r="J437" i="3"/>
  <c r="BK403" i="3"/>
  <c r="BI403" i="3"/>
  <c r="BH403" i="3"/>
  <c r="BG403" i="3"/>
  <c r="BF403" i="3"/>
  <c r="BE403" i="3"/>
  <c r="T403" i="3"/>
  <c r="R403" i="3"/>
  <c r="P403" i="3"/>
  <c r="J403" i="3"/>
  <c r="BK400" i="3"/>
  <c r="BI400" i="3"/>
  <c r="BH400" i="3"/>
  <c r="BG400" i="3"/>
  <c r="BF400" i="3"/>
  <c r="BE400" i="3"/>
  <c r="T400" i="3"/>
  <c r="R400" i="3"/>
  <c r="P400" i="3"/>
  <c r="J400" i="3"/>
  <c r="BK392" i="3"/>
  <c r="BI392" i="3"/>
  <c r="BH392" i="3"/>
  <c r="BG392" i="3"/>
  <c r="BF392" i="3"/>
  <c r="BE392" i="3"/>
  <c r="T392" i="3"/>
  <c r="R392" i="3"/>
  <c r="P392" i="3"/>
  <c r="J392" i="3"/>
  <c r="BK385" i="3"/>
  <c r="BI385" i="3"/>
  <c r="BH385" i="3"/>
  <c r="BG385" i="3"/>
  <c r="BF385" i="3"/>
  <c r="BE385" i="3"/>
  <c r="T385" i="3"/>
  <c r="R385" i="3"/>
  <c r="P385" i="3"/>
  <c r="J385" i="3"/>
  <c r="BK375" i="3"/>
  <c r="BI375" i="3"/>
  <c r="BH375" i="3"/>
  <c r="BG375" i="3"/>
  <c r="BF375" i="3"/>
  <c r="BE375" i="3"/>
  <c r="T375" i="3"/>
  <c r="R375" i="3"/>
  <c r="P375" i="3"/>
  <c r="J375" i="3"/>
  <c r="BK360" i="3"/>
  <c r="BI360" i="3"/>
  <c r="BH360" i="3"/>
  <c r="BG360" i="3"/>
  <c r="BF360" i="3"/>
  <c r="BE360" i="3"/>
  <c r="T360" i="3"/>
  <c r="R360" i="3"/>
  <c r="P360" i="3"/>
  <c r="J360" i="3"/>
  <c r="BK347" i="3"/>
  <c r="BI347" i="3"/>
  <c r="BH347" i="3"/>
  <c r="BG347" i="3"/>
  <c r="BF347" i="3"/>
  <c r="BE347" i="3"/>
  <c r="T347" i="3"/>
  <c r="R347" i="3"/>
  <c r="P347" i="3"/>
  <c r="J347" i="3"/>
  <c r="BK344" i="3"/>
  <c r="BI344" i="3"/>
  <c r="BH344" i="3"/>
  <c r="BG344" i="3"/>
  <c r="BF344" i="3"/>
  <c r="BE344" i="3"/>
  <c r="T344" i="3"/>
  <c r="R344" i="3"/>
  <c r="P344" i="3"/>
  <c r="J344" i="3"/>
  <c r="BK339" i="3"/>
  <c r="BI339" i="3"/>
  <c r="BH339" i="3"/>
  <c r="BG339" i="3"/>
  <c r="BF339" i="3"/>
  <c r="BE339" i="3"/>
  <c r="T339" i="3"/>
  <c r="R339" i="3"/>
  <c r="P339" i="3"/>
  <c r="J339" i="3"/>
  <c r="BK336" i="3"/>
  <c r="BI336" i="3"/>
  <c r="BH336" i="3"/>
  <c r="BG336" i="3"/>
  <c r="BF336" i="3"/>
  <c r="BE336" i="3"/>
  <c r="T336" i="3"/>
  <c r="R336" i="3"/>
  <c r="P336" i="3"/>
  <c r="J336" i="3"/>
  <c r="BK333" i="3"/>
  <c r="BI333" i="3"/>
  <c r="BH333" i="3"/>
  <c r="BG333" i="3"/>
  <c r="BF333" i="3"/>
  <c r="BE333" i="3"/>
  <c r="T333" i="3"/>
  <c r="R333" i="3"/>
  <c r="P333" i="3"/>
  <c r="J333" i="3"/>
  <c r="BK330" i="3"/>
  <c r="BI330" i="3"/>
  <c r="BH330" i="3"/>
  <c r="BG330" i="3"/>
  <c r="BF330" i="3"/>
  <c r="BE330" i="3"/>
  <c r="T330" i="3"/>
  <c r="R330" i="3"/>
  <c r="P330" i="3"/>
  <c r="J330" i="3"/>
  <c r="BK327" i="3"/>
  <c r="BI327" i="3"/>
  <c r="BH327" i="3"/>
  <c r="BG327" i="3"/>
  <c r="BF327" i="3"/>
  <c r="BE327" i="3"/>
  <c r="T327" i="3"/>
  <c r="R327" i="3"/>
  <c r="P327" i="3"/>
  <c r="J327" i="3"/>
  <c r="BK324" i="3"/>
  <c r="BI324" i="3"/>
  <c r="BH324" i="3"/>
  <c r="BG324" i="3"/>
  <c r="BF324" i="3"/>
  <c r="BE324" i="3"/>
  <c r="T324" i="3"/>
  <c r="R324" i="3"/>
  <c r="P324" i="3"/>
  <c r="J324" i="3"/>
  <c r="BK321" i="3"/>
  <c r="BI321" i="3"/>
  <c r="BH321" i="3"/>
  <c r="BG321" i="3"/>
  <c r="BF321" i="3"/>
  <c r="BE321" i="3"/>
  <c r="T321" i="3"/>
  <c r="R321" i="3"/>
  <c r="P321" i="3"/>
  <c r="J321" i="3"/>
  <c r="BK318" i="3"/>
  <c r="BI318" i="3"/>
  <c r="BH318" i="3"/>
  <c r="BG318" i="3"/>
  <c r="BF318" i="3"/>
  <c r="BE318" i="3"/>
  <c r="T318" i="3"/>
  <c r="R318" i="3"/>
  <c r="P318" i="3"/>
  <c r="J318" i="3"/>
  <c r="BK315" i="3"/>
  <c r="BI315" i="3"/>
  <c r="BH315" i="3"/>
  <c r="BG315" i="3"/>
  <c r="BF315" i="3"/>
  <c r="BE315" i="3"/>
  <c r="T315" i="3"/>
  <c r="R315" i="3"/>
  <c r="P315" i="3"/>
  <c r="J315" i="3"/>
  <c r="BK311" i="3"/>
  <c r="BI311" i="3"/>
  <c r="BH311" i="3"/>
  <c r="BG311" i="3"/>
  <c r="BF311" i="3"/>
  <c r="BE311" i="3"/>
  <c r="T311" i="3"/>
  <c r="R311" i="3"/>
  <c r="P311" i="3"/>
  <c r="J311" i="3"/>
  <c r="BK307" i="3"/>
  <c r="BI307" i="3"/>
  <c r="BH307" i="3"/>
  <c r="BG307" i="3"/>
  <c r="BF307" i="3"/>
  <c r="BE307" i="3"/>
  <c r="T307" i="3"/>
  <c r="R307" i="3"/>
  <c r="P307" i="3"/>
  <c r="J307" i="3"/>
  <c r="BK303" i="3"/>
  <c r="BI303" i="3"/>
  <c r="BH303" i="3"/>
  <c r="BG303" i="3"/>
  <c r="BF303" i="3"/>
  <c r="BE303" i="3"/>
  <c r="T303" i="3"/>
  <c r="R303" i="3"/>
  <c r="P303" i="3"/>
  <c r="J303" i="3"/>
  <c r="BK300" i="3"/>
  <c r="BI300" i="3"/>
  <c r="BH300" i="3"/>
  <c r="BG300" i="3"/>
  <c r="BF300" i="3"/>
  <c r="BE300" i="3"/>
  <c r="T300" i="3"/>
  <c r="R300" i="3"/>
  <c r="P300" i="3"/>
  <c r="J300" i="3"/>
  <c r="BK297" i="3"/>
  <c r="BI297" i="3"/>
  <c r="BH297" i="3"/>
  <c r="BG297" i="3"/>
  <c r="BF297" i="3"/>
  <c r="BE297" i="3"/>
  <c r="T297" i="3"/>
  <c r="R297" i="3"/>
  <c r="P297" i="3"/>
  <c r="J297" i="3"/>
  <c r="BK292" i="3"/>
  <c r="BI292" i="3"/>
  <c r="BH292" i="3"/>
  <c r="BG292" i="3"/>
  <c r="BF292" i="3"/>
  <c r="BE292" i="3"/>
  <c r="T292" i="3"/>
  <c r="R292" i="3"/>
  <c r="P292" i="3"/>
  <c r="J292" i="3"/>
  <c r="BK291" i="3"/>
  <c r="BI291" i="3"/>
  <c r="BH291" i="3"/>
  <c r="BG291" i="3"/>
  <c r="BF291" i="3"/>
  <c r="BE291" i="3"/>
  <c r="T291" i="3"/>
  <c r="R291" i="3"/>
  <c r="P291" i="3"/>
  <c r="J291" i="3"/>
  <c r="BK285" i="3"/>
  <c r="BI285" i="3"/>
  <c r="BH285" i="3"/>
  <c r="BG285" i="3"/>
  <c r="BF285" i="3"/>
  <c r="BE285" i="3"/>
  <c r="T285" i="3"/>
  <c r="R285" i="3"/>
  <c r="P285" i="3"/>
  <c r="J285" i="3"/>
  <c r="BK284" i="3"/>
  <c r="BI284" i="3"/>
  <c r="BH284" i="3"/>
  <c r="BG284" i="3"/>
  <c r="BF284" i="3"/>
  <c r="BE284" i="3"/>
  <c r="T284" i="3"/>
  <c r="R284" i="3"/>
  <c r="P284" i="3"/>
  <c r="J284" i="3"/>
  <c r="BK283" i="3"/>
  <c r="T283" i="3"/>
  <c r="R283" i="3"/>
  <c r="P283" i="3"/>
  <c r="J283" i="3"/>
  <c r="BK275" i="3"/>
  <c r="BI275" i="3"/>
  <c r="BH275" i="3"/>
  <c r="BG275" i="3"/>
  <c r="BF275" i="3"/>
  <c r="BE275" i="3"/>
  <c r="T275" i="3"/>
  <c r="R275" i="3"/>
  <c r="P275" i="3"/>
  <c r="J275" i="3"/>
  <c r="BK268" i="3"/>
  <c r="BI268" i="3"/>
  <c r="BH268" i="3"/>
  <c r="BG268" i="3"/>
  <c r="BF268" i="3"/>
  <c r="BE268" i="3"/>
  <c r="T268" i="3"/>
  <c r="R268" i="3"/>
  <c r="P268" i="3"/>
  <c r="J268" i="3"/>
  <c r="BK261" i="3"/>
  <c r="BI261" i="3"/>
  <c r="BH261" i="3"/>
  <c r="BG261" i="3"/>
  <c r="BF261" i="3"/>
  <c r="BE261" i="3"/>
  <c r="T261" i="3"/>
  <c r="R261" i="3"/>
  <c r="P261" i="3"/>
  <c r="J261" i="3"/>
  <c r="BK258" i="3"/>
  <c r="BI258" i="3"/>
  <c r="BH258" i="3"/>
  <c r="BG258" i="3"/>
  <c r="BF258" i="3"/>
  <c r="BE258" i="3"/>
  <c r="T258" i="3"/>
  <c r="R258" i="3"/>
  <c r="P258" i="3"/>
  <c r="J258" i="3"/>
  <c r="BK255" i="3"/>
  <c r="BI255" i="3"/>
  <c r="BH255" i="3"/>
  <c r="BG255" i="3"/>
  <c r="BF255" i="3"/>
  <c r="BE255" i="3"/>
  <c r="T255" i="3"/>
  <c r="R255" i="3"/>
  <c r="P255" i="3"/>
  <c r="J255" i="3"/>
  <c r="BK252" i="3"/>
  <c r="BI252" i="3"/>
  <c r="BH252" i="3"/>
  <c r="BG252" i="3"/>
  <c r="BF252" i="3"/>
  <c r="BE252" i="3"/>
  <c r="T252" i="3"/>
  <c r="R252" i="3"/>
  <c r="P252" i="3"/>
  <c r="J252" i="3"/>
  <c r="BK249" i="3"/>
  <c r="BI249" i="3"/>
  <c r="BH249" i="3"/>
  <c r="BG249" i="3"/>
  <c r="BF249" i="3"/>
  <c r="BE249" i="3"/>
  <c r="T249" i="3"/>
  <c r="R249" i="3"/>
  <c r="P249" i="3"/>
  <c r="J249" i="3"/>
  <c r="BK246" i="3"/>
  <c r="BI246" i="3"/>
  <c r="BH246" i="3"/>
  <c r="BG246" i="3"/>
  <c r="BF246" i="3"/>
  <c r="BE246" i="3"/>
  <c r="T246" i="3"/>
  <c r="R246" i="3"/>
  <c r="P246" i="3"/>
  <c r="J246" i="3"/>
  <c r="BK243" i="3"/>
  <c r="BI243" i="3"/>
  <c r="BH243" i="3"/>
  <c r="BG243" i="3"/>
  <c r="BF243" i="3"/>
  <c r="BE243" i="3"/>
  <c r="T243" i="3"/>
  <c r="R243" i="3"/>
  <c r="P243" i="3"/>
  <c r="J243" i="3"/>
  <c r="BK242" i="3"/>
  <c r="BI242" i="3"/>
  <c r="BH242" i="3"/>
  <c r="BG242" i="3"/>
  <c r="BF242" i="3"/>
  <c r="BE242" i="3"/>
  <c r="T242" i="3"/>
  <c r="R242" i="3"/>
  <c r="P242" i="3"/>
  <c r="J242" i="3"/>
  <c r="BK238" i="3"/>
  <c r="BI238" i="3"/>
  <c r="BH238" i="3"/>
  <c r="BG238" i="3"/>
  <c r="BF238" i="3"/>
  <c r="BE238" i="3"/>
  <c r="T238" i="3"/>
  <c r="R238" i="3"/>
  <c r="P238" i="3"/>
  <c r="J238" i="3"/>
  <c r="BK234" i="3"/>
  <c r="BI234" i="3"/>
  <c r="BH234" i="3"/>
  <c r="BG234" i="3"/>
  <c r="BF234" i="3"/>
  <c r="BE234" i="3"/>
  <c r="T234" i="3"/>
  <c r="R234" i="3"/>
  <c r="P234" i="3"/>
  <c r="J234" i="3"/>
  <c r="BK230" i="3"/>
  <c r="BI230" i="3"/>
  <c r="BH230" i="3"/>
  <c r="BG230" i="3"/>
  <c r="BF230" i="3"/>
  <c r="BE230" i="3"/>
  <c r="T230" i="3"/>
  <c r="R230" i="3"/>
  <c r="P230" i="3"/>
  <c r="J230" i="3"/>
  <c r="BK228" i="3"/>
  <c r="BI228" i="3"/>
  <c r="BH228" i="3"/>
  <c r="BG228" i="3"/>
  <c r="BF228" i="3"/>
  <c r="BE228" i="3"/>
  <c r="T228" i="3"/>
  <c r="R228" i="3"/>
  <c r="P228" i="3"/>
  <c r="J228" i="3"/>
  <c r="BK226" i="3"/>
  <c r="BI226" i="3"/>
  <c r="BH226" i="3"/>
  <c r="BG226" i="3"/>
  <c r="BF226" i="3"/>
  <c r="BE226" i="3"/>
  <c r="T226" i="3"/>
  <c r="R226" i="3"/>
  <c r="P226" i="3"/>
  <c r="J226" i="3"/>
  <c r="BK223" i="3"/>
  <c r="BI223" i="3"/>
  <c r="BH223" i="3"/>
  <c r="BG223" i="3"/>
  <c r="BF223" i="3"/>
  <c r="BE223" i="3"/>
  <c r="T223" i="3"/>
  <c r="R223" i="3"/>
  <c r="P223" i="3"/>
  <c r="J223" i="3"/>
  <c r="BK220" i="3"/>
  <c r="BI220" i="3"/>
  <c r="BH220" i="3"/>
  <c r="BG220" i="3"/>
  <c r="BF220" i="3"/>
  <c r="BE220" i="3"/>
  <c r="T220" i="3"/>
  <c r="R220" i="3"/>
  <c r="P220" i="3"/>
  <c r="J220" i="3"/>
  <c r="BK217" i="3"/>
  <c r="BI217" i="3"/>
  <c r="BH217" i="3"/>
  <c r="BG217" i="3"/>
  <c r="BF217" i="3"/>
  <c r="BE217" i="3"/>
  <c r="T217" i="3"/>
  <c r="R217" i="3"/>
  <c r="P217" i="3"/>
  <c r="J217" i="3"/>
  <c r="BK213" i="3"/>
  <c r="BI213" i="3"/>
  <c r="BH213" i="3"/>
  <c r="BG213" i="3"/>
  <c r="BF213" i="3"/>
  <c r="BE213" i="3"/>
  <c r="T213" i="3"/>
  <c r="R213" i="3"/>
  <c r="P213" i="3"/>
  <c r="J213" i="3"/>
  <c r="BK212" i="3"/>
  <c r="T212" i="3"/>
  <c r="R212" i="3"/>
  <c r="P212" i="3"/>
  <c r="J212" i="3"/>
  <c r="BK211" i="3"/>
  <c r="BI211" i="3"/>
  <c r="BH211" i="3"/>
  <c r="BG211" i="3"/>
  <c r="BF211" i="3"/>
  <c r="BE211" i="3"/>
  <c r="T211" i="3"/>
  <c r="R211" i="3"/>
  <c r="P211" i="3"/>
  <c r="J211" i="3"/>
  <c r="BK210" i="3"/>
  <c r="BI210" i="3"/>
  <c r="BH210" i="3"/>
  <c r="BG210" i="3"/>
  <c r="BF210" i="3"/>
  <c r="BE210" i="3"/>
  <c r="T210" i="3"/>
  <c r="R210" i="3"/>
  <c r="P210" i="3"/>
  <c r="J210" i="3"/>
  <c r="BK209" i="3"/>
  <c r="BI209" i="3"/>
  <c r="BH209" i="3"/>
  <c r="BG209" i="3"/>
  <c r="BF209" i="3"/>
  <c r="BE209" i="3"/>
  <c r="T209" i="3"/>
  <c r="R209" i="3"/>
  <c r="P209" i="3"/>
  <c r="J209" i="3"/>
  <c r="BK208" i="3"/>
  <c r="BI208" i="3"/>
  <c r="BH208" i="3"/>
  <c r="BG208" i="3"/>
  <c r="BF208" i="3"/>
  <c r="BE208" i="3"/>
  <c r="T208" i="3"/>
  <c r="R208" i="3"/>
  <c r="P208" i="3"/>
  <c r="J208" i="3"/>
  <c r="BK207" i="3"/>
  <c r="BI207" i="3"/>
  <c r="BH207" i="3"/>
  <c r="BG207" i="3"/>
  <c r="BF207" i="3"/>
  <c r="BE207" i="3"/>
  <c r="T207" i="3"/>
  <c r="R207" i="3"/>
  <c r="P207" i="3"/>
  <c r="J207" i="3"/>
  <c r="BK206" i="3"/>
  <c r="BI206" i="3"/>
  <c r="BH206" i="3"/>
  <c r="BG206" i="3"/>
  <c r="BF206" i="3"/>
  <c r="BE206" i="3"/>
  <c r="T206" i="3"/>
  <c r="R206" i="3"/>
  <c r="P206" i="3"/>
  <c r="J206" i="3"/>
  <c r="BK205" i="3"/>
  <c r="BI205" i="3"/>
  <c r="BH205" i="3"/>
  <c r="BG205" i="3"/>
  <c r="BF205" i="3"/>
  <c r="BE205" i="3"/>
  <c r="T205" i="3"/>
  <c r="R205" i="3"/>
  <c r="P205" i="3"/>
  <c r="J205" i="3"/>
  <c r="BK203" i="3"/>
  <c r="BI203" i="3"/>
  <c r="BH203" i="3"/>
  <c r="BG203" i="3"/>
  <c r="BF203" i="3"/>
  <c r="BE203" i="3"/>
  <c r="T203" i="3"/>
  <c r="R203" i="3"/>
  <c r="P203" i="3"/>
  <c r="J203" i="3"/>
  <c r="BK176" i="3"/>
  <c r="BI176" i="3"/>
  <c r="BH176" i="3"/>
  <c r="BG176" i="3"/>
  <c r="BF176" i="3"/>
  <c r="BE176" i="3"/>
  <c r="T176" i="3"/>
  <c r="R176" i="3"/>
  <c r="P176" i="3"/>
  <c r="J176" i="3"/>
  <c r="BK174" i="3"/>
  <c r="BI174" i="3"/>
  <c r="BH174" i="3"/>
  <c r="BG174" i="3"/>
  <c r="BF174" i="3"/>
  <c r="BE174" i="3"/>
  <c r="T174" i="3"/>
  <c r="R174" i="3"/>
  <c r="P174" i="3"/>
  <c r="J174" i="3"/>
  <c r="BK170" i="3"/>
  <c r="BI170" i="3"/>
  <c r="BH170" i="3"/>
  <c r="BG170" i="3"/>
  <c r="BF170" i="3"/>
  <c r="BE170" i="3"/>
  <c r="T170" i="3"/>
  <c r="R170" i="3"/>
  <c r="P170" i="3"/>
  <c r="J170" i="3"/>
  <c r="BK168" i="3"/>
  <c r="BI168" i="3"/>
  <c r="BH168" i="3"/>
  <c r="BG168" i="3"/>
  <c r="BF168" i="3"/>
  <c r="BE168" i="3"/>
  <c r="T168" i="3"/>
  <c r="R168" i="3"/>
  <c r="P168" i="3"/>
  <c r="J168" i="3"/>
  <c r="BK164" i="3"/>
  <c r="BI164" i="3"/>
  <c r="BH164" i="3"/>
  <c r="BG164" i="3"/>
  <c r="BF164" i="3"/>
  <c r="BE164" i="3"/>
  <c r="T164" i="3"/>
  <c r="R164" i="3"/>
  <c r="P164" i="3"/>
  <c r="J164" i="3"/>
  <c r="BK162" i="3"/>
  <c r="BI162" i="3"/>
  <c r="BH162" i="3"/>
  <c r="BG162" i="3"/>
  <c r="BF162" i="3"/>
  <c r="BE162" i="3"/>
  <c r="T162" i="3"/>
  <c r="R162" i="3"/>
  <c r="P162" i="3"/>
  <c r="J162" i="3"/>
  <c r="BK157" i="3"/>
  <c r="BI157" i="3"/>
  <c r="BH157" i="3"/>
  <c r="BG157" i="3"/>
  <c r="BF157" i="3"/>
  <c r="BE157" i="3"/>
  <c r="T157" i="3"/>
  <c r="R157" i="3"/>
  <c r="P157" i="3"/>
  <c r="J157" i="3"/>
  <c r="BK153" i="3"/>
  <c r="BI153" i="3"/>
  <c r="BH153" i="3"/>
  <c r="BG153" i="3"/>
  <c r="BF153" i="3"/>
  <c r="BE153" i="3"/>
  <c r="T153" i="3"/>
  <c r="R153" i="3"/>
  <c r="P153" i="3"/>
  <c r="J153" i="3"/>
  <c r="BK152" i="3"/>
  <c r="BI152" i="3"/>
  <c r="BH152" i="3"/>
  <c r="BG152" i="3"/>
  <c r="BF152" i="3"/>
  <c r="BE152" i="3"/>
  <c r="T152" i="3"/>
  <c r="R152" i="3"/>
  <c r="P152" i="3"/>
  <c r="J152" i="3"/>
  <c r="BK151" i="3"/>
  <c r="BI151" i="3"/>
  <c r="BH151" i="3"/>
  <c r="BG151" i="3"/>
  <c r="BF151" i="3"/>
  <c r="BE151" i="3"/>
  <c r="T151" i="3"/>
  <c r="R151" i="3"/>
  <c r="P151" i="3"/>
  <c r="J151" i="3"/>
  <c r="BK150" i="3"/>
  <c r="T150" i="3"/>
  <c r="R150" i="3"/>
  <c r="P150" i="3"/>
  <c r="J150" i="3"/>
  <c r="BK149" i="3"/>
  <c r="T149" i="3"/>
  <c r="R149" i="3"/>
  <c r="P149" i="3"/>
  <c r="J149" i="3"/>
  <c r="BK148" i="3"/>
  <c r="T148" i="3"/>
  <c r="R148" i="3"/>
  <c r="P148" i="3"/>
  <c r="J148" i="3"/>
  <c r="J145" i="3"/>
  <c r="F145" i="3"/>
  <c r="J144" i="3"/>
  <c r="F144" i="3"/>
  <c r="J142" i="3"/>
  <c r="F142" i="3"/>
  <c r="E140" i="3"/>
  <c r="E136"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4" i="3"/>
  <c r="F94" i="3"/>
  <c r="J93" i="3"/>
  <c r="F93" i="3"/>
  <c r="J91" i="3"/>
  <c r="F91" i="3"/>
  <c r="E89" i="3"/>
  <c r="E85" i="3"/>
  <c r="J41" i="3"/>
  <c r="J39" i="3"/>
  <c r="F39" i="3"/>
  <c r="J38" i="3"/>
  <c r="F38" i="3"/>
  <c r="J37" i="3"/>
  <c r="F37" i="3"/>
  <c r="J36" i="3"/>
  <c r="F36" i="3"/>
  <c r="J35" i="3"/>
  <c r="F35" i="3"/>
  <c r="J32" i="3"/>
  <c r="J20" i="3"/>
  <c r="E20" i="3"/>
  <c r="J19" i="3"/>
  <c r="J14" i="3"/>
  <c r="E7" i="3"/>
  <c r="BK146" i="2"/>
  <c r="BI146" i="2"/>
  <c r="BH146" i="2"/>
  <c r="BG146" i="2"/>
  <c r="BF146" i="2"/>
  <c r="BE146" i="2"/>
  <c r="T146" i="2"/>
  <c r="R146" i="2"/>
  <c r="P146" i="2"/>
  <c r="J146" i="2"/>
  <c r="BK145" i="2"/>
  <c r="T145" i="2"/>
  <c r="R145" i="2"/>
  <c r="P145" i="2"/>
  <c r="J145" i="2"/>
  <c r="BK144" i="2"/>
  <c r="BI144" i="2"/>
  <c r="BH144" i="2"/>
  <c r="BG144" i="2"/>
  <c r="BF144" i="2"/>
  <c r="BE144" i="2"/>
  <c r="T144" i="2"/>
  <c r="R144" i="2"/>
  <c r="P144" i="2"/>
  <c r="J144" i="2"/>
  <c r="BK143" i="2"/>
  <c r="T143" i="2"/>
  <c r="R143" i="2"/>
  <c r="P143" i="2"/>
  <c r="J143" i="2"/>
  <c r="BK141" i="2"/>
  <c r="BI141" i="2"/>
  <c r="BH141" i="2"/>
  <c r="BG141" i="2"/>
  <c r="BF141" i="2"/>
  <c r="BE141" i="2"/>
  <c r="T141" i="2"/>
  <c r="R141" i="2"/>
  <c r="P141" i="2"/>
  <c r="J141" i="2"/>
  <c r="BK139" i="2"/>
  <c r="BI139" i="2"/>
  <c r="BH139" i="2"/>
  <c r="BG139" i="2"/>
  <c r="BF139" i="2"/>
  <c r="BE139" i="2"/>
  <c r="T139" i="2"/>
  <c r="R139" i="2"/>
  <c r="P139" i="2"/>
  <c r="J139" i="2"/>
  <c r="BK137" i="2"/>
  <c r="BI137" i="2"/>
  <c r="BH137" i="2"/>
  <c r="BG137" i="2"/>
  <c r="BF137" i="2"/>
  <c r="BE137" i="2"/>
  <c r="T137" i="2"/>
  <c r="R137" i="2"/>
  <c r="P137" i="2"/>
  <c r="J137" i="2"/>
  <c r="BK135" i="2"/>
  <c r="BI135" i="2"/>
  <c r="BH135" i="2"/>
  <c r="BG135" i="2"/>
  <c r="BF135" i="2"/>
  <c r="BE135" i="2"/>
  <c r="T135" i="2"/>
  <c r="R135" i="2"/>
  <c r="P135" i="2"/>
  <c r="J135" i="2"/>
  <c r="BK134" i="2"/>
  <c r="T134" i="2"/>
  <c r="R134" i="2"/>
  <c r="P134" i="2"/>
  <c r="J134" i="2"/>
  <c r="BK132" i="2"/>
  <c r="BI132" i="2"/>
  <c r="BH132" i="2"/>
  <c r="BG132" i="2"/>
  <c r="BF132" i="2"/>
  <c r="BE132" i="2"/>
  <c r="T132" i="2"/>
  <c r="R132" i="2"/>
  <c r="P132" i="2"/>
  <c r="J132" i="2"/>
  <c r="BK131" i="2"/>
  <c r="T131" i="2"/>
  <c r="R131" i="2"/>
  <c r="P131" i="2"/>
  <c r="J131" i="2"/>
  <c r="BK130" i="2"/>
  <c r="BI130" i="2"/>
  <c r="BH130" i="2"/>
  <c r="BG130" i="2"/>
  <c r="BF130" i="2"/>
  <c r="BE130" i="2"/>
  <c r="T130" i="2"/>
  <c r="R130" i="2"/>
  <c r="P130" i="2"/>
  <c r="J130" i="2"/>
  <c r="BK129" i="2"/>
  <c r="BI129" i="2"/>
  <c r="BH129" i="2"/>
  <c r="BG129" i="2"/>
  <c r="BF129" i="2"/>
  <c r="BE129" i="2"/>
  <c r="T129" i="2"/>
  <c r="R129" i="2"/>
  <c r="P129" i="2"/>
  <c r="J129" i="2"/>
  <c r="BK127" i="2"/>
  <c r="BI127" i="2"/>
  <c r="BH127" i="2"/>
  <c r="BG127" i="2"/>
  <c r="BF127" i="2"/>
  <c r="BE127" i="2"/>
  <c r="T127" i="2"/>
  <c r="R127" i="2"/>
  <c r="P127" i="2"/>
  <c r="J127" i="2"/>
  <c r="BK126" i="2"/>
  <c r="BI126" i="2"/>
  <c r="BH126" i="2"/>
  <c r="BG126" i="2"/>
  <c r="BF126" i="2"/>
  <c r="BE126" i="2"/>
  <c r="T126" i="2"/>
  <c r="R126" i="2"/>
  <c r="P126" i="2"/>
  <c r="J126" i="2"/>
  <c r="BK125" i="2"/>
  <c r="BI125" i="2"/>
  <c r="BH125" i="2"/>
  <c r="BG125" i="2"/>
  <c r="BF125" i="2"/>
  <c r="BE125" i="2"/>
  <c r="T125" i="2"/>
  <c r="R125" i="2"/>
  <c r="P125" i="2"/>
  <c r="J125" i="2"/>
  <c r="BK124" i="2"/>
  <c r="T124" i="2"/>
  <c r="R124" i="2"/>
  <c r="P124" i="2"/>
  <c r="J124" i="2"/>
  <c r="BK123" i="2"/>
  <c r="T123" i="2"/>
  <c r="R123" i="2"/>
  <c r="P123" i="2"/>
  <c r="J123" i="2"/>
  <c r="BK122" i="2"/>
  <c r="T122" i="2"/>
  <c r="R122" i="2"/>
  <c r="P122" i="2"/>
  <c r="J122" i="2"/>
  <c r="J119" i="2"/>
  <c r="F119" i="2"/>
  <c r="J118" i="2"/>
  <c r="F118" i="2"/>
  <c r="J116" i="2"/>
  <c r="F116" i="2"/>
  <c r="E114" i="2"/>
  <c r="E112" i="2"/>
  <c r="J102" i="2"/>
  <c r="J101" i="2"/>
  <c r="J100" i="2"/>
  <c r="J99" i="2"/>
  <c r="J98" i="2"/>
  <c r="J97" i="2"/>
  <c r="J96" i="2"/>
  <c r="J92" i="2"/>
  <c r="F92" i="2"/>
  <c r="J91" i="2"/>
  <c r="F91" i="2"/>
  <c r="J89" i="2"/>
  <c r="F89" i="2"/>
  <c r="E87" i="2"/>
  <c r="E85" i="2"/>
  <c r="J39" i="2"/>
  <c r="J37" i="2"/>
  <c r="F37" i="2"/>
  <c r="J36" i="2"/>
  <c r="F36" i="2"/>
  <c r="J35" i="2"/>
  <c r="F35" i="2"/>
  <c r="J34" i="2"/>
  <c r="F34" i="2"/>
  <c r="J33" i="2"/>
  <c r="F33" i="2"/>
  <c r="J30" i="2"/>
  <c r="J18" i="2"/>
  <c r="E18" i="2"/>
  <c r="J17" i="2"/>
  <c r="J12" i="2"/>
  <c r="E7" i="2"/>
  <c r="BD125" i="1"/>
  <c r="BC125" i="1"/>
  <c r="BB125" i="1"/>
  <c r="BA125" i="1"/>
  <c r="AZ125" i="1"/>
  <c r="AY125" i="1"/>
  <c r="AX125" i="1"/>
  <c r="AW125" i="1"/>
  <c r="AV125" i="1"/>
  <c r="AU125" i="1"/>
  <c r="AT125" i="1"/>
  <c r="AN125" i="1"/>
  <c r="AG125" i="1"/>
  <c r="BD124" i="1"/>
  <c r="BC124" i="1"/>
  <c r="BB124" i="1"/>
  <c r="BA124" i="1"/>
  <c r="AZ124" i="1"/>
  <c r="AY124" i="1"/>
  <c r="AX124" i="1"/>
  <c r="AW124" i="1"/>
  <c r="AV124" i="1"/>
  <c r="AU124" i="1"/>
  <c r="AT124" i="1"/>
  <c r="AN124" i="1"/>
  <c r="AG124" i="1"/>
  <c r="BD123" i="1"/>
  <c r="BC123" i="1"/>
  <c r="BB123" i="1"/>
  <c r="BA123" i="1"/>
  <c r="AZ123" i="1"/>
  <c r="AY123" i="1"/>
  <c r="AX123" i="1"/>
  <c r="AW123" i="1"/>
  <c r="AV123" i="1"/>
  <c r="AU123" i="1"/>
  <c r="AT123" i="1"/>
  <c r="AN123" i="1"/>
  <c r="AG123" i="1"/>
  <c r="BD122" i="1"/>
  <c r="BC122" i="1"/>
  <c r="BB122" i="1"/>
  <c r="BA122" i="1"/>
  <c r="AZ122" i="1"/>
  <c r="AY122" i="1"/>
  <c r="AX122" i="1"/>
  <c r="AW122" i="1"/>
  <c r="AV122" i="1"/>
  <c r="AU122" i="1"/>
  <c r="AT122" i="1"/>
  <c r="AN122" i="1"/>
  <c r="AG122" i="1"/>
  <c r="BD121" i="1"/>
  <c r="BC121" i="1"/>
  <c r="BB121" i="1"/>
  <c r="BA121" i="1"/>
  <c r="AZ121" i="1"/>
  <c r="AY121" i="1"/>
  <c r="AX121" i="1"/>
  <c r="AW121" i="1"/>
  <c r="AV121" i="1"/>
  <c r="AU121" i="1"/>
  <c r="AT121" i="1"/>
  <c r="AN121" i="1"/>
  <c r="AG121" i="1"/>
  <c r="BD120" i="1"/>
  <c r="BC120" i="1"/>
  <c r="BB120" i="1"/>
  <c r="BA120" i="1"/>
  <c r="AZ120" i="1"/>
  <c r="AY120" i="1"/>
  <c r="AX120" i="1"/>
  <c r="AW120" i="1"/>
  <c r="AV120" i="1"/>
  <c r="AU120" i="1"/>
  <c r="AT120" i="1"/>
  <c r="AN120" i="1"/>
  <c r="AG120" i="1"/>
  <c r="BD119" i="1"/>
  <c r="BC119" i="1"/>
  <c r="BB119" i="1"/>
  <c r="BA119" i="1"/>
  <c r="AZ119" i="1"/>
  <c r="AY119" i="1"/>
  <c r="AX119" i="1"/>
  <c r="AW119" i="1"/>
  <c r="AV119" i="1"/>
  <c r="AU119" i="1"/>
  <c r="AT119" i="1"/>
  <c r="AN119" i="1"/>
  <c r="AG119" i="1"/>
  <c r="BD118" i="1"/>
  <c r="BC118" i="1"/>
  <c r="BB118" i="1"/>
  <c r="BA118" i="1"/>
  <c r="AZ118" i="1"/>
  <c r="AY118" i="1"/>
  <c r="AX118" i="1"/>
  <c r="AW118" i="1"/>
  <c r="AV118" i="1"/>
  <c r="AU118" i="1"/>
  <c r="AT118" i="1"/>
  <c r="AN118" i="1"/>
  <c r="AG118" i="1"/>
  <c r="BD117" i="1"/>
  <c r="BC117" i="1"/>
  <c r="BB117" i="1"/>
  <c r="BA117" i="1"/>
  <c r="AZ117" i="1"/>
  <c r="AY117" i="1"/>
  <c r="AX117" i="1"/>
  <c r="AW117" i="1"/>
  <c r="AV117" i="1"/>
  <c r="AU117" i="1"/>
  <c r="AT117" i="1"/>
  <c r="AN117" i="1"/>
  <c r="AG117" i="1"/>
  <c r="BD116" i="1"/>
  <c r="BC116" i="1"/>
  <c r="BB116" i="1"/>
  <c r="BA116" i="1"/>
  <c r="AZ116" i="1"/>
  <c r="AY116" i="1"/>
  <c r="AX116" i="1"/>
  <c r="AW116" i="1"/>
  <c r="AV116" i="1"/>
  <c r="AU116" i="1"/>
  <c r="AT116" i="1"/>
  <c r="AN116" i="1"/>
  <c r="AG116" i="1"/>
  <c r="BD115" i="1"/>
  <c r="BC115" i="1"/>
  <c r="BB115" i="1"/>
  <c r="BA115" i="1"/>
  <c r="AZ115" i="1"/>
  <c r="AY115" i="1"/>
  <c r="AX115" i="1"/>
  <c r="AW115" i="1"/>
  <c r="AV115" i="1"/>
  <c r="AU115" i="1"/>
  <c r="AT115" i="1"/>
  <c r="AN115" i="1"/>
  <c r="AG115" i="1"/>
  <c r="BD114" i="1"/>
  <c r="BC114" i="1"/>
  <c r="BB114" i="1"/>
  <c r="BA114" i="1"/>
  <c r="AZ114" i="1"/>
  <c r="AY114" i="1"/>
  <c r="AX114" i="1"/>
  <c r="AW114" i="1"/>
  <c r="AV114" i="1"/>
  <c r="AU114" i="1"/>
  <c r="AT114" i="1"/>
  <c r="AN114" i="1"/>
  <c r="AG114" i="1"/>
  <c r="BD113" i="1"/>
  <c r="BC113" i="1"/>
  <c r="BB113" i="1"/>
  <c r="BA113" i="1"/>
  <c r="AZ113" i="1"/>
  <c r="AY113" i="1"/>
  <c r="AX113" i="1"/>
  <c r="AW113" i="1"/>
  <c r="AV113" i="1"/>
  <c r="AU113" i="1"/>
  <c r="AT113" i="1"/>
  <c r="AN113" i="1"/>
  <c r="AG113" i="1"/>
  <c r="BD112" i="1"/>
  <c r="BC112" i="1"/>
  <c r="BB112" i="1"/>
  <c r="BA112" i="1"/>
  <c r="AZ112" i="1"/>
  <c r="AY112" i="1"/>
  <c r="AX112" i="1"/>
  <c r="AW112" i="1"/>
  <c r="AV112" i="1"/>
  <c r="AU112" i="1"/>
  <c r="AT112" i="1"/>
  <c r="AN112" i="1"/>
  <c r="AG112" i="1"/>
  <c r="BD111" i="1"/>
  <c r="BC111" i="1"/>
  <c r="BB111" i="1"/>
  <c r="BA111" i="1"/>
  <c r="AZ111" i="1"/>
  <c r="AY111" i="1"/>
  <c r="AX111" i="1"/>
  <c r="AW111" i="1"/>
  <c r="AV111" i="1"/>
  <c r="AU111" i="1"/>
  <c r="AT111" i="1"/>
  <c r="AN111" i="1"/>
  <c r="AG111" i="1"/>
  <c r="BD110" i="1"/>
  <c r="BC110" i="1"/>
  <c r="BB110" i="1"/>
  <c r="BA110" i="1"/>
  <c r="AZ110" i="1"/>
  <c r="AY110" i="1"/>
  <c r="AX110" i="1"/>
  <c r="AW110" i="1"/>
  <c r="AV110" i="1"/>
  <c r="AU110" i="1"/>
  <c r="AT110" i="1"/>
  <c r="AS110" i="1"/>
  <c r="AN110" i="1"/>
  <c r="AG110" i="1"/>
  <c r="BD109" i="1"/>
  <c r="BC109" i="1"/>
  <c r="BB109" i="1"/>
  <c r="BA109" i="1"/>
  <c r="AZ109" i="1"/>
  <c r="AY109" i="1"/>
  <c r="AX109" i="1"/>
  <c r="AW109" i="1"/>
  <c r="AV109" i="1"/>
  <c r="AU109" i="1"/>
  <c r="AT109" i="1"/>
  <c r="AS109" i="1"/>
  <c r="AN109" i="1"/>
  <c r="AG109" i="1"/>
  <c r="BD108" i="1"/>
  <c r="BC108" i="1"/>
  <c r="BB108" i="1"/>
  <c r="BA108" i="1"/>
  <c r="AZ108" i="1"/>
  <c r="AY108" i="1"/>
  <c r="AX108" i="1"/>
  <c r="AW108" i="1"/>
  <c r="AV108" i="1"/>
  <c r="AU108" i="1"/>
  <c r="AT108" i="1"/>
  <c r="AN108" i="1"/>
  <c r="AG108" i="1"/>
  <c r="BD107" i="1"/>
  <c r="BC107" i="1"/>
  <c r="BB107" i="1"/>
  <c r="BA107" i="1"/>
  <c r="AZ107" i="1"/>
  <c r="AY107" i="1"/>
  <c r="AX107" i="1"/>
  <c r="AW107" i="1"/>
  <c r="AV107" i="1"/>
  <c r="AU107" i="1"/>
  <c r="AT107" i="1"/>
  <c r="AN107" i="1"/>
  <c r="AG107" i="1"/>
  <c r="BD106" i="1"/>
  <c r="BC106" i="1"/>
  <c r="BB106" i="1"/>
  <c r="BA106" i="1"/>
  <c r="AZ106" i="1"/>
  <c r="AY106" i="1"/>
  <c r="AX106" i="1"/>
  <c r="AW106" i="1"/>
  <c r="AV106" i="1"/>
  <c r="AU106" i="1"/>
  <c r="AT106" i="1"/>
  <c r="AN106" i="1"/>
  <c r="AG106" i="1"/>
  <c r="BD105" i="1"/>
  <c r="BC105" i="1"/>
  <c r="BB105" i="1"/>
  <c r="BA105" i="1"/>
  <c r="AZ105" i="1"/>
  <c r="AY105" i="1"/>
  <c r="AX105" i="1"/>
  <c r="AW105" i="1"/>
  <c r="AV105" i="1"/>
  <c r="AU105" i="1"/>
  <c r="AT105" i="1"/>
  <c r="AN105" i="1"/>
  <c r="AG105" i="1"/>
  <c r="BD104" i="1"/>
  <c r="BC104" i="1"/>
  <c r="BB104" i="1"/>
  <c r="BA104" i="1"/>
  <c r="AZ104" i="1"/>
  <c r="AY104" i="1"/>
  <c r="AX104" i="1"/>
  <c r="AW104" i="1"/>
  <c r="AV104" i="1"/>
  <c r="AU104" i="1"/>
  <c r="AT104" i="1"/>
  <c r="AN104" i="1"/>
  <c r="AG104" i="1"/>
  <c r="BD103" i="1"/>
  <c r="BC103" i="1"/>
  <c r="BB103" i="1"/>
  <c r="BA103" i="1"/>
  <c r="AZ103" i="1"/>
  <c r="AY103" i="1"/>
  <c r="AX103" i="1"/>
  <c r="AW103" i="1"/>
  <c r="AV103" i="1"/>
  <c r="AU103" i="1"/>
  <c r="AT103" i="1"/>
  <c r="AN103" i="1"/>
  <c r="AG103" i="1"/>
  <c r="BD102" i="1"/>
  <c r="BC102" i="1"/>
  <c r="BB102" i="1"/>
  <c r="BA102" i="1"/>
  <c r="AZ102" i="1"/>
  <c r="AY102" i="1"/>
  <c r="AX102" i="1"/>
  <c r="AW102" i="1"/>
  <c r="AV102" i="1"/>
  <c r="AU102" i="1"/>
  <c r="AT102" i="1"/>
  <c r="AN102" i="1"/>
  <c r="AG102" i="1"/>
  <c r="BD101" i="1"/>
  <c r="BC101" i="1"/>
  <c r="BB101" i="1"/>
  <c r="BA101" i="1"/>
  <c r="AZ101" i="1"/>
  <c r="AY101" i="1"/>
  <c r="AX101" i="1"/>
  <c r="AW101" i="1"/>
  <c r="AV101" i="1"/>
  <c r="AU101" i="1"/>
  <c r="AT101" i="1"/>
  <c r="AN101" i="1"/>
  <c r="AG101" i="1"/>
  <c r="BD100" i="1"/>
  <c r="BC100" i="1"/>
  <c r="BB100" i="1"/>
  <c r="BA100" i="1"/>
  <c r="AZ100" i="1"/>
  <c r="AY100" i="1"/>
  <c r="AX100" i="1"/>
  <c r="AW100" i="1"/>
  <c r="AV100" i="1"/>
  <c r="AU100" i="1"/>
  <c r="AT100" i="1"/>
  <c r="AN100" i="1"/>
  <c r="AG100" i="1"/>
  <c r="BD99" i="1"/>
  <c r="BC99" i="1"/>
  <c r="BB99" i="1"/>
  <c r="BA99" i="1"/>
  <c r="AZ99" i="1"/>
  <c r="AY99" i="1"/>
  <c r="AX99" i="1"/>
  <c r="AW99" i="1"/>
  <c r="AV99" i="1"/>
  <c r="AU99" i="1"/>
  <c r="AT99" i="1"/>
  <c r="AN99" i="1"/>
  <c r="AG99" i="1"/>
  <c r="BD98" i="1"/>
  <c r="BC98" i="1"/>
  <c r="BB98" i="1"/>
  <c r="BA98" i="1"/>
  <c r="AZ98" i="1"/>
  <c r="AY98" i="1"/>
  <c r="AX98" i="1"/>
  <c r="AW98" i="1"/>
  <c r="AV98" i="1"/>
  <c r="AU98" i="1"/>
  <c r="AT98" i="1"/>
  <c r="AN98" i="1"/>
  <c r="AG98" i="1"/>
  <c r="BD97" i="1"/>
  <c r="BC97" i="1"/>
  <c r="BB97" i="1"/>
  <c r="BA97" i="1"/>
  <c r="AZ97" i="1"/>
  <c r="AY97" i="1"/>
  <c r="AX97" i="1"/>
  <c r="AW97" i="1"/>
  <c r="AV97" i="1"/>
  <c r="AU97" i="1"/>
  <c r="AT97" i="1"/>
  <c r="AN97" i="1"/>
  <c r="AG97" i="1"/>
  <c r="BD96" i="1"/>
  <c r="BC96" i="1"/>
  <c r="BB96" i="1"/>
  <c r="BA96" i="1"/>
  <c r="AZ96" i="1"/>
  <c r="AY96" i="1"/>
  <c r="AX96" i="1"/>
  <c r="AW96" i="1"/>
  <c r="AV96" i="1"/>
  <c r="AU96" i="1"/>
  <c r="AT96" i="1"/>
  <c r="AS96" i="1"/>
  <c r="AN96" i="1"/>
  <c r="AG96" i="1"/>
  <c r="BD95" i="1"/>
  <c r="BC95" i="1"/>
  <c r="BB95" i="1"/>
  <c r="BA95" i="1"/>
  <c r="AZ95" i="1"/>
  <c r="AY95" i="1"/>
  <c r="AX95" i="1"/>
  <c r="AW95" i="1"/>
  <c r="AV95" i="1"/>
  <c r="AU95" i="1"/>
  <c r="AT95" i="1"/>
  <c r="AN95" i="1"/>
  <c r="AG95" i="1"/>
  <c r="BD94" i="1"/>
  <c r="BC94" i="1"/>
  <c r="BB94" i="1"/>
  <c r="BA94" i="1"/>
  <c r="AZ94" i="1"/>
  <c r="AY94" i="1"/>
  <c r="AX94" i="1"/>
  <c r="AW94" i="1"/>
  <c r="AV94" i="1"/>
  <c r="AU94" i="1"/>
  <c r="AT94" i="1"/>
  <c r="AS94" i="1"/>
  <c r="AN94" i="1"/>
  <c r="AG94" i="1"/>
  <c r="AM90" i="1"/>
  <c r="L90" i="1"/>
  <c r="AM89" i="1"/>
  <c r="L89" i="1"/>
  <c r="AM87" i="1"/>
  <c r="L87" i="1"/>
  <c r="L85" i="1"/>
  <c r="L84" i="1"/>
  <c r="AK35" i="1"/>
  <c r="W33" i="1"/>
  <c r="W32" i="1"/>
  <c r="W31" i="1"/>
  <c r="AK30" i="1"/>
  <c r="W30" i="1"/>
  <c r="AK29" i="1"/>
  <c r="W29" i="1"/>
  <c r="AK26" i="1"/>
</calcChain>
</file>

<file path=xl/sharedStrings.xml><?xml version="1.0" encoding="utf-8"?>
<sst xmlns="http://schemas.openxmlformats.org/spreadsheetml/2006/main" count="50095" uniqueCount="6123">
  <si>
    <t>Export Komplet</t>
  </si>
  <si>
    <t/>
  </si>
  <si>
    <t>2.0</t>
  </si>
  <si>
    <t>ZAMOK</t>
  </si>
  <si>
    <t>False</t>
  </si>
  <si>
    <t>{a19f1804-530b-42b9-90bc-e9b855663be3}</t>
  </si>
  <si>
    <t>0,01</t>
  </si>
  <si>
    <t>21</t>
  </si>
  <si>
    <t>15</t>
  </si>
  <si>
    <t>REKAPITULACE STAVBY</t>
  </si>
  <si>
    <t>v ---  níže se nacházejí doplnkové a pomocné údaje k sestavám  --- v</t>
  </si>
  <si>
    <t>Návod na vyplnění</t>
  </si>
  <si>
    <t>0,001</t>
  </si>
  <si>
    <t>Kód:</t>
  </si>
  <si>
    <t>Z2021126</t>
  </si>
  <si>
    <t>Měnit lze pouze buňky se žlutým podbarvením!_x000D_
_x000D_
1) na prvním listu Rekapitulace stavby vyplňte v sestavě_x000D_
_x000D_
    a) Souhrnný list_x000D_
       - údaje o Uchazeči_x000D_
         (přenesou se do ostatních sestav i v jiných listech)_x000D_
_x000D_
    b) Rekapitulace objektů_x000D_
       - potřebné Ostatní náklady_x000D_
_x000D_
2) na vybraných listech vyplňte v sestavě_x000D_
_x000D_
    a) Krycí list_x000D_
       - údaje o Uchazeči, pokud se liší od údajů o Uchazeči na Souhrnném listu_x000D_
         (údaje se přenesou do ostatních sestav v daném listu)_x000D_
_x000D_
    b) Rekapitulace rozpočtu_x000D_
       - potřebné Ostatní náklady_x000D_
_x000D_
    c) Celkové náklady za stavbu_x000D_
       - ceny u položek_x000D_
       - množství, pokud má žluté podbarvení_x000D_
       - a v případě potřeby poznámku (ta je ve skrytém sloupci)</t>
  </si>
  <si>
    <t>Stavba:</t>
  </si>
  <si>
    <t>Bytový soubor Libuše</t>
  </si>
  <si>
    <t>KSO:</t>
  </si>
  <si>
    <t>CC-CZ:</t>
  </si>
  <si>
    <t>Místo:</t>
  </si>
  <si>
    <t>Praha</t>
  </si>
  <si>
    <t>Datum:</t>
  </si>
  <si>
    <t>Zadavatel:</t>
  </si>
  <si>
    <t>IČ:</t>
  </si>
  <si>
    <t>VELTON REAL ESTATE</t>
  </si>
  <si>
    <t>DIČ:</t>
  </si>
  <si>
    <t>Uchazeč:</t>
  </si>
  <si>
    <t>08004013</t>
  </si>
  <si>
    <t>DMG Stav a.s.</t>
  </si>
  <si>
    <t>CZ 08004013</t>
  </si>
  <si>
    <t>Projektant:</t>
  </si>
  <si>
    <t>ABMV World s.r.o</t>
  </si>
  <si>
    <t>True</t>
  </si>
  <si>
    <t>Zpracovatel:</t>
  </si>
  <si>
    <t>QSB s.r.o.</t>
  </si>
  <si>
    <t>Poznámka:</t>
  </si>
  <si>
    <t>Cena bez DPH</t>
  </si>
  <si>
    <t>Sazba daně</t>
  </si>
  <si>
    <t>Základ daně</t>
  </si>
  <si>
    <t>Výše daně</t>
  </si>
  <si>
    <t>DPH</t>
  </si>
  <si>
    <t>základní</t>
  </si>
  <si>
    <t>snížená</t>
  </si>
  <si>
    <t>zákl. přenesená</t>
  </si>
  <si>
    <t>sníž. přenesená</t>
  </si>
  <si>
    <t>nulová</t>
  </si>
  <si>
    <t>Cena s DPH</t>
  </si>
  <si>
    <t>v</t>
  </si>
  <si>
    <t>CZK</t>
  </si>
  <si>
    <t>Projektant</t>
  </si>
  <si>
    <t>Zpracovatel</t>
  </si>
  <si>
    <t>Datum a podpis:</t>
  </si>
  <si>
    <t>Razítko</t>
  </si>
  <si>
    <t>Objednavatel</t>
  </si>
  <si>
    <t>Uchazeč</t>
  </si>
  <si>
    <t>REKAPITULACE OBJEKTŮ STAVBY A SOUPISŮ PRACÍ</t>
  </si>
  <si>
    <t>Informatívní údaje z listů zakázek</t>
  </si>
  <si>
    <t>Kód</t>
  </si>
  <si>
    <t>Popis</t>
  </si>
  <si>
    <t>Cena bez DPH [CZK]</t>
  </si>
  <si>
    <t>Cena s DPH [CZK]</t>
  </si>
  <si>
    <t>Typ</t>
  </si>
  <si>
    <t>z toho Ostat._x000D_
náklady [CZK]</t>
  </si>
  <si>
    <t>DPH [CZK]</t>
  </si>
  <si>
    <t>Normohodiny [h]</t>
  </si>
  <si>
    <t>DPH základní [CZK]</t>
  </si>
  <si>
    <t>DPH snížená [CZK]</t>
  </si>
  <si>
    <t>DPH základní přenesená_x000D_
[CZK]</t>
  </si>
  <si>
    <t>DPH snížená přenesená_x000D_
[CZK]</t>
  </si>
  <si>
    <t>Základna_x000D_
DPH základní</t>
  </si>
  <si>
    <t>Základna_x000D_
DPH snížená</t>
  </si>
  <si>
    <t>Základna_x000D_
DPH zákl. přenesená</t>
  </si>
  <si>
    <t>Základna_x000D_
DPH sníž. přenesená</t>
  </si>
  <si>
    <t>Základna_x000D_
DPH nulová</t>
  </si>
  <si>
    <t>Náklady z rozpočtů</t>
  </si>
  <si>
    <t>D</t>
  </si>
  <si>
    <t>0</t>
  </si>
  <si>
    <t>###NOIMPORT###</t>
  </si>
  <si>
    <t>IMPORT</t>
  </si>
  <si>
    <t>{00000000-0000-0000-0000-000000000000}</t>
  </si>
  <si>
    <t>/</t>
  </si>
  <si>
    <t>00</t>
  </si>
  <si>
    <t>Vedlejší a ostatní náklady</t>
  </si>
  <si>
    <t>VON</t>
  </si>
  <si>
    <t>1</t>
  </si>
  <si>
    <t>{ffb2632c-9a12-46c0-9a7a-cc4af88f22d9}</t>
  </si>
  <si>
    <t>2</t>
  </si>
  <si>
    <t>01</t>
  </si>
  <si>
    <t>Bytové domy A, B, C, D vč. podzemního podlaží</t>
  </si>
  <si>
    <t>STA</t>
  </si>
  <si>
    <t>{beb275d1-cc92-4370-8628-335fffaebd87}</t>
  </si>
  <si>
    <t>100</t>
  </si>
  <si>
    <t>Architektonicko-stavební a konstrukční část</t>
  </si>
  <si>
    <t>Soupis</t>
  </si>
  <si>
    <t>{519219ae-6ce4-40eb-a262-06e9229d6b1d}</t>
  </si>
  <si>
    <t>D1.410</t>
  </si>
  <si>
    <t>ZTI - Kanalizace</t>
  </si>
  <si>
    <t>{84a7c1b6-7f2a-49f5-be57-afab49f93126}</t>
  </si>
  <si>
    <t>D1.420</t>
  </si>
  <si>
    <t>ZTI - Vodovod</t>
  </si>
  <si>
    <t>{10486c3d-a2f1-46fb-9c38-f92f128710a0}</t>
  </si>
  <si>
    <t>D1.430</t>
  </si>
  <si>
    <t>ZTI - Plynovod</t>
  </si>
  <si>
    <t>{69e6767c-f311-4783-b791-3ac752473af5}</t>
  </si>
  <si>
    <t>D1.510</t>
  </si>
  <si>
    <t>Vzduchotechnika</t>
  </si>
  <si>
    <t>{c9dfe3ad-13fb-40cc-bd79-bc5ce546b322}</t>
  </si>
  <si>
    <t>D1.520</t>
  </si>
  <si>
    <t>Rozvody chladu</t>
  </si>
  <si>
    <t>{8e6ed8be-8277-45a1-8ce1-1a62c411eb53}</t>
  </si>
  <si>
    <t>D1.530</t>
  </si>
  <si>
    <t>ÚT - Rozvody tepla</t>
  </si>
  <si>
    <t>{8d236109-306f-48c2-9595-75be6e0d0de9}</t>
  </si>
  <si>
    <t>D1.610</t>
  </si>
  <si>
    <t>Uzemnění a hromosvod</t>
  </si>
  <si>
    <t>{d671aba4-2fad-4021-b32b-2947f8570988}</t>
  </si>
  <si>
    <t>D1.620</t>
  </si>
  <si>
    <t>Silnoproudá elektroinstalace</t>
  </si>
  <si>
    <t>{0ca3e164-1671-4e26-bdbc-699a382a27b7}</t>
  </si>
  <si>
    <t>D1.700</t>
  </si>
  <si>
    <t>Slaboproudé elektroinstalace</t>
  </si>
  <si>
    <t>{c76b0c4d-0920-43f0-9a54-66b7c9076d38}</t>
  </si>
  <si>
    <t>D1.901</t>
  </si>
  <si>
    <t>Osobní výtahy</t>
  </si>
  <si>
    <t>{85b3d44d-510f-4c25-af05-03fe096574e7}</t>
  </si>
  <si>
    <t>D1.902</t>
  </si>
  <si>
    <t>Vnitřní dopravní značení</t>
  </si>
  <si>
    <t>{153d72b2-6802-4da7-b53b-e87be3a458ca}</t>
  </si>
  <si>
    <t>02</t>
  </si>
  <si>
    <t>Venkovní objekty a přípojky</t>
  </si>
  <si>
    <t>{7eea07c9-6147-490a-ae1d-cabb95e0d744}</t>
  </si>
  <si>
    <t>IO</t>
  </si>
  <si>
    <t>Přípojky</t>
  </si>
  <si>
    <t>{4f2e31ee-1737-4ce3-ac31-b69541db3e54}</t>
  </si>
  <si>
    <t>IO01</t>
  </si>
  <si>
    <t>Přípojka vodovodu</t>
  </si>
  <si>
    <t>3</t>
  </si>
  <si>
    <t>{bd75a83a-2a19-4b60-a90b-74b51b17b035}</t>
  </si>
  <si>
    <t>IO02</t>
  </si>
  <si>
    <t>Přípojka plynovodu</t>
  </si>
  <si>
    <t>{4a27c019-c402-4276-9969-e3927108a50f}</t>
  </si>
  <si>
    <t>IO03</t>
  </si>
  <si>
    <t>Přípojka dešťové kanalizace</t>
  </si>
  <si>
    <t>{2f31af83-109f-4628-8cfe-d13fec123a40}</t>
  </si>
  <si>
    <t>IO04</t>
  </si>
  <si>
    <t>Přípojka splaškové kanalizace</t>
  </si>
  <si>
    <t>{83066047-6971-48cf-8e2e-2224f3f05ae9}</t>
  </si>
  <si>
    <t>IO05</t>
  </si>
  <si>
    <t>PRE</t>
  </si>
  <si>
    <t>{7bc87533-6e77-43ff-961c-2db2df70c57e}</t>
  </si>
  <si>
    <t>IO06</t>
  </si>
  <si>
    <t>CETIN</t>
  </si>
  <si>
    <t>{ce514360-396b-472e-a9f9-cbff4ff495bf}</t>
  </si>
  <si>
    <t>IO07</t>
  </si>
  <si>
    <t>Veřejné osvětlení</t>
  </si>
  <si>
    <t>{0f893789-fb0d-4ac6-8f20-40252bef8e60}</t>
  </si>
  <si>
    <t>IOX</t>
  </si>
  <si>
    <t>Přeložky</t>
  </si>
  <si>
    <t>{376ee8c7-f9a0-484d-b2f6-95e352eb46c4}</t>
  </si>
  <si>
    <t>IOX05</t>
  </si>
  <si>
    <t>přeložka PRE</t>
  </si>
  <si>
    <t>{14ded061-1eb3-4004-b549-96c3ed41977a}</t>
  </si>
  <si>
    <t>IOX06</t>
  </si>
  <si>
    <t>přeložka CETIN</t>
  </si>
  <si>
    <t>{30623bd4-7672-46ea-882c-02b564c57c07}</t>
  </si>
  <si>
    <t>S041</t>
  </si>
  <si>
    <t>Sadové úpravy a kácení</t>
  </si>
  <si>
    <t>{c68ff8eb-ced9-4701-a990-a7c95f576625}</t>
  </si>
  <si>
    <t>S044</t>
  </si>
  <si>
    <t>Drobná venkovná architektura</t>
  </si>
  <si>
    <t>{dd358f9e-ad25-4fe8-895c-b0a5cb6aa627}</t>
  </si>
  <si>
    <t>SO10</t>
  </si>
  <si>
    <t>Komunikace, zpevněné plochy a dopravní značení</t>
  </si>
  <si>
    <t>{c403ff3a-58cd-4272-a7c4-bc3c622904d3}</t>
  </si>
  <si>
    <t>SO21</t>
  </si>
  <si>
    <t>Venkovní osvětlení</t>
  </si>
  <si>
    <t>{919e6489-5d9b-4aa4-a5ea-2d087705e48e}</t>
  </si>
  <si>
    <t>SO31</t>
  </si>
  <si>
    <t>Příprava území</t>
  </si>
  <si>
    <t>{bf81bd70-02b3-46d9-94f0-3e80ee027c41}</t>
  </si>
  <si>
    <t>KRYCÍ LIST SOUPISU PRACÍ</t>
  </si>
  <si>
    <t>Objekt:</t>
  </si>
  <si>
    <t>00 - Vedlejší a ostatní náklady</t>
  </si>
  <si>
    <t>REKAPITULACE ČLENĚNÍ SOUPISU PRACÍ</t>
  </si>
  <si>
    <t>Kód dílu - Popis</t>
  </si>
  <si>
    <t>Cena celkem [CZK]</t>
  </si>
  <si>
    <t>Náklady ze soupisu prací</t>
  </si>
  <si>
    <t>-1</t>
  </si>
  <si>
    <t>VRN - Vedlejší rozpočtové náklady</t>
  </si>
  <si>
    <t xml:space="preserve">    VRN1 - Průzkumné, geodetické a projektové práce</t>
  </si>
  <si>
    <t xml:space="preserve">    VRN3 - Zařízení staveniště</t>
  </si>
  <si>
    <t xml:space="preserve">    VRN4 - Inženýrská činnost</t>
  </si>
  <si>
    <t xml:space="preserve">    VRN6 - Územní vlivy</t>
  </si>
  <si>
    <t xml:space="preserve">    VRN7 - Provozní vlivy</t>
  </si>
  <si>
    <t>SOUPIS PRACÍ</t>
  </si>
  <si>
    <t>PČ</t>
  </si>
  <si>
    <t>MJ</t>
  </si>
  <si>
    <t>Množství</t>
  </si>
  <si>
    <t>J.cena [CZK]</t>
  </si>
  <si>
    <t>Cenová soustava</t>
  </si>
  <si>
    <t>J. Nh [h]</t>
  </si>
  <si>
    <t>Nh celkem [h]</t>
  </si>
  <si>
    <t>J. hmotnost [t]</t>
  </si>
  <si>
    <t>Hmotnost celkem [t]</t>
  </si>
  <si>
    <t>J. suť [t]</t>
  </si>
  <si>
    <t>Suť Celkem [t]</t>
  </si>
  <si>
    <t>Náklady soupisu celkem</t>
  </si>
  <si>
    <t>VRN</t>
  </si>
  <si>
    <t>Vedlejší rozpočtové náklady</t>
  </si>
  <si>
    <t>5</t>
  </si>
  <si>
    <t>ROZPOCET</t>
  </si>
  <si>
    <t>VRN1</t>
  </si>
  <si>
    <t>Průzkumné, geodetické a projektové práce</t>
  </si>
  <si>
    <t>K</t>
  </si>
  <si>
    <t>013R1.A</t>
  </si>
  <si>
    <t>Pasportizace stávajícího objektu a okolních objektů před zahájením stavebních prací</t>
  </si>
  <si>
    <t>kpl.</t>
  </si>
  <si>
    <t>4</t>
  </si>
  <si>
    <t>-1748255448</t>
  </si>
  <si>
    <t>013R2.A</t>
  </si>
  <si>
    <t>Sledování stavu během realizace, pravidelná fotodokumentace objektů a sousedních objektů (např. komunikací)</t>
  </si>
  <si>
    <t>1349792875</t>
  </si>
  <si>
    <t>012203000X.A</t>
  </si>
  <si>
    <t>Geodetické práce při provádění stavby a po dokončení vč. zpracování geometrického plánu</t>
  </si>
  <si>
    <t>soub.</t>
  </si>
  <si>
    <t>-1091255160</t>
  </si>
  <si>
    <t>P</t>
  </si>
  <si>
    <t>Poznámka k položce:_x000D_
#39;amp;quot;Poznámka k položce:_x000D_
Práce potřebné dodavatelem pro realizaci díla, před zahájením prací, během realizace a vč. konečného zaměření dokončeného stavu a vypracování geometrického plánu.#39;amp;quot;</t>
  </si>
  <si>
    <t>R02400.A</t>
  </si>
  <si>
    <t>Vytyčení stavby a sítí včetně zaměření skutečného stavu IS před a po realizaci</t>
  </si>
  <si>
    <t>819492384</t>
  </si>
  <si>
    <t>013254000</t>
  </si>
  <si>
    <t>Dokumentace skutečného provedení stavby</t>
  </si>
  <si>
    <t>kpl</t>
  </si>
  <si>
    <t>1024</t>
  </si>
  <si>
    <t>-976897516</t>
  </si>
  <si>
    <t>VRN3</t>
  </si>
  <si>
    <t>Zařízení staveniště</t>
  </si>
  <si>
    <t>6</t>
  </si>
  <si>
    <t>030001000</t>
  </si>
  <si>
    <t>-1877957943</t>
  </si>
  <si>
    <t>Poznámka k položce:_x000D_
Připojení staveniště na inženýrské sítě a spotřeba energií, oplocení (v neprůvětrném provedení v=2,0m) a označení staveniště, průběžný úklid staveniště a okolních ploch veřejných komunikací (zřízení místa pro čištění vozidel pořed výjezdem ze staveniště), zřízení, odstranění a údržba kompletního ZS vč. vybavených buněk pro zástupce investora a pro kontrolní dny, stavební výtahy a ostatní mechanizace - viz plán ZOV._x000D_
_x000D_
Pozn. Staveniště bude napojeno z TS 2053. Staveništní přípojka bude opatřena měřením odebrané elektrické energie. Voda potřebná pro staveniště bude před vybudováním přípojky zabezpečena pomocí cisteren. Po vybudování nové vodovodní přípojky pro navrhované objekty bude staveniště napojeno na jednu z těchto přípojek vody. Staveništní přípojka bude opatřena vodoměrem.</t>
  </si>
  <si>
    <t>VRN4</t>
  </si>
  <si>
    <t>Inženýrská činnost</t>
  </si>
  <si>
    <t>7</t>
  </si>
  <si>
    <t>043002000.A</t>
  </si>
  <si>
    <t>Zkoušky a ostatní měření</t>
  </si>
  <si>
    <t>56043347</t>
  </si>
  <si>
    <t>Poznámka k položce:_x000D_
#39;amp;quot;Poznámka k položce:_x000D_
Zajištění veškerých zkoušek, měření, revizí a potřebných kontrol vč. patřičných protokolů o zkouškách, revizních zpráv, kontrolních protokolů, protokolů měření atd. potřebných pro kolaudaci.#39;amp;quot;</t>
  </si>
  <si>
    <t>8</t>
  </si>
  <si>
    <t>043002R2.A</t>
  </si>
  <si>
    <t>Náklady na zajištění BOZP na pracovišti dodavatelem (součinnost s BOZP investora)</t>
  </si>
  <si>
    <t>536198536</t>
  </si>
  <si>
    <t>Poznámka k položce:_x000D_
#39;amp;quot;Poznámka k položce:_x000D_
Instalace bodů 14ks bodů + nulté měření+ náhrada bodu v případě poškození.#39;amp;quot;</t>
  </si>
  <si>
    <t>9</t>
  </si>
  <si>
    <t>043002R3.A</t>
  </si>
  <si>
    <t>Návrhy a projednání záborů a DIO</t>
  </si>
  <si>
    <t>872302961</t>
  </si>
  <si>
    <t>10</t>
  </si>
  <si>
    <t>045002000.A</t>
  </si>
  <si>
    <t>Kompletační a koordinační činnost</t>
  </si>
  <si>
    <t>-1428917146</t>
  </si>
  <si>
    <t>Poznámka k položce:_x000D_
#39;amp;quot;Poznámka k položce:_x000D_
Zajištění součinnosti a všech potřebných dokladů při uvádění do provozu a kolaudaci.#39;amp;quot;</t>
  </si>
  <si>
    <t>VRN6</t>
  </si>
  <si>
    <t>Územní vlivy</t>
  </si>
  <si>
    <t>11</t>
  </si>
  <si>
    <t>060001000.A</t>
  </si>
  <si>
    <t>Územní vlivy, realizace záborů, DIO, DIR</t>
  </si>
  <si>
    <t>Kč</t>
  </si>
  <si>
    <t>1544725129</t>
  </si>
  <si>
    <t>VRN7</t>
  </si>
  <si>
    <t>Provozní vlivy</t>
  </si>
  <si>
    <t>12</t>
  </si>
  <si>
    <t>070001000.A</t>
  </si>
  <si>
    <t xml:space="preserve">Provozní vlivy </t>
  </si>
  <si>
    <t>-1705165672</t>
  </si>
  <si>
    <t>Poznámka k položce:_x000D_
Realizace stavby v městské zástavbě, nutno dodržovat povolené hladiny hluku pro dané období stanovené v NV č. 148/2006 Sb. o ochraně zdraví před nepříznivými účinky hluku a vibrací</t>
  </si>
  <si>
    <t>CF10</t>
  </si>
  <si>
    <t>m2</t>
  </si>
  <si>
    <t>181,94</t>
  </si>
  <si>
    <t>FF10</t>
  </si>
  <si>
    <t>1058,4</t>
  </si>
  <si>
    <t>FF20</t>
  </si>
  <si>
    <t>405,86</t>
  </si>
  <si>
    <t>FF21</t>
  </si>
  <si>
    <t>461,5</t>
  </si>
  <si>
    <t>FF30</t>
  </si>
  <si>
    <t>577,5</t>
  </si>
  <si>
    <t>FF31</t>
  </si>
  <si>
    <t>1169,23</t>
  </si>
  <si>
    <t>RF10</t>
  </si>
  <si>
    <t>730,85</t>
  </si>
  <si>
    <t>01 - Bytové domy A, B, C, D vč. podzemního podlaží</t>
  </si>
  <si>
    <t>RF11</t>
  </si>
  <si>
    <t>247,51</t>
  </si>
  <si>
    <t>Soupis:</t>
  </si>
  <si>
    <t>RF12</t>
  </si>
  <si>
    <t>431,26</t>
  </si>
  <si>
    <t>100 - Architektonicko-stavební a konstrukční část</t>
  </si>
  <si>
    <t>RF13</t>
  </si>
  <si>
    <t>44,6</t>
  </si>
  <si>
    <t>RF14</t>
  </si>
  <si>
    <t>32,97</t>
  </si>
  <si>
    <t>RF20</t>
  </si>
  <si>
    <t>185,99</t>
  </si>
  <si>
    <t>RF21</t>
  </si>
  <si>
    <t>74,66</t>
  </si>
  <si>
    <t>RF22</t>
  </si>
  <si>
    <t>30,14</t>
  </si>
  <si>
    <t>vap_omi</t>
  </si>
  <si>
    <t>1217,07</t>
  </si>
  <si>
    <t>WF02</t>
  </si>
  <si>
    <t>281,062</t>
  </si>
  <si>
    <t>WF03</t>
  </si>
  <si>
    <t>84,525</t>
  </si>
  <si>
    <t>WF17_omi</t>
  </si>
  <si>
    <t>71,016</t>
  </si>
  <si>
    <t>WF18_omi</t>
  </si>
  <si>
    <t>28,829</t>
  </si>
  <si>
    <t>WF19_omi</t>
  </si>
  <si>
    <t>12,862</t>
  </si>
  <si>
    <t>WF22</t>
  </si>
  <si>
    <t>183,6</t>
  </si>
  <si>
    <t>HSV - Práce a dodávky HSV</t>
  </si>
  <si>
    <t xml:space="preserve">    1 - Zemní práce</t>
  </si>
  <si>
    <t xml:space="preserve">    2 - Zakládání</t>
  </si>
  <si>
    <t xml:space="preserve">    3 - Svislé a kompletní konstrukce</t>
  </si>
  <si>
    <t xml:space="preserve">    4 - Vodorovné konstrukce</t>
  </si>
  <si>
    <t xml:space="preserve">    6 - Úpravy povrchů, podlahy a osazování výplní</t>
  </si>
  <si>
    <t xml:space="preserve">    9 - Ostatní konstrukce a práce, bourání</t>
  </si>
  <si>
    <t xml:space="preserve">    998 - Přesun hmot</t>
  </si>
  <si>
    <t>PSV - Práce a dodávky PSV</t>
  </si>
  <si>
    <t xml:space="preserve">    V01 - Vnitřní dveře</t>
  </si>
  <si>
    <t xml:space="preserve">    V02 - Okna</t>
  </si>
  <si>
    <t xml:space="preserve">    V03 - Prosklené příčky - exteriérové</t>
  </si>
  <si>
    <t xml:space="preserve">    711 - Izolace proti vodě, vlhkosti a plynům</t>
  </si>
  <si>
    <t xml:space="preserve">    712 - Povlakové krytiny</t>
  </si>
  <si>
    <t xml:space="preserve">    713 - Izolace tepelné</t>
  </si>
  <si>
    <t xml:space="preserve">    715 - Izolace proti chemickým vlivům</t>
  </si>
  <si>
    <t xml:space="preserve">    762 - Konstrukce tesařské</t>
  </si>
  <si>
    <t xml:space="preserve">    763 - Konstrukce suché výstavby</t>
  </si>
  <si>
    <t xml:space="preserve">    764 - Konstrukce klempířské</t>
  </si>
  <si>
    <t xml:space="preserve">    765 - Krytina skládaná</t>
  </si>
  <si>
    <t xml:space="preserve">    767 - Konstrukce zámečnické</t>
  </si>
  <si>
    <t xml:space="preserve">    771 - Podlahy z dlaždic</t>
  </si>
  <si>
    <t xml:space="preserve">    775 - Podlahy skládané</t>
  </si>
  <si>
    <t xml:space="preserve">    776 - Podlahy povlakové</t>
  </si>
  <si>
    <t xml:space="preserve">    781 - Dokončovací práce - obklady</t>
  </si>
  <si>
    <t xml:space="preserve">    782 - Dokončovací práce - obklady z kamene</t>
  </si>
  <si>
    <t xml:space="preserve">    783 - Dokončovací práce - nátěry</t>
  </si>
  <si>
    <t xml:space="preserve">    784 - Dokončovací práce - malby a tapety</t>
  </si>
  <si>
    <t>HSV</t>
  </si>
  <si>
    <t>Práce a dodávky HSV</t>
  </si>
  <si>
    <t>Zemní práce</t>
  </si>
  <si>
    <t>131251207</t>
  </si>
  <si>
    <t>Hloubení jam zapažených v hornině třídy těžitelnosti I skupiny 3 objem přes 5000 m3 strojně</t>
  </si>
  <si>
    <t>m3</t>
  </si>
  <si>
    <t>1999030035</t>
  </si>
  <si>
    <t>131351206</t>
  </si>
  <si>
    <t>Hloubení jam zapažených v hornině třídy těžitelnosti II skupiny 4 objem do 5000 m3 strojně</t>
  </si>
  <si>
    <t>-1393707848</t>
  </si>
  <si>
    <t>162351103</t>
  </si>
  <si>
    <t>Vodorovné přemístění přes 50 do 500 m výkopku/sypaniny z horniny třídy těžitelnosti I skupiny 1 až 3</t>
  </si>
  <si>
    <t>1304400214</t>
  </si>
  <si>
    <t>VV</t>
  </si>
  <si>
    <t>"odvoz zeminy pro zásyp na mezideponii" 2956,354</t>
  </si>
  <si>
    <t>"odvoz zeminy pro zásyp z mezideponie k objektu" 2956,354</t>
  </si>
  <si>
    <t>Součet</t>
  </si>
  <si>
    <t>162751117</t>
  </si>
  <si>
    <t>Vodorovné přemístění přes 9 000 do 10000 m výkopku/sypaniny z horniny třídy těžitelnosti I skupiny 1 až 3</t>
  </si>
  <si>
    <t>-1553125119</t>
  </si>
  <si>
    <t>"hloubení jam" 9775</t>
  </si>
  <si>
    <t>"odečet zeminy pro zásyp" -2956,354</t>
  </si>
  <si>
    <t>"vývrtek ze zápor" 133,11</t>
  </si>
  <si>
    <t>162751119</t>
  </si>
  <si>
    <t>Příplatek k vodorovnému přemístění výkopku/sypaniny z horniny třídy těžitelnosti I skupiny 1 až 3 ZKD 1000 m přes 10000 m</t>
  </si>
  <si>
    <t>-2081165604</t>
  </si>
  <si>
    <t>6951,756*10 'Přepočtené koeficientem množství</t>
  </si>
  <si>
    <t>162751137</t>
  </si>
  <si>
    <t>Vodorovné přemístění přes 9 000 do 10000 m výkopku/sypaniny z horniny třídy těžitelnosti II skupiny 4 a 5</t>
  </si>
  <si>
    <t>-482240564</t>
  </si>
  <si>
    <t>"hloubení jam" 1725</t>
  </si>
  <si>
    <t>"zemina z vrtů" 427*pi*0,315^2</t>
  </si>
  <si>
    <t>162751139</t>
  </si>
  <si>
    <t>Příplatek k vodorovnému přemístění výkopku/sypaniny z horniny třídy těžitelnosti II skupiny 4 a 5 ZKD 1000 m přes 10000 m</t>
  </si>
  <si>
    <t>-540726530</t>
  </si>
  <si>
    <t>1858,106*10 'Přepočtené koeficientem množství</t>
  </si>
  <si>
    <t>167151111</t>
  </si>
  <si>
    <t>Nakládání výkopku z hornin třídy těžitelnosti I skupiny 1 až 3 přes 100 m3</t>
  </si>
  <si>
    <t>-1670710070</t>
  </si>
  <si>
    <t>"nakládání zásypu na mezideponii" 2956,354</t>
  </si>
  <si>
    <t>171201231</t>
  </si>
  <si>
    <t>Poplatek za uložení zeminy a kamení na recyklační skládce (skládkovné) kód odpadu 17 05 04</t>
  </si>
  <si>
    <t>t</t>
  </si>
  <si>
    <t>-1540356425</t>
  </si>
  <si>
    <t>(9011,86*1750/1000)*0,8</t>
  </si>
  <si>
    <t>174151101</t>
  </si>
  <si>
    <t>Zásyp jam, šachet rýh nebo kolem objektů sypaninou se zhutněním</t>
  </si>
  <si>
    <t>183085253</t>
  </si>
  <si>
    <t>Objekt A</t>
  </si>
  <si>
    <t>výkres 5100</t>
  </si>
  <si>
    <t>"kolem zápor" 1,11*3,25*12,78</t>
  </si>
  <si>
    <t>"svahování" (1,00+5,24)*4,24/2*(6,99+5,15+8,29+3,12+2*2,00)</t>
  </si>
  <si>
    <t>"svahování" (1,14+4,38)*3,24/2*(22,00+2*2,00)</t>
  </si>
  <si>
    <t>"svahování" (1,22+4,47)*3,25/2*(16,76+8,37+2,00)</t>
  </si>
  <si>
    <t>Mezisoučet Objekt A</t>
  </si>
  <si>
    <t>Objekt B</t>
  </si>
  <si>
    <t>výkres 5200</t>
  </si>
  <si>
    <t>"kolem zápor" 0,94*3,6*17,52</t>
  </si>
  <si>
    <t>"svahování" (0,8+4,2)*3,4/2*(27,82+2,00+27,82+2,00)</t>
  </si>
  <si>
    <t>"svahování" (1,05+4,76)*3,71/2*(5,2+6,4+6,01+6,43)</t>
  </si>
  <si>
    <t>Mezisoučet Objekt B</t>
  </si>
  <si>
    <t>Objekt C</t>
  </si>
  <si>
    <t>výkres 5300</t>
  </si>
  <si>
    <t>"kolem zápor" 1,02*3,45*40,43</t>
  </si>
  <si>
    <t>"svahování" (3,6+1,2)*2,52/2*(5,57+21,53+1,31+3,56+5,96)</t>
  </si>
  <si>
    <t>Mezisoučet Objekt C</t>
  </si>
  <si>
    <t>Objekt D</t>
  </si>
  <si>
    <t>výkres 5400</t>
  </si>
  <si>
    <t>"kolem zápor" 1,02*3,45*12,12</t>
  </si>
  <si>
    <t>"kolem zápor + svahování" (0,94*2,25+(0,94+2,24)*1,3/2)*12,17</t>
  </si>
  <si>
    <t>"svahování" (1,54+5,4)*3,86/2*(27,82+10,43+2*2,00)</t>
  </si>
  <si>
    <t>Mezisoučet Objekt D</t>
  </si>
  <si>
    <t>"zásyp opěrných zídek" 206</t>
  </si>
  <si>
    <t>R-1712012</t>
  </si>
  <si>
    <t>Poplatek za uložení na skládce (skládkovné) kontaminované zeminy a kamení</t>
  </si>
  <si>
    <t>1982836595</t>
  </si>
  <si>
    <t>(9011,86*1750/1000)*0,2</t>
  </si>
  <si>
    <t>Pol358</t>
  </si>
  <si>
    <t>Vrty pro zápory pr. 630 mm - třída vrtatelnosti I. - III., provedení paženého , nebo nepaženého vrtu svislého, průměru dle PD,  bez výplachu, vrtání na plný profil vrtu</t>
  </si>
  <si>
    <t>bm</t>
  </si>
  <si>
    <t>-1814611507</t>
  </si>
  <si>
    <t>13</t>
  </si>
  <si>
    <t>Pol359</t>
  </si>
  <si>
    <t>Ocelová výztuž zápor  - dodání ocelové výztuže zápor profilu IPE 300 a IPE360, třída oceli S235, vč. 5% nadspotřeby</t>
  </si>
  <si>
    <t>-121137685</t>
  </si>
  <si>
    <t>14</t>
  </si>
  <si>
    <t>M</t>
  </si>
  <si>
    <t>Pol360</t>
  </si>
  <si>
    <t>Beton paty zápor tř. C12/15 X0 - dodání betonové směsi tř. dle PD, množství navýšeno o 10 % jako ztratné</t>
  </si>
  <si>
    <t>-2080201748</t>
  </si>
  <si>
    <t>Pol361</t>
  </si>
  <si>
    <t>Zřízení zápory - osazení výztuže zápory, provedení betonáže paty zápory a odpažení vrtu</t>
  </si>
  <si>
    <t>m</t>
  </si>
  <si>
    <t>-1429324940</t>
  </si>
  <si>
    <t>16</t>
  </si>
  <si>
    <t>Pol362</t>
  </si>
  <si>
    <t>Zřízení výplně horní části vrtu zápory - dodání a zásyp volné délky vrtu zápory</t>
  </si>
  <si>
    <t>533150708</t>
  </si>
  <si>
    <t>17</t>
  </si>
  <si>
    <t>Pol365</t>
  </si>
  <si>
    <t>Výdřeva zápor - dodání a montáž výdřevy mezi zápory tloušťky dle PD</t>
  </si>
  <si>
    <t>158403965</t>
  </si>
  <si>
    <t>18</t>
  </si>
  <si>
    <t>Pol366</t>
  </si>
  <si>
    <t>Stabilizace za výdřevou - dodávka a zásyp stabilizací případných kaveren za výdřevou zápor</t>
  </si>
  <si>
    <t>1547538686</t>
  </si>
  <si>
    <t>Zakládání</t>
  </si>
  <si>
    <t>19</t>
  </si>
  <si>
    <t>Pol30</t>
  </si>
  <si>
    <t>Podkladní Beton - C12/15 X0</t>
  </si>
  <si>
    <t>-864939627</t>
  </si>
  <si>
    <t>"1PP" 2007,714*0,1</t>
  </si>
  <si>
    <t>"zesílení tl. o 500 mm pod objektem D" 28,02*12,37*0,5</t>
  </si>
  <si>
    <t>20</t>
  </si>
  <si>
    <t>Pol31</t>
  </si>
  <si>
    <t>Základová deska - C30/37 XC3 XD1 XA, Vodostavební; tl. 400mm;</t>
  </si>
  <si>
    <t>405995723</t>
  </si>
  <si>
    <t>Poznámka k položce:_x000D_
Požadované charakteristiky dle  ČSN EN 1992 -1 -1, modul pružnosti: Ecm = 32GPa, pevnost v tahu fctm = 2,9MPa, součinitel dotvarování a smršťování odpovídající dané pevnostní třídě. Pracovní spáry bedněné s prolisem, do spár osazeny těsnící plechy. Velikost pracovních záběrů do 40m. Betonová distanční tělíska.</t>
  </si>
  <si>
    <t>"1PP" 2037,95*0,4</t>
  </si>
  <si>
    <t>Pol31a</t>
  </si>
  <si>
    <t>Základová deska - C30/37 XC3 XD1 XA, Vodostavební; tl. 300mm;</t>
  </si>
  <si>
    <t>1864645719</t>
  </si>
  <si>
    <t>"1PP" 7,74*0,3</t>
  </si>
  <si>
    <t>22</t>
  </si>
  <si>
    <t>Pol27</t>
  </si>
  <si>
    <t>Deska - C30/37 XC3 XD1; tl. 250mm; Dno výtahové šachty</t>
  </si>
  <si>
    <t>741541303</t>
  </si>
  <si>
    <t>Poznámka k položce:_x000D_
železový beton bez výztuže</t>
  </si>
  <si>
    <t>"1PP" 16,807*0,25</t>
  </si>
  <si>
    <t>23</t>
  </si>
  <si>
    <t>273351121</t>
  </si>
  <si>
    <t>Zřízení bednění základových desek</t>
  </si>
  <si>
    <t>387719660</t>
  </si>
  <si>
    <t>330,12+54,07</t>
  </si>
  <si>
    <t>24</t>
  </si>
  <si>
    <t>273351122</t>
  </si>
  <si>
    <t>Odstranění bednění základových desek</t>
  </si>
  <si>
    <t>1130797811</t>
  </si>
  <si>
    <t>25</t>
  </si>
  <si>
    <t>273361821</t>
  </si>
  <si>
    <t>Výztuž základových desek betonářskou ocelí 10 505 (R)</t>
  </si>
  <si>
    <t>-1338998559</t>
  </si>
  <si>
    <t>"1PP" (2037,95*0,4)*140/1000</t>
  </si>
  <si>
    <t>"1PP" (7,74*0,3)*140/1000</t>
  </si>
  <si>
    <t>26</t>
  </si>
  <si>
    <t>275313911</t>
  </si>
  <si>
    <t>Základové patky z betonu tř. C 30/37</t>
  </si>
  <si>
    <t>951844822</t>
  </si>
  <si>
    <t>skladba RF30; 28 m2; patky 250x250x750 mm; 9 ks/m2</t>
  </si>
  <si>
    <t>28*9*0,25*0,25*0,75</t>
  </si>
  <si>
    <t>27</t>
  </si>
  <si>
    <t>275351121</t>
  </si>
  <si>
    <t>Zřízení bednění základových patek</t>
  </si>
  <si>
    <t>-84288736</t>
  </si>
  <si>
    <t>28*9*2*(0,25+0,25)*0,75</t>
  </si>
  <si>
    <t>28</t>
  </si>
  <si>
    <t>275351122</t>
  </si>
  <si>
    <t>Odstranění bednění základových patek</t>
  </si>
  <si>
    <t>-766316646</t>
  </si>
  <si>
    <t>29</t>
  </si>
  <si>
    <t>Pol32</t>
  </si>
  <si>
    <t>ŽB stěna - C30/37 XC3 XD1 XA1, Vodostavební; tl. 250mm;</t>
  </si>
  <si>
    <t>-376532360</t>
  </si>
  <si>
    <t>Poznámka k položce:_x000D_
Požadované charakteristiky dle  ČSN EN 1992 -1 -1, modul pružnosti: Ecm = 33GPa, pevnost v tahu fctm = 2,9MPa, součinitel dotvarování odpovídající dané pevnostní třídě. Součinitel smršťování odpovídající hodnotám dané pevnostní třídy. Pracovní spáry bedněné s prolisem, do spár osazeny těsnící plechy. Velikost pracovních záběrů do 12m. Betonová distanční tělíska. Nepoškozené systémové bednění.</t>
  </si>
  <si>
    <t>"1PP" 833,154*0,25</t>
  </si>
  <si>
    <t>30</t>
  </si>
  <si>
    <t>Pol33</t>
  </si>
  <si>
    <t>ŽB stěna - C30/37 XC3 XD1 XA1, Vodostavební; tl. 300mm;</t>
  </si>
  <si>
    <t>-1653576545</t>
  </si>
  <si>
    <t>"1PP" 2,155*0,3</t>
  </si>
  <si>
    <t>31</t>
  </si>
  <si>
    <t>Pol34</t>
  </si>
  <si>
    <t>ŽB stěna - C30/37 XC3 XD1 XA1, Vodostavební; tl. 300mm;Exterior</t>
  </si>
  <si>
    <t>-937232893</t>
  </si>
  <si>
    <t>"1PP" 0,675*0,3</t>
  </si>
  <si>
    <t>32</t>
  </si>
  <si>
    <t>Pol34a</t>
  </si>
  <si>
    <t>ŽB stěna - C30/37 XC3 XD1 XF3, Vodostavební; tl. 300mm; Exterior</t>
  </si>
  <si>
    <t>324385926</t>
  </si>
  <si>
    <t>"1PP" 143,96*0,3</t>
  </si>
  <si>
    <t>33</t>
  </si>
  <si>
    <t>Pol35</t>
  </si>
  <si>
    <t>ŽB stěna - C30/37 XC3 XD1 XA1, Vodostavební; tl. 360mm;</t>
  </si>
  <si>
    <t>-357585532</t>
  </si>
  <si>
    <t>"1PP" 104,630*0,36</t>
  </si>
  <si>
    <t>34</t>
  </si>
  <si>
    <t>Pol36</t>
  </si>
  <si>
    <t>ŽB stěna - C30/37 XC3 XD1 XA1, Vodostavební; tl. 400mm;</t>
  </si>
  <si>
    <t>470559497</t>
  </si>
  <si>
    <t>"1PP" 39,188*0,4</t>
  </si>
  <si>
    <t>35</t>
  </si>
  <si>
    <t>279351121</t>
  </si>
  <si>
    <t>Zřízení oboustranného bednění základových zdí</t>
  </si>
  <si>
    <t>2073268562</t>
  </si>
  <si>
    <t>833,154*2</t>
  </si>
  <si>
    <t>2,155*2</t>
  </si>
  <si>
    <t>144,635*2</t>
  </si>
  <si>
    <t>104,630*2</t>
  </si>
  <si>
    <t>39,188*2</t>
  </si>
  <si>
    <t>36</t>
  </si>
  <si>
    <t>279351122</t>
  </si>
  <si>
    <t>Odstranění oboustranného bednění základových zdí</t>
  </si>
  <si>
    <t>-1332378367</t>
  </si>
  <si>
    <t>37</t>
  </si>
  <si>
    <t>279361821</t>
  </si>
  <si>
    <t>Výztuž základových zdí nosných betonářskou ocelí 10 505</t>
  </si>
  <si>
    <t>1632632920</t>
  </si>
  <si>
    <t>"1PP" (833,154*0,25)*130/1000</t>
  </si>
  <si>
    <t>"1PP" (2,155*0,3)*130/1000</t>
  </si>
  <si>
    <t>"1PP" (39,188*0,4)*130/1000</t>
  </si>
  <si>
    <t>"1PP" (104,630*0,36)*130/1000</t>
  </si>
  <si>
    <t>"1PP" (143,96*0,3)*130/1000</t>
  </si>
  <si>
    <t>"1PP" (0,675*0,3)*130/1000</t>
  </si>
  <si>
    <t>Svislé a kompletní konstrukce</t>
  </si>
  <si>
    <t>38</t>
  </si>
  <si>
    <t>317941121</t>
  </si>
  <si>
    <t>Osazování ocelových válcovaných nosníků na zdivu I, IE, U, UE nebo L do č. 12 nebo výšky do 120 mm</t>
  </si>
  <si>
    <t>-85909980</t>
  </si>
  <si>
    <t>39</t>
  </si>
  <si>
    <t>13010744</t>
  </si>
  <si>
    <t>ocel profilová jakost S235JR (11 375) průřez IPE 120</t>
  </si>
  <si>
    <t>1925606406</t>
  </si>
  <si>
    <t>Poznámka k položce:_x000D_
Hmotnost: 10,60 kg/m</t>
  </si>
  <si>
    <t>viz detail D15, zámečnický prvek LP34 (profil IPE120)</t>
  </si>
  <si>
    <t>ztužení příček v 3.NP</t>
  </si>
  <si>
    <t>224,178*9,63/1000</t>
  </si>
  <si>
    <t>40</t>
  </si>
  <si>
    <t>317941123</t>
  </si>
  <si>
    <t>Osazování ocelových válcovaných nosníků na zdivu I, IE, U, UE nebo L přes č. 14 do č. 22 nebo výšky do 220 mm</t>
  </si>
  <si>
    <t>-1475966625</t>
  </si>
  <si>
    <t>41</t>
  </si>
  <si>
    <t>13010820</t>
  </si>
  <si>
    <t>ocel profilová jakost S235JR (11 375) průřez U (UPN) 140</t>
  </si>
  <si>
    <t>-457589474</t>
  </si>
  <si>
    <t>viz detail D15, zámečnický prvek LP35 (profil U140)</t>
  </si>
  <si>
    <t>105,069*16/1000</t>
  </si>
  <si>
    <t>42</t>
  </si>
  <si>
    <t>Pol10.1</t>
  </si>
  <si>
    <t>ŽB sloup 300x600mm - C50/60 XC3 XD1; Sloup v objektu B</t>
  </si>
  <si>
    <t>-1761601204</t>
  </si>
  <si>
    <t>"1PP" 0,454</t>
  </si>
  <si>
    <t>43</t>
  </si>
  <si>
    <t>Pol9</t>
  </si>
  <si>
    <t>ŽB sloup 300x600mm - C40/50 XC3 XD1;</t>
  </si>
  <si>
    <t>375018592</t>
  </si>
  <si>
    <t>"1PP" 6,581</t>
  </si>
  <si>
    <t>44</t>
  </si>
  <si>
    <t>331351125</t>
  </si>
  <si>
    <t>Zřízení bednění čtyřúhelníkových sloupů v do 4 m průřezu přes 0,16 do 0,36 m2</t>
  </si>
  <si>
    <t>-736567820</t>
  </si>
  <si>
    <t>2*(0,3+0,6)*2,52*14</t>
  </si>
  <si>
    <t>2*(0,3+0,6)*2,52</t>
  </si>
  <si>
    <t>45</t>
  </si>
  <si>
    <t>331351126</t>
  </si>
  <si>
    <t>Odstranění bednění čtyřúhelníkových sloupů v do 4 m průřezu přes 0,16 do 0,36 m2</t>
  </si>
  <si>
    <t>-1995205299</t>
  </si>
  <si>
    <t>46</t>
  </si>
  <si>
    <t>331361821</t>
  </si>
  <si>
    <t>Výztuž sloupů hranatých betonářskou ocelí 10 505</t>
  </si>
  <si>
    <t>1941836447</t>
  </si>
  <si>
    <t>6,581*300/1000</t>
  </si>
  <si>
    <t>0,454*300/1000</t>
  </si>
  <si>
    <t>47</t>
  </si>
  <si>
    <t>Pol12</t>
  </si>
  <si>
    <t>ŽB stěna - C30/37 XC3 XD1 XF3; Vodostavební; tl. 200mm;</t>
  </si>
  <si>
    <t>-1998764039</t>
  </si>
  <si>
    <t>"1PP" 177,673*0,2</t>
  </si>
  <si>
    <t>48</t>
  </si>
  <si>
    <t>Pol13</t>
  </si>
  <si>
    <t>ŽB stěna - C30/37 XC3 XD1 XA1;tl. 250mm;</t>
  </si>
  <si>
    <t>567125270</t>
  </si>
  <si>
    <t>"1PP" 169,08*0,25</t>
  </si>
  <si>
    <t>49</t>
  </si>
  <si>
    <t>Pol14</t>
  </si>
  <si>
    <t>ŽB stěna - C30/37 XC3 XD1 XF3; Vodostavební; tl. 250mm; Exterior</t>
  </si>
  <si>
    <t>250885385</t>
  </si>
  <si>
    <t>"1PP" 114,542*0,25</t>
  </si>
  <si>
    <t>50</t>
  </si>
  <si>
    <t>Pol14a</t>
  </si>
  <si>
    <t>ŽB stěna - C30/37 XC3 XD1 XF3; Vodostavební; tl. 300mm; Exterior</t>
  </si>
  <si>
    <t>-1834771876</t>
  </si>
  <si>
    <t>"1PP" 500,87*0,3</t>
  </si>
  <si>
    <t>51</t>
  </si>
  <si>
    <t>Pol15</t>
  </si>
  <si>
    <t>ŽB stěna - C30/37 XC3 XD1 XA1;tl. 300mm;</t>
  </si>
  <si>
    <t>-296241721</t>
  </si>
  <si>
    <t>"1PP" 4,56*0,3</t>
  </si>
  <si>
    <t>52</t>
  </si>
  <si>
    <t>Pol16</t>
  </si>
  <si>
    <t>ŽB stěna - C30/37 XC3 XD1 XF3; Vodostavební; tl. 300mm</t>
  </si>
  <si>
    <t>-1222010919</t>
  </si>
  <si>
    <t>"1PP" 37,17*0,3</t>
  </si>
  <si>
    <t>53</t>
  </si>
  <si>
    <t>Pol17</t>
  </si>
  <si>
    <t>ŽB stěna - C30/37 XC3 XD1 XF3; Vodostavební; tl. 330mm;</t>
  </si>
  <si>
    <t>-2074910503</t>
  </si>
  <si>
    <t>"1PP" 0,839*0,33</t>
  </si>
  <si>
    <t>54</t>
  </si>
  <si>
    <t>Pol18</t>
  </si>
  <si>
    <t>ŽB stěna - C30/37 XC3 XD1 XF3; Vodostavební; tl. 550mm; Exterior</t>
  </si>
  <si>
    <t>390046808</t>
  </si>
  <si>
    <t>"1PP" 11,507*0,55</t>
  </si>
  <si>
    <t>55</t>
  </si>
  <si>
    <t>Pol19</t>
  </si>
  <si>
    <t>ŽB stěna - C30/37 XC3 XD1;tl. 200mm;</t>
  </si>
  <si>
    <t>1857606568</t>
  </si>
  <si>
    <t>"1PP" 366,67*0,2</t>
  </si>
  <si>
    <t>9,09*0,2</t>
  </si>
  <si>
    <t>56</t>
  </si>
  <si>
    <t>Pol20</t>
  </si>
  <si>
    <t>ŽB stěna - C30/37 XC3 XD1 XF3; Vodostavební; tl. 250mm;</t>
  </si>
  <si>
    <t>-153825371</t>
  </si>
  <si>
    <t>"1PP" 64,34*0,25</t>
  </si>
  <si>
    <t>57</t>
  </si>
  <si>
    <t>Pol21</t>
  </si>
  <si>
    <t>ŽB stěna - C25/30 XC1; tl. 180mm;Výtahová šachta</t>
  </si>
  <si>
    <t>1684007360</t>
  </si>
  <si>
    <t>"1PP"</t>
  </si>
  <si>
    <t>116,121*0,18</t>
  </si>
  <si>
    <t>"Objekt A" 44,83*0,18</t>
  </si>
  <si>
    <t>28,42*0,18</t>
  </si>
  <si>
    <t>"Objekt B" 44,7*0,18</t>
  </si>
  <si>
    <t>22,14*0,18</t>
  </si>
  <si>
    <t>"Objekt C" 44,7*0,18</t>
  </si>
  <si>
    <t>21,78*0,18</t>
  </si>
  <si>
    <t>"Objekt D" 48,76*0,18</t>
  </si>
  <si>
    <t>21,89*0,18</t>
  </si>
  <si>
    <t>58</t>
  </si>
  <si>
    <t>Pol22</t>
  </si>
  <si>
    <t>ŽB stěna - C25/30 XC1; tl. 200mm;</t>
  </si>
  <si>
    <t>-596372879</t>
  </si>
  <si>
    <t>"Objekt A" 48,97*0,2</t>
  </si>
  <si>
    <t>26,53*0,2</t>
  </si>
  <si>
    <t>44,17*0,2</t>
  </si>
  <si>
    <t>"Objekt B" 47,07*0,2</t>
  </si>
  <si>
    <t>29,87*0,2</t>
  </si>
  <si>
    <t>"Objekt C" 46,23*0,2</t>
  </si>
  <si>
    <t>26,03*0,2</t>
  </si>
  <si>
    <t>20,32*0,2</t>
  </si>
  <si>
    <t>"Objekt D" 49,19*0,2</t>
  </si>
  <si>
    <t>26,9*0,2</t>
  </si>
  <si>
    <t>30,25*0,2</t>
  </si>
  <si>
    <t>59</t>
  </si>
  <si>
    <t>Pol23</t>
  </si>
  <si>
    <t>ŽB stěna - C25/30 XC1; tl. 250mm;</t>
  </si>
  <si>
    <t>1541248339</t>
  </si>
  <si>
    <t>"Objekt A" 112,13*0,25</t>
  </si>
  <si>
    <t>18,31*0,25</t>
  </si>
  <si>
    <t>"Objekt B" 47,06*0,25</t>
  </si>
  <si>
    <t>104,27*0,25</t>
  </si>
  <si>
    <t>"Objekt C" 98,43*0,25</t>
  </si>
  <si>
    <t>88,87*0,25</t>
  </si>
  <si>
    <t>"Objekt D" 87,27676016*0,25</t>
  </si>
  <si>
    <t>60</t>
  </si>
  <si>
    <t>Pol24</t>
  </si>
  <si>
    <t>Ztužující věnec příček 115x250mm; tl. 115mm;</t>
  </si>
  <si>
    <t>-931709065</t>
  </si>
  <si>
    <t>"Objekt A" 44,20642820818*0,15*0,25*2</t>
  </si>
  <si>
    <t>"Objekt B" 28,63466062897*0,15*0,25*2</t>
  </si>
  <si>
    <t>"Objekt C" 38,32030005686*0,15*0,25*2</t>
  </si>
  <si>
    <t>"Objekt D" 53,43470436778*0,15*0,25*2</t>
  </si>
  <si>
    <t>61</t>
  </si>
  <si>
    <t>Pol25</t>
  </si>
  <si>
    <t>ŽB stěna - C25/30 XC1; tl. 280mm;</t>
  </si>
  <si>
    <t>1770170250</t>
  </si>
  <si>
    <t xml:space="preserve">"Objekt A" </t>
  </si>
  <si>
    <t xml:space="preserve">"Objekt B" </t>
  </si>
  <si>
    <t>"Objekt C" 3,94135559*0,28</t>
  </si>
  <si>
    <t>4,2975*0,28</t>
  </si>
  <si>
    <t xml:space="preserve">"Objekt D" </t>
  </si>
  <si>
    <t>62</t>
  </si>
  <si>
    <t>Pol18.2</t>
  </si>
  <si>
    <t>C30/37 XC4 XD1 XF3, Vodostavební; oplocení a opěrné zídky parteru</t>
  </si>
  <si>
    <t>-702571417</t>
  </si>
  <si>
    <t>"parter"222,18</t>
  </si>
  <si>
    <t>63</t>
  </si>
  <si>
    <t>341351111</t>
  </si>
  <si>
    <t>Zřízení oboustranného bednění nosných stěn</t>
  </si>
  <si>
    <t>2053654758</t>
  </si>
  <si>
    <t>"1PP" 116,121*2</t>
  </si>
  <si>
    <t>"1PP" 177,674*2</t>
  </si>
  <si>
    <t>"1PP" 64,335*2</t>
  </si>
  <si>
    <t>"1PP" 114,542*2</t>
  </si>
  <si>
    <t>"1PP" 41,631*2</t>
  </si>
  <si>
    <t>"1PP" 500,870*2</t>
  </si>
  <si>
    <t>"1PP" 0,839*2</t>
  </si>
  <si>
    <t>"1PP" 11,507*2</t>
  </si>
  <si>
    <t>"1PP" 375,755*2</t>
  </si>
  <si>
    <t>"1PP" 172,052*2</t>
  </si>
  <si>
    <t>Mezisoučet</t>
  </si>
  <si>
    <t>"Objekt A" 66,8402*2</t>
  </si>
  <si>
    <t>"Objekt B" 66,8402*2</t>
  </si>
  <si>
    <t>"Objekt C" 66,4842*2</t>
  </si>
  <si>
    <t>"Objekt D" 70,6474*2</t>
  </si>
  <si>
    <t>"Objekt A" 103,53668331*2</t>
  </si>
  <si>
    <t>"Objekt B" 103,53668331*2</t>
  </si>
  <si>
    <t>"Objekt C" 92,59210619*2</t>
  </si>
  <si>
    <t>"Objekt D" 106,52642537*2</t>
  </si>
  <si>
    <t>"Objekt A" 151,33564443*2</t>
  </si>
  <si>
    <t>"Objekt B" 151,33564443*2</t>
  </si>
  <si>
    <t>"Objekt C" 187,29642088*2</t>
  </si>
  <si>
    <t>"Objekt D" 87,27676016*2</t>
  </si>
  <si>
    <t>"Objekt C" 8,23885559*2</t>
  </si>
  <si>
    <t>"opěrné zídky" 1777,44</t>
  </si>
  <si>
    <t>64</t>
  </si>
  <si>
    <t>341351112</t>
  </si>
  <si>
    <t>Odstranění oboustranného bednění nosných stěn</t>
  </si>
  <si>
    <t>1857684569</t>
  </si>
  <si>
    <t>65</t>
  </si>
  <si>
    <t>341361821</t>
  </si>
  <si>
    <t>Výztuž stěn betonářskou ocelí 10 505</t>
  </si>
  <si>
    <t>1753063640</t>
  </si>
  <si>
    <t>"1PP" (169,08*0,25)*150/1000</t>
  </si>
  <si>
    <t>"1PP" (366,67*0,2)*150/1000</t>
  </si>
  <si>
    <t>(9,09*0,2)*120/1000</t>
  </si>
  <si>
    <t>"1PP" (4,56*0,3)*150/1000</t>
  </si>
  <si>
    <t>"1PP" (177,673*0,2)*120/1000</t>
  </si>
  <si>
    <t>"1PP" (64,34*0,25)*120/1000</t>
  </si>
  <si>
    <t>"1PP" (37,17*0,3)*120/1000</t>
  </si>
  <si>
    <t>"1PP" (0,839*0,33)*120/1000</t>
  </si>
  <si>
    <t>"1PP" (500,87*0,3)*150/1000</t>
  </si>
  <si>
    <t>"1PP" (114,542*0,25)*150/1000</t>
  </si>
  <si>
    <t>"1PP" (11,507*0,55)*150/1000</t>
  </si>
  <si>
    <t>"1PP" (116,121*0,18)*150/1000</t>
  </si>
  <si>
    <t>"Objekt A" (44,83*0,18)*110/1000</t>
  </si>
  <si>
    <t>(28,42*0,18)*160/1000</t>
  </si>
  <si>
    <t>"Objekt B" (44,7*0,18)*110/1000</t>
  </si>
  <si>
    <t>(22,14*0,18)*160/1000</t>
  </si>
  <si>
    <t>"Objekt C" (44,7*0,18)*110/1000</t>
  </si>
  <si>
    <t>(21,78*0,18)*160/1000</t>
  </si>
  <si>
    <t>"Objekt D" (48,76*0,18)*110/1000</t>
  </si>
  <si>
    <t>(21,89*0,18)*160/1000</t>
  </si>
  <si>
    <t>"Objekt A" (48,97*0,2)*110/1000</t>
  </si>
  <si>
    <t>(26,53*0,2)*120/1000</t>
  </si>
  <si>
    <t>(44,17*0,2)*160/1000</t>
  </si>
  <si>
    <t>"Objekt B" (47,07*0,2)*110/1000</t>
  </si>
  <si>
    <t>(29,87*0,2)*160/1000</t>
  </si>
  <si>
    <t>"Objekt C" (46,23*0,2)*110/1000</t>
  </si>
  <si>
    <t>(26,03*0,2)*120/1000</t>
  </si>
  <si>
    <t>(20,32*0,2)*160/1000</t>
  </si>
  <si>
    <t>"Objekt D" (49,19*0,2)*110/1000</t>
  </si>
  <si>
    <t>(26,9*0,2)*120/1000</t>
  </si>
  <si>
    <t>(30,25*0,2)*160/1000</t>
  </si>
  <si>
    <t>"Objekt A" (112,13*0,25)*110/1000</t>
  </si>
  <si>
    <t>(18,31*0,25)*160/1000</t>
  </si>
  <si>
    <t>"Objekt B" (47,06*0,25)*110/1000</t>
  </si>
  <si>
    <t>(104,27*0,25)*160/1000</t>
  </si>
  <si>
    <t>"Objekt C" (98,43*0,25)*110/1000</t>
  </si>
  <si>
    <t>(88,87*0,25)*160/1000</t>
  </si>
  <si>
    <t>"Objekt D" (87,27676016*0,25)*110/1000</t>
  </si>
  <si>
    <t>"Objekt C" (3,94135559*0,28)*160/1000</t>
  </si>
  <si>
    <t>(4,2975*0,28)*110/1000</t>
  </si>
  <si>
    <t>"opěrné zídky" 222,18*120/1000</t>
  </si>
  <si>
    <t>66</t>
  </si>
  <si>
    <t>LI 01</t>
  </si>
  <si>
    <t>Porotherm KP11,5, délky 100cm  (profil 115x71mm)</t>
  </si>
  <si>
    <t>ks</t>
  </si>
  <si>
    <t>1775074410</t>
  </si>
  <si>
    <t>67</t>
  </si>
  <si>
    <t>LI 02</t>
  </si>
  <si>
    <t>Porotherm KP11,5, délky 125cm  (profil 115x71mm)</t>
  </si>
  <si>
    <t>208781556</t>
  </si>
  <si>
    <t>68</t>
  </si>
  <si>
    <t>LI 03</t>
  </si>
  <si>
    <t>Porotherm KP11,5, délky 150cm  (profil 115x71mm)</t>
  </si>
  <si>
    <t>1454988710</t>
  </si>
  <si>
    <t>69</t>
  </si>
  <si>
    <t>LI 04</t>
  </si>
  <si>
    <t>Porotherm KP11,5, délky 175cm  (profil 115x71mm)</t>
  </si>
  <si>
    <t>-1404805212</t>
  </si>
  <si>
    <t>70</t>
  </si>
  <si>
    <t>LI 05</t>
  </si>
  <si>
    <t>Porotherm KP11,5, délky 200cm  (profil 115x71mm)</t>
  </si>
  <si>
    <t>1856462873</t>
  </si>
  <si>
    <t>71</t>
  </si>
  <si>
    <t>LI 06</t>
  </si>
  <si>
    <t>Porotherm KP11,5, délky 115cm  (profil 115x71mm)</t>
  </si>
  <si>
    <t>1645469340</t>
  </si>
  <si>
    <t>72</t>
  </si>
  <si>
    <t>LI 11</t>
  </si>
  <si>
    <t>Porotherm KP7, délky 100cm  (profil 238x70mm)</t>
  </si>
  <si>
    <t>-952850457</t>
  </si>
  <si>
    <t>73</t>
  </si>
  <si>
    <t>LI 12</t>
  </si>
  <si>
    <t>Porotherm KP7, délky 125cm  (profil 238x70mm)</t>
  </si>
  <si>
    <t>997936154</t>
  </si>
  <si>
    <t>74</t>
  </si>
  <si>
    <t>LI 14</t>
  </si>
  <si>
    <t>Porotherm KP7, délky 175cm  (profil 238x70mm)</t>
  </si>
  <si>
    <t>-469222830</t>
  </si>
  <si>
    <t>75</t>
  </si>
  <si>
    <t>LI 16</t>
  </si>
  <si>
    <t>Porotherm KP7, délky 225cm  (profil 238x70mm)</t>
  </si>
  <si>
    <t>-1404133141</t>
  </si>
  <si>
    <t>76</t>
  </si>
  <si>
    <t>LI.17</t>
  </si>
  <si>
    <t>Porotherm KP7, délky 250cm  (profil 238x70mm)</t>
  </si>
  <si>
    <t>1094150579</t>
  </si>
  <si>
    <t>77</t>
  </si>
  <si>
    <t>LI 22</t>
  </si>
  <si>
    <t>Porotherm Vario UNI, universální schránka+Porotherm KP Vario délky 125cm  (profil 238x125mm)</t>
  </si>
  <si>
    <t>1517183353</t>
  </si>
  <si>
    <t>78</t>
  </si>
  <si>
    <t>LI 23</t>
  </si>
  <si>
    <t>Porotherm Vario UNI, universální schránka+Porotherm KP Vario délky 150cm  (profil 238x125mm)</t>
  </si>
  <si>
    <t>1057387211</t>
  </si>
  <si>
    <t>79</t>
  </si>
  <si>
    <t>LI 29</t>
  </si>
  <si>
    <t>Porotherm Vario UNI, universální schránka délky 300cm+2xPorotherm KP11,5  300cm (profil 115x71mm)</t>
  </si>
  <si>
    <t>351702169</t>
  </si>
  <si>
    <t>80</t>
  </si>
  <si>
    <t>R-3112371</t>
  </si>
  <si>
    <t xml:space="preserve">Stěny keramické nosné tl. 440mm - keramické tvárnice broušené P+D vyplněné minerální vatou, Porotherm 44TB Profi </t>
  </si>
  <si>
    <t>572676314</t>
  </si>
  <si>
    <t>"Objekt A"</t>
  </si>
  <si>
    <t>403,58</t>
  </si>
  <si>
    <t>"Objekt B"</t>
  </si>
  <si>
    <t>483,18</t>
  </si>
  <si>
    <t>"Objekt C"</t>
  </si>
  <si>
    <t>367,15</t>
  </si>
  <si>
    <t>"Objekt D"</t>
  </si>
  <si>
    <t>391,82</t>
  </si>
  <si>
    <t>81</t>
  </si>
  <si>
    <t>R-3112351</t>
  </si>
  <si>
    <t>Zdivo jednovrstvé z cihel broušených do P10 na tenkovrstvou maltu tl 380 mm, Porotherm 38 TB Profi, vč. hydroizolační vrstva, penetrace, cementový postřik</t>
  </si>
  <si>
    <t>1751003498</t>
  </si>
  <si>
    <t>"WF03"</t>
  </si>
  <si>
    <t>"Objekt A" 14,755+13,292</t>
  </si>
  <si>
    <t>"Objekt B" 7,56+17,555</t>
  </si>
  <si>
    <t>"Objekt C" 7,353</t>
  </si>
  <si>
    <t>"Objekt D" 24,01</t>
  </si>
  <si>
    <t>82</t>
  </si>
  <si>
    <t>R-3112361</t>
  </si>
  <si>
    <t>Stěny keramické vnitřní nosné- broušené akustické P+D tl. 250 mm, Porotherm 25 AKU SYM</t>
  </si>
  <si>
    <t>1316157250</t>
  </si>
  <si>
    <t>"WF20"</t>
  </si>
  <si>
    <t>271,15</t>
  </si>
  <si>
    <t>"vyzdívka připravených otvorů v ŽB stěně 1NP" 7,59</t>
  </si>
  <si>
    <t>181,58</t>
  </si>
  <si>
    <t>190,31</t>
  </si>
  <si>
    <t>286,83</t>
  </si>
  <si>
    <t>"Objekt A" 4,37</t>
  </si>
  <si>
    <t>"rampy" 56,00</t>
  </si>
  <si>
    <t>83</t>
  </si>
  <si>
    <t>R-3422443</t>
  </si>
  <si>
    <t>Příčky keramické, tl. 115 mm, Porotherm 11.5 AKU Profi</t>
  </si>
  <si>
    <t>-289512744</t>
  </si>
  <si>
    <t>"WF30 a WF31"</t>
  </si>
  <si>
    <t>664,00</t>
  </si>
  <si>
    <t>631,98</t>
  </si>
  <si>
    <t>716,88</t>
  </si>
  <si>
    <t>629,99</t>
  </si>
  <si>
    <t>821,13</t>
  </si>
  <si>
    <t>84</t>
  </si>
  <si>
    <t>346272236</t>
  </si>
  <si>
    <t>Přizdívka z pórobetonových tvárnic tl 50 mm</t>
  </si>
  <si>
    <t>-55555120</t>
  </si>
  <si>
    <t>"Objekt A" 8,1</t>
  </si>
  <si>
    <t>"Objekt B" 12,92</t>
  </si>
  <si>
    <t>"Objekt C" 9,23</t>
  </si>
  <si>
    <t>"Objekt D" 15,26</t>
  </si>
  <si>
    <t>85</t>
  </si>
  <si>
    <t>311235R01</t>
  </si>
  <si>
    <t>Zdivo Porotherm 17,5 Profi jednovrstvé z cihel broušených do P10 na tenkovrstvou maltu tl 175 mm</t>
  </si>
  <si>
    <t>-1036721641</t>
  </si>
  <si>
    <t>"1PP Objekt D podezdívka" 0,9</t>
  </si>
  <si>
    <t>Vodorovné konstrukce</t>
  </si>
  <si>
    <t>86</t>
  </si>
  <si>
    <t>Pol3</t>
  </si>
  <si>
    <t>Stropní deska - ŽB C25/30 XC1; tl. 200mm;</t>
  </si>
  <si>
    <t>1250979024</t>
  </si>
  <si>
    <t>"Objekt A" 285,8*0,2</t>
  </si>
  <si>
    <t>"Objekt B" 332,14*0,2</t>
  </si>
  <si>
    <t>"Objekt C" 272,2*0,2</t>
  </si>
  <si>
    <t>"Objekt D" 335,17*0,2</t>
  </si>
  <si>
    <t>87</t>
  </si>
  <si>
    <t>Pol4</t>
  </si>
  <si>
    <t>Stropní deska - ŽB C25/30 XC1; tl. 220mm;</t>
  </si>
  <si>
    <t>-177902413</t>
  </si>
  <si>
    <t>"Objekt A" 512,61*0,22</t>
  </si>
  <si>
    <t>"Objekt B" 520,25*0,22</t>
  </si>
  <si>
    <t>"Objekt C" 426,59*0,22</t>
  </si>
  <si>
    <t>"Objekt D" 526,44*0,22</t>
  </si>
  <si>
    <t>88</t>
  </si>
  <si>
    <t>Pol6</t>
  </si>
  <si>
    <t>Stropní deska - ŽB C25/30 XC1; tl. 250mm;</t>
  </si>
  <si>
    <t>482114736</t>
  </si>
  <si>
    <t>"Objekt B" 103,8*0,25</t>
  </si>
  <si>
    <t>"Objekt C" 88,39*0,25</t>
  </si>
  <si>
    <t>"Objekt D" 97,9*0,25</t>
  </si>
  <si>
    <t>89</t>
  </si>
  <si>
    <t>Pol7</t>
  </si>
  <si>
    <t>Stropní deska - ŽB C25/30 XC1; tl. 160mm; Balkonové desky</t>
  </si>
  <si>
    <t>-1511468482</t>
  </si>
  <si>
    <t>"Objekt A" 37,84067352*0,16</t>
  </si>
  <si>
    <t>"Objekt B" 19,44793036*0,16</t>
  </si>
  <si>
    <t>"Objekt C" 32,01545132*0,16</t>
  </si>
  <si>
    <t>"Objekt D" 33,45857079*0,16</t>
  </si>
  <si>
    <t>90</t>
  </si>
  <si>
    <t>Pol2</t>
  </si>
  <si>
    <t>Stropní deska - dobetonávka; tl. 220mm; Přebetonování šachet</t>
  </si>
  <si>
    <t>707401875</t>
  </si>
  <si>
    <t>"Objekt A" 14,93*0,22</t>
  </si>
  <si>
    <t>"Objekt B" 12,63*0,22</t>
  </si>
  <si>
    <t>"Objekt C" 12,43*0,22</t>
  </si>
  <si>
    <t>"Objekt D" 15,42*0,22</t>
  </si>
  <si>
    <t>91</t>
  </si>
  <si>
    <t>Pol26</t>
  </si>
  <si>
    <t>Deska - C30/37 XC3 XD1; tl. 250mm</t>
  </si>
  <si>
    <t>-946367818</t>
  </si>
  <si>
    <t>"1PP" 421,74*0,25</t>
  </si>
  <si>
    <t>92</t>
  </si>
  <si>
    <t>Pol26a</t>
  </si>
  <si>
    <t>Deska - C30/37 XC3 XD1; tl. 200mm</t>
  </si>
  <si>
    <t>-4331711</t>
  </si>
  <si>
    <t>"1PP" 394,29*0,25</t>
  </si>
  <si>
    <t>93</t>
  </si>
  <si>
    <t>411351011</t>
  </si>
  <si>
    <t>Zřízení bednění stropů deskových tl přes 5 do 25 cm bez podpěrné kce</t>
  </si>
  <si>
    <t>-1516554934</t>
  </si>
  <si>
    <t>"200mm"</t>
  </si>
  <si>
    <t>"Objekt A" 334,94449508</t>
  </si>
  <si>
    <t>"Objekt B" 334,94449508</t>
  </si>
  <si>
    <t>"Objekt C" 274,40580363</t>
  </si>
  <si>
    <t>"Objekt D" 337,75588124</t>
  </si>
  <si>
    <t>"220mm"</t>
  </si>
  <si>
    <t>"Objekt A" 520,46741907</t>
  </si>
  <si>
    <t>"Objekt B" 520,46741907</t>
  </si>
  <si>
    <t>"Objekt C" 429,02405278</t>
  </si>
  <si>
    <t>"Objekt D" 527,37779269</t>
  </si>
  <si>
    <t>"250mm"</t>
  </si>
  <si>
    <t>"Objekt A" 103,8777875</t>
  </si>
  <si>
    <t>"Objekt B" 103,8777875</t>
  </si>
  <si>
    <t>"Objekt C" 89,201525</t>
  </si>
  <si>
    <t>"Objekt D" 98,37609609</t>
  </si>
  <si>
    <t>"RF22"</t>
  </si>
  <si>
    <t>"Objekt A" 39,17162285</t>
  </si>
  <si>
    <t>"Objekt B" 39,17162285</t>
  </si>
  <si>
    <t xml:space="preserve">"Objekt C" </t>
  </si>
  <si>
    <t>"1PP" 16,807</t>
  </si>
  <si>
    <t>"1PP" 807,282</t>
  </si>
  <si>
    <t>94</t>
  </si>
  <si>
    <t>411351012</t>
  </si>
  <si>
    <t>Odstranění bednění stropů deskových tl přes 5 do 25 cm bez podpěrné kce</t>
  </si>
  <si>
    <t>832662964</t>
  </si>
  <si>
    <t>95</t>
  </si>
  <si>
    <t>411354313</t>
  </si>
  <si>
    <t>Zřízení podpěrné konstrukce stropů výšky do 4 m tl přes 15 do 25 cm</t>
  </si>
  <si>
    <t>1998765061</t>
  </si>
  <si>
    <t>96</t>
  </si>
  <si>
    <t>411354314</t>
  </si>
  <si>
    <t>Odstranění podpěrné konstrukce stropů výšky do 4 m tl přes 15 do 25 cm</t>
  </si>
  <si>
    <t>-613573344</t>
  </si>
  <si>
    <t>97</t>
  </si>
  <si>
    <t>411361821</t>
  </si>
  <si>
    <t>Výztuž stropů betonářskou ocelí 10 505</t>
  </si>
  <si>
    <t>2038940785</t>
  </si>
  <si>
    <t>"Objekt A" (285,8*0,2)*120/1000</t>
  </si>
  <si>
    <t>"Objekt B" (332,14*0,2)*120/1000</t>
  </si>
  <si>
    <t>"Objekt C" (272,2*0,2)*120/1000</t>
  </si>
  <si>
    <t>"Objekt D" (335,17*0,2)*120/1000</t>
  </si>
  <si>
    <t>"Objekt A" (512,61*0,22)*120/1000</t>
  </si>
  <si>
    <t>"Objekt B" (520,25*0,22)*120/1000</t>
  </si>
  <si>
    <t>"Objekt C" (426,59*0,22)*120/1000</t>
  </si>
  <si>
    <t>"Objekt D" (526,44*0,22)*120/1000</t>
  </si>
  <si>
    <t>"Objekt B" (103,8*0,25)*120/1000</t>
  </si>
  <si>
    <t>"Objekt C" (88,39*0,25)*120/1000</t>
  </si>
  <si>
    <t>"Objekt D" (97,9*0,25)*120/1000</t>
  </si>
  <si>
    <t>"1PP" (16,807*0,25)*140/1000</t>
  </si>
  <si>
    <t>"1PP" (421,74*0,25)*140/1000</t>
  </si>
  <si>
    <t>"1PP" (394,29*0,25)*140/1000</t>
  </si>
  <si>
    <t>"Objekt A" (37,84067352*0,16)*120/1000</t>
  </si>
  <si>
    <t>"Objekt B" (19,44793036*0,16)*120/1000</t>
  </si>
  <si>
    <t>"Objekt C" (32,01545132*0,16)*120/1000</t>
  </si>
  <si>
    <t>"Objekt D" (33,45857079*0,16)*120/1000</t>
  </si>
  <si>
    <t>"1PP" (1,500*0,3)*250/1000</t>
  </si>
  <si>
    <t>98</t>
  </si>
  <si>
    <t>411354711</t>
  </si>
  <si>
    <t>Zřízení bednění balkonových desek přímočarých včetně podpěrné konstrukce v do 4 m</t>
  </si>
  <si>
    <t>-721829465</t>
  </si>
  <si>
    <t>"Objekt A" 19,44793036</t>
  </si>
  <si>
    <t>"Objekt B" 19,44793036</t>
  </si>
  <si>
    <t>"Objekt C" 32,01545132</t>
  </si>
  <si>
    <t>"Objekt D" 33,45857079</t>
  </si>
  <si>
    <t>99</t>
  </si>
  <si>
    <t>411354712</t>
  </si>
  <si>
    <t>Odstranění bednění balkonových desek přímočarých včetně podpěrné konstrukce v do 4 m</t>
  </si>
  <si>
    <t>-1422639724</t>
  </si>
  <si>
    <t>Pol28</t>
  </si>
  <si>
    <t>Hlavice sloupu - C50/60 XC3 XD1; tl. 300mm; Sloup objektu B</t>
  </si>
  <si>
    <t>-1200133987</t>
  </si>
  <si>
    <t>"1PP" 1,500*0,3</t>
  </si>
  <si>
    <t>101</t>
  </si>
  <si>
    <t>411352021</t>
  </si>
  <si>
    <t>Zřízení bednění pravoúhlých hlavic tl přes 25 do 50 cm bez podpěrné kce</t>
  </si>
  <si>
    <t>1853889627</t>
  </si>
  <si>
    <t>"1PP" 2*(1,5)*0,3</t>
  </si>
  <si>
    <t>102</t>
  </si>
  <si>
    <t>411352022</t>
  </si>
  <si>
    <t>Odstranění bednění pravoúhlých hlavic tl přes 25 do 50 cm bez podpěrné kce</t>
  </si>
  <si>
    <t>-2072147129</t>
  </si>
  <si>
    <t>103</t>
  </si>
  <si>
    <t>411354413</t>
  </si>
  <si>
    <t>Zřízení podpěrné konstrukce hlavic výšky do 4 m tl hlavic přes 25 do 50 cm</t>
  </si>
  <si>
    <t>-691006711</t>
  </si>
  <si>
    <t>1,5</t>
  </si>
  <si>
    <t>104</t>
  </si>
  <si>
    <t>411354414</t>
  </si>
  <si>
    <t>Odstranění podpěrné konstrukce hlavic výšky do 4 m tl hlavic přes 25 do 50 cm</t>
  </si>
  <si>
    <t>-1267242458</t>
  </si>
  <si>
    <t>105</t>
  </si>
  <si>
    <t>Pol29</t>
  </si>
  <si>
    <t xml:space="preserve">ŽB průvlak - C40/50 XC3 XD1; </t>
  </si>
  <si>
    <t>-499586464</t>
  </si>
  <si>
    <t>"1PP" 58,462</t>
  </si>
  <si>
    <t>106</t>
  </si>
  <si>
    <t>Pol29a</t>
  </si>
  <si>
    <t>ŽB Průvlak - C30/37 XC3 XD1; tl. 250mm</t>
  </si>
  <si>
    <t>1276772320</t>
  </si>
  <si>
    <t>"1PP" 2,97*0,25</t>
  </si>
  <si>
    <t>107</t>
  </si>
  <si>
    <t>413351121</t>
  </si>
  <si>
    <t>Zřízení bednění nosníků a průvlaků bez podpěrné kce výšky přes 100 cm</t>
  </si>
  <si>
    <t>698291064</t>
  </si>
  <si>
    <t>"1PP" 2,97+2*2,97*0,25</t>
  </si>
  <si>
    <t>"1PP" 58,462/0,6+2*(58,462/0,6)*0,6</t>
  </si>
  <si>
    <t>"Objekt A" 6,03767561/0,36+2*(6,03767561/0,36)*0,36</t>
  </si>
  <si>
    <t>"Objekt B" 4,92063786/0,36+2*(4,92063786/0,36)*0,36</t>
  </si>
  <si>
    <t>"Objekt C" 10,14022873/0,36+2*(10,14022873/0,36)*0,36</t>
  </si>
  <si>
    <t>"Objekt D" 8,06651461/0,36+2*(8,06651461/0,36)*0,36</t>
  </si>
  <si>
    <t>"Objekt A" 6,92+2*6,92*0,36</t>
  </si>
  <si>
    <t>108</t>
  </si>
  <si>
    <t>413351122</t>
  </si>
  <si>
    <t>Odstranění bednění nosníků a průvlaků bez podpěrné kce výšky přes 100 cm</t>
  </si>
  <si>
    <t>189078073</t>
  </si>
  <si>
    <t>109</t>
  </si>
  <si>
    <t>413352115</t>
  </si>
  <si>
    <t>Zřízení podpěrné konstrukce nosníků výšky podepření do 4 m pro nosník výšky přes 100 cm</t>
  </si>
  <si>
    <t>15548803</t>
  </si>
  <si>
    <t>"1PP" 2,97</t>
  </si>
  <si>
    <t>"1PP" 58,462/0,6</t>
  </si>
  <si>
    <t>"Objekt A" 6,03767561/0,36</t>
  </si>
  <si>
    <t>"Objekt B" 4,92063786/0,36</t>
  </si>
  <si>
    <t>"Objekt C" 10,14022873/0,36</t>
  </si>
  <si>
    <t>"Objekt D" 8,06651461/0,36</t>
  </si>
  <si>
    <t>"Objekt A" 6,92</t>
  </si>
  <si>
    <t>110</t>
  </si>
  <si>
    <t>413352116</t>
  </si>
  <si>
    <t>Odstranění podpěrné konstrukce nosníků výšky podepření do 4 m pro nosník výšky přes 100 cm</t>
  </si>
  <si>
    <t>-331701552</t>
  </si>
  <si>
    <t>111</t>
  </si>
  <si>
    <t>413361821</t>
  </si>
  <si>
    <t>Výztuž nosníků, volných trámů nebo průvlaků volných trámů betonářskou ocelí 10 505</t>
  </si>
  <si>
    <t>39240926</t>
  </si>
  <si>
    <t>"Objekt A" (6,03767561)*120/1000</t>
  </si>
  <si>
    <t>"Objekt B" (4,92063786)*120/1000</t>
  </si>
  <si>
    <t>"Objekt C" (10,14022873)*120/1000</t>
  </si>
  <si>
    <t>"Objekt D" (8,06651461)*120/1000</t>
  </si>
  <si>
    <t>"Objekt A" (6,92*0,36)*120/1000</t>
  </si>
  <si>
    <t>"1PP" 58,462*250/1000</t>
  </si>
  <si>
    <t>112</t>
  </si>
  <si>
    <t>Pol8</t>
  </si>
  <si>
    <t>ŽB trám - ŽB C25/30 XC1; Různé profily</t>
  </si>
  <si>
    <t>-1400255990</t>
  </si>
  <si>
    <t>"Objekt A" 6,03767561</t>
  </si>
  <si>
    <t>"Objekt B" 4,92063786</t>
  </si>
  <si>
    <t>"Objekt C" 10,14022873</t>
  </si>
  <si>
    <t>"Objekt D" 8,06651461</t>
  </si>
  <si>
    <t>"Objekt A" 6,92*0,36</t>
  </si>
  <si>
    <t>113</t>
  </si>
  <si>
    <t>417351115</t>
  </si>
  <si>
    <t>Zřízení bednění ztužujících věnců</t>
  </si>
  <si>
    <t>-1584964579</t>
  </si>
  <si>
    <t>"Objekt A" 28,63466062897*(0,15+0,25)*2</t>
  </si>
  <si>
    <t>"Objekt B" 28,63466062897*(0,15+0,25)*2</t>
  </si>
  <si>
    <t>"Objekt C" 38,32030005686*(0,15+0,25)*2</t>
  </si>
  <si>
    <t>"Objekt D" 53,43470436778*(0,15+0,25)*2</t>
  </si>
  <si>
    <t>114</t>
  </si>
  <si>
    <t>417351116</t>
  </si>
  <si>
    <t>Odstranění bednění ztužujících věnců</t>
  </si>
  <si>
    <t>612416547</t>
  </si>
  <si>
    <t>115</t>
  </si>
  <si>
    <t>417361821</t>
  </si>
  <si>
    <t>Výztuž ztužujících pásů a věnců betonářskou ocelí 10 505</t>
  </si>
  <si>
    <t>1974613669</t>
  </si>
  <si>
    <t>"Objekt A" 44,20642820818*0,15*0,25</t>
  </si>
  <si>
    <t>"Objekt B" 28,63466062897*0,15*0,25</t>
  </si>
  <si>
    <t>"Objekt C" 38,32030005686*0,15*0,25</t>
  </si>
  <si>
    <t>"Objekt D" 53,43470436778*0,15*0,25</t>
  </si>
  <si>
    <t>116</t>
  </si>
  <si>
    <t>430321414</t>
  </si>
  <si>
    <t>Schodišťová konstrukce ze ŽB tř. C 25/30</t>
  </si>
  <si>
    <t>1394433778</t>
  </si>
  <si>
    <t>"Objekt A, B, C" 29,4</t>
  </si>
  <si>
    <t>"Objekt D" 8,2</t>
  </si>
  <si>
    <t>"vyrovnávací schody v objektu D" 0,95</t>
  </si>
  <si>
    <t>117</t>
  </si>
  <si>
    <t>4303214R</t>
  </si>
  <si>
    <t>Rampa ze ŽB tř. C30/37 XC4 XD3 XF4 SA1 XM1, Vodostavební; 300mm</t>
  </si>
  <si>
    <t>-1075318235</t>
  </si>
  <si>
    <t>"1PP rampa" 37,34</t>
  </si>
  <si>
    <t>118</t>
  </si>
  <si>
    <t>431351121</t>
  </si>
  <si>
    <t>Zřízení bednění podest schodišť a ramp přímočarých v do 4 m</t>
  </si>
  <si>
    <t>-1577035840</t>
  </si>
  <si>
    <t>"1PP" 37,34/0,3</t>
  </si>
  <si>
    <t>"Objekt A schodiště" 34,91</t>
  </si>
  <si>
    <t>"Objekt B schodiště" 33,27</t>
  </si>
  <si>
    <t>"Objekt C schodiště" 33,27</t>
  </si>
  <si>
    <t>"Objekt D schodiště" 32,57</t>
  </si>
  <si>
    <t>"vyrovnávací schody v objektu D" 2,156</t>
  </si>
  <si>
    <t>119</t>
  </si>
  <si>
    <t>431351122</t>
  </si>
  <si>
    <t>Odstranění bednění podest schodišť a ramp přímočarých v do 4 m</t>
  </si>
  <si>
    <t>-618694707</t>
  </si>
  <si>
    <t>120</t>
  </si>
  <si>
    <t>430361821</t>
  </si>
  <si>
    <t>Výztuž schodišťové konstrukce a rampy betonářskou ocelí 10 505</t>
  </si>
  <si>
    <t>1556787581</t>
  </si>
  <si>
    <t>"1PP" 37,34*140/1000</t>
  </si>
  <si>
    <t>"Objekt A, B, C" 29,4*140/1000</t>
  </si>
  <si>
    <t>"Objekt D" 8,2*140/1000</t>
  </si>
  <si>
    <t>"vyrovnávací schody a podesta v objektu D" 0,95*140/1000</t>
  </si>
  <si>
    <t>121</t>
  </si>
  <si>
    <t>433R100</t>
  </si>
  <si>
    <t>Balkónové isonosníky ohybové Mdy=20kNm/bm, Vz=20kN/bm</t>
  </si>
  <si>
    <t>-922829738</t>
  </si>
  <si>
    <t>122</t>
  </si>
  <si>
    <t>433R101</t>
  </si>
  <si>
    <t>Balkónové isonosníky ohybové Mdy=17kNm/bm, Vz=19kN/bm</t>
  </si>
  <si>
    <t>211538720</t>
  </si>
  <si>
    <t>123</t>
  </si>
  <si>
    <t>433R102</t>
  </si>
  <si>
    <t>Balkónové isonosníky ohybové Mdy=12kNm/bm, Vz=15kN/bm</t>
  </si>
  <si>
    <t>1747620796</t>
  </si>
  <si>
    <t>124</t>
  </si>
  <si>
    <t>433R103</t>
  </si>
  <si>
    <t>Balkónové isonosníky smykové 25kNm/ks</t>
  </si>
  <si>
    <t>1510325631</t>
  </si>
  <si>
    <t>125</t>
  </si>
  <si>
    <t>433R110</t>
  </si>
  <si>
    <t>Atikový isonosník Vd=5,5kN/bm, Md=1,8kN/bm</t>
  </si>
  <si>
    <t>1190212549</t>
  </si>
  <si>
    <t>126</t>
  </si>
  <si>
    <t>R100</t>
  </si>
  <si>
    <t>D+M ocelové konstrukce krovu vč. kotvení</t>
  </si>
  <si>
    <t>kg</t>
  </si>
  <si>
    <t>-804636630</t>
  </si>
  <si>
    <t>Poznámka k položce:_x000D_
Kompletní dodávka, zahrnuje materiál a výrobu včetně výrobní dokumentace, dopravy, montáže atd._x000D_
Konstrukční přirážka na prořez, spojovací materiál, kotevní prvky, podlití apod.je zahrnuta ve výměře.</t>
  </si>
  <si>
    <t>"Objekt A" 23994,68</t>
  </si>
  <si>
    <t>"Objekt B" 29258,68</t>
  </si>
  <si>
    <t>"Objekt C" 18160,8</t>
  </si>
  <si>
    <t>"Objekt D" 27191,85</t>
  </si>
  <si>
    <t>Úpravy povrchů, podlahy a osazování výplní</t>
  </si>
  <si>
    <t>127</t>
  </si>
  <si>
    <t>621R100</t>
  </si>
  <si>
    <t>Tenkovrstvá akrylátová zatíraná omítka zrnitost 1,0 mm vnějších podhledů a balkónů vč. plněný, pigmentovaný, organický mezinátěr a speciální, vodou ředitelný dezinfekční roztok k ošetření ploch, napadených řasami a plísněmi, viz. povrchy F16</t>
  </si>
  <si>
    <t>1945387185</t>
  </si>
  <si>
    <t>"boky balkónů" 170,1</t>
  </si>
  <si>
    <t>128</t>
  </si>
  <si>
    <t>R-6313421</t>
  </si>
  <si>
    <t>Polystyrenbeton PSB 50 tl. 40mm; max. 400 kg/m3, např. Liapor Mix</t>
  </si>
  <si>
    <t>-431152485</t>
  </si>
  <si>
    <t>FF10*0,04</t>
  </si>
  <si>
    <t>FF20*0,04</t>
  </si>
  <si>
    <t>FF21*0,04</t>
  </si>
  <si>
    <t>FF30*0,04</t>
  </si>
  <si>
    <t>FF31*0,04</t>
  </si>
  <si>
    <t>129</t>
  </si>
  <si>
    <t>632481213</t>
  </si>
  <si>
    <t>Separační vrstva z PE fólie</t>
  </si>
  <si>
    <t>1568618403</t>
  </si>
  <si>
    <t>130</t>
  </si>
  <si>
    <t>R63313111</t>
  </si>
  <si>
    <t>vsyp pro pancéřové betonové podlahy se střední a vyšší provozní zátěží, směs speciálních cementů, kompatibilních chemických přísad a tříděných tvrdých plniv s vyšším obsahem zrn vysokého lesku, prováděno ve dvou krocích, tl. 2mm</t>
  </si>
  <si>
    <t>-1636691411</t>
  </si>
  <si>
    <t>Poznámka k položce:_x000D_
Celkové množství vsypu 5kg/m2, povrch zdrsněn metličkovou úpravou. Vsyp vč. ošetření čerstvé směsi akrylátovým nátěrem (0,1-0,2l/m2). Zvýšená odolnost povrchu proti vsakování ropných látek a silničních solí. Systémové uzavření dilatačních spar v ploše a na obvodu. Odolnost v obrusu max. 0,04mm.</t>
  </si>
  <si>
    <t>"rampa" 148,71</t>
  </si>
  <si>
    <t>131</t>
  </si>
  <si>
    <t>R-6123211a</t>
  </si>
  <si>
    <t>Jemná jádrová omítka např. Cemix 082 j, tl. 10mm, zrnitosti do 1,2mm, povrch zahlazen filcovým hladítkem, max. nerovnosti povrchu do 3mm</t>
  </si>
  <si>
    <t>1745955383</t>
  </si>
  <si>
    <t>"F06"</t>
  </si>
  <si>
    <t>65,31+98,25+108,44</t>
  </si>
  <si>
    <t>142,16+144,68+158,53</t>
  </si>
  <si>
    <t>102,03+139,02+204,35</t>
  </si>
  <si>
    <t>125,15+140,22+202,76</t>
  </si>
  <si>
    <t>132</t>
  </si>
  <si>
    <t>R-6123211</t>
  </si>
  <si>
    <t xml:space="preserve">Omítka vápenocementová vnitřních ploch Cemix, tl. 10 mm, vč. adhézního můstku např. Cemix spojovací můstek  </t>
  </si>
  <si>
    <t>448443054</t>
  </si>
  <si>
    <t>"F19"</t>
  </si>
  <si>
    <t>443,18+16+16+741,89</t>
  </si>
  <si>
    <t>133</t>
  </si>
  <si>
    <t>R-6123411</t>
  </si>
  <si>
    <t>Omítka sádrová vnitřních ploch např. Cemix 016 j, tl. 10 mm, vč. adhézního můstku např. Cemix spojovací můstek</t>
  </si>
  <si>
    <t>173715391</t>
  </si>
  <si>
    <t>"F04"</t>
  </si>
  <si>
    <t>636,98</t>
  </si>
  <si>
    <t>348</t>
  </si>
  <si>
    <t>288,8</t>
  </si>
  <si>
    <t>314,12</t>
  </si>
  <si>
    <t>281,63</t>
  </si>
  <si>
    <t>"F05"</t>
  </si>
  <si>
    <t>740,54+579,74+787,57</t>
  </si>
  <si>
    <t>698,27+695,09+593,82</t>
  </si>
  <si>
    <t>481,12+547,15+556,25</t>
  </si>
  <si>
    <t>641,17+694,97+763,06</t>
  </si>
  <si>
    <t>134</t>
  </si>
  <si>
    <t>R-6225110</t>
  </si>
  <si>
    <t>Tenkovrstvá pastovitá omítka Cemix ACTIVCEM, barevnost SE10 antracitová - specifikaci potvrdí architekt v rámci vzorkování, vč. penetrace např. Cemix ASN Top</t>
  </si>
  <si>
    <t>1212417783</t>
  </si>
  <si>
    <t>"F13"</t>
  </si>
  <si>
    <t>135</t>
  </si>
  <si>
    <t>R-6324501a</t>
  </si>
  <si>
    <t>Vyrovnávací cementový potěr tl. 55mm třídy pevnosti v tahu při ohybu F5 podle EN 13813, vč. dilatační okrajové pásky, dilatovat v roztečích max. 6x6m nebo při proměru stran větších než 1:2.</t>
  </si>
  <si>
    <t>1947837907</t>
  </si>
  <si>
    <t>136</t>
  </si>
  <si>
    <t>R-6324501b</t>
  </si>
  <si>
    <t>Vyrovnávací cementový potěr tl. 50mm třídy pevnosti v tahu při ohybu F5 podle EN 13813, vč. dilatační okrajové pásky, dilatovat v roztečích max. 6x6m nebo při proměru stran větších než 1:2.</t>
  </si>
  <si>
    <t>1237589883</t>
  </si>
  <si>
    <t>137</t>
  </si>
  <si>
    <t>R-6324501c</t>
  </si>
  <si>
    <t>Vyrovnávací cementový potěr tl. 58mm třídy pevnosti v tahu při ohybu F5 podle EN 13813</t>
  </si>
  <si>
    <t>808478296</t>
  </si>
  <si>
    <t>138</t>
  </si>
  <si>
    <t>631362021</t>
  </si>
  <si>
    <t>Výztuž mazanin svařovanými sítěmi Kari 150x150x4mm</t>
  </si>
  <si>
    <t>504106436</t>
  </si>
  <si>
    <t>"FF10"</t>
  </si>
  <si>
    <t>((1085,71+44,15/6)*8,12/1000)*1,15</t>
  </si>
  <si>
    <t>"FF20"</t>
  </si>
  <si>
    <t>((405,860/6)*8,12/1000)*1,15</t>
  </si>
  <si>
    <t>"FF21"</t>
  </si>
  <si>
    <t>((461,500/6)*8,12/1000)*1,15</t>
  </si>
  <si>
    <t>"FF30"</t>
  </si>
  <si>
    <t>((577,500/6)*8,12/1000)*1,15</t>
  </si>
  <si>
    <t>"FF31"</t>
  </si>
  <si>
    <t>((1169,230/6)*8,12/1000)*1,15</t>
  </si>
  <si>
    <t>139</t>
  </si>
  <si>
    <t>634663111</t>
  </si>
  <si>
    <t>Výplň dilatačních spar šířky do 10 mm v mazaninách polyuretovou samonivelační hmotou</t>
  </si>
  <si>
    <t>-513156147</t>
  </si>
  <si>
    <t>35,85</t>
  </si>
  <si>
    <t>140</t>
  </si>
  <si>
    <t>R63631113</t>
  </si>
  <si>
    <t>Kladení dlažby z keramických dlaždic 60x60 cm na sucho na terče z umělé hmoty do výšky do 25 mm</t>
  </si>
  <si>
    <t>483909902</t>
  </si>
  <si>
    <t>Poznámka k položce:_x000D_
položka zahrnuje kompletní realizaci (D+M) teleskopických plastových terčů na gumových podložkách</t>
  </si>
  <si>
    <t>skladba F07</t>
  </si>
  <si>
    <t>42,75</t>
  </si>
  <si>
    <t>58,13</t>
  </si>
  <si>
    <t>53,31</t>
  </si>
  <si>
    <t>49,61</t>
  </si>
  <si>
    <t>141</t>
  </si>
  <si>
    <t>597R110</t>
  </si>
  <si>
    <t>Slinutá keramická dlažba kalibrovaná např. Rako Quarzit Outdoor tl. 20mm, rozměru 600x600mm, protiskluznost tř. R 11, Světle šedá, dekor viz. architekt, vč. teleskopických plastových terčí pro dlažbu na pryžových podložkách GUTTA</t>
  </si>
  <si>
    <t>1855347891</t>
  </si>
  <si>
    <t>203,8*1,15 'Přepočtené koeficientem množství</t>
  </si>
  <si>
    <t>Ostatní konstrukce a práce, bourání</t>
  </si>
  <si>
    <t>142</t>
  </si>
  <si>
    <t>628612201R</t>
  </si>
  <si>
    <t>Označení na sloupech - Z9</t>
  </si>
  <si>
    <t>1949664332</t>
  </si>
  <si>
    <t xml:space="preserve">Poznámka k položce:_x000D_
Z9 -označení na sloupech šikmé (45°) pruhy černé x žluté (0,25m), </t>
  </si>
  <si>
    <t>1,38*14</t>
  </si>
  <si>
    <t>143</t>
  </si>
  <si>
    <t>RIOS00001</t>
  </si>
  <si>
    <t>Informační a orientační systém budov dle výběru architekta</t>
  </si>
  <si>
    <t>1887192656</t>
  </si>
  <si>
    <t>Poznámka k položce:_x000D_
položka zahrnuje číslování objektů, pater a bytů, označní místností v 1.PP apod</t>
  </si>
  <si>
    <t>144</t>
  </si>
  <si>
    <t>949101111</t>
  </si>
  <si>
    <t>Lešení pomocné pro objekty pozemních staveb s lešeňovou podlahou v do 1,9 m zatížení do 150 kg/m2</t>
  </si>
  <si>
    <t>1644940027</t>
  </si>
  <si>
    <t>4477,12/3</t>
  </si>
  <si>
    <t>145</t>
  </si>
  <si>
    <t>952901111</t>
  </si>
  <si>
    <t>Vyčištění budov bytové a občanské výstavby při výšce podlaží do 4 m</t>
  </si>
  <si>
    <t>-1088594184</t>
  </si>
  <si>
    <t>146</t>
  </si>
  <si>
    <t>OP 01</t>
  </si>
  <si>
    <t>Objektová dilatace do podlahy výšky 20mm a šířky do 200mm; flexibilní vysoce kvalitní elastomerová, vyměnitelná vložka; 20 mm (+10/-10), PÚ: hliník, pryž</t>
  </si>
  <si>
    <t>1921001868</t>
  </si>
  <si>
    <t>Poznámka k položce:_x000D_
např. Migua FK 35/20</t>
  </si>
  <si>
    <t>147</t>
  </si>
  <si>
    <t>OP 02</t>
  </si>
  <si>
    <t>Pryžová stěnová a stropní objektová dilatace pro zasunutí do spáry; hliníkový profil s nerezovými pružinami, šířka spáry 15-35mm, šíře profilu 50mm., PÚ: pryž</t>
  </si>
  <si>
    <t>-1350161293</t>
  </si>
  <si>
    <t>Poznámka k položce:_x000D_
např. Migua FB 20/3028</t>
  </si>
  <si>
    <t>148</t>
  </si>
  <si>
    <t>OP 03</t>
  </si>
  <si>
    <t>Hliníková stěnová a stropní objektová dilatace standardní; hliníkový profil s nerezovými pružinami, šířka spáry 15-35mm, šíře profilu 50mm., PÚ: hliník</t>
  </si>
  <si>
    <t>479811820</t>
  </si>
  <si>
    <t>Poznámka k položce:_x000D_
např. Migua KF 250/30</t>
  </si>
  <si>
    <t>149</t>
  </si>
  <si>
    <t>OP 04</t>
  </si>
  <si>
    <t>Hliníková stěnová a stropní objektová dilatace rohová; hliníkový profil s nerezovými pružinami, šířka spáry 15-35mm, šíře profilu 40mm., PÚ: hliník</t>
  </si>
  <si>
    <t>-1723475275</t>
  </si>
  <si>
    <t>Poznámka k položce:_x000D_
např. Migua KFE 250/31</t>
  </si>
  <si>
    <t>150</t>
  </si>
  <si>
    <t>OP 05</t>
  </si>
  <si>
    <t>Přenosný hasicí přístroj P6 21A - D+M</t>
  </si>
  <si>
    <t>-292965608</t>
  </si>
  <si>
    <t>Poznámka k položce:_x000D_
dle PBŘ</t>
  </si>
  <si>
    <t>151</t>
  </si>
  <si>
    <t>OP 06</t>
  </si>
  <si>
    <t>Přenosný hasicí přístroj P6 183B - D+M</t>
  </si>
  <si>
    <t>-572208902</t>
  </si>
  <si>
    <t>152</t>
  </si>
  <si>
    <t>OP 07</t>
  </si>
  <si>
    <t>Přenosný hasicí přístroj CO2 70B - D+M</t>
  </si>
  <si>
    <t>1534854026</t>
  </si>
  <si>
    <t>153</t>
  </si>
  <si>
    <t>OP 08</t>
  </si>
  <si>
    <t>Revizní dvířka neviditelná 300 x 300 mm pod obklad do SDK stěny, s speciálním výsuvným pantem a s tlačným zámkem, dodávka vč. plastové lišty nahrazující spáru, stavební otvor 380 x 280 mm, PÚ: obklad</t>
  </si>
  <si>
    <t>133640698</t>
  </si>
  <si>
    <t>Poznámka k položce:_x000D_
např. Zavrz</t>
  </si>
  <si>
    <t>154</t>
  </si>
  <si>
    <t>OP 09</t>
  </si>
  <si>
    <t>Revizní dvířka 300 x 300 mm do omítky, s speciální kcí dvojitého pantu a s tlačným zámkem, stavební otvor 300 x 300 mm, PÚ: omítka</t>
  </si>
  <si>
    <t>-902117757</t>
  </si>
  <si>
    <t>155</t>
  </si>
  <si>
    <t>OP 10</t>
  </si>
  <si>
    <t>Revizní dvířka neviditelná 300 x 300 mm pod obklad do zděné stěny, s speciálním výsuvným pantem a s tlačným zámkem, dodávka vč. plastové lišty nahrazující spáru, stavební otvor 380 x 280 mm, PÚ: obklad</t>
  </si>
  <si>
    <t>-1172541747</t>
  </si>
  <si>
    <t>156</t>
  </si>
  <si>
    <t>OP 100</t>
  </si>
  <si>
    <t>Podomítkové schránky pro venkovní žaluzie z Purenitu pro otvor šířky 5000 mm, zaomítací lišta, příprava pro elektrické ovládání, PÚ:</t>
  </si>
  <si>
    <t>-999645671</t>
  </si>
  <si>
    <t>Poznámka k položce:_x000D_
např. Climax</t>
  </si>
  <si>
    <t>157</t>
  </si>
  <si>
    <t>OP 101</t>
  </si>
  <si>
    <t>Podomítkové schránky pro venkovní žaluzie z Purenitu pro otvor šířky 2400 mm, zaomítací lišta, příprava pro elektrické ovládání, PÚ:</t>
  </si>
  <si>
    <t>768871847</t>
  </si>
  <si>
    <t>158</t>
  </si>
  <si>
    <t>OP 102</t>
  </si>
  <si>
    <t>Podomítkové schránky pro venkovní žaluzie z Purenitu pro otvor šířky 2000 mm, zaomítací lišta, příprava pro elektrické ovládání, PÚ:</t>
  </si>
  <si>
    <t>196857424</t>
  </si>
  <si>
    <t>159</t>
  </si>
  <si>
    <t>OP 11</t>
  </si>
  <si>
    <t>-1901656634</t>
  </si>
  <si>
    <t>160</t>
  </si>
  <si>
    <t>OP 12</t>
  </si>
  <si>
    <t>508733890</t>
  </si>
  <si>
    <t>161</t>
  </si>
  <si>
    <t>OP 13</t>
  </si>
  <si>
    <t>Revizní dvířka neviditelná 200 x 300 mm pod obklad do SDK stěny, s speciálním výsuvným pantem a s tlačným zámkem, dodávka vč. plastové lišty nahrazující spáru, stavební otvor 280 x 280 mm, PÚ: obklad</t>
  </si>
  <si>
    <t>-574578907</t>
  </si>
  <si>
    <t>162</t>
  </si>
  <si>
    <t>OP 14</t>
  </si>
  <si>
    <t>Revizní dvířka 200 x 300 mm do omítky, s speciální kcí dvojitého pantu a s tlačným zámkem, stavební otvor 200 x 300 mm, PÚ: omítka</t>
  </si>
  <si>
    <t>1951622877</t>
  </si>
  <si>
    <t>163</t>
  </si>
  <si>
    <t>OP 15</t>
  </si>
  <si>
    <t>-413261826</t>
  </si>
  <si>
    <t>164</t>
  </si>
  <si>
    <t>OP 16</t>
  </si>
  <si>
    <t>1335867964</t>
  </si>
  <si>
    <t>165</t>
  </si>
  <si>
    <t>OP 17</t>
  </si>
  <si>
    <t>Revizní dvířka neviditelná 200 x 300 mm pod obklad do zděné stěny, s speciálním výsuvným pantem a s tlačným zámkem, dodávka vč. plastové lišty nahrazující spáru, stavební otvor 280 x 280 mm, PÚ: obklad</t>
  </si>
  <si>
    <t>-167980284</t>
  </si>
  <si>
    <t>166</t>
  </si>
  <si>
    <t>OP 18</t>
  </si>
  <si>
    <t>Revizní dvířka 600 x 600 mm do SDK plného podhledu s panty a s tlačným zámkem, PÚ: SDK</t>
  </si>
  <si>
    <t>1973386928</t>
  </si>
  <si>
    <t>167</t>
  </si>
  <si>
    <t>OP 19</t>
  </si>
  <si>
    <t>Nerezová revizní dvířka 200 x 200mm s tlačným zámkem., PÚ: nerez s kartáčovaným povrchem</t>
  </si>
  <si>
    <t>2009219424</t>
  </si>
  <si>
    <t>168</t>
  </si>
  <si>
    <t>OP 20</t>
  </si>
  <si>
    <t>Kobercová vnitřní čistící zóna ze 100% polypropylenu zataveného do PVC, výška 16mm, uložení v úrovni podlahy do připraveného otvoru osazeném hliníkovým rámečkem 20x30x3mm, rozměr zóny 1600x1200mm na osu vstupních dveří., PÚ:</t>
  </si>
  <si>
    <t>953218214</t>
  </si>
  <si>
    <t>Poznámka k položce:_x000D_
např. Gapa Shatwell</t>
  </si>
  <si>
    <t>169</t>
  </si>
  <si>
    <t>OP 21</t>
  </si>
  <si>
    <t>Sestava poštovních schránek 320 x 240 x 60 mm, barva antracit, celkem 12ks, PÚ:</t>
  </si>
  <si>
    <t>-76144328</t>
  </si>
  <si>
    <t>Poznámka k položce:_x000D_
např. Richter Czech BK.24.AM</t>
  </si>
  <si>
    <t>170</t>
  </si>
  <si>
    <t>OP 22</t>
  </si>
  <si>
    <t>Zinkovaný podlahový rošt rozměry 1200x600 mm s oky 30 x 30mm, vč. úhelníku 50/50/3 po obvodu pro osazení, hmotnost 25 kg/ks, PÚ: pozink</t>
  </si>
  <si>
    <t>-1181456722</t>
  </si>
  <si>
    <t>171</t>
  </si>
  <si>
    <t>OP 23</t>
  </si>
  <si>
    <t>Zinkovaný podlahový rošt rozměry 600x600 mm s oky 30 x 30mm, vč. úhelníku 50/50/3 po obvodu pro osazení, hmotnost 13 kg/ks, PÚ: pozink</t>
  </si>
  <si>
    <t>-884684609</t>
  </si>
  <si>
    <t>172</t>
  </si>
  <si>
    <t>OP 24</t>
  </si>
  <si>
    <t>Revizní dvířka 600 x 900 mm do omítky, s speciální kcí dvojitého pantu a s tlačným zámkem, dvířka opatřit označením hydrantus nerezové plechu (výška písmene "H" 200mm), stavební otvor 600 x 900 mm, PÚ: omítka</t>
  </si>
  <si>
    <t>516490483</t>
  </si>
  <si>
    <t>173</t>
  </si>
  <si>
    <t>OP 25</t>
  </si>
  <si>
    <t>Revizní dvířka neviditelná 300 x 300 mm pod obklad do zděné stěny, s speciálním výsuvným pantem a s tlačným zámkem, dodávka vč. plastové lišty nahrazující spáru, stavební otvor 380 x 280 mm, PÚ: omítka</t>
  </si>
  <si>
    <t>422717447</t>
  </si>
  <si>
    <t>174</t>
  </si>
  <si>
    <t>OP 26</t>
  </si>
  <si>
    <t>Revizní dvířka 600 x 900 mm do omítky, s speciální kcí dvojitého pantu a s tlačným zámkem, stavební otvor 600 x 900 mm, PÚ: omítka</t>
  </si>
  <si>
    <t>101582538</t>
  </si>
  <si>
    <t>175</t>
  </si>
  <si>
    <t>OP 27</t>
  </si>
  <si>
    <t>Revizní dvířka 600 x 600 mm do omítky, s speciální kcí dvojitého pantu a s tlačným zámkem, stavební otvor 600 x 600 mm, PÚ: omítka</t>
  </si>
  <si>
    <t>52027103</t>
  </si>
  <si>
    <t>176</t>
  </si>
  <si>
    <t>OP 30</t>
  </si>
  <si>
    <t>Stavební pouzdro pro posuvné dveře 800/2100 mm do příčkovky 115 mm, PÚ:</t>
  </si>
  <si>
    <t>1932329104</t>
  </si>
  <si>
    <t>Poznámka k položce:_x000D_
např. JAP standart</t>
  </si>
  <si>
    <t>177</t>
  </si>
  <si>
    <t>OP 31</t>
  </si>
  <si>
    <t>Stavební pouzdro pro posuvné dveře 700/2100 mm do příčkovky 115 mm, PÚ:</t>
  </si>
  <si>
    <t>1798004386</t>
  </si>
  <si>
    <t>178</t>
  </si>
  <si>
    <t>OP 32</t>
  </si>
  <si>
    <t>Stavební pouzdro pro posuvné dveře 800/2100 mm do příčky 250 mm, PÚ:</t>
  </si>
  <si>
    <t>-1254416140</t>
  </si>
  <si>
    <t>179</t>
  </si>
  <si>
    <t>OP 42</t>
  </si>
  <si>
    <t>Pryžové rozpínací těsnění Hauff-technik HRD 100-SG-1/24-52, vč. PVC pažnice s cementovým povrchem HRD 100-FU/250 (vložit do bednění), PÚ:</t>
  </si>
  <si>
    <t>1297361441</t>
  </si>
  <si>
    <t>Poznámka k položce:_x000D_
např. Hauff-technik</t>
  </si>
  <si>
    <t>180</t>
  </si>
  <si>
    <t>OP 43</t>
  </si>
  <si>
    <t>Pryžové rozpínací těsnění Hauff-technik HRD 150-SG-1/12-75, vč. PVC pažnice s cementovým povrchem HRD 150-FU/250 (vložit do bednění)0, PÚ:</t>
  </si>
  <si>
    <t>-107993434</t>
  </si>
  <si>
    <t>181</t>
  </si>
  <si>
    <t>OP 44</t>
  </si>
  <si>
    <t>Pryžové rozpínací těsnění Hauff-technik HRD 150-SG-3/22-54, vč. PVC pažnice s cementovým povrchem HRD 150-FU/250 (vložit do bednění), PÚ:</t>
  </si>
  <si>
    <t>93113881</t>
  </si>
  <si>
    <t>182</t>
  </si>
  <si>
    <t>OP 45</t>
  </si>
  <si>
    <t>Pryžové rozpínací těsnění Hauff-technik HSD 200-SSG 110-162 SL, vč. PVC pažnice s cementovým povrchem HRD 200-FU/250 (vložit do bednění), PÚ:</t>
  </si>
  <si>
    <t>-153701823</t>
  </si>
  <si>
    <t>183</t>
  </si>
  <si>
    <t>OP 47</t>
  </si>
  <si>
    <t>Pryžové rozpínací těsnění Hauff-technik HSD 200-SSG 110-162 SL, vč. PVC pažnice s cementovým povrchem HRD 200-FU/300 (vložit do bednění), PÚ:</t>
  </si>
  <si>
    <t>1648483501</t>
  </si>
  <si>
    <t>184</t>
  </si>
  <si>
    <t>OP 50</t>
  </si>
  <si>
    <t>Prostupová taška bobrovka pro odvětrání, vč. odvětrávací hlavice., PÚ: PVC</t>
  </si>
  <si>
    <t>-275852968</t>
  </si>
  <si>
    <t>Poznámka k položce:_x000D_
např. Tondach</t>
  </si>
  <si>
    <t>185</t>
  </si>
  <si>
    <t>OP 51</t>
  </si>
  <si>
    <t>Prostupová taška bobrovka pro odvodnění teras., PÚ: PVC</t>
  </si>
  <si>
    <t>81241611</t>
  </si>
  <si>
    <t>186</t>
  </si>
  <si>
    <t>OP 52</t>
  </si>
  <si>
    <t>Chrlič s integrovaným PVC límcem o průměru 110 mm, PÚ: not found</t>
  </si>
  <si>
    <t>702196310</t>
  </si>
  <si>
    <t>Poznámka k položce:_x000D_
např. Topwet</t>
  </si>
  <si>
    <t>187</t>
  </si>
  <si>
    <t>OP 52.1</t>
  </si>
  <si>
    <t>Chrlič s integrovaným PVC límcem o průměru 110 mm, PÚ:</t>
  </si>
  <si>
    <t>-1301596117</t>
  </si>
  <si>
    <t>188</t>
  </si>
  <si>
    <t>OP 53</t>
  </si>
  <si>
    <t>-207829614</t>
  </si>
  <si>
    <t>189</t>
  </si>
  <si>
    <t>OP 53.1</t>
  </si>
  <si>
    <t>1554164139</t>
  </si>
  <si>
    <t>190</t>
  </si>
  <si>
    <t>OP 80</t>
  </si>
  <si>
    <t>Venkovní žaluzie profil C-80 s polozapuštěnými vodícími lištami o rozměru 5000 x 2400 mm, umístěné v podomítkové schránce, naklápěcí hliníkové lamely, el. ovládání, roleta je složená ze 3 kusů, přesný rozměr nutno zaměřit, PÚ: RAL7016</t>
  </si>
  <si>
    <t>970285491</t>
  </si>
  <si>
    <t>Poznámka k položce:_x000D_
např Climax C-80</t>
  </si>
  <si>
    <t>191</t>
  </si>
  <si>
    <t>OP 81</t>
  </si>
  <si>
    <t>Venkovní žaluzie profil C-80 s polozapuštěnými vodícími lištami o rozměru 5125 x 3200 mm, umístěné v podomítkové schránce, naklápěcí hliníkové lamely, el. ovládání, roleta je složená ze 2 kusů, přesný rozměr nutno zaměřit, PÚ: RAL7016</t>
  </si>
  <si>
    <t>1795451481</t>
  </si>
  <si>
    <t>192</t>
  </si>
  <si>
    <t>OP 82</t>
  </si>
  <si>
    <t>Venkovní žaluzie profil C-80 s polozapuštěnými vodícími lištami o rozměru 5375 x 3200 mm, umístěné v podomítkové schránce, naklápěcí hliníkové lamely, el. ovládání, roleta je složená ze 2 kusů, přesný rozměr nutno zaměřit, PÚ: RAL7016</t>
  </si>
  <si>
    <t>-1991078388</t>
  </si>
  <si>
    <t>193</t>
  </si>
  <si>
    <t>OP 83</t>
  </si>
  <si>
    <t>Venkovní žaluzie profil C-80 s polozapuštěnými vodícími lištami o rozměru 3250 x 3200 mm, umístěné v podomítkové schránce, naklápěcí hliníkové lamely, el. ovládání, přesný rozměr nutno zaměřit, PÚ: RAL7016</t>
  </si>
  <si>
    <t>-506643469</t>
  </si>
  <si>
    <t>194</t>
  </si>
  <si>
    <t>OP 84</t>
  </si>
  <si>
    <t>Venkovní žaluzie profil C-80 s polozapuštěnými vodícími lištami o rozměru 1000 x 3200 mm, umístěné v podomítkové schránce, naklápěcí hliníkové lamely, el. ovládání, přesný rozměr nutno zaměřit, PÚ: RAL7016</t>
  </si>
  <si>
    <t>-1451571333</t>
  </si>
  <si>
    <t>195</t>
  </si>
  <si>
    <t>OP 85</t>
  </si>
  <si>
    <t>Venkovní žaluzie profil C-80 s polozapuštěnými vodícími lištami o rozměru 2375 x 2400 mm, umístěné v podomítkové schránce, naklápěcí hliníkové lamely, el. ovládání, přesný rozměr nutno zaměřit, PÚ: RAL7016</t>
  </si>
  <si>
    <t>864024655</t>
  </si>
  <si>
    <t>196</t>
  </si>
  <si>
    <t>OP 86</t>
  </si>
  <si>
    <t>Venkovní žaluzie profil C-80 s polozapuštěnými vodícími lištami o rozměru 1000 x 2400 mm, umístěné v podomítkové schránce, naklápěcí hliníkové lamely, elektrické ovládání, přesný rozměr nutno zaměřit, PÚ: RAL7016</t>
  </si>
  <si>
    <t>-1487131548</t>
  </si>
  <si>
    <t>197</t>
  </si>
  <si>
    <t>OP 87</t>
  </si>
  <si>
    <t>Venkovní žaluzie profil C-80 s polozapuštěnými vodícími lištami o rozměru 1000 x 1500 mm, umístěné v podomítkové schránce, naklápěcí hliníkové lamely, elektrické ovládání, přesný rozměr nutno zaměřit, PÚ: RAL7016</t>
  </si>
  <si>
    <t>-318324109</t>
  </si>
  <si>
    <t>198</t>
  </si>
  <si>
    <t>OP 88</t>
  </si>
  <si>
    <t>Venkovní žaluzie profil C-80 s polozapuštěnými vodícími lištami o rozměru 1250 x 2400 mm, umístěné v podomítkové schránce, naklápěcí hliníkové lamely, elektrické ovládání, přesný rozměr nutno zaměřit, PÚ: RAL7016</t>
  </si>
  <si>
    <t>171224597</t>
  </si>
  <si>
    <t>199</t>
  </si>
  <si>
    <t>OP 89</t>
  </si>
  <si>
    <t>Venkovní žaluzie profil C-80 s polozapuštěnými vodícími lištami o rozměru 2500 x 2400 mm, umístěné v podomítkové schránce, naklápěcí hliníkové lamely, elektrické ovládání, přesný rozměr nutno zaměřit, PÚ: RAL7016</t>
  </si>
  <si>
    <t>1499035069</t>
  </si>
  <si>
    <t>200</t>
  </si>
  <si>
    <t>OP 90</t>
  </si>
  <si>
    <t>Venkovní žaluzie profil C-80 s polozapuštěnými vodícími lištami o rozměru 1000 x 2100 mm, umístěné v podomítkové schránce, naklápěcí hliníkové lamely, elektrické ovládání, přesný rozměr nutno zaměřit, PÚ: RAL7016</t>
  </si>
  <si>
    <t>-1673706496</t>
  </si>
  <si>
    <t>201</t>
  </si>
  <si>
    <t>OP 91</t>
  </si>
  <si>
    <t>Podomítkové schránky pro venkovní žaluzie z Purenitu pro otvor šířky 6125 mm, zaomítací lišta, příprava pro elektrické ovládání, PÚ:</t>
  </si>
  <si>
    <t>-1531137764</t>
  </si>
  <si>
    <t>202</t>
  </si>
  <si>
    <t>OP 92</t>
  </si>
  <si>
    <t>Podomítkové schránky pro venkovní žaluzie z Purenitu pro otvor šířky 6375 mm, zaomítací lišta, příprava pro elektrické ovládání, PÚ:</t>
  </si>
  <si>
    <t>-1362403835</t>
  </si>
  <si>
    <t>203</t>
  </si>
  <si>
    <t>OP 93</t>
  </si>
  <si>
    <t>Podomítkové schránky pro venkovní žaluzie z Purenitu pro otvor šířky 4250 mm, zaomítací lišta, příprava pro elektrické ovládání, PÚ:</t>
  </si>
  <si>
    <t>-1563748216</t>
  </si>
  <si>
    <t>204</t>
  </si>
  <si>
    <t>OP 94</t>
  </si>
  <si>
    <t>Podomítkové schránky pro venkovní žaluzie z Purenitu pro otvor šířky 1000 mm (výška okeního otvoru 3200mm), zaomítací lišta, příprava pro elektrické ovládání, PÚ:</t>
  </si>
  <si>
    <t>1887711510</t>
  </si>
  <si>
    <t>205</t>
  </si>
  <si>
    <t>OP 95</t>
  </si>
  <si>
    <t>Podomítkové schránky pro venkovní žaluzie z Purenitu pro otvor šířky 2375 mm, zaomítací lišta, příprava pro elektrické ovládání, PÚ:</t>
  </si>
  <si>
    <t>66929153</t>
  </si>
  <si>
    <t>206</t>
  </si>
  <si>
    <t>OP 96</t>
  </si>
  <si>
    <t>Podomítkové schránky pro venkovní žaluzie z Purenitu pro otvor šířky 1000 mm (výška okeního otvoru 1500, 2100, 2400 mm), zaomítací lišta, příprava pro elektrické ovládání, PÚ:</t>
  </si>
  <si>
    <t>-1053644451</t>
  </si>
  <si>
    <t>207</t>
  </si>
  <si>
    <t>OP 97</t>
  </si>
  <si>
    <t>Podomítkové schránky pro venkovní žaluzie z Purenitu pro otvor šířky 1250 mm, zaomítací lišta, příprava pro elektrické ovládání, PÚ:</t>
  </si>
  <si>
    <t>-2138400546</t>
  </si>
  <si>
    <t>208</t>
  </si>
  <si>
    <t>OP 98</t>
  </si>
  <si>
    <t>Podomítkové schránky pro venkovní žaluzie z Purenitu pro otvor šířky 2500 mm, zaomítací lišta, příprava pro elektrické ovládání, PÚ:</t>
  </si>
  <si>
    <t>271853516</t>
  </si>
  <si>
    <t>209</t>
  </si>
  <si>
    <t>OP 99</t>
  </si>
  <si>
    <t>Podomítkové schránky pro venkovní žaluzie z Purenitu pro otvor šířky 2000 mm (výška okeního otvoru 2400 mm), zaomítací lišta, příprava pro elektrické ovládání, PÚ:</t>
  </si>
  <si>
    <t>1896384620</t>
  </si>
  <si>
    <t>210</t>
  </si>
  <si>
    <t>R-9532411</t>
  </si>
  <si>
    <t>Osazení smykových dilatačních trnů, návrhová síla 30kN/ks, přišířce spáry 40mm</t>
  </si>
  <si>
    <t>kus</t>
  </si>
  <si>
    <t>-1306649544</t>
  </si>
  <si>
    <t>211</t>
  </si>
  <si>
    <t>54879302</t>
  </si>
  <si>
    <t>trn pro přenos smykové síly u dilatačních spár, při šířce spáry 40mm</t>
  </si>
  <si>
    <t>-886019410</t>
  </si>
  <si>
    <t>212</t>
  </si>
  <si>
    <t>R-9533334</t>
  </si>
  <si>
    <t>PVC těsnící pás do dilatačních spar betonových kcí vnější s duší</t>
  </si>
  <si>
    <t>1038242718</t>
  </si>
  <si>
    <t>Poznámka k položce:_x000D_
Těsnící pásy s duší umožňující vodorovný pohyb dilatační spáry v rozmezí -10mm až +20mm. Maximální výška vodního sloupce 5m. Šířka spáry při zabudování je 20mm.</t>
  </si>
  <si>
    <t>"deska-deska" 31,5</t>
  </si>
  <si>
    <t>"stěna-stěna" 20</t>
  </si>
  <si>
    <t>213</t>
  </si>
  <si>
    <t>919726121</t>
  </si>
  <si>
    <t>Geotextilie pro ochranu, separaci a filtraci netkaná měrná hm do 200 g/m2</t>
  </si>
  <si>
    <t>1259909490</t>
  </si>
  <si>
    <t>"RF14"</t>
  </si>
  <si>
    <t>"1PP" 32,97</t>
  </si>
  <si>
    <t>"RF20"</t>
  </si>
  <si>
    <t>"Objekt A" 55,12</t>
  </si>
  <si>
    <t>"Objekt B" 28,48</t>
  </si>
  <si>
    <t>"Objekt C" 53,27</t>
  </si>
  <si>
    <t>"Objekt B" 49,12</t>
  </si>
  <si>
    <t>"Objekt B" 30,14</t>
  </si>
  <si>
    <t>214</t>
  </si>
  <si>
    <t>919726122</t>
  </si>
  <si>
    <t>Geotextilie pro ochranu, separaci a filtraci netkaná měrná hm přes 200 do 300 g/m2</t>
  </si>
  <si>
    <t>109507984</t>
  </si>
  <si>
    <t>RF11*2</t>
  </si>
  <si>
    <t>RF12*2</t>
  </si>
  <si>
    <t>RF13*2</t>
  </si>
  <si>
    <t>RF14*2</t>
  </si>
  <si>
    <t>"RF21"</t>
  </si>
  <si>
    <t>"Objekt A" 18,19</t>
  </si>
  <si>
    <t>"Objekt B" 18,2</t>
  </si>
  <si>
    <t>"Objekt C" 19,17</t>
  </si>
  <si>
    <t>"Objekt D" 19,1</t>
  </si>
  <si>
    <t>"WF02"</t>
  </si>
  <si>
    <t>(80,08+242,98)*0,87 "obvod*výška"</t>
  </si>
  <si>
    <t>998</t>
  </si>
  <si>
    <t>Přesun hmot</t>
  </si>
  <si>
    <t>215</t>
  </si>
  <si>
    <t>998011003</t>
  </si>
  <si>
    <t>Přesun hmot pro budovy zděné v přes 12 do 24 m</t>
  </si>
  <si>
    <t>-485375534</t>
  </si>
  <si>
    <t>PSV</t>
  </si>
  <si>
    <t>Práce a dodávky PSV</t>
  </si>
  <si>
    <t>V01</t>
  </si>
  <si>
    <t>Vnitřní dveře</t>
  </si>
  <si>
    <t>Celý oddíl</t>
  </si>
  <si>
    <t>216</t>
  </si>
  <si>
    <t>001</t>
  </si>
  <si>
    <t>D02 vel. 900x2100 mm, bezpečnostní, protipožární dveře, do ocelové polodrážkové zárubně: Z10, bezp. odolnost: RC3, stav. neprůzv.: 32 dB, PO: EW90DP1, vč. kování a příslušenství dle 001 tabulky dveří</t>
  </si>
  <si>
    <t>-34550349</t>
  </si>
  <si>
    <t>Poznámka k položce:_x000D_
D02 - Jednokřídlé bezpečnostní, protipožární dveře, do ocelové polodrážkové zárubně, rozměr: 900x2100 ,vč. kování: KK1,  zámku: ZZ, samozavírače: SN1 a doplňky: S, Z2, P ; specifikace a další viz. tabulky dveří. Poznámka: Typ bude vybrán na základě vzorků dodavatele a vzorek potvrdí architekt projektu. Požární odolnost: EW90DP1</t>
  </si>
  <si>
    <t>217</t>
  </si>
  <si>
    <t>002</t>
  </si>
  <si>
    <t>D02 vel. 900x2100 mm, bezpečnostní, protipožární dveře, do ocelové polodrážkové zárubně: Z10, bezp. odolnost: RC3, stav. neprůzv.: 32 dB, PO: EW90DP1, vč. kování a příslušenství dle 002 tabulky dveří</t>
  </si>
  <si>
    <t>1155280820</t>
  </si>
  <si>
    <t>218</t>
  </si>
  <si>
    <t>003</t>
  </si>
  <si>
    <t>D03 vel. 900x2100 mm, bezpečnostní dveře, š.900mm, bez požární odolnosti, uzamykatelné, do ocelové polodrážkové zárubně: Z10, bezp. odolnost: RC3, stav. neprůzv.: 32 dB, PO: -, vč. kování a příslušenství dle 003 tabulky dveří</t>
  </si>
  <si>
    <t>-1151950976</t>
  </si>
  <si>
    <t>Poznámka k položce:_x000D_
D03 - Jednokřídlé bezpečnostní dveře, š.900mm, bez požární odolnosti, uzamykatelné, do ocelové polodrážkové zárubně, rozměr: 900x2100 ,vč. kování: KK1,  zámku: ZZ, samozavírače: SN1 a doplňky: S, Z2, P ; specifikace a další viz. tabulky dveří. Poznámka: Typ bude vybrán na základě vzorků dodavatele a vzorek potvrdí architekt projektu. Požární odolnost: -</t>
  </si>
  <si>
    <t>219</t>
  </si>
  <si>
    <t>004</t>
  </si>
  <si>
    <t>D02 vel. 900x2100 mm, bezpečnostní, protipožární dveře, do ocelové polodrážkové zárubně: Z10, bezp. odolnost: RC3, stav. neprůzv.: 32 dB, PO: EW90DP1, vč. kování a příslušenství dle 004 tabulky dveří</t>
  </si>
  <si>
    <t>30911906</t>
  </si>
  <si>
    <t>Poznámka k položce:_x000D_
D02 - Jednokřídlé bezpečnostní, protipožární dveře, do ocelové polodrážkové zárubně, rozměr: 900x2100 ,vč. kování: K1,  zámku: ZZ, samozavírače: - a doplňky: - ; specifikace a další viz. tabulky dveří. Poznámka: Typ bude vybrán na základě vzorků dodavatele a vzorek potvrdí architekt projektu. Požární odolnost: EW90DP1</t>
  </si>
  <si>
    <t>220</t>
  </si>
  <si>
    <t>005</t>
  </si>
  <si>
    <t>D04 vel. 800x2100 mm, bezpečnostní plechové dveře, š.800mm, bez požární odolnosti, uzamykatelné, do ocelové zárubně: Z10, bezp. odolnost: RC3, stav. neprůzv.: -, PO: -, vč. kování a příslušenství dle 005 tabulky dveří</t>
  </si>
  <si>
    <t>1273529232</t>
  </si>
  <si>
    <t>Poznámka k položce:_x000D_
D04 - Jednokřídlé bezpečnostní plechové dveře, š.800mm, bez požární odolnosti, uzamykatelné, do ocelové zárubně, rozměr: 800x2100 ,vč. kování: KK1,  zámku: ZZ, samozavírače: - a doplňky: - ; specifikace a další viz. tabulky dveří. Poznámka: Typ bude vybrán na základě vzorků dodavatele a vzorek potvrdí architekt projektu. Požární odolnost: -</t>
  </si>
  <si>
    <t>221</t>
  </si>
  <si>
    <t>006</t>
  </si>
  <si>
    <t>D04 vel. 800x2100 mm, bezpečnostní plechové dveře, š.800mm, bez požární odolnosti, uzamykatelné, do ocelové zárubně: Z10, bezp. odolnost: RC3, stav. neprůzv.: -, PO: -, vč. kování a příslušenství dle 006 tabulky dveří</t>
  </si>
  <si>
    <t>-1760339114</t>
  </si>
  <si>
    <t>222</t>
  </si>
  <si>
    <t>007</t>
  </si>
  <si>
    <t>D04 vel. 800x2100 mm, bezpečnostní plechové dveře, š.800mm, bez požární odolnosti, uzamykatelné, do ocelové zárubně: Z10, bezp. odolnost: RC3, stav. neprůzv.: -, PO: -, vč. kování a příslušenství dle 007 tabulky dveří</t>
  </si>
  <si>
    <t>-1133105744</t>
  </si>
  <si>
    <t>223</t>
  </si>
  <si>
    <t>008</t>
  </si>
  <si>
    <t>D04 vel. 800x2100 mm, bezpečnostní plechové dveře, š.800mm, bez požární odolnosti, uzamykatelné, do ocelové zárubně: Z10, bezp. odolnost: RC3, stav. neprůzv.: -, PO: -, vč. kování a příslušenství dle 008 tabulky dveří</t>
  </si>
  <si>
    <t>1186472913</t>
  </si>
  <si>
    <t>224</t>
  </si>
  <si>
    <t>009</t>
  </si>
  <si>
    <t>D04 vel. 800x2100 mm, bezpečnostní plechové dveře, š.800mm, bez požární odolnosti, uzamykatelné, do ocelové zárubně: Z10, bezp. odolnost: RC3, stav. neprůzv.: -, PO: -, vč. kování a příslušenství dle 009 tabulky dveří</t>
  </si>
  <si>
    <t>-1039822445</t>
  </si>
  <si>
    <t>225</t>
  </si>
  <si>
    <t>010</t>
  </si>
  <si>
    <t>D04 vel. 800x2100 mm, bezpečnostní plechové dveře, š.800mm, bez požární odolnosti, uzamykatelné, do ocelové zárubně: Z10, bezp. odolnost: RC3, stav. neprůzv.: -, PO: -, vč. kování a příslušenství dle 010 tabulky dveří</t>
  </si>
  <si>
    <t>1449449969</t>
  </si>
  <si>
    <t>226</t>
  </si>
  <si>
    <t>011</t>
  </si>
  <si>
    <t>D02 vel. 900x2100 mm, bezpečnostní, protipožární dveře, do ocelové polodrážkové zárubně: Z10, bezp. odolnost: RC3, stav. neprůzv.: 32 dB, PO: EW90DP1, vč. kování a příslušenství dle 011 tabulky dveří</t>
  </si>
  <si>
    <t>-210613880</t>
  </si>
  <si>
    <t>227</t>
  </si>
  <si>
    <t>012</t>
  </si>
  <si>
    <t>D04 vel. 800x2100 mm, bezpečnostní plechové dveře, š.800mm, bez požární odolnosti, uzamykatelné, do ocelové zárubně: Z10, bezp. odolnost: RC3, stav. neprůzv.: -, PO: -, vč. kování a příslušenství dle 012 tabulky dveří</t>
  </si>
  <si>
    <t>-1848047227</t>
  </si>
  <si>
    <t>228</t>
  </si>
  <si>
    <t>013</t>
  </si>
  <si>
    <t>D04 vel. 800x2100 mm, bezpečnostní plechové dveře, š.800mm, bez požární odolnosti, uzamykatelné, do ocelové zárubně: Z10, bezp. odolnost: RC3, stav. neprůzv.: -, PO: -, vč. kování a příslušenství dle 013 tabulky dveří</t>
  </si>
  <si>
    <t>476322833</t>
  </si>
  <si>
    <t>229</t>
  </si>
  <si>
    <t>014</t>
  </si>
  <si>
    <t>D04 vel. 800x2100 mm, bezpečnostní plechové dveře, š.800mm, bez požární odolnosti, uzamykatelné, do ocelové zárubně: Z10, bezp. odolnost: RC3, stav. neprůzv.: -, PO: -, vč. kování a příslušenství dle 014 tabulky dveří</t>
  </si>
  <si>
    <t>-726935471</t>
  </si>
  <si>
    <t>230</t>
  </si>
  <si>
    <t>015</t>
  </si>
  <si>
    <t>D04 vel. 800x2100 mm, bezpečnostní plechové dveře, š.800mm, bez požární odolnosti, uzamykatelné, do ocelové zárubně: Z10, bezp. odolnost: RC3, stav. neprůzv.: -, PO: -, vč. kování a příslušenství dle 015 tabulky dveří</t>
  </si>
  <si>
    <t>1908109646</t>
  </si>
  <si>
    <t>231</t>
  </si>
  <si>
    <t>016</t>
  </si>
  <si>
    <t>D04 vel. 800x2100 mm, bezpečnostní plechové dveře, š.800mm, bez požární odolnosti, uzamykatelné, do ocelové zárubně: Z10, bezp. odolnost: RC3, stav. neprůzv.: -, PO: -, vč. kování a příslušenství dle 016 tabulky dveří</t>
  </si>
  <si>
    <t>1926357395</t>
  </si>
  <si>
    <t>232</t>
  </si>
  <si>
    <t>017</t>
  </si>
  <si>
    <t>D03 vel. 900x2100 mm, bezpečnostní dveře, š.900mm, bez požární odolnosti, uzamykatelné, do ocelové polodrážkové zárubně: Z10, bezp. odolnost: RC3, stav. neprůzv.: 32 dB, PO: -, vč. kování a příslušenství dle 017 tabulky dveří</t>
  </si>
  <si>
    <t>13826978</t>
  </si>
  <si>
    <t>233</t>
  </si>
  <si>
    <t>018</t>
  </si>
  <si>
    <t>D04 vel. 800x2100 mm, bezpečnostní plechové dveře, š.800mm, bez požární odolnosti, uzamykatelné, do ocelové zárubně: Z10, bezp. odolnost: RC3, stav. neprůzv.: -, PO: -, vč. kování a příslušenství dle 018 tabulky dveří</t>
  </si>
  <si>
    <t>-1679853523</t>
  </si>
  <si>
    <t>234</t>
  </si>
  <si>
    <t>019</t>
  </si>
  <si>
    <t>D04 vel. 800x2100 mm, bezpečnostní plechové dveře, š.800mm, bez požární odolnosti, uzamykatelné, do ocelové zárubně: Z10, bezp. odolnost: RC3, stav. neprůzv.: -, PO: -, vč. kování a příslušenství dle 019 tabulky dveří</t>
  </si>
  <si>
    <t>-1237903809</t>
  </si>
  <si>
    <t>235</t>
  </si>
  <si>
    <t>020</t>
  </si>
  <si>
    <t>D04 vel. 800x2100 mm, bezpečnostní plechové dveře, š.800mm, bez požární odolnosti, uzamykatelné, do ocelové zárubně: Z10, bezp. odolnost: RC3, stav. neprůzv.: -, PO: -, vč. kování a příslušenství dle 020 tabulky dveří</t>
  </si>
  <si>
    <t>-591883069</t>
  </si>
  <si>
    <t>236</t>
  </si>
  <si>
    <t>021</t>
  </si>
  <si>
    <t>D04 vel. 800x2100 mm, bezpečnostní plechové dveře, š.800mm, bez požární odolnosti, uzamykatelné, do ocelové zárubně: Z10, bezp. odolnost: RC3, stav. neprůzv.: -, PO: -, vč. kování a příslušenství dle 021 tabulky dveří</t>
  </si>
  <si>
    <t>307348437</t>
  </si>
  <si>
    <t>237</t>
  </si>
  <si>
    <t>022</t>
  </si>
  <si>
    <t>D04 vel. 800x2100 mm, bezpečnostní plechové dveře, š.800mm, bez požární odolnosti, uzamykatelné, do ocelové zárubně: Z10, bezp. odolnost: RC3, stav. neprůzv.: -, PO: -, vč. kování a příslušenství dle 022 tabulky dveří</t>
  </si>
  <si>
    <t>-89934586</t>
  </si>
  <si>
    <t>238</t>
  </si>
  <si>
    <t>023</t>
  </si>
  <si>
    <t>D02 vel. 900x2100 mm, bezpečnostní, protipožární dveře, do ocelové polodrážkové zárubně: Z10, bezp. odolnost: RC3, stav. neprůzv.: 32 dB, PO: EW90DP1, vč. kování a příslušenství dle 023 tabulky dveří</t>
  </si>
  <si>
    <t>1256658531</t>
  </si>
  <si>
    <t>239</t>
  </si>
  <si>
    <t>024</t>
  </si>
  <si>
    <t xml:space="preserve">D01 vel. 900x2100 mm, bezpečnostní, protipožární dveře, š.900mm, uzamykatelné pomocí elektronické čipové čtečky karet, s odchodovým tlačítkem a akustickou signalizací nepovoleného otevření, do ocelové polodrážkové zárubně: Z10, bezp. odolnost: RC3, stav. </t>
  </si>
  <si>
    <t>646834217</t>
  </si>
  <si>
    <t>Poznámka k položce:_x000D_
D01 - Jednokřídlé bezpečnostní, protipožární dveře, š.900mm, uzamykatelné pomocí elektronické čipové čtečky karet, s odchodovým tlačítkem a akustickou signalizací nepovoleného otevření, do ocelové polodrážkové zárubně, rozměr: 900x2100 ,vč. kování: KK1,  zámku: ZZ, samozavírače: SN1 a doplňky: CT1 ; specifikace a další viz. tabulky dveří. Poznámka: Typ bude vybrán na základě vzorků dodavatele a vzorek potvrdí architekt projektu. Požární odolnost: EW30DP1</t>
  </si>
  <si>
    <t>240</t>
  </si>
  <si>
    <t>025</t>
  </si>
  <si>
    <t>D01 vel. 900x2100 mm, bezpečnostní, protipožární dveře, š.900mm, do ocelové polodrážkové zárubně: Z10, bezp. odolnost: RC3, stav. neprůzv.: 32 dB, PO: EW30DP1, vč. kování a příslušenství dle 025 tabulky dveří</t>
  </si>
  <si>
    <t>-1406066801</t>
  </si>
  <si>
    <t>Poznámka k položce:_x000D_
D01 - Jednokřídlé bezpečnostní, protipožární dveře, š.900mm, uzamykatelné pomocí elektronické čipové čtečky karet, s odchodovým tlačítkem a akustickou signalizací nepovoleného otevření, do ocelové polodrážkové zárubně, rozměr: 900x2100 ,vč. kování: KP1,  zámku: ZP, samozavírače: SN1 a doplňky: CT1 ; specifikace a další viz. tabulky dveří. Poznámka: Typ bude vybrán na základě vzorků dodavatele a vzorek potvrdí architekt projektu. Požární odolnost: EW30DP1</t>
  </si>
  <si>
    <t>241</t>
  </si>
  <si>
    <t>026</t>
  </si>
  <si>
    <t>D01 vel. 900x2100 mm, bezpečnostní, protipožární dveře, š.900mm, do ocelové polodrážkové zárubně: Z10, bezp. odolnost: RC3, stav. neprůzv.: 32 dB, PO: EW30DP1, vč. kování a příslušenství dle 026 tabulky dveří</t>
  </si>
  <si>
    <t>-1379344686</t>
  </si>
  <si>
    <t>242</t>
  </si>
  <si>
    <t>027</t>
  </si>
  <si>
    <t>D02 vel. 900x2100 mm, bezpečnostní, protipožární dveře, do ocelové polodrážkové zárubně: Z10, bezp. odolnost: RC3, stav. neprůzv.: 32 dB, PO: EW90DP1, vč. kování a příslušenství dle 027 tabulky dveří</t>
  </si>
  <si>
    <t>679866298</t>
  </si>
  <si>
    <t>243</t>
  </si>
  <si>
    <t>028</t>
  </si>
  <si>
    <t>D04 vel. 800x2100 mm, bezpečnostní plechové dveře, š.800mm, bez požární odolnosti, uzamykatelné, do ocelové zárubně: Z10, bezp. odolnost: RC3, stav. neprůzv.: -, PO: -, vč. kování a příslušenství dle 028 tabulky dveří</t>
  </si>
  <si>
    <t>904335324</t>
  </si>
  <si>
    <t>244</t>
  </si>
  <si>
    <t>029</t>
  </si>
  <si>
    <t>D04 vel. 800x2100 mm, bezpečnostní plechové dveře, š.800mm, bez požární odolnosti, uzamykatelné, do ocelové zárubně: Z10, bezp. odolnost: RC3, stav. neprůzv.: -, PO: -, vč. kování a příslušenství dle 029 tabulky dveří</t>
  </si>
  <si>
    <t>-1334338271</t>
  </si>
  <si>
    <t>245</t>
  </si>
  <si>
    <t>030</t>
  </si>
  <si>
    <t>D04 vel. 800x2100 mm, bezpečnostní plechové dveře, š.800mm, bez požární odolnosti, uzamykatelné, do ocelové zárubně: Z10, bezp. odolnost: RC3, stav. neprůzv.: -, PO: -, vč. kování a příslušenství dle 030 tabulky dveří</t>
  </si>
  <si>
    <t>2135346891</t>
  </si>
  <si>
    <t>246</t>
  </si>
  <si>
    <t>031</t>
  </si>
  <si>
    <t>D04 vel. 800x2100 mm, bezpečnostní plechové dveře, š.800mm, bez požární odolnosti, uzamykatelné, do ocelové zárubně: Z10, bezp. odolnost: RC3, stav. neprůzv.: -, PO: -, vč. kování a příslušenství dle 031 tabulky dveří</t>
  </si>
  <si>
    <t>-391066755</t>
  </si>
  <si>
    <t>247</t>
  </si>
  <si>
    <t>032</t>
  </si>
  <si>
    <t>D04 vel. 800x2100 mm, bezpečnostní plechové dveře, š.800mm, bez požární odolnosti, uzamykatelné, do ocelové zárubně: Z10, bezp. odolnost: RC3, stav. neprůzv.: -, PO: -, vč. kování a příslušenství dle 032 tabulky dveří</t>
  </si>
  <si>
    <t>-1719565541</t>
  </si>
  <si>
    <t>248</t>
  </si>
  <si>
    <t>033</t>
  </si>
  <si>
    <t>D04 vel. 800x2100 mm, bezpečnostní plechové dveře, š.800mm, bez požární odolnosti, uzamykatelné, do ocelové zárubně: Z10, bezp. odolnost: RC3, stav. neprůzv.: -, PO: -, vč. kování a příslušenství dle 033 tabulky dveří</t>
  </si>
  <si>
    <t>-1978531219</t>
  </si>
  <si>
    <t>249</t>
  </si>
  <si>
    <t>034</t>
  </si>
  <si>
    <t>D04 vel. 800x2100 mm, bezpečnostní plechové dveře, š.800mm, bez požární odolnosti, uzamykatelné, do ocelové zárubně: Z10, bezp. odolnost: RC3, stav. neprůzv.: -, PO: -, vč. kování a příslušenství dle 034 tabulky dveří</t>
  </si>
  <si>
    <t>537446088</t>
  </si>
  <si>
    <t>250</t>
  </si>
  <si>
    <t>035</t>
  </si>
  <si>
    <t>D04 vel. 800x2100 mm, bezpečnostní plechové dveře, š.800mm, bez požární odolnosti, uzamykatelné, do ocelové zárubně: Z10, bezp. odolnost: RC3, stav. neprůzv.: -, PO: -, vč. kování a příslušenství dle 035 tabulky dveří</t>
  </si>
  <si>
    <t>-210620160</t>
  </si>
  <si>
    <t>251</t>
  </si>
  <si>
    <t>036</t>
  </si>
  <si>
    <t>D04 vel. 800x2100 mm, bezpečnostní plechové dveře, š.800mm, bez požární odolnosti, uzamykatelné, do ocelové zárubně: Z10, bezp. odolnost: RC3, stav. neprůzv.: -, PO: -, vč. kování a příslušenství dle 036 tabulky dveří</t>
  </si>
  <si>
    <t>1558214317</t>
  </si>
  <si>
    <t>252</t>
  </si>
  <si>
    <t>037</t>
  </si>
  <si>
    <t>D04 vel. 800x2100 mm, bezpečnostní plechové dveře, š.800mm, bez požární odolnosti, uzamykatelné, do ocelové zárubně: Z10, bezp. odolnost: RC3, stav. neprůzv.: -, PO: -, vč. kování a příslušenství dle 037 tabulky dveří</t>
  </si>
  <si>
    <t>920717020</t>
  </si>
  <si>
    <t>253</t>
  </si>
  <si>
    <t>038</t>
  </si>
  <si>
    <t>D02 vel. 900x2100 mm, bezpečnostní, protipožární dveře, do ocelové polodrážkové zárubně: Z10, bezp. odolnost: RC3, stav. neprůzv.: 32 dB, PO: EW90DP1, vč. kování a příslušenství dle 038 tabulky dveří</t>
  </si>
  <si>
    <t>1888316801</t>
  </si>
  <si>
    <t>254</t>
  </si>
  <si>
    <t>039</t>
  </si>
  <si>
    <t>D01 vel. 900x2100 mm, bezpečnostní, protipožární dveře, š.900mm, do ocelové polodrážkové zárubně: Z10, bezp. odolnost: RC3, stav. neprůzv.: 32 dB, PO: EW30DP1, vč. kování a příslušenství dle 039 tabulky dveří</t>
  </si>
  <si>
    <t>1680293945</t>
  </si>
  <si>
    <t>255</t>
  </si>
  <si>
    <t>040</t>
  </si>
  <si>
    <t>D04 vel. 800x2100 mm, bezpečnostní plechové dveře, š.800mm, bez požární odolnosti, uzamykatelné, do ocelové zárubně: Z10, bezp. odolnost: RC3, stav. neprůzv.: -, PO: -, vč. kování a příslušenství dle 040 tabulky dveří</t>
  </si>
  <si>
    <t>-135010684</t>
  </si>
  <si>
    <t>256</t>
  </si>
  <si>
    <t>041</t>
  </si>
  <si>
    <t>D04 vel. 800x2100 mm, bezpečnostní plechové dveře, š.800mm, bez požární odolnosti, uzamykatelné, do ocelové zárubně: Z10, bezp. odolnost: RC3, stav. neprůzv.: -, PO: -, vč. kování a příslušenství dle 041 tabulky dveří</t>
  </si>
  <si>
    <t>-1284426634</t>
  </si>
  <si>
    <t>257</t>
  </si>
  <si>
    <t>042</t>
  </si>
  <si>
    <t>D03 vel. 900x2100 mm, bezpečnostní dveře, š.900mm, bez požární odolnosti, uzamykatelné, do ocelové polodrážkové zárubně: Z10, bezp. odolnost: RC3, stav. neprůzv.: 32 dB, PO: -, vč. kování a příslušenství dle 042 tabulky dveří</t>
  </si>
  <si>
    <t>-1047141696</t>
  </si>
  <si>
    <t>258</t>
  </si>
  <si>
    <t>043</t>
  </si>
  <si>
    <t>D03 vel. 900x2100 mm, bezpečnostní dveře, š.900mm, bez požární odolnosti, uzamykatelné, do ocelové polodrážkové zárubně: Z10, bezp. odolnost: RC3, stav. neprůzv.: 32 dB, PO: -, vč. kování a příslušenství dle 043 tabulky dveří</t>
  </si>
  <si>
    <t>-1000137297</t>
  </si>
  <si>
    <t>259</t>
  </si>
  <si>
    <t>044</t>
  </si>
  <si>
    <t>D04 vel. 800x2100 mm, bezpečnostní plechové dveře, š.800mm, bez požární odolnosti, uzamykatelné, do ocelové zárubně: Z10, bezp. odolnost: RC3, stav. neprůzv.: -, PO: -, vč. kování a příslušenství dle 044 tabulky dveří</t>
  </si>
  <si>
    <t>1986780734</t>
  </si>
  <si>
    <t>260</t>
  </si>
  <si>
    <t>045</t>
  </si>
  <si>
    <t>D02 vel. 900x2100 mm, bezpečnostní, protipožární dveře, do ocelové polodrážkové zárubně: Z10, bezp. odolnost: RC3, stav. neprůzv.: 32 dB, PO: EW90DP1, vč. kování a příslušenství dle 045 tabulky dveří</t>
  </si>
  <si>
    <t>-1118940972</t>
  </si>
  <si>
    <t>261</t>
  </si>
  <si>
    <t>046</t>
  </si>
  <si>
    <t>D02 vel. 900x2100 mm, bezpečnostní, protipožární dveře, do ocelové polodrážkové zárubně: Z10, bezp. odolnost: RC3, stav. neprůzv.: 32 dB, PO: EW90DP1, vč. kování a příslušenství dle 046 tabulky dveří</t>
  </si>
  <si>
    <t>-911113823</t>
  </si>
  <si>
    <t>262</t>
  </si>
  <si>
    <t>047</t>
  </si>
  <si>
    <t>D04 vel. 800x2100 mm, bezpečnostní plechové dveře, š.800mm, bez požární odolnosti, uzamykatelné, do ocelové zárubně: Z10, bezp. odolnost: RC3, stav. neprůzv.: -, PO: -, vč. kování a příslušenství dle 047 tabulky dveří</t>
  </si>
  <si>
    <t>2140142929</t>
  </si>
  <si>
    <t>263</t>
  </si>
  <si>
    <t>048</t>
  </si>
  <si>
    <t>D04 vel. 800x2100 mm, bezpečnostní plechové dveře, š.800mm, bez požární odolnosti, uzamykatelné, do ocelové zárubně: Z10, bezp. odolnost: RC3, stav. neprůzv.: -, PO: -, vč. kování a příslušenství dle 048 tabulky dveří</t>
  </si>
  <si>
    <t>1951912111</t>
  </si>
  <si>
    <t>264</t>
  </si>
  <si>
    <t>049</t>
  </si>
  <si>
    <t>D04 vel. 800x2100 mm, bezpečnostní plechové dveře, š.800mm, bez požární odolnosti, uzamykatelné, do ocelové zárubně: Z10, bezp. odolnost: RC3, stav. neprůzv.: -, PO: -, vč. kování a příslušenství dle 049 tabulky dveří</t>
  </si>
  <si>
    <t>665816550</t>
  </si>
  <si>
    <t>265</t>
  </si>
  <si>
    <t>050</t>
  </si>
  <si>
    <t>D04 vel. 800x2100 mm, bezpečnostní plechové dveře, š.800mm, bez požární odolnosti, uzamykatelné, do ocelové zárubně: Z10, bezp. odolnost: RC3, stav. neprůzv.: -, PO: -, vč. kování a příslušenství dle 050 tabulky dveří</t>
  </si>
  <si>
    <t>-1334754034</t>
  </si>
  <si>
    <t>266</t>
  </si>
  <si>
    <t>051</t>
  </si>
  <si>
    <t>D04 vel. 800x2100 mm, bezpečnostní plechové dveře, š.800mm, bez požární odolnosti, uzamykatelné, do ocelové zárubně: Z10, bezp. odolnost: RC3, stav. neprůzv.: -, PO: -, vč. kování a příslušenství dle 051 tabulky dveří</t>
  </si>
  <si>
    <t>957715763</t>
  </si>
  <si>
    <t>267</t>
  </si>
  <si>
    <t>052</t>
  </si>
  <si>
    <t>D04 vel. 800x2100 mm, bezpečnostní plechové dveře, š.800mm, bez požární odolnosti, uzamykatelné, do ocelové zárubně: Z10, bezp. odolnost: RC3, stav. neprůzv.: -, PO: -, vč. kování a příslušenství dle 052 tabulky dveří</t>
  </si>
  <si>
    <t>18644556</t>
  </si>
  <si>
    <t>268</t>
  </si>
  <si>
    <t>053</t>
  </si>
  <si>
    <t>D04 vel. 800x2100 mm, bezpečnostní plechové dveře, š.800mm, bez požární odolnosti, uzamykatelné, do ocelové zárubně: Z10, bezp. odolnost: RC3, stav. neprůzv.: -, PO: -, vč. kování a příslušenství dle 053 tabulky dveří</t>
  </si>
  <si>
    <t>-1364813883</t>
  </si>
  <si>
    <t>269</t>
  </si>
  <si>
    <t>054</t>
  </si>
  <si>
    <t>D04 vel. 800x2100 mm, bezpečnostní plechové dveře, š.800mm, bez požární odolnosti, uzamykatelné, do ocelové zárubně: Z10, bezp. odolnost: RC3, stav. neprůzv.: -, PO: -, vč. kování a příslušenství dle 054 tabulky dveří</t>
  </si>
  <si>
    <t>-1653377706</t>
  </si>
  <si>
    <t>270</t>
  </si>
  <si>
    <t>055</t>
  </si>
  <si>
    <t>D04 vel. 800x2100 mm, bezpečnostní plechové dveře, š.800mm, bez požární odolnosti, uzamykatelné, do ocelové zárubně: Z10, bezp. odolnost: RC3, stav. neprůzv.: -, PO: -, vč. kování a příslušenství dle 055 tabulky dveří</t>
  </si>
  <si>
    <t>1411424632</t>
  </si>
  <si>
    <t>271</t>
  </si>
  <si>
    <t>056</t>
  </si>
  <si>
    <t>D03 vel. 900x2100 mm, bezpečnostní dveře, š.900mm, bez požární odolnosti, uzamykatelné, do ocelové polodrážkové zárubně: Z10, bezp. odolnost: RC3, stav. neprůzv.: 32 dB, PO: -, vč. kování a příslušenství dle 056 tabulky dveří</t>
  </si>
  <si>
    <t>-840875510</t>
  </si>
  <si>
    <t>272</t>
  </si>
  <si>
    <t>057</t>
  </si>
  <si>
    <t>D04 vel. 800x2100 mm, bezpečnostní plechové dveře, š.800mm, bez požární odolnosti, uzamykatelné, do ocelové zárubně: Z10, bezp. odolnost: RC3, stav. neprůzv.: -, PO: -, vč. kování a příslušenství dle 057 tabulky dveří</t>
  </si>
  <si>
    <t>-1862764011</t>
  </si>
  <si>
    <t>273</t>
  </si>
  <si>
    <t>058</t>
  </si>
  <si>
    <t>D04 vel. 800x2100 mm, bezpečnostní plechové dveře, š.800mm, bez požární odolnosti, uzamykatelné, do ocelové zárubně: Z10, bezp. odolnost: RC3, stav. neprůzv.: -, PO: -, vč. kování a příslušenství dle 058 tabulky dveří</t>
  </si>
  <si>
    <t>-1027967671</t>
  </si>
  <si>
    <t>274</t>
  </si>
  <si>
    <t>059</t>
  </si>
  <si>
    <t>D04 vel. 800x2100 mm, bezpečnostní plechové dveře, š.800mm, bez požární odolnosti, uzamykatelné, do ocelové zárubně: Z10, bezp. odolnost: RC3, stav. neprůzv.: -, PO: -, vč. kování a příslušenství dle 059 tabulky dveří</t>
  </si>
  <si>
    <t>-1941930516</t>
  </si>
  <si>
    <t>275</t>
  </si>
  <si>
    <t>060</t>
  </si>
  <si>
    <t>D04 vel. 800x2100 mm, bezpečnostní plechové dveře, š.800mm, bez požární odolnosti, uzamykatelné, do ocelové zárubně: Z10, bezp. odolnost: RC3, stav. neprůzv.: -, PO: -, vč. kování a příslušenství dle 060 tabulky dveří</t>
  </si>
  <si>
    <t>-539014402</t>
  </si>
  <si>
    <t>276</t>
  </si>
  <si>
    <t>061</t>
  </si>
  <si>
    <t>D04 vel. 800x2100 mm, bezpečnostní plechové dveře, š.800mm, bez požární odolnosti, uzamykatelné, do ocelové zárubně: Z10, bezp. odolnost: RC3, stav. neprůzv.: -, PO: -, vč. kování a příslušenství dle 061 tabulky dveří</t>
  </si>
  <si>
    <t>-145089610</t>
  </si>
  <si>
    <t>277</t>
  </si>
  <si>
    <t>062</t>
  </si>
  <si>
    <t>D04 vel. 800x2100 mm, bezpečnostní plechové dveře, š.800mm, bez požární odolnosti, uzamykatelné, do ocelové zárubně: Z10, bezp. odolnost: RC3, stav. neprůzv.: -, PO: -, vč. kování a příslušenství dle 062 tabulky dveří</t>
  </si>
  <si>
    <t>-239535429</t>
  </si>
  <si>
    <t>278</t>
  </si>
  <si>
    <t>063</t>
  </si>
  <si>
    <t>D04 vel. 800x2100 mm, bezpečnostní plechové dveře, š.800mm, bez požární odolnosti, uzamykatelné, do ocelové zárubně: Z10, bezp. odolnost: RC3, stav. neprůzv.: -, PO: -, vč. kování a příslušenství dle 063 tabulky dveří</t>
  </si>
  <si>
    <t>-795712871</t>
  </si>
  <si>
    <t>279</t>
  </si>
  <si>
    <t>064</t>
  </si>
  <si>
    <t>D04 vel. 800x2100 mm, bezpečnostní plechové dveře, š.800mm, bez požární odolnosti, uzamykatelné, do ocelové zárubně: Z10, bezp. odolnost: RC3, stav. neprůzv.: -, PO: -, vč. kování a příslušenství dle 064 tabulky dveří</t>
  </si>
  <si>
    <t>961619597</t>
  </si>
  <si>
    <t>280</t>
  </si>
  <si>
    <t>065</t>
  </si>
  <si>
    <t>D04 vel. 800x2100 mm, bezpečnostní plechové dveře, š.800mm, bez požární odolnosti, uzamykatelné, do ocelové zárubně: Z10, bezp. odolnost: RC3, stav. neprůzv.: -, PO: -, vč. kování a příslušenství dle 065 tabulky dveří</t>
  </si>
  <si>
    <t>2118907522</t>
  </si>
  <si>
    <t>281</t>
  </si>
  <si>
    <t>066</t>
  </si>
  <si>
    <t>D04 vel. 800x2100 mm, bezpečnostní plechové dveře, š.800mm, bez požární odolnosti, uzamykatelné, do ocelové zárubně: Z10, bezp. odolnost: RC3, stav. neprůzv.: -, PO: -, vč. kování a příslušenství dle 066 tabulky dveří</t>
  </si>
  <si>
    <t>759454616</t>
  </si>
  <si>
    <t>282</t>
  </si>
  <si>
    <t>067</t>
  </si>
  <si>
    <t>D04 vel. 800x2100 mm, bezpečnostní plechové dveře, š.800mm, bez požární odolnosti, uzamykatelné, do ocelové zárubně: Z10, bezp. odolnost: RC3, stav. neprůzv.: -, PO: -, vč. kování a příslušenství dle 067 tabulky dveří</t>
  </si>
  <si>
    <t>1541250854</t>
  </si>
  <si>
    <t>283</t>
  </si>
  <si>
    <t>068</t>
  </si>
  <si>
    <t>D04 vel. 800x2100 mm, bezpečnostní plechové dveře, š.800mm, bez požární odolnosti, uzamykatelné, do ocelové zárubně: Z10, bezp. odolnost: RC3, stav. neprůzv.: -, PO: -, vč. kování a příslušenství dle 068 tabulky dveří</t>
  </si>
  <si>
    <t>1888630872</t>
  </si>
  <si>
    <t>284</t>
  </si>
  <si>
    <t>069</t>
  </si>
  <si>
    <t>D04 vel. 800x2100 mm, bezpečnostní plechové dveře, š.800mm, bez požární odolnosti, uzamykatelné, do ocelové zárubně: Z10, bezp. odolnost: RC3, stav. neprůzv.: -, PO: -, vč. kování a příslušenství dle 069 tabulky dveří</t>
  </si>
  <si>
    <t>-665277812</t>
  </si>
  <si>
    <t>285</t>
  </si>
  <si>
    <t>070</t>
  </si>
  <si>
    <t>D10 vel. 1600x2350 mm, bezpečnostní hlavní vstupní dveře dvoukřídlá, š.1600mm (dělení 1000+600mm) z parteru do nadzemních částí objektu, do hliníkové rámové systémové zárubně: -, vč. kování a příslušenství dle 070 tabulky dveří</t>
  </si>
  <si>
    <t>879491363</t>
  </si>
  <si>
    <t>Poznámka k položce:_x000D_
D10 -  bezpečnostní hlavní vstupní dveře dvoukřídlá, š.1600mm (dělení 1000+600mm) z parteru do nadzemních částí objektu, otevíratelná ve směru úniku, do hliníkové rámové systémové zárubně, rozměr: 1600x2350 ,vč. kování: KP1,MM,  zámku: EMZ, samozavírače: SN2 a doplňky: Z2, KL ; specifikace a další viz. tabulky dveří. Poznámka: Typ bude vybrán na základě vzorků dodavatele a vzorek potvrdí architekt projektu. Požární odolnost: -</t>
  </si>
  <si>
    <t>286</t>
  </si>
  <si>
    <t>071</t>
  </si>
  <si>
    <t>D20 vel. 1500x2100 mm, interiérové hliníkové dveře dvoukřídlé celoprosklené, dělení 1000+500mm, s bezpečnostními prvky proti propadnutí, neuzamykatelné, do hliníkové rámové zárubně:Z30, bezp. odolnost: ESG, vč. kování a příslušenství dle 071 tabulky dveří</t>
  </si>
  <si>
    <t>71899034</t>
  </si>
  <si>
    <t>Poznámka k položce:_x000D_
D20 -  interiérové hliníkové dveře dvoukřídlé celoprosklené, š.1500mm (dělení 1000+500mm), s bezpečnostními prvky proti propadnutí dle požadavek bodu 3.4.2 přílohy k NV. č. 101/2005 Sb. (výrazné pruhy ve výšce 1,1 a 1.6m), otevíravé ve směru úniku, neuzamykatelné, do hliníkové rámové zárubně, rozměr: 1500x2100 ,vč. kování: KP1,MM,  zámku: -, samozavírače: SN2 a doplňky: Z2 ; specifikace a další viz. tabulky dveří. Poznámka: Typ bude vybrán na základě vzorků dodavatele a vzorek potvrdí architekt projektu. Požární odolnost: -</t>
  </si>
  <si>
    <t>287</t>
  </si>
  <si>
    <t>072</t>
  </si>
  <si>
    <t>D22 vel. 900x2100 mm, vstupní dveře do obchodních jednotek, š.900mm, bezpečnostní protipožární protihlukové do ocelové polodrážkové zárubně: Z10, bezp. odolnost: RC3, stav. neprůzv.: 32 dB, PO: EW45DP2, vč. kování a příslušenství dle 072 tabulky dveří</t>
  </si>
  <si>
    <t>904564243</t>
  </si>
  <si>
    <t>Poznámka k položce:_x000D_
D22 - Jednokřídlé vstupní dveře do obchodních jednotek, š.900mm, bezpečnostní protipožární protihlukové do ocelové polodrážkové zárubně, rozměr: 900x2100 ,vč. kování: KP1,  zámku: ZP, samozavírače: SN1 a doplňky: Z2, P ; specifikace a další viz. tabulky dveří. Poznámka: Typ bude vybrán na základě vzorků dodavatele a vzorek potvrdí architekt projektu. Požární odolnost: EW45DP2</t>
  </si>
  <si>
    <t>288</t>
  </si>
  <si>
    <t>073</t>
  </si>
  <si>
    <t>D23 vel. 700x2100 mm, interiérové dveře otevíravé, š.700mm, plné, bezpolodrážkové se skrytými panty: Z40, bezp. odolnost: -, stav. neprůzv.: -, PO: -, vč. kování a příslušenství dle 073 tabulky dveří</t>
  </si>
  <si>
    <t>750175206</t>
  </si>
  <si>
    <t>Poznámka k položce:_x000D_
D23 - Jednokřídlé interiérové dveře otevíravé, š.700mm, plné, bezpolodrážkové se skrytými panty, rozměr: 700x2100 ,vč. kování: K1,  zámku: ZWC, samozavírače: - a doplňky: Z2 ; specifikace a další viz. tabulky dveří. Poznámka: Typ bude vybrán na základě vzorků dodavatele a vzorek potvrdí architekt projektu. Požární odolnost: -</t>
  </si>
  <si>
    <t>289</t>
  </si>
  <si>
    <t>074</t>
  </si>
  <si>
    <t xml:space="preserve">D25 vel. 800x2100 mm, interiérové dveře otevíravé, š.800mm, plné, bezpolodrážkové se skrytými panty: Z40, bezp. odolnost: -, stav. neprůzv.: -, PO: -, vč. kování a příslušenství </t>
  </si>
  <si>
    <t>-781839367</t>
  </si>
  <si>
    <t>Poznámka k položce:_x000D_
D25 - Jednokřídlé interiérové dveře otevíinteriérové dveře otevíravé, š.800mm, plné, bezpolodrážkové se skrytými pantyravé, š.800mm, plné, bezpolodrážkové se skrytými panty, rozměr: 800x2100 ,vč. kování: KP1,  zámku: -, samozavírače: SN1 a doplňky: - ; specifikace a další viz. tabulky dveří. Poznámka: Typ bude vybrán na základě vzorků dodavatele a vzorek potvrdí architekt projektu. Požární odolnost: -</t>
  </si>
  <si>
    <t>290</t>
  </si>
  <si>
    <t>075</t>
  </si>
  <si>
    <t>D23 vel. 700x2100 mm, interiérové dveře otevíravé, š.700mm, plné, bezpolodrážkové se skrytými panty: Z40, bezp. odolnost: -, stav. neprůzv.: -, PO: -, vč. kování a příslušenství dle 075 tabulky dveří</t>
  </si>
  <si>
    <t>98053631</t>
  </si>
  <si>
    <t>Poznámka k položce:_x000D_
D23 - Jednokřídlé interiérové dveře otevíravé, š.700mm, plné, bezpolodrážkové se skrytými panty, rozměr: 700x2100 ,vč. kování: K2,  zámku: ZWC, samozavírače: - a doplňky: Z2 ; specifikace a další viz. tabulky dveří. Poznámka: Typ bude vybrán na základě vzorků dodavatele a vzorek potvrdí architekt projektu. Požární odolnost: -</t>
  </si>
  <si>
    <t>291</t>
  </si>
  <si>
    <t>076</t>
  </si>
  <si>
    <t>D24 vel. 700x2100 mm, interiérové dveře posuvné, š.700mm, plné, do stavebního pouzda pro zděné stěny: Z50, bezp. odolnost: -, stav. neprůzv.: -, PO: -, vč. kování a příslušenství dle 076 tabulky dveří</t>
  </si>
  <si>
    <t>-358594352</t>
  </si>
  <si>
    <t>Poznámka k položce:_x000D_
D24 - Jednokřídlé interiérové dveře posuvné, š.700mm, plné, do stavebního pouzda pro zděné stěny, rozměr: 700x2100 ,vč. kování: K1,  zámku: ZD, samozavírače: - a doplňky: - ; specifikace a další viz. tabulky dveří. Poznámka: Typ bude vybrán na základě vzorků dodavatele a vzorek potvrdí architekt projektu. Požární odolnost: -</t>
  </si>
  <si>
    <t>292</t>
  </si>
  <si>
    <t>077</t>
  </si>
  <si>
    <t>D22 vel. 900x2100 mm, vstupní dveře do obchodních jednotek, š.900mm, bezpečnostní protipožární protihlukové do ocelové polodrážkové zárubně: Z10, bezp. odolnost: RC3, stav. neprůzv.: 32 dB, PO: EW45DP2, vč. kování a příslušenství dle 077 tabulky dveří</t>
  </si>
  <si>
    <t>-2058296357</t>
  </si>
  <si>
    <t>293</t>
  </si>
  <si>
    <t>078</t>
  </si>
  <si>
    <t>D23 vel. 700x2100 mm, interiérové dveře otevíravé, š.700mm, plné, bezpolodrážkové se skrytými panty: Z40, bezp. odolnost: -, stav. neprůzv.: -, PO: -, vč. kování a příslušenství dle 078 tabulky dveří</t>
  </si>
  <si>
    <t>-12414520</t>
  </si>
  <si>
    <t>294</t>
  </si>
  <si>
    <t>079</t>
  </si>
  <si>
    <t>D25 vel. 800x2100 mm, interiérové dveře otevíinteriérové dveře otevíravé, š.800mm, plné, bezpolodrážkové se skrytými panty: Z40, bezp. odolnost: -, stav. neprůzv.: -, PO: -, vč. kování a příslušenství dle 079 tabulky dveří</t>
  </si>
  <si>
    <t>1648920536</t>
  </si>
  <si>
    <t>295</t>
  </si>
  <si>
    <t>080</t>
  </si>
  <si>
    <t>D23 vel. 700x2100 mm, interiérové dveře otevíravé, š.700mm, plné, bezpolodrážkové se skrytými panty: Z40, bezp. odolnost: -, stav. neprůzv.: -, PO: -, vč. kování a příslušenství dle 080 tabulky dveří</t>
  </si>
  <si>
    <t>-1321309763</t>
  </si>
  <si>
    <t>296</t>
  </si>
  <si>
    <t>081</t>
  </si>
  <si>
    <t>D23 vel. 700x2100 mm, interiérové dveře otevíravé, š.700mm, plné, bezpolodrážkové se skrytými panty: Z40, bezp. odolnost: -, stav. neprůzv.: -, PO: -, vč. kování a příslušenství dle 081 tabulky dveří</t>
  </si>
  <si>
    <t>1929530683</t>
  </si>
  <si>
    <t>297</t>
  </si>
  <si>
    <t>082</t>
  </si>
  <si>
    <t>D22 vel. 900x2100 mm, vstupní dveře do obchodních jednotek, š.900mm, bezpečnostní protipožární protihlukové do ocelové polodrážkové zárubně: Z10, bezp. odolnost: RC3, stav. neprůzv.: 32 dB, PO: EW45DP2, vč. kování a příslušenství dle 082 tabulky dveří</t>
  </si>
  <si>
    <t>1331482641</t>
  </si>
  <si>
    <t>298</t>
  </si>
  <si>
    <t>083</t>
  </si>
  <si>
    <t>D25 vel. 800x2100 mm, interiérové dveře otevíravé, š.800mm, plné, bezpolodrážkové se skrytými panty: Z40, bezp. odolnost: -, stav. neprůzv.: -, PO: -, vč. kování a příslušenství dle 083 tabulky dveří</t>
  </si>
  <si>
    <t>1048062244</t>
  </si>
  <si>
    <t>Poznámka k položce:_x000D_
D25 - Jednokřídlé interiérové dveře otevíinteriérové dveře otevíravé, š.800mm, plné, bezpolodrážkové se skrytými pantyravé, š.800mm, plné, bezpolodrážkové se skrytými panty, rozměr: 800x2100 ,vč. kování: K1,  zámku: ZD, samozavírače: - a doplňky: - ; specifikace a další viz. tabulky dveří. Poznámka: Typ bude vybrán na základě vzorků dodavatele a vzorek potvrdí architekt projektu. Požární odolnost: -</t>
  </si>
  <si>
    <t>299</t>
  </si>
  <si>
    <t>084</t>
  </si>
  <si>
    <t>D23 vel. 700x2100 mm, interiérové dveře otevíravé, š.700mm, plné, bezpolodrážkové se skrytými panty: Z40, bezp. odolnost: -, stav. neprůzv.: -, PO: -, vč. kování a příslušenství dle 084 tabulky dveří</t>
  </si>
  <si>
    <t>81686712</t>
  </si>
  <si>
    <t>300</t>
  </si>
  <si>
    <t>085</t>
  </si>
  <si>
    <t>D23 vel. 700x2100 mm, interiérové dveře otevíravé, š.700mm, plné, bezpolodrážkové se skrytými panty: Z40, bezp. odolnost: -, stav. neprůzv.: -, PO: -, vč. kování a příslušenství dle 085 tabulky dveří</t>
  </si>
  <si>
    <t>-1490729378</t>
  </si>
  <si>
    <t>301</t>
  </si>
  <si>
    <t>086</t>
  </si>
  <si>
    <t>D11 vel. 900x2350 mm, bezpečnostní únikové dveře, š.900mm, z nadzemních částí objektu do parteru, do hliníkové systémové rámové zárubně: Z21, bezp. odolnost: RC3, ESG, stav. neprůzv.: -, PO: -, vč. kování a příslušenství dle 086 tabulky dveří</t>
  </si>
  <si>
    <t>-1824725081</t>
  </si>
  <si>
    <t>Poznámka k položce:_x000D_
D11 - Jednokřídlé bezpečnostní únikové dveře, š.900mm, z nadzemních částí objektu do parteru, otevíratelná proti směru úniku, do hliníkové systémové rámové zárubně, rozměr: 900x2350 ,vč. kování: KP1,MM,  zámku: -, samozavírače: SN1 a doplňky: CT1 ; specifikace a další viz. tabulky dveří. Poznámka: Typ bude vybrán na základě vzorků dodavatele a vzorek potvrdí architekt projektu. Požární odolnost: -</t>
  </si>
  <si>
    <t>302</t>
  </si>
  <si>
    <t>087</t>
  </si>
  <si>
    <t>D21 vel. 900x2100 mm, bytové vstupní dveře, š.900mm, bezpečnostní protipožární protihlukové do ocelové polodrážkové zárubně: Z10, bezp. odolnost: RC3, stav. neprůzv.: 32 dB, PO: EW30DP3, vč. kování a příslušenství dle 087 tabulky dveří</t>
  </si>
  <si>
    <t>2145114861</t>
  </si>
  <si>
    <t>Poznámka k položce:_x000D_
D21 - Jednokřídlé bytové vstupní dveře, š.900mm, bezpečnostní protipožární protihlukové do ocelové polodrážkové zárubně, rozměr: 900x2100 ,vč. kování: KK1,  zámku: ZZ, samozavírače: - a doplňky: P,S ; specifikace a další viz. tabulky dveří. Poznámka: Typ bude vybrán na základě vzorků dodavatele a vzorek potvrdí architekt projektu. Požární odolnost: EW30DP3</t>
  </si>
  <si>
    <t>303</t>
  </si>
  <si>
    <t>088</t>
  </si>
  <si>
    <t>D31 vel. 800x2100 mm, interiérové dveře otevíravé, š.800mm, plné, bezpolodrážkové se skrytými panty: Z40, bezp. odolnost: -, stav. neprůzv.: -, PO: -, vč. kování a příslušenství dle 088 tabulky dveří</t>
  </si>
  <si>
    <t>-1366788796</t>
  </si>
  <si>
    <t>Poznámka k položce:_x000D_
D31 - Jednokřídlé interiérové dveře otevíravé, š.800mm, plné, bezpolodrážkové se skrytými panty, rozměr: 800x2100 ,vč. kování: K1,  zámku: ZD, samozavírače: - a doplňky: Z2 ; specifikace a další viz. tabulky dveří. Poznámka: Typ bude vybrán na základě vzorků dodavatele a vzorek potvrdí architekt projektu. Požární odolnost: -</t>
  </si>
  <si>
    <t>304</t>
  </si>
  <si>
    <t>089</t>
  </si>
  <si>
    <t>D34 vel. 700x2100 mm, interiérové dveře otevíravé, š.700mm, plné, bezpolodrážkové se skrytými panty: Z40, bezp. odolnost: -, stav. neprůzv.: -, PO: -, vč. kování a příslušenství dle 089 tabulky dveří</t>
  </si>
  <si>
    <t>-353415773</t>
  </si>
  <si>
    <t>Poznámka k položce:_x000D_
D34 - Jednokřídlé interiérové dveře otevíravé, š.700mm, plné, bezpolodrážkové se skrytými panty, rozměr: 700x2100 ,vč. kování: K2,  zámku: ZWC, samozavírače: - a doplňky: Z2 ; specifikace a další viz. tabulky dveří. Poznámka: Typ bude vybrán na základě vzorků dodavatele a vzorek potvrdí architekt projektu. Požární odolnost: -</t>
  </si>
  <si>
    <t>305</t>
  </si>
  <si>
    <t>090</t>
  </si>
  <si>
    <t>D33 vel. 1200x2100 mm, interiérové dveře otevíravé dvoukřídlé, š.1200mm (dělení 800+400mm), celoprosklené, bezpolodrážkové se skrytými panty: Z40, bezp. odolnost: ESG, stav. neprůzv.: -, PO: -, vč. kování a příslušenství dle 090 tabulky dveří</t>
  </si>
  <si>
    <t>787346989</t>
  </si>
  <si>
    <t>Poznámka k položce:_x000D_
D33 -  interiérové dveře otevíravé dvoukřídlé, š.1200mm (dělení 800+400mm), celoprosklené, bezpolodrážkové se skrytými panty, rozměr: 1200x2100 ,vč. kování: K1,  zámku: ZD, samozavírače: - a doplňky: Z2 ; specifikace a další viz. tabulky dveří. Poznámka: Typ bude vybrán na základě vzorků dodavatele a vzorek potvrdí architekt projektu. Požární odolnost: -</t>
  </si>
  <si>
    <t>306</t>
  </si>
  <si>
    <t>091</t>
  </si>
  <si>
    <t>D35 vel. 700x2100 mm, interiérové dveře posuvné, š.700mm, plné, do stavebního pouzda pro zděné stěny: Z50, bezp. odolnost: -, stav. neprůzv.: -, PO: -, vč. kování a příslušenství dle 091 tabulky dveří</t>
  </si>
  <si>
    <t>119053331</t>
  </si>
  <si>
    <t>Poznámka k položce:_x000D_
D35 - Jednokřídlé interiérové dveře posuvné, š.700mm, plné, do stavebního pouzda pro zděné stěny, rozměr: 700x2100 ,vč. kování: K1,  zámku: ZD, samozavírače: - a doplňky: - ; specifikace a další viz. tabulky dveří. Poznámka: Typ bude vybrán na základě vzorků dodavatele a vzorek potvrdí architekt projektu. Požární odolnost: -</t>
  </si>
  <si>
    <t>307</t>
  </si>
  <si>
    <t>092</t>
  </si>
  <si>
    <t>D21 vel. 900x2100 mm, bytové vstupní dveře, š.900mm, bezpečnostní protipožární protihlukové do ocelové polodrážkové zárubně: Z10, bezp. odolnost: RC3, stav. neprůzv.: 32 dB, PO: EW30DP3, vč. kování a příslušenství dle 092 tabulky dveří</t>
  </si>
  <si>
    <t>-813974699</t>
  </si>
  <si>
    <t>308</t>
  </si>
  <si>
    <t>093</t>
  </si>
  <si>
    <t>D34 vel. 700x2100 mm, interiérové dveře otevíravé, š.700mm, plné, bezpolodrážkové se skrytými panty: Z40, bezp. odolnost: -, stav. neprůzv.: -, PO: -, vč. kování a příslušenství dle 093 tabulky dveří</t>
  </si>
  <si>
    <t>-66497246</t>
  </si>
  <si>
    <t>309</t>
  </si>
  <si>
    <t>094</t>
  </si>
  <si>
    <t>D31 vel. 800x2100 mm, interiérové dveře otevíravé, š.800mm, plné, bezpolodrážkové se skrytými panty: Z40, bezp. odolnost: -, stav. neprůzv.: -, PO: -, vč. kování a příslušenství dle 094 tabulky dveří</t>
  </si>
  <si>
    <t>-1684056316</t>
  </si>
  <si>
    <t>310</t>
  </si>
  <si>
    <t>095</t>
  </si>
  <si>
    <t>D33 vel. 1200x2100 mm, interiérové dveře otevíravé dvoukřídlé, š.1200mm (dělení 800+400mm), celoprosklené, bezpolodrážkové se skrytými panty: Z40, bezp. odolnost: ESG, stav. neprůzv.: -, PO: -, vč. kování a příslušenství dle 095 tabulky dveří</t>
  </si>
  <si>
    <t>840543478</t>
  </si>
  <si>
    <t>311</t>
  </si>
  <si>
    <t>096</t>
  </si>
  <si>
    <t>D21 vel. 900x2100 mm, bytové vstupní dveře, š.900mm, bezpečnostní protipožární protihlukové do ocelové polodrážkové zárubně: Z10, bezp. odolnost: RC3, stav. neprůzv.: 32 dB, PO: EW30DP3, vč. kování a příslušenství dle 096 tabulky dveří</t>
  </si>
  <si>
    <t>1505529532</t>
  </si>
  <si>
    <t>312</t>
  </si>
  <si>
    <t>097</t>
  </si>
  <si>
    <t>D31 vel. 800x2100 mm, interiérové dveře otevíravé, š.800mm, plné, bezpolodrážkové se skrytými panty: Z40, bezp. odolnost: -, stav. neprůzv.: -, PO: -, vč. kování a příslušenství dle 097 tabulky dveří</t>
  </si>
  <si>
    <t>645924435</t>
  </si>
  <si>
    <t>313</t>
  </si>
  <si>
    <t>098</t>
  </si>
  <si>
    <t>D33 vel. 1200x2100 mm, interiérové dveře otevíravé dvoukřídlé, š.1200mm (dělení 800+400mm), celoprosklené, bezpolodrážkové se skrytými panty: Z40, bezp. odolnost: ESG, stav. neprůzv.: -, PO: -, vč. kování a příslušenství dle 098 tabulky dveří</t>
  </si>
  <si>
    <t>-647206992</t>
  </si>
  <si>
    <t>Poznámka k položce:_x000D_
D33 -  interiérové dveře otevíravé dvoukřídlé, š.1200mm (dělení 800+400mm), celoprosklené, bezpolodrážkové se skrytými panty, rozměr: 1200x2100 ,vč. kování: K1,  zámku: -, samozavírače: - a doplňky: - ; specifikace a další viz. tabulky dveří. Poznámka: Typ bude vybrán na základě vzorků dodavatele a vzorek potvrdí architekt projektu. Požární odolnost: -</t>
  </si>
  <si>
    <t>314</t>
  </si>
  <si>
    <t>099</t>
  </si>
  <si>
    <t>D34 vel. 700x2100 mm, interiérové dveře otevíravé, š.700mm, plné, bezpolodrážkové se skrytými panty: Z40, bezp. odolnost: -, stav. neprůzv.: -, PO: -, vč. kování a příslušenství dle 099 tabulky dveří</t>
  </si>
  <si>
    <t>757682161</t>
  </si>
  <si>
    <t>315</t>
  </si>
  <si>
    <t>D21 vel. 900x2100 mm, bytové vstupní dveře, š.900mm, bezpečnostní protipožární protihlukové do ocelové polodrážkové zárubně: Z10, bezp. odolnost: RC3, stav. neprůzv.: 32 dB, PO: EW30DP3, vč. kování a příslušenství dle 100 tabulky dveří</t>
  </si>
  <si>
    <t>-2008523885</t>
  </si>
  <si>
    <t>316</t>
  </si>
  <si>
    <t>D35 vel. 700x2100 mm, interiérové dveře posuvné, š.700mm, plné, do stavebního pouzda pro zděné stěny: Z50, bezp. odolnost: -, stav. neprůzv.: -, PO: -, vč. kování a příslušenství dle 101 tabulky dveří</t>
  </si>
  <si>
    <t>1481262303</t>
  </si>
  <si>
    <t>Poznámka k položce:_x000D_
D35 - Jednokřídlé interiérové dveře posuvné, š.700mm, plné, do stavebního pouzda pro zděné stěny, rozměr: 700x2100 ,vč. kování: K2,  zámku: ZWC, samozavírače: - a doplňky: - ; specifikace a další viz. tabulky dveří. Poznámka: Typ bude vybrán na základě vzorků dodavatele a vzorek potvrdí architekt projektu. Požární odolnost: -</t>
  </si>
  <si>
    <t>317</t>
  </si>
  <si>
    <t>D33 vel. 1200x2100 mm, interiérové dveře otevíravé dvoukřídlé, š.1200mm (dělení 800+400mm), celoprosklené, bezpolodrážkové se skrytými panty: Z40, bezp. odolnost: ESG, stav. neprůzv.: -, PO: -, vč. kování a příslušenství dle 102 tabulky dveří</t>
  </si>
  <si>
    <t>-328019218</t>
  </si>
  <si>
    <t>318</t>
  </si>
  <si>
    <t>D31 vel. 800x2100 mm, interiérové dveře otevíravé, š.800mm, plné, bezpolodrážkové se skrytými panty: Z40, bezp. odolnost: -, stav. neprůzv.: -, PO: -, vč. kování a příslušenství dle 104 tabulky dveří</t>
  </si>
  <si>
    <t>1815813301</t>
  </si>
  <si>
    <t>319</t>
  </si>
  <si>
    <t>D34 vel. 700x2100 mm, interiérové dveře otevíravé, š.700mm, plné, bezpolodrážkové se skrytými panty: Z40, bezp. odolnost: -, stav. neprůzv.: -, PO: -, vč. kování a příslušenství dle 105 tabulky dveří</t>
  </si>
  <si>
    <t>911576417</t>
  </si>
  <si>
    <t>320</t>
  </si>
  <si>
    <t>D33 vel. 1200x2100 mm, interiérové dveře otevíravé dvoukřídlé, š.1200mm (dělení 800+400mm), celoprosklené, bezpolodrážkové se skrytými panty: Z40, bezp. odolnost: ESG, stav. neprůzv.: -, PO: -, vč. kování a příslušenství dle 106 tabulky dveří</t>
  </si>
  <si>
    <t>544130058</t>
  </si>
  <si>
    <t>321</t>
  </si>
  <si>
    <t>D34 vel. 700x2100 mm, interiérové dveře otevíravé, š.700mm, plné, bezpolodrážkové se skrytými panty: Z40, bezp. odolnost: -, stav. neprůzv.: -, PO: -, vč. kování a příslušenství dle 107 tabulky dveří</t>
  </si>
  <si>
    <t>-247402566</t>
  </si>
  <si>
    <t>Poznámka k položce:_x000D_
D34 - Jednokřídlé interiérové dveře otevíravé, š.700mm, plné, bezpolodrážkové se skrytými panty, rozměr: 700x2100 ,vč. kování: K1,  zámku: ZD, samozavírače: - a doplňky: Z2 ; specifikace a další viz. tabulky dveří. Poznámka: Typ bude vybrán na základě vzorků dodavatele a vzorek potvrdí architekt projektu. Požární odolnost: -</t>
  </si>
  <si>
    <t>322</t>
  </si>
  <si>
    <t>D21 vel. 900x2100 mm, bytové vstupní dveře, š.900mm, bezpečnostní protipožární protihlukové do ocelové polodrážkové zárubně: Z10, bezp. odolnost: RC3, stav. neprůzv.: 32 dB, PO: EW30DP3, vč. kování a příslušenství dle 108 tabulky dveří</t>
  </si>
  <si>
    <t>-1683649143</t>
  </si>
  <si>
    <t>323</t>
  </si>
  <si>
    <t>D21 vel. 900x2100 mm, bytové vstupní dveře, š.900mm, bezpečnostní protipožární protihlukové do ocelové polodrážkové zárubně: Z10, bezp. odolnost: RC3, stav. neprůzv.: 32 dB, PO: EW30DP3, vč. kování a příslušenství dle 109 tabulky dveří</t>
  </si>
  <si>
    <t>-1819706810</t>
  </si>
  <si>
    <t>324</t>
  </si>
  <si>
    <t>D33 vel. 1200x2100 mm, interiérové dveře otevíravé dvoukřídlé, š.1200mm (dělení 800+400mm), celoprosklené, bezpolodrážkové se skrytými panty: Z40, bezp. odolnost: ESG, stav. neprůzv.: -, PO: -, vč. kování a příslušenství dle 110 tabulky dveří</t>
  </si>
  <si>
    <t>-1751224388</t>
  </si>
  <si>
    <t>325</t>
  </si>
  <si>
    <t>D34 vel. 700x2100 mm, interiérové dveře otevíravé, š.700mm, plné, bezpolodrážkové se skrytými panty: Z40, bezp. odolnost: -, stav. neprůzv.: -, PO: -, vč. kování a příslušenství dle 111 tabulky dveří</t>
  </si>
  <si>
    <t>609556358</t>
  </si>
  <si>
    <t>326</t>
  </si>
  <si>
    <t>D31 vel. 800x2100 mm, interiérové dveře otevíravé, š.800mm, plné, bezpolodrážkové se skrytými panty: Z40, bezp. odolnost: -, stav. neprůzv.: -, PO: -, vč. kování a příslušenství dle 112 tabulky dveří</t>
  </si>
  <si>
    <t>-1502246765</t>
  </si>
  <si>
    <t>327</t>
  </si>
  <si>
    <t>D34 vel. 700x2100 mm, interiérové dveře otevíravé, š.700mm, plné, bezpolodrážkové se skrytými panty: Z40, bezp. odolnost: -, stav. neprůzv.: -, PO: -, vč. kování a příslušenství dle 113 tabulky dveří</t>
  </si>
  <si>
    <t>-159178300</t>
  </si>
  <si>
    <t>328</t>
  </si>
  <si>
    <t>D21 vel. 900x2100 mm, bytové vstupní dveře, š.900mm, bezpečnostní protipožární protihlukové do ocelové polodrážkové zárubně: Z10, bezp. odolnost: RC3, stav. neprůzv.: 32 dB, PO: EW30DP3, vč. kování a příslušenství dle 114 tabulky dveří</t>
  </si>
  <si>
    <t>-1825064814</t>
  </si>
  <si>
    <t>329</t>
  </si>
  <si>
    <t>D34 vel. 700x2100 mm, interiérové dveře otevíravé, š.700mm, plné, bezpolodrážkové se skrytými panty: Z40, bezp. odolnost: -, stav. neprůzv.: -, PO: -, vč. kování a příslušenství dle 115 tabulky dveří</t>
  </si>
  <si>
    <t>1571405960</t>
  </si>
  <si>
    <t>330</t>
  </si>
  <si>
    <t>D31 vel. 800x2100 mm, interiérové dveře otevíravé, š.800mm, plné, bezpolodrážkové se skrytými panty: Z40, bezp. odolnost: -, stav. neprůzv.: -, PO: -, vč. kování a příslušenství dle 116 tabulky dveří</t>
  </si>
  <si>
    <t>-1488219381</t>
  </si>
  <si>
    <t>331</t>
  </si>
  <si>
    <t>D31 vel. 800x2100 mm, interiérové dveře otevíravé, š.800mm, plné, bezpolodrážkové se skrytými panty: Z40, bezp. odolnost: -, stav. neprůzv.: -, PO: -, vč. kování a příslušenství dle 117 tabulky dveří</t>
  </si>
  <si>
    <t>895901704</t>
  </si>
  <si>
    <t>332</t>
  </si>
  <si>
    <t>D34 vel. 700x2100 mm, interiérové dveře otevíravé, š.700mm, plné, bezpolodrážkové se skrytými panty: Z40, bezp. odolnost: -, stav. neprůzv.: -, PO: -, vč. kování a příslušenství dle 118 tabulky dveří</t>
  </si>
  <si>
    <t>1606009615</t>
  </si>
  <si>
    <t>333</t>
  </si>
  <si>
    <t>D31 vel. 800x2100 mm, interiérové dveře otevíravé, š.800mm, plné, bezpolodrážkové se skrytými panty: Z40, bezp. odolnost: -, stav. neprůzv.: -, PO: -, vč. kování a příslušenství dle 119 tabulky dveří</t>
  </si>
  <si>
    <t>-1039290693</t>
  </si>
  <si>
    <t>334</t>
  </si>
  <si>
    <t>D10 vel. 1600x2350 mm, bezpečnostní hlavní vstupní dveře dvoukřídlá, š.1600mm (dělení 1000+600mm), do hliníkové rámové systémové zárubně: Z20, bezp. odolnost: RC3,ESG, stav. neprůzv.: -, PO: -, vč. kování a příslušenství dle 120 tabulky dveří</t>
  </si>
  <si>
    <t>-2038074097</t>
  </si>
  <si>
    <t>Poznámka k položce:_x000D_
D10 -  bezpečnostní hlavní vstupní dveře dvoukřídlá, š.1600mm (dělení 1000+600mm) z parteru do nadzemních částí objektu, otevíratelná ve směru úniku, do hliníkové rámové systémové zárubně, rozměr: 1600x2350 ,vč. kování: KP1,MM,  zámku: EMZ, samozavírače: SN2 a doplňky: Z2,KL ; specifikace a další viz. tabulky dveří. Poznámka: Typ bude vybrán na základě vzorků dodavatele a vzorek potvrdí architekt projektu. Požární odolnost: -</t>
  </si>
  <si>
    <t>335</t>
  </si>
  <si>
    <t>D20 vel. 1500x2100 mm, interiérové hliníkové dveře dvoukřídlé celoprosklené, š.1500mm, s bezpečnostními prvky proti propadnutí, neuzamykatelné, do hliníkové rámové zárubně: Z30, bezp. odolnost: ESG, vč. kování a příslušenství dle 121 tabulky dveří</t>
  </si>
  <si>
    <t>-273268459</t>
  </si>
  <si>
    <t>336</t>
  </si>
  <si>
    <t>D21 vel. 900x2100 mm, bytové vstupní dveře, š.900mm, bezpečnostní protipožární protihlukové do ocelové polodrážkové zárubně: Z10, bezp. odolnost: RC3, stav. neprůzv.: 32 dB, PO: EW30DP3, vč. kování a příslušenství dle 122 tabulky dveří</t>
  </si>
  <si>
    <t>1304222083</t>
  </si>
  <si>
    <t>337</t>
  </si>
  <si>
    <t>D31 vel. 800x2100 mm, interiérové dveře otevíravé, š.800mm, plné, bezpolodrážkové se skrytými panty: Z40, bezp. odolnost: -, stav. neprůzv.: -, PO: -, vč. kování a příslušenství dle 123 tabulky dveří</t>
  </si>
  <si>
    <t>303131262</t>
  </si>
  <si>
    <t>338</t>
  </si>
  <si>
    <t>D33 vel. 1200x2100 mm, interiérové dveře otevíravé dvoukřídlé, š.1200mm (dělení 800+400mm), celoprosklené, bezpolodrážkové se skrytými panty: Z40, bezp. odolnost: ESG, stav. neprůzv.: -, PO: -, vč. kování a příslušenství dle 124 tabulky dveří</t>
  </si>
  <si>
    <t>-1128857880</t>
  </si>
  <si>
    <t>339</t>
  </si>
  <si>
    <t>D34 vel. 700x2100 mm, interiérové dveře otevíravé, š.700mm, plné, bezpolodrážkové se skrytými panty: Z40, bezp. odolnost: -, stav. neprůzv.: -, PO: -, vč. kování a příslušenství dle 125 tabulky dveří</t>
  </si>
  <si>
    <t>967514073</t>
  </si>
  <si>
    <t>340</t>
  </si>
  <si>
    <t>D31 vel. 800x2100 mm, interiérové dveře otevíravé, š.800mm, plné, bezpolodrážkové se skrytými panty: Z40, bezp. odolnost: -, stav. neprůzv.: -, PO: -, vč. kování a příslušenství dle 126 tabulky dveří</t>
  </si>
  <si>
    <t>-1939230426</t>
  </si>
  <si>
    <t>341</t>
  </si>
  <si>
    <t>D21 vel. 900x2100 mm, bytové vstupní dveře, š.900mm, bezpečnostní protipožární protihlukové do ocelové polodrážkové zárubně: Z10, bezp. odolnost: RC3, stav. neprůzv.: 32 dB, PO: EW30DP3, vč. kování a příslušenství dle 127 tabulky dveří</t>
  </si>
  <si>
    <t>1462657886</t>
  </si>
  <si>
    <t>342</t>
  </si>
  <si>
    <t>D21 vel. 900x2100 mm, bytové vstupní dveře, š.900mm, bezpečnostní protipožární protihlukové do ocelové polodrážkové zárubně: Z10, bezp. odolnost: RC3, stav. neprůzv.: 32 dB, PO: EW30DP3, vč. kování a příslušenství dle 128 tabulky dveří</t>
  </si>
  <si>
    <t>-3768891</t>
  </si>
  <si>
    <t>343</t>
  </si>
  <si>
    <t>D33 vel. 1200x2100 mm, interiérové dveře otevíravé dvoukřídlé, š.1200mm (dělení 800+400mm), celoprosklené, bezpolodrážkové se skrytými panty: Z40, bezp. odolnost: ESG, stav. neprůzv.: -, PO: -, vč. kování a příslušenství dle 129 tabulky dveří</t>
  </si>
  <si>
    <t>36022861</t>
  </si>
  <si>
    <t>344</t>
  </si>
  <si>
    <t>D36 vel. 1600x2100 mm, interiérové dveře otevíravé dvoukřídlé, š.1600mm (dělení 900+700mm), celoprosklené, bezpolodrážkové se skrytými panty: Z40, bezp. odolnost: ESG, stav. neprůzv.: -, PO: -, vč. kování a příslušenství dle 130 tabulky dveří</t>
  </si>
  <si>
    <t>-1645022321</t>
  </si>
  <si>
    <t>Poznámka k položce:_x000D_
D36 -  interiérové dveře otevíravé dvoukřídlé, š.1600mm (dělení 900+700mm), celoprosklené, bezpolodrážkové se skrytými panty, rozměr: 1600x2100 ,vč. kování: K1,  zámku: ZD, samozavírače: - a doplňky: - ; specifikace a další viz. tabulky dveří. Poznámka: Typ bude vybrán na základě vzorků dodavatele a vzorek potvrdí architekt projektu. Požární odolnost: -</t>
  </si>
  <si>
    <t>345</t>
  </si>
  <si>
    <t>D34 vel. 700x2100 mm, interiérové dveře otevíravé, š.700mm, plné, bezpolodrážkové se skrytými panty: Z40, bezp. odolnost: -, stav. neprůzv.: -, PO: -, vč. kování a příslušenství dle 132 tabulky dveří</t>
  </si>
  <si>
    <t>-1682472997</t>
  </si>
  <si>
    <t>346</t>
  </si>
  <si>
    <t>D31 vel. 800x2100 mm, interiérové dveře otevíravé, š.800mm, plné, bezpolodrážkové se skrytými panty: Z40, bezp. odolnost: -, stav. neprůzv.: -, PO: -, vč. kování a příslušenství dle 133 tabulky dveří</t>
  </si>
  <si>
    <t>893148482</t>
  </si>
  <si>
    <t>347</t>
  </si>
  <si>
    <t>D21 vel. 900x2100 mm, bytové vstupní dveře, š.900mm, bezpečnostní protipožární protihlukové do ocelové polodrážkové zárubně: Z10, bezp. odolnost: RC3, stav. neprůzv.: 32 dB, PO: EW30DP3, vč. kování a příslušenství dle 134 tabulky dveří</t>
  </si>
  <si>
    <t>328740156</t>
  </si>
  <si>
    <t>D32 vel. 800x2100 mm, interiérové dveře posuvné, š.800mm, plné, do stavebního pouzda pro zděné stěny: Z50, bezp. odolnost: -, stav. neprůzv.: -, PO: -, vč. kování a příslušenství dle 135 tabulky dveří</t>
  </si>
  <si>
    <t>1877930099</t>
  </si>
  <si>
    <t>Poznámka k položce:_x000D_
D32 - Jednokřídlé interiérové dveře posuvné, š.800mm, plné, do stavebního pouzda pro zděné stěny, rozměr: 800x2100 ,vč. kování: K1,  zámku: -, samozavírače: - a doplňky: - ; specifikace a další viz. tabulky dveří. Poznámka: Typ bude vybrán na základě vzorků dodavatele a vzorek potvrdí architekt projektu. Požární odolnost: -</t>
  </si>
  <si>
    <t>349</t>
  </si>
  <si>
    <t>D34 vel. 700x2100 mm, interiérové dveře otevíravé, š.700mm, plné, bezpolodrážkové se skrytými panty: Z40, bezp. odolnost: -, stav. neprůzv.: -, PO: -, vč. kování a příslušenství dle 136 tabulky dveří</t>
  </si>
  <si>
    <t>-1761072902</t>
  </si>
  <si>
    <t>350</t>
  </si>
  <si>
    <t>D33 vel. 1200x2100 mm, interiérové dveře otevíravé dvoukřídlé, š.1200mm (dělení 800+400mm), celoprosklené, bezpolodrážkové se skrytými panty: Z40, bezp. odolnost: ESG, stav. neprůzv.: -, PO: -, vč. kování a příslušenství dle 137 tabulky dveří</t>
  </si>
  <si>
    <t>-1117049595</t>
  </si>
  <si>
    <t>351</t>
  </si>
  <si>
    <t>D31 vel. 800x2100 mm, interiérové dveře otevíravé, š.800mm, plné, bezpolodrážkové se skrytými panty: Z40, bezp. odolnost: -, stav. neprůzv.: -, PO: -, vč. kování a příslušenství dle 138 tabulky dveří</t>
  </si>
  <si>
    <t>-521784253</t>
  </si>
  <si>
    <t>352</t>
  </si>
  <si>
    <t>D34 vel. 700x2100 mm, interiérové dveře otevíravé, š.700mm, plné, bezpolodrážkové se skrytými panty: Z40, bezp. odolnost: -, stav. neprůzv.: -, PO: -, vč. kování a příslušenství dle 139 tabulky dveří</t>
  </si>
  <si>
    <t>-866890731</t>
  </si>
  <si>
    <t>353</t>
  </si>
  <si>
    <t>D31 vel. 800x2100 mm, interiérové dveře otevíravé, š.800mm, plné, bezpolodrážkové se skrytými panty: Z40, bezp. odolnost: -, stav. neprůzv.: -, PO: -, vč. kování a příslušenství dle 140 tabulky dveří</t>
  </si>
  <si>
    <t>-1014288136</t>
  </si>
  <si>
    <t>354</t>
  </si>
  <si>
    <t>D31 vel. 800x2100 mm, interiérové dveře otevíravé, š.800mm, plné, bezpolodrážkové se skrytými panty: Z40, bezp. odolnost: -, stav. neprůzv.: -, PO: -, vč. kování a příslušenství dle 141 tabulky dveří</t>
  </si>
  <si>
    <t>-1358687266</t>
  </si>
  <si>
    <t>355</t>
  </si>
  <si>
    <t>D34 vel. 700x2100 mm, interiérové dveře otevíravé, š.700mm, plné, bezpolodrážkové se skrytými panty: Z40, bezp. odolnost: -, stav. neprůzv.: -, PO: -, vč. kování a příslušenství dle 142 tabulky dveří</t>
  </si>
  <si>
    <t>-604835851</t>
  </si>
  <si>
    <t>356</t>
  </si>
  <si>
    <t>D34 vel. 700x2100 mm, interiérové dveře otevíravé, š.700mm, plné, bezpolodrážkové se skrytými panty: Z40, bezp. odolnost: -, stav. neprůzv.: -, PO: -, vč. kování a příslušenství dle 143 tabulky dveří</t>
  </si>
  <si>
    <t>-1194912621</t>
  </si>
  <si>
    <t>357</t>
  </si>
  <si>
    <t>D21 vel. 900x2100 mm, bytové vstupní dveře, š.900mm, bezpečnostní protipožární protihlukové do ocelové polodrážkové zárubně: Z10, bezp. odolnost: RC3, stav. neprůzv.: 32 dB, PO: EW30DP3, vč. kování a příslušenství dle 144 tabulky dveří</t>
  </si>
  <si>
    <t>-1958634124</t>
  </si>
  <si>
    <t>358</t>
  </si>
  <si>
    <t>D31 vel. 800x2100 mm, interiérové dveře otevíravé, š.800mm, plné, bezpolodrážkové se skrytými panty: Z40, bezp. odolnost: -, stav. neprůzv.: -, PO: -, vč. kování a příslušenství dle 145 tabulky dveří</t>
  </si>
  <si>
    <t>1083912048</t>
  </si>
  <si>
    <t>359</t>
  </si>
  <si>
    <t>D31 vel. 800x2100 mm, interiérové dveře otevíravé, š.800mm, plné, bezpolodrážkové se skrytými panty: Z40, bezp. odolnost: -, stav. neprůzv.: -, PO: -, vč. kování a příslušenství dle 146 tabulky dveří</t>
  </si>
  <si>
    <t>-1335882679</t>
  </si>
  <si>
    <t>360</t>
  </si>
  <si>
    <t>D34 vel. 700x2100 mm, interiérové dveře otevíravé, š.700mm, plné, bezpolodrážkové se skrytými panty: Z40, bezp. odolnost: -, stav. neprůzv.: -, PO: -, vč. kování a příslušenství dle 147 tabulky dveří</t>
  </si>
  <si>
    <t>-945420232</t>
  </si>
  <si>
    <t>361</t>
  </si>
  <si>
    <t>D34 vel. 700x2100 mm, interiérové dveře otevíravé, š.700mm, plné, bezpolodrážkové se skrytými panty: Z40, bezp. odolnost: -, stav. neprůzv.: -, PO: -, vč. kování a příslušenství dle 148 tabulky dveří</t>
  </si>
  <si>
    <t>-1931815399</t>
  </si>
  <si>
    <t>362</t>
  </si>
  <si>
    <t>D33 vel. 1200x2100 mm, interiérové dveře otevíravé dvoukřídlé, š.1200mm (dělení 800+400mm), celoprosklené, bezpolodrážkové se skrytými panty: Z40, bezp. odolnost: ESG, stav. neprůzv.: -, PO: -, vč. kování a příslušenství dle 149 tabulky dveří</t>
  </si>
  <si>
    <t>922047613</t>
  </si>
  <si>
    <t>363</t>
  </si>
  <si>
    <t>D21 vel. 900x2100 mm, bytové vstupní dveře, š.900mm, bezpečnostní protipožární protihlukové do ocelové polodrážkové zárubně: Z10, bezp. odolnost: RC3, stav. neprůzv.: 32 dB, PO: EW30DP3, vč. kování a příslušenství dle 150 tabulky dveří</t>
  </si>
  <si>
    <t>2021058429</t>
  </si>
  <si>
    <t>364</t>
  </si>
  <si>
    <t>D21 vel. 900x2100 mm, bytové vstupní dveře, š.900mm, bezpečnostní protipožární protihlukové do ocelové polodrážkové zárubně: Z10, bezp. odolnost: RC3, stav. neprůzv.: 32 dB, PO: EW30DP3, vč. kování a příslušenství dle 151 tabulky dveří</t>
  </si>
  <si>
    <t>2047061911</t>
  </si>
  <si>
    <t>365</t>
  </si>
  <si>
    <t>D31 vel. 800x2100 mm, interiérové dveře otevíravé, š.800mm, plné, bezpolodrážkové se skrytými panty: Z40, bezp. odolnost: -, stav. neprůzv.: -, PO: -, vč. kování a příslušenství dle 152 tabulky dveří</t>
  </si>
  <si>
    <t>774157109</t>
  </si>
  <si>
    <t>366</t>
  </si>
  <si>
    <t>D21 vel. 900x2100 mm, bytové vstupní dveře, š.900mm, bezpečnostní protipožární protihlukové do ocelové polodrážkové zárubně: Z10, bezp. odolnost: RC3, stav. neprůzv.: 32 dB, PO: EW30DP3, vč. kování a příslušenství dle 154 tabulky dveří</t>
  </si>
  <si>
    <t>1892291127</t>
  </si>
  <si>
    <t>367</t>
  </si>
  <si>
    <t>D33 vel. 1200x2100 mm, interiérové dveře otevíravé dvoukřídlé, š.1200mm (dělení 800+400mm), celoprosklené, bezpolodrážkové se skrytými panty: Z40, bezp. odolnost: ESG, stav. neprůzv.: -, PO: -, vč. kování a příslušenství dle 155 tabulky dveří</t>
  </si>
  <si>
    <t>-1701586685</t>
  </si>
  <si>
    <t>368</t>
  </si>
  <si>
    <t>D31 vel. 800x2100 mm, interiérové dveře otevíravé, š.800mm, plné, bezpolodrážkové se skrytými panty: Z40, bezp. odolnost: -, stav. neprůzv.: -, PO: -, vč. kování a příslušenství dle 156 tabulky dveří</t>
  </si>
  <si>
    <t>-151912996</t>
  </si>
  <si>
    <t>369</t>
  </si>
  <si>
    <t>D34 vel. 700x2100 mm, interiérové dveře otevíravé, š.700mm, plné, bezpolodrážkové se skrytými panty: Z40, bezp. odolnost: -, stav. neprůzv.: -, PO: -, vč. kování a příslušenství dle 157 tabulky dveří</t>
  </si>
  <si>
    <t>-282836951</t>
  </si>
  <si>
    <t>370</t>
  </si>
  <si>
    <t>D21 vel. 900x2100 mm, bytové vstupní dveře, š.900mm, bezpečnostní protipožární protihlukové do ocelové polodrážkové zárubně: Z10, bezp. odolnost: RC3, stav. neprůzv.: 32 dB, PO: EW30DP3, vč. kování a příslušenství dle 158 tabulky dveří</t>
  </si>
  <si>
    <t>1284687593</t>
  </si>
  <si>
    <t>371</t>
  </si>
  <si>
    <t>D31 vel. 800x2100 mm, interiérové dveře otevíravé, š.800mm, plné, bezpolodrážkové se skrytými panty: Z40, bezp. odolnost: -, stav. neprůzv.: -, PO: -, vč. kování a příslušenství dle 159 tabulky dveří</t>
  </si>
  <si>
    <t>-1760355443</t>
  </si>
  <si>
    <t>372</t>
  </si>
  <si>
    <t>D31 vel. 800x2100 mm, interiérové dveře otevíravé, š.800mm, plné, bezpolodrážkové se skrytými panty: Z40, bezp. odolnost: -, stav. neprůzv.: -, PO: -, vč. kování a příslušenství dle 160 tabulky dveří</t>
  </si>
  <si>
    <t>2013735404</t>
  </si>
  <si>
    <t>373</t>
  </si>
  <si>
    <t>D34 vel. 700x2100 mm, interiérové dveře otevíravé, š.700mm, plné, bezpolodrážkové se skrytými panty: Z40, bezp. odolnost: -, stav. neprůzv.: -, PO: -, vč. kování a příslušenství dle 161 tabulky dveří</t>
  </si>
  <si>
    <t>1294059539</t>
  </si>
  <si>
    <t>374</t>
  </si>
  <si>
    <t>D34 vel. 700x2100 mm, interiérové dveře otevíravé, š.700mm, plné, bezpolodrážkové se skrytými panty: Z40, bezp. odolnost: -, stav. neprůzv.: -, PO: -, vč. kování a příslušenství dle 162 tabulky dveří</t>
  </si>
  <si>
    <t>-1978875477</t>
  </si>
  <si>
    <t>375</t>
  </si>
  <si>
    <t>D33 vel. 1200x2100 mm, interiérové dveře otevíravé dvoukřídlé, š.1200mm (dělení 800+400mm), celoprosklené, bezpolodrážkové se skrytými panty: Z40, bezp. odolnost: ESG, stav. neprůzv.: -, PO: -, vč. kování a příslušenství dle 163 tabulky dveří</t>
  </si>
  <si>
    <t>1212625186</t>
  </si>
  <si>
    <t>376</t>
  </si>
  <si>
    <t>D21 vel. 900x2100 mm, bytové vstupní dveře, š.900mm, bezpečnostní protipožární protihlukové do ocelové polodrážkové zárubně: Z10, bezp. odolnost: RC3, stav. neprůzv.: 32 dB, PO: EW30DP3, vč. kování a příslušenství dle 164 tabulky dveří</t>
  </si>
  <si>
    <t>-1743160545</t>
  </si>
  <si>
    <t>377</t>
  </si>
  <si>
    <t>D34 vel. 700x2100 mm, interiérové dveře otevíravé, š.700mm, plné, bezpolodrážkové se skrytými panty: Z40, bezp. odolnost: -, stav. neprůzv.: -, PO: -, vč. kování a příslušenství dle 165 tabulky dveří</t>
  </si>
  <si>
    <t>1772429021</t>
  </si>
  <si>
    <t>378</t>
  </si>
  <si>
    <t>D33 vel. 1200x2100 mm, interiérové dveře otevíravé dvoukřídlé, š.1200mm (dělení 800+400mm), celoprosklené, bezpolodrážkové se skrytými panty: Z40, bezp. odolnost: ESG, stav. neprůzv.: -, PO: -, vč. kování a příslušenství dle 166 tabulky dveří</t>
  </si>
  <si>
    <t>355493476</t>
  </si>
  <si>
    <t>Poznámka k položce:_x000D_
D33 -  interiérové dveře otevíravé dvoukřídlé, š.1200mm (dělení 800+400mm), celoprosklené, bezpolodrážkové se skrytými panty, rozměr: 1200x2100 ,vč. kování: KK1,  zámku: ZZ, samozavírače: - a doplňky: P,S ; specifikace a další viz. tabulky dveří. Poznámka: Typ bude vybrán na základě vzorků dodavatele a vzorek potvrdí architekt projektu. Požární odolnost: -</t>
  </si>
  <si>
    <t>379</t>
  </si>
  <si>
    <t>D33 vel. 1200x2100 mm, interiérové dveře otevíravé dvoukřídlé, š.1200mm (dělení 800+400mm), celoprosklené, bezpolodrážkové se skrytými panty: Z40, bezp. odolnost: ESG, stav. neprůzv.: -, PO: -, vč. kování a příslušenství dle 167 tabulky dveří</t>
  </si>
  <si>
    <t>-271644824</t>
  </si>
  <si>
    <t>380</t>
  </si>
  <si>
    <t>D31 vel. 800x2100 mm, interiérové dveře otevíravé, š.800mm, plné, bezpolodrážkové se skrytými panty: Z40, bezp. odolnost: -, stav. neprůzv.: -, PO: -, vč. kování a příslušenství dle 168 tabulky dveří</t>
  </si>
  <si>
    <t>1346791355</t>
  </si>
  <si>
    <t>381</t>
  </si>
  <si>
    <t>D31 vel. 800x2100 mm, interiérové dveře otevíravé, š.800mm, plné, bezpolodrážkové se skrytými panty: Z40, bezp. odolnost: -, stav. neprůzv.: -, PO: -, vč. kování a příslušenství dle 169 tabulky dveří</t>
  </si>
  <si>
    <t>141512068</t>
  </si>
  <si>
    <t>382</t>
  </si>
  <si>
    <t>D34 vel. 700x2100 mm, interiérové dveře otevíravé, š.700mm, plné, bezpolodrážkové se skrytými panty: Z40, bezp. odolnost: -, stav. neprůzv.: -, PO: -, vč. kování a příslušenství dle 170 tabulky dveří</t>
  </si>
  <si>
    <t>-1937082255</t>
  </si>
  <si>
    <t>383</t>
  </si>
  <si>
    <t>D21 vel. 900x2100 mm, bytové vstupní dveře, š.900mm, bezpečnostní protipožární protihlukové do ocelové polodrážkové zárubně: Z10, bezp. odolnost: RC3, stav. neprůzv.: 32 dB, PO: EW30DP3, vč. kování a příslušenství dle 171 tabulky dveří</t>
  </si>
  <si>
    <t>-60923090</t>
  </si>
  <si>
    <t>384</t>
  </si>
  <si>
    <t>D34 vel. 700x2100 mm, interiérové dveře otevíravé, š.700mm, plné, bezpolodrážkové se skrytými panty: Z40, bezp. odolnost: -, stav. neprůzv.: -, PO: -, vč. kování a příslušenství dle 172 tabulky dveří</t>
  </si>
  <si>
    <t>-1037757418</t>
  </si>
  <si>
    <t>385</t>
  </si>
  <si>
    <t>D33 vel. 1200x2100 mm, interiérové dveře otevíravé dvoukřídlé, š.1200mm (dělení 800+400mm), celoprosklené, bezpolodrážkové se skrytými panty: Z40, bezp. odolnost: ESG, stav. neprůzv.: -, PO: -, vč. kování a příslušenství dle 173 tabulky dveří</t>
  </si>
  <si>
    <t>-1616153933</t>
  </si>
  <si>
    <t>386</t>
  </si>
  <si>
    <t>D33 vel. 1200x2100 mm, interiérové dveře otevíravé dvoukřídlé, š.1200mm (dělení 800+400mm), celoprosklené, bezpolodrážkové se skrytými panty: Z40, bezp. odolnost: ESG, stav. neprůzv.: -, PO: -, vč. kování a příslušenství dle 174 tabulky dveří</t>
  </si>
  <si>
    <t>698528997</t>
  </si>
  <si>
    <t>387</t>
  </si>
  <si>
    <t>D34 vel. 700x2100 mm, interiérové dveře otevíravé, š.700mm, plné, bezpolodrážkové se skrytými panty: Z40, bezp. odolnost: -, stav. neprůzv.: -, PO: -, vč. kování a příslušenství dle 175 tabulky dveří</t>
  </si>
  <si>
    <t>668277267</t>
  </si>
  <si>
    <t>388</t>
  </si>
  <si>
    <t>D31 vel. 800x2100 mm, interiérové dveře otevíravé, š.800mm, plné, bezpolodrážkové se skrytými panty: Z40, bezp. odolnost: -, stav. neprůzv.: -, PO: -, vč. kování a příslušenství dle 176 tabulky dveří</t>
  </si>
  <si>
    <t>410561416</t>
  </si>
  <si>
    <t>389</t>
  </si>
  <si>
    <t>D31 vel. 800x2100 mm, interiérové dveře otevíravé, š.800mm, plné, bezpolodrážkové se skrytými panty: Z40, bezp. odolnost: -, stav. neprůzv.: -, PO: -, vč. kování a příslušenství dle 177 tabulky dveří</t>
  </si>
  <si>
    <t>232174690</t>
  </si>
  <si>
    <t>390</t>
  </si>
  <si>
    <t>D20 vel. 1500x2100 mm, interiérové hliníkové dveře dvoukřídlé celoprosklené, š.1500mm, s bezpečnostními prvky proti propadnutí, neuzamykatelné, do hliníkové rámové zárubně: Z30, bezp. odolnost: ESG, vč. kování a příslušenství dle 179 tabulky dveří</t>
  </si>
  <si>
    <t>325739211</t>
  </si>
  <si>
    <t>Poznámka k položce:_x000D_
D20 -  interiérové hliníkové dveře dvoukřídlé celoprosklené, š.1500mm (dělení 1000+500mm), s bezpečnostními prvky proti propadnutí dle požadavek bodu 3.4.2 přílohy k NV. č. 101/2005 Sb. (výrazné pruhy ve výšce 1,1 a 1.6m), otevíravé ve směru úniku, neuzamykatelné, do hliníkové rámové zárubně, rozměr: 1500x2100 ,vč. kování: KP1, MM,  zámku: -, samozavírače: SN2 a doplňky: Z2 ; specifikace a další viz. tabulky dveří. Poznámka: Typ bude vybrán na základě vzorků dodavatele a vzorek potvrdí architekt projektu. Požární odolnost: -</t>
  </si>
  <si>
    <t>391</t>
  </si>
  <si>
    <t>D21 vel. 900x2100 mm, bytové vstupní dveře, š.900mm, bezpečnostní protipožární protihlukové do ocelové polodrážkové zárubně: Z10, bezp. odolnost: RC3, stav. neprůzv.: 32 dB, PO: EW30DP3, vč. kování a příslušenství dle 180 tabulky dveří</t>
  </si>
  <si>
    <t>-688369166</t>
  </si>
  <si>
    <t>392</t>
  </si>
  <si>
    <t>D31 vel. 800x2100 mm, interiérové dveře otevíravé, š.800mm, plné, bezpolodrážkové se skrytými panty: Z40, bezp. odolnost: -, stav. neprůzv.: -, PO: -, vč. kování a příslušenství dle 181 tabulky dveří</t>
  </si>
  <si>
    <t>129955377</t>
  </si>
  <si>
    <t>393</t>
  </si>
  <si>
    <t>D34 vel. 700x2100 mm, interiérové dveře otevíravé, š.700mm, plné, bezpolodrážkové se skrytými panty: Z40, bezp. odolnost: -, stav. neprůzv.: -, PO: -, vč. kování a příslušenství dle 182 tabulky dveří</t>
  </si>
  <si>
    <t>569570208</t>
  </si>
  <si>
    <t>394</t>
  </si>
  <si>
    <t>D31 vel. 800x2100 mm, interiérové dveře otevíravé, š.800mm, plné, bezpolodrážkové se skrytými panty: Z40, bezp. odolnost: -, stav. neprůzv.: -, PO: -, vč. kování a příslušenství dle 183 tabulky dveří</t>
  </si>
  <si>
    <t>813394362</t>
  </si>
  <si>
    <t>Poznámka k položce:_x000D_
D31 - Jednokřídlé interiérové dveře otevíravé, š.800mm, plné, bezpolodrážkové se skrytými panty, rozměr: 800x2100 ,vč. kování: K1,  zámku: -, samozavírače: - a doplňky: - ; specifikace a další viz. tabulky dveří. Poznámka: Typ bude vybrán na základě vzorků dodavatele a vzorek potvrdí architekt projektu. Požární odolnost: -</t>
  </si>
  <si>
    <t>395</t>
  </si>
  <si>
    <t>D21 vel. 900x2100 mm, bytové vstupní dveře, š.900mm, bezpečnostní protipožární protihlukové do ocelové polodrážkové zárubně: Z10, bezp. odolnost: RC3, stav. neprůzv.: 32 dB, PO: EW30DP3, vč. kování a příslušenství dle 184 tabulky dveří</t>
  </si>
  <si>
    <t>1110066767</t>
  </si>
  <si>
    <t>396</t>
  </si>
  <si>
    <t>D34 vel. 700x2100 mm, interiérové dveře otevíravé, š.700mm, plné, bezpolodrážkové se skrytými panty: Z40, bezp. odolnost: -, stav. neprůzv.: -, PO: -, vč. kování a příslušenství dle 185 tabulky dveří</t>
  </si>
  <si>
    <t>-1586603913</t>
  </si>
  <si>
    <t>397</t>
  </si>
  <si>
    <t>D31 vel. 800x2100 mm, interiérové dveře otevíravé, š.800mm, plné, bezpolodrážkové se skrytými panty: Z40, bezp. odolnost: -, stav. neprůzv.: -, PO: -, vč. kování a příslušenství dle 186 tabulky dveří</t>
  </si>
  <si>
    <t>1904986036</t>
  </si>
  <si>
    <t>398</t>
  </si>
  <si>
    <t>D33 vel. 1200x2100 mm, interiérové dveře otevíravé dvoukřídlé, š.1200mm (dělení 800+400mm), celoprosklené, bezpolodrážkové se skrytými panty: Z40, bezp. odolnost: ESG, stav. neprůzv.: -, PO: -, vč. kování a příslušenství dle 187 tabulky dveří</t>
  </si>
  <si>
    <t>-1622616537</t>
  </si>
  <si>
    <t>399</t>
  </si>
  <si>
    <t>D21 vel. 900x2100 mm, bytové vstupní dveře, š.900mm, bezpečnostní protipožární protihlukové do ocelové polodrážkové zárubně: Z10, bezp. odolnost: RC3, stav. neprůzv.: 32 dB, PO: EW30DP3, vč. kování a příslušenství dle 188 tabulky dveří</t>
  </si>
  <si>
    <t>-2042256488</t>
  </si>
  <si>
    <t>400</t>
  </si>
  <si>
    <t>D34 vel. 700x2100 mm, interiérové dveře otevíravé, š.700mm, plné, bezpolodrážkové se skrytými panty: Z40, bezp. odolnost: -, stav. neprůzv.: -, PO: -, vč. kování a příslušenství dle 189 tabulky dveří</t>
  </si>
  <si>
    <t>1849180097</t>
  </si>
  <si>
    <t>401</t>
  </si>
  <si>
    <t>D31 vel. 800x2100 mm, interiérové dveře otevíravé, š.800mm, plné, bezpolodrážkové se skrytými panty: Z40, bezp. odolnost: -, stav. neprůzv.: -, PO: -, vč. kování a příslušenství dle 190 tabulky dveří</t>
  </si>
  <si>
    <t>1294900137</t>
  </si>
  <si>
    <t>402</t>
  </si>
  <si>
    <t>D33 vel. 1200x2100 mm, interiérové dveře otevíravé dvoukřídlé, š.1200mm (dělení 800+400mm), celoprosklené, bezpolodrážkové se skrytými panty: Z40, bezp. odolnost: ESG, stav. neprůzv.: -, PO: -, vč. kování a příslušenství dle 191 tabulky dveří</t>
  </si>
  <si>
    <t>1512512764</t>
  </si>
  <si>
    <t>403</t>
  </si>
  <si>
    <t>D34 vel. 700x2100 mm, interiérové dveře otevíravé, š.700mm, plné, bezpolodrážkové se skrytými panty: Z40, bezp. odolnost: -, stav. neprůzv.: -, PO: -, vč. kování a příslušenství dle 192 tabulky dveří</t>
  </si>
  <si>
    <t>706000069</t>
  </si>
  <si>
    <t>404</t>
  </si>
  <si>
    <t>D21 vel. 900x2100 mm, bytové vstupní dveře, š.900mm, bezpečnostní protipožární protihlukové do ocelové polodrážkové zárubně: Z10, bezp. odolnost: RC3, stav. neprůzv.: 32 dB, PO: EW30DP3, vč. kování a příslušenství dle 194 tabulky dveří</t>
  </si>
  <si>
    <t>-1564635304</t>
  </si>
  <si>
    <t>405</t>
  </si>
  <si>
    <t>D31 vel. 800x2100 mm, interiérové dveře otevíravé, š.800mm, plné, bezpolodrážkové se skrytými panty: Z40, bezp. odolnost: -, stav. neprůzv.: -, PO: -, vč. kování a příslušenství dle 195 tabulky dveří</t>
  </si>
  <si>
    <t>1834125768</t>
  </si>
  <si>
    <t>406</t>
  </si>
  <si>
    <t>D31 vel. 800x2100 mm, interiérové dveře otevíravé, š.800mm, plné, bezpolodrážkové se skrytými panty: Z40, bezp. odolnost: -, stav. neprůzv.: -, PO: -, vč. kování a příslušenství dle 196 tabulky dveří</t>
  </si>
  <si>
    <t>-949371095</t>
  </si>
  <si>
    <t>407</t>
  </si>
  <si>
    <t>D34 vel. 700x2100 mm, interiérové dveře otevíravé, š.700mm, plné, bezpolodrážkové se skrytými panty: Z40, bezp. odolnost: -, stav. neprůzv.: -, PO: -, vč. kování a příslušenství dle 197 tabulky dveří</t>
  </si>
  <si>
    <t>-686204066</t>
  </si>
  <si>
    <t>408</t>
  </si>
  <si>
    <t>D34 vel. 700x2100 mm, interiérové dveře otevíravé, š.700mm, plné, bezpolodrážkové se skrytými panty: Z40, bezp. odolnost: -, stav. neprůzv.: -, PO: -, vč. kování a příslušenství dle 198 tabulky dveří</t>
  </si>
  <si>
    <t>-703031054</t>
  </si>
  <si>
    <t>409</t>
  </si>
  <si>
    <t>D35 vel. 700x2100 mm, interiérové dveře posuvné, š.700mm, plné, do stavebního pouzda pro zděné stěny: Z50, bezp. odolnost: -, stav. neprůzv.: -, PO: -, vč. kování a příslušenství dle 199 tabulky dveří</t>
  </si>
  <si>
    <t>200764003</t>
  </si>
  <si>
    <t>410</t>
  </si>
  <si>
    <t>D33 vel. 1200x2100 mm, interiérové dveře otevíravé dvoukřídlé, š.1200mm (dělení 800+400mm), celoprosklené, bezpolodrážkové se skrytými panty: Z40, bezp. odolnost: ESG, stav. neprůzv.: -, PO: -, vč. kování a příslušenství dle 200 tabulky dveří</t>
  </si>
  <si>
    <t>231544577</t>
  </si>
  <si>
    <t>411</t>
  </si>
  <si>
    <t>D21 vel. 900x2100 mm, bytové vstupní dveře, š.900mm, bezpečnostní protipožární protihlukové do ocelové polodrážkové zárubně: Z10, bezp. odolnost: RC3, stav. neprůzv.: 32 dB, PO: EW30DP3, vč. kování a příslušenství dle 201 tabulky dveří</t>
  </si>
  <si>
    <t>1643321543</t>
  </si>
  <si>
    <t>412</t>
  </si>
  <si>
    <t>D34 vel. 700x2100 mm, interiérové dveře otevíravé, š.700mm, plné, bezpolodrážkové se skrytými panty: Z40, bezp. odolnost: -, stav. neprůzv.: -, PO: -, vč. kování a příslušenství dle 202 tabulky dveří</t>
  </si>
  <si>
    <t>-1595528065</t>
  </si>
  <si>
    <t>413</t>
  </si>
  <si>
    <t>D31 vel. 800x2100 mm, interiérové dveře otevíravé, š.800mm, plné, bezpolodrážkové se skrytými panty: Z40, bezp. odolnost: -, stav. neprůzv.: -, PO: -, vč. kování a příslušenství dle 203 tabulky dveří</t>
  </si>
  <si>
    <t>1853232609</t>
  </si>
  <si>
    <t>414</t>
  </si>
  <si>
    <t>D33 vel. 1200x2100 mm, interiérové dveře otevíravé dvoukřídlé, š.1200mm (dělení 800+400mm), celoprosklené, bezpolodrážkové se skrytými panty: Z40, bezp. odolnost: ESG, stav. neprůzv.: -, PO: -, vč. kování a příslušenství dle 204 tabulky dveří</t>
  </si>
  <si>
    <t>-1052611973</t>
  </si>
  <si>
    <t>415</t>
  </si>
  <si>
    <t>D21 vel. 900x2100 mm, bytové vstupní dveře, š.900mm, bezpečnostní protipožární protihlukové do ocelové polodrážkové zárubně: Z10, bezp. odolnost: RC3, stav. neprůzv.: 32 dB, PO: EW30DP3, vč. kování a příslušenství dle 205 tabulky dveří</t>
  </si>
  <si>
    <t>-1934465493</t>
  </si>
  <si>
    <t>416</t>
  </si>
  <si>
    <t>D34 vel. 700x2100 mm, interiérové dveře otevíravé, š.700mm, plné, bezpolodrážkové se skrytými panty: Z40, bezp. odolnost: -, stav. neprůzv.: -, PO: -, vč. kování a příslušenství dle 206 tabulky dveří</t>
  </si>
  <si>
    <t>-242420551</t>
  </si>
  <si>
    <t>417</t>
  </si>
  <si>
    <t>D31 vel. 800x2100 mm, interiérové dveře otevíravé, š.800mm, plné, bezpolodrážkové se skrytými panty: Z40, bezp. odolnost: -, stav. neprůzv.: -, PO: -, vč. kování a příslušenství dle 207 tabulky dveří</t>
  </si>
  <si>
    <t>-1684629487</t>
  </si>
  <si>
    <t>418</t>
  </si>
  <si>
    <t>D33 vel. 1200x2100 mm, interiérové dveře otevíravé dvoukřídlé, š.1200mm (dělení 800+400mm), celoprosklené, bezpolodrážkové se skrytými panty: Z40, bezp. odolnost: ESG, stav. neprůzv.: -, PO: -, vč. kování a příslušenství dle 208 tabulky dveří</t>
  </si>
  <si>
    <t>-1296764440</t>
  </si>
  <si>
    <t>419</t>
  </si>
  <si>
    <t>D34 vel. 700x2100 mm, interiérové dveře otevíravé, š.700mm, plné, bezpolodrážkové se skrytými panty: Z40, bezp. odolnost: -, stav. neprůzv.: -, PO: -, vč. kování a příslušenství dle 209 tabulky dveří</t>
  </si>
  <si>
    <t>347081891</t>
  </si>
  <si>
    <t>420</t>
  </si>
  <si>
    <t>D21 vel. 900x2100 mm, bytové vstupní dveře, š.900mm, bezpečnostní protipožární protihlukové do ocelové polodrážkové zárubně: Z10, bezp. odolnost: RC3, stav. neprůzv.: 32 dB, PO: EW30DP3, vč. kování a příslušenství dle 211 tabulky dveří</t>
  </si>
  <si>
    <t>1304013442</t>
  </si>
  <si>
    <t>421</t>
  </si>
  <si>
    <t>D35 vel. 700x2100 mm, interiérové dveře posuvné, š.700mm, plné, do stavebního pouzda pro zděné stěny: Z50, bezp. odolnost: -, stav. neprůzv.: -, PO: -, vč. kování a příslušenství dle 212 tabulky dveří</t>
  </si>
  <si>
    <t>-1088705684</t>
  </si>
  <si>
    <t>422</t>
  </si>
  <si>
    <t>D31 vel. 800x2100 mm, interiérové dveře otevíravé, š.800mm, plné, bezpolodrážkové se skrytými panty: Z40, bezp. odolnost: -, stav. neprůzv.: -, PO: -, vč. kování a příslušenství dle 213 tabulky dveří</t>
  </si>
  <si>
    <t>438793866</t>
  </si>
  <si>
    <t>423</t>
  </si>
  <si>
    <t>D34 vel. 700x2100 mm, interiérové dveře otevíravé, š.700mm, plné, bezpolodrážkové se skrytými panty: Z40, bezp. odolnost: -, stav. neprůzv.: -, PO: -, vč. kování a příslušenství dle 216 tabulky dveří</t>
  </si>
  <si>
    <t>-1826516158</t>
  </si>
  <si>
    <t>424</t>
  </si>
  <si>
    <t>D33 vel. 1200x2100 mm, interiérové dveře otevíravé dvoukřídlé, š.1200mm (dělení 800+400mm), celoprosklené, bezpolodrážkové se skrytými panty: Z40, bezp. odolnost: ESG, stav. neprůzv.: -, PO: -, vč. kování a příslušenství dle 217 tabulky dveří</t>
  </si>
  <si>
    <t>-2066923625</t>
  </si>
  <si>
    <t>425</t>
  </si>
  <si>
    <t>D31 vel. 800x2100 mm, interiérové dveře otevíravé, š.800mm, plné, bezpolodrážkové se skrytými panty: Z40, bezp. odolnost: -, stav. neprůzv.: -, PO: -, vč. kování a příslušenství dle 218 tabulky dveří</t>
  </si>
  <si>
    <t>-690983730</t>
  </si>
  <si>
    <t>426</t>
  </si>
  <si>
    <t>D35 vel. 700x2100 mm, interiérové dveře posuvné, š.700mm, plné, do stavebního pouzda pro zděné stěny: Z50, bezp. odolnost: -, stav. neprůzv.: -, PO: -, vč. kování a příslušenství dle 219 tabulky dveří</t>
  </si>
  <si>
    <t>-867837171</t>
  </si>
  <si>
    <t>427</t>
  </si>
  <si>
    <t>D34 vel. 700x2100 mm, interiérové dveře otevíravé, š.700mm, plné, bezpolodrážkové se skrytými panty: Z40, bezp. odolnost: -, stav. neprůzv.: -, PO: -, vč. kování a příslušenství dle 220 tabulky dveří</t>
  </si>
  <si>
    <t>1431679703</t>
  </si>
  <si>
    <t>428</t>
  </si>
  <si>
    <t>D21 vel. 900x2100 mm, bytové vstupní dveře, š.900mm, bezpečnostní protipožární protihlukové do ocelové polodrážkové zárubně: Z10, bezp. odolnost: RC3, stav. neprůzv.: 32 dB, PO: EW30DP3, vč. kování a příslušenství dle 221 tabulky dveří</t>
  </si>
  <si>
    <t>-500129794</t>
  </si>
  <si>
    <t>429</t>
  </si>
  <si>
    <t>D34 vel. 700x2100 mm, interiérové dveře otevíravé, š.700mm, plné, bezpolodrážkové se skrytými panty: Z40, bezp. odolnost: -, stav. neprůzv.: -, PO: -, vč. kování a příslušenství dle 222 tabulky dveří</t>
  </si>
  <si>
    <t>1276980970</t>
  </si>
  <si>
    <t>430</t>
  </si>
  <si>
    <t>D31 vel. 800x2100 mm, interiérové dveře otevíravé, š.800mm, plné, bezpolodrážkové se skrytými panty: Z40, bezp. odolnost: -, stav. neprůzv.: -, PO: -, vč. kování a příslušenství dle 223 tabulky dveří</t>
  </si>
  <si>
    <t>-1365300248</t>
  </si>
  <si>
    <t>431</t>
  </si>
  <si>
    <t>D33 vel. 1200x2100 mm, interiérové dveře otevíravé dvoukřídlé, š.1200mm (dělení 800+400mm), celoprosklené, bezpolodrážkové se skrytými panty: Z40, bezp. odolnost: ESG, stav. neprůzv.: -, PO: -, vč. kování a příslušenství dle 224 tabulky dveří</t>
  </si>
  <si>
    <t>369185057</t>
  </si>
  <si>
    <t>432</t>
  </si>
  <si>
    <t>D34 vel. 700x2100 mm, interiérové dveře otevíravé, š.700mm, plné, bezpolodrážkové se skrytými panty: Z40, bezp. odolnost: -, stav. neprůzv.: -, PO: -, vč. kování a příslušenství dle 225 tabulky dveří</t>
  </si>
  <si>
    <t>-798745663</t>
  </si>
  <si>
    <t>433</t>
  </si>
  <si>
    <t>D21 vel. 900x2100 mm, bytové vstupní dveře, š.900mm, bezpečnostní protipožární protihlukové do ocelové polodrážkové zárubně: Z10, bezp. odolnost: RC3, stav. neprůzv.: 32 dB, PO: EW30DP3, vč. kování a příslušenství dle 227 tabulky dveří</t>
  </si>
  <si>
    <t>-1339111514</t>
  </si>
  <si>
    <t>434</t>
  </si>
  <si>
    <t>D20 vel. 1500x2100 mm, interiérové hliníkové dveře dvoukřídlé celoprosklené, š.1500mm, s bezpečnostními prvky proti propadnutí, neuzamykatelné, do hliníkové rámové zárubně: Z30, bezp. odolnost: ESG, vč. kování a příslušenství dle 228 tabulky dveří</t>
  </si>
  <si>
    <t>961798227</t>
  </si>
  <si>
    <t>435</t>
  </si>
  <si>
    <t>228.1</t>
  </si>
  <si>
    <t>D31 vel. 800x2100 mm, interiérové dveře otevíravé, š.800mm, plné, bezpolodrážkové se skrytými panty: Z40, bezp. odolnost: -, stav. neprůzv.: -, PO: -, vč. kování a příslušenství dle 228 tabulky dveří</t>
  </si>
  <si>
    <t>1611925586</t>
  </si>
  <si>
    <t>436</t>
  </si>
  <si>
    <t>D21 vel. 900x2100 mm, bytové vstupní dveře, š.900mm, bezpečnostní protipožární protihlukové do ocelové polodrážkové zárubně: Z10, bezp. odolnost: RC3, stav. neprůzv.: 32 dB, PO: EW30DP3, vč. kování a příslušenství dle 229 tabulky dveří</t>
  </si>
  <si>
    <t>-1548687267</t>
  </si>
  <si>
    <t>437</t>
  </si>
  <si>
    <t>D31 vel. 800x2100 mm, interiérové dveře otevíravé, š.800mm, plné, bezpolodrážkové se skrytými panty: Z40, bezp. odolnost: -, stav. neprůzv.: -, PO: -, vč. kování a příslušenství dle 230 tabulky dveří</t>
  </si>
  <si>
    <t>-1973140571</t>
  </si>
  <si>
    <t>438</t>
  </si>
  <si>
    <t>D34 vel. 700x2100 mm, interiérové dveře otevíravé, š.700mm, plné, bezpolodrážkové se skrytými panty: Z40, bezp. odolnost: -, stav. neprůzv.: -, PO: -, vč. kování a příslušenství dle 231 tabulky dveří</t>
  </si>
  <si>
    <t>-96476538</t>
  </si>
  <si>
    <t>439</t>
  </si>
  <si>
    <t>D33 vel. 1200x2100 mm, interiérové dveře otevíravé dvoukřídlé, š.1200mm (dělení 800+400mm), celoprosklené, bezpolodrážkové se skrytými panty: Z40, bezp. odolnost: ESG, stav. neprůzv.: -, PO: -, vč. kování a příslušenství dle 232 tabulky dveří</t>
  </si>
  <si>
    <t>1700555277</t>
  </si>
  <si>
    <t>440</t>
  </si>
  <si>
    <t>D21 vel. 900x2100 mm, bytové vstupní dveře, š.900mm, bezpečnostní protipožární protihlukové do ocelové polodrážkové zárubně: Z10, bezp. odolnost: RC3, stav. neprůzv.: 32 dB, PO: EW30DP3, vč. kování a příslušenství dle 233 tabulky dveří</t>
  </si>
  <si>
    <t>1161271839</t>
  </si>
  <si>
    <t>441</t>
  </si>
  <si>
    <t>D33 vel. 1200x2100 mm, interiérové dveře otevíravé dvoukřídlé, š.1200mm (dělení 800+400mm), celoprosklené, bezpolodrážkové se skrytými panty: Z40, bezp. odolnost: ESG, stav. neprůzv.: -, PO: -, vč. kování a příslušenství dle 234 tabulky dveří</t>
  </si>
  <si>
    <t>525392516</t>
  </si>
  <si>
    <t>442</t>
  </si>
  <si>
    <t>D31 vel. 800x2100 mm, interiérové dveře otevíravé, š.800mm, plné, bezpolodrážkové se skrytými panty: Z40, bezp. odolnost: -, stav. neprůzv.: -, PO: -, vč. kování a příslušenství dle 235 tabulky dveří</t>
  </si>
  <si>
    <t>-694525246</t>
  </si>
  <si>
    <t>443</t>
  </si>
  <si>
    <t>D34 vel. 700x2100 mm, interiérové dveře otevíravé, š.700mm, plné, bezpolodrážkové se skrytými panty: Z40, bezp. odolnost: -, stav. neprůzv.: -, PO: -, vč. kování a příslušenství dle 236 tabulky dveří</t>
  </si>
  <si>
    <t>-1357877327</t>
  </si>
  <si>
    <t>444</t>
  </si>
  <si>
    <t>D21 vel. 900x2100 mm, bytové vstupní dveře, š.900mm, bezpečnostní protipožární protihlukové do ocelové polodrážkové zárubně: Z10, bezp. odolnost: RC3, stav. neprůzv.: 32 dB, PO: EW30DP3, vč. kování a příslušenství dle 237 tabulky dveří</t>
  </si>
  <si>
    <t>-291360923</t>
  </si>
  <si>
    <t>445</t>
  </si>
  <si>
    <t>D33 vel. 1200x2100 mm, interiérové dveře otevíravé dvoukřídlé, š.1200mm (dělení 800+400mm), celoprosklené, bezpolodrážkové se skrytými panty: Z40, bezp. odolnost: ESG, stav. neprůzv.: -, PO: -, vč. kování a příslušenství dle 238 tabulky dveří</t>
  </si>
  <si>
    <t>-1470761986</t>
  </si>
  <si>
    <t>446</t>
  </si>
  <si>
    <t>D31 vel. 800x2100 mm, interiérové dveře otevíravé, š.800mm, plné, bezpolodrážkové se skrytými panty: Z40, bezp. odolnost: -, stav. neprůzv.: -, PO: -, vč. kování a příslušenství dle 239 tabulky dveří</t>
  </si>
  <si>
    <t>-1924102511</t>
  </si>
  <si>
    <t>447</t>
  </si>
  <si>
    <t>D34 vel. 700x2100 mm, interiérové dveře otevíravé, š.700mm, plné, bezpolodrážkové se skrytými panty: Z40, bezp. odolnost: -, stav. neprůzv.: -, PO: -, vč. kování a příslušenství dle 240 tabulky dveří</t>
  </si>
  <si>
    <t>1650456142</t>
  </si>
  <si>
    <t>448</t>
  </si>
  <si>
    <t>D21 vel. 900x2100 mm, bytové vstupní dveře, š.900mm, bezpečnostní protipožární protihlukové do ocelové polodrážkové zárubně: Z10, bezp. odolnost: RC3, stav. neprůzv.: 32 dB, PO: EW30DP3, vč. kování a příslušenství dle 241 tabulky dveří</t>
  </si>
  <si>
    <t>1198300776</t>
  </si>
  <si>
    <t>449</t>
  </si>
  <si>
    <t>D31 vel. 800x2100 mm, interiérové dveře otevíravé, š.800mm, plné, bezpolodrážkové se skrytými panty: Z40, bezp. odolnost: -, stav. neprůzv.: -, PO: -, vč. kování a příslušenství dle 242 tabulky dveří</t>
  </si>
  <si>
    <t>1210683992</t>
  </si>
  <si>
    <t>450</t>
  </si>
  <si>
    <t>D31 vel. 800x2100 mm, interiérové dveře otevíravé, š.800mm, plné, bezpolodrážkové se skrytými panty: Z40, bezp. odolnost: -, stav. neprůzv.: -, PO: -, vč. kování a příslušenství dle 243 tabulky dveří</t>
  </si>
  <si>
    <t>-2065251763</t>
  </si>
  <si>
    <t>451</t>
  </si>
  <si>
    <t>D34 vel. 700x2100 mm, interiérové dveře otevíravé, š.700mm, plné, bezpolodrážkové se skrytými panty: Z40, bezp. odolnost: -, stav. neprůzv.: -, PO: -, vč. kování a příslušenství dle 244 tabulky dveří</t>
  </si>
  <si>
    <t>-1696790321</t>
  </si>
  <si>
    <t>452</t>
  </si>
  <si>
    <t>D34 vel. 700x2100 mm, interiérové dveře otevíravé, š.700mm, plné, bezpolodrážkové se skrytými panty: Z40, bezp. odolnost: -, stav. neprůzv.: -, PO: -, vč. kování a příslušenství dle 245 tabulky dveří</t>
  </si>
  <si>
    <t>-495416703</t>
  </si>
  <si>
    <t>453</t>
  </si>
  <si>
    <t>D33 vel. 1200x2100 mm, interiérové dveře otevíravé dvoukřídlé, š.1200mm (dělení 800+400mm), celoprosklené, bezpolodrážkové se skrytými panty: Z40, bezp. odolnost: ESG, stav. neprůzv.: -, PO: -, vč. kování a příslušenství dle 246 tabulky dveří</t>
  </si>
  <si>
    <t>1990182656</t>
  </si>
  <si>
    <t>454</t>
  </si>
  <si>
    <t>D21 vel. 900x2100 mm, bytové vstupní dveře, š.900mm, bezpečnostní protipožární protihlukové do ocelové polodrážkové zárubně: Z10, bezp. odolnost: RC3, stav. neprůzv.: 32 dB, PO: EW30DP3, vč. kování a příslušenství dle 247 tabulky dveří</t>
  </si>
  <si>
    <t>-1348713386</t>
  </si>
  <si>
    <t>455</t>
  </si>
  <si>
    <t>D31 vel. 800x2100 mm, interiérové dveře otevíravé, š.800mm, plné, bezpolodrážkové se skrytými panty: Z40, bezp. odolnost: -, stav. neprůzv.: -, PO: -, vč. kování a příslušenství dle 248 tabulky dveří</t>
  </si>
  <si>
    <t>1042914200</t>
  </si>
  <si>
    <t>456</t>
  </si>
  <si>
    <t>D31 vel. 800x2100 mm, interiérové dveře otevíravé, š.800mm, plné, bezpolodrážkové se skrytými panty: Z40, bezp. odolnost: -, stav. neprůzv.: -, PO: -, vč. kování a příslušenství dle 249 tabulky dveří</t>
  </si>
  <si>
    <t>1196730034</t>
  </si>
  <si>
    <t>457</t>
  </si>
  <si>
    <t>D34 vel. 700x2100 mm, interiérové dveře otevíravé, š.700mm, plné, bezpolodrážkové se skrytými panty: Z40, bezp. odolnost: -, stav. neprůzv.: -, PO: -, vč. kování a příslušenství dle 250 tabulky dveří</t>
  </si>
  <si>
    <t>839471152</t>
  </si>
  <si>
    <t>458</t>
  </si>
  <si>
    <t>D34 vel. 700x2100 mm, interiérové dveře otevíravé, š.700mm, plné, bezpolodrážkové se skrytými panty: Z40, bezp. odolnost: -, stav. neprůzv.: -, PO: -, vč. kování a příslušenství dle 251 tabulky dveří</t>
  </si>
  <si>
    <t>677217456</t>
  </si>
  <si>
    <t>459</t>
  </si>
  <si>
    <t>D33 vel. 1200x2100 mm, interiérové dveře otevíravé dvoukřídlé, š.1200mm (dělení 800+400mm), celoprosklené, bezpolodrážkové se skrytými panty: Z40, bezp. odolnost: ESG, stav. neprůzv.: -, PO: -, vč. kování a příslušenství dle 252 tabulky dveří</t>
  </si>
  <si>
    <t>-990538898</t>
  </si>
  <si>
    <t>460</t>
  </si>
  <si>
    <t>D21 vel. 900x2100 mm, bytové vstupní dveře, š.900mm, bezpečnostní protipožární protihlukové do ocelové polodrážkové zárubně: Z10, bezp. odolnost: RC3, stav. neprůzv.: 32 dB, PO: EW30DP3, vč. kování a příslušenství dle 253 tabulky dveří</t>
  </si>
  <si>
    <t>-172821942</t>
  </si>
  <si>
    <t>461</t>
  </si>
  <si>
    <t>D34 vel. 700x2100 mm, interiérové dveře otevíravé, š.700mm, plné, bezpolodrážkové se skrytými panty: Z40, bezp. odolnost: -, stav. neprůzv.: -, PO: -, vč. kování a příslušenství dle 254 tabulky dveří</t>
  </si>
  <si>
    <t>-677591204</t>
  </si>
  <si>
    <t>462</t>
  </si>
  <si>
    <t>D31 vel. 800x2100 mm, interiérové dveře otevíravé, š.800mm, plné, bezpolodrážkové se skrytými panty: Z40, bezp. odolnost: -, stav. neprůzv.: -, PO: -, vč. kování a příslušenství dle 255 tabulky dveří</t>
  </si>
  <si>
    <t>-1075613974</t>
  </si>
  <si>
    <t>463</t>
  </si>
  <si>
    <t>D33 vel. 1200x2100 mm, interiérové dveře otevíravé dvoukřídlé, š.1200mm (dělení 800+400mm), celoprosklené, bezpolodrážkové se skrytými panty: Z40, bezp. odolnost: ESG, stav. neprůzv.: -, PO: -, vč. kování a příslušenství dle 256 tabulky dveří</t>
  </si>
  <si>
    <t>2061674180</t>
  </si>
  <si>
    <t>464</t>
  </si>
  <si>
    <t>D21 vel. 900x2100 mm, bytové vstupní dveře, š.900mm, bezpečnostní protipožární protihlukové do ocelové polodrážkové zárubně: Z10, bezp. odolnost: RC3, stav. neprůzv.: 32 dB, PO: EW30DP3, vč. kování a příslušenství dle 257 tabulky dveří</t>
  </si>
  <si>
    <t>1874304881</t>
  </si>
  <si>
    <t>465</t>
  </si>
  <si>
    <t>D34 vel. 700x2100 mm, interiérové dveře otevíravé, š.700mm, plné, bezpolodrážkové se skrytými panty: Z40, bezp. odolnost: -, stav. neprůzv.: -, PO: -, vč. kování a příslušenství dle 258 tabulky dveří</t>
  </si>
  <si>
    <t>-1251816033</t>
  </si>
  <si>
    <t>466</t>
  </si>
  <si>
    <t>D31 vel. 800x2100 mm, interiérové dveře otevíravé, š.800mm, plné, bezpolodrážkové se skrytými panty: Z40, bezp. odolnost: -, stav. neprůzv.: -, PO: -, vč. kování a příslušenství dle 259 tabulky dveří</t>
  </si>
  <si>
    <t>-314152614</t>
  </si>
  <si>
    <t>467</t>
  </si>
  <si>
    <t>D33 vel. 1200x2100 mm, interiérové dveře otevíravé dvoukřídlé, š.1200mm (dělení 800+400mm), celoprosklené, bezpolodrážkové se skrytými panty: Z40, bezp. odolnost: ESG, stav. neprůzv.: -, PO: -, vč. kování a příslušenství dle 260 tabulky dveří</t>
  </si>
  <si>
    <t>-593921281</t>
  </si>
  <si>
    <t>468</t>
  </si>
  <si>
    <t>D21 vel. 900x2100 mm, bytové vstupní dveře, š.900mm, bezpečnostní protipožární protihlukové do ocelové polodrážkové zárubně: Z10, bezp. odolnost: RC3, stav. neprůzv.: 32 dB, PO: EW30DP3, vč. kování a příslušenství dle 261 tabulky dveří</t>
  </si>
  <si>
    <t>-1061542693</t>
  </si>
  <si>
    <t>469</t>
  </si>
  <si>
    <t>D31 vel. 800x2100 mm, interiérové dveře otevíravé, š.800mm, plné, bezpolodrážkové se skrytými panty: Z40, bezp. odolnost: -, stav. neprůzv.: -, PO: -, vč. kování a příslušenství dle 262 tabulky dveří</t>
  </si>
  <si>
    <t>1012647166</t>
  </si>
  <si>
    <t>470</t>
  </si>
  <si>
    <t>D31 vel. 800x2100 mm, interiérové dveře otevíravé, š.800mm, plné, bezpolodrážkové se skrytými panty: Z40, bezp. odolnost: -, stav. neprůzv.: -, PO: -, vč. kování a příslušenství dle 263 tabulky dveří</t>
  </si>
  <si>
    <t>422696535</t>
  </si>
  <si>
    <t>471</t>
  </si>
  <si>
    <t>D34 vel. 700x2100 mm, interiérové dveře otevíravé, š.700mm, plné, bezpolodrážkové se skrytými panty: Z40, bezp. odolnost: -, stav. neprůzv.: -, PO: -, vč. kování a příslušenství dle 264 tabulky dveří</t>
  </si>
  <si>
    <t>-1842625554</t>
  </si>
  <si>
    <t>472</t>
  </si>
  <si>
    <t>D34 vel. 700x2100 mm, interiérové dveře otevíravé, š.700mm, plné, bezpolodrážkové se skrytými panty: Z40, bezp. odolnost: -, stav. neprůzv.: -, PO: -, vč. kování a příslušenství dle 265 tabulky dveří</t>
  </si>
  <si>
    <t>1394760510</t>
  </si>
  <si>
    <t>473</t>
  </si>
  <si>
    <t>D33 vel. 1200x2100 mm, interiérové dveře otevíravé dvoukřídlé, š.1200mm (dělení 800+400mm), celoprosklené, bezpolodrážkové se skrytými panty: Z40, bezp. odolnost: ESG, stav. neprůzv.: -, PO: -, vč. kování a příslušenství dle 266 tabulky dveří</t>
  </si>
  <si>
    <t>1573713024</t>
  </si>
  <si>
    <t>474</t>
  </si>
  <si>
    <t>D21 vel. 900x2100 mm, bytové vstupní dveře, š.900mm, bezpečnostní protipožární protihlukové do ocelové polodrážkové zárubně: Z10, bezp. odolnost: RC3, stav. neprůzv.: 32 dB, PO: EW30DP3, vč. kování a příslušenství dle 267 tabulky dveří</t>
  </si>
  <si>
    <t>-2090231014</t>
  </si>
  <si>
    <t>475</t>
  </si>
  <si>
    <t>D35 vel. 700x2100 mm, interiérové dveře posuvné, š.700mm, plné, do stavebního pouzda pro zděné stěny: Z50, bezp. odolnost: -, stav. neprůzv.: -, PO: -, vč. kování a příslušenství dle 268 tabulky dveří</t>
  </si>
  <si>
    <t>-818812809</t>
  </si>
  <si>
    <t>476</t>
  </si>
  <si>
    <t>D31 vel. 800x2100 mm, interiérové dveře otevíravé, š.800mm, plné, bezpolodrážkové se skrytými panty: Z40, bezp. odolnost: -, stav. neprůzv.: -, PO: -, vč. kování a příslušenství dle 269 tabulky dveří</t>
  </si>
  <si>
    <t>497842585</t>
  </si>
  <si>
    <t>477</t>
  </si>
  <si>
    <t>D31 vel. 800x2100 mm, interiérové dveře otevíravé, š.800mm, plné, bezpolodrážkové se skrytými panty: Z40, bezp. odolnost: -, stav. neprůzv.: -, PO: -, vč. kování a příslušenství dle 270 tabulky dveří</t>
  </si>
  <si>
    <t>-108732338</t>
  </si>
  <si>
    <t>478</t>
  </si>
  <si>
    <t>D34 vel. 700x2100 mm, interiérové dveře otevíravé, š.700mm, plné, bezpolodrážkové se skrytými panty: Z40, bezp. odolnost: -, stav. neprůzv.: -, PO: -, vč. kování a příslušenství dle 271 tabulky dveří</t>
  </si>
  <si>
    <t>-1875730327</t>
  </si>
  <si>
    <t>479</t>
  </si>
  <si>
    <t>D34 vel. 700x2100 mm, interiérové dveře otevíravé, š.700mm, plné, bezpolodrážkové se skrytými panty: Z40, bezp. odolnost: -, stav. neprůzv.: -, PO: -, vč. kování a příslušenství dle 272 tabulky dveří</t>
  </si>
  <si>
    <t>1837404830</t>
  </si>
  <si>
    <t>480</t>
  </si>
  <si>
    <t>D33 vel. 1200x2100 mm, interiérové dveře otevíravé dvoukřídlé, š.1200mm (dělení 800+400mm), celoprosklené, bezpolodrážkové se skrytými panty: Z40, bezp. odolnost: ESG, stav. neprůzv.: -, PO: -, vč. kování a příslušenství dle 273 tabulky dveří</t>
  </si>
  <si>
    <t>1706428993</t>
  </si>
  <si>
    <t>481</t>
  </si>
  <si>
    <t>D34 vel. 700x2100 mm, interiérové dveře otevíravé, š.700mm, plné, bezpolodrážkové se skrytými panty: Z40, bezp. odolnost: -, stav. neprůzv.: -, PO: -, vč. kování a příslušenství dle 275 tabulky dveří</t>
  </si>
  <si>
    <t>483385771</t>
  </si>
  <si>
    <t>482</t>
  </si>
  <si>
    <t>D31 vel. 800x2100 mm, interiérové dveře otevíravé, š.800mm, plné, bezpolodrážkové se skrytými panty: Z40, bezp. odolnost: -, stav. neprůzv.: -, PO: -, vč. kování a příslušenství dle 276 tabulky dveří</t>
  </si>
  <si>
    <t>-1442257399</t>
  </si>
  <si>
    <t>483</t>
  </si>
  <si>
    <t>D31 vel. 800x2100 mm, interiérové dveře otevíravé, š.800mm, plné, bezpolodrážkové se skrytými panty: Z40, bezp. odolnost: -, stav. neprůzv.: -, PO: -, vč. kování a příslušenství dle 277 tabulky dveří</t>
  </si>
  <si>
    <t>1954101455</t>
  </si>
  <si>
    <t>484</t>
  </si>
  <si>
    <t>D35 vel. 700x2100 mm, interiérové dveře posuvné, š.700mm, plné, do stavebního pouzda pro zděné stěny: Z50, bezp. odolnost: -, stav. neprůzv.: -, PO: -, vč. kování a příslušenství dle 278 tabulky dveří</t>
  </si>
  <si>
    <t>295735564</t>
  </si>
  <si>
    <t>Poznámka k položce:_x000D_
D35 - Jednokřídlé interiérové dveře posuvné, š.700mm, plné, do stavebního pouzda pro zděné stěny, rozměr: 700x2100 ,vč. kování: -,  zámku: -, samozavírače: - a doplňky: - ; specifikace a další viz. tabulky dveří. Poznámka: Typ bude vybrán na základě vzorků dodavatele a vzorek potvrdí architekt projektu. Požární odolnost: -</t>
  </si>
  <si>
    <t>485</t>
  </si>
  <si>
    <t>D21 vel. 900x2100 mm, bytové vstupní dveře, š.900mm, bezpečnostní protipožární protihlukové do ocelové polodrážkové zárubně: Z10, bezp. odolnost: RC3, stav. neprůzv.: 32 dB, PO: EW30DP3, vč. kování a příslušenství dle 279 tabulky dveří</t>
  </si>
  <si>
    <t>-699894035</t>
  </si>
  <si>
    <t>486</t>
  </si>
  <si>
    <t>D35 vel. 700x2100 mm, interiérové dveře posuvné, š.700mm, plné, do stavebního pouzda pro zděné stěny: Z50, bezp. odolnost: -, stav. neprůzv.: -, PO: -, vč. kování a příslušenství dle 280 tabulky dveří</t>
  </si>
  <si>
    <t>1203626708</t>
  </si>
  <si>
    <t>487</t>
  </si>
  <si>
    <t>D31 vel. 800x2100 mm, interiérové dveře otevíravé, š.800mm, plné, bezpolodrážkové se skrytými panty: Z40, bezp. odolnost: -, stav. neprůzv.: -, PO: -, vč. kování a příslušenství dle 281 tabulky dveří</t>
  </si>
  <si>
    <t>760612893</t>
  </si>
  <si>
    <t>488</t>
  </si>
  <si>
    <t>D31 vel. 800x2100 mm, interiérové dveře otevíravé, š.800mm, plné, bezpolodrážkové se skrytými panty: Z40, bezp. odolnost: -, stav. neprůzv.: -, PO: -, vč. kování a příslušenství dle 282 tabulky dveří</t>
  </si>
  <si>
    <t>-1721850054</t>
  </si>
  <si>
    <t>489</t>
  </si>
  <si>
    <t>D34 vel. 700x2100 mm, interiérové dveře otevíravé, š.700mm, plné, bezpolodrážkové se skrytými panty: Z40, bezp. odolnost: -, stav. neprůzv.: -, PO: -, vč. kování a příslušenství dle 283 tabulky dveří</t>
  </si>
  <si>
    <t>159319738</t>
  </si>
  <si>
    <t>490</t>
  </si>
  <si>
    <t>D34 vel. 700x2100 mm, interiérové dveře otevíravé, š.700mm, plné, bezpolodrážkové se skrytými panty: Z40, bezp. odolnost: -, stav. neprůzv.: -, PO: -, vč. kování a příslušenství dle 284 tabulky dveří</t>
  </si>
  <si>
    <t>-129716434</t>
  </si>
  <si>
    <t>491</t>
  </si>
  <si>
    <t>D33 vel. 1200x2100 mm, interiérové dveře otevíravé dvoukřídlé, š.1200mm (dělení 800+400mm), celoprosklené, bezpolodrážkové se skrytými panty: Z40, bezp. odolnost: ESG, stav. neprůzv.: -, PO: -, vč. kování a příslušenství dle 285 tabulky dveří</t>
  </si>
  <si>
    <t>-49503722</t>
  </si>
  <si>
    <t>492</t>
  </si>
  <si>
    <t>D11 vel. 900x2350 mm, bezpečnostní únikové dveře, š.900mm, do hliníkové systémové rámové zárubně: Z21, bezp. odolnost: RC3, ESG, stav. neprůzv.: -, PO: -, vč. kování a příslušenství dle 288 tabulky dveří</t>
  </si>
  <si>
    <t>-512518854</t>
  </si>
  <si>
    <t>493</t>
  </si>
  <si>
    <t>D42 vel. 1800x2100 mm, interiérové dveře otevíravé dvoukřídlé, š.1800mm, plné, bezpolodrážkové se skrytými panty a se skrytou klikou, neuzamykatelné: Z60, bezp. odolnost: -, stav. neprůzv.: -, PO: -, vč. kování a příslušenství dle 290 tabulky dveří</t>
  </si>
  <si>
    <t>45439366</t>
  </si>
  <si>
    <t>Poznámka k položce:_x000D_
D42 -  interiérové dveře otevíravé dvoukřídlé, š.1800mm, plné, bezpolodrážkové se skrytými panty a se skrytou klikou, neuzamykatelné, rozměr: 1800x2100 ,vč. kování: VU,  zámku: -, samozavírače: - a doplňky: - ; specifikace a další viz. tabulky dveří. Poznámka: Typ bude vybrán na základě vzorků dodavatele a vzorek potvrdí architekt projektu. Požární odolnost: -</t>
  </si>
  <si>
    <t>494</t>
  </si>
  <si>
    <t>D42 vel. 1800x2100 mm, interiérové dveře otevíravé dvoukřídlé, š.1800mm, plné, bezpolodrážkové se skrytými panty a se skrytou klikou, neuzamykatelné: Z60, bezp. odolnost: -, stav. neprůzv.: -, PO: -, vč. kování a příslušenství dle 291 tabulky dveří</t>
  </si>
  <si>
    <t>490733972</t>
  </si>
  <si>
    <t>495</t>
  </si>
  <si>
    <t>D42 vel. 1800x2100 mm, interiérové dveře otevíravé dvoukřídlé, š.1800mm, plné, bezpolodrážkové se skrytými panty a se skrytou klikou, neuzamykatelné: Z60, bezp. odolnost: -, stav. neprůzv.: -, PO: -, vč. kování a příslušenství dle 292 tabulky dveří</t>
  </si>
  <si>
    <t>-820828544</t>
  </si>
  <si>
    <t>496</t>
  </si>
  <si>
    <t>D42 vel. 1800x2100 mm, interiérové dveře otevíravé dvoukřídlé, š.1800mm, plné, bezpolodrážkové se skrytými panty a se skrytou klikou, neuzamykatelné: Z60, bezp. odolnost: -, stav. neprůzv.: -, PO: -, vč. kování a příslušenství dle 293 tabulky dveří</t>
  </si>
  <si>
    <t>-2123259335</t>
  </si>
  <si>
    <t>497</t>
  </si>
  <si>
    <t>D33 vel. 1200x2100 mm, interiérové dveře otevíravé dvoukřídlé, š.1200mm (dělení 800+400mm), celoprosklené, bezpolodrážkové se skrytými panty: Z40, bezp. odolnost: ESG, stav. neprůzv.: -, PO: -, vč. kování a příslušenství dle 294 tabulky dveří</t>
  </si>
  <si>
    <t>120769353</t>
  </si>
  <si>
    <t>498</t>
  </si>
  <si>
    <t>D32 vel. 800x2100 mm, interiérové dveře posuvné, š.800mm, plné, do stavebního pouzda pro zděné stěny: Z50, bezp. odolnost: -, stav. neprůzv.: -, PO: -, vč. kování a příslušenství dle 295 tabulky dveří</t>
  </si>
  <si>
    <t>-2119501521</t>
  </si>
  <si>
    <t>Poznámka k položce:_x000D_
D32 - Jednokřídlé interiérové dveře posuvné, š.800mm, plné, do stavebního pouzda pro zděné stěny, rozměr: 800x2100 ,vč. kování: K1,  zámku: ZD, samozavírače: - a doplňky: - ; specifikace a další viz. tabulky dveří. Poznámka: Typ bude vybrán na základě vzorků dodavatele a vzorek potvrdí architekt projektu. Požární odolnost: -</t>
  </si>
  <si>
    <t>499</t>
  </si>
  <si>
    <t>D11 vel. 900x2350 mm, bezpečnostní únikové dveře, š.900mm, otevíratelná proti směru úniku, do hliníkové systémové rámové zárubně: -, bezp. odolnost: -, stav. neprůzv.: -, PO: -, vč. kování a příslušenství dle 296 tabulky dveří</t>
  </si>
  <si>
    <t>2114384187</t>
  </si>
  <si>
    <t>Poznámka k položce:_x000D_
D11 - Jednokřídlé bezpečnostní únikové dveře, š.900mm, z nadzemních částí objektu do parteru, otevíratelná proti směru úniku, do hliníkové systémové rámové zárubně, rozměr: 900x2350 ,vč. kování: -,  zámku: -, samozavírače: - a doplňky: - ; specifikace a další viz. tabulky dveří. Poznámka: Typ bude vybrán na základě vzorků dodavatele a vzorek potvrdí architekt projektu. Požární odolnost: -</t>
  </si>
  <si>
    <t>500</t>
  </si>
  <si>
    <t>D31 vel. 800x2100 mm, interiérové dveře otevíravé, š.800mm, plné, bezpolodrážkové se skrytými panty: Z40, bezp. odolnost: -, stav. neprůzv.: -, PO: -, vč. kování a příslušenství dle 297 tabulky dveří</t>
  </si>
  <si>
    <t>1357179861</t>
  </si>
  <si>
    <t>501</t>
  </si>
  <si>
    <t>D31 vel. 800x2100 mm, interiérové dveře otevíravé, š.800mm, plné, bezpolodrážkové se skrytými panty: Z40, bezp. odolnost: -, stav. neprůzv.: -, PO: -, vč. kování a příslušenství dle 298 tabulky dveří</t>
  </si>
  <si>
    <t>27065020</t>
  </si>
  <si>
    <t>502</t>
  </si>
  <si>
    <t>D31 vel. 800x2100 mm, interiérové dveře otevíravé, š.800mm, plné, bezpolodrážkové se skrytými panty: Z40, bezp. odolnost: -, stav. neprůzv.: -, PO: -, vč. kování a příslušenství dle 299 tabulky dveří</t>
  </si>
  <si>
    <t>677220010</t>
  </si>
  <si>
    <t>503</t>
  </si>
  <si>
    <t>D06 vel. 5400x2100 mm, protipožární posuvvná brána s integrovanými dveřmi, š.5400mm, uzavíratelná pomocí čidel z přilehlých požárních úseků: -, bezp. odolnost: -, stav. neprůzv.: -, PO: EW30DP1, vč. kování a příslušenství dle 300 tabulky dveří</t>
  </si>
  <si>
    <t>54200336</t>
  </si>
  <si>
    <t>Poznámka k položce:_x000D_
D06 -  protipožární posuvvná brána s integrovanými dveřmi, š.5400mm, uzavíratelná pomocí čidel z přilehlých požárních úseků, rozměr: 5400x2100 ,vč. kování: KP1,  zámku: -, samozavírače: SN1 a doplňky: - ; specifikace a další viz. tabulky dveří. Poznámka: Typ bude vybrán na základě vzorků dodavatele a vzorek potvrdí architekt projektu. Požární odolnost: EW30DP1</t>
  </si>
  <si>
    <t>504</t>
  </si>
  <si>
    <t>D05 vel. 5700x2100 mm, vjezdová rolovací lamelová vrata mezi rampou a podzemním podlažím, š.5700mm: -, bezp. odolnost: -, stav. neprůzv.: -, PO: -, vč. kování a příslušenství dle 301 tabulky dveří</t>
  </si>
  <si>
    <t>-1793007628</t>
  </si>
  <si>
    <t>Poznámka k položce:_x000D_
D05 -  vjezdová rolovací lamelová vrata mezi rampou a podzemním podlažím, š.5700mm, rozměr: 5700x2100 ,vč. kování: -,  zámku: EO, samozavírače: - a doplňky: - ; specifikace a další viz. tabulky dveří. Poznámka: Typ bude vybrán na základě vzorků dodavatele a vzorek potvrdí architekt projektu. Požární odolnost: -</t>
  </si>
  <si>
    <t>505</t>
  </si>
  <si>
    <t>D34 vel. 700x2100 mm, interiérové dveře otevíravé, š.700mm, plné, bezpolodrážkové se skrytými panty: Z40, bezp. odolnost: -, stav. neprůzv.: -, PO: -, vč. kování a příslušenství dle 302 tabulky dveří</t>
  </si>
  <si>
    <t>-1183614439</t>
  </si>
  <si>
    <t>V02</t>
  </si>
  <si>
    <t>Okna</t>
  </si>
  <si>
    <t>506</t>
  </si>
  <si>
    <t>W01</t>
  </si>
  <si>
    <t>W01 vel. 1000x2400mm Jednokřídlové otevíravé - sklopné, BO: RC2, stav. neprůzv.: 40 dB, vč. kování a příslušenství dle W01 tabulky oken</t>
  </si>
  <si>
    <t>-1779371970</t>
  </si>
  <si>
    <t>Poznámka k položce:_x000D_
Profil rámu Internorm HV450, konstrukční hloubka 85mm, z vnitřní strany dřevo, pevná konstrukce, z vnější strany opláštění hliníkovým krytím v rozích svařovaným nebo spojovaným. Venkovní profily v linii. Hluková izolace Rw=min.40 dB. Povrchová úprava dřeva přírodní lazurou nebo krycími laky. Povrchová úprava hliníku práškovou barvou; systémové kotvení podle výrobce včetně všech kotvících a tmelících prvků.</t>
  </si>
  <si>
    <t>507</t>
  </si>
  <si>
    <t>W02</t>
  </si>
  <si>
    <t>W02 vel. 1000x3200mm Jednokřídlové otevíravé - sklopné, BO: RC3, stav. neprůzv.: 40 dB, vč. kování a příslušenství dle W02 tabulky oken</t>
  </si>
  <si>
    <t>1208150754</t>
  </si>
  <si>
    <t>508</t>
  </si>
  <si>
    <t>W03</t>
  </si>
  <si>
    <t>W03 vel. 1000x1500mm Jednokřídlové otevíravé - sklopné, BO: RC2, stav. neprůzv.: 40 dB, vč. kování a příslušenství dle W03 tabulky oken</t>
  </si>
  <si>
    <t>1887622813</t>
  </si>
  <si>
    <t>509</t>
  </si>
  <si>
    <t>W04</t>
  </si>
  <si>
    <t>W04 vel. 1000x2100mm Jednokřídlové otevíravé - sklopné, BO: RC2, stav. neprůzv.: 40 dB, vč. kování a příslušenství dle W04 tabulky oken</t>
  </si>
  <si>
    <t>1107967799</t>
  </si>
  <si>
    <t>510</t>
  </si>
  <si>
    <t>W05</t>
  </si>
  <si>
    <t>W05 vel. 625x1000mm Jednokřídlové otevíravé - sklopné, BO: RC2, stav. neprůzv.: 40 dB, vč. kování a příslušenství dle W05 tabulky oken</t>
  </si>
  <si>
    <t>-816499027</t>
  </si>
  <si>
    <t>511</t>
  </si>
  <si>
    <t>W06</t>
  </si>
  <si>
    <t>W06 vel. 875x2400mm Jednokřídlové otevíravé - sklopné, BO: RC2, stav. neprůzv.: 40 dB, vč. kování a příslušenství dle W06 tabulky oken</t>
  </si>
  <si>
    <t>-136434426</t>
  </si>
  <si>
    <t>512</t>
  </si>
  <si>
    <t>W07</t>
  </si>
  <si>
    <t>W07 vel. 2000x1150mm Jednokřídlové otevíravé - sklopné, BO: RC2, stav. neprůzv.: 40 dB, vč. kování a příslušenství dle W07 tabulky oken</t>
  </si>
  <si>
    <t>-2000657263</t>
  </si>
  <si>
    <t>513</t>
  </si>
  <si>
    <t>W18</t>
  </si>
  <si>
    <t>W18 vel. 1250x2400mm Jednokřídlové otevíravé - sklopné, BO: RC2, stav. neprůzv.: 40 dB, vč. kování a příslušenství dle W18 tabulky oken</t>
  </si>
  <si>
    <t>352104197</t>
  </si>
  <si>
    <t>514</t>
  </si>
  <si>
    <t>W19</t>
  </si>
  <si>
    <t>W19 vel. 1250x2100mm Jednokřídlové otevíravé - sklopné, BO: RC2, stav. neprůzv.: 40 dB, vč. kování a příslušenství dle W19 tabulky oken</t>
  </si>
  <si>
    <t>-402413594</t>
  </si>
  <si>
    <t>515</t>
  </si>
  <si>
    <t>W20</t>
  </si>
  <si>
    <t>W20 vel. 750x2100mm Jednokřídlové otevíravé - sklopné, BO: RC2, stav. neprůzv.: 40 dB, vč. kování a příslušenství dle W20 tabulky oken</t>
  </si>
  <si>
    <t>339556013</t>
  </si>
  <si>
    <t>516</t>
  </si>
  <si>
    <t>W81</t>
  </si>
  <si>
    <t>W81 vel. 942x1398mm Jednokřídlové výklopně kyvné, BO: -, stav. neprůzv.: 35 dB, vč. kování a příslušenství dle W81 tabulky oken</t>
  </si>
  <si>
    <t>306418920</t>
  </si>
  <si>
    <t>Poznámka k položce:_x000D_
Střešní okno s horním ovládáním; povrchová úprava rámu i křídla bezúdržbová; systémové kotvení podle výrobce včetně všech kotevních a tmelících prvků. Hluková izolace Rw=min.35 dB. Otevírání na dálkové ovládání v každém podlaží s elektro pohonem. Nezapuštěná montáž do profilované střešní krytiny.</t>
  </si>
  <si>
    <t>517</t>
  </si>
  <si>
    <t>W82</t>
  </si>
  <si>
    <t>W82 vel. 550x778mm Jednokřídlové výklopně kyvné, BO: -, stav. neprůzv.: 35 dB, vč. kování a příslušenství dle W82 tabulky oken</t>
  </si>
  <si>
    <t>-1073572628</t>
  </si>
  <si>
    <t>518</t>
  </si>
  <si>
    <t>W83</t>
  </si>
  <si>
    <t>W83 vel. 940x1370mm Jednokřídlové výklopné, BO: -, stav. neprůzv.: 37 dB, vč. kování a příslušenství dle W83 tabulky oken</t>
  </si>
  <si>
    <t>632155156</t>
  </si>
  <si>
    <t>Poznámka k položce:_x000D_
Střešní okno fasádní; povrchová úprava rámu i křídla bezúdržbová; systémové kotvení podle výrobce včetně všech kotevních a tmelících prvků. Hluková izolace Rw=min.35 dB. Otevírání sklopné s dolními panty a aretací. Nezapuštěná montáž do profilované střešní krytiny.</t>
  </si>
  <si>
    <t>519</t>
  </si>
  <si>
    <t>W84</t>
  </si>
  <si>
    <t>W84 vel. 942x1178mm Jednokřídlové výklopně kyvné, BO: -, stav. neprůzv.: 35 dB, vč. kování a příslušenství dle W84 tabulky oken</t>
  </si>
  <si>
    <t>1581273499</t>
  </si>
  <si>
    <t>520</t>
  </si>
  <si>
    <t>W85</t>
  </si>
  <si>
    <t>W85 vel. 1140x1398mm Jednokřídlové výklopně kyvné, BO: -, stav. neprůzv.: 35 dB, vč. kování a příslušenství dle W85 tabulky oken</t>
  </si>
  <si>
    <t>965964195</t>
  </si>
  <si>
    <t>521</t>
  </si>
  <si>
    <t>W86</t>
  </si>
  <si>
    <t>W86 vel. 780x1398mm Jednokřídlové výklopně kyvné, BO: -, stav. neprůzv.: 35 dB, vč. kování a příslušenství dle W86 tabulky oken</t>
  </si>
  <si>
    <t>1325357760</t>
  </si>
  <si>
    <t>522</t>
  </si>
  <si>
    <t>W91</t>
  </si>
  <si>
    <t>W91 vel. 1080x1380mm Jednokřídlové výklopné, BO: -, stav. neprůzv.: -, vč. kování a příslušenství dle W91 tabulky oken</t>
  </si>
  <si>
    <t>1729951740</t>
  </si>
  <si>
    <t>Poznámka k položce:_x000D_
Zateplený střešní výlez s izolačním dvojsklem s výklopnou konstrukcí poklopu pro bezpečný výstup na střechu, boční otevření výlezu do 60° a s aretací křídla pomocí omezovače pohybu. Včetně lemování pro hladkou krytinu._x000D_
Plastový střešní výlez pro otvor 900x1200mm.</t>
  </si>
  <si>
    <t>V03</t>
  </si>
  <si>
    <t>Prosklené příčky - exteriérové</t>
  </si>
  <si>
    <t>523</t>
  </si>
  <si>
    <t>CW01</t>
  </si>
  <si>
    <t>CW01 vel. 6125x3200mm Pevné zasklení, otevíravé - sklopné, BO: RC3 40 dB , vč. kování a příslušenství dle CW01 tabulky prosklených příček</t>
  </si>
  <si>
    <t>236958829</t>
  </si>
  <si>
    <t xml:space="preserve">Poznámka k položce:_x000D_
Montáž bude automaticky prováděna s parotěsnou a hydroizolační folií dle ČSN 730540-2. Před objednáním oken, žaluzií a vstupních dveří, investor provede koordinaci typu a barvy prvků s architektem. </t>
  </si>
  <si>
    <t>524</t>
  </si>
  <si>
    <t>CW02</t>
  </si>
  <si>
    <t>CW02 vel. 6375x3200mm Pevné zasklení, otevíravé - sklopné, BO: RC3 40 dB , vč. kování a příslušenství dle CW02 tabulky prosklených příček</t>
  </si>
  <si>
    <t>1963708286</t>
  </si>
  <si>
    <t>525</t>
  </si>
  <si>
    <t>CW03</t>
  </si>
  <si>
    <t>CW03 vel. 4250x3200mm Pevné zasklení, otevíravé - sklopné, BO: RC3 40 dB , vč. kování a příslušenství dle CW03 tabulky prosklených příček</t>
  </si>
  <si>
    <t>-1472950351</t>
  </si>
  <si>
    <t>526</t>
  </si>
  <si>
    <t>CW04a</t>
  </si>
  <si>
    <t>CW04a vel. 2499x2400mm Pevné zasklení, otevíravé - sklopné, BO: RC2 40 dB , vč. kování a příslušenství dle CW04a tabulky prosklených příček</t>
  </si>
  <si>
    <t>1772202836</t>
  </si>
  <si>
    <t>527</t>
  </si>
  <si>
    <t>CW04a.1</t>
  </si>
  <si>
    <t>CW04a vel. 2500x2400mm Pevné zasklení, otevíravé - sklopné, BO: RC2 40 dB , vč. kování a příslušenství dle CW04a tabulky prosklených příček</t>
  </si>
  <si>
    <t>-700989499</t>
  </si>
  <si>
    <t>528</t>
  </si>
  <si>
    <t>CW04b</t>
  </si>
  <si>
    <t>CW04b vel. 2500x2400mm Pevné zasklení, otevíravé - sklopné, BO: RC2 40 dB , vč. kování a příslušenství dle CW04b tabulky prosklených příček</t>
  </si>
  <si>
    <t>-1287058961</t>
  </si>
  <si>
    <t>529</t>
  </si>
  <si>
    <t>CW05</t>
  </si>
  <si>
    <t>CW05 vel. 900x2400mm Pevné zasklení, otevíravé - sklopné, BO: RC2 40 dB , vč. kování a příslušenství dle CW05 tabulky prosklených příček</t>
  </si>
  <si>
    <t>-1736314658</t>
  </si>
  <si>
    <t>530</t>
  </si>
  <si>
    <t>CW06</t>
  </si>
  <si>
    <t>CW06 vel. 1000x2400mm Pevné zasklení, otevíravé - sklopné, BO: RC2 40 dB , vč. kování a příslušenství dle CW06 tabulky prosklených příček</t>
  </si>
  <si>
    <t>-1526846646</t>
  </si>
  <si>
    <t>531</t>
  </si>
  <si>
    <t>CW07a</t>
  </si>
  <si>
    <t>CW07a vel. 2400x2400mm Pevné zasklení, otevíravé - sklopné, BO: RC2 40 dB , vč. kování a příslušenství dle CW07a tabulky prosklených příček</t>
  </si>
  <si>
    <t>-471652665</t>
  </si>
  <si>
    <t>532</t>
  </si>
  <si>
    <t>CW07b</t>
  </si>
  <si>
    <t>CW07b vel. 2400x2400mm Pevné zasklení, otevíravé - sklopné, BO: RC2 40 dB , vč. kování a příslušenství dle CW07b tabulky prosklených příček</t>
  </si>
  <si>
    <t>1700900683</t>
  </si>
  <si>
    <t>533</t>
  </si>
  <si>
    <t>CW08a</t>
  </si>
  <si>
    <t>CW08a vel. 2000x2220mm Pevné zasklení, otevíravé - sklopné, BO: RC2 40 dB , vč. kování a příslušenství dle CW08a tabulky prosklených příček</t>
  </si>
  <si>
    <t>-970588483</t>
  </si>
  <si>
    <t>534</t>
  </si>
  <si>
    <t>CW08b</t>
  </si>
  <si>
    <t>CW08b vel. 2000x2220mm Pevné zasklení, otevíravé - sklopné, BO: RC2 40 dB , vč. kování a příslušenství dle CW08b tabulky prosklených příček</t>
  </si>
  <si>
    <t>-1566785897</t>
  </si>
  <si>
    <t>535</t>
  </si>
  <si>
    <t>CW09a</t>
  </si>
  <si>
    <t>CW09a vel. 2399x2220mm Pevné zasklení, otevíravé - sklopné, BO: RC2 40 dB , vč. kování a příslušenství dle CW09a tabulky prosklených příček</t>
  </si>
  <si>
    <t>-485150405</t>
  </si>
  <si>
    <t xml:space="preserve">Poznámka k položce:_x000D_
Montáž bude automaticky prováděna s parotěsnou a hydroizolační folií dle ČSN 730540-2. Před objednáním oken, žaluzií a vstupních dveří, investor provede koordinaci typu a barvy prvků s architektem._x000D_
</t>
  </si>
  <si>
    <t>536</t>
  </si>
  <si>
    <t>CW09b</t>
  </si>
  <si>
    <t>CW09b vel. 2400x2220mm Pevné zasklení, otevíravé - sklopné, BO: RC2 40 dB , vč. kování a příslušenství dle CW09b tabulky prosklených příček</t>
  </si>
  <si>
    <t>822311409</t>
  </si>
  <si>
    <t>537</t>
  </si>
  <si>
    <t>CW10</t>
  </si>
  <si>
    <t>CW10 vel. 4835x2400mm Pevné zasklení, otevíravé - sklopné, BO: RC2 40 dB , vč. kování a příslušenství dle CW10 tabulky prosklených příček</t>
  </si>
  <si>
    <t>-2117386235</t>
  </si>
  <si>
    <t>538</t>
  </si>
  <si>
    <t>CW11</t>
  </si>
  <si>
    <t>CW11 vel. 1400x2400mm Pevné zasklení, otevíravé - sklopné, BO: RC2 40 dB , vč. kování a příslušenství dle CW11 tabulky prosklených příček</t>
  </si>
  <si>
    <t>-1316717345</t>
  </si>
  <si>
    <t>539</t>
  </si>
  <si>
    <t>CW12</t>
  </si>
  <si>
    <t>CW12 vel. 2200x2400mm Pevné zasklení, otevíravé - sklopné, BO: RC2 40 dB , vč. kování a příslušenství dle CW12 tabulky prosklených příček</t>
  </si>
  <si>
    <t>-1679952632</t>
  </si>
  <si>
    <t>540</t>
  </si>
  <si>
    <t>CW13</t>
  </si>
  <si>
    <t>CW13 vel. 2000x2400mm Pevné zasklení, otevíravé - sklopné, BO: RC2 40 dB , vč. kování a příslušenství dle CW13 tabulky prosklených příček</t>
  </si>
  <si>
    <t>-1789812866</t>
  </si>
  <si>
    <t>541</t>
  </si>
  <si>
    <t>CW14</t>
  </si>
  <si>
    <t>CW14 vel. 2000x2400mm Pevné zasklení, otevíravé - sklopné, BO: RC2 40 dB , vč. kování a příslušenství dle CW14 tabulky prosklených příček</t>
  </si>
  <si>
    <t>-1328835124</t>
  </si>
  <si>
    <t>711</t>
  </si>
  <si>
    <t>Izolace proti vodě, vlhkosti a plynům</t>
  </si>
  <si>
    <t>542</t>
  </si>
  <si>
    <t>711111001</t>
  </si>
  <si>
    <t>Provedení izolace proti zemní vlhkosti vodorovné za studena nátěrem penetračním</t>
  </si>
  <si>
    <t>-49229569</t>
  </si>
  <si>
    <t>"FF03" 214,58*2</t>
  </si>
  <si>
    <t>543</t>
  </si>
  <si>
    <t>11163R01</t>
  </si>
  <si>
    <t>emulze asfaltová penetrační</t>
  </si>
  <si>
    <t>litr</t>
  </si>
  <si>
    <t>-59640296</t>
  </si>
  <si>
    <t>429,16*0,00033 'Přepočtené koeficientem množství</t>
  </si>
  <si>
    <t>544</t>
  </si>
  <si>
    <t>711112001</t>
  </si>
  <si>
    <t>Provedení izolace proti zemní vlhkosti svislé za studena nátěrem penetračním</t>
  </si>
  <si>
    <t>895640319</t>
  </si>
  <si>
    <t>"FF03" 1,375*12*4*2</t>
  </si>
  <si>
    <t>3,55*10,325*4*2</t>
  </si>
  <si>
    <t>545</t>
  </si>
  <si>
    <t>11163R02</t>
  </si>
  <si>
    <t>1358200432</t>
  </si>
  <si>
    <t>425,23*0,00034 'Přepočtené koeficientem množství</t>
  </si>
  <si>
    <t>546</t>
  </si>
  <si>
    <t>711141559</t>
  </si>
  <si>
    <t>Provedení izolace proti zemní vlhkosti pásy přitavením vodorovné NAIP</t>
  </si>
  <si>
    <t>-1610611607</t>
  </si>
  <si>
    <t>Poznámka k položce:_x000D_
Ochranná vrstva a hydroizolační vrstva</t>
  </si>
  <si>
    <t>547</t>
  </si>
  <si>
    <t>62853R10</t>
  </si>
  <si>
    <t>pás asfaltový natavitelný modifikovaný SBS tl 4,0mm s vložkou ze skleněné tkaniny a spalitelnou PE fólií nebo jemnozrnným minerálním posypem na horním povrchu</t>
  </si>
  <si>
    <t>1416725419</t>
  </si>
  <si>
    <t>429,16*1,1655 'Přepočtené koeficientem množství</t>
  </si>
  <si>
    <t>548</t>
  </si>
  <si>
    <t>711142559</t>
  </si>
  <si>
    <t>Provedení izolace proti zemní vlhkosti pásy přitavením svislé NAIP</t>
  </si>
  <si>
    <t>-334475049</t>
  </si>
  <si>
    <t>549</t>
  </si>
  <si>
    <t>62853R11</t>
  </si>
  <si>
    <t>1176466537</t>
  </si>
  <si>
    <t>425,23*1,221 'Přepočtené koeficientem množství</t>
  </si>
  <si>
    <t>550</t>
  </si>
  <si>
    <t>711161173</t>
  </si>
  <si>
    <t>Provedení izolace proti zemní vlhkosti vodorovné z nopové fólie</t>
  </si>
  <si>
    <t>-1224465773</t>
  </si>
  <si>
    <t>"RF11"</t>
  </si>
  <si>
    <t>"Objekt A" 106,47</t>
  </si>
  <si>
    <t>"Objekt B" 51</t>
  </si>
  <si>
    <t>"Objekt C" 61,19</t>
  </si>
  <si>
    <t>"Objekt D" 28,85</t>
  </si>
  <si>
    <t>551</t>
  </si>
  <si>
    <t>28323010</t>
  </si>
  <si>
    <t>fólie profilovaná (nopová) drenážní HDPE s výškou nopů 20mm</t>
  </si>
  <si>
    <t>-1793634116</t>
  </si>
  <si>
    <t>280,48*1,1655 'Přepočtené koeficientem množství</t>
  </si>
  <si>
    <t>552</t>
  </si>
  <si>
    <t>998711203</t>
  </si>
  <si>
    <t>Přesun hmot procentní pro izolace proti vodě, vlhkosti a plynům v objektech v přes 12 do 60 m</t>
  </si>
  <si>
    <t>%</t>
  </si>
  <si>
    <t>-1535565618</t>
  </si>
  <si>
    <t>712</t>
  </si>
  <si>
    <t>Povlakové krytiny</t>
  </si>
  <si>
    <t>553</t>
  </si>
  <si>
    <t>712331111</t>
  </si>
  <si>
    <t>Provedení povlakové krytiny střech do 10° podkladní vrstvy pásy na sucho samolepící</t>
  </si>
  <si>
    <t>-416844037</t>
  </si>
  <si>
    <t>554</t>
  </si>
  <si>
    <t>62856011</t>
  </si>
  <si>
    <t>pás asfaltový natavitelný modifikovaný SBS tl 4,0mm s vložkou z hliníkové fólie, hliníkové fólie s textilií a spalitelnou PE fólií nebo jemnozrnným minerálním posypem na horním povrchu</t>
  </si>
  <si>
    <t>-620767602</t>
  </si>
  <si>
    <t>1328,192*1,1655 'Přepočtené koeficientem množství</t>
  </si>
  <si>
    <t>555</t>
  </si>
  <si>
    <t>712361301</t>
  </si>
  <si>
    <t>Provedení dvojitého hydroizolačního systému plochých střech na ploše vodorovné fólií PVC volně s horkovzdušným navařením segmentů</t>
  </si>
  <si>
    <t>-2046455824</t>
  </si>
  <si>
    <t>"RF12" 431,26</t>
  </si>
  <si>
    <t>"RF13"</t>
  </si>
  <si>
    <t>"Objekt A" 8,38</t>
  </si>
  <si>
    <t>"Objekt A" 11,8</t>
  </si>
  <si>
    <t>"Objekt C" 12,27</t>
  </si>
  <si>
    <t>"Objekt D" 12,15</t>
  </si>
  <si>
    <t>556</t>
  </si>
  <si>
    <t>28343012</t>
  </si>
  <si>
    <t>fólie hydroizolační střešní mPVC určená ke stabilizaci přitížením a do vegetačních střech tl 1,5mm</t>
  </si>
  <si>
    <t>1805555236</t>
  </si>
  <si>
    <t>972,47*1,1655 'Přepočtené koeficientem množství</t>
  </si>
  <si>
    <t>557</t>
  </si>
  <si>
    <t>712361301a</t>
  </si>
  <si>
    <t>-1565597459</t>
  </si>
  <si>
    <t>558</t>
  </si>
  <si>
    <t>28343016</t>
  </si>
  <si>
    <t>fólie hydroizolační střešní mPVC určená ke stabilizaci přitížením a do vegetačních střech tl 2,0mm</t>
  </si>
  <si>
    <t>801038896</t>
  </si>
  <si>
    <t>74,66*1,1655 'Přepočtené koeficientem množství</t>
  </si>
  <si>
    <t>559</t>
  </si>
  <si>
    <t>712771101</t>
  </si>
  <si>
    <t>Provedení ochranné vrstvy z textilií nebo rohoží volně s přesahem vegetační střechy sklon do 5°</t>
  </si>
  <si>
    <t>233111954</t>
  </si>
  <si>
    <t>"RF30" 28</t>
  </si>
  <si>
    <t>560</t>
  </si>
  <si>
    <t>712R100</t>
  </si>
  <si>
    <t>Netkaná mulčovací textilie ze 100% polypropylenu, 90 g/m2, proti prorůstání plevele</t>
  </si>
  <si>
    <t>199385007</t>
  </si>
  <si>
    <t>28*1,05 'Přepočtené koeficientem množství</t>
  </si>
  <si>
    <t>561</t>
  </si>
  <si>
    <t>712771203</t>
  </si>
  <si>
    <t>Provedení drenážní vrstvy vegetační střechy z kameniva tl přes 100 do 200 mm sklon do 5°</t>
  </si>
  <si>
    <t>-421107768</t>
  </si>
  <si>
    <t>562</t>
  </si>
  <si>
    <t>58337403</t>
  </si>
  <si>
    <t>kamenivo dekorační (kačírek) frakce 16/32</t>
  </si>
  <si>
    <t>-2085049121</t>
  </si>
  <si>
    <t>"RF30" 28*0,15</t>
  </si>
  <si>
    <t>4,2*1,35 'Přepočtené koeficientem množství</t>
  </si>
  <si>
    <t>563</t>
  </si>
  <si>
    <t>998712203</t>
  </si>
  <si>
    <t>Přesun hmot procentní pro krytiny povlakové v objektech v přes 12 do 24 m</t>
  </si>
  <si>
    <t>-264104343</t>
  </si>
  <si>
    <t>713</t>
  </si>
  <si>
    <t>Izolace tepelné</t>
  </si>
  <si>
    <t>564</t>
  </si>
  <si>
    <t>713111126</t>
  </si>
  <si>
    <t>Montáž izolace tepelné spodem stropů lepením bodově rohoží, pásů, dílců, desek</t>
  </si>
  <si>
    <t>-2140956958</t>
  </si>
  <si>
    <t>"F15"</t>
  </si>
  <si>
    <t>1056+2,4</t>
  </si>
  <si>
    <t>565</t>
  </si>
  <si>
    <t>631R120</t>
  </si>
  <si>
    <t>Tepelná izolace z minerální vlny Isover Top V Final, tl. 100mm, vč. lepidla</t>
  </si>
  <si>
    <t>1919131019</t>
  </si>
  <si>
    <t>1058,4*1,02 'Přepočtené koeficientem množství</t>
  </si>
  <si>
    <t>566</t>
  </si>
  <si>
    <t>713121111</t>
  </si>
  <si>
    <t>Montáž izolace tepelné podlah volně kladenými rohožemi, pásy, dílci, deskami 1 vrstva</t>
  </si>
  <si>
    <t>579381613</t>
  </si>
  <si>
    <t>"Objekt A" 215,46</t>
  </si>
  <si>
    <t>"OBjekt B" 64,31</t>
  </si>
  <si>
    <t>"OBjekt C" 56,42</t>
  </si>
  <si>
    <t>"Objekt D" 69,67</t>
  </si>
  <si>
    <t>"OBjekt B" 165,13</t>
  </si>
  <si>
    <t>"OBjekt C" 132,62</t>
  </si>
  <si>
    <t>"Objekt D" 163,75</t>
  </si>
  <si>
    <t>"Objekt A" 125,35</t>
  </si>
  <si>
    <t>"OBjekt B" 153,85</t>
  </si>
  <si>
    <t>"OBjekt C" 113,78</t>
  </si>
  <si>
    <t>"Objekt D" 184,52</t>
  </si>
  <si>
    <t>"Objekt A" 256,47</t>
  </si>
  <si>
    <t>"OBjekt B" 312,43</t>
  </si>
  <si>
    <t>"OBjekt C" 273,65</t>
  </si>
  <si>
    <t>"Objekt D" 326,68</t>
  </si>
  <si>
    <t>567</t>
  </si>
  <si>
    <t>631R200</t>
  </si>
  <si>
    <t>Kročejová izolace - minerální hydrofobizovaná vlna, dynamická tuhost 23MN/m3, tl. 25mm, např. Isover N</t>
  </si>
  <si>
    <t>-675413176</t>
  </si>
  <si>
    <t>3672,49*1,02 'Přepočtené koeficientem množství</t>
  </si>
  <si>
    <t>568</t>
  </si>
  <si>
    <t>713131141</t>
  </si>
  <si>
    <t>Montáž izolace tepelné stěn a základů lepením celoplošně rohoží, pásů, dílců, desek</t>
  </si>
  <si>
    <t>1707747765</t>
  </si>
  <si>
    <t>"1PP" 302,93</t>
  </si>
  <si>
    <t>"výtahová šachta - dilatace" 210,00</t>
  </si>
  <si>
    <t>"výtahová šachta - nástupní strana" 37,00</t>
  </si>
  <si>
    <t>"dojezd výtahové šachty tl. 40 mm" 97,00</t>
  </si>
  <si>
    <t>"dojezd výtahové šachty tl. 20 mm" 19,00</t>
  </si>
  <si>
    <t>"vodorovná spodní dilatace výtahové šachty tl. 25 mm" 18,00</t>
  </si>
  <si>
    <t>569</t>
  </si>
  <si>
    <t>28376421</t>
  </si>
  <si>
    <t>deska z polystyrénu XPS, hrana polodrážková a hladký povrch 300kPA tl 80mm</t>
  </si>
  <si>
    <t>288021613</t>
  </si>
  <si>
    <t>302,93*1,05 'Přepočtené koeficientem množství</t>
  </si>
  <si>
    <t>570</t>
  </si>
  <si>
    <t>63151518</t>
  </si>
  <si>
    <t>deska tepelně izolační minerální kontaktních fasád podélné vlákno λ=0,036 tl 40mm</t>
  </si>
  <si>
    <t>-1789302818</t>
  </si>
  <si>
    <t>210*1,02 'Přepočtené koeficientem množství</t>
  </si>
  <si>
    <t>571</t>
  </si>
  <si>
    <t>R63151518</t>
  </si>
  <si>
    <t>deska tepelně izolační minerální kontaktních fasád podélné vlákno λ=0,036 tl 20mm</t>
  </si>
  <si>
    <t>-658475053</t>
  </si>
  <si>
    <t>37*1,02 'Přepočtené koeficientem množství</t>
  </si>
  <si>
    <t>572</t>
  </si>
  <si>
    <t>28376408</t>
  </si>
  <si>
    <t>deska z polystyrénu XPS, hrana polodrážková a hladký povrch 500kPa</t>
  </si>
  <si>
    <t>-875894880</t>
  </si>
  <si>
    <t>"dojezd výtahové šachty tl. 40 mm" 97,00*0,04</t>
  </si>
  <si>
    <t>"dojezd výtahové šachty tl. 20 mm" 19,00*0,02</t>
  </si>
  <si>
    <t>4,26*1,02 'Přepočtené koeficientem množství</t>
  </si>
  <si>
    <t>573</t>
  </si>
  <si>
    <t>R71300001</t>
  </si>
  <si>
    <t>Antivibrační izolace sylomer tl. 25 mm</t>
  </si>
  <si>
    <t>-11445052</t>
  </si>
  <si>
    <t>18*1,02 'Přepočtené koeficientem množství</t>
  </si>
  <si>
    <t>574</t>
  </si>
  <si>
    <t>713131143</t>
  </si>
  <si>
    <t>Montáž izolace tepelné stěn a základů lepením celoplošně v kombinaci s mechanickým kotvením rohoží, pásů, dílců, desek</t>
  </si>
  <si>
    <t>-2040513320</t>
  </si>
  <si>
    <t>575</t>
  </si>
  <si>
    <t>28376418</t>
  </si>
  <si>
    <t>deska z polystyrénu XPS, hrana polodrážková a hladký povrch 300kPA tl 60mm</t>
  </si>
  <si>
    <t>1232393899</t>
  </si>
  <si>
    <t>84,525*1,02 'Přepočtené koeficientem množství</t>
  </si>
  <si>
    <t>576</t>
  </si>
  <si>
    <t>28375936</t>
  </si>
  <si>
    <t>deska EPS 70 fasádní λ=0,039 tl 80mm</t>
  </si>
  <si>
    <t>-1067236751</t>
  </si>
  <si>
    <t>"WF90 věnec"</t>
  </si>
  <si>
    <t>"Objekt A" 16</t>
  </si>
  <si>
    <t>"Objekt B" 12</t>
  </si>
  <si>
    <t>"Objekt C" 14</t>
  </si>
  <si>
    <t>"Objekt D" 18</t>
  </si>
  <si>
    <t>"Objekt A" 34,9</t>
  </si>
  <si>
    <t>"Objekt B" 35,99</t>
  </si>
  <si>
    <t>"Objekt C" 34,52</t>
  </si>
  <si>
    <t>"Objekt D" 36,35</t>
  </si>
  <si>
    <t>201,76*1,02 'Přepočtené koeficientem množství</t>
  </si>
  <si>
    <t>577</t>
  </si>
  <si>
    <t>28375952</t>
  </si>
  <si>
    <t>deska EPS 70 fasádní λ=0,039 tl 160mm</t>
  </si>
  <si>
    <t>-2005370122</t>
  </si>
  <si>
    <t>"Objekt A" 37</t>
  </si>
  <si>
    <t>"Objekt C" 22</t>
  </si>
  <si>
    <t>"Objekt D" 26</t>
  </si>
  <si>
    <t>85*1,02 'Přepočtené koeficientem množství</t>
  </si>
  <si>
    <t>578</t>
  </si>
  <si>
    <t>28375954</t>
  </si>
  <si>
    <t>deska EPS 70 fasádní λ=0,039 tl 200mm</t>
  </si>
  <si>
    <t>-368630144</t>
  </si>
  <si>
    <t>"WF11, WF12, WF13, WF15"</t>
  </si>
  <si>
    <t>"Objekt A" 29,58</t>
  </si>
  <si>
    <t>"Objekt B" 31,25</t>
  </si>
  <si>
    <t>"Objekt C" 29,82</t>
  </si>
  <si>
    <t>"Objekt D" 25,39</t>
  </si>
  <si>
    <t>116,04*1,02 'Přepočtené koeficientem množství</t>
  </si>
  <si>
    <t>579</t>
  </si>
  <si>
    <t>28375937</t>
  </si>
  <si>
    <t>deska EPS 70 fasádní λ=0,039 tl 90mm</t>
  </si>
  <si>
    <t>1759299265</t>
  </si>
  <si>
    <t>"WF16" 6,92</t>
  </si>
  <si>
    <t>6,92*1,02 'Přepočtené koeficientem množství</t>
  </si>
  <si>
    <t>580</t>
  </si>
  <si>
    <t>28375939</t>
  </si>
  <si>
    <t>deska EPS 70 fasádní λ=0,039 tl 120mm</t>
  </si>
  <si>
    <t>1644457032</t>
  </si>
  <si>
    <t>"WF18"</t>
  </si>
  <si>
    <t>"Objekt A" 7,255</t>
  </si>
  <si>
    <t>"Objekt B" 8,1</t>
  </si>
  <si>
    <t>"Objekt C" 5,2</t>
  </si>
  <si>
    <t>"Objekt D" 8,274</t>
  </si>
  <si>
    <t>28,829*1,02 'Přepočtené koeficientem množství</t>
  </si>
  <si>
    <t>581</t>
  </si>
  <si>
    <t>2837580R</t>
  </si>
  <si>
    <t>deska EPS 70 fasádní λ=0,039 tl 330mm</t>
  </si>
  <si>
    <t>819878832</t>
  </si>
  <si>
    <t>"WF19"</t>
  </si>
  <si>
    <t>"Objekt A" 4,718</t>
  </si>
  <si>
    <t>"Objekt B" 3,769</t>
  </si>
  <si>
    <t>"Objekt C" 0,408</t>
  </si>
  <si>
    <t>"Objekt D" 3,967</t>
  </si>
  <si>
    <t>12,862*1,02 'Přepočtené koeficientem množství</t>
  </si>
  <si>
    <t>582</t>
  </si>
  <si>
    <t>713141151</t>
  </si>
  <si>
    <t>Montáž izolace tepelné střech plochých kladené volně 1 vrstva rohoží, pásů, dílců, desek</t>
  </si>
  <si>
    <t>2010365288</t>
  </si>
  <si>
    <t>583</t>
  </si>
  <si>
    <t>28375963</t>
  </si>
  <si>
    <t>deska EPS 200 pro konstrukce s velmi vysokým zatížením λ=0,034 tl 200mm</t>
  </si>
  <si>
    <t>-1268553096</t>
  </si>
  <si>
    <t>247,51*1,02 'Přepočtené koeficientem množství</t>
  </si>
  <si>
    <t>584</t>
  </si>
  <si>
    <t>28375914</t>
  </si>
  <si>
    <t>deska EPS 150 pro konstrukce s vysokým zatížením λ=0,035, tl. 50-150mm</t>
  </si>
  <si>
    <t>1005064420</t>
  </si>
  <si>
    <t>798,03*1,02 'Přepočtené koeficientem množství</t>
  </si>
  <si>
    <t>585</t>
  </si>
  <si>
    <t>28375992</t>
  </si>
  <si>
    <t>deska EPS 150 pro konstrukce s vysokým zatížením λ=0,035, tl. 50-325mm</t>
  </si>
  <si>
    <t>1352608585</t>
  </si>
  <si>
    <t>32,97*1,02 'Přepočtené koeficientem množství</t>
  </si>
  <si>
    <t>586</t>
  </si>
  <si>
    <t>28375907</t>
  </si>
  <si>
    <t>deska EPS 150 pro konstrukce s vysokým zatížením λ=0,035, tl. 20-40mm</t>
  </si>
  <si>
    <t>1702837127</t>
  </si>
  <si>
    <t>185,99*1,02 'Přepočtené koeficientem množství</t>
  </si>
  <si>
    <t>587</t>
  </si>
  <si>
    <t>283R-300</t>
  </si>
  <si>
    <t>Stabilizovaný pěnový polystyren s uzavřenou povrchovou strukturou; λ = 0,034 W/mK; napětí v tlaku při 10% stlačení 150 kPa, tl. 100mm</t>
  </si>
  <si>
    <t>1043698128</t>
  </si>
  <si>
    <t>152,23*1,02 'Přepočtené koeficientem množství</t>
  </si>
  <si>
    <t>588</t>
  </si>
  <si>
    <t>283R-301</t>
  </si>
  <si>
    <t>Stabilizovaný pěnový polystyren s uzavřenou povrchovou strukturou; λ = 0,034 W/mK; napětí v tlaku při 10% stlačení 150 kPa, tl. 120mm</t>
  </si>
  <si>
    <t>-571654585</t>
  </si>
  <si>
    <t>589</t>
  </si>
  <si>
    <t>283R-302</t>
  </si>
  <si>
    <t>Polyuretanová tvrdá pěna; λ = 0,022 W/mK; napětí v tlaku při 10% stlačení 150 kPa, tl.160mm</t>
  </si>
  <si>
    <t>-1943727807</t>
  </si>
  <si>
    <t>30,14*1,02 'Přepočtené koeficientem množství</t>
  </si>
  <si>
    <t>590</t>
  </si>
  <si>
    <t>283R-303</t>
  </si>
  <si>
    <t>Spádové klíny z polyuretanové tvrdé pěny, spád min.2%, λ = 0,026 W/mK, trvalá zatížitelnost v tlaku max. 3000 kg/m2 při def. &lt; 2%, tl. 20-80mm</t>
  </si>
  <si>
    <t>1923669855</t>
  </si>
  <si>
    <t>591</t>
  </si>
  <si>
    <t>713151111</t>
  </si>
  <si>
    <t>Montáž izolace tepelné střech šikmých kladené volně mezi krokve rohoží, pásů, desek</t>
  </si>
  <si>
    <t>1178207844</t>
  </si>
  <si>
    <t>skladba RF10; mezikrokevní TI a mezikontralaťová TI</t>
  </si>
  <si>
    <t>"Objekt A" 367,51*2</t>
  </si>
  <si>
    <t>"Objekt B" 438,5*2</t>
  </si>
  <si>
    <t>"Objekt C" 335,61*2</t>
  </si>
  <si>
    <t>"Objekt D" 448,88*</t>
  </si>
  <si>
    <t>592</t>
  </si>
  <si>
    <t>R71201</t>
  </si>
  <si>
    <t>deska tepelně izolační hydrofobizovaná skelná minerální vlna do šikmých střech  λ=0,035 tl 220mm</t>
  </si>
  <si>
    <t>918547734</t>
  </si>
  <si>
    <t>2283,24*1,02 'Přepočtené koeficientem množství</t>
  </si>
  <si>
    <t>593</t>
  </si>
  <si>
    <t>R71202</t>
  </si>
  <si>
    <t>deska tepelně izolační hydrofobizovaná skelná minerální vlna do šikmých střech  λ=0,035 tl 80mm</t>
  </si>
  <si>
    <t>260182291</t>
  </si>
  <si>
    <t>594</t>
  </si>
  <si>
    <t>998713203</t>
  </si>
  <si>
    <t>Přesun hmot procentní pro izolace tepelné v objektech v přes 12 do 24 m</t>
  </si>
  <si>
    <t>-1493178283</t>
  </si>
  <si>
    <t>715</t>
  </si>
  <si>
    <t>Izolace proti chemickým vlivům</t>
  </si>
  <si>
    <t>595</t>
  </si>
  <si>
    <t>715111001</t>
  </si>
  <si>
    <t>Provedení izolace proti chemickým vlivům konstrukce vodorovné asfaltový tmel do 5 mm za horka</t>
  </si>
  <si>
    <t>-1173134360</t>
  </si>
  <si>
    <t>596</t>
  </si>
  <si>
    <t>11163153</t>
  </si>
  <si>
    <t>247595770</t>
  </si>
  <si>
    <t>1047,13*0,2 'Přepočtené koeficientem množství</t>
  </si>
  <si>
    <t>597</t>
  </si>
  <si>
    <t>998715203</t>
  </si>
  <si>
    <t>Přesun hmot procentní pro izolace proti chemickým vlivům v objektech v přes 12 do 24 m</t>
  </si>
  <si>
    <t>-1802844442</t>
  </si>
  <si>
    <t>762</t>
  </si>
  <si>
    <t>Konstrukce tesařské</t>
  </si>
  <si>
    <t>598</t>
  </si>
  <si>
    <t>762083122</t>
  </si>
  <si>
    <t>Impregnace řeziva proti dřevokaznému hmyzu, houbám a plísním máčením třída ohrožení 3 a 4</t>
  </si>
  <si>
    <t>811600007</t>
  </si>
  <si>
    <t>"kontralatě hranoly" 7,513</t>
  </si>
  <si>
    <t>599</t>
  </si>
  <si>
    <t>762342214</t>
  </si>
  <si>
    <t>Montáž laťování na střechách jednoduchých sklonu do 60° osové vzdálenosti přes 150 do 360 mm</t>
  </si>
  <si>
    <t>572767766</t>
  </si>
  <si>
    <t>skladba RF10</t>
  </si>
  <si>
    <t>"Objekt A" 367,51</t>
  </si>
  <si>
    <t>"Objekt B" 438,5</t>
  </si>
  <si>
    <t>"Objekt C" 335,61</t>
  </si>
  <si>
    <t>"Objekt D" 448,88</t>
  </si>
  <si>
    <t>600</t>
  </si>
  <si>
    <t>60514114</t>
  </si>
  <si>
    <t>řezivo jehličnaté lať impregnovaná dl 4 m</t>
  </si>
  <si>
    <t>823630959</t>
  </si>
  <si>
    <t>skladba RF10; laťování 30x40 mm</t>
  </si>
  <si>
    <t>"Objekt A" (122*23,32-29*(3,1+4,39+3,235)-35*5,545)*0,03*0,04</t>
  </si>
  <si>
    <t>"Objekt B" (121*27,56-35*5,34-20*12,11)*0,03*0,04</t>
  </si>
  <si>
    <t>"Objekt C" (110*21,84-20*(3,765+3,62)-35*5,3)*0,03*0,04</t>
  </si>
  <si>
    <t>"Objekt D" (121*27,54-41*6,01-7*(2,63+3,00+2,81))*0,03*0,04</t>
  </si>
  <si>
    <t>601</t>
  </si>
  <si>
    <t>762342511</t>
  </si>
  <si>
    <t>Montáž kontralatí na podklad bez tepelné izolace</t>
  </si>
  <si>
    <t>-1192017647</t>
  </si>
  <si>
    <t>skladba RF10; kontralatě a nadkrokevní kontralatě</t>
  </si>
  <si>
    <t>"Objekt A" 2*155,16</t>
  </si>
  <si>
    <t>"Objekt B" 2*173,52</t>
  </si>
  <si>
    <t>"Objekt C" 2*105,3</t>
  </si>
  <si>
    <t>"Objekt D" 2*152,96</t>
  </si>
  <si>
    <t>602</t>
  </si>
  <si>
    <t>685197344</t>
  </si>
  <si>
    <t>"RF10"; kontralatě 30x40 mm</t>
  </si>
  <si>
    <t>"Objekt A" 2*155,16*0,03*0,04</t>
  </si>
  <si>
    <t>"Objekt B" 2*173,52*0,03*0,04</t>
  </si>
  <si>
    <t>"Objekt C" 2*105,3*0,03*0,04</t>
  </si>
  <si>
    <t>"Objekt D" 2*152,96*0,03*0,04</t>
  </si>
  <si>
    <t>603</t>
  </si>
  <si>
    <t>60512127</t>
  </si>
  <si>
    <t>hranol stavební řezivo průřezu do 120cm2 přes dl 8m</t>
  </si>
  <si>
    <t>621535126</t>
  </si>
  <si>
    <t>"RF10"; nadkrokevní hranoly 80x80 mm</t>
  </si>
  <si>
    <t>"Objekt A" 2*155,16*0,08*0,08</t>
  </si>
  <si>
    <t>"Objekt B" 2*173,52*0,08*0,08</t>
  </si>
  <si>
    <t>"Objekt C" 2*105,3*0,08*0,08</t>
  </si>
  <si>
    <t>"Objekt D" 2*152,96*0,08*0,08</t>
  </si>
  <si>
    <t>604</t>
  </si>
  <si>
    <t>762395000</t>
  </si>
  <si>
    <t>Spojovací prostředky krovů, bednění, laťování, nadstřešních konstrukcí</t>
  </si>
  <si>
    <t>-1247908961</t>
  </si>
  <si>
    <t>"latě" 12,41</t>
  </si>
  <si>
    <t>"kontralatě" 1,408</t>
  </si>
  <si>
    <t>605</t>
  </si>
  <si>
    <t>998762203</t>
  </si>
  <si>
    <t>Přesun hmot procentní pro kce tesařské v objektech v přes 12 do 24 m</t>
  </si>
  <si>
    <t>-1520341565</t>
  </si>
  <si>
    <t>763</t>
  </si>
  <si>
    <t>Konstrukce suché výstavby</t>
  </si>
  <si>
    <t>606</t>
  </si>
  <si>
    <t>763131421</t>
  </si>
  <si>
    <t>SDK podhled desky 2xA 12,5 bez izolace dvouvrstvá spodní kce profil CD+UD</t>
  </si>
  <si>
    <t>571461968</t>
  </si>
  <si>
    <t>607</t>
  </si>
  <si>
    <t>763131751</t>
  </si>
  <si>
    <t>Montáž parotěsné zábrany do SDK podhledu</t>
  </si>
  <si>
    <t>-750450998</t>
  </si>
  <si>
    <t>608</t>
  </si>
  <si>
    <t>28329282</t>
  </si>
  <si>
    <t>fólie PE vyztužená Al vrstvou pro parotěsnou vrstvu 170g/m2</t>
  </si>
  <si>
    <t>2001072897</t>
  </si>
  <si>
    <t>1590,5*1,1235 'Přepočtené koeficientem množství</t>
  </si>
  <si>
    <t>609</t>
  </si>
  <si>
    <t>763131752</t>
  </si>
  <si>
    <t>Montáž jedné vrstvy tepelné izolace do SDK podhledu</t>
  </si>
  <si>
    <t>728330100</t>
  </si>
  <si>
    <t>610</t>
  </si>
  <si>
    <t>R76301</t>
  </si>
  <si>
    <t>deska tepelně izolační hydrofobizovaná skelná minerální vlna do šikmých střech  λ=0,035 tl 40mm</t>
  </si>
  <si>
    <t>2131217889</t>
  </si>
  <si>
    <t>1590,5*1,02 'Přepočtené koeficientem množství</t>
  </si>
  <si>
    <t>611</t>
  </si>
  <si>
    <t>R100a</t>
  </si>
  <si>
    <t>Vnitřní dvojitý SDK záklop dvojitý 12,5mm a 2x12,5mm, neimpregnovaný, kotvený do sytémových ocelových profilů UW50/CW50 vyplněný tepelnou izolací z minerální skelné vlny tl. 30mm, vč. parozábrany a vč. tepelné izolace do nosné ocelové konstrukce viz. WF22</t>
  </si>
  <si>
    <t>336476518</t>
  </si>
  <si>
    <t>"WF22"</t>
  </si>
  <si>
    <t>"OBJEKT A" 46,57</t>
  </si>
  <si>
    <t>"Objekt B" 51,85</t>
  </si>
  <si>
    <t>"Objekt C" 30,85</t>
  </si>
  <si>
    <t>"Objekt D" 54,33</t>
  </si>
  <si>
    <t>612</t>
  </si>
  <si>
    <t>R100b</t>
  </si>
  <si>
    <t>Podkladní cementová deska 12,5mm, hydroizolační fólie a ocelový nosný fasádní profil C3 vyplněný tepelnou izolací tl. 150mm viz. skladba WF22</t>
  </si>
  <si>
    <t>-583165745</t>
  </si>
  <si>
    <t>613</t>
  </si>
  <si>
    <t>763121466</t>
  </si>
  <si>
    <t>SDK stěna předsazená tl 100 mm profil CW+UW 75 desky 2xDFH2 12,5 s izolací EI 45</t>
  </si>
  <si>
    <t>-612443730</t>
  </si>
  <si>
    <t>"WF40 a WF50"</t>
  </si>
  <si>
    <t>2,20</t>
  </si>
  <si>
    <t>37,6</t>
  </si>
  <si>
    <t>67,77</t>
  </si>
  <si>
    <t>41,67</t>
  </si>
  <si>
    <t>43,86</t>
  </si>
  <si>
    <t>614</t>
  </si>
  <si>
    <t>R-7633311a</t>
  </si>
  <si>
    <t>Cementová podkladní deska Knauf Aquapanel Outdoor pro venkovní použití kotvená do pomocných ocelových systémových profilů s protikorozní úpravou min. C3, tl. 12,5 mm, bez izolace</t>
  </si>
  <si>
    <t>1996043181</t>
  </si>
  <si>
    <t>"WF17"</t>
  </si>
  <si>
    <t>"Objekt A" 20,88</t>
  </si>
  <si>
    <t>"Objekt B" 18,52</t>
  </si>
  <si>
    <t>"Objekt C" 8,136</t>
  </si>
  <si>
    <t>"Objekt D" 23,48</t>
  </si>
  <si>
    <t>615</t>
  </si>
  <si>
    <t>763121467</t>
  </si>
  <si>
    <t>SDK stěna předsazená tl 150 mm profil CW+UW 100 desky 2xDFH2 12,5 s izolací EI 45</t>
  </si>
  <si>
    <t>1965363347</t>
  </si>
  <si>
    <t>"WF41a WF51"</t>
  </si>
  <si>
    <t>6,49</t>
  </si>
  <si>
    <t>29,19</t>
  </si>
  <si>
    <t>24,97</t>
  </si>
  <si>
    <t>45,77</t>
  </si>
  <si>
    <t>44,18</t>
  </si>
  <si>
    <t>616</t>
  </si>
  <si>
    <t>R-7633311</t>
  </si>
  <si>
    <t>Podhled z cementových desek dvouvrstvá zavěšená spodní konstrukce Knauf D112 z ocelových profilů CD, UD jednoduše opláštěná deskou Knauf Aquapanel, tl. 12,5 mm, bez izolace</t>
  </si>
  <si>
    <t>-1463343877</t>
  </si>
  <si>
    <t>"CF10"</t>
  </si>
  <si>
    <t>"Objekt A" 46,39</t>
  </si>
  <si>
    <t>"Objekt B" 50,01</t>
  </si>
  <si>
    <t>"Objekt C" 42,89</t>
  </si>
  <si>
    <t>"Objekt D" 42,65</t>
  </si>
  <si>
    <t>617</t>
  </si>
  <si>
    <t>R-7633311b</t>
  </si>
  <si>
    <t>Podhled z cementových desek dvouvrstvá zavěšená spodní konstrukce Knauf D112 z ocelových profilů CD, UD jednoduše opláštěná deskou Knauf Aquapanel, tl. 12,5 mm, bez izolace, vč. kotvícího materiálu</t>
  </si>
  <si>
    <t>-1837238171</t>
  </si>
  <si>
    <t>170,1</t>
  </si>
  <si>
    <t>618</t>
  </si>
  <si>
    <t>R-7631314</t>
  </si>
  <si>
    <t>Podhled ze sádrokartonových desek  dvouvrstvá zavěšená spodní konstrukce z ocelových profilů CD, UD jednoduše opláštěná deskou standardní A, tl. 12,5 mm, bez izolace</t>
  </si>
  <si>
    <t>-1761902961</t>
  </si>
  <si>
    <t>"CF20"</t>
  </si>
  <si>
    <t>"Objekt A" 135,01</t>
  </si>
  <si>
    <t>"Objekt B" 183,43</t>
  </si>
  <si>
    <t>"Objekt C" 155,16</t>
  </si>
  <si>
    <t>"Objekt D" 72,09</t>
  </si>
  <si>
    <t>619</t>
  </si>
  <si>
    <t>R-7631314a</t>
  </si>
  <si>
    <t>Podhled ze sádrokartonových desek  dvouvrstvá zavěšená spodní konstrukce z ocelových profilů CD, UD jednoduše opláštěná deskou impregnovanou H2, tl. 12,5 mm, bez izolace</t>
  </si>
  <si>
    <t>1092968169</t>
  </si>
  <si>
    <t>"CF21"</t>
  </si>
  <si>
    <t>"Objekt A" 45,58</t>
  </si>
  <si>
    <t>"Objekt B" 66,86</t>
  </si>
  <si>
    <t>"Objekt C" 57,4</t>
  </si>
  <si>
    <t>"Objekt D" 187,69</t>
  </si>
  <si>
    <t>620</t>
  </si>
  <si>
    <t>998763403</t>
  </si>
  <si>
    <t>Přesun hmot procentní pro sádrokartonové konstrukce v objektech v přes 12 do 24 m</t>
  </si>
  <si>
    <t>1442995297</t>
  </si>
  <si>
    <t>764</t>
  </si>
  <si>
    <t>Konstrukce klempířské</t>
  </si>
  <si>
    <t>621</t>
  </si>
  <si>
    <t>TP 01a</t>
  </si>
  <si>
    <t>Nové zaatikové okapové žlaby - Poplastovaný ocelový plech tl. 0,7mm, vč. kotvení, RŠ: 360mm, PÚ: RAL 7016</t>
  </si>
  <si>
    <t>-763767832</t>
  </si>
  <si>
    <t>622</t>
  </si>
  <si>
    <t>TP 01b</t>
  </si>
  <si>
    <t>Okapnice navazující na zaatikové okapové žlaby - Poplastovaný ocelový plech tl. 0,7mm, vč. kotvení, RŠ: 350mm, PÚ: RAL 7016</t>
  </si>
  <si>
    <t>-693432004</t>
  </si>
  <si>
    <t>623</t>
  </si>
  <si>
    <t>TP 01c</t>
  </si>
  <si>
    <t>Čelní lišta navazující na zaatikové okapové žlaby - Poplastovaný ocelový plech tl. 0,7mm, vč. kotvení, RŠ: 130mm, PÚ: RAL 7016</t>
  </si>
  <si>
    <t>346570078</t>
  </si>
  <si>
    <t>624</t>
  </si>
  <si>
    <t>TP 02a</t>
  </si>
  <si>
    <t>1934717858</t>
  </si>
  <si>
    <t>625</t>
  </si>
  <si>
    <t>TP 02b</t>
  </si>
  <si>
    <t>Okapnice navazující na zaatikové okapové žlaby - Poplastovaný ocelový plech tl. 0,7mm, vč. kotvení, RŠ: 180mm, PÚ: RAL 7016</t>
  </si>
  <si>
    <t>-372432597</t>
  </si>
  <si>
    <t>626</t>
  </si>
  <si>
    <t>TP 02c</t>
  </si>
  <si>
    <t>885506537</t>
  </si>
  <si>
    <t>627</t>
  </si>
  <si>
    <t>TP 03a</t>
  </si>
  <si>
    <t>Nové okapové žlaby nadpraží balkónů a teras - Poplastovaný ocelový plech tl. 0,7mm, vč. kotvení, RŠ: 400mm, PÚ: RAL 7016</t>
  </si>
  <si>
    <t>1431281611</t>
  </si>
  <si>
    <t>628</t>
  </si>
  <si>
    <t>TP 03b</t>
  </si>
  <si>
    <t>Okapnice navazující na okapové žlaby nadpraží balkónů a teras - Poplastovaný ocelový plech tl. 0,7mm, vč. kotvení, RŠ: 210mm, PÚ: RAL 7016</t>
  </si>
  <si>
    <t>-684774089</t>
  </si>
  <si>
    <t>629</t>
  </si>
  <si>
    <t>TP 04</t>
  </si>
  <si>
    <t>Žlabový kotlík - Poplastovaný ocelový plech tl. 0,7mm, vč. kotvení, RŠ: -, PÚ: RAL 7016</t>
  </si>
  <si>
    <t>2015603630</t>
  </si>
  <si>
    <t>630</t>
  </si>
  <si>
    <t>TP 12</t>
  </si>
  <si>
    <t>Průchodka a oplechování VZT - Poplastovaný ocelový plech tl. 0,7mm, vč. kotvení, RŠ: 350mm, PÚ: RAL3016</t>
  </si>
  <si>
    <t>-1229826365</t>
  </si>
  <si>
    <t>631</t>
  </si>
  <si>
    <t>TP 13</t>
  </si>
  <si>
    <t>Lemování do střechy pro komín 225/160 - Poplastovaný ocelový plech tl. 0,7mm, vč. kotvení, RŠ: 350mm, PÚ: RAL3016</t>
  </si>
  <si>
    <t>1474787746</t>
  </si>
  <si>
    <t>632</t>
  </si>
  <si>
    <t>TP 14</t>
  </si>
  <si>
    <t>Oplechování kruhových střešních prostupů do 0.3m2 - Poplastovaný ocelový plech tl. 0,7mm, vč. kotvení, RŠ: 310mm, PÚ: RAL3016</t>
  </si>
  <si>
    <t>-96624765</t>
  </si>
  <si>
    <t>633</t>
  </si>
  <si>
    <t>TP 22</t>
  </si>
  <si>
    <t>Oplechování odvětrání výtahové šachty - Poplastovaný ocelový plech tl. 0,7mm, vč. kotvení, RŠ: 400mm, PÚ: RAL 7016</t>
  </si>
  <si>
    <t>1275314582</t>
  </si>
  <si>
    <t>634</t>
  </si>
  <si>
    <t>TP 23</t>
  </si>
  <si>
    <t>Oplechování prostupu VZT na plochou střechu v objektu B - Poplastovaný ocelový plech tl. 0,7mm, vč. kotvení, RŠ: 400mm, PÚ: RAL 7016</t>
  </si>
  <si>
    <t>700932716</t>
  </si>
  <si>
    <t>635</t>
  </si>
  <si>
    <t>TP 24</t>
  </si>
  <si>
    <t>Oplechování prostupu VZT na plochou střechu v objektu C - Poplastovaný ocelový plech tl. 0,7mm, vč. kotvení, RŠ: 2220mm, PÚ: RAL 7016</t>
  </si>
  <si>
    <t>-1740736881</t>
  </si>
  <si>
    <t>636</t>
  </si>
  <si>
    <t>TP 25</t>
  </si>
  <si>
    <t>Dešťový svod ø75mm - Poplastovaný ocelový plech tl. 0,7mm, RŠ: -, PÚ: RAL 7016</t>
  </si>
  <si>
    <t>-1260281889</t>
  </si>
  <si>
    <t>637</t>
  </si>
  <si>
    <t>TP 26</t>
  </si>
  <si>
    <t>Soklová lišta - Poplastovaný ocelový plech tl. 0,7mm, vč. kotvení, RŠ: 70mm, PÚ: RAL 7016</t>
  </si>
  <si>
    <t>1969905683</t>
  </si>
  <si>
    <t>638</t>
  </si>
  <si>
    <t>TP 27a</t>
  </si>
  <si>
    <t>Dešťový žlab zakončení šikmé střechy u ploché střechy - Poplastovaný ocelový plech tl. 0,7mm, vč. kotvení, RŠ: 400mm, PÚ: RAL 7016</t>
  </si>
  <si>
    <t>-1294782140</t>
  </si>
  <si>
    <t>639</t>
  </si>
  <si>
    <t>TP 27b</t>
  </si>
  <si>
    <t>Okapnice navazující na dešťový žlab - Poplastovaný ocelový plech tl. 0,7mm, vč. kotvení, RŠ: 930mm, PÚ: RAL 7016</t>
  </si>
  <si>
    <t>-1363690711</t>
  </si>
  <si>
    <t>640</t>
  </si>
  <si>
    <t>TP 28</t>
  </si>
  <si>
    <t>Oplechování koruny zdiva - Poplastovaný ocelový plech tl. 0,7mm, vč. kotvení, RŠ: 715mm, PÚ: RAL 7016</t>
  </si>
  <si>
    <t>-1047585001</t>
  </si>
  <si>
    <t>641</t>
  </si>
  <si>
    <t>TP 29a</t>
  </si>
  <si>
    <t>Boční lemování - lišta - Poplastovaný ocelový plech tl. 0,7mm, vč. kotvení, RŠ: 150mm, PÚ: RAL 7016</t>
  </si>
  <si>
    <t>-1044811178</t>
  </si>
  <si>
    <t>642</t>
  </si>
  <si>
    <t>TP 29b</t>
  </si>
  <si>
    <t>Boční lemování - rohový profil - Poplastovaný ocelový plech tl. 0,7mm v barvě antracitové barvě RAL7016, vč. kotvení, RŠ: 430mm, PÚ: RAL 7016</t>
  </si>
  <si>
    <t>1525664859</t>
  </si>
  <si>
    <t>643</t>
  </si>
  <si>
    <t>TP 29c</t>
  </si>
  <si>
    <t>Boční lemování - napojení na krytinu - Poplastovaný ocelový plech tl. 0,7mm, vč. kotvení, RŠ: 70mm, PÚ: RAL 7016</t>
  </si>
  <si>
    <t>213172260</t>
  </si>
  <si>
    <t>644</t>
  </si>
  <si>
    <t>998764203</t>
  </si>
  <si>
    <t>Přesun hmot procentní pro konstrukce klempířské v objektech v přes 12 do 24 m</t>
  </si>
  <si>
    <t>1574623354</t>
  </si>
  <si>
    <t>765</t>
  </si>
  <si>
    <t>Krytina skládaná</t>
  </si>
  <si>
    <t>645</t>
  </si>
  <si>
    <t>765191011</t>
  </si>
  <si>
    <t>Montáž pojistné hydroizolační nebo parotěsné fólie kladené ve sklonu do 30° volně na krokve</t>
  </si>
  <si>
    <t>-308137980</t>
  </si>
  <si>
    <t>730,85+859,65</t>
  </si>
  <si>
    <t>646</t>
  </si>
  <si>
    <t>R76501</t>
  </si>
  <si>
    <t>Difuzně otevřená folie lehkého typu, polyester/polymer; 270 g/m2, tl. 0,48 mm; ekvivalentní difuzní tl. sd=0,02 m; ref. výrobek Dekten Multi Pro II</t>
  </si>
  <si>
    <t>-521392653</t>
  </si>
  <si>
    <t>1590,5*1,1 'Přepočtené koeficientem množství</t>
  </si>
  <si>
    <t>647</t>
  </si>
  <si>
    <t>R-7651111</t>
  </si>
  <si>
    <t>Montáž krytiny keramické hladké sklonu 67° na sucho přes 32 do 40 ks/m2 šupinové krytí</t>
  </si>
  <si>
    <t>2003530979</t>
  </si>
  <si>
    <t xml:space="preserve">Poznámka k položce:_x000D_
I bez provedených výpočtů však platí při pokládce technická pravidla výrobce, který předepisuje minimální nutné zajištění, a to:_x000D_
- tašky se zavěšují ve sklonech pod 45° volně na latě_x000D_
- při sklonu střechy 60° a vyšším je nutné přichytit každou tašku_x000D_
</t>
  </si>
  <si>
    <t>"F12"</t>
  </si>
  <si>
    <t>"Objekt A" 164,78</t>
  </si>
  <si>
    <t>"Objekt B" 200,69</t>
  </si>
  <si>
    <t>"Objekt C" 153,48</t>
  </si>
  <si>
    <t>"Objekt D" 211,9</t>
  </si>
  <si>
    <t>648</t>
  </si>
  <si>
    <t>R-7651111b</t>
  </si>
  <si>
    <t>Montáž krytiny keramické hladké sklonu 31° na sucho přes 32 do 40 ks/m2 šupinové krytí</t>
  </si>
  <si>
    <t>-368900020</t>
  </si>
  <si>
    <t>"Objekt A" 202,73</t>
  </si>
  <si>
    <t>"Objekt B" 237,81</t>
  </si>
  <si>
    <t>"Objekt C" 182,13</t>
  </si>
  <si>
    <t>"Objekt D" 236,98</t>
  </si>
  <si>
    <t>649</t>
  </si>
  <si>
    <t>596605R</t>
  </si>
  <si>
    <t>taška bobrovka režná základní kulatý řez - základní, koncová, hřebenová, úžlabí, odvětrávací vč. potřebných doplňků atd.</t>
  </si>
  <si>
    <t>-969150553</t>
  </si>
  <si>
    <t>650</t>
  </si>
  <si>
    <t>998765203</t>
  </si>
  <si>
    <t>Přesun hmot procentní pro krytiny skládané v objektech v přes 12 do 24 m</t>
  </si>
  <si>
    <t>292469381</t>
  </si>
  <si>
    <t>767</t>
  </si>
  <si>
    <t>Konstrukce zámečnické</t>
  </si>
  <si>
    <t>651</t>
  </si>
  <si>
    <t>LP 20</t>
  </si>
  <si>
    <t>Ocelová konstrukce, jackl 40/20/2,5 kotvený do stěn schodišťového prostoru, vč. kotevních prvků, hmotnost 3 kg/bm; prášková barva antracit</t>
  </si>
  <si>
    <t>-184342535</t>
  </si>
  <si>
    <t>652</t>
  </si>
  <si>
    <t>LP 21</t>
  </si>
  <si>
    <t>698252479</t>
  </si>
  <si>
    <t>653</t>
  </si>
  <si>
    <t>LP 22</t>
  </si>
  <si>
    <t>2057176286</t>
  </si>
  <si>
    <t>654</t>
  </si>
  <si>
    <t>LP 23</t>
  </si>
  <si>
    <t>-457325072</t>
  </si>
  <si>
    <t>655</t>
  </si>
  <si>
    <t>LP 30</t>
  </si>
  <si>
    <t>Ocelová konstrukce, jackl 40/20/2,5 kotvený do kce balkónu, vč. kotevních prvků, hmotnost 25 kg/bm; prášková barva antracit</t>
  </si>
  <si>
    <t>-995179905</t>
  </si>
  <si>
    <t>656</t>
  </si>
  <si>
    <t>LP 34</t>
  </si>
  <si>
    <t>Ocelový profil IPE120 pro ztužení vysokých příček ve vzádlenosti max.2,5m pro příčky vyšší jak 3,5m. Kotveno přes patní plech do podlahy 3.np a do výměny v ocelové konsturkci střechy</t>
  </si>
  <si>
    <t>-1714887013</t>
  </si>
  <si>
    <t>657</t>
  </si>
  <si>
    <t>LP 35</t>
  </si>
  <si>
    <t>Ocelový profil U140 pro kotvení vrchní části vysokých příček přikotvený do ocelových rámu střechy HEB220, včetně ocelové kotvící destičky s oválným otvorem pro kluzné připojení sloupku IPE120</t>
  </si>
  <si>
    <t>-591394459</t>
  </si>
  <si>
    <t>658</t>
  </si>
  <si>
    <t>LP 40</t>
  </si>
  <si>
    <t>Ocelová konstrukce z profilů HTR 160/80/3, vč. kotevního plechu P5 a kotev Hilty, položený na betonových deskách s pryžovou podložkou, hmotnost 120 kg/ks; žárový pozink</t>
  </si>
  <si>
    <t>881374936</t>
  </si>
  <si>
    <t>659</t>
  </si>
  <si>
    <t>LP 60</t>
  </si>
  <si>
    <t>Zábradlí o rozměru 1000 x 950 mm z bezpečnostního VSG skla kotvené pomocí 4ks systémových nerezových prvků do ostění, odsazení od parapetu min. 50mm pro odtok vody, přesný rozměr skla nutno zaměřit na stavbě; Bezpečnostní sklo VSG do nerezového prvku</t>
  </si>
  <si>
    <t>1272039083</t>
  </si>
  <si>
    <t>Poznámka k položce:_x000D_
viz. výkres detailů DPS_D_SO01_100_8030</t>
  </si>
  <si>
    <t>660</t>
  </si>
  <si>
    <t>LP 61</t>
  </si>
  <si>
    <t>Zábradlí o rozměru 2000 x 950 mm z bezpečnostního VSG skla kotvené pomocí 4ks systémových nerezových prvků do ostění, odsazení od parapetu min. 50mm pro odtok vody, přesný rozměr skla nutno zaměřit na stavbě; Bezpečnostní sklo VSG do nerezového prvku</t>
  </si>
  <si>
    <t>1002622873</t>
  </si>
  <si>
    <t>661</t>
  </si>
  <si>
    <t>LP 62</t>
  </si>
  <si>
    <t>Zábradlí o rozměru 950 x 950 mm z bezpečnostního VSG skla kotvené pomocí 4ks systémových nerezových prvků do ostění, odsazení od parapetu min. 50mm pro odtok vody, přesný rozměr skla nutno zaměřit na stavbě; Bezpečnostní sklo VSG do nerezového prvku</t>
  </si>
  <si>
    <t>-39726629</t>
  </si>
  <si>
    <t>662</t>
  </si>
  <si>
    <t>LP 63</t>
  </si>
  <si>
    <t>Zábradlí o rozměru 940 x 250 mm z bezpečnostního VSG skla kotvené pomocí 4ks systémových nerezových prvků do ostění, odsazení od parapetu min. 50mm pro odtok vody, přesný rozměr skla nutno zaměřit na stavbě; Bezpečnostní sklo VSG do nerezového prvku</t>
  </si>
  <si>
    <t>-720740686</t>
  </si>
  <si>
    <t>663</t>
  </si>
  <si>
    <t>LP 64</t>
  </si>
  <si>
    <t>Zábradlí o rozměru 1250 x 950 mm z bezpečnostního VSG skla kotvené pomocí 4ks systémových nerezových prvků do ostění, odsazení od parapetu min. 50mm pro odtok vody, přesný rozměr skla nutno zaměřit na stavbě; Bezpečnostní sklo VSG do nerezového prvku</t>
  </si>
  <si>
    <t>-1471349890</t>
  </si>
  <si>
    <t>664</t>
  </si>
  <si>
    <t>LP 65</t>
  </si>
  <si>
    <t>Zábradlí o rozměru 750 x 950 mm z bezpečnostního VSG skla kotvené pomocí 4ks systémových nerezových prvků do ostění, odsazení od parapetu min. 50mm pro odtok vody, přesný rozměr skla nutno zaměřit na stavbě; Bezpečnostní sklo VSG do nerezového prvku</t>
  </si>
  <si>
    <t>-388013433</t>
  </si>
  <si>
    <t>665</t>
  </si>
  <si>
    <t>998767203</t>
  </si>
  <si>
    <t>Přesun hmot procentní pro zámečnické konstrukce v objektech v přes 12 do 24 m</t>
  </si>
  <si>
    <t>-1991638082</t>
  </si>
  <si>
    <t>771</t>
  </si>
  <si>
    <t>Podlahy z dlaždic</t>
  </si>
  <si>
    <t>666</t>
  </si>
  <si>
    <t>771111011</t>
  </si>
  <si>
    <t>Vysátí podkladu před pokládkou dlažby</t>
  </si>
  <si>
    <t>1505228116</t>
  </si>
  <si>
    <t>"skladba F01" 283,56</t>
  </si>
  <si>
    <t>"skladba F02" 330,28</t>
  </si>
  <si>
    <t>"skladba F18" 233,24</t>
  </si>
  <si>
    <t>"skladba F21" 170,41</t>
  </si>
  <si>
    <t>"skladba F22" 5,33</t>
  </si>
  <si>
    <t>667</t>
  </si>
  <si>
    <t>771121011</t>
  </si>
  <si>
    <t>Nátěr penetrační na podlahu</t>
  </si>
  <si>
    <t>-207371541</t>
  </si>
  <si>
    <t>668</t>
  </si>
  <si>
    <t>771474112</t>
  </si>
  <si>
    <t>Montáž soklů z dlaždic keramických rovných flexibilní lepidlo v přes 65 do 90 mm</t>
  </si>
  <si>
    <t>1261297381</t>
  </si>
  <si>
    <t>skladba F01</t>
  </si>
  <si>
    <t>"Objekt A" 101,44</t>
  </si>
  <si>
    <t>"Objekt B" 87,05</t>
  </si>
  <si>
    <t>"Objekt C" 80,48</t>
  </si>
  <si>
    <t>"Objekt D" 80,37</t>
  </si>
  <si>
    <t>skladba F02</t>
  </si>
  <si>
    <t>"Objekt A" 52,535</t>
  </si>
  <si>
    <t>"Objekt B" 97,385</t>
  </si>
  <si>
    <t>"Objekt C" 79,515</t>
  </si>
  <si>
    <t>"Objekt D" 101,89</t>
  </si>
  <si>
    <t>skladba F21</t>
  </si>
  <si>
    <t>"Objekt A" 107,79</t>
  </si>
  <si>
    <t>669</t>
  </si>
  <si>
    <t>597R112</t>
  </si>
  <si>
    <t>Slinutá keramická dlažba kalibrovaná, 600x1200 mm, tmavě šedá, protiskluznost tř. R10, dlažba s vysokou pevností v tlaku a ohybu, odolností proti chemikáliím a hloukovému opotřebení, součinitel tření 0,5 a vyšší; např. Rako Extra, dekor viz. architekt</t>
  </si>
  <si>
    <t>1287688820</t>
  </si>
  <si>
    <t>"Objekt A" 30,432</t>
  </si>
  <si>
    <t>"Objekt B" 26,115</t>
  </si>
  <si>
    <t>"Objekt C" 24,144</t>
  </si>
  <si>
    <t>"Objekt D" 24,111</t>
  </si>
  <si>
    <t>104,802*1,15 'Přepočtené koeficientem množství</t>
  </si>
  <si>
    <t>670</t>
  </si>
  <si>
    <t>597R111</t>
  </si>
  <si>
    <t xml:space="preserve">Slinutá keramická dlažba kalibrovaná, 600x600mm, světle šedá, protiskluznost tř. R10, dlažba s vysokou pevností v tlaku a ohybu, odolností proti hloukovému opotřebení, součinitel tření 0,5 a vyšší; např. Rako Extra, dekor viz. architekt </t>
  </si>
  <si>
    <t>563661926</t>
  </si>
  <si>
    <t>"Objekt A" 15,76</t>
  </si>
  <si>
    <t>"Objekt B" 29,22</t>
  </si>
  <si>
    <t>"Objekt C" 23,85</t>
  </si>
  <si>
    <t>"Objekt D" 30,57</t>
  </si>
  <si>
    <t>"Objekt A" 32,34</t>
  </si>
  <si>
    <t>131,74*1,15 'Přepočtené koeficientem množství</t>
  </si>
  <si>
    <t>671</t>
  </si>
  <si>
    <t>771474132</t>
  </si>
  <si>
    <t>Montáž soklů z dlaždic keramických schodišťových stupňovitých flexibilní lepidlo v přes 65 do 90 mm</t>
  </si>
  <si>
    <t>-1619181818</t>
  </si>
  <si>
    <t>"Objekt A" 16,59</t>
  </si>
  <si>
    <t>"Objekt B" 16,59</t>
  </si>
  <si>
    <t>"Objekt C" 16,59</t>
  </si>
  <si>
    <t>"Objekt D" 16,59</t>
  </si>
  <si>
    <t>672</t>
  </si>
  <si>
    <t>1779637528</t>
  </si>
  <si>
    <t>"Objekt A" 4,98</t>
  </si>
  <si>
    <t>"Objekt B" 4,98</t>
  </si>
  <si>
    <t>"Objekt C" 4,98</t>
  </si>
  <si>
    <t>"Objekt D" 4,98</t>
  </si>
  <si>
    <t>19,92*1,15 'Přepočtené koeficientem množství</t>
  </si>
  <si>
    <t>673</t>
  </si>
  <si>
    <t>771574152</t>
  </si>
  <si>
    <t>Montáž podlah keramických velkoformátových hladkých lepených flexibilním lepidlem přes 0,5 do 2 ks/m2</t>
  </si>
  <si>
    <t>603241860</t>
  </si>
  <si>
    <t>"F01"</t>
  </si>
  <si>
    <t>81,02</t>
  </si>
  <si>
    <t>70,12</t>
  </si>
  <si>
    <t>64,44</t>
  </si>
  <si>
    <t>67,98</t>
  </si>
  <si>
    <t>674</t>
  </si>
  <si>
    <t>-327824725</t>
  </si>
  <si>
    <t>283,56*1,15 'Přepočtené koeficientem množství</t>
  </si>
  <si>
    <t>675</t>
  </si>
  <si>
    <t>771574153</t>
  </si>
  <si>
    <t>Montáž podlah keramických velkoformátových hladkých lepených flexibilním lepidlem přes 2 do 4 ks/m2</t>
  </si>
  <si>
    <t>-890275249</t>
  </si>
  <si>
    <t>"F02"</t>
  </si>
  <si>
    <t>94,09</t>
  </si>
  <si>
    <t>75,63</t>
  </si>
  <si>
    <t>112,56</t>
  </si>
  <si>
    <t>"F18"</t>
  </si>
  <si>
    <t>42,64</t>
  </si>
  <si>
    <t>65,79</t>
  </si>
  <si>
    <t>56,76</t>
  </si>
  <si>
    <t>68,05</t>
  </si>
  <si>
    <t>F18</t>
  </si>
  <si>
    <t>"F21"</t>
  </si>
  <si>
    <t>170,41</t>
  </si>
  <si>
    <t>"F22"</t>
  </si>
  <si>
    <t>F22</t>
  </si>
  <si>
    <t>5,33</t>
  </si>
  <si>
    <t>676</t>
  </si>
  <si>
    <t>197616704</t>
  </si>
  <si>
    <t>739,26*1,15 'Přepočtené koeficientem množství</t>
  </si>
  <si>
    <t>677</t>
  </si>
  <si>
    <t>771591112</t>
  </si>
  <si>
    <t>Izolace pod dlažbu nátěrem nebo stěrkou ve dvou vrstvách</t>
  </si>
  <si>
    <t>-1768626187</t>
  </si>
  <si>
    <t>Poznámka k položce:_x000D_
položka zahrnuje vytažení izolace 30 cm na okolní stěny</t>
  </si>
  <si>
    <t>"skladba F18" 268,226</t>
  </si>
  <si>
    <t>"skladba F22" 6,13</t>
  </si>
  <si>
    <t>678</t>
  </si>
  <si>
    <t>998771203</t>
  </si>
  <si>
    <t>Přesun hmot procentní pro podlahy z dlaždic v objektech v přes 12 do 24 m</t>
  </si>
  <si>
    <t>1618886670</t>
  </si>
  <si>
    <t>775</t>
  </si>
  <si>
    <t>Podlahy skládané</t>
  </si>
  <si>
    <t>679</t>
  </si>
  <si>
    <t>R-100</t>
  </si>
  <si>
    <t>Rýhovaná prkna 24x136mm, sibiřský modřín, vč. olejového nátěru a nerezových vrutů 5x60mm, modřínové podkladní latě pro terasy hloubkově impregnované, vč. nastavitelné kompozitní terč, vč. pryžových podložek, viz. skladba F09</t>
  </si>
  <si>
    <t>1174326856</t>
  </si>
  <si>
    <t>Poznámka k položce:_x000D_
13ks</t>
  </si>
  <si>
    <t>"F09" 456,21</t>
  </si>
  <si>
    <t>680</t>
  </si>
  <si>
    <t>998775203</t>
  </si>
  <si>
    <t>Přesun hmot procentní pro podlahy dřevěné v objektech v přes 12 do 24 m</t>
  </si>
  <si>
    <t>-1846841823</t>
  </si>
  <si>
    <t>776</t>
  </si>
  <si>
    <t>Podlahy povlakové</t>
  </si>
  <si>
    <t>681</t>
  </si>
  <si>
    <t>776141112</t>
  </si>
  <si>
    <t>Vyrovnání podkladu povlakových podlah stěrkou pevnosti 20 MPa tl přes 3 do 5 mm</t>
  </si>
  <si>
    <t>-1109537118</t>
  </si>
  <si>
    <t>"F03"</t>
  </si>
  <si>
    <t>256,47</t>
  </si>
  <si>
    <t>477,56</t>
  </si>
  <si>
    <t>406,27</t>
  </si>
  <si>
    <t>"Objekt d"</t>
  </si>
  <si>
    <t>490,43</t>
  </si>
  <si>
    <t>682</t>
  </si>
  <si>
    <t>776231111</t>
  </si>
  <si>
    <t>Lepení lamel a čtverců z vinylu standardním lepidlem</t>
  </si>
  <si>
    <t>-107564958</t>
  </si>
  <si>
    <t>683</t>
  </si>
  <si>
    <t>284R200</t>
  </si>
  <si>
    <t>Vinylové dílce lepené; rozměr 230 x 1500 mm; protiskluznost tř. R 10;  třída reakce na oheň B; třída zátěže min. 31; vč. soklové lišty bílé, dekor viz. architekt, vč. lepidla např. Weberfloor 4815 a penetrace např. Cemix penetrace H</t>
  </si>
  <si>
    <t>309707603</t>
  </si>
  <si>
    <t>1630,73*1,1 'Přepočtené koeficientem množství</t>
  </si>
  <si>
    <t>684</t>
  </si>
  <si>
    <t>998776203</t>
  </si>
  <si>
    <t>Přesun hmot procentní pro podlahy povlakové v objektech v přes 12 do 24 m</t>
  </si>
  <si>
    <t>2019529219</t>
  </si>
  <si>
    <t>781</t>
  </si>
  <si>
    <t>Dokončovací práce - obklady</t>
  </si>
  <si>
    <t>685</t>
  </si>
  <si>
    <t>781111011</t>
  </si>
  <si>
    <t>Ometení (oprášení) stěny při přípravě podkladu</t>
  </si>
  <si>
    <t>334999264</t>
  </si>
  <si>
    <t>686</t>
  </si>
  <si>
    <t>781121011</t>
  </si>
  <si>
    <t>Nátěr penetrační na stěnu</t>
  </si>
  <si>
    <t>2130680365</t>
  </si>
  <si>
    <t>687</t>
  </si>
  <si>
    <t>781131112</t>
  </si>
  <si>
    <t>Izolace pod obklad nátěrem nebo stěrkou ve dvou vrstvách</t>
  </si>
  <si>
    <t>1087426806</t>
  </si>
  <si>
    <t>skladba F06; ve sprchových koutech</t>
  </si>
  <si>
    <t>"Objekt A" 5,9</t>
  </si>
  <si>
    <t>"Objekt B" 15,79</t>
  </si>
  <si>
    <t>"Objekt C" 10,85</t>
  </si>
  <si>
    <t>"Objekt D" 10,56</t>
  </si>
  <si>
    <t>688</t>
  </si>
  <si>
    <t>781474154</t>
  </si>
  <si>
    <t>Montáž obkladů vnitřních keramických velkoformátových hladkých přes 4 do 6 ks/m2 lepených flexibilním lepidlem</t>
  </si>
  <si>
    <t>-1817414223</t>
  </si>
  <si>
    <t>25,58+20,21</t>
  </si>
  <si>
    <t>10,54+79,05+100,24</t>
  </si>
  <si>
    <t>116,27+118,37+78,72</t>
  </si>
  <si>
    <t>82,29+111,24+91,24</t>
  </si>
  <si>
    <t>101,9+114,61+104,27</t>
  </si>
  <si>
    <t>689</t>
  </si>
  <si>
    <t>597R101</t>
  </si>
  <si>
    <t>Slinutý keramický obklad 30x60cm, Bílá, tl. 10mm, např. Rako Extra, dekor viz. architekt</t>
  </si>
  <si>
    <t>-434192677</t>
  </si>
  <si>
    <t>1154,53*1,15 'Přepočtené koeficientem množství</t>
  </si>
  <si>
    <t>690</t>
  </si>
  <si>
    <t>R781494001</t>
  </si>
  <si>
    <t>Nerezové profily rohové lepené flexibilním lepidlem</t>
  </si>
  <si>
    <t>-1497834504</t>
  </si>
  <si>
    <t>skladba F06</t>
  </si>
  <si>
    <t>"Objekt A" 75,152</t>
  </si>
  <si>
    <t>"Objekt B" 95,458</t>
  </si>
  <si>
    <t>"Objekt C" 97,009</t>
  </si>
  <si>
    <t>"Objekt D" 101,376</t>
  </si>
  <si>
    <t>691</t>
  </si>
  <si>
    <t>R781494002</t>
  </si>
  <si>
    <t>Nerezové profily ukončovací lepené flexibilním lepidlem</t>
  </si>
  <si>
    <t>283918325</t>
  </si>
  <si>
    <t>"Objekt A" 36,102</t>
  </si>
  <si>
    <t>692</t>
  </si>
  <si>
    <t>781734112</t>
  </si>
  <si>
    <t>Montáž obkladů vnějších z obkladaček cihelných přes 50 do 85 ks/m2 lepené flexibilním lepidlem</t>
  </si>
  <si>
    <t>737905621</t>
  </si>
  <si>
    <t>"F08"</t>
  </si>
  <si>
    <t>525,77</t>
  </si>
  <si>
    <t>593,6</t>
  </si>
  <si>
    <t>509,07</t>
  </si>
  <si>
    <t>532,57</t>
  </si>
  <si>
    <t>"Objekt A" 28,08</t>
  </si>
  <si>
    <t>"Objekt B" 21,16</t>
  </si>
  <si>
    <t>"Objekt C" 8,29</t>
  </si>
  <si>
    <t>"Objekt D" 26,12</t>
  </si>
  <si>
    <t>693</t>
  </si>
  <si>
    <t>596R100</t>
  </si>
  <si>
    <t>Ražený keramický obkladový pásek Terca + Polyblend S tl. 25mm, formát 215 x 65mm, dle výběru architekta</t>
  </si>
  <si>
    <t>391617436</t>
  </si>
  <si>
    <t>Poznámka k položce:_x000D_
Spotřeba: 58ks/m2</t>
  </si>
  <si>
    <t>2344,61*58 'Přepočtené koeficientem množství</t>
  </si>
  <si>
    <t>694</t>
  </si>
  <si>
    <t>596R102</t>
  </si>
  <si>
    <t>Ražený keramický obkladový pásek Terca + Polyblend S tl. 25mm, formát 215 x 65mm, barva antracit, dle výběru architekta</t>
  </si>
  <si>
    <t>-18118612</t>
  </si>
  <si>
    <t>83,65*58 'Přepočtené koeficientem množství</t>
  </si>
  <si>
    <t>695</t>
  </si>
  <si>
    <t>998781203</t>
  </si>
  <si>
    <t>Přesun hmot procentní pro obklady keramické v objektech v přes 12 do 24 m</t>
  </si>
  <si>
    <t>557595003</t>
  </si>
  <si>
    <t>782</t>
  </si>
  <si>
    <t>Dokončovací práce - obklady z kamene</t>
  </si>
  <si>
    <t>696</t>
  </si>
  <si>
    <t>782632111</t>
  </si>
  <si>
    <t>Montáž obkladu parapetů z pravoúhlých desek z tvrdého kamene do lepidla tl do 25 mm</t>
  </si>
  <si>
    <t>413325360</t>
  </si>
  <si>
    <t>dle tabulky oken</t>
  </si>
  <si>
    <t>"exteriér" 164,615*0,31</t>
  </si>
  <si>
    <t>"interiér" 90,05*0,31</t>
  </si>
  <si>
    <t>697</t>
  </si>
  <si>
    <t>R782001</t>
  </si>
  <si>
    <t>Parapet z umělého kamene tl. 20 mm, výběr dle architekta</t>
  </si>
  <si>
    <t>-693016869</t>
  </si>
  <si>
    <t>78,947*1,05 'Přepočtené koeficientem množství</t>
  </si>
  <si>
    <t>698</t>
  </si>
  <si>
    <t>998782203</t>
  </si>
  <si>
    <t>Přesun hmot procentní pro obklady kamenné v objektech v přes 12 do 60 m</t>
  </si>
  <si>
    <t>1742094134</t>
  </si>
  <si>
    <t>783</t>
  </si>
  <si>
    <t>Dokončovací práce - nátěry</t>
  </si>
  <si>
    <t>699</t>
  </si>
  <si>
    <t>783R00</t>
  </si>
  <si>
    <t>Ucelený nátěrový systém povrchové úpravy ocelové konstrukce vč. přípravy podkladu dle PD</t>
  </si>
  <si>
    <t>643704340</t>
  </si>
  <si>
    <t>"Objekt A" 456,72</t>
  </si>
  <si>
    <t>"Objekt B" 570,86</t>
  </si>
  <si>
    <t>"Objekt C" 354,85</t>
  </si>
  <si>
    <t>"Objekt D" 540,73</t>
  </si>
  <si>
    <t>700</t>
  </si>
  <si>
    <t>R-7838271</t>
  </si>
  <si>
    <t>Transparentní bezbarvý uzavírací nátěr betonových stěn, vč. 1komponentní nátěr, na bázi vodní disperze, zvyšující přilnavost následně aplikovaných vrstev k podkladu, viz. skladba F14</t>
  </si>
  <si>
    <t>520857895</t>
  </si>
  <si>
    <t>"F14"</t>
  </si>
  <si>
    <t>"Podhled objekt A"</t>
  </si>
  <si>
    <t>"Podhled"</t>
  </si>
  <si>
    <t>"garáž A"</t>
  </si>
  <si>
    <t>87,44</t>
  </si>
  <si>
    <t>"garáž B"</t>
  </si>
  <si>
    <t>423,9</t>
  </si>
  <si>
    <t>"garáž C2"</t>
  </si>
  <si>
    <t>641,84</t>
  </si>
  <si>
    <t>"garáž" C3"</t>
  </si>
  <si>
    <t>68,8</t>
  </si>
  <si>
    <t>"stěny"</t>
  </si>
  <si>
    <t>"garáž" B"</t>
  </si>
  <si>
    <t>93,26*2,7</t>
  </si>
  <si>
    <t xml:space="preserve">"garáž" C2" </t>
  </si>
  <si>
    <t>113,17*2,7</t>
  </si>
  <si>
    <t>25,6*2,7</t>
  </si>
  <si>
    <t>701</t>
  </si>
  <si>
    <t>R-78393</t>
  </si>
  <si>
    <t>Aktivační nátěr, viz skladba F23</t>
  </si>
  <si>
    <t>-110232911</t>
  </si>
  <si>
    <t>Poznámka k položce:_x000D_
1-komponentní, polomatný, permanentní anti-graffiti a anti-poster nátěr na bázi_x000D_
polyorganosiloxanu, připravený na okamžité použití. spotřeba 150–250g /m2, na jednu nátěrovou vrstvu</t>
  </si>
  <si>
    <t>"F23"</t>
  </si>
  <si>
    <t>"stěny rampy" 144</t>
  </si>
  <si>
    <t>"venkovní zídky" 2*289</t>
  </si>
  <si>
    <t>702</t>
  </si>
  <si>
    <t>R-78394</t>
  </si>
  <si>
    <t>základní nátěr, viz skladba F23</t>
  </si>
  <si>
    <t>-174606411</t>
  </si>
  <si>
    <t>Poznámka k položce:_x000D_
1-komponentní základní nátěr připravený k okamžitému použití pro Sikagard®-850 Clear minerální podklady bez nátěru pro zlepšení aplikace a přilnavosti. Tento produkt je součástí systému Sikagard Anti-graffiti. spotřeba 75–150g /m2, na jednu nátěrovou vrstvu</t>
  </si>
  <si>
    <t>703</t>
  </si>
  <si>
    <t>R-7839331</t>
  </si>
  <si>
    <t>Penetrační polyuretanový nátěr garážové pojezdové plochy Sikafloor, přímopojížděný vícevrstvý polyuretanový systém pro parkovací plochy s překlenutím dodatečných dynamických trhlin (až 0,3 mm), odolávající ropným látkám a solím, viz. skladba F10</t>
  </si>
  <si>
    <t>-1898827682</t>
  </si>
  <si>
    <t xml:space="preserve">Poznámka k položce:_x000D_
Dvoukomponentní barevný uzavírací nátěr na bázi polyuretanové._x000D_
Kotvicí posyp ze sušeného, tříděného křemičitého písku o zrnitosti 0,3–0,8 mm, spotřeba 6–8 kg/m2._x000D_
Dvoukomponentní barevná samonivelační stěrka na bázi polyuretanové pryskyřice + plnivo, tříděný, sušený křemičitý písek, spotřeba 2 kg/m2 Sikafloor®-3240 + 0,1 kg/m2 plniva._x000D_
Kotvící posyp ze sušeného, tříděného křemičitého písku o zrnitosti 0,3–0,8 mm, spotřeba 0,8 kg/m2._x000D_
Dvoukomponentní nízkoviskózní kotevní nátěr na bázi epoxidové pryskyřice, spotřeba cca 0,3–0,5 kg/m2._x000D_
</t>
  </si>
  <si>
    <t>"F10"</t>
  </si>
  <si>
    <t>710,64</t>
  </si>
  <si>
    <t>704</t>
  </si>
  <si>
    <t>R-7839371</t>
  </si>
  <si>
    <t>Dvoukomponentní uzavírací barevný nátěr na bázi epoxidové pryskyřice např. Sikafloor 2540 W, spotřeba 0,2–0,3 kg/m2, vč. penetrační nátěr na bázi akrylátové disperze např. Sika Level 01 Primer, viz. skladba F11</t>
  </si>
  <si>
    <t>344812021</t>
  </si>
  <si>
    <t>"F11"</t>
  </si>
  <si>
    <t>344,53</t>
  </si>
  <si>
    <t>27,28</t>
  </si>
  <si>
    <t>278,51</t>
  </si>
  <si>
    <t>784</t>
  </si>
  <si>
    <t>Dokončovací práce - malby a tapety</t>
  </si>
  <si>
    <t>705</t>
  </si>
  <si>
    <t>R-7842211a</t>
  </si>
  <si>
    <t>Vnitřní disperzní malířský nátěr ve 2 vrstvách např. Primalex Inspiro - světle šedý, barevný odstín viz. architekt, vč. penetrace např. Cemix disperzní penetrace</t>
  </si>
  <si>
    <t>-132440044</t>
  </si>
  <si>
    <t>706</t>
  </si>
  <si>
    <t>R-7842211b</t>
  </si>
  <si>
    <t>Vnitřní disperzní malířský nátěr ve 2 vrstvách např. Primalex Polar - bílý, odstín viz. architekt, vč. penetrace např. Cemix disperzní penetrace</t>
  </si>
  <si>
    <t>-735794873</t>
  </si>
  <si>
    <t>"F17"</t>
  </si>
  <si>
    <t>176,99</t>
  </si>
  <si>
    <t>201,17</t>
  </si>
  <si>
    <t>252,17</t>
  </si>
  <si>
    <t>"F05 podhled"</t>
  </si>
  <si>
    <t>134,86</t>
  </si>
  <si>
    <t>366,02</t>
  </si>
  <si>
    <t>278,91</t>
  </si>
  <si>
    <t>335,13</t>
  </si>
  <si>
    <t>D1.410 - ZTI - Kanalizace</t>
  </si>
  <si>
    <t>D1 - Vnitřní kanalizace</t>
  </si>
  <si>
    <t xml:space="preserve">    D2 - Potrubí v zemi </t>
  </si>
  <si>
    <t xml:space="preserve">    D3 - Potrubí v konstrukci</t>
  </si>
  <si>
    <t xml:space="preserve">    D4 - Výtlačné potrubí</t>
  </si>
  <si>
    <t xml:space="preserve">    D5 - Kanalizační tvarovky a prvky</t>
  </si>
  <si>
    <t xml:space="preserve">    D6 - Protipožární ucpávky</t>
  </si>
  <si>
    <t xml:space="preserve">    D7 - Ostatní práce</t>
  </si>
  <si>
    <t xml:space="preserve">    D8 - Čerpací technika</t>
  </si>
  <si>
    <t xml:space="preserve">    D9 - Venkovní práce a objekty</t>
  </si>
  <si>
    <t xml:space="preserve">    D10 - Ostatní</t>
  </si>
  <si>
    <t>D1</t>
  </si>
  <si>
    <t>Vnitřní kanalizace</t>
  </si>
  <si>
    <t>D2</t>
  </si>
  <si>
    <t xml:space="preserve">Potrubí v zemi </t>
  </si>
  <si>
    <t>Pol1</t>
  </si>
  <si>
    <t>Plastové svodné potrubí odpadní v zemi z PP hrdlových trub KG 2000 PP, vč. tvarovek a souvisejících prací - DN200 (výkop a zásyp viz stavební přípomoce)</t>
  </si>
  <si>
    <t>Plastové svodné potrubí odpadní v zemi z PP hrdlových trub KG 2000 PP, vč. tvarovek a souvisejících prací - DN150 (výkop a zásyp viz stavební přípomoce)</t>
  </si>
  <si>
    <t>Plastové svodné potrubí odpadní v zemi z PP hrdlových trub KG 2000 PP, vč. tvarovek a souvisejících prací - DN125 (výkop a zásyp viz stavební přípomoce)</t>
  </si>
  <si>
    <t>Plastové svodné potrubí odpadní v zemi z PP hrdlových trub KG 2000 PP, vč. tvarovek a souvisejících prací - DN110 (výkop a zásyp viz stavební přípomoce)</t>
  </si>
  <si>
    <t>D3</t>
  </si>
  <si>
    <t>Potrubí v konstrukci</t>
  </si>
  <si>
    <t>Pol5</t>
  </si>
  <si>
    <t>Plastové potrubí z PP hrdlových trub "HT", vč. tvarovek, závěsů a souvisejících prací a stavebních přípomocí (např. drážek) - DN150</t>
  </si>
  <si>
    <t>Plastové potrubí z PP hrdlových trub "HT", vč. tvarovek, závěsů a souvisejících prací a stavebních přípomocí (např. drážek) - DN125</t>
  </si>
  <si>
    <t>Plastové potrubí z PP hrdlových trub "HT", vč. tvarovek, závěsů a souvisejících prací a stavebních přípomocí (např. drážek) - DN110</t>
  </si>
  <si>
    <t>Plastové potrubí z PP hrdlových trub "HT", vč. tvarovek, závěsů a souvisejících prací a stavebních přípomocí (např. drážek) - DN75</t>
  </si>
  <si>
    <t>Plastové potrubí z PP hrdlových trub "HT", vč. tvarovek, závěsů a souvisejících prací a stavebních přípomocí (např. drážek) - DN50</t>
  </si>
  <si>
    <t>Pol10</t>
  </si>
  <si>
    <t>Plastové potrubí z PP hrdlových trub "HT", vč. tvarovek, závěsů a souvisejících prací a stavebních přípomocí (např. drážek) - DN40</t>
  </si>
  <si>
    <t>Pol11</t>
  </si>
  <si>
    <t>Plastové potrubí z PP hrdlových trub "HT", vč. tvarovek, závěsů a souvisejících prací a stavebních přípomocí (např. drážek) - DN32</t>
  </si>
  <si>
    <t>Plastové odhlučněné potrubí z hrdlových trub, vč. tvarovek, závěsů a souvisejících prací a stavebních přípomocí (např. drážek) - DN110</t>
  </si>
  <si>
    <t>Tepelná izolace plastového dešťového potrubí DN75 tl. 20mm (např. Mirelon)</t>
  </si>
  <si>
    <t>D4</t>
  </si>
  <si>
    <t>Výtlačné potrubí</t>
  </si>
  <si>
    <t>Plastové tlakové potrubí z HDPE trub se svařovanými spoji, vč. tvarovek, závěsů a souvisejících prací a stavebních přípomocí (např. drážek) - d90</t>
  </si>
  <si>
    <t>Plastové tlakové potrubí z HDPE trub se svařovanými spoji, vč. tvarovek, závěsů a souvisejících prací a stavebních přípomocí (např. drážek) - d63</t>
  </si>
  <si>
    <t>Plastové tlakové potrubí z HDPE trub se svařovanými spoji, vč. tvarovek, závěsů a souvisejících prací a stavebních přípomocí (např. drážek) - d50</t>
  </si>
  <si>
    <t>D5</t>
  </si>
  <si>
    <t>Kanalizační tvarovky a prvky</t>
  </si>
  <si>
    <t>Sifon pro kondenzát (např. HL138)</t>
  </si>
  <si>
    <t>Sifon pro pračku a myčku (např. HL4000.0+4000.1)</t>
  </si>
  <si>
    <t>Lapač střešních splavenin (např. HL600NHO)</t>
  </si>
  <si>
    <t>Terasový vtok (např. HL80)</t>
  </si>
  <si>
    <t>Přivzdušňovací ventil podomítkový (např. HL905)</t>
  </si>
  <si>
    <t>Ventilační hlavice dle střešního systému DN75</t>
  </si>
  <si>
    <t>Ventilační hlavice dle střešního systému DN110</t>
  </si>
  <si>
    <t>Ventilační hlavice dle střešního systému DN125</t>
  </si>
  <si>
    <t>Dvířka pro čistící kus</t>
  </si>
  <si>
    <t>Dvířka pro sifon</t>
  </si>
  <si>
    <t>Podomítkový splachovací modul pro WC do výšky 100cm (např. Geberit Duofix)</t>
  </si>
  <si>
    <t>Odvodňovací žlab vč. osazení a zabetonování - žlab 6m + vpust 0,5m vč.litinového roštu, čelní stěny, kalového koše (např. ACO Multiline V150S) a stavebních přípomocí</t>
  </si>
  <si>
    <t>Odvodňovací žlab vč. osazení a zabetonování - žlab 1m + vpust 0,5m vč.litinového roštu, čelní stěny, kalového koše (např. ACO EuroSelf) a stavebních přípomocí</t>
  </si>
  <si>
    <t>D6</t>
  </si>
  <si>
    <t>Protipožární ucpávky</t>
  </si>
  <si>
    <t>Protipožární ucpávky na plastovém potrubí z hrdlových trub a souvisejících prací - DN125</t>
  </si>
  <si>
    <t>Protipožární ucpávky na plastovém potrubí z hrdlových trub a souvisejících prací - DN110</t>
  </si>
  <si>
    <t>Protipožární ucpávky na plastovém potrubí z hrdlových trub a souvisejících prací - DN75</t>
  </si>
  <si>
    <t>Protipožární ucpávky na plastovém potrubí z hrdlových trub a souvisejících prací - DN50</t>
  </si>
  <si>
    <t>D7</t>
  </si>
  <si>
    <t>Ostatní práce</t>
  </si>
  <si>
    <t>Napojení FCU jednotek na potrubí</t>
  </si>
  <si>
    <t>Napojení VZT jednotek na potrubí</t>
  </si>
  <si>
    <t>Napojení hrdlového potrubí na okapní žlab</t>
  </si>
  <si>
    <t>Pol37</t>
  </si>
  <si>
    <t>Vyvedení dešťového potrubí na střechu</t>
  </si>
  <si>
    <t>D8</t>
  </si>
  <si>
    <t>Čerpací technika</t>
  </si>
  <si>
    <t>Pol38</t>
  </si>
  <si>
    <t>2x kalové čerpadlo pro dešťové vody, 2x šoupátko DN40, 2x zpětná klapka DN40 a spínací přístroj (např. KSB AMA-Drainer A 415 ND/10 + Level Control Basic 2 BC2400DFNO40 + 3x plovákový spínač)</t>
  </si>
  <si>
    <t>Pol39</t>
  </si>
  <si>
    <t>Kalové čerpadlo s plovákem, šoupátko DN40, zpětná klapka DN40 (např. KSB AMA-Drainer A 405 SE/10)</t>
  </si>
  <si>
    <t>Pol40</t>
  </si>
  <si>
    <t>Čerpací box pro dešťové vody (např. KSB zdvojený nadúrovňový box Z2 B 405 NE/35) vč. připojovací sady a ovládací automatiky</t>
  </si>
  <si>
    <t>Pol41</t>
  </si>
  <si>
    <t>Čerpací box pro splašky s jedním čerpadlem vč. rozvaděče LevelControl, s integrovanou zpětnou klapkou DN80 na výstupu, šoupátko DN80 a sada montážního příslušenství (KSB Mini-Compacta U1.060D)</t>
  </si>
  <si>
    <t>D9</t>
  </si>
  <si>
    <t>Venkovní práce a objekty</t>
  </si>
  <si>
    <t>Pol42</t>
  </si>
  <si>
    <t>Kanalizační revizní plastové šachty Ø425 s litinovým poklopem B125 a rámem vč. zemních prací</t>
  </si>
  <si>
    <t>Pol43</t>
  </si>
  <si>
    <t>Kanalizační revizní plastové šachty Ø600 s litinovým poklopem B125 a rámem vč. zemních prací</t>
  </si>
  <si>
    <t>Pol44</t>
  </si>
  <si>
    <t>Kanalizační revizní plastové šachty Ø1000 s litinovým poklopem B125 a rámem vč. zemních prací</t>
  </si>
  <si>
    <t>Pol45</t>
  </si>
  <si>
    <t>Filtrační šachty plastové podzemní Drainstar Ø400 s litinovým poklopem B125 vč. zemních prací</t>
  </si>
  <si>
    <t>Pol46</t>
  </si>
  <si>
    <t>Filtrační šachta plastová podzemní s teleskopem Ø600 s litinovým poklopem B125 vč.zemních prací</t>
  </si>
  <si>
    <t>Pol47</t>
  </si>
  <si>
    <t>Vsakovací objekt VS-A = vsakovací bloky 64ks (EcoBloc), geotextilie, inspekční a větrací šachta DN600 s děrovaným poklopem, zemní práce (výkopy, podsyp, obsyp, zásyp, odvoz přebytečné zeminy, hutnění apod.)</t>
  </si>
  <si>
    <t>Pol48</t>
  </si>
  <si>
    <t>Vsakovací objekt VS-B = vsakovací bloky 40ks (EcoBloc), geotextilie, inspekční a větrací šachta DN600 s děrovaným poklopem, zemní práce (výkopy, podsyp, obsyp, zásyp, odvoz přebytečné zeminy, hutnění apod.)</t>
  </si>
  <si>
    <t>Pol49</t>
  </si>
  <si>
    <t>Vsakovací objekt VS-C = vsakovací bloky 56ks (EcoBloc), geotextilie, inspekční a větrací šachta DN600 s děrovaným poklopem, zemní práce (výkopy, podsyp, obsyp, zásyp, odvoz přebytečné zeminy, hutnění apod.)</t>
  </si>
  <si>
    <t>Pol50</t>
  </si>
  <si>
    <t>Vsakovací objekt VS-D = drenážní potrubí DN200 délky 45m s oblázkovým štěrkem a geotextilií, zemní práce (výkopy, podsyp, obsyp, zásyp, odvoz přebytečné zeminy, hutnění apod.)</t>
  </si>
  <si>
    <t>D10</t>
  </si>
  <si>
    <t>Ostatní</t>
  </si>
  <si>
    <t>Pol51</t>
  </si>
  <si>
    <t>Tlakové zkoušky potrubí a funkční zkoušky zařízení, zaškolení obsluhy</t>
  </si>
  <si>
    <t>D1.420 - ZTI - Vodovod</t>
  </si>
  <si>
    <t>04 - ZDRAVOTECHNIKA</t>
  </si>
  <si>
    <t xml:space="preserve">    D1 - Zařizovací předměty</t>
  </si>
  <si>
    <t xml:space="preserve">    D3 - HWAT systém</t>
  </si>
  <si>
    <t xml:space="preserve">    D2 - Vodovod</t>
  </si>
  <si>
    <t>04</t>
  </si>
  <si>
    <t>ZDRAVOTECHNIKA</t>
  </si>
  <si>
    <t>Zařizovací předměty</t>
  </si>
  <si>
    <t>Pol001</t>
  </si>
  <si>
    <t>D-dřez kuchyňský,nerezový +baterie dřezová,stojánková + sifon + příslušenství</t>
  </si>
  <si>
    <t>-1370942193</t>
  </si>
  <si>
    <t>Pol119</t>
  </si>
  <si>
    <t>U-umyvadlo keramické, Laufen Pro S+ baterie stojánková+ sifon, Laufen+umyvadlová výpusť + příslušenství</t>
  </si>
  <si>
    <t>-1319263712</t>
  </si>
  <si>
    <t>Pol120</t>
  </si>
  <si>
    <t>Um-umývátko keramické, Laufen Pro S+ baterie stojánková+ sifon, Laufen+umyvadlová výpusť + příslušenství</t>
  </si>
  <si>
    <t>1711368415</t>
  </si>
  <si>
    <t>Pol121</t>
  </si>
  <si>
    <t>WC-závěsný keramický záchod, Laufen Pro S, montážní prvek geberit (geberit zahrnut viz kanalizace D1.410) se splachovací nádržkou, ovládací tlačítko, sedátko s poklopem + příslušenství</t>
  </si>
  <si>
    <t>213545594</t>
  </si>
  <si>
    <t>Pol122</t>
  </si>
  <si>
    <t>V-vana 800x1700 mm, Laufen Pro, nástěnná páková baterie pro vany - Hansgrohe Talis E, sifon - Laufen, vypoustěcí a přepadová souprava, kontrolní dvířka + příslušenství</t>
  </si>
  <si>
    <t>-1021090024</t>
  </si>
  <si>
    <t>Pol123</t>
  </si>
  <si>
    <t>V2-vana 700/1600 mm, Laufen Pro, nástěnná páková baterie pro vany- Hansgrohe Talis E, sifon - Laufen, vypoustěcí a přepadová souprava, kontrolní dvířka + příslušenství</t>
  </si>
  <si>
    <t>-1498617978</t>
  </si>
  <si>
    <t>Pol124</t>
  </si>
  <si>
    <t>V3-800x1700 mm, Laufen Pro, nástěnná páková baterie pro vany- Hansgrohe Talis E, sifon - Laufen, vypoustěcí a přepadová souprava, kontrolní dvířka + příslušenství</t>
  </si>
  <si>
    <t>2109571990</t>
  </si>
  <si>
    <t>Pol125</t>
  </si>
  <si>
    <t>S1-sprchová vanička 800x1350mm, Laufen Pro, nástěnná páková baterie pro sprchy s ruční sprchou- Hansgrohe Talis E+ příslušenství,sprchová stěna,  odpadová souprava se sifónem, Laufen + příslušenství</t>
  </si>
  <si>
    <t>-2129417127</t>
  </si>
  <si>
    <t>Pol126</t>
  </si>
  <si>
    <t>S2- sprchová vanička 800x960 mm, Laufen Pro, nástěnná páková baterie pro sprchy s ruční sprchou- Hansgrohe Talis E+ příslušenství,sprchová stěna,  odpadová souprava se sifónem, Laufen + příslušenství</t>
  </si>
  <si>
    <t>2090897690</t>
  </si>
  <si>
    <t>Pol127</t>
  </si>
  <si>
    <t>S3-sprchová vanička 800x1000 mm, Laufen Pro, nástěnná páková baterie pro sprchy s ruční sprchou- Hansgrohe Talis E+ příslušenství,sprchová stěna,  odpadová souprava se sifónem, Laufen + příslušenství</t>
  </si>
  <si>
    <t>1594243802</t>
  </si>
  <si>
    <t>Pol128</t>
  </si>
  <si>
    <t>S4-sprchová vanička 900x900 mm, Laufen Pro, nástěnná páková baterie pro sprchy s ruční sprchou- Hansgrohe Talis E+ příslušenství,sprchová stěna,  odpadová souprava se sifónem, Laufen + příslušenství</t>
  </si>
  <si>
    <t>500577966</t>
  </si>
  <si>
    <t>Pol129</t>
  </si>
  <si>
    <t>S5-sprchová vanička 800x900 mm, Laufen Pro, nástěnná páková baterie pro sprchy s ruční sprchou- Hansgrohe Talis E+ příslušenství,sprchová stěna,  odpadová souprava se sifónem, Laufen + příslušenství</t>
  </si>
  <si>
    <t>841353628</t>
  </si>
  <si>
    <t>Pol130</t>
  </si>
  <si>
    <t>S6-sprchová vanička 800/1600 mm, Laufen Pro, nástěnná páková baterie pro sprchy s ruční sprchou- Hansgrohe Talis E+ příslušenství,sprchová stěna,  odpadová souprava se sifónem, Laufen + příslušenství</t>
  </si>
  <si>
    <t>1499378973</t>
  </si>
  <si>
    <t>Pol131</t>
  </si>
  <si>
    <t>VL-výlevka, nástěnná baterie + příslušenství</t>
  </si>
  <si>
    <t>-1632410078</t>
  </si>
  <si>
    <t>Pol132</t>
  </si>
  <si>
    <t>H19-vnitřní hydrant, tvarově stálá hadice 30m-DN19</t>
  </si>
  <si>
    <t>2095587892</t>
  </si>
  <si>
    <t>Pol133</t>
  </si>
  <si>
    <t>H25-vnitřní hydrant,  tvarově stálá hadice 30m-DN19</t>
  </si>
  <si>
    <t>328320465</t>
  </si>
  <si>
    <t>Pol134</t>
  </si>
  <si>
    <t>AP-automatická pračka (*napojení viz. výkaz vodovodu/kanalizace)</t>
  </si>
  <si>
    <t>409325624</t>
  </si>
  <si>
    <t>Pol135</t>
  </si>
  <si>
    <t>M-myčka nádobí (*napojení viz. výkaz vodovodu/kanalizace)</t>
  </si>
  <si>
    <t>1857219544</t>
  </si>
  <si>
    <t>Pol136</t>
  </si>
  <si>
    <t>ZV- zahradní ventil (*zahrnuto ve VV vodovod)</t>
  </si>
  <si>
    <t>1611328577</t>
  </si>
  <si>
    <t>HWAT systém</t>
  </si>
  <si>
    <t>Pol137</t>
  </si>
  <si>
    <t>Hlavní páteřní rozvod + stoupací potrubí na objektu A</t>
  </si>
  <si>
    <t>1202765390</t>
  </si>
  <si>
    <t>Poznámka k položce:_x000D_
Samoregulační topný kabel HWAT R (12W/m při 70°C)_x000D_
Napojovací a zakončovací sada CE25-01 (kabel / krabice)_x000D_
Svorkovnicová instalační krabice JB16-02_x000D_
Instalační konzole JB-SB-08_x000D_
Hliníková samolepící páska ATE-180 bal.55m_x000D_
Fixační sklotextilní páska GT-66 bal. 20m_x000D_
Kompletní rozvaděč SBS-R-HWAT-3X20A pro max. 3 okruhy vč. řídící jednotky_x000D_
Výstražné štítky ETL-CZ</t>
  </si>
  <si>
    <t>Pol138</t>
  </si>
  <si>
    <t>Hlavní páteřní rozvod + stoupací potrubí na objektu B</t>
  </si>
  <si>
    <t>1076618242</t>
  </si>
  <si>
    <t>Pol139</t>
  </si>
  <si>
    <t>Hlavní páteřní rozvod + stoupací potrubí na objektu C</t>
  </si>
  <si>
    <t>-161299670</t>
  </si>
  <si>
    <t>Poznámka k položce:_x000D_
Samoregulační topný kabel HWAT R (12W/m při 70°C)_x000D_
Napojovací a zakončovací sada CE25-01 (kabel / krabice)_x000D_
Rozbočovací souprava RAYCLIC-T-02_x000D_
Svorkovnicová instalační krabice JB16-02_x000D_
Instalační konzole JB-SB-08_x000D_
Hliníková samolepící páska ATE-180 bal.55m_x000D_
Fixační sklotextilní páska GT-66 bal. 20m_x000D_
Kompletní rozvaděč SBS-R-HWAT-3X16A pro max. 3 okruhy vč. řídící jednotky_x000D_
Výstražné štítky ETL-CZ</t>
  </si>
  <si>
    <t>Pol140</t>
  </si>
  <si>
    <t>Hlavní páteřní rozvod + stoupací potrubí na objektu D</t>
  </si>
  <si>
    <t>-1057917277</t>
  </si>
  <si>
    <t>Poznámka k položce:_x000D_
Samoregulační topný kabel HWAT R (12W/m při 70°C)_x000D_
Napojovací a zakončovací sada CE25-01 (kabel / krabice)_x000D_
Rozbočovací souprava RAYCLIC-T-02_x000D_
Svorkovnicová instalační krabice JB16-02_x000D_
Instalační konzole JB-SB-08_x000D_
Hliníková samolepící páska ATE-180 bal.55m_x000D_
Fixační sklotextilní páska GT-66 bal. 20m_x000D_
Kompletní rozvaděč SBS-R-HWAT-3X20A pro max. 3 okruhy vč. řídící jednotky_x000D_
Výstražné štítky ETL-CZ</t>
  </si>
  <si>
    <t>Pol141</t>
  </si>
  <si>
    <t>-420449981</t>
  </si>
  <si>
    <t>Poznámka k položce:_x000D_
Montáž topného systému, instalace kabelů, osazení rozvaděčů Raychem, zprovoznění a zaškolení_x000D_
Technická dokumentace_x000D_
Ostatní pomocný materiál_x000D_
Doprava</t>
  </si>
  <si>
    <t>Vodovod</t>
  </si>
  <si>
    <t>Pol54</t>
  </si>
  <si>
    <t>Potrubí vodovodní z plastových trub - Ø20, PEX-PN10-pro pitnou vodu  (včetně fitinek, úchytů, podchytávek, vodorovných a svislých závěsů, pružných pryžových objímek, kompenzátorů, protipožárních ucpávek/manžet, prostupů a drážek)</t>
  </si>
  <si>
    <t>Pol55</t>
  </si>
  <si>
    <t>Potrubí vodovodní z plastových trub - Ø25, PEX-PN10-pro pitnou vodu  (včetně fitinek, úchytů, podchytávek, vodorovných a svislých závěsů, pružných pryžových objímek, kompenzátorů, protipožárních ucpávek/manžet, prostupů a drážek)</t>
  </si>
  <si>
    <t>Pol56</t>
  </si>
  <si>
    <t>Potrubí vodovodní z plastových trub - Ø32, PEX-PN10-pro pitnou vodu  (včetně fitinek, úchytů, podchytávek, vodorovných a svislých závěsů, pružných pryžových objímek, kompenzátorů, protipožárních ucpávek/manžet, prostupů a drážek</t>
  </si>
  <si>
    <t>Pol57</t>
  </si>
  <si>
    <t>Potrubí vodovodní z plastových trub - Ø40, PEX-PN10-pro pitnou vodu  (včetně fitinek, úchytů, podchytávek, vodorovných a svislých závěsů, pružných pryžových objímek, kompenzátorů, protipožárních ucpávek/manžet, prostupů a drážek</t>
  </si>
  <si>
    <t>Pol58</t>
  </si>
  <si>
    <t>Potrubí vodovodní z plastových trub - Ø50,PEX-PN10-pro pitnou vodu  (včetně fitinek, úchytů, podchytávek, vodorovných a svislých závěsů, pružných pryžových objímek, kompenzátorů, protipožárních ucpávek/manžet, prostupů a drážek</t>
  </si>
  <si>
    <t>Pol59</t>
  </si>
  <si>
    <t>Potrubí vodovodní z plastových trub - Ø63,PEX-PN10-pro pitnou vodu  (včetně fitinek, úchytů, podchytávek, vodorovných a svislých závěsů, pružných pryžových objímek, kompenzátorů, protipožárních ucpávek/manžet, prostupů a drážek</t>
  </si>
  <si>
    <t>Pol60</t>
  </si>
  <si>
    <t>Ocel pozinkovaná DN25</t>
  </si>
  <si>
    <t>Pol61</t>
  </si>
  <si>
    <t>Ocel pozinkovaná DN32</t>
  </si>
  <si>
    <t>Pol62</t>
  </si>
  <si>
    <t>Ocel pozinkovaná DN40</t>
  </si>
  <si>
    <t>Pol63</t>
  </si>
  <si>
    <t>Ocel pozinkovaná DN50</t>
  </si>
  <si>
    <t>Pol64</t>
  </si>
  <si>
    <t>PEHD 10, SDR11, 63x5,8mm (včetně zemních prací a stavebních přípomocí)</t>
  </si>
  <si>
    <t>Pol65</t>
  </si>
  <si>
    <t>Tepelná izolace potrubí z pěnového PE tl. 9 mm Ø20</t>
  </si>
  <si>
    <t>Pol66</t>
  </si>
  <si>
    <t>Tepelná izolace potrubí z pěnového PE tl. 9 mm Ø25</t>
  </si>
  <si>
    <t>Pol67</t>
  </si>
  <si>
    <t>Tepelná izolace potrubí z pěnového PE tl. 9 mm Ø32</t>
  </si>
  <si>
    <t>Pol68</t>
  </si>
  <si>
    <t>Tepelná izolace potrubí na SV tl.20 mm Ø20-Mirelon</t>
  </si>
  <si>
    <t>Pol69</t>
  </si>
  <si>
    <t>Tepelná izolace potrubí na SV tl.20 mm Ø25-Mirelon</t>
  </si>
  <si>
    <t>Pol70</t>
  </si>
  <si>
    <t>Tepelná izolace potrubí na SV tl.20 mm Ø32-Mirelon</t>
  </si>
  <si>
    <t>Pol71</t>
  </si>
  <si>
    <t>Tepelná izolace potrubí na SV tl.20 mm Ø40-Mirelon</t>
  </si>
  <si>
    <t>Pol72</t>
  </si>
  <si>
    <t>Tepelná izolace potrubí na SV tl.20 mm Ø50-Mirelon</t>
  </si>
  <si>
    <t>Pol73</t>
  </si>
  <si>
    <t>Tepelná izolace potrubí na SV tl.20 mm Ø63-Mirelon</t>
  </si>
  <si>
    <t>Pol74</t>
  </si>
  <si>
    <t>Tepelná izolace potrubí na TV tl.40 mm Ø20-Rockwool</t>
  </si>
  <si>
    <t>Pol75</t>
  </si>
  <si>
    <t>Tepelná izolace potrubí na TV tl.40 mm Ø25-Rockwool</t>
  </si>
  <si>
    <t>Pol76</t>
  </si>
  <si>
    <t>Tepelná izolace potrubí na TV tl.50 mm Ø32-Rockwool</t>
  </si>
  <si>
    <t>Pol77</t>
  </si>
  <si>
    <t>Tepelná izolace potrubí na TV tl.60mm Ø40-Rockwool</t>
  </si>
  <si>
    <t>Pol78</t>
  </si>
  <si>
    <t>Tepelná izolace potrubí na TV tl.50 mm Ø50-Rockwool</t>
  </si>
  <si>
    <t>Pol79</t>
  </si>
  <si>
    <t>Tepelná izolace potrubí na TV tl.70 mm Ø63-Rockwool</t>
  </si>
  <si>
    <t>Pol80</t>
  </si>
  <si>
    <t>Tepelná izolace 9mm na požárním potrubí DN25-Mirelon</t>
  </si>
  <si>
    <t>Pol81</t>
  </si>
  <si>
    <t>Tepelná izolace 9mm na požárním potrubí DN32-Mirelon</t>
  </si>
  <si>
    <t>Pol82</t>
  </si>
  <si>
    <t>Tepelná izolace 9mm na požárním potrubí DN40-Mirelon</t>
  </si>
  <si>
    <t>Pol83</t>
  </si>
  <si>
    <t>Tepelná izolace 9mm na požárním potrubí DN50-Mirelon</t>
  </si>
  <si>
    <t>Pol84</t>
  </si>
  <si>
    <t>Podružný vodoměr s dálkovým odečtem DN15</t>
  </si>
  <si>
    <t>Pol86</t>
  </si>
  <si>
    <t>Rohový ventil DN15</t>
  </si>
  <si>
    <t>Pol87</t>
  </si>
  <si>
    <t>Kulový kohout DN15</t>
  </si>
  <si>
    <t>Pol88</t>
  </si>
  <si>
    <t>Kulový kohout DN20</t>
  </si>
  <si>
    <t>Pol89</t>
  </si>
  <si>
    <t>Kulový kohout DN25</t>
  </si>
  <si>
    <t>Pol90</t>
  </si>
  <si>
    <t>Výtokový ventil pračkový se zpětnou klapkou a přivzdušněním (pro pračku a myčku)</t>
  </si>
  <si>
    <t>Pol91</t>
  </si>
  <si>
    <t>Zahradní, nezámrzný ventil DN15, se ZK a přivzdušněním</t>
  </si>
  <si>
    <t>Pol92</t>
  </si>
  <si>
    <t>Revizní dvířka pro zahradní ventil</t>
  </si>
  <si>
    <t>Pol93</t>
  </si>
  <si>
    <t>Zpětná armatura typu EA</t>
  </si>
  <si>
    <t>Pol94</t>
  </si>
  <si>
    <t>Uzavírací ventil s odvodněním DN15</t>
  </si>
  <si>
    <t>Pol95</t>
  </si>
  <si>
    <t>Uzavírací ventil s odvodněním DN20</t>
  </si>
  <si>
    <t>Pol96</t>
  </si>
  <si>
    <t>Uzavírací ventil s odvodněním DN25</t>
  </si>
  <si>
    <t>Pol97</t>
  </si>
  <si>
    <t>Uzavírací ventil s odvodněním DN32</t>
  </si>
  <si>
    <t>Pol98</t>
  </si>
  <si>
    <t>Uzavírací ventil s odvodněním DN40</t>
  </si>
  <si>
    <t>Pol99</t>
  </si>
  <si>
    <t>Uzavírací ventil s odvodněním DN50</t>
  </si>
  <si>
    <t>Pol100</t>
  </si>
  <si>
    <t>Uzavírací ventil DN25</t>
  </si>
  <si>
    <t>Pol101</t>
  </si>
  <si>
    <t>Uzavírací ventil DN32</t>
  </si>
  <si>
    <t>Pol102</t>
  </si>
  <si>
    <t>Uzavírací ventil DN50</t>
  </si>
  <si>
    <t>Pol103</t>
  </si>
  <si>
    <t>Filtr DN50 s automatickým proplachem</t>
  </si>
  <si>
    <t>Pol104</t>
  </si>
  <si>
    <t>Redukční ventil DN50</t>
  </si>
  <si>
    <t>Pol105</t>
  </si>
  <si>
    <t>Zpětná armatura typu-DN50</t>
  </si>
  <si>
    <t>Pol106</t>
  </si>
  <si>
    <t>Vzorkovací armatura DN15</t>
  </si>
  <si>
    <t>Pol107</t>
  </si>
  <si>
    <t>Podružný vodoměr s dálkovým odečtem pro TV DN32, Q4=10m3/hod</t>
  </si>
  <si>
    <t>Pol108</t>
  </si>
  <si>
    <t>Tlakoměr</t>
  </si>
  <si>
    <t>Pol109</t>
  </si>
  <si>
    <t>Zpětná klapka DN50</t>
  </si>
  <si>
    <t>Pol110</t>
  </si>
  <si>
    <t>Pojistný ventil DN20,tlak 6bar</t>
  </si>
  <si>
    <t>Pol111</t>
  </si>
  <si>
    <t>Expanzní nádoba -REFLEX Refix 300</t>
  </si>
  <si>
    <t>Pol112</t>
  </si>
  <si>
    <t>Teploměr</t>
  </si>
  <si>
    <t>Pol113</t>
  </si>
  <si>
    <t>Zpětná klapka DN15 (***VYTÁPĚNÍ)</t>
  </si>
  <si>
    <t>Pol114</t>
  </si>
  <si>
    <t>Výtokový ventil DN15</t>
  </si>
  <si>
    <t>Pol115</t>
  </si>
  <si>
    <t>Požární prostup do D50</t>
  </si>
  <si>
    <t>Pol116</t>
  </si>
  <si>
    <t>Požární prostup nad D50</t>
  </si>
  <si>
    <t>Pol117</t>
  </si>
  <si>
    <t>Tlaková zkouška, proplach a desinfekce potrubí</t>
  </si>
  <si>
    <t>D1.430 - ZTI - Plynovod</t>
  </si>
  <si>
    <t>D1 - Venkovní plynovod Dodávka+montáž</t>
  </si>
  <si>
    <t>D2 - Vnitřní plynovod Dodávka + montáž</t>
  </si>
  <si>
    <t>Venkovní plynovod Dodávka+montáž</t>
  </si>
  <si>
    <t>Pol142</t>
  </si>
  <si>
    <t>Potrubí PE 100RC  dn 32 - SDR 11 32x3,0 mm</t>
  </si>
  <si>
    <t>Pol143</t>
  </si>
  <si>
    <t>Elektroobjímka PE 32</t>
  </si>
  <si>
    <t>Pol144</t>
  </si>
  <si>
    <t>Elektrokoleno PE 32</t>
  </si>
  <si>
    <t>Pol145</t>
  </si>
  <si>
    <t>Spojka IZIFLO PE32/ocel 1"</t>
  </si>
  <si>
    <t>Pol146</t>
  </si>
  <si>
    <t>Přechodka PE32/ocel DN 25</t>
  </si>
  <si>
    <t>Pol147</t>
  </si>
  <si>
    <t>Trubka ocel. DN 25 i izolací PE</t>
  </si>
  <si>
    <t>Pol148</t>
  </si>
  <si>
    <t>Redukce DN 25/20</t>
  </si>
  <si>
    <t>Pol149</t>
  </si>
  <si>
    <t>Regulátor dvoustupňový B 10</t>
  </si>
  <si>
    <t>Pol150</t>
  </si>
  <si>
    <t>Kohout kulový DN 25</t>
  </si>
  <si>
    <t>Pol151</t>
  </si>
  <si>
    <t>Koleno jednoznačné DN 25</t>
  </si>
  <si>
    <t>Pol152</t>
  </si>
  <si>
    <t>Rozpěrka plynoměru</t>
  </si>
  <si>
    <t>Pol153</t>
  </si>
  <si>
    <t>Instalační rám + montáž</t>
  </si>
  <si>
    <t>Pol154</t>
  </si>
  <si>
    <t>Vývod signalizačního vodiče VSV</t>
  </si>
  <si>
    <t>Pol155</t>
  </si>
  <si>
    <t>Signalizač. vodič průř.2,5 mm2,TP A220 izol. do země</t>
  </si>
  <si>
    <t>Pol156</t>
  </si>
  <si>
    <t>Ochran. folie PVC perforovaná-žlutá dle TP PPD,.A220</t>
  </si>
  <si>
    <t>Pol157</t>
  </si>
  <si>
    <t>Napojení vč. napuštění plynem + odvzdušnění</t>
  </si>
  <si>
    <t>Pol158</t>
  </si>
  <si>
    <t>Hloubení rýhy, vč. odvozu a uložení výkopku</t>
  </si>
  <si>
    <t>Pol159</t>
  </si>
  <si>
    <t>Lože a obsyp pískem</t>
  </si>
  <si>
    <t>Pol160</t>
  </si>
  <si>
    <t>Hutněný zásyp štěrkopískem</t>
  </si>
  <si>
    <t>Pol161</t>
  </si>
  <si>
    <t>Hutněný zásyp zeminou</t>
  </si>
  <si>
    <t>Pol162</t>
  </si>
  <si>
    <t>Oprava a úprava povrchu</t>
  </si>
  <si>
    <t>Pol163</t>
  </si>
  <si>
    <t>Náklady na rizika stavebních prací-všechny zde uvedené položky dodavatel přesně vyspecifikuje</t>
  </si>
  <si>
    <t>cel.</t>
  </si>
  <si>
    <t>Pol164</t>
  </si>
  <si>
    <t>Tlaková zkouška dle ČSN12007 a TPG 702 04+ účast plynárny</t>
  </si>
  <si>
    <t>Pol165</t>
  </si>
  <si>
    <t>Kohout kulový HUP PE 32, vč. poklopu a zemní soupravy</t>
  </si>
  <si>
    <t>Vnitřní plynovod Dodávka + montáž</t>
  </si>
  <si>
    <t>Pol167</t>
  </si>
  <si>
    <t>DN 20</t>
  </si>
  <si>
    <t>Pol168</t>
  </si>
  <si>
    <t>DN 25</t>
  </si>
  <si>
    <t>Pol169</t>
  </si>
  <si>
    <t>Ocelové chráničky DN 40</t>
  </si>
  <si>
    <t>Pol170</t>
  </si>
  <si>
    <t>Kulový kohout DN 20</t>
  </si>
  <si>
    <t>Pol171</t>
  </si>
  <si>
    <t>Konzole s objímkami k uchycení na stěnu</t>
  </si>
  <si>
    <t>Pol172</t>
  </si>
  <si>
    <t>Pospojování, uzemnění a ochrana proti blesku</t>
  </si>
  <si>
    <t>Pol173</t>
  </si>
  <si>
    <t>Propojení rozvodů</t>
  </si>
  <si>
    <t>obj.</t>
  </si>
  <si>
    <t>Pol174</t>
  </si>
  <si>
    <t>Napuštění plynu, odvzdušnění</t>
  </si>
  <si>
    <t>Pol175</t>
  </si>
  <si>
    <t>Revize zařízení</t>
  </si>
  <si>
    <t>hod</t>
  </si>
  <si>
    <t>Pol176</t>
  </si>
  <si>
    <t>Náklady na rizika montážních prací</t>
  </si>
  <si>
    <t>Pol177</t>
  </si>
  <si>
    <t>Dodávka a provedení nátěrů potrubí a doplňkových konstrukcí, označení potrubí dle provozní tekutiny. Nátěry - 1x základní a 2x vrchní nátěr syntetický ocelových potrubí a doplňkových konstrukcí (žlutá, ostín 6200)</t>
  </si>
  <si>
    <t>Pol178</t>
  </si>
  <si>
    <t>Štítky a označení zhotovených potrubních rozvodů s provozní látkou – směr toku a druh media (provést po dohodě s investorem a s přihlédnutím k ČSN 13 0072-74 )</t>
  </si>
  <si>
    <t>Pol179</t>
  </si>
  <si>
    <t>Tlakové zkoušky provedené dle ČSN a TPG, včetně výchozí revize a revizní zprávy.</t>
  </si>
  <si>
    <t>Pol180</t>
  </si>
  <si>
    <t>Montážní dokumentace-Vypracování dílenských a detailních výkresů pro veškeré potrubní rozvody.</t>
  </si>
  <si>
    <t>Pol181</t>
  </si>
  <si>
    <t>Provozní dokumentace-Provozní řád včetně schematu zapojení (skutečné provedení) v úpravě pro vyvěšení na stěnu</t>
  </si>
  <si>
    <t>Pol182</t>
  </si>
  <si>
    <t>Závěsný systém-stavebnicový systém firem Hilti, Sikla, Mupro nebo závěsný systém vlasního návrhu - návrh podpěrných doplňkových konstrukcí včetně vypracování detailních výkresů.</t>
  </si>
  <si>
    <t>D1.510 - Vzduchotechnika</t>
  </si>
  <si>
    <t>D1 - OBJEKT A</t>
  </si>
  <si>
    <t xml:space="preserve">    D2 - AHU1 - Větrání sklepů</t>
  </si>
  <si>
    <t xml:space="preserve">    D3 - AHU2.1 - Větrání bytů</t>
  </si>
  <si>
    <t xml:space="preserve">    D4 - AHU2.2 - Větrání bytů</t>
  </si>
  <si>
    <t xml:space="preserve">    D5 - AHU11 - Větrání nebytového prostoru</t>
  </si>
  <si>
    <t xml:space="preserve">    D6 - AHU12 - Větrání nebytového prostoru</t>
  </si>
  <si>
    <t xml:space="preserve">    D7 - AHU13 - Větrání nebytového prostoru</t>
  </si>
  <si>
    <t xml:space="preserve">    D8 - EF5 - Odvětrání sociálního zařízení v 1np</t>
  </si>
  <si>
    <t xml:space="preserve">    D9 - EF6 - Odvětrání sociálního zařízení v 1np</t>
  </si>
  <si>
    <t xml:space="preserve">    D10 - EF7 - Odvětrání sociálního zařízení v 1np</t>
  </si>
  <si>
    <t xml:space="preserve">    D11 - Odvod vzduchu od kuchyňských digestoří </t>
  </si>
  <si>
    <t>D12 - OBJEKT B</t>
  </si>
  <si>
    <t xml:space="preserve">    D13 - EF3 - Podzemní parkoviště v 1pp</t>
  </si>
  <si>
    <t xml:space="preserve">    D14 - AHU3.1 - Větrání bytů</t>
  </si>
  <si>
    <t xml:space="preserve">    D15 - AHU3.2 - Větrání bytů</t>
  </si>
  <si>
    <t xml:space="preserve">    D16 - AHU3.3 - Větrání bytů</t>
  </si>
  <si>
    <t>D17 - OBJEKT C</t>
  </si>
  <si>
    <t xml:space="preserve">    D18 - EF4 - Podzemní parkoviště v 1pp</t>
  </si>
  <si>
    <t xml:space="preserve">    D19 - AHU4.1 - Větrání bytů</t>
  </si>
  <si>
    <t xml:space="preserve">    D20 - AHU4.2 - Větrání bytů</t>
  </si>
  <si>
    <t>D21 - OBJEKT D</t>
  </si>
  <si>
    <t xml:space="preserve">    D22 - AHU6 - Větrání sklepů</t>
  </si>
  <si>
    <t xml:space="preserve">    D23 - EF1 - Odvětrání kotelny v 1pp</t>
  </si>
  <si>
    <t xml:space="preserve">    D24 - AHU5.1 - Větrání bytů</t>
  </si>
  <si>
    <t xml:space="preserve">    D25 - AHU5.2 - Větrání bytů</t>
  </si>
  <si>
    <t>D26 - SPOLEČNÉ</t>
  </si>
  <si>
    <t xml:space="preserve">    D27 - Ostatní</t>
  </si>
  <si>
    <t>OBJEKT A</t>
  </si>
  <si>
    <t>AHU1 - Větrání sklepů</t>
  </si>
  <si>
    <t>AHU1</t>
  </si>
  <si>
    <t>Vzduchotechnická jednotka DUPLEX 650 Flexi RD5</t>
  </si>
  <si>
    <t>Poznámka k položce:_x000D_
Složení: klapka, filtr EU7, rekuperační výměník, ventilátor s Ecmotorem_x000D_
Odvod: klapka, filtr EU5, ventilátor s ECmotorem_x000D_
Vp = 610m3/h / Pext = 220 Pa_x000D_
Vo = 610m3/h / Pext = 220 Pa_x000D_
jednotka vč.: _x000D_
pružných vložek na sání a výtlaku z jednotky, MaR</t>
  </si>
  <si>
    <t>Pol183</t>
  </si>
  <si>
    <t>Tlumič hluku do kruhového potrubí MAA200/600</t>
  </si>
  <si>
    <t>Pol184</t>
  </si>
  <si>
    <t>Tlumič hluku do kruhového potrubí MAA200/900</t>
  </si>
  <si>
    <t>Pol185</t>
  </si>
  <si>
    <t>Odvodní talířový ventil D80</t>
  </si>
  <si>
    <t>Pol186</t>
  </si>
  <si>
    <t>Odvodní talířový ventil D100</t>
  </si>
  <si>
    <t>Pol187</t>
  </si>
  <si>
    <t>Odvodní talířový ventil D125</t>
  </si>
  <si>
    <t>Pol188</t>
  </si>
  <si>
    <t>Odvodní talířový ventil D160</t>
  </si>
  <si>
    <t>Pol189</t>
  </si>
  <si>
    <t>Přívodní talířový ventil D100</t>
  </si>
  <si>
    <t>Pol190</t>
  </si>
  <si>
    <t>Přívodní talířový ventil D125</t>
  </si>
  <si>
    <t>Pol191</t>
  </si>
  <si>
    <t>Regulátor průtoku vzduchu D100</t>
  </si>
  <si>
    <t>Pol192</t>
  </si>
  <si>
    <t>Regulátor průtoku vzduchu D125</t>
  </si>
  <si>
    <t>Pol193</t>
  </si>
  <si>
    <t>Regulátor průtoku vzduchu D160</t>
  </si>
  <si>
    <t>Pol194</t>
  </si>
  <si>
    <t>Sací kus se sítem vel. D200</t>
  </si>
  <si>
    <t>PK02.1</t>
  </si>
  <si>
    <t>Požární klapka do kruhového potrubí se servopohonem 230V vel. D200</t>
  </si>
  <si>
    <t>Pol195</t>
  </si>
  <si>
    <t>Požární stěnový uzávěr 250x160</t>
  </si>
  <si>
    <t>Pol196</t>
  </si>
  <si>
    <t>Požární stěnový uzávěr 390x160</t>
  </si>
  <si>
    <t>Pol197</t>
  </si>
  <si>
    <t>Kruhové potrubí z pozinkovaného plechu o síle dle norem, včetně tvarovek, regulačních klapek, spojovacího, kotvícího a těsnícího materiálu (SPIRO) průměr 200</t>
  </si>
  <si>
    <t>Pol198</t>
  </si>
  <si>
    <t>Kruhové potrubí z pozinkovaného plechu o síle dle norem, včetně tvarovek, regulačních klapek, spojovacího, kotvícího a těsnícího materiálu (SPIRO) průměr 160</t>
  </si>
  <si>
    <t>Pol199</t>
  </si>
  <si>
    <t>Kruhové potrubí z pozinkovaného plechu o síle dle norem, včetně tvarovek, regulačních klapek, spojovacího, kotvícího a těsnícího materiálu (SPIRO) průměr 125</t>
  </si>
  <si>
    <t>Pol200</t>
  </si>
  <si>
    <t>Kruhové potrubí z pozinkovaného plechu o síle dle norem, včetně tvarovek, regulačních klapek, spojovacího, kotvícího a těsnícího materiálu (SPIRO) průměr 100</t>
  </si>
  <si>
    <t>Pol201</t>
  </si>
  <si>
    <t>Ohebné potrubí SONOFLEX D200</t>
  </si>
  <si>
    <t>Pol202</t>
  </si>
  <si>
    <t>Požární izolace potrubí - minerální vlna s polepem - odolnost 30min</t>
  </si>
  <si>
    <t>AHU2.1 - Větrání bytů</t>
  </si>
  <si>
    <t>AHU2.1</t>
  </si>
  <si>
    <t>Vzduchotechnická jednotka DUPLEX 170 EC5.CP</t>
  </si>
  <si>
    <t>Poznámka k položce:_x000D_
Složení: klapka, filtr EU7, rekuperační výměník, elektircký ohřívač, ventilátor s Ecmotorem_x000D_
Odvod: klapka, filtr EU4, ventilátor s ECmotorem_x000D_
Vp = 140 (120) m3/h / Pext = 145 Pa_x000D_
Vo = 140 (120) m3/h / Pext = 170 Pa_x000D_
jednotka vč.: _x000D_
pružných vložek na sání a výtlaku z jednotky, MaR</t>
  </si>
  <si>
    <t>Pol203</t>
  </si>
  <si>
    <t>Tlumič hluku do kruhového potrubí MAA160/600</t>
  </si>
  <si>
    <t>Pol204</t>
  </si>
  <si>
    <t>Pol205</t>
  </si>
  <si>
    <t>Sací kus se sítem vel. D160</t>
  </si>
  <si>
    <t>Pol206</t>
  </si>
  <si>
    <t>Přívodní vyúst s regulací R1, vel. 325x75</t>
  </si>
  <si>
    <t>Pol207</t>
  </si>
  <si>
    <t>Regulační klapka ruční D125</t>
  </si>
  <si>
    <t>Pol208</t>
  </si>
  <si>
    <t>Regulační klapka ruční D160</t>
  </si>
  <si>
    <t>Pol209</t>
  </si>
  <si>
    <t>Ohebné potrubí SONOFLEX D160</t>
  </si>
  <si>
    <t>Pol210</t>
  </si>
  <si>
    <t>Ohebné potrubí SONOFLEX D125</t>
  </si>
  <si>
    <t>AHU2.2 - Větrání bytů</t>
  </si>
  <si>
    <t>AHU2.2</t>
  </si>
  <si>
    <t>Vzduchotechnická jednotka DUPLEX 370 EC5.CP</t>
  </si>
  <si>
    <t>Poznámka k položce:_x000D_
Složení: klapka, filtr EU7, rekuperační výměník, elektircký ohřívač, ventilátor s Ecmotorem_x000D_
Odvod: klapka, filtr EU4, ventilátor s ECmotorem_x000D_
Vp = 160 m3/h / Pext = 220 Pa_x000D_
Vo = 160 m3/h / Pext = 220 Pa_x000D_
jednotka vč.: _x000D_
pružných vložek na sání a výtlaku z jednotky, MaR</t>
  </si>
  <si>
    <t>Pol211</t>
  </si>
  <si>
    <t>Kruhové potrubí z pozinkovaného plechu o síle dle norem, včetně tvarovek, regulačních klapek, spojovacího, kotvícího a těsnícího materiálu ( SPIRO ) průměr 200</t>
  </si>
  <si>
    <t>Pol212</t>
  </si>
  <si>
    <t>Kruhové potrubí z pozinkovaného plechu o síle dle norem, včetně tvarovek, regulačních klapek, spojovacího, kotvícího a těsnícího materiálu ( SPIRO ) průměr 160</t>
  </si>
  <si>
    <t>Pol213</t>
  </si>
  <si>
    <t>Kruhové potrubí z pozinkovaného plechu o síle dle norem, včetně tvarovek, regulačních klapek, spojovacího, kotvícího a těsnícího materiálu ( SPIRO ) průměr 125</t>
  </si>
  <si>
    <t>AHU11 - Větrání nebytového prostoru</t>
  </si>
  <si>
    <t>AHU11</t>
  </si>
  <si>
    <t>Vzduchotechnická jednotka DUPLEX 570 EC5.CP</t>
  </si>
  <si>
    <t>Poznámka k položce:_x000D_
Složení: klapka, filtr EU4, rekuperační výměník, elektircký ohřívač, ventilátor s Ecmotorem_x000D_
Odvod: klapka, filtr EU4, ventilátor s ECmotorem_x000D_
Vp = 450m3/h / Pext = 280 Pa_x000D_
Vo = 450m3/h / Pext = 260 Pa_x000D_
jednotka vč.: _x000D_
pružných vložek na sání a výtlaku z jednotky, MaR</t>
  </si>
  <si>
    <t>Pol214</t>
  </si>
  <si>
    <t>Tlumič hluku do potrubí vel. 315x200-1000</t>
  </si>
  <si>
    <t>Pol215</t>
  </si>
  <si>
    <t>Pol216</t>
  </si>
  <si>
    <t>Anemostat pro přívod vzduchu VDW-Q 300x8</t>
  </si>
  <si>
    <t>Pol217</t>
  </si>
  <si>
    <t>Pol218</t>
  </si>
  <si>
    <t>Kruhové potrubí z pozinkovaného plechu o síle dle norem, včetně tvarovek, regulačních klapek, spojovacího, kotvícího a těsnícího materiálu (SPIRO) průměr 250</t>
  </si>
  <si>
    <t>Pol219</t>
  </si>
  <si>
    <t>Ohebné potrubí SONOFLEX D250</t>
  </si>
  <si>
    <t>Pol220</t>
  </si>
  <si>
    <t>Ohebné potrubí SONOFLEX D100</t>
  </si>
  <si>
    <t>AHU12 - Větrání nebytového prostoru</t>
  </si>
  <si>
    <t>AHU12</t>
  </si>
  <si>
    <t>Poznámka k položce:_x000D_
Složení: klapka, filtr EU4, rekuperační výměník, elektircký ohřívač, ventilátor s Ecmotorem_x000D_
Odvod: klapka, filtr EU4, ventilátor s ECmotorem_x000D_
Vp = 250m3/h / Pext = 240 Pa_x000D_
Vo = 250m3/h / Pext = 240 Pa_x000D_
jednotka vč.: _x000D_
pružných vložek na sání a výtlaku z jednotky, MaR</t>
  </si>
  <si>
    <t>Pol221</t>
  </si>
  <si>
    <t>Tlumič hluku do kruhového potrubí MAA160/900</t>
  </si>
  <si>
    <t>AHU13 - Větrání nebytového prostoru</t>
  </si>
  <si>
    <t>AHU13</t>
  </si>
  <si>
    <t>EF5 - Odvětrání sociálního zařízení v 1np</t>
  </si>
  <si>
    <t>EF5</t>
  </si>
  <si>
    <t>Radiální ventilátor do podhledu , V = 80 m3/h, Pext = 100Pa (Silent U 90)</t>
  </si>
  <si>
    <t>Pol222</t>
  </si>
  <si>
    <t>Kruhová střížka D100</t>
  </si>
  <si>
    <t>Pol223</t>
  </si>
  <si>
    <t>Kruhové potrubí z pozinkovaného plechu o síle dle norem, včetně tvarovek, regulačních klapek, spojovacího, kotvícího a těsnícího materiálu (SPIRO) průměr 80</t>
  </si>
  <si>
    <t>Pol224</t>
  </si>
  <si>
    <t>Ohebné potrubí SONOFLEX D80</t>
  </si>
  <si>
    <t>EF6 - Odvětrání sociálního zařízení v 1np</t>
  </si>
  <si>
    <t>EF6</t>
  </si>
  <si>
    <t>EF7 - Odvětrání sociálního zařízení v 1np</t>
  </si>
  <si>
    <t>EF7</t>
  </si>
  <si>
    <t>D11</t>
  </si>
  <si>
    <t xml:space="preserve">Odvod vzduchu od kuchyňských digestoří </t>
  </si>
  <si>
    <t>Pol225</t>
  </si>
  <si>
    <t>Výdechová stříška D160</t>
  </si>
  <si>
    <t>D12</t>
  </si>
  <si>
    <t>OBJEKT B</t>
  </si>
  <si>
    <t>D13</t>
  </si>
  <si>
    <t>EF3 - Podzemní parkoviště v 1pp</t>
  </si>
  <si>
    <t>EF3</t>
  </si>
  <si>
    <t>Ventilátor do hranatého potrubí, V=1500m3/h, Pext=260Pa, (MUB 025 355EC Multibox) vč. Pružných vložek pro připojení na potrubí</t>
  </si>
  <si>
    <t>Pol226</t>
  </si>
  <si>
    <t>Tlumič hluku do hranatého potrubí vel.500x300x500</t>
  </si>
  <si>
    <t>Pol227</t>
  </si>
  <si>
    <t>Tlumič hluku do hranatého potrubí vel.500x300x1000</t>
  </si>
  <si>
    <t>Pol228</t>
  </si>
  <si>
    <t>Přívodní vyúst do potrubí s regulací R1, vel. 355x1000</t>
  </si>
  <si>
    <t>Pol229</t>
  </si>
  <si>
    <t>Výfukový díl hranatý 800x355</t>
  </si>
  <si>
    <t>Pol230</t>
  </si>
  <si>
    <t>Výfukový díl hranatý 800x200</t>
  </si>
  <si>
    <t>Pol231</t>
  </si>
  <si>
    <t>Hranaté potrubí z pozinkovaného plechu o síle dle norem, včetně tvarovek, regulačních klapek, spojovacího, kotvícího a těsnícího materiálu, do obvodu 1300 / 20% tvarovek</t>
  </si>
  <si>
    <t>Pol232</t>
  </si>
  <si>
    <t>Hranaté potrubí z pozinkovaného plechu o síle dle norem, včetně tvarovek, regulačních klapek, spojovacího, kotvícího a těsnícího materiálu, do obvodu 2400 / 20% tvarovek</t>
  </si>
  <si>
    <t>D14</t>
  </si>
  <si>
    <t>AHU3.1 - Větrání bytů</t>
  </si>
  <si>
    <t>AHU3.1</t>
  </si>
  <si>
    <t>Poznámka k položce:_x000D_
Složení: klapka, filtr EU7, rekuperační výměník, elektircký ohřívač, ventilátor s Ecmotorem_x000D_
Odvod: klapka, filtr EU4, ventilátor s ECmotorem_x000D_
Vp = 160  m3/h / Pext = 95 Pa_x000D_
Vo = 160  m3/h / Pext = 140 Pa_x000D_
jednotka vč.: _x000D_
pružných vložek na sání a výtlaku z jednotky, MaR</t>
  </si>
  <si>
    <t>Pol233</t>
  </si>
  <si>
    <t>Pol234</t>
  </si>
  <si>
    <t>D15</t>
  </si>
  <si>
    <t>AHU3.2 - Větrání bytů</t>
  </si>
  <si>
    <t>D16</t>
  </si>
  <si>
    <t>AHU3.3 - Větrání bytů</t>
  </si>
  <si>
    <t>Poznámka k položce:_x000D_
Složení: klapka, filtr EU7, rekuperační výměník, elektircký ohřívač, ventilátor s Ecmotorem_x000D_
Odvod: klapka, filtr EU4, ventilátor s ECmotorem_x000D_
Vp = 200 m3/h / Pext = 220 Pa_x000D_
Vo = 200 m3/h / Pext = 220 Pa_x000D_
jednotka vč.: _x000D_
pružných vložek na sání a výtlaku z jednotky, MaR</t>
  </si>
  <si>
    <t>Pol235</t>
  </si>
  <si>
    <t>Odsávací digestoř s vestavěným ventilátorem a zpětnou klapkou - max 250m3/h - dodávka majitele bytu</t>
  </si>
  <si>
    <t>D17</t>
  </si>
  <si>
    <t>OBJEKT C</t>
  </si>
  <si>
    <t>D18</t>
  </si>
  <si>
    <t>EF4 - Podzemní parkoviště v 1pp</t>
  </si>
  <si>
    <t>EF3.1</t>
  </si>
  <si>
    <t>Ventilátor do hranatého potrubí, V=2000m3/h, Pext=260Pa, (MUB 025 355EC Multibox) vč. Pružných vložek pro připojení na potrubí</t>
  </si>
  <si>
    <t>Pol236</t>
  </si>
  <si>
    <t>Tlumič hluku do hranatého potrubí vel.600x300x500</t>
  </si>
  <si>
    <t>Pol237</t>
  </si>
  <si>
    <t>Tlumič hluku do hranatého potrubí vel.600x300x1000</t>
  </si>
  <si>
    <t>Pol238</t>
  </si>
  <si>
    <t>Výfukový díl hranatý 400x500</t>
  </si>
  <si>
    <t>Pol239</t>
  </si>
  <si>
    <t>Hranaté potrubí z pozinkovaného plechu o síle dle norem, včetně tvarovek, regulačních klapek, spojovacího, kotvícího a těsnícího materiálu, do obvodu 1500 / 20% tvarovek</t>
  </si>
  <si>
    <t>Pol240</t>
  </si>
  <si>
    <t>Hranaté potrubí z pozinkovaného plechu o síle dle norem, včetně tvarovek, regulačních klapek, spojovacího, kotvícího a těsnícího materiálu, do obvodu 1800 / 20% tvarovek</t>
  </si>
  <si>
    <t>D19</t>
  </si>
  <si>
    <t>AHU4.1 - Větrání bytů</t>
  </si>
  <si>
    <t>AHU4.1</t>
  </si>
  <si>
    <t>D20</t>
  </si>
  <si>
    <t>AHU4.2 - Větrání bytů</t>
  </si>
  <si>
    <t>Pol241</t>
  </si>
  <si>
    <t>Výdechová stříška D200</t>
  </si>
  <si>
    <t>Pol242</t>
  </si>
  <si>
    <t>D21</t>
  </si>
  <si>
    <t>OBJEKT D</t>
  </si>
  <si>
    <t>D22</t>
  </si>
  <si>
    <t>AHU6 - Větrání sklepů</t>
  </si>
  <si>
    <t>AHU6</t>
  </si>
  <si>
    <t>Pol243</t>
  </si>
  <si>
    <t>Pol244</t>
  </si>
  <si>
    <t>PK02.2</t>
  </si>
  <si>
    <t>PK02.3</t>
  </si>
  <si>
    <t>PK02.4</t>
  </si>
  <si>
    <t>PK02.5</t>
  </si>
  <si>
    <t>D23</t>
  </si>
  <si>
    <t>EF1 - Odvětrání kotelny v 1pp</t>
  </si>
  <si>
    <t>EF1</t>
  </si>
  <si>
    <t>Ventilátor do kruhového potrubí , V = 300 m3/h, Pext = 110Pa (RM 160N) Včetně pružného připojení na potrubí</t>
  </si>
  <si>
    <t>Pol245</t>
  </si>
  <si>
    <t>Krycí mřížka na kruhové potrubí D160</t>
  </si>
  <si>
    <t>Pol246</t>
  </si>
  <si>
    <t>Sací kus se sítem vel. D125</t>
  </si>
  <si>
    <t>Pol247</t>
  </si>
  <si>
    <t>Zpětná klapka D125</t>
  </si>
  <si>
    <t>Pol248</t>
  </si>
  <si>
    <t>Tlumič hluku do kruhového potrubí MAA125/600</t>
  </si>
  <si>
    <t>D24</t>
  </si>
  <si>
    <t>AHU5.1 - Větrání bytů</t>
  </si>
  <si>
    <t>AHU5.1</t>
  </si>
  <si>
    <t>D25</t>
  </si>
  <si>
    <t>AHU5.2 - Větrání bytů</t>
  </si>
  <si>
    <t>D26</t>
  </si>
  <si>
    <t>SPOLEČNÉ</t>
  </si>
  <si>
    <t>D27</t>
  </si>
  <si>
    <t>Pol249</t>
  </si>
  <si>
    <t>Uvedení zařízení do provozu, seřízení a zaregulování všech systémů a zařízení, provedení předepsaných zkoušek</t>
  </si>
  <si>
    <t>Pol371</t>
  </si>
  <si>
    <t>Požární ucpávky prostupů ve smyslu projektu PBŘ</t>
  </si>
  <si>
    <t>Pol372</t>
  </si>
  <si>
    <t>Materiál na závěsy</t>
  </si>
  <si>
    <t>D1.520 - Rozvody chladu</t>
  </si>
  <si>
    <t xml:space="preserve">    1. - Venkovní jednotky chlazení, příslušenství - DAIKIN</t>
  </si>
  <si>
    <t xml:space="preserve">    2. - Vnitřní jednotky chlazení, příslušenství - DAIKIN</t>
  </si>
  <si>
    <t xml:space="preserve">    D2 - Potrubí pro chladivo včetně izolaci tepelná vodivost max 0,038W/mK R410A</t>
  </si>
  <si>
    <t xml:space="preserve">    3. - Pomocný a montážní materiál</t>
  </si>
  <si>
    <t xml:space="preserve">    4. - Práce nutné pro kompletaci díla </t>
  </si>
  <si>
    <t>D3 - OBJEKT B</t>
  </si>
  <si>
    <t>D4 - OBJEKT C</t>
  </si>
  <si>
    <t>D5 - OBJEKT D</t>
  </si>
  <si>
    <t>1.</t>
  </si>
  <si>
    <t>Venkovní jednotky chlazení, příslušenství - DAIKIN</t>
  </si>
  <si>
    <t>1.1</t>
  </si>
  <si>
    <t>Dodávka - Venkovní kondenzační jednotka DAIKIN RXYQ16U; chladící/topný výkon 38,3/36,6 kW</t>
  </si>
  <si>
    <t>1.1.1</t>
  </si>
  <si>
    <t>Montáž poz.1.1</t>
  </si>
  <si>
    <t>2.</t>
  </si>
  <si>
    <t>Vnitřní jednotky chlazení, příslušenství - DAIKIN</t>
  </si>
  <si>
    <t>2.1</t>
  </si>
  <si>
    <t>Dodávka - Nástěnná jednotka DAIKIN PERFERA, Qchl=2,5kW, Qtop=2,8kW,  Daikin FTXM25R</t>
  </si>
  <si>
    <t>2.1.1</t>
  </si>
  <si>
    <t>Montáž poz.2.1</t>
  </si>
  <si>
    <t>2.2</t>
  </si>
  <si>
    <t>Dodávka - Nástěnná jednotka DAIKIN PERFERA, Qchl=2,0kW, Qtop=2,5kW,  Daikin FTXM20R</t>
  </si>
  <si>
    <t>2.2.1</t>
  </si>
  <si>
    <t>Montáž poz.2.2</t>
  </si>
  <si>
    <t>2.3</t>
  </si>
  <si>
    <t>Dodávka - VRV Nástěnná jednotka DAIKIN, Qchl=3,6kW, Qtop=4,0kW,  Daikin FXAQ32A</t>
  </si>
  <si>
    <t>2.3.1</t>
  </si>
  <si>
    <t>Montáž poz.2.3</t>
  </si>
  <si>
    <t>2.4</t>
  </si>
  <si>
    <t>Dodávka - VRV Nástěnná jednotka DAIKIN, Qchl=7,1kW, Qtop=8,0kW,  Daikin FXAQ63A</t>
  </si>
  <si>
    <t>2.4.1</t>
  </si>
  <si>
    <t>Montáž poz.2.4</t>
  </si>
  <si>
    <t>2.5</t>
  </si>
  <si>
    <t>Dodávka - Nástěnný ovladač pro vnitřní jednotky, včetně kabeláže - koordinováno s profesí MaR Daikin BRC1H52W</t>
  </si>
  <si>
    <t>2.5.1</t>
  </si>
  <si>
    <t>Montáž poz.2.5</t>
  </si>
  <si>
    <t>2.6</t>
  </si>
  <si>
    <t>Dodávka - Třiportový BS box pro VRV IV DAIKIN BPMKS967A3</t>
  </si>
  <si>
    <t>2.6.1</t>
  </si>
  <si>
    <t>Montáž poz.2.6</t>
  </si>
  <si>
    <t>2.7</t>
  </si>
  <si>
    <t>Dodávka - Dvouportový BS box pro VRV IV DAIKIN BPMKS967A2</t>
  </si>
  <si>
    <t>2.7.1</t>
  </si>
  <si>
    <t>Montáž poz.2.7</t>
  </si>
  <si>
    <t>2.8</t>
  </si>
  <si>
    <t>Dodávka - Rozbočovač potrubí - refnet DAIKIN KHRQ22M20T</t>
  </si>
  <si>
    <t>2.8.1</t>
  </si>
  <si>
    <t>Montáž poz.2.8</t>
  </si>
  <si>
    <t>2.9</t>
  </si>
  <si>
    <t>Dodávka - Rozbočovač potrubí - refnet DAIKIN KHRQ22M64T</t>
  </si>
  <si>
    <t>2.9.1</t>
  </si>
  <si>
    <t>Montáž poz.2.9</t>
  </si>
  <si>
    <t>3.0</t>
  </si>
  <si>
    <t>Dodávka - Rozbočovač potrubí - refnet DAIKIN KHRQ22M29T9</t>
  </si>
  <si>
    <t>3.0.1</t>
  </si>
  <si>
    <t>Montáž poz.3.0</t>
  </si>
  <si>
    <t>Potrubí pro chladivo včetně izolaci tepelná vodivost max 0,038W/mK R410A</t>
  </si>
  <si>
    <t>Dodávka - Cu potrubí Ø6,4mm</t>
  </si>
  <si>
    <t>2.1.1.1</t>
  </si>
  <si>
    <t>Dodávka - Cu potrubí Ø9,5mm</t>
  </si>
  <si>
    <t>2.2.1.1</t>
  </si>
  <si>
    <t>Dodávka - Cu potrubí Ø12,7mm</t>
  </si>
  <si>
    <t>2.3.1.1</t>
  </si>
  <si>
    <t>Dodávka - Cu potrubí Ø15,88mm</t>
  </si>
  <si>
    <t>2.4.1.1</t>
  </si>
  <si>
    <t>Dodávka - Cu potrubí Ø19,1mm</t>
  </si>
  <si>
    <t>2.5.1.1</t>
  </si>
  <si>
    <t>Dodávka - Cu potrubí Ø22,2mm</t>
  </si>
  <si>
    <t>2.6.1.1</t>
  </si>
  <si>
    <t>Dodávka - Cu potrubí Ø25,4mm</t>
  </si>
  <si>
    <t>2.7.1.1</t>
  </si>
  <si>
    <t>Dodávka - Cu potrubí Ø28,6mm</t>
  </si>
  <si>
    <t>2.8.1.1</t>
  </si>
  <si>
    <t>3.</t>
  </si>
  <si>
    <t>Pomocný a montážní materiál</t>
  </si>
  <si>
    <t>3.1</t>
  </si>
  <si>
    <t>Montážní materiál na zhotovení závěsů, spojovací a těsnící materiál, podkladová rýhovaná guma pod jednotky a na závěsy vč. značení a popisků.</t>
  </si>
  <si>
    <t>3.1.1</t>
  </si>
  <si>
    <t>Montáž poz.3.1</t>
  </si>
  <si>
    <t>3.2</t>
  </si>
  <si>
    <t>Chladivo R410a (přesné množství upřesněno v průběhu realizace)</t>
  </si>
  <si>
    <t>3.2.1</t>
  </si>
  <si>
    <t>Montáž poz.3.2</t>
  </si>
  <si>
    <t>4.</t>
  </si>
  <si>
    <t xml:space="preserve">Práce nutné pro kompletaci díla </t>
  </si>
  <si>
    <t>4.1</t>
  </si>
  <si>
    <t>Dodávka, individuální zkoušky, školení obsluhy, komplexní zkoušky, uvedení do provozu ( oživení zařízení)</t>
  </si>
  <si>
    <t>4.2</t>
  </si>
  <si>
    <t>Prostupy a drážky ve zdivu + jejich opětovné zapravení, do DN100</t>
  </si>
  <si>
    <t>4.3</t>
  </si>
  <si>
    <t>Likvidace odpadového materiálu</t>
  </si>
  <si>
    <t>4.6</t>
  </si>
  <si>
    <t>Požární ucpávky</t>
  </si>
  <si>
    <t>Dodávka - Venkovní kondenzační jednotka DAIKIN RXYQ20U; chladící/topný výkon 52,0/45,3 kW</t>
  </si>
  <si>
    <t>2.3.2</t>
  </si>
  <si>
    <t>2.4.2</t>
  </si>
  <si>
    <t>2.5.2</t>
  </si>
  <si>
    <t>2.6.2</t>
  </si>
  <si>
    <t>2.7.2</t>
  </si>
  <si>
    <t>4.4</t>
  </si>
  <si>
    <t>Lešení případně plošiny pro montáž potrubí ve výškách</t>
  </si>
  <si>
    <t>4.5</t>
  </si>
  <si>
    <t>Dodávka - Cu potrubí Ø31,8mm</t>
  </si>
  <si>
    <t>D1.530 - ÚT - Rozvody tepla</t>
  </si>
  <si>
    <t>D530 - DODÁVKY A MONTÁŽE ZAŘÍZENÍ ÚT</t>
  </si>
  <si>
    <t xml:space="preserve">    D1 - 1.  Zdroj tepla (ZT)</t>
  </si>
  <si>
    <t xml:space="preserve">    D2 - Příslušenství: </t>
  </si>
  <si>
    <t xml:space="preserve">    D3 - 2.  Strojní zařízení</t>
  </si>
  <si>
    <t xml:space="preserve">    D4 - 3.  Oběhová čerpadla samoregulační, nátrubková, mokroběžná</t>
  </si>
  <si>
    <t xml:space="preserve">    D5 - 4.  El. regul. armatury</t>
  </si>
  <si>
    <t xml:space="preserve">    D6 - 5.  Armatury závitové - kotelna</t>
  </si>
  <si>
    <t xml:space="preserve">    D7 - 6.  Armatury závitové - patrní rozvody</t>
  </si>
  <si>
    <t>D8 - 7. Patrové rozdělovače / Sestava MEIBES LOGOfloor - typ 2</t>
  </si>
  <si>
    <t xml:space="preserve">    D9 - Patrový rozdělovač - připojení na levé straně R+S </t>
  </si>
  <si>
    <t xml:space="preserve">    D10 - Patrový rozdělovač - připojení na pravé straně R+S</t>
  </si>
  <si>
    <t>D110 - ARMATURY A OTOPNÁ TĚLESA</t>
  </si>
  <si>
    <t xml:space="preserve">    D11 - Armatury závitové na vstupu a výstupu patrového rozdělovače:</t>
  </si>
  <si>
    <t xml:space="preserve">    D12 - 8.  Armatury měřicí</t>
  </si>
  <si>
    <t xml:space="preserve">    D13 - 9.  Otopná tělesa ocelová desková - RADIK KLASIK, vč. připevňovacích prvků</t>
  </si>
  <si>
    <t xml:space="preserve">    D14 - 10.  Otopná tělesa ocelová desková - RADIK VENTIL KOMPAKT (pravé spodní připojení), vč. připevňovací</t>
  </si>
  <si>
    <t xml:space="preserve">    D15 - 11.  Podlahový konvektor - KORADO KORAFLEX Basic FKB provedení Economic, vč. krycí mřížky</t>
  </si>
  <si>
    <t xml:space="preserve">    D16 - 12.  Otopná tělesa trubková KORALUX LINEAR CLASSIC - M,  vč. připevňovacích prvků</t>
  </si>
  <si>
    <t xml:space="preserve">    D17 - 13.  Regulační armatury OT (včetně svěrného šroubení na plast. trubku 16x2 mm)</t>
  </si>
  <si>
    <t xml:space="preserve">    D18 - Armatury pro připojení podlahových konvektorů (PK):</t>
  </si>
  <si>
    <t xml:space="preserve">    D19 - Termostatická hlavice Heimeier F s dálkovým ovládáním  (HDO) - včetně kapiláry a chráničky (husího k</t>
  </si>
  <si>
    <t>D200 - POTRUBÍ, IZOLACE, NÁTĚRY, OSTATNÍ</t>
  </si>
  <si>
    <t xml:space="preserve">    D20 - 14.  Potrubí ÚT - ocelové trubky závitové, běžné, bezešvé, jakost 11353.0</t>
  </si>
  <si>
    <t xml:space="preserve">    D21 - 15.  Plastové potrubí typu AlPex (Henco)</t>
  </si>
  <si>
    <t xml:space="preserve">    D22 - 16.  Potrubí SV z plastových trubek (PPR) - EKOPLASTIK PN 16, PN 20</t>
  </si>
  <si>
    <t xml:space="preserve">    D23 - 17.  Tepelná izolace potrubí ÚT - hadicová Tubolit DG (tloušťky dle vyhl. č. 193/2007 Sb. MPO)</t>
  </si>
  <si>
    <t xml:space="preserve">    D24 - 18.  Tepelná izolace potrubí ÚT z minerální vaty Al. folií</t>
  </si>
  <si>
    <t xml:space="preserve">    D25 - 19. Nátěry</t>
  </si>
  <si>
    <t xml:space="preserve">    D26 - 20. Doplňkový materiál</t>
  </si>
  <si>
    <t xml:space="preserve">    D27 - 21. Značení potrubí + zřízení ÚT</t>
  </si>
  <si>
    <t>D530</t>
  </si>
  <si>
    <t>DODÁVKY A MONTÁŽE ZAŘÍZENÍ ÚT</t>
  </si>
  <si>
    <t>1.  Zdroj tepla (ZT)</t>
  </si>
  <si>
    <t>Pol250</t>
  </si>
  <si>
    <t>VIESSMANN VITODENS 200-W, P=12-98 kW (80/60°C), verze se 2 kotly</t>
  </si>
  <si>
    <t>Poznámka k položce:_x000D_
Plynový závěsný kondenzační kotel VITODENS 200-W, P=10,9-45 kW (80/60°C), PN 4 bary, 1,2-4,8 m3 ZP/h, 230 V, 62 W_x000D_
Vitotronic 100 HC1B obslužná jednotka_x000D_
Vitotronic 300-K MW2B_x000D_
Kaskádovy modul_x000D_
Připojovací sada topného okruhu vč. oběhového čerpadla 230 V, 8-140 W; bočného krytu pro připojovací sadu_x000D_
Plynový uzavírací kohout 3/4 s TAE_x000D_
Držák na stěnu 2-kotl. zař.; stěn. konzole pro Vitotronic</t>
  </si>
  <si>
    <t xml:space="preserve">Příslušenství: </t>
  </si>
  <si>
    <t>Pol251</t>
  </si>
  <si>
    <t>Hydraulická výhybka DN 80, PN 6, dod. Viessmann</t>
  </si>
  <si>
    <t>Pol252</t>
  </si>
  <si>
    <t>Plynový filtr Rp 3/4</t>
  </si>
  <si>
    <t>Pol253</t>
  </si>
  <si>
    <t>Rozšíření pro 2.+3. TO MW2B</t>
  </si>
  <si>
    <t>Pol254</t>
  </si>
  <si>
    <t>Čidlo výstupní teploty NTC Nr.2 l=5800</t>
  </si>
  <si>
    <t>Pol255</t>
  </si>
  <si>
    <t>Vitodens 200-W spal. kaskáda 2x49/60 kW</t>
  </si>
  <si>
    <t>Pol256</t>
  </si>
  <si>
    <t>Pojistná skupina podle ČSN 73 66 60</t>
  </si>
  <si>
    <t>Pol257</t>
  </si>
  <si>
    <t>Vitotronic 200-H, HK1B</t>
  </si>
  <si>
    <t>Pol258</t>
  </si>
  <si>
    <t>2x komunikační modul LON, vč. spoj. kabel, zakončovací odpor (2ks), konektor č. "20" a "52" (3ks)</t>
  </si>
  <si>
    <t>Poznámka k položce:_x000D_
Poznámka: Viz nabídka firmy Viessmann č. 9720116052 z 8.10.2021</t>
  </si>
  <si>
    <t>Pol259</t>
  </si>
  <si>
    <t>Odkouření kotle a přívod spalovacího vzduchu ke kotli - plastový spalinový systém :</t>
  </si>
  <si>
    <t>Poznámka k položce:_x000D_
Společný koax. kouřovod  Ø225/160 mm veden svisle v instal. šachtě (výška cca 17 m)_x000D_
2x přípojky od kotlů Ø125/80 mm (délka cca 0,75 m)_x000D_
Kouřovody vedeny ve spádu, zakončení střešní hlavicí, vč. kontrolních otvorů (kolena, T- kusy), zpětných klapek_x000D_
Poznámka: Odkouření kotlů a sání spalovacího vzduchu bude komplexní dodávkou specializované firmy. Konečné provedení odkouření bude specifikováno na základě zaměření na místě  a konzultace s projektantem ÚT a bude předmětem cenové nabídky spec. firmy.</t>
  </si>
  <si>
    <t>2.  Strojní zařízení</t>
  </si>
  <si>
    <t>Pol260</t>
  </si>
  <si>
    <t>Doplňovací a oddělovací souprava REFLEX Fillcontrol Plus Compact, zásuvka 230 V, 10 A</t>
  </si>
  <si>
    <t>Pol261</t>
  </si>
  <si>
    <t>Rozdělovač a sběrač topné vody, DN 80, PN 6, vč. tepelné izolace 80 mm + Al plech 0,8 mm</t>
  </si>
  <si>
    <t>Pol262</t>
  </si>
  <si>
    <t>Zásobníkový ohřívač TUV VIESSMANN VITOCELL 100-V CVA 750 l, topná vložka 3,7 m2, PN 10</t>
  </si>
  <si>
    <t>Pol263</t>
  </si>
  <si>
    <t>Membránová expanzní nádoba NG 140/6, 140 l, PN 6 bar, vč. servisního kohoutu</t>
  </si>
  <si>
    <t>Pol264</t>
  </si>
  <si>
    <t>Změkčovací filtr, bez regenerace, výměnné náplně</t>
  </si>
  <si>
    <t>3.  Oběhová čerpadla samoregulační, nátrubková, mokroběžná</t>
  </si>
  <si>
    <t>Pol265</t>
  </si>
  <si>
    <t>Oběhové čerpadlo GRUNDFOS MAGNA1 25-80, 230 V, 128 W, 1,03 A, 3 m3/h, 62 kPa</t>
  </si>
  <si>
    <t>Pol266</t>
  </si>
  <si>
    <t>Oběhové čerpadlo GRUNDFOS ALPHA2 25-80, 230 V, 50 W, 0,44 A, 2 m3/h, 45 kPa</t>
  </si>
  <si>
    <t>4.  El. regul. armatury</t>
  </si>
  <si>
    <t>Pol267</t>
  </si>
  <si>
    <t>3- cestný el. regulační ventil, DN 25, kv=10, PN 16, vč. el. servopohonu 230 V, 3- bodové ovládání</t>
  </si>
  <si>
    <t>5.  Armatury závitové - kotelna</t>
  </si>
  <si>
    <t>Pol268</t>
  </si>
  <si>
    <t>Pojistný ventil DUCO, DN 15 (1/2" x 3/4"), Pot=400 kPa</t>
  </si>
  <si>
    <t>Pol269</t>
  </si>
  <si>
    <t>Kulový kohout DN 20, PN 25</t>
  </si>
  <si>
    <t>Pol270</t>
  </si>
  <si>
    <t>Kulový kohout DN 25, PN 25</t>
  </si>
  <si>
    <t>Pol271</t>
  </si>
  <si>
    <t>Kulový kohout DN 32, PN 25</t>
  </si>
  <si>
    <t>Pol272</t>
  </si>
  <si>
    <t>Kulový kohout DN 40, PN 25</t>
  </si>
  <si>
    <t>Pol273</t>
  </si>
  <si>
    <t>Vyvažovací ventil TA Stad, závitový, DN 25, PN 20, vč. tlak. odběrů a vypouštení</t>
  </si>
  <si>
    <t>Pol274</t>
  </si>
  <si>
    <t>Vyvažovací ventil TA Stad, závitový, DN 40, PN 20, vč. tlak. odběrů a vypouštení</t>
  </si>
  <si>
    <t>Pol275</t>
  </si>
  <si>
    <t>Zpětný ventil závitový Giacomini R60, DN 32, PN 10</t>
  </si>
  <si>
    <t>Pol276</t>
  </si>
  <si>
    <t>Filtr závitový DN 32, PN 6</t>
  </si>
  <si>
    <t>Pol277</t>
  </si>
  <si>
    <t>Filtr závitový DN 40, PN 6</t>
  </si>
  <si>
    <t>Pol278</t>
  </si>
  <si>
    <t>Šroubení radiátorové standardní, DN 40, přímé</t>
  </si>
  <si>
    <t>Pol279</t>
  </si>
  <si>
    <t>Vypouštěcí kulový kohout DN 15</t>
  </si>
  <si>
    <t>Pol280</t>
  </si>
  <si>
    <t>Automatický odvzdušňovací ventil Flamco</t>
  </si>
  <si>
    <t>6.  Armatury závitové - patrní rozvody</t>
  </si>
  <si>
    <t>7. Patrové rozdělovače / Sestava MEIBES LOGOfloor - typ 2</t>
  </si>
  <si>
    <t xml:space="preserve">Patrový rozdělovač - připojení na levé straně R+S </t>
  </si>
  <si>
    <t>Pol281</t>
  </si>
  <si>
    <t>2 bytové okruhy</t>
  </si>
  <si>
    <t>Poznámka k položce:_x000D_
Rozdělovač s izolací, odvzdušnění, vypouštění, montážní konzole, kulové kohouty DN15 s jímkou pro napojení čidla měřiče tepla _x000D_
Sběrač s izolací, odvzdušnění, vypouštění, montážní konzole, mezikus pro měřič tepla, regulační zónový ventil, kulový kohout DN15</t>
  </si>
  <si>
    <t>Pol282</t>
  </si>
  <si>
    <t>3 bytové okruhy</t>
  </si>
  <si>
    <t>Pol283</t>
  </si>
  <si>
    <t>4 bytové okruhy</t>
  </si>
  <si>
    <t>Patrový rozdělovač - připojení na pravé straně R+S</t>
  </si>
  <si>
    <t>Pol284</t>
  </si>
  <si>
    <t>Ultrazvukový měřič, elektrotermický pohon, prostorový termostat</t>
  </si>
  <si>
    <t>Poznámka k položce:_x000D_
Ultrazvukový měřič tepla Multical 302 0,6 m3/h, vč. M-bus modul _x000D_
Elektrotermický pohon ON/OFF, bez proudu vypnuto 230 V_x000D_
Prostorový termostat Meibes TAMP s týdenním programem, připojení řeší EL</t>
  </si>
  <si>
    <t>D110</t>
  </si>
  <si>
    <t>ARMATURY A OTOPNÁ TĚLESA</t>
  </si>
  <si>
    <t>Armatury závitové na vstupu a výstupu patrového rozdělovače:</t>
  </si>
  <si>
    <t>Pol285</t>
  </si>
  <si>
    <t>Filtr závitový DN 20, PN 6</t>
  </si>
  <si>
    <t>Pol286</t>
  </si>
  <si>
    <t>Regulačně uzavírací ventil TA Stad, závitový, DN 15, PN 20</t>
  </si>
  <si>
    <t>8.  Armatury měřicí</t>
  </si>
  <si>
    <t>Pol287</t>
  </si>
  <si>
    <t>Tlakoměr typ 312, ∅100 mm, 0-400 kPa, vč. kulového kohoutu DN 15</t>
  </si>
  <si>
    <t>Pol288</t>
  </si>
  <si>
    <t>Teploměr kruhový přímý, ∅63 mm, 0-120°C, stonek 100 mm, vč, jímky</t>
  </si>
  <si>
    <t>9.  Otopná tělesa ocelová desková - RADIK KLASIK, vč. připevňovacích prvků</t>
  </si>
  <si>
    <t>Pol289</t>
  </si>
  <si>
    <t>33-090060-50-</t>
  </si>
  <si>
    <t>Pol290</t>
  </si>
  <si>
    <t>33-090070-50-</t>
  </si>
  <si>
    <t>10.  Otopná tělesa ocelová desková - RADIK VENTIL KOMPAKT (pravé spodní připojení), vč. připevňovací</t>
  </si>
  <si>
    <t>Pol291</t>
  </si>
  <si>
    <t>11-060040-60-</t>
  </si>
  <si>
    <t>Pol292</t>
  </si>
  <si>
    <t>11-060050-60-</t>
  </si>
  <si>
    <t>Pol293</t>
  </si>
  <si>
    <t>11-060060-60-</t>
  </si>
  <si>
    <t>Pol294</t>
  </si>
  <si>
    <t>11-060070-60-</t>
  </si>
  <si>
    <t>Pol295</t>
  </si>
  <si>
    <t>11-060080-60-</t>
  </si>
  <si>
    <t>Pol296</t>
  </si>
  <si>
    <t>11-060100-60-</t>
  </si>
  <si>
    <t>Pol297</t>
  </si>
  <si>
    <t>11-090040-60-</t>
  </si>
  <si>
    <t>Pol298</t>
  </si>
  <si>
    <t>11-090050-60-</t>
  </si>
  <si>
    <t>Pol299</t>
  </si>
  <si>
    <t>11-090060-60-</t>
  </si>
  <si>
    <t>Pol300</t>
  </si>
  <si>
    <t>11-090080-60-</t>
  </si>
  <si>
    <t>Pol301</t>
  </si>
  <si>
    <t>21-090050-60-</t>
  </si>
  <si>
    <t>Pol302</t>
  </si>
  <si>
    <t>21-090060-60-</t>
  </si>
  <si>
    <t>Pol303</t>
  </si>
  <si>
    <t>21-090080-60-</t>
  </si>
  <si>
    <t>Pol304</t>
  </si>
  <si>
    <t>22-060070-60-</t>
  </si>
  <si>
    <t>Pol305</t>
  </si>
  <si>
    <t>22-060080-60-</t>
  </si>
  <si>
    <t>11.  Podlahový konvektor - KORADO KORAFLEX Basic FKB provedení Economic, vč. krycí mřížky</t>
  </si>
  <si>
    <t>Pol306</t>
  </si>
  <si>
    <t>180-09-26 (délka - hloubka - šířka [cm])</t>
  </si>
  <si>
    <t>Pol307</t>
  </si>
  <si>
    <t>190-09-26</t>
  </si>
  <si>
    <t>Pol308</t>
  </si>
  <si>
    <t>200-09-26</t>
  </si>
  <si>
    <t>Pol309</t>
  </si>
  <si>
    <t>210-09-26</t>
  </si>
  <si>
    <t>Pol310</t>
  </si>
  <si>
    <t>230-09-26</t>
  </si>
  <si>
    <t>Pol311</t>
  </si>
  <si>
    <t>240-09-26</t>
  </si>
  <si>
    <t>Pol312</t>
  </si>
  <si>
    <t>300-09-26</t>
  </si>
  <si>
    <t>Poznámka k položce:_x000D_
Poznámka: materiál krycí mřížky bude stanoven dle požadavků architekta, pro účely rozpočtu naceněn materiál hliník elox stříbrný</t>
  </si>
  <si>
    <t>12.  Otopná tělesa trubková KORALUX LINEAR CLASSIC - M,  vč. připevňovacích prvků</t>
  </si>
  <si>
    <t>Pol313</t>
  </si>
  <si>
    <t>KLCM1500.450</t>
  </si>
  <si>
    <t>Pol314</t>
  </si>
  <si>
    <t>KLCM1500.600</t>
  </si>
  <si>
    <t>13.  Regulační armatury OT (včetně svěrného šroubení na plast. trubku 16x2 mm)</t>
  </si>
  <si>
    <t>Pol315</t>
  </si>
  <si>
    <t>Regulační ventil HEIMEIER V-exakt II, rohový, DN 15</t>
  </si>
  <si>
    <t>Pol316</t>
  </si>
  <si>
    <t>Regulační ventil HEIMEIER Multilux, rohový</t>
  </si>
  <si>
    <t>Pol317</t>
  </si>
  <si>
    <t>Uzavírací šroubení HEIMEIER Vekolux, rohové (připojení OT VK)</t>
  </si>
  <si>
    <t>Pol318</t>
  </si>
  <si>
    <t>Regulačně uzavírací šroubení HEIMEIER Regulux , DN 15</t>
  </si>
  <si>
    <t>Pol319</t>
  </si>
  <si>
    <t>Termostatická hlavice HEIMEIER K</t>
  </si>
  <si>
    <t>Pol320</t>
  </si>
  <si>
    <t>Termostatická hlavice HEIMEIER K, provedení pro veřejné prostory - proti zcizení</t>
  </si>
  <si>
    <t>Pol321</t>
  </si>
  <si>
    <t>Elektrické topné těleso, výkon 400 W</t>
  </si>
  <si>
    <t>Pol322</t>
  </si>
  <si>
    <t>Elektrické topné těleso, výkon 500 W</t>
  </si>
  <si>
    <t>Pol323</t>
  </si>
  <si>
    <t>Prostorový termostat ovládaní el. patrony žebříku s časovým programem, kabel. připojení řeší EL</t>
  </si>
  <si>
    <t>Armatury pro připojení podlahových konvektorů (PK):</t>
  </si>
  <si>
    <t>Pol324</t>
  </si>
  <si>
    <t>Regulační ventil HEIMEIER V-exakt II, DN 15, přímý, připojení na plastové potrubí 16x2mm, vč. svěrného šroubení</t>
  </si>
  <si>
    <t>Pol325</t>
  </si>
  <si>
    <t>Regulačně uzavírací šroubení HEIMEIER Regulux , DN 15, přimé, připojení na plastové potrubí 16x2mm, vč. svěrného šroubení</t>
  </si>
  <si>
    <t>Pol326</t>
  </si>
  <si>
    <t>Pancéřová hadice DN 15, l= cca 200 mm, příslušenství PK</t>
  </si>
  <si>
    <t>Termostatická hlavice Heimeier F s dálkovým ovládáním  (HDO) - včetně kapiláry a chráničky (husího k</t>
  </si>
  <si>
    <t>Pol327</t>
  </si>
  <si>
    <t>Délka kapiláry 2m</t>
  </si>
  <si>
    <t>Pol328</t>
  </si>
  <si>
    <t>Délka kapiláry 5m</t>
  </si>
  <si>
    <t>Pol329</t>
  </si>
  <si>
    <t>Délka kapiláry 10m</t>
  </si>
  <si>
    <t>D200</t>
  </si>
  <si>
    <t>POTRUBÍ, IZOLACE, NÁTĚRY, OSTATNÍ</t>
  </si>
  <si>
    <t>14.  Potrubí ÚT - ocelové trubky závitové, běžné, bezešvé, jakost 11353.0</t>
  </si>
  <si>
    <t>Pol330</t>
  </si>
  <si>
    <t>DN 15 – Ø 1/2“</t>
  </si>
  <si>
    <t>Pol331</t>
  </si>
  <si>
    <t>DN 20 – Ø 3/4“</t>
  </si>
  <si>
    <t>Pol332</t>
  </si>
  <si>
    <t>DN 25 – Ø 1“</t>
  </si>
  <si>
    <t>Pol333</t>
  </si>
  <si>
    <t>DN 32 – Ø 5/4“</t>
  </si>
  <si>
    <t>Pol334</t>
  </si>
  <si>
    <t>DN 40 – Ø 6/4“</t>
  </si>
  <si>
    <t>Poznámka k položce:_x000D_
- dodávka a montáž potrubí včetně kolen,nebo oblouků, přechodů, přírub, redukcí, spojek, mezikusů, přechodových kusů, pomocných prací a materiálu, spojovacího materiálu, těsnění, uzemnění dle ČSN, čištění potrubí a lešení, požární ucpávky v případě průchodu požárně odolnou konstrukcí._x000D_
Poznámka:  uvedené metráže jsou bez přídavku na prořez</t>
  </si>
  <si>
    <t>15.  Plastové potrubí typu AlPex (Henco)</t>
  </si>
  <si>
    <t>Pol335</t>
  </si>
  <si>
    <t>16 x 2 mm</t>
  </si>
  <si>
    <t>Pol336</t>
  </si>
  <si>
    <t>18 x 2 mm</t>
  </si>
  <si>
    <t>Pol337</t>
  </si>
  <si>
    <t>20 x 2 mm</t>
  </si>
  <si>
    <t>Pol338</t>
  </si>
  <si>
    <t>Potrubní lisovací tvarovky, doplňkový materiál - závěsy, upevnění</t>
  </si>
  <si>
    <t>Poznámka k položce:_x000D_
Poznámka:  uvedené metráže jsou bez přídavku na prořez</t>
  </si>
  <si>
    <t>16.  Potrubí SV z plastových trubek (PPR) - EKOPLASTIK PN 16, PN 20</t>
  </si>
  <si>
    <t>Pol339</t>
  </si>
  <si>
    <t>Ø 25 / 3,5 mm, PN 20, vč. tep. izolace</t>
  </si>
  <si>
    <t>Pol340</t>
  </si>
  <si>
    <t>Potrubní tvarovky EKOPLASTIK, doplňkový materiál - závěsy, upevnění</t>
  </si>
  <si>
    <t>17.  Tepelná izolace potrubí ÚT - hadicová Tubolit DG (tloušťky dle vyhl. č. 193/2007 Sb. MPO)</t>
  </si>
  <si>
    <t>Pol341</t>
  </si>
  <si>
    <t>tl. 9 mm, plast. potr. 16 x 2 mm</t>
  </si>
  <si>
    <t>Pol342</t>
  </si>
  <si>
    <t>tl. 9 mm, plast. potr. 18 x 2 mm</t>
  </si>
  <si>
    <t>Pol343</t>
  </si>
  <si>
    <t>tl. 9 mm, plast. potr. 20 x 2 mm</t>
  </si>
  <si>
    <t>Pol344</t>
  </si>
  <si>
    <t>tl. 20 mm, plast. potr. 16 x 2 mm (veřejná chodba)</t>
  </si>
  <si>
    <t>Pol345</t>
  </si>
  <si>
    <t>tl. 20 mm, plast. potr. 18 x 2 mm (veřejná chodba)</t>
  </si>
  <si>
    <t>Pol346</t>
  </si>
  <si>
    <t>tl. 20 mm, plast. potr. 20 x 2 mm (veřejná chodba)</t>
  </si>
  <si>
    <t>Pol347</t>
  </si>
  <si>
    <t>tl. 20 mm, DN 20</t>
  </si>
  <si>
    <t>Pol348</t>
  </si>
  <si>
    <t>tl. 20 mm, DN 25</t>
  </si>
  <si>
    <t>18.  Tepelná izolace potrubí ÚT z minerální vaty Al. folií</t>
  </si>
  <si>
    <t>Pol349</t>
  </si>
  <si>
    <t>tl. 60 mm, Al folie,  potrubí DN 15 (nevytápěný suterén)</t>
  </si>
  <si>
    <t>Pol350</t>
  </si>
  <si>
    <t>tl. 60 mm, Al folie,  potrubí DN 20 (nevytápěný suterén)</t>
  </si>
  <si>
    <t>Pol351</t>
  </si>
  <si>
    <t>tl. 60 mm, Al folie,  potrubí DN 25 (nevytápěný suterén)</t>
  </si>
  <si>
    <t>Pol352</t>
  </si>
  <si>
    <t>tl. 60 mm, Al folie,  potrubí DN 32 (nevytápěný suterén)</t>
  </si>
  <si>
    <t>Pol353</t>
  </si>
  <si>
    <t>tl. 60 mm, Al folie,  potrubí DN 40 (nevytápěný suterén)</t>
  </si>
  <si>
    <t>19. Nátěry</t>
  </si>
  <si>
    <t>Pol354</t>
  </si>
  <si>
    <t>Nátěry</t>
  </si>
  <si>
    <t>Poznámka k položce:_x000D_
Syntetický základní nátěr Fe potrubí ÚT (pod tep. izolaci)_x000D_
Syntetický nátěr potrubí ÚT - základní, s 2-násobným emailováním (nezaizolované úseky) _x000D_
Syntetický nátěr ocelových konstrukcí - základní, s 2-násobným emailováním</t>
  </si>
  <si>
    <t>20. Doplňkový materiál</t>
  </si>
  <si>
    <t>Pol355</t>
  </si>
  <si>
    <t>Doplňkový materiál</t>
  </si>
  <si>
    <t>Poznámka k položce:_x000D_
Závěsy potrubí, konzole, objímky (WEMEFA, HILTI),  pomocný montážní materiál apod._x000D_
Požární ucpávky prostupů potrubí stavebními konstrukcemi odělujícími požární úseky, Intumex</t>
  </si>
  <si>
    <t>21. Značení potrubí + zřízení ÚT</t>
  </si>
  <si>
    <t>Pol356</t>
  </si>
  <si>
    <t>Značení potrubí + zařízení ÚT</t>
  </si>
  <si>
    <t>Poznámka k položce:_x000D_
Identifikační štítky, šipky toku média apod.</t>
  </si>
  <si>
    <t>D1.610 - Uzemnění a hromosvod</t>
  </si>
  <si>
    <t xml:space="preserve">    741 - Elektroinstalace - silnoproud</t>
  </si>
  <si>
    <t>741</t>
  </si>
  <si>
    <t>Elektroinstalace - silnoproud</t>
  </si>
  <si>
    <t>741410021</t>
  </si>
  <si>
    <t>Montáž vodič uzemňovací pásek průřezu do 120 mm2 v městské zástavbě v zemi</t>
  </si>
  <si>
    <t>224001051</t>
  </si>
  <si>
    <t>35442062</t>
  </si>
  <si>
    <t>pás zemnící 30x4mm FeZn</t>
  </si>
  <si>
    <t>1371262932</t>
  </si>
  <si>
    <t>35441986</t>
  </si>
  <si>
    <t>svorka odbočovací a spojovací pro pásek 30x4 mm, FeZn</t>
  </si>
  <si>
    <t>1397821039</t>
  </si>
  <si>
    <t>741420001</t>
  </si>
  <si>
    <t>Montáž drát nebo lano hromosvodné svodové D do 10 mm s podpěrou</t>
  </si>
  <si>
    <t>1745619476</t>
  </si>
  <si>
    <t>35441077</t>
  </si>
  <si>
    <t>drát D 8mm AlMgSi</t>
  </si>
  <si>
    <t>1485447266</t>
  </si>
  <si>
    <t>35441470</t>
  </si>
  <si>
    <t>podpěra vedení FeZn pod taškovou krytinu 100mm</t>
  </si>
  <si>
    <t>1656433384</t>
  </si>
  <si>
    <t>35441490</t>
  </si>
  <si>
    <t>podpěra vedení FeZn na hřebenáče a prejzovou krytinu 120mm</t>
  </si>
  <si>
    <t>365179609</t>
  </si>
  <si>
    <t>35441860</t>
  </si>
  <si>
    <t>svorka FeZn k jímací tyči - 4 šrouby</t>
  </si>
  <si>
    <t>1292302196</t>
  </si>
  <si>
    <t>35441875</t>
  </si>
  <si>
    <t>svorka křížová pro vodič D 6-10mm</t>
  </si>
  <si>
    <t>-728059161</t>
  </si>
  <si>
    <t>35441996</t>
  </si>
  <si>
    <t>svorka odbočovací a spojovací pro spojování kruhových a páskových vodičů, FeZn</t>
  </si>
  <si>
    <t>1682514583</t>
  </si>
  <si>
    <t>35441925</t>
  </si>
  <si>
    <t>svorka zkušební pro lano D 6-12mm, FeZn</t>
  </si>
  <si>
    <t>2033031603</t>
  </si>
  <si>
    <t>-2076274011</t>
  </si>
  <si>
    <t>8500029370</t>
  </si>
  <si>
    <t>Drát AlMgSi/PVC pr. 8 mm (20kg/bal = 100bm)</t>
  </si>
  <si>
    <t>150626254</t>
  </si>
  <si>
    <t>741420022</t>
  </si>
  <si>
    <t>Montáž svorka hromosvodná se 3 šrouby</t>
  </si>
  <si>
    <t>-576424639</t>
  </si>
  <si>
    <t>1004335</t>
  </si>
  <si>
    <t>DEHN SVORKA OKAPOVA SO FEZN /339010/</t>
  </si>
  <si>
    <t>-1164675692</t>
  </si>
  <si>
    <t>732977998</t>
  </si>
  <si>
    <t>1144574</t>
  </si>
  <si>
    <t>KRABICE PRO ZKUSEBNI SVORKY BEZ ZS /5490</t>
  </si>
  <si>
    <t>-1634388539</t>
  </si>
  <si>
    <t>741420083</t>
  </si>
  <si>
    <t>Montáž vedení hromosvodné-štítek k označení svodu</t>
  </si>
  <si>
    <t>-385844048</t>
  </si>
  <si>
    <t>DTT104190</t>
  </si>
  <si>
    <t>Štítek - Štítek k označení svodu</t>
  </si>
  <si>
    <t>379553777</t>
  </si>
  <si>
    <t>741430004</t>
  </si>
  <si>
    <t>Montáž tyč jímací délky do 3 m na střešní hřeben</t>
  </si>
  <si>
    <t>-1309009235</t>
  </si>
  <si>
    <t>Hrom</t>
  </si>
  <si>
    <t>Jímací tyč délky 3m včetně příslušenství</t>
  </si>
  <si>
    <t>1590314072</t>
  </si>
  <si>
    <t>741810001</t>
  </si>
  <si>
    <t>Celková prohlídka elektrického rozvodu a zařízení do 100 000,- Kč</t>
  </si>
  <si>
    <t>1388118293</t>
  </si>
  <si>
    <t>D1.620 - Silnoproudá elektroinstalace</t>
  </si>
  <si>
    <t>HSV - HSV</t>
  </si>
  <si>
    <t xml:space="preserve">    OSV - Osvětlení</t>
  </si>
  <si>
    <t xml:space="preserve">    Přístroje - </t>
  </si>
  <si>
    <t xml:space="preserve">    Rozváděče - </t>
  </si>
  <si>
    <t xml:space="preserve">    Kabely - </t>
  </si>
  <si>
    <t xml:space="preserve">    Ulož - Úložný systém</t>
  </si>
  <si>
    <t xml:space="preserve">    OST - Ostatní</t>
  </si>
  <si>
    <t>OSV</t>
  </si>
  <si>
    <t>Osvětlení</t>
  </si>
  <si>
    <t>A1</t>
  </si>
  <si>
    <t>Vestavné interiérové svítidlo LED do SDK</t>
  </si>
  <si>
    <t>216833203</t>
  </si>
  <si>
    <t>A2</t>
  </si>
  <si>
    <t>-1245745957</t>
  </si>
  <si>
    <t>B1</t>
  </si>
  <si>
    <t>Přisazené interiérové svítidlo LED</t>
  </si>
  <si>
    <t>-131966082</t>
  </si>
  <si>
    <t>B1.1</t>
  </si>
  <si>
    <t>Vodič 3x0,75 2000mm</t>
  </si>
  <si>
    <t>1509878746</t>
  </si>
  <si>
    <t>B1.2</t>
  </si>
  <si>
    <t>Lankový závěs 2000mm</t>
  </si>
  <si>
    <t>-644142144</t>
  </si>
  <si>
    <t>18*2 'Přepočtené koeficientem množství</t>
  </si>
  <si>
    <t>B1.3</t>
  </si>
  <si>
    <t>Kalíšek stropní 80x80x32mm</t>
  </si>
  <si>
    <t>-298402589</t>
  </si>
  <si>
    <t>P1</t>
  </si>
  <si>
    <t>LINEA 2.4ft 6400/840,svítidlo interiérové přisazené s modulem LED 2x3200 lm, spektrum 840</t>
  </si>
  <si>
    <t>-1952443949</t>
  </si>
  <si>
    <t>P2</t>
  </si>
  <si>
    <t>LINEA 2.4ft 8800/840,svítidlo interiérové přisazené s modulem LED 2x4400 lm, spektrum 840</t>
  </si>
  <si>
    <t>1424241205</t>
  </si>
  <si>
    <t>P3</t>
  </si>
  <si>
    <t>LINEA ROUND 3600/840,svítidlo interiérové přisazené s modulem LED 3600 lm, spektrum 840</t>
  </si>
  <si>
    <t>95381676</t>
  </si>
  <si>
    <t>N1</t>
  </si>
  <si>
    <t>Nouzové svítidlo LED piktogram, vlastní baterie 1H doba nouzového svícení,autotest</t>
  </si>
  <si>
    <t>-774967714</t>
  </si>
  <si>
    <t>N2</t>
  </si>
  <si>
    <t>Vestavné  nouzové svítidlo, optika Area, Autotest, 1H</t>
  </si>
  <si>
    <t>-963696626</t>
  </si>
  <si>
    <t>N3</t>
  </si>
  <si>
    <t>Vestavné nouzové svítidlo optika route 7W LED, 260lm,autotest</t>
  </si>
  <si>
    <t>-1783479926</t>
  </si>
  <si>
    <t>N4</t>
  </si>
  <si>
    <t>Přisazené svítidlo NO, area, barva černá, autotest</t>
  </si>
  <si>
    <t>-1230490306</t>
  </si>
  <si>
    <t>N5</t>
  </si>
  <si>
    <t>Přisazené/nástěnné nouzové svítidlo-Piktogram</t>
  </si>
  <si>
    <t>-1555867527</t>
  </si>
  <si>
    <t>N6</t>
  </si>
  <si>
    <t>Přisazené nouzové svítidlo-optika route</t>
  </si>
  <si>
    <t>-878627709</t>
  </si>
  <si>
    <t>N7</t>
  </si>
  <si>
    <t>Přisazené nouzové svítidlo-Piktogram</t>
  </si>
  <si>
    <t>-1508902055</t>
  </si>
  <si>
    <t>N7.1</t>
  </si>
  <si>
    <t>Components Flag for doublesided version (for Ontec S)</t>
  </si>
  <si>
    <t>-853581245</t>
  </si>
  <si>
    <t>N8</t>
  </si>
  <si>
    <t>Přisazené nouzové svítidlo-optika area</t>
  </si>
  <si>
    <t>-1797859533</t>
  </si>
  <si>
    <t>NVO</t>
  </si>
  <si>
    <t>Nouzové svítidlo Outdoor 3x1W 1h IP66, barva černá</t>
  </si>
  <si>
    <t>59002815</t>
  </si>
  <si>
    <t>OS20</t>
  </si>
  <si>
    <t>Vestavné svítidlo 43,2W LED 3000K, barva bílá, opálový difuzor</t>
  </si>
  <si>
    <t>1819308772</t>
  </si>
  <si>
    <t>OS21</t>
  </si>
  <si>
    <t>Vestavné svítidlo DEEP 1.0 PAR16 W GU10, barva bílá, IP44</t>
  </si>
  <si>
    <t>639330280</t>
  </si>
  <si>
    <t>OS22</t>
  </si>
  <si>
    <t>LED žárovka GU10 P7WDIM stmívatelná</t>
  </si>
  <si>
    <t>-418956493</t>
  </si>
  <si>
    <t>ZRC</t>
  </si>
  <si>
    <t>Svítidlo nad Zrcadlo</t>
  </si>
  <si>
    <t>1082434050</t>
  </si>
  <si>
    <t>OS23</t>
  </si>
  <si>
    <t>Přisazené/závěsné svítidlo LED</t>
  </si>
  <si>
    <t>-1678764280</t>
  </si>
  <si>
    <t>OS23.1</t>
  </si>
  <si>
    <t>Sada pro zavěšení 4000mm, lanka 3ks, kabel 4x0,75mm, kalíšek</t>
  </si>
  <si>
    <t>1987007061</t>
  </si>
  <si>
    <t>KUCH LINKA</t>
  </si>
  <si>
    <t>LED pásek v profilu s opálovým difuzorem, včetně nápajení nestmívatelné, výkon pásku a typ profilu se bude dále specifikovat</t>
  </si>
  <si>
    <t>140808844</t>
  </si>
  <si>
    <t>OS04</t>
  </si>
  <si>
    <t>TAIO ROUND IP65 WALL SURFACE 1.0 LED 10.5W CRI90 3000K BLACK</t>
  </si>
  <si>
    <t>-1210911503</t>
  </si>
  <si>
    <t>Montáž svítidel</t>
  </si>
  <si>
    <t>-535002737</t>
  </si>
  <si>
    <t>Přístroje</t>
  </si>
  <si>
    <t>741112061</t>
  </si>
  <si>
    <t>Montáž krabice přístrojová zapuštěná plastová kruhová</t>
  </si>
  <si>
    <t>-958234922</t>
  </si>
  <si>
    <t>34571511</t>
  </si>
  <si>
    <t>krabice přístrojová instalační 500V, D 69mmx30mm</t>
  </si>
  <si>
    <t>-1167873591</t>
  </si>
  <si>
    <t>741112101</t>
  </si>
  <si>
    <t>Montáž rozvodka zapuštěná plastová kruhová</t>
  </si>
  <si>
    <t>-1969159906</t>
  </si>
  <si>
    <t>34571519</t>
  </si>
  <si>
    <t>krabice univerzální odbočná z PH s víčkem, D 73,5mmx43mm</t>
  </si>
  <si>
    <t>481574893</t>
  </si>
  <si>
    <t>svorkovnice krabicová 273-102 4x1-2,5mm2</t>
  </si>
  <si>
    <t>1559492170</t>
  </si>
  <si>
    <t>svorkovnice krabicová 273-103 8x1-2,5mm2</t>
  </si>
  <si>
    <t>167862396</t>
  </si>
  <si>
    <t>svorkovnice krabicová 273-104 3x1-2,5mm2</t>
  </si>
  <si>
    <t>1798311423</t>
  </si>
  <si>
    <t>svorkovnice krabicová 273-105 5x1-2,5mm2</t>
  </si>
  <si>
    <t>953227387</t>
  </si>
  <si>
    <t>ekvipotenciální svorkovnice</t>
  </si>
  <si>
    <t>-171295666</t>
  </si>
  <si>
    <t>741310201</t>
  </si>
  <si>
    <t>Montáž vypínač (polo)zapuštěný šroubové připojení 1-jednopólový</t>
  </si>
  <si>
    <t>320416355</t>
  </si>
  <si>
    <t>34535512</t>
  </si>
  <si>
    <t>spínač jednopólový 10A bílý, komplet včetně rámečku</t>
  </si>
  <si>
    <t>1191308110</t>
  </si>
  <si>
    <t>741310206</t>
  </si>
  <si>
    <t>Montáž ¨termostat</t>
  </si>
  <si>
    <t>1915645262</t>
  </si>
  <si>
    <t>term</t>
  </si>
  <si>
    <t>Termostat digitální</t>
  </si>
  <si>
    <t>-579492380</t>
  </si>
  <si>
    <t>741310221</t>
  </si>
  <si>
    <t>Montáž spínač (polo)zapuštěný šroubové připojení řazení 2-pro žaluzie</t>
  </si>
  <si>
    <t>-1843967978</t>
  </si>
  <si>
    <t>sp1</t>
  </si>
  <si>
    <t>Spínač žaluziový bílý, komplet včetně rámečku</t>
  </si>
  <si>
    <t>1045481783</t>
  </si>
  <si>
    <t>741310231</t>
  </si>
  <si>
    <t>Montáž přepínač (polo)zapuštěný šroubové připojení 5-seriový</t>
  </si>
  <si>
    <t>-1169983978</t>
  </si>
  <si>
    <t>34535573</t>
  </si>
  <si>
    <t>spínač řazení 5 10A bílý, komplet včetně rámečku</t>
  </si>
  <si>
    <t>1999219159</t>
  </si>
  <si>
    <t>741310233</t>
  </si>
  <si>
    <t>Montáž přepínač (polo)zapuštěný šroubové připojení 6-střídavý</t>
  </si>
  <si>
    <t>-172596217</t>
  </si>
  <si>
    <t>sp2</t>
  </si>
  <si>
    <t>Spínač řazení 6 bílý, komplet včetně rámečku</t>
  </si>
  <si>
    <t>2090765485</t>
  </si>
  <si>
    <t>741310239</t>
  </si>
  <si>
    <t>Montáž přepínač (polo)zapuštěný šroubové připojení 7-křížový</t>
  </si>
  <si>
    <t>1987104698</t>
  </si>
  <si>
    <t>sp3</t>
  </si>
  <si>
    <t>Spínač řazení 7 bílý, komplet včetěn rámečku</t>
  </si>
  <si>
    <t>1369939697</t>
  </si>
  <si>
    <t>741311004</t>
  </si>
  <si>
    <t>Montáž čidlo pohybu nástěnné se zapojením vodičů</t>
  </si>
  <si>
    <t>-502215175</t>
  </si>
  <si>
    <t>čid</t>
  </si>
  <si>
    <t>Pohybové čidlo nástěnné 360°</t>
  </si>
  <si>
    <t>945795392</t>
  </si>
  <si>
    <t>741313002</t>
  </si>
  <si>
    <t>Montáž zásuvka (polo)zapuštěná bezšroubové připojení 2P+PE dvojí zapojení - průběžná</t>
  </si>
  <si>
    <t>-2054993569</t>
  </si>
  <si>
    <t>34555100</t>
  </si>
  <si>
    <t>zásuvka 1násobná 16A bílá</t>
  </si>
  <si>
    <t>1841799838</t>
  </si>
  <si>
    <t>Rozváděče</t>
  </si>
  <si>
    <t>Rozv1</t>
  </si>
  <si>
    <t>Rozváděč bytový</t>
  </si>
  <si>
    <t>-657435299</t>
  </si>
  <si>
    <t>Rozv3-m</t>
  </si>
  <si>
    <t>REA-RED - montář rozváděč elektroměrový skříňový včetně požárních dveří</t>
  </si>
  <si>
    <t>-1895531801</t>
  </si>
  <si>
    <t>Rozv3</t>
  </si>
  <si>
    <t>REA - Rozváděč elektroměrový nástěnný včetně požárních dveří</t>
  </si>
  <si>
    <t>1754263196</t>
  </si>
  <si>
    <t>Rozv7</t>
  </si>
  <si>
    <t>RS - Rozváděč pro společné prostory nástěnný včetně požárních dveří</t>
  </si>
  <si>
    <t>-1943617444</t>
  </si>
  <si>
    <t>1*4 'Přepočtené koeficientem množství</t>
  </si>
  <si>
    <t>Rozv8</t>
  </si>
  <si>
    <t>RKOT - rozváděč pro kotelnu</t>
  </si>
  <si>
    <t>-1696495642</t>
  </si>
  <si>
    <t>Rozv9</t>
  </si>
  <si>
    <t>RCEP- rozváděč pro čerpání</t>
  </si>
  <si>
    <t>1495741040</t>
  </si>
  <si>
    <t>Rozv10</t>
  </si>
  <si>
    <t>UPS 10kW 45min</t>
  </si>
  <si>
    <t>-1778677278</t>
  </si>
  <si>
    <t>Rozv4</t>
  </si>
  <si>
    <t>REB - Rozváděč elektroměrový nástěnný včetně požárních dveří</t>
  </si>
  <si>
    <t>-1059466095</t>
  </si>
  <si>
    <t>Rozv5</t>
  </si>
  <si>
    <t>REC - Rozváděč elektroměrový nástěnný včetně požárních dveří</t>
  </si>
  <si>
    <t>1420042101</t>
  </si>
  <si>
    <t>Rozv6</t>
  </si>
  <si>
    <t>RED - Rozváděč elektroměrový nástěnný včetně požárních dveří</t>
  </si>
  <si>
    <t>1933612037</t>
  </si>
  <si>
    <t>Rozv4-m</t>
  </si>
  <si>
    <t>RS - montáž rozváděče pro splečné prostory včetně požárních dveří</t>
  </si>
  <si>
    <t>-1767460166</t>
  </si>
  <si>
    <t>Rozv5-m</t>
  </si>
  <si>
    <t>Rkot- montáž rozváděče kotelny</t>
  </si>
  <si>
    <t>134618569</t>
  </si>
  <si>
    <t>Rozv6-m</t>
  </si>
  <si>
    <t>Rcep- montáž rozváděče pro čerpadla</t>
  </si>
  <si>
    <t>1581611363</t>
  </si>
  <si>
    <t>rozv-m</t>
  </si>
  <si>
    <t>Montáž rozcáděče bytového včetně zapojení vodičů</t>
  </si>
  <si>
    <t>-918744163</t>
  </si>
  <si>
    <t>Rozvo2-m</t>
  </si>
  <si>
    <t xml:space="preserve">RE - Montáž rozváděč elektroměrový pod omítkou </t>
  </si>
  <si>
    <t>1851734049</t>
  </si>
  <si>
    <t>Rozv2</t>
  </si>
  <si>
    <t>RE - rozváděč elektroměrový pod omítkou nepřímé měření</t>
  </si>
  <si>
    <t>-416754330</t>
  </si>
  <si>
    <t>Rozv12</t>
  </si>
  <si>
    <t>-281718744</t>
  </si>
  <si>
    <t>Rozv13</t>
  </si>
  <si>
    <t>2109041989</t>
  </si>
  <si>
    <t>Rozv11</t>
  </si>
  <si>
    <t>525896628</t>
  </si>
  <si>
    <t>NAB</t>
  </si>
  <si>
    <t>Nabíjecí stanice venkvoní na stěnu 22kW</t>
  </si>
  <si>
    <t>-338243196</t>
  </si>
  <si>
    <t>Kabely</t>
  </si>
  <si>
    <t>741410072</t>
  </si>
  <si>
    <t>Montáž pospojování ochranné konstrukce ostatní vodičem do 16 mm2 uloženým pevně</t>
  </si>
  <si>
    <t>2037258561</t>
  </si>
  <si>
    <t>34140825</t>
  </si>
  <si>
    <t>vodič silový s Cu jádrem 4mm2 (CY H07 V-U)</t>
  </si>
  <si>
    <t>197166438</t>
  </si>
  <si>
    <t>34140826</t>
  </si>
  <si>
    <t>vodič silový s Cu jádrem 6mm2 (CY)</t>
  </si>
  <si>
    <t>162097072</t>
  </si>
  <si>
    <t>741130001</t>
  </si>
  <si>
    <t>Ukončení vodič izolovaný do 2,5 mm2 v rozváděči nebo na přístroji</t>
  </si>
  <si>
    <t>-2128683340</t>
  </si>
  <si>
    <t>741130003</t>
  </si>
  <si>
    <t>Ukončení vodič izolovaný do 4 mm2 v rozváděči nebo na přístroji</t>
  </si>
  <si>
    <t>-655620876</t>
  </si>
  <si>
    <t>741130005</t>
  </si>
  <si>
    <t>Ukončení vodič izolovaný do 10 mm2 v rozváděči nebo na přístroji</t>
  </si>
  <si>
    <t>-1074663749</t>
  </si>
  <si>
    <t>741130008</t>
  </si>
  <si>
    <t>Ukončení vodič izolovaný do 35 mm2 v rozváděči nebo na přístroji</t>
  </si>
  <si>
    <t>-703513561</t>
  </si>
  <si>
    <t>741130012</t>
  </si>
  <si>
    <t>Ukončení vodič izolovaný do 70 mm2 v rozváděči nebo na přístroji</t>
  </si>
  <si>
    <t>-324784917</t>
  </si>
  <si>
    <t>741130014</t>
  </si>
  <si>
    <t>Ukončení vodič izolovaný do 120 mm2 v rozváděči nebo na přístroji</t>
  </si>
  <si>
    <t>1091132899</t>
  </si>
  <si>
    <t>741122641</t>
  </si>
  <si>
    <t>Montáž kabel Cu plný kulatý žíla 5x1,5 až 2,5 mm2 uložený pevně (např. CYKY)</t>
  </si>
  <si>
    <t>893617186</t>
  </si>
  <si>
    <t>34111090</t>
  </si>
  <si>
    <t>kabel silový s Cu jádrem 1kV 5x1,5mm2 (CYKY)</t>
  </si>
  <si>
    <t>-746610744</t>
  </si>
  <si>
    <t>10510*1,3 'Přepočtené koeficientem množství</t>
  </si>
  <si>
    <t>34111094</t>
  </si>
  <si>
    <t>kabel silový s Cu jádrem 1kV 5x2,5mm2 (CYKY)</t>
  </si>
  <si>
    <t>1464342225</t>
  </si>
  <si>
    <t>2250*1,3 'Přepočtené koeficientem množství</t>
  </si>
  <si>
    <t>741122011</t>
  </si>
  <si>
    <t>Montáž kabel Cu bez ukončení uložený pod omítku plný kulatý 2x1,5 až 2,5 mm2 (např. CYKY)</t>
  </si>
  <si>
    <t>-1771606518</t>
  </si>
  <si>
    <t>34111030</t>
  </si>
  <si>
    <t>kabel silový s Cu jádrem 1kV 3x1,5mm2 (CYKY)</t>
  </si>
  <si>
    <t>2030845739</t>
  </si>
  <si>
    <t>17700*1,2 'Přepočtené koeficientem množství</t>
  </si>
  <si>
    <t>34111036</t>
  </si>
  <si>
    <t>kabel silový s Cu jádrem 1kV 3x2,5mm2 (CYKY)</t>
  </si>
  <si>
    <t>-296640122</t>
  </si>
  <si>
    <t>26490*1,2 'Přepočtené koeficientem množství</t>
  </si>
  <si>
    <t>741122032</t>
  </si>
  <si>
    <t>Montáž kabel Cu bez ukončení uložený pod omítku plný kulatý 5x4 až 6 mm2 (např. CYKY)</t>
  </si>
  <si>
    <t>2018819867</t>
  </si>
  <si>
    <t>34111098</t>
  </si>
  <si>
    <t>kabel silový s Cu jádrem 1kV 5x4mm2 (CYKY)</t>
  </si>
  <si>
    <t>-1770979627</t>
  </si>
  <si>
    <t>320*1,2 'Přepočtené koeficientem množství</t>
  </si>
  <si>
    <t>741122033</t>
  </si>
  <si>
    <t>Montáž kabel Cu bez ukončení uložený pod omítku plný kulatý 5x10 mm2 (např. CYKY)</t>
  </si>
  <si>
    <t>66362368</t>
  </si>
  <si>
    <t>34111076</t>
  </si>
  <si>
    <t>kabel silový s Cu jádrem 1kV 5x10mm2 (CYKY)</t>
  </si>
  <si>
    <t>435317935</t>
  </si>
  <si>
    <t>1200*1,3 'Přepočtené koeficientem množství</t>
  </si>
  <si>
    <t>741122625</t>
  </si>
  <si>
    <t>Montáž kabel Cu plný kulatý žíla 5x35 mm2 uložený pevně (např. CYKY)</t>
  </si>
  <si>
    <t>225719809</t>
  </si>
  <si>
    <t>34111620</t>
  </si>
  <si>
    <t>kabel silový s Cu jádrem 1kV 5x35mm2 (1-CYKY)</t>
  </si>
  <si>
    <t>374733468</t>
  </si>
  <si>
    <t>50*1,2 'Přepočtené koeficientem množství</t>
  </si>
  <si>
    <t>741122625-1</t>
  </si>
  <si>
    <t>Montáž kabel Cu plný kulatý žíla 4x35 mm2 uložený pevně (např. CYKY)</t>
  </si>
  <si>
    <t>-1095845478</t>
  </si>
  <si>
    <t>34111620-1</t>
  </si>
  <si>
    <t>kabel silový s Cu jádrem 1kV 4x35mm2 (1-CYKY)</t>
  </si>
  <si>
    <t>1387130252</t>
  </si>
  <si>
    <t>300*1,2 'Přepočtené koeficientem množství</t>
  </si>
  <si>
    <t>741122631</t>
  </si>
  <si>
    <t>Montáž kabel Cu plný kulatý žíla 5x25 mm2 uložený pevně (např. CYKY)</t>
  </si>
  <si>
    <t>-818654471</t>
  </si>
  <si>
    <t>34111610</t>
  </si>
  <si>
    <t>kabel silový s Cu jádrem 1kV 5x25mm2 (1-CYKY)</t>
  </si>
  <si>
    <t>-2079298544</t>
  </si>
  <si>
    <t>741122644</t>
  </si>
  <si>
    <t>Montáž kabel Cu plný kulatý žíla 5x16 mm2 uložený pevně (např. CYKY)</t>
  </si>
  <si>
    <t>144537637</t>
  </si>
  <si>
    <t>260*1,3 'Přepočtené koeficientem množství</t>
  </si>
  <si>
    <t>34111080</t>
  </si>
  <si>
    <t>kabel silový s Cu jádrem 1kV 5x16mm2 (CYKY)</t>
  </si>
  <si>
    <t>123819418</t>
  </si>
  <si>
    <t>741124601</t>
  </si>
  <si>
    <t>Montáž kabel Cu topný volné délky uložený do podlahy nebo stěny</t>
  </si>
  <si>
    <t>1376167974</t>
  </si>
  <si>
    <t>top2</t>
  </si>
  <si>
    <t>Topný kabel do rampy</t>
  </si>
  <si>
    <t>537747280</t>
  </si>
  <si>
    <t>1200*1,2 'Přepočtené koeficientem množství</t>
  </si>
  <si>
    <t>top3</t>
  </si>
  <si>
    <t>Čidla do rampy + regulace</t>
  </si>
  <si>
    <t>758193663</t>
  </si>
  <si>
    <t>741124603</t>
  </si>
  <si>
    <t>Montáž kabel Cu topný volné délky uložený na konstrukci</t>
  </si>
  <si>
    <t>992399581</t>
  </si>
  <si>
    <t>top1</t>
  </si>
  <si>
    <t>Topný kabel samoregulační pro otápění potrubí 30W/m</t>
  </si>
  <si>
    <t>-54044936</t>
  </si>
  <si>
    <t>741124733</t>
  </si>
  <si>
    <t>Montáž kabel Cu stíněný ovládací žíly 2 až 19x1 mm2 uložený pevně (např. JYTY)</t>
  </si>
  <si>
    <t>932564721</t>
  </si>
  <si>
    <t>kab1</t>
  </si>
  <si>
    <t>Kabel JYTY 7x1</t>
  </si>
  <si>
    <t>-1090863842</t>
  </si>
  <si>
    <t>4200*1,2 'Přepočtené koeficientem množství</t>
  </si>
  <si>
    <t>Ulož</t>
  </si>
  <si>
    <t>Úložný systém</t>
  </si>
  <si>
    <t>741910413</t>
  </si>
  <si>
    <t>Montáž žlab kovový šířky do 125 mm bez víka</t>
  </si>
  <si>
    <t>1073007784</t>
  </si>
  <si>
    <t>34575493</t>
  </si>
  <si>
    <t>žlab kabelový pozinkovaný 2m/ks 100X125</t>
  </si>
  <si>
    <t>774117943</t>
  </si>
  <si>
    <t>741910303</t>
  </si>
  <si>
    <t>Montáž rošt a lávka typová se stojinou,výložníky a odbočkami pozinkovaná - stoupačka</t>
  </si>
  <si>
    <t>-425579364</t>
  </si>
  <si>
    <t>lávka</t>
  </si>
  <si>
    <t>Kabelová lávka 500x60</t>
  </si>
  <si>
    <t>-1452096410</t>
  </si>
  <si>
    <t>741910611</t>
  </si>
  <si>
    <t>Montáž příchytka kovová pro kabelové lávky a žebříky kabel D do 40 mm</t>
  </si>
  <si>
    <t>446112909</t>
  </si>
  <si>
    <t>přích</t>
  </si>
  <si>
    <t>příchytka kabelu na Lávku</t>
  </si>
  <si>
    <t>1925550142</t>
  </si>
  <si>
    <t>741110042</t>
  </si>
  <si>
    <t>Montáž trubka plastová ohebná D přes 23 do 35 mm uložená pevně</t>
  </si>
  <si>
    <t>-1106161390</t>
  </si>
  <si>
    <t>34571065</t>
  </si>
  <si>
    <t>trubka elektroinstalační ohebná z PVC (ČSN) 2336</t>
  </si>
  <si>
    <t>1371039637</t>
  </si>
  <si>
    <t>34571073</t>
  </si>
  <si>
    <t>trubka elektroinstalační ohebná z PVC (EN) 2325</t>
  </si>
  <si>
    <t>254857769</t>
  </si>
  <si>
    <t>OST</t>
  </si>
  <si>
    <t>HZS4211</t>
  </si>
  <si>
    <t>Hodinová zúčtovací sazba revizní technik</t>
  </si>
  <si>
    <t>-222934101</t>
  </si>
  <si>
    <t>HZS4232</t>
  </si>
  <si>
    <t>Hodinová zúčtovací sazba technik odborný</t>
  </si>
  <si>
    <t>-188399467</t>
  </si>
  <si>
    <t>Ostatní nespecifikovaný drobný montážní a upevňovací materiál</t>
  </si>
  <si>
    <t>828971720</t>
  </si>
  <si>
    <t>MECH</t>
  </si>
  <si>
    <t>Mechanizační prostředky</t>
  </si>
  <si>
    <t>392633069</t>
  </si>
  <si>
    <t>741810003</t>
  </si>
  <si>
    <t>Celková prohlídka elektrického rozvodu a zařízení do 1 milionu Kč</t>
  </si>
  <si>
    <t>-1559826156</t>
  </si>
  <si>
    <t>741810011</t>
  </si>
  <si>
    <t>Příplatek k celkové prohlídce za každých dalších 500 000,- Kč</t>
  </si>
  <si>
    <t>222822695</t>
  </si>
  <si>
    <t>OST2</t>
  </si>
  <si>
    <t>497135923</t>
  </si>
  <si>
    <t>OST3</t>
  </si>
  <si>
    <t>Zaškolení obsluhy</t>
  </si>
  <si>
    <t>-660688828</t>
  </si>
  <si>
    <t>OST4</t>
  </si>
  <si>
    <t>Stavební přípomoci</t>
  </si>
  <si>
    <t>-906976166</t>
  </si>
  <si>
    <t>OST5</t>
  </si>
  <si>
    <t>Úklid pracoviště, pomocné lešení, mechanizace</t>
  </si>
  <si>
    <t>2044399445</t>
  </si>
  <si>
    <t>D1.700 - Slaboproudé elektroinstalace</t>
  </si>
  <si>
    <t>D1 - Strukturovaná kabeláž (SK)</t>
  </si>
  <si>
    <t xml:space="preserve">    D2 - Instalační materiál</t>
  </si>
  <si>
    <t xml:space="preserve">    D3 - Kabely</t>
  </si>
  <si>
    <t xml:space="preserve">    D4 - Rozvaděče, zásuvky, ukončovací hw</t>
  </si>
  <si>
    <t xml:space="preserve">    D5 - Ostatní</t>
  </si>
  <si>
    <t>D6 - Přístupový systém (EKV)</t>
  </si>
  <si>
    <t xml:space="preserve">    D7 - Zařízení EKV</t>
  </si>
  <si>
    <t>D8 - Domácí telefon (DT)</t>
  </si>
  <si>
    <t xml:space="preserve">    D9 - Rozvaděče, propojovací hw, zdroje napájení</t>
  </si>
  <si>
    <t xml:space="preserve">    D10 - Zařízení DT</t>
  </si>
  <si>
    <t>D11 - Společná televizní anténa (STA)</t>
  </si>
  <si>
    <t xml:space="preserve">    D12 - Kabely </t>
  </si>
  <si>
    <t xml:space="preserve">    D13 - Rozvaděče, pasivní, aktivní prvky</t>
  </si>
  <si>
    <t>D14 - Autonomní detekce požáru (ADP)</t>
  </si>
  <si>
    <t xml:space="preserve">    D15 - Zařízení autonomní detekce</t>
  </si>
  <si>
    <t>D16 - Společné kabelové trasy</t>
  </si>
  <si>
    <t xml:space="preserve">    D17 - Hlavní horizontální a vertikální trasy</t>
  </si>
  <si>
    <t>Strukturovaná kabeláž (SK)</t>
  </si>
  <si>
    <t>Instalační materiál</t>
  </si>
  <si>
    <t>Trubka  1423, 320N, pod omítku/do podlahy, vč. zasekání</t>
  </si>
  <si>
    <t>Trubka  1436, 320N, pod omítku/do podlahy, vč. zasekání</t>
  </si>
  <si>
    <t>Trubka  1416, 320N, pod omítku/do podlahy, vč. zasekání</t>
  </si>
  <si>
    <t>Trubka 1250, 750N, vč. příchytky (do stoupacích vedení a podhledů)</t>
  </si>
  <si>
    <t>Krabice přístrojová pod omítku</t>
  </si>
  <si>
    <t>Kabel UTP 4páry kat. 5e, AWG24</t>
  </si>
  <si>
    <t>Rozvaděče, zásuvky, ukončovací hw</t>
  </si>
  <si>
    <t>Plastová rozvodnice pod omítku  24 modulů , bílé dveře,  délka 446/ šířka 346/ hloubka 88mm</t>
  </si>
  <si>
    <t>Kompletní datová zásuvka 1x RJ45 bílá pro rozvod domovní instalace internetu (Design zásuvek sjednotit se zásuvkami 230V)</t>
  </si>
  <si>
    <t>Modul na DIN lištu pro jeden keystone kat. 5e, plastový</t>
  </si>
  <si>
    <t>Zednické přípomoce a pomocné montážní práce</t>
  </si>
  <si>
    <t>Měření metalické kabeláže, vč. měřícího protokolu</t>
  </si>
  <si>
    <t>Přístupový systém (EKV)</t>
  </si>
  <si>
    <t>FTP Cat.5e LSZH, 4pár, drát, 24 AWG</t>
  </si>
  <si>
    <t>Kabel 2x1</t>
  </si>
  <si>
    <t>CYA 6 zelenožlutý ( pro uzemnění rozvodnic)</t>
  </si>
  <si>
    <t>Zařízení EKV</t>
  </si>
  <si>
    <t>Řídící a kontrolní jednotka pro 4 dveře (4 čtečky) + SW + plechový box se zámkem a prostorem pro aku; Připojení max. 4 čteček (Anti-passback) + 4 odchodových tlačítek; max 20000 uživatelů; max.100 000 událostí v paměti; otvírání dveří na dálku; použitelné</t>
  </si>
  <si>
    <t>Čtečka RFID čipů (karet) v odolném zpracování (antivandal tělo); IP66; Napájení: 12 V DC;  Typ RFID karet: MIFARE 13,56 Mhz; Výstupní formát: Wiegand 26-34 bit (34 bit přednastaveno); Čtecí vzdálenost karty: 2 - 6 cm; optická signalizace: LED dioda (červe</t>
  </si>
  <si>
    <t>Tlačítko nouzového otevření dveří - zelené, reset pomocí klíčku, výklopný kryt</t>
  </si>
  <si>
    <t>Bezkontaktní přívěšek</t>
  </si>
  <si>
    <t>el. otvírač, nízkoodběrový, 12V DC/230mA; vč. čelní plech krátký</t>
  </si>
  <si>
    <t>elektromechanický  zámek</t>
  </si>
  <si>
    <t>6m kabel pro zámky</t>
  </si>
  <si>
    <t>kabelová průchodka kovová zadlab.</t>
  </si>
  <si>
    <t>protiplech</t>
  </si>
  <si>
    <t>Oživení a nastavení systému</t>
  </si>
  <si>
    <t>Revize</t>
  </si>
  <si>
    <t>Funkční zkouška, uvedení systému do provozu, zaškolení obsluhy</t>
  </si>
  <si>
    <t>Domácí telefon (DT)</t>
  </si>
  <si>
    <t>Rozvaděče, propojovací hw, zdroje napájení</t>
  </si>
  <si>
    <t>Nástěnná ocelopl. Skříň 600/600/200, IP40, vč. dveří se zámkem, kabel. Průchodkami, DIN lišta, mont. Deska</t>
  </si>
  <si>
    <t>Zemnící svorkovnice</t>
  </si>
  <si>
    <t>Zařízení DT</t>
  </si>
  <si>
    <t>AUDIO telefon</t>
  </si>
  <si>
    <t>Zvonkové tlačítko (stejný design jako přístroje 230V)</t>
  </si>
  <si>
    <t>ZDROJ-2VOD AV SYSTEM 6DIN</t>
  </si>
  <si>
    <t>VIDEOROZBOČOVAČ 2 VOD</t>
  </si>
  <si>
    <t>ZAKONČOVACÍ ODPOR</t>
  </si>
  <si>
    <t>INSTAL. KRABICE DO ZDI 3M</t>
  </si>
  <si>
    <t>KONFIGURÁTOR, 10KS</t>
  </si>
  <si>
    <t>RÁM + ŠASÍ 3M</t>
  </si>
  <si>
    <t>BAR. AUD/VIDEO JEDN.</t>
  </si>
  <si>
    <t>TLAČ.MODUL 8TLAČ</t>
  </si>
  <si>
    <t>KABEL PRO PANELY 620MM</t>
  </si>
  <si>
    <t>RELE ZAP.PRO TLACITKA 2NO</t>
  </si>
  <si>
    <t>Pol52</t>
  </si>
  <si>
    <t>Pol53</t>
  </si>
  <si>
    <t>Funkční zkouška, uvedení systému do provozu</t>
  </si>
  <si>
    <t>Společná televizní anténa (STA)</t>
  </si>
  <si>
    <t xml:space="preserve">Kabely </t>
  </si>
  <si>
    <t>Koaxiální kabel 75 Ohm H125 , vnější</t>
  </si>
  <si>
    <t>Koaxiální kabel 75 Ohm H121 , vnitřní</t>
  </si>
  <si>
    <t>Propojovací kabely 250 mm F konektory</t>
  </si>
  <si>
    <t>Vodič CYA 6 zelenožlutý</t>
  </si>
  <si>
    <t>Rozvaděče, pasivní, aktivní prvky</t>
  </si>
  <si>
    <t>Anténní stožár: TROJNOŽKA 2M, ZÁKLADNA PR.3M NA DLAŽDICE 500X500, 2KS JEDNORAMENNÝCH VÝLOŽNÍKŮ, 3KS BETON. DLAŽDIC 500X500X50MM</t>
  </si>
  <si>
    <t>set</t>
  </si>
  <si>
    <t>Anténa venkovní, příjem DVB-T2, zisk 16 dBi, frekvenční rozsah 470-790 MHz, integrovaný LTE/4G filtr</t>
  </si>
  <si>
    <t>Anténa venkovní kombinovaná venkovní anténa pro příjem rozhlasového vysílání v pásku FM a DAB/DAB+; Frekvenční rozsah: FM 87,5 ~ 108 MHz, DAB 174 ~ 230 MHz; Zisk: 1-2 Db; Š. paprsku: 360 °</t>
  </si>
  <si>
    <t>Konektor F na koax.kabel</t>
  </si>
  <si>
    <t>Rozváděč Plast PC/ABS , instalace na omítku (pro osazení přepěťové ochrany)</t>
  </si>
  <si>
    <t>Přepěťová ochrana TV pro koax.kabel</t>
  </si>
  <si>
    <t>Zásuvka koncová TV / R  včetně rámečku (Design zásuvek nutno sjednotit se zásuvkami 230V.)</t>
  </si>
  <si>
    <t>Zakončovací odpor 75 Ohm do zásuvek / 10 ks</t>
  </si>
  <si>
    <t>sada</t>
  </si>
  <si>
    <t>Vícepásmový zesil. 24 dB se  zdrojem, regulace zisku, DVB-T2</t>
  </si>
  <si>
    <t>Multipřepínač pro distribuci pozemních a satelitních signálů pro 12 účastníků, včetně pozemních digitálních rádiových a televizních programů; zabudovaný napájecí zdroj; zemnící svorka;</t>
  </si>
  <si>
    <t>Měření  signálu před a po instalaci</t>
  </si>
  <si>
    <t>Oživení systému, zaškolení obsluhy</t>
  </si>
  <si>
    <t>Výchozí revize, provední funkční zkoušky systému, uvedení do provozu, zaškolení obsluhy</t>
  </si>
  <si>
    <t>Autonomní detekce požáru (ADP)</t>
  </si>
  <si>
    <t>Zařízení autonomní detekce</t>
  </si>
  <si>
    <t>Opticko kouřový hlásič požáru napájený z 9 V baterie s 85 decibelovou sirénou,v souladu s EN14604. Další doporučené je vybavení testovací tlačítko a tlačítko pro vypnutí signalizace</t>
  </si>
  <si>
    <t>Společné kabelové trasy</t>
  </si>
  <si>
    <t>Hlavní horizontální a vertikální trasy</t>
  </si>
  <si>
    <t>Žlab kovový 250/ 100 EKZS, 2m, vč. spojky a víka žlabu</t>
  </si>
  <si>
    <t>Tvarové prvky a příslušenství pro žlab kovový 250/ 100 EKZS</t>
  </si>
  <si>
    <t>Nosník/závěs pro žlab 250/ 100,  vč. Montážního příslušenství</t>
  </si>
  <si>
    <t>Kov. dělící přepážka na kabel. žlabu v.100mm (pro oddělení vedení jednotlivých systémů)</t>
  </si>
  <si>
    <t>Pol85</t>
  </si>
  <si>
    <t>Žlab kovový 125/ 50 EKZS, 2m, vč. spojky a víka žlabu</t>
  </si>
  <si>
    <t>Tvarové prvky a příslušenství pro žlab kovový 125/ 50 EKZS</t>
  </si>
  <si>
    <t>Nosník/závěs pro žlab 125/ 50,  vč. Montážního příslušenství</t>
  </si>
  <si>
    <t>Kov. dělící přepážka na kabel. žlabu v.50mm (pro oddělení vedení jednotlivých systémů)</t>
  </si>
  <si>
    <t>Požární ucpávky materiál, včetně označení dle ČSN, prostup do 250/250</t>
  </si>
  <si>
    <t>D1.901 - Osobní výtahy</t>
  </si>
  <si>
    <t>HSV - Dodávky a montáže dopr. zařízení</t>
  </si>
  <si>
    <t xml:space="preserve">    9 - Osobní výtahy</t>
  </si>
  <si>
    <t>Dodávky a montáže dopr. zařízení</t>
  </si>
  <si>
    <t>Výtah A 4st. (1.PP-3.NP)</t>
  </si>
  <si>
    <t>2124789109</t>
  </si>
  <si>
    <t>Výtah B 4st. (1.PP-3.NP)</t>
  </si>
  <si>
    <t>1117195252</t>
  </si>
  <si>
    <t>Výtah C 4st. (1.PP-3.NP)</t>
  </si>
  <si>
    <t>1608412703</t>
  </si>
  <si>
    <t>V04</t>
  </si>
  <si>
    <t>Výtah D 5st. (1.PP-3.NP)</t>
  </si>
  <si>
    <t>-1224402131</t>
  </si>
  <si>
    <t>D1.902 - Vnitřní dopravní značení</t>
  </si>
  <si>
    <t>914111111</t>
  </si>
  <si>
    <t>Montáž svislé dopravní značky základní velikosti do 1 m2 objímkami na sloupky nebo konzoly</t>
  </si>
  <si>
    <t>40445625</t>
  </si>
  <si>
    <t>informativní značky provozní IP8, IP9, IP11-IP13 500x700mm</t>
  </si>
  <si>
    <t>IP12</t>
  </si>
  <si>
    <t>914511111</t>
  </si>
  <si>
    <t>Montáž sloupku dopravních značek délky do 3,5 m do betonového základu</t>
  </si>
  <si>
    <t>40445225</t>
  </si>
  <si>
    <t>sloupek pro dopravní značku Zn D 60mm v 3,5m</t>
  </si>
  <si>
    <t>915211112</t>
  </si>
  <si>
    <t>Vodorovné dopravní značení stříkaným plastem dělící čára šířky 125 mm souvislá bílá retroreflexní</t>
  </si>
  <si>
    <t>V10b</t>
  </si>
  <si>
    <t>263,0</t>
  </si>
  <si>
    <t>915231112</t>
  </si>
  <si>
    <t>Vodorovné dopravní značení stříkaným plastem přechody pro chodce, šipky, symboly nápisy bílé retroreflexní</t>
  </si>
  <si>
    <t>V9a - plocha šipky 0,9m2</t>
  </si>
  <si>
    <t>0,9*8</t>
  </si>
  <si>
    <t>915351111</t>
  </si>
  <si>
    <t>Vodorovné značení předformovaným termoplastem písmena nebo číslice velikosti do 1 m</t>
  </si>
  <si>
    <t>V10f</t>
  </si>
  <si>
    <t>915611111</t>
  </si>
  <si>
    <t>Předznačení pro vodorovné značení stříkané barvou nebo prováděné z nátěrových hmot liniové dělicí čáry, vodicí proužky</t>
  </si>
  <si>
    <t>915621111</t>
  </si>
  <si>
    <t>Předznačení pro vodorovné značení stříkané barvou nebo prováděné z nátěrových hmot plošné šipky, symboly, nápisy</t>
  </si>
  <si>
    <t>916781111R</t>
  </si>
  <si>
    <t>Parkovací doraz - pryž, dl. 183cm</t>
  </si>
  <si>
    <t>Poznámka k položce:_x000D_
Poznámka k položce: v ceně montáž i materiál</t>
  </si>
  <si>
    <t>1,83*72,0</t>
  </si>
  <si>
    <t>Poznámka k položce:_x000D_
Poznámka k položce: Z9 -označení na sloupech šikmé (45°) pruhy černé x žluté (0,25m),</t>
  </si>
  <si>
    <t>998223011</t>
  </si>
  <si>
    <t>Přesun hmot pro pozemní komunikace s krytem dlážděným dopravní vzdálenost do 200 m jakékoliv délky objektu</t>
  </si>
  <si>
    <t>02 - Venkovní objekty a přípojky</t>
  </si>
  <si>
    <t>IO - Přípojky</t>
  </si>
  <si>
    <t>Úroveň 3:</t>
  </si>
  <si>
    <t>IO01 - Přípojka vodovodu</t>
  </si>
  <si>
    <t>D1 - IO 01 - Přípojky inženýrských sítí - 420 - Přípojky vodovodu</t>
  </si>
  <si>
    <t xml:space="preserve">    D2 - 01 - Zemní práce</t>
  </si>
  <si>
    <t xml:space="preserve">    D3 - 02 - Zakládání</t>
  </si>
  <si>
    <t xml:space="preserve">    D4 - 03 - Vodorovné konstrukce</t>
  </si>
  <si>
    <t xml:space="preserve">    D5 - 04 - Trubní vedení</t>
  </si>
  <si>
    <t xml:space="preserve">    D6 - 05 - Ostatní konstrukce a práce, bourání</t>
  </si>
  <si>
    <t xml:space="preserve">    D7 - 06 - Přesun hmot</t>
  </si>
  <si>
    <t xml:space="preserve">    D8 - 07 - Ostatní náklady</t>
  </si>
  <si>
    <t>IO 01 - Přípojky inženýrských sítí - 420 - Přípojky vodovodu</t>
  </si>
  <si>
    <t>01 - Zemní práce</t>
  </si>
  <si>
    <t>Pol367</t>
  </si>
  <si>
    <t>Hloubení rýh do š. 1000, v hornině tř. 3 a 4, odvoz na mezideponii</t>
  </si>
  <si>
    <t>Pol400</t>
  </si>
  <si>
    <t>Hloubení jámy pro vodoměrnou šachtu</t>
  </si>
  <si>
    <t>Pol368</t>
  </si>
  <si>
    <t>Zřízení a odstranění pažení do 2,5 m hloubky</t>
  </si>
  <si>
    <t>Pol369</t>
  </si>
  <si>
    <t>Odvoz vytěžené sypaniny na skládku</t>
  </si>
  <si>
    <t>Pol370</t>
  </si>
  <si>
    <t>Zásyp rýh vytěženou sypaninou se zhutněním</t>
  </si>
  <si>
    <t>Pol373</t>
  </si>
  <si>
    <t>Odstranění humusu tl. 100 mm, odvod na mezideponii</t>
  </si>
  <si>
    <t>Pol374</t>
  </si>
  <si>
    <t>Odstranění konstrukce chodníku</t>
  </si>
  <si>
    <t>02 - Zakládání</t>
  </si>
  <si>
    <t>Pol375</t>
  </si>
  <si>
    <t>Podsyp pískem se zhutněním</t>
  </si>
  <si>
    <t>Pol376</t>
  </si>
  <si>
    <t>Podbetonování armatur</t>
  </si>
  <si>
    <t>Pol401</t>
  </si>
  <si>
    <t>Podkladový beton</t>
  </si>
  <si>
    <t>Pol402</t>
  </si>
  <si>
    <t>Štěrk drcený fr. 8/16 se zhutněním</t>
  </si>
  <si>
    <t>03 - Vodorovné konstrukce</t>
  </si>
  <si>
    <t>Pol377</t>
  </si>
  <si>
    <t>Obsyp pískem se zhutněním</t>
  </si>
  <si>
    <t>04 - Trubní vedení</t>
  </si>
  <si>
    <t>Pol403</t>
  </si>
  <si>
    <t>Potrubí PEHD 100 SDR 11 63x5,8</t>
  </si>
  <si>
    <t>Pol379</t>
  </si>
  <si>
    <t>Krytí potrubí výstražnou fólií z PVC 40 cm</t>
  </si>
  <si>
    <t>Pol404</t>
  </si>
  <si>
    <t>Celolitinový navrtávací pas na LT 150</t>
  </si>
  <si>
    <t>Pol405</t>
  </si>
  <si>
    <t>Šoupě Š 50 + ZZS</t>
  </si>
  <si>
    <t>Pol406</t>
  </si>
  <si>
    <t>Přechodka s vnějším trubkovým závitem PE D63/DN 50</t>
  </si>
  <si>
    <t>Pol407</t>
  </si>
  <si>
    <t>Uzavírací ventivl závitový DN 50</t>
  </si>
  <si>
    <t>Pol408</t>
  </si>
  <si>
    <t>Filtr DN 50</t>
  </si>
  <si>
    <t>Pol409</t>
  </si>
  <si>
    <t>Redukce DN 50/DN 40</t>
  </si>
  <si>
    <t>Pol410</t>
  </si>
  <si>
    <t>Vodoměr závitový DN 40 (Q= 16 m3/s)</t>
  </si>
  <si>
    <t>Pol411</t>
  </si>
  <si>
    <t>Uzavírací ventil závitový DN 50 s vypouštěním</t>
  </si>
  <si>
    <t>Pol412</t>
  </si>
  <si>
    <t>Zpětná klapka DN 50</t>
  </si>
  <si>
    <t>05 - Ostatní konstrukce a práce, bourání</t>
  </si>
  <si>
    <t>Pol413</t>
  </si>
  <si>
    <t>Tlaková zkouška vodou, potrubí DN 50</t>
  </si>
  <si>
    <t>Pol414</t>
  </si>
  <si>
    <t>Proplach a desinfekce vodovodního potrubí DN 50</t>
  </si>
  <si>
    <t>Pol393</t>
  </si>
  <si>
    <t>Orientační tabulky vč. sloupků</t>
  </si>
  <si>
    <t>Pol415</t>
  </si>
  <si>
    <t>Prefabrikovaná železobetonová vodoměrná šachta</t>
  </si>
  <si>
    <t>06 - Přesun hmot</t>
  </si>
  <si>
    <t>Pol416</t>
  </si>
  <si>
    <t>Přesun hmot pro trubní vedení z PE trub otevřený výkop</t>
  </si>
  <si>
    <t>07 - Ostatní náklady</t>
  </si>
  <si>
    <t>Pol417</t>
  </si>
  <si>
    <t>Poplatek za uložení odpadu ze sypaniny na skládce (skládkovné)</t>
  </si>
  <si>
    <t>IO02 - Přípojka plynovodu</t>
  </si>
  <si>
    <t>Pol457</t>
  </si>
  <si>
    <t>Potrubí PE 100RC, dn 32 - SDR 11 32 X 3,0 mm D+M</t>
  </si>
  <si>
    <t>Pol424</t>
  </si>
  <si>
    <t>Přípojkový Tkus PE 110/32 D+M</t>
  </si>
  <si>
    <t>Pol425</t>
  </si>
  <si>
    <t>Napojení na plynovod, vč. napuštění plynem</t>
  </si>
  <si>
    <t>Pol458</t>
  </si>
  <si>
    <t>Odstranění podkladů nebo krytů strojně plochy jednotlivě do 50 m2 s přemístěním hmot na skládku na vzdálenost do 3 m nebo s naložením na dopravní prostředek živičných, o tl. vrstvy do 50 mm</t>
  </si>
  <si>
    <t>Pol459</t>
  </si>
  <si>
    <t>Odstranění podkladů nebo krytů strojně plochy jednotlivě do 50 m2 s přemístěním hmot na skládku na vzdálenost do 3 m nebo s naložením na dopravní prostředek živičných, o tl. vrstvy přes 50 mm</t>
  </si>
  <si>
    <t>Pol460</t>
  </si>
  <si>
    <t>Odstranění podkladů nebo krytů strojně plochy jednotlivě do 50 m2 s přemístěním hmot na skládku na vzdálenost do 3 m nebo s naložením na dopravní prostředek z kameniva hrubého drceného, o tl. vrstvy přes 200 do 300 mm</t>
  </si>
  <si>
    <t>Pol461</t>
  </si>
  <si>
    <t>Dočasné zajištění podzemního potrubí nebo vedení ve výkopišti ve stavu i poloze, ve kterých byla na začátku zemních prací a to s podepřením, vzepřením nebo vyvěšením, příp. s ochranným bedněním, se zřízením a odstraněním zajišťovací konstrukce</t>
  </si>
  <si>
    <t>Pol462</t>
  </si>
  <si>
    <t>Vodorovné přemístění výkopku nebo sypaniny po suchu na obvyklém dopravním prostředku, bez naložení výkopku, avšak se složením bez rozhrnutí z horniny třídy těžitelnosti I skupiny 1 až 3 na vzdálenost přes 9 000 do 10 000 m</t>
  </si>
  <si>
    <t>Pol463</t>
  </si>
  <si>
    <t>Vodorovné přemístění výkopku nebo sypaniny po suchu na obvyklém dopravním prostředku, bez naložení výkopku, avšak se složením bez rozhrnutí z horniny třídy těžitelnosti I skupiny 1 až 3 na vzdálenost Příplatek k ceně za každých dalších i započatých 1 000</t>
  </si>
  <si>
    <t>Pol464</t>
  </si>
  <si>
    <t>Poplatek za uložení stavebního odpadu na skládce (skládkovné) zeminy a kamení zatříděného do Katalogu odpadů pod kódem 17 05 04</t>
  </si>
  <si>
    <t>Pol465</t>
  </si>
  <si>
    <t>Podklad ze štěrkodrti ŠD s rozprostřením a zhutněním, po zhutnění tl. 150 mm</t>
  </si>
  <si>
    <t>Pol466</t>
  </si>
  <si>
    <t>Podklad ze směsi stmelené cementem SC bez dilatačních spár, s rozprostřením a zhutněním SC C 20/25 (PB I), po zhutnění tl. 200 mm</t>
  </si>
  <si>
    <t>Pol467</t>
  </si>
  <si>
    <t>Postřik infiltrační PI z asfaltu silničního s posypem kamenivem, v množství 1,00 kg/m2</t>
  </si>
  <si>
    <t>Pol468</t>
  </si>
  <si>
    <t>Asfaltový beton vrstva obrusná ACO 11 (ABS) s rozprostřením a se zhutněním z modifikovaného asfaltu v pruhu šířky do 1,5 m, po zhutnění tl. 40 mm</t>
  </si>
  <si>
    <t>Pol440</t>
  </si>
  <si>
    <t>Pol469</t>
  </si>
  <si>
    <t>IO03 - Přípojka dešťové kanalizace</t>
  </si>
  <si>
    <t>D1 - IO 03 - Přípojky inženýrských sítí - 410 - Přípojky dešťové kanalizace</t>
  </si>
  <si>
    <t xml:space="preserve">    D3 - 02 - Vodorovné konstrukce</t>
  </si>
  <si>
    <t xml:space="preserve">    D4 - 03 - Trubní vedení</t>
  </si>
  <si>
    <t xml:space="preserve">    D5 - 04 - Ostatní konstrukce a práce, bourání</t>
  </si>
  <si>
    <t xml:space="preserve">    D6 - 05 - Přesun hmot</t>
  </si>
  <si>
    <t xml:space="preserve">    D7 - 06 - Ostatní náklady</t>
  </si>
  <si>
    <t>IO 03 - Přípojky inženýrských sítí - 410 - Přípojky dešťové kanalizace</t>
  </si>
  <si>
    <t>Pol443</t>
  </si>
  <si>
    <t>Pol444</t>
  </si>
  <si>
    <t>Pol445</t>
  </si>
  <si>
    <t>Odstranění konstrukce komunikace</t>
  </si>
  <si>
    <t>02 - Vodorovné konstrukce</t>
  </si>
  <si>
    <t>Pol446</t>
  </si>
  <si>
    <t>Obetonování potrubí beton C15/20</t>
  </si>
  <si>
    <t>Pol447</t>
  </si>
  <si>
    <t>Podkladní beton</t>
  </si>
  <si>
    <t>Pol448</t>
  </si>
  <si>
    <t>Podkladní vrstva ŠD - šachty</t>
  </si>
  <si>
    <t>Pol449</t>
  </si>
  <si>
    <t>Dlažba 100x100x100</t>
  </si>
  <si>
    <t>03 - Trubní vedení</t>
  </si>
  <si>
    <t>Pol450</t>
  </si>
  <si>
    <t>Trouba KT 200</t>
  </si>
  <si>
    <t>Pol451</t>
  </si>
  <si>
    <t>Kanalizační šachty z betonových dílců, poklop, stupadla, výška ø2,1 m</t>
  </si>
  <si>
    <t>04 - Ostatní konstrukce a práce, bourání</t>
  </si>
  <si>
    <t>Pol452</t>
  </si>
  <si>
    <t>Kamerová prohlídka potrubí</t>
  </si>
  <si>
    <t>05 - Přesun hmot</t>
  </si>
  <si>
    <t>Pol453</t>
  </si>
  <si>
    <t>Přesun hmot pro trubní vedení z kameninových trub otevřený výkop</t>
  </si>
  <si>
    <t>06 - Ostatní náklady</t>
  </si>
  <si>
    <t>Pol396</t>
  </si>
  <si>
    <t>IO04 - Přípojka splaškové kanalizace</t>
  </si>
  <si>
    <t>D1 - IO 04 - Přípojky inženýrských sítí - 410 - Přípojky splaškové kanalizace</t>
  </si>
  <si>
    <t>IO 04 - Přípojky inženýrských sítí - 410 - Přípojky splaškové kanalizace</t>
  </si>
  <si>
    <t>Pol454</t>
  </si>
  <si>
    <t>Zřízení a odstranění pažení do 3 m hloubky</t>
  </si>
  <si>
    <t>Pol455</t>
  </si>
  <si>
    <t>Pol456</t>
  </si>
  <si>
    <t>IO05 - PRE</t>
  </si>
  <si>
    <t>IO.05</t>
  </si>
  <si>
    <t>1969273932</t>
  </si>
  <si>
    <t>IO06 - CETIN</t>
  </si>
  <si>
    <t>IO.06</t>
  </si>
  <si>
    <t>369521426</t>
  </si>
  <si>
    <t>IO07 - Veřejné osvětlení</t>
  </si>
  <si>
    <t>M - Práce a dodávky M</t>
  </si>
  <si>
    <t xml:space="preserve">    21-M - Elektromontáže</t>
  </si>
  <si>
    <t xml:space="preserve">    46-M - Zemní práce při extr.mont.pracích</t>
  </si>
  <si>
    <t>741375833</t>
  </si>
  <si>
    <t>Demontáž svítidla průmyslového výbojkového venkovního na stožáru přes 3 m se zachováním funkčnosti</t>
  </si>
  <si>
    <t>1434442031</t>
  </si>
  <si>
    <t>-1047973191</t>
  </si>
  <si>
    <t>1828039714</t>
  </si>
  <si>
    <t>1039894819</t>
  </si>
  <si>
    <t>DEM1</t>
  </si>
  <si>
    <t>Demontáž sloupů VO</t>
  </si>
  <si>
    <t>402886189</t>
  </si>
  <si>
    <t>DEM2</t>
  </si>
  <si>
    <t>Demontáže patek sloupů VO</t>
  </si>
  <si>
    <t>-1176035016</t>
  </si>
  <si>
    <t>Práce a dodávky M</t>
  </si>
  <si>
    <t>21-M</t>
  </si>
  <si>
    <t>Elektromontáže</t>
  </si>
  <si>
    <t>210202013</t>
  </si>
  <si>
    <t>Montáž svítidlo výbojkové průmyslové nebo venkovní na výložník</t>
  </si>
  <si>
    <t>980890410</t>
  </si>
  <si>
    <t>SV1</t>
  </si>
  <si>
    <t>Svítidlo výbojkové safír 1 70W</t>
  </si>
  <si>
    <t>2131790879</t>
  </si>
  <si>
    <t>210204011</t>
  </si>
  <si>
    <t>Montáž stožárů osvětlení ocelových samostatně stojících délky do 12 m</t>
  </si>
  <si>
    <t>-1296054885</t>
  </si>
  <si>
    <t>stož2</t>
  </si>
  <si>
    <t>Osvětlovací stožár veřejného osvětlení JBUD8m</t>
  </si>
  <si>
    <t>-1852692302</t>
  </si>
  <si>
    <t>210204103</t>
  </si>
  <si>
    <t>Montáž výložníků osvětlení jednoramenných sloupových hmotnosti do 35 kg</t>
  </si>
  <si>
    <t>1881624393</t>
  </si>
  <si>
    <t>stož4</t>
  </si>
  <si>
    <t>Výložník jednoramenný 1m</t>
  </si>
  <si>
    <t>69793274</t>
  </si>
  <si>
    <t>210204201</t>
  </si>
  <si>
    <t>Montáž elektrovýzbroje stožárů osvětlení 1 okruh</t>
  </si>
  <si>
    <t>1036556125</t>
  </si>
  <si>
    <t>stož3</t>
  </si>
  <si>
    <t>Svorkovnice do stožáru</t>
  </si>
  <si>
    <t>-1792076131</t>
  </si>
  <si>
    <t>220060423</t>
  </si>
  <si>
    <t>Položení ochranné trubky do kabelového lože průměru 110 mm</t>
  </si>
  <si>
    <t>1608221255</t>
  </si>
  <si>
    <t>34571352</t>
  </si>
  <si>
    <t>trubka elektroinstalační ohebná dvouplášťová korugovaná (chránička) D 52/63mm, HDPE+LDPE</t>
  </si>
  <si>
    <t>686231773</t>
  </si>
  <si>
    <t>34571355</t>
  </si>
  <si>
    <t>trubka elektroinstalační ohebná dvouplášťová korugovaná (chránička) D 94/110mm, HDPE+LDPE</t>
  </si>
  <si>
    <t>-2142819910</t>
  </si>
  <si>
    <t>46-M</t>
  </si>
  <si>
    <t>Zemní práce při extr.mont.pracích</t>
  </si>
  <si>
    <t>460050003</t>
  </si>
  <si>
    <t>Hloubení nezapažených jam pro stožáry jednoduché délky do 8 m na rovině ručně v hornině tř 3</t>
  </si>
  <si>
    <t>1619901872</t>
  </si>
  <si>
    <t>stož1</t>
  </si>
  <si>
    <t>Základová patka pro slou pVO</t>
  </si>
  <si>
    <t>1442472689</t>
  </si>
  <si>
    <t>460150043</t>
  </si>
  <si>
    <t>Hloubení kabelových zapažených i nezapažených rýh ručně š 40 cm, hl 60 cm, v hornině tř 3</t>
  </si>
  <si>
    <t>-1105282627</t>
  </si>
  <si>
    <t>460150303</t>
  </si>
  <si>
    <t>Hloubení kabelových zapažených i nezapažených rýh ručně š 50 cm, hl 120 cm, v hornině tř 3</t>
  </si>
  <si>
    <t>945241271</t>
  </si>
  <si>
    <t>460421001</t>
  </si>
  <si>
    <t>Lože kabelů z písku nebo štěrkopísku tl 5 cm nad kabel, bez zakrytí, šířky lože do 65 cm</t>
  </si>
  <si>
    <t>-893600269</t>
  </si>
  <si>
    <t>460421172</t>
  </si>
  <si>
    <t>Lože kabelů z písku nebo štěrkopísku tl 10 cm nad kabel, kryté plastovou deskou, š lože do 50 cm</t>
  </si>
  <si>
    <t>1821207144</t>
  </si>
  <si>
    <t>folie</t>
  </si>
  <si>
    <t>Červená fólie nad kabel</t>
  </si>
  <si>
    <t>-2067166950</t>
  </si>
  <si>
    <t>460560043</t>
  </si>
  <si>
    <t>Zásyp rýh ručně šířky 40 cm, hloubky 60 cm, z horniny třídy 3</t>
  </si>
  <si>
    <t>401736327</t>
  </si>
  <si>
    <t>460560303</t>
  </si>
  <si>
    <t>Zásyp rýh ručně šířky 50 cm, hloubky 120 cm, z horniny třídy 3</t>
  </si>
  <si>
    <t>1448824021</t>
  </si>
  <si>
    <t>1785519846</t>
  </si>
  <si>
    <t>-310660765</t>
  </si>
  <si>
    <t>997807739</t>
  </si>
  <si>
    <t>-1145072673</t>
  </si>
  <si>
    <t>-910746428</t>
  </si>
  <si>
    <t>-1272592800</t>
  </si>
  <si>
    <t>IOX - Přeložky</t>
  </si>
  <si>
    <t>D1 - IOX 01 - Přeložky vodovodu - 420 - Přeložky a rušení inženýrských sítí</t>
  </si>
  <si>
    <t>IOX 01 - Přeložky vodovodu - 420 - Přeložky a rušení inženýrských sítí</t>
  </si>
  <si>
    <t>Pol378</t>
  </si>
  <si>
    <t>Potrubí LT150</t>
  </si>
  <si>
    <t>Pol380</t>
  </si>
  <si>
    <t>Hydrant podzemní 80 + ZZS</t>
  </si>
  <si>
    <t>Pol381</t>
  </si>
  <si>
    <t>Patkové přírubové koleno 80</t>
  </si>
  <si>
    <t>Pol382</t>
  </si>
  <si>
    <t>Šoupě 80 + ZZS</t>
  </si>
  <si>
    <t>Pol383</t>
  </si>
  <si>
    <t>T kus 150/80</t>
  </si>
  <si>
    <t>Pol384</t>
  </si>
  <si>
    <t>T kus 150/150</t>
  </si>
  <si>
    <t>Pol385</t>
  </si>
  <si>
    <t>Šoupě 150 + ZS</t>
  </si>
  <si>
    <t>Pol386</t>
  </si>
  <si>
    <t>E 150</t>
  </si>
  <si>
    <t>Pol387</t>
  </si>
  <si>
    <t>F150</t>
  </si>
  <si>
    <t>Pol388</t>
  </si>
  <si>
    <t>K 150 - 45</t>
  </si>
  <si>
    <t>Pol389</t>
  </si>
  <si>
    <t>K 150 - 22</t>
  </si>
  <si>
    <t>Pol390</t>
  </si>
  <si>
    <t>Celolitinový navrtávací pas LT 150 - napojení stávajících přípojek</t>
  </si>
  <si>
    <t>Pol391</t>
  </si>
  <si>
    <t>Tlaková zkouška vodou, potrubí DN 150</t>
  </si>
  <si>
    <t>Pol392</t>
  </si>
  <si>
    <t>Pol394</t>
  </si>
  <si>
    <t>Zafoukání stávajícího potrubí popílkobetonem</t>
  </si>
  <si>
    <t>Pol395</t>
  </si>
  <si>
    <t>Přesun hmot pro trubní vedení z LT trub otevřený výkop</t>
  </si>
  <si>
    <t>IOX05 - přeložka PRE</t>
  </si>
  <si>
    <t>IOX.05</t>
  </si>
  <si>
    <t>-1194397029</t>
  </si>
  <si>
    <t>IOX06 - přeložka CETIN</t>
  </si>
  <si>
    <t>IOX.06</t>
  </si>
  <si>
    <t>-1785025439</t>
  </si>
  <si>
    <t>S041 - Sadové úpravy a kácení</t>
  </si>
  <si>
    <t>1 - Zemní práce</t>
  </si>
  <si>
    <t>111201101R00</t>
  </si>
  <si>
    <t>Odstranění křovin i s kořeny na ploše do 1000 m2</t>
  </si>
  <si>
    <t>167101102R00</t>
  </si>
  <si>
    <t>Nakládání výkopku z hor.1-4 v množství nad 100 m3 ornice</t>
  </si>
  <si>
    <t>112100010RA0</t>
  </si>
  <si>
    <t>Kácení stromů 20-30 cm, naložení a odvoz do 1 km</t>
  </si>
  <si>
    <t>162100010RA0</t>
  </si>
  <si>
    <t>Vodorovné přemístění výkopku</t>
  </si>
  <si>
    <t>162100010RAC</t>
  </si>
  <si>
    <t>Vodorovné přemístění výkopku - příplatek za dalších 10 km</t>
  </si>
  <si>
    <t>162301501R00</t>
  </si>
  <si>
    <t>Vodorovné přemístění křovin do  5000 m</t>
  </si>
  <si>
    <t>171201101R00</t>
  </si>
  <si>
    <t>Uložení sypaniny do násypů nezhutněných - střešní substráty intenzivní zemina 30 cm</t>
  </si>
  <si>
    <t>181300012RA0</t>
  </si>
  <si>
    <t>Rozprostření ornice v rovině tloušťka 20 cm</t>
  </si>
  <si>
    <t>182001121R00</t>
  </si>
  <si>
    <t>Plošná úprava terénu, nerovnosti do 15 cm v rovině</t>
  </si>
  <si>
    <t>183403114R00</t>
  </si>
  <si>
    <t>Obdělání půdy kultivátorováním v rovině</t>
  </si>
  <si>
    <t>183403153R00</t>
  </si>
  <si>
    <t>Obdělání půdy hrabáním, v rovině</t>
  </si>
  <si>
    <t>185802113R00</t>
  </si>
  <si>
    <t>Hnojení umělým hnojivem v rovině</t>
  </si>
  <si>
    <t>184802111R00</t>
  </si>
  <si>
    <t>Chem. odplevelení před založ. postřikem, v rovině</t>
  </si>
  <si>
    <t>183101221R00</t>
  </si>
  <si>
    <t>Hloub. jamek s výměnou 50% půdy do 1 m3 sv.1:5</t>
  </si>
  <si>
    <t>183101213R00</t>
  </si>
  <si>
    <t>Hloub. jamek s výměnou 50% půdy do 0,05 m3, 1:5</t>
  </si>
  <si>
    <t>184102115R00</t>
  </si>
  <si>
    <t>Výsadba dřevin s balem D do 60 cm, v rovině</t>
  </si>
  <si>
    <t>184102111R00</t>
  </si>
  <si>
    <t>Výsadba dřevin s balem D do 20 cm, v rovině</t>
  </si>
  <si>
    <t>184921096R00</t>
  </si>
  <si>
    <t>Mulčování rostlin tl. do 0,15 m rovina</t>
  </si>
  <si>
    <t>184202112R00</t>
  </si>
  <si>
    <t>Ukotvení dřeviny kůly D do 10 cm, dl. do 3 m</t>
  </si>
  <si>
    <t>180402111R00</t>
  </si>
  <si>
    <t>Založení trávníku parkového výsevem v rovině</t>
  </si>
  <si>
    <t>289970111R00</t>
  </si>
  <si>
    <t>Vrstva geotextilie 300g/m2</t>
  </si>
  <si>
    <t>631571005R00</t>
  </si>
  <si>
    <t>Násyp z kameniva těž. praného fr. 22-32 (kačírku) – vegetačních plochy pro stromy v dlažbě, 10 cm, vč. dodání</t>
  </si>
  <si>
    <t>711403313RT2</t>
  </si>
  <si>
    <t>Drenážní rohož položená na sucho, vč. dodání</t>
  </si>
  <si>
    <t>713191100RT9</t>
  </si>
  <si>
    <t>Položení separační fólie</t>
  </si>
  <si>
    <t>998231311R00</t>
  </si>
  <si>
    <t>Přesun hmot pro sadovnické a krajin. úpravy do 5km</t>
  </si>
  <si>
    <t>substrát pro výměnu v jamkách</t>
  </si>
  <si>
    <t>intenzivní střešní substrát</t>
  </si>
  <si>
    <t>geotextilie 300g/m2, 5% prořez</t>
  </si>
  <si>
    <t>mulčovací kůra</t>
  </si>
  <si>
    <t>travní osivo parková směs</t>
  </si>
  <si>
    <t>hnojivo Cererit</t>
  </si>
  <si>
    <t>herbicid Roundup</t>
  </si>
  <si>
    <t>l</t>
  </si>
  <si>
    <t>kotvící kůly 3 m, vč. vázacího materiálu</t>
  </si>
  <si>
    <t>Acer platanoides Hana 16-18 cm</t>
  </si>
  <si>
    <t>Fraxinus angustifolia Raywood 16-18 cm</t>
  </si>
  <si>
    <t>Prunus sargentii Rancho 16-18</t>
  </si>
  <si>
    <t>Fraxinus ornus Mecsek 16-18 cm</t>
  </si>
  <si>
    <t>Prunus padus Nana 16-18 cm</t>
  </si>
  <si>
    <t>Picea abies Cupressina v. 150 cm</t>
  </si>
  <si>
    <t>Carpinus betulus Fastigiata</t>
  </si>
  <si>
    <t>Pyracantha coccinea kont. 2,5 l.</t>
  </si>
  <si>
    <t>Spiraea vanhouttei kont. 2,5 l.</t>
  </si>
  <si>
    <t>půdopokryvné růže Knirps kont. 1,5 l.</t>
  </si>
  <si>
    <t>Potentilla fruticosa Goldteppich kont. 2,5 l.</t>
  </si>
  <si>
    <t>Lavandula angustifolia kont. 2,5 l.</t>
  </si>
  <si>
    <t>Hedera helix kont. K2</t>
  </si>
  <si>
    <t>Parthenocyssus quinquefolia K2</t>
  </si>
  <si>
    <t>S044 - Drobná venkovná architektura</t>
  </si>
  <si>
    <t>D1 - SO44 Drobná venkovní architektura</t>
  </si>
  <si>
    <t>SO44 Drobná venkovní architektura</t>
  </si>
  <si>
    <t>LP01</t>
  </si>
  <si>
    <t>Ocelová konstrukce š.120cm, profil 40/40/2,5 a výplň z plného plechu, výška dle zídky oplocení (v.1.2m), kotvená do bočních železobetonových zídek, PÚ: žárové zinkování + 1 vrstva epoxidové práškového laku + 1 vrstva polyuretanového práškového laku (antra</t>
  </si>
  <si>
    <t>Poznámka k položce:_x000D_
umístění viz. SO 44 výkres 0410 PŮDORYS PARTERU</t>
  </si>
  <si>
    <t>LP02</t>
  </si>
  <si>
    <t>Ocelová konstrukce š.190cm, profil 40/40/2,5 a výplň z plného plechu, výška dle zídky oplocení (v.1.2m), kotvená do bočních železobetonových zídek. Dvojkřídlé provedení s blokací doplňkového křídla, PÚ: žárové zinkování + 1 vrstva epoxidové práškového lak</t>
  </si>
  <si>
    <t>LP03</t>
  </si>
  <si>
    <t>Ocelová konstrukce š.205cm, profil 40/40/2,5 a výplň z plného plechu, výška dle zídky oplocení (v.1.2m), kotvená do bočních železobetonových zídek. Dvojkřídlé provedení s blokací doplňkového křídla, PÚ: žárové zinkování + 1 vrstva epoxidové práškového lak</t>
  </si>
  <si>
    <t>LP04</t>
  </si>
  <si>
    <t>Ocelová konstrukce š.190cm, profil 40/40/2,5 a výplň z plného plechu, výška dle zídky oplocení (v.1.2m), kotvená do bočních železobetonových zídek.  Dvojkřídlé provedení s blokací doplňkového křídla, PÚ: žárové zinkování + 1 vrstva epoxidové práškového la</t>
  </si>
  <si>
    <t>LP05</t>
  </si>
  <si>
    <t>Ocelová konstrukce, profil 40/40/2,5 a výplň z plného plechu, výška dle zídky oplocení (v.1.2m), kotvená do bočních železobetonových zídek, PÚ: žárové zinkování + 1 vrstva epoxidové práškového laku + 1 vrstva polyuretanového práškového laku (antracitová b</t>
  </si>
  <si>
    <t>LP06A</t>
  </si>
  <si>
    <t>Systémové průhledné oplocení z poplatovaného pletiva výšky 125 cm,doplněné popínavou zelení (viz část D_SO41_SADOVÉ ÚPRAVY), dodávka vč. kulatých sloupků, napínacích drátů, příchytek, podhrabových desek a základů, PÚ: antracit</t>
  </si>
  <si>
    <t xml:space="preserve">Poznámka k položce:_x000D_
Bude vyvzorkováno_x000D_
umístění viz. SO 44 výkres 0410 PŮDORYS PARTERU_x000D_
</t>
  </si>
  <si>
    <t>LP06B</t>
  </si>
  <si>
    <t>Systémové průhledné oplocení z poplatovaného pletiva výšky 125 cm,doplněné popínavou zelení (viz část D_SO41_SADOVÉ ÚPRAVY), dodávka vč. kulatých sloupků, napínacích drátů, příchytek, sloupky kotevny do horní hrany ŽB zídky, PÚ: antracit</t>
  </si>
  <si>
    <t>Poznámka k položce:_x000D_
Bude vyvzorkováno_x000D_
umístění viz. SO 44 výkres 0410 PŮDORYS PARTERU</t>
  </si>
  <si>
    <t>LP06C</t>
  </si>
  <si>
    <t>Ocelový svařenec žárově pozinkovaný a nátěr kovářskou barvou, kotvený do konstrukce terasy, PÚ: antracit</t>
  </si>
  <si>
    <t>LP07</t>
  </si>
  <si>
    <t>Čtvercové ochranné mříže ke stromům ze zinkované oceli. Ochrana kořenového systému před zničením a současně umožňuje dešťové vodě průsak ke kořenům. Rozměr 3x3m. Bude odsouhlaseno architektem, PÚ: pozink</t>
  </si>
  <si>
    <t>Poznámka k položce:_x000D_
např. REX-Moderna_x000D_
umístění viz. SO 44 výkres 0410 PŮDORYS PARTERU</t>
  </si>
  <si>
    <t>LP08</t>
  </si>
  <si>
    <t>Čtvercové ochranné mříže ke stromům ze zinkované oceli. Ochrana kořenového systému před zničením a současně umožňuje dešťové vodě průsak ke kořenům Rozměr 2x2m. Bude odsouhlaseno architektem, PÚ: pozink</t>
  </si>
  <si>
    <t>LP09</t>
  </si>
  <si>
    <t>Ocelová konstrukce š. 80cm, profil 40/40/2,5 a výplň z plného plechu, výška dle zídky oplocení (v.1.2m), kotvená do bočních železobetonových zídek, povrchová úprava žárový pozink a nátěr kovářskou barvou, PÚ: žárové zinkování + 1 vrstva epoxidové práškové</t>
  </si>
  <si>
    <t>LP10</t>
  </si>
  <si>
    <t>Ocelová konstrukce š.635cm, profil 40/40/2,5 a výplň z plného plechu, výška dle zídky (v.2.0m), kotvená do bočních železobetonových zídek, povrchová úprava žárový pozink a nátěr kovářskou barvou, PÚ: žárové zinkování + 1 vrstva epoxidové práškového laku +</t>
  </si>
  <si>
    <t>LP11</t>
  </si>
  <si>
    <t>Jednostraně použitelný stojan na kola pro 5 míst – galvanizovaný. Provedení z ocelových ohýbaných trubek. Uchycení do podkladu otvory 13 mm, bez montážního materiálu. Šířka 206 cm, hloubka 47 cm, výška 30cm, počet pozic 5 kol.  Bude odsouhlaseno architekt</t>
  </si>
  <si>
    <t>Poznámka k položce:_x000D_
např. Proficity-REK_82_Spartan 5 _x000D_
umístění viz. SO 44 výkres 0410 PŮDORYS PARTERU</t>
  </si>
  <si>
    <t>LP12</t>
  </si>
  <si>
    <t>Ocelová konstrukce š.120cm, profil 40/40/2,5 a výplň z plného plechu, výška dle zídky oplocení (v.1.2m), doplněná o zámek vsazený, kotvená do bočních železobetonových zídek, povrchová úprava žárový pozink a nátěr kovářskou barvou, PÚ: žárové zinkování + 1</t>
  </si>
  <si>
    <t>LP13</t>
  </si>
  <si>
    <t>Odpadní koš o rozměrech: 28 cm šířka, 76 cm výška, - užitečný objem 30 l. Konstrukce z ocelového profilu. Vnější obklad z ocelového plechu. Černá antracit nátěr. Celková výška 76 cm, kapacita 30 l, výška  kontejneru 49 cm, průměr kazety 28 cm, s popelníke</t>
  </si>
  <si>
    <t>SO10 - Komunikace, zpevněné plochy a dopravní značení</t>
  </si>
  <si>
    <t xml:space="preserve">    5 - Komunikace pozemní</t>
  </si>
  <si>
    <t xml:space="preserve">    997 - Přesun sutě</t>
  </si>
  <si>
    <t>113106134</t>
  </si>
  <si>
    <t>Rozebrání dlažeb komunikací pro pěší s přemístěním hmot na skládku na vzdálenost do 3 m nebo s naložením na dopravní prostředek s ložem z kameniva nebo živice a s jakoukoliv výplní spár strojně plochy jednotlivě do 50 m2 ze zámkové dlažby</t>
  </si>
  <si>
    <t>113107182</t>
  </si>
  <si>
    <t>Odstranění podkladů nebo krytů strojně plochy jednotlivě přes 50 m2 do 200 m2 s přemístěním hmot na skládku na vzdálenost do 20 m nebo s naložením na dopravní prostředek živičných, o tl. vrstvy přes 50 do 100 mm</t>
  </si>
  <si>
    <t>113202111</t>
  </si>
  <si>
    <t>Vytrhání obrub s vybouráním lože, s přemístěním hmot na skládku na vzdálenost do 3 m nebo s naložením na dopravní prostředek z krajníků nebo obrubníků stojatých</t>
  </si>
  <si>
    <t>122251104</t>
  </si>
  <si>
    <t>Odkopávky a prokopávky nezapažené strojně v hornině třídy těžitelnosti I skupiny 3 přes 100 do 500 m3</t>
  </si>
  <si>
    <t>odkopávky</t>
  </si>
  <si>
    <t>441,8</t>
  </si>
  <si>
    <t>odkopávky pro aktivní zónu</t>
  </si>
  <si>
    <t>114,4</t>
  </si>
  <si>
    <t xml:space="preserve">Vodorovné přemístění výkopku nebo sypaniny po suchu na obvyklém dopravním prostředku, bez naložení výkopku, avšak se složením bez rozhrnutí z horniny třídy těžitelnosti I skupiny 1 až 3 na vzdálenost Příplatek k ceně za každých dalších i započatých 1 000 </t>
  </si>
  <si>
    <t>556,2*10 "Přepočtené koeficientem množství</t>
  </si>
  <si>
    <t>Poplatek za uložení stavebního odpadu na recyklační skládce (skládkovné) zeminy a kamení zatříděného do Katalogu odpadů pod kódem 17 05 04</t>
  </si>
  <si>
    <t>556,2*1,7 "Přepočtené koeficientem množství</t>
  </si>
  <si>
    <t>181912112</t>
  </si>
  <si>
    <t>Úprava pláně vyrovnáním výškových rozdílů ručně v hornině třídy těžitelnosti I skupiny 3 se zhutněním</t>
  </si>
  <si>
    <t>Komunikace pozemní</t>
  </si>
  <si>
    <t>564710011</t>
  </si>
  <si>
    <t>Podklad nebo kryt z kameniva hrubého drceného vel. 8-16 mm s rozprostřením a zhutněním, po zhutnění tl. 50 mm</t>
  </si>
  <si>
    <t>Chodník – dlažba</t>
  </si>
  <si>
    <t>252,0</t>
  </si>
  <si>
    <t>Zpevněná odstavná plocha - vegetační dlažba</t>
  </si>
  <si>
    <t>120,0</t>
  </si>
  <si>
    <t>564851111</t>
  </si>
  <si>
    <t>Komunikace – živice</t>
  </si>
  <si>
    <t>63,0</t>
  </si>
  <si>
    <t>625,0</t>
  </si>
  <si>
    <t>vozovka - cementobetonová deska</t>
  </si>
  <si>
    <t>145,0</t>
  </si>
  <si>
    <t>564851113</t>
  </si>
  <si>
    <t>Podklad ze štěrkodrti ŠD s rozprostřením a zhutněním, po zhutnění tl. 170 mm</t>
  </si>
  <si>
    <t>Chodník – dlažba - tl. 350mm</t>
  </si>
  <si>
    <t>75,0</t>
  </si>
  <si>
    <t>564851114</t>
  </si>
  <si>
    <t>Podklad ze štěrkodrti ŠD s rozprostřením a zhutněním, po zhutnění tl. 180 mm</t>
  </si>
  <si>
    <t>17,0</t>
  </si>
  <si>
    <t>564861111</t>
  </si>
  <si>
    <t>Podklad ze štěrkodrti ŠD s rozprostřením a zhutněním, po zhutnění tl. 200 mm</t>
  </si>
  <si>
    <t>Vozovka - žulová dlažba</t>
  </si>
  <si>
    <t>24,0</t>
  </si>
  <si>
    <t>564871111</t>
  </si>
  <si>
    <t>Podklad ze štěrkodrti ŠD s rozprostřením a zhutněním, po zhutnění tl. 250 mm</t>
  </si>
  <si>
    <t>564871116</t>
  </si>
  <si>
    <t>Podklad ze štěrkodrti ŠD s rozprostřením a zhutněním, po zhutnění tl. 300 mm</t>
  </si>
  <si>
    <t>ŠD 0/63 do aktivní zóny</t>
  </si>
  <si>
    <t>381,2</t>
  </si>
  <si>
    <t>564952111</t>
  </si>
  <si>
    <t>Podklad z mechanicky zpevněného kameniva MZK (minerální beton) s rozprostřením a s hutněním, po zhutnění tl. 150 mm</t>
  </si>
  <si>
    <t>567131115</t>
  </si>
  <si>
    <t>Podklad ze směsi stmelené cementem SC bez dilatačních spár, s rozprostřením a zhutněním SC C 3/4 (SC I), po zhutnění tl. 200 mm</t>
  </si>
  <si>
    <t>573111112</t>
  </si>
  <si>
    <t>573231109</t>
  </si>
  <si>
    <t>Postřik spojovací PS bez posypu kamenivem ze silniční emulze, v množství 0,60 kg/m2</t>
  </si>
  <si>
    <t>577134221</t>
  </si>
  <si>
    <t>Asfaltový beton vrstva obrusná ACO 11 (ABS) s rozprostřením a se zhutněním z nemodifikovaného asfaltu v pruhu šířky přes 3 m tř. II, po zhutnění tl. 40 mm</t>
  </si>
  <si>
    <t>577155122</t>
  </si>
  <si>
    <t>Asfaltový beton vrstva ložní ACL 16 (ABH) s rozprostřením a zhutněním z nemodifikovaného asfaltu v pruhu šířky přes 3 m, po zhutnění tl. 60 mm</t>
  </si>
  <si>
    <t>581141321</t>
  </si>
  <si>
    <t>Kryt cementobetonový silničních komunikací skupiny CB III tl. 240 mm</t>
  </si>
  <si>
    <t>591211111</t>
  </si>
  <si>
    <t>Kladení dlažby z kostek s provedením lože do tl. 50 mm, s vyplněním spár, s dvojím beraněním a se smetením přebytečného materiálu na krajnici drobných z kamene, do lože z kameniva těženého</t>
  </si>
  <si>
    <t>58381007</t>
  </si>
  <si>
    <t>kostka dlažební žula drobná 8/10</t>
  </si>
  <si>
    <t>Poznámka k položce:_x000D_
Poznámka k položce: žulová kostka 100x100 mm, kroužková vazba</t>
  </si>
  <si>
    <t>24*1,02 "Přepočtené koeficientem množství</t>
  </si>
  <si>
    <t>596211113</t>
  </si>
  <si>
    <t>Kladení dlažby z betonových zámkových dlaždic komunikací pro pěší s ložem z kameniva těženého nebo drceného tl. do 40 mm, s vyplněním spár s dvojitým hutněním, vibrováním a se smetením přebytečného materiálu na krajnici tl. 60 mm skupiny A, pro plochy pře</t>
  </si>
  <si>
    <t>(610,0+75,0)+15,0</t>
  </si>
  <si>
    <t>59245018</t>
  </si>
  <si>
    <t>dlažba tvar obdélník betonová 200x100x60mm přírodní</t>
  </si>
  <si>
    <t>59245006</t>
  </si>
  <si>
    <t>dlažba tvar obdélník betonová pro nevidomé 200x100x60mm barevná</t>
  </si>
  <si>
    <t>15*1,03 "Přepočtené koeficientem množství</t>
  </si>
  <si>
    <t>596212212</t>
  </si>
  <si>
    <t>Kladení dlažby z betonových zámkových dlaždic pozemních komunikací s ložem z kameniva těženého nebo drceného tl. do 50 mm, s vyplněním spár, s dvojitým hutněním vibrováním a se smetením přebytečného materiálu na krajnici tl. 80 mm skupiny A, pro plochy př</t>
  </si>
  <si>
    <t>210,0+42,0</t>
  </si>
  <si>
    <t>59245020</t>
  </si>
  <si>
    <t>dlažba tvar obdélník betonová 200x100x80mm přírodní</t>
  </si>
  <si>
    <t>210*1,02 "Přepočtené koeficientem množství</t>
  </si>
  <si>
    <t>59245226</t>
  </si>
  <si>
    <t>dlažba tvar obdélník betonová pro nevidomé 200x100x80mm barevná</t>
  </si>
  <si>
    <t>42*1,03 "Přepočtené koeficientem množství</t>
  </si>
  <si>
    <t>596212312</t>
  </si>
  <si>
    <t>Kladení dlažby z betonových zámkových dlaždic pozemních komunikací s ložem z kameniva těženého nebo drceného tl. do 50 mm, s vyplněním spár, s dvojitým hutněním vibrováním a se smetením přebytečného materiálu na krajnici tl. 100 mm skupiny A, pro plochy d</t>
  </si>
  <si>
    <t>59245220</t>
  </si>
  <si>
    <t>dlažba zámková tvaru I 196x161x100mm přírodní</t>
  </si>
  <si>
    <t>17*1,03 "Přepočtené koeficientem množství</t>
  </si>
  <si>
    <t>596411113</t>
  </si>
  <si>
    <t>Kladení dlažby z betonových vegetačních dlaždic komunikací pro pěší s ložem z kameniva těženého nebo drceného tl. do 40 mm, s vyplněním spár a vegetačních otvorů, s hutněním vibrováním tl. 80 mm, pro plochy přes 100 do 300 m2</t>
  </si>
  <si>
    <t>CSB.0059724.URS</t>
  </si>
  <si>
    <t>vegetační dlažba (CSB-ERBO) tl. 80mm</t>
  </si>
  <si>
    <t>120*1,02 "Přepočtené koeficientem množství</t>
  </si>
  <si>
    <t>1+1+2+2+1+1+1+2</t>
  </si>
  <si>
    <t>40445600</t>
  </si>
  <si>
    <t>výstražné dopravní značky A1-A30, A33 700mm</t>
  </si>
  <si>
    <t>A3</t>
  </si>
  <si>
    <t>40445620</t>
  </si>
  <si>
    <t>zákazové, příkazové dopravní značky B1-B34, C1-15 700mm</t>
  </si>
  <si>
    <t>B20a</t>
  </si>
  <si>
    <t>1+2</t>
  </si>
  <si>
    <t>40445621</t>
  </si>
  <si>
    <t>informativní značky provozní IP1-IP3, IP4b-IP7, IP10a, b 500x500mm</t>
  </si>
  <si>
    <t>IP6</t>
  </si>
  <si>
    <t>40445643</t>
  </si>
  <si>
    <t>informativní značky jiné IJ1-IJ3, IJ4c-IJ16 500x700mm</t>
  </si>
  <si>
    <t>IJ7</t>
  </si>
  <si>
    <t>40445650</t>
  </si>
  <si>
    <t>dodatkové tabulky E7, E12, E13 500x300mm</t>
  </si>
  <si>
    <t>E13</t>
  </si>
  <si>
    <t>40445612</t>
  </si>
  <si>
    <t>značky upravující přednost P2, P3, P8 750mm</t>
  </si>
  <si>
    <t>40445615</t>
  </si>
  <si>
    <t>značky upravující přednost P6 700mm</t>
  </si>
  <si>
    <t>P6</t>
  </si>
  <si>
    <t>914111121</t>
  </si>
  <si>
    <t>Montáž svislé dopravní značky základní velikosti do 2 m2 objímkami na sloupky nebo konzoly</t>
  </si>
  <si>
    <t>1+1</t>
  </si>
  <si>
    <t>40445635R</t>
  </si>
  <si>
    <t>informativní značky směrové 1000x1500mm</t>
  </si>
  <si>
    <t>IZ8a, IZ8b</t>
  </si>
  <si>
    <t>2+2+1+2+2+1+1+2</t>
  </si>
  <si>
    <t>25,0</t>
  </si>
  <si>
    <t>915211116</t>
  </si>
  <si>
    <t>Vodorovné dopravní značení stříkaným plastem dělící čára šířky 125 mm souvislá žlutá retroreflexní</t>
  </si>
  <si>
    <t>V12c</t>
  </si>
  <si>
    <t>9,0</t>
  </si>
  <si>
    <t>915211116R</t>
  </si>
  <si>
    <t>Vodorovné dopravní značení stříkaným plastem dělící čára šířky 125 mm souvislá modrá retroreflexní</t>
  </si>
  <si>
    <t>V10g</t>
  </si>
  <si>
    <t>15,0</t>
  </si>
  <si>
    <t>915221112</t>
  </si>
  <si>
    <t>Vodorovné dopravní značení stříkaným plastem vodící čára bílá šířky 250 mm souvislá retroreflexní</t>
  </si>
  <si>
    <t>V4</t>
  </si>
  <si>
    <t>16,0</t>
  </si>
  <si>
    <t>V7</t>
  </si>
  <si>
    <t>7,0*4,0</t>
  </si>
  <si>
    <t>piktogram č. 406 – dobíjecí stanice elektromobilů</t>
  </si>
  <si>
    <t>16,0+25,0+15,0+9,0</t>
  </si>
  <si>
    <t>28,0+1,0+2,0</t>
  </si>
  <si>
    <t>916131213</t>
  </si>
  <si>
    <t>Osazení silničního obrubníku betonového se zřízením lože, s vyplněním a zatřením spár cementovou maltou stojatého s boční opěrou z betonu prostého, do lože z betonu prostého</t>
  </si>
  <si>
    <t>11,0+68,0+2,0</t>
  </si>
  <si>
    <t>59217031</t>
  </si>
  <si>
    <t>obrubník betonový silniční 1000x150x250mm</t>
  </si>
  <si>
    <t>11*1,02 "Přepočtené koeficientem množství</t>
  </si>
  <si>
    <t>59217032</t>
  </si>
  <si>
    <t>obrubník betonový silniční 1000x150x150mm</t>
  </si>
  <si>
    <t>68*1,02 "Přepočtené koeficientem množství</t>
  </si>
  <si>
    <t>59217030</t>
  </si>
  <si>
    <t>obrubník betonový silniční přechodový 1000x150x150-250mm</t>
  </si>
  <si>
    <t>2*1,02 "Přepočtené koeficientem množství</t>
  </si>
  <si>
    <t>916231213</t>
  </si>
  <si>
    <t>Osazení chodníkového obrubníku betonového se zřízením lože, s vyplněním a zatřením spár cementovou maltou stojatého s boční opěrou z betonu prostého, do lože z betonu prostého</t>
  </si>
  <si>
    <t>59217016</t>
  </si>
  <si>
    <t>obrubník betonový chodníkový 1000x80x250mm</t>
  </si>
  <si>
    <t>275*1,02 "Přepočtené koeficientem množství</t>
  </si>
  <si>
    <t>916241113</t>
  </si>
  <si>
    <t>Osazení obrubníku kamenného se zřízením lože, s vyplněním a zatřením spár cementovou maltou ležatého s boční opěrou z betonu prostého, do lože z betonu prostého</t>
  </si>
  <si>
    <t>58380003</t>
  </si>
  <si>
    <t>obrubník kamenný žulový přímý 1000x300x200mm</t>
  </si>
  <si>
    <t>142*1,02 "Přepočtené koeficientem množství</t>
  </si>
  <si>
    <t>1,83*16</t>
  </si>
  <si>
    <t>919726123</t>
  </si>
  <si>
    <t>Geotextilie netkaná pro ochranu, separaci nebo filtraci měrná hmotnost přes 300 do 500 g/m2</t>
  </si>
  <si>
    <t>Poznámka k položce:_x000D_
Poznámka k položce: NTRF24 – netkaná textílie REO Fb, 400g/m2, š=3,0m</t>
  </si>
  <si>
    <t>919735112</t>
  </si>
  <si>
    <t>Řezání stávajícího živičného krytu nebo podkladu hloubky přes 50 do 100 mm</t>
  </si>
  <si>
    <t>966005111</t>
  </si>
  <si>
    <t>Rozebrání a odstranění silničního zábradlí a ocelových svodidel s přemístěním hmot na skládku na vzdálenost do 10 m nebo s naložením na dopravní prostředek, se zásypem jam po odstraněných sloupcích a s jeho zhutněním silničního zábradlí se sloupky osazený</t>
  </si>
  <si>
    <t>997</t>
  </si>
  <si>
    <t>Přesun sutě</t>
  </si>
  <si>
    <t>997221561</t>
  </si>
  <si>
    <t>Vodorovná doprava suti bez naložení, ale se složením a s hrubým urovnáním z kusových materiálů, na vzdálenost do 1 km</t>
  </si>
  <si>
    <t>997221569</t>
  </si>
  <si>
    <t>Vodorovná doprava suti bez naložení, ale se složením a s hrubým urovnáním Příplatek k ceně za každý další i započatý 1 km přes 1 km</t>
  </si>
  <si>
    <t>52,615*19 "Přepočtené koeficientem množství</t>
  </si>
  <si>
    <t>997221861</t>
  </si>
  <si>
    <t>Poplatek za uložení stavebního odpadu na recyklační skládce (skládkovné) z prostého betonu zatříděného do Katalogu odpadů pod kódem 17 01 01</t>
  </si>
  <si>
    <t>997221875</t>
  </si>
  <si>
    <t>Poplatek za uložení stavebního odpadu na recyklační skládce (skládkovné) asfaltového bez obsahu dehtu zatříděného do Katalogu odpadů pod kódem 17 03 02</t>
  </si>
  <si>
    <t>SO21 - Venkovní osvětlení</t>
  </si>
  <si>
    <t xml:space="preserve">    OSV - OSVĚTLENÍ</t>
  </si>
  <si>
    <t>134147916</t>
  </si>
  <si>
    <t>-40305457</t>
  </si>
  <si>
    <t>500*1,2 'Přepočtené koeficientem množství</t>
  </si>
  <si>
    <t>OSVĚTLENÍ</t>
  </si>
  <si>
    <t>OS01</t>
  </si>
  <si>
    <t>Venkovní vestavné svítidlo do stěny ORIS 1.3 LED 3000K B</t>
  </si>
  <si>
    <t>933209521</t>
  </si>
  <si>
    <t>OS01.1</t>
  </si>
  <si>
    <t>DRIVER 700mA 7W IP67</t>
  </si>
  <si>
    <t>1431260615</t>
  </si>
  <si>
    <t>OS01.2</t>
  </si>
  <si>
    <t>ORIS 1.3 CONCRETE HOUSING</t>
  </si>
  <si>
    <t>998711765</t>
  </si>
  <si>
    <t>OS02</t>
  </si>
  <si>
    <t>Venkovní vestavné svítidlo do stěny</t>
  </si>
  <si>
    <t>-1057176832</t>
  </si>
  <si>
    <t>OS02.1</t>
  </si>
  <si>
    <t>Box do betonu</t>
  </si>
  <si>
    <t>984397370</t>
  </si>
  <si>
    <t>OS03</t>
  </si>
  <si>
    <t>Nástěnné venkovní svítidlo TAIO ROUND IP65 WALL SURFACE 2.0 LED 2X 10.5W CRI90 3000K BLACK</t>
  </si>
  <si>
    <t>369145354</t>
  </si>
  <si>
    <t>-756244832</t>
  </si>
  <si>
    <t>772410743</t>
  </si>
  <si>
    <t>-1536518132</t>
  </si>
  <si>
    <t>2056585622</t>
  </si>
  <si>
    <t>1139380174</t>
  </si>
  <si>
    <t>1292459358</t>
  </si>
  <si>
    <t>1684053319</t>
  </si>
  <si>
    <t>1418560943</t>
  </si>
  <si>
    <t>1309726568</t>
  </si>
  <si>
    <t>SO31 - Příprava území</t>
  </si>
  <si>
    <t xml:space="preserve">    D01 - Přípravné práce a provizorní konstrukce</t>
  </si>
  <si>
    <t xml:space="preserve">    D02 - Odstraňované objekty</t>
  </si>
  <si>
    <t>D01</t>
  </si>
  <si>
    <t>Přípravné práce a provizorní konstrukce</t>
  </si>
  <si>
    <t>PU001</t>
  </si>
  <si>
    <t>Provizorní zpevnění staveništní komunikace pro účely odvodu suti, zeminy, odpadu apod. vč. následného odstranění</t>
  </si>
  <si>
    <t>312573691</t>
  </si>
  <si>
    <t>D02</t>
  </si>
  <si>
    <t>Odstraňované objekty</t>
  </si>
  <si>
    <t>PU002</t>
  </si>
  <si>
    <t>X01 - Trubkové zábradlí</t>
  </si>
  <si>
    <t>-1167088454</t>
  </si>
  <si>
    <t>Poznámka k položce:_x000D_
Pouliční dopravní ochranné zábradlí. pevně kotvené zabetonováním. Hrany ošetřeny drobným zaoblením. Povrch je varovně lakován na červeno-bílo. Rozměry šířky 40mm a výšky 1000mm. Délka cca 5-10,00m, vč. vybourání kotvení / základů, odvoz  na skládku a poplatek za uložení.</t>
  </si>
  <si>
    <t>PU003</t>
  </si>
  <si>
    <t>X02 - Ploty drátěné a plaňkové</t>
  </si>
  <si>
    <t>-1470792388</t>
  </si>
  <si>
    <t>Poznámka k položce:_x000D_
Klasické drátěné ploty osazované na tyče kotvené do země. Výška cca 1,2m. Plaňkové ploty se nachází v severní části území a budou pouze z části zkrácena oproti stávající délce, vybourání základů, odvoz  na skládku a poplatek za uložení.</t>
  </si>
  <si>
    <t>PU004</t>
  </si>
  <si>
    <t>X03 - Odstranění stávajících povrchů</t>
  </si>
  <si>
    <t>-174986508</t>
  </si>
  <si>
    <t>Poznámka k položce:_x000D_
Povrch živelného parkoviště je tvořen z větší části prachem a pískem, základ je štěrk a vyjetý travní porost. Stávající asfaltový plácek na severu u objektu na parcele 3126/1 bude zkrácen na hranu katastrální hranice a objekt je nyní propojen s ulicí  Libušská pomocí vsazených nových šlapáků. Ty budou odvezeny příp. uloženy na meziskládku a vybouraný materiál použitý do podkladních vrstev. Nevhodný materiál bude odvezen na skládku.</t>
  </si>
  <si>
    <t>PU004a</t>
  </si>
  <si>
    <t>X03a - Příplatek za vybourání asfaltového povrchu</t>
  </si>
  <si>
    <t>-200757146</t>
  </si>
  <si>
    <t>Poznámka k položce:_x000D_
Povrch stávajícího parkoviště s asfaltovým povrchem. Vybourání skladeb viz položka výše.Vybouraný materiál bude odvezen na skládku.</t>
  </si>
  <si>
    <t>PU005</t>
  </si>
  <si>
    <t>X04 - Bourání drobné architektury a mobiliáře</t>
  </si>
  <si>
    <t>-2114814287</t>
  </si>
  <si>
    <t>Poznámka k položce:_x000D_
Konkrétní objekty drobné architektury nejsou stanoveny a předpokládá se jejich existence v území včetně mobiliáře, vybourané budou např. pozůstatky po mobilní buňce. Vybouraný materiál bude odvezen na skládku.</t>
  </si>
  <si>
    <t>PU006</t>
  </si>
  <si>
    <t>X05 - Bourání reklamní cedule</t>
  </si>
  <si>
    <t>-1803469855</t>
  </si>
  <si>
    <t>Poznámka k položce:_x000D_
Demontáž cedulí vč. kotvení a případné podkonstrukce. Vybouraný materiál bude odvezen na skládku.</t>
  </si>
  <si>
    <t>PU007</t>
  </si>
  <si>
    <t>X06 - Úklid parkovací zpevněné plochy od odpadků</t>
  </si>
  <si>
    <t>-523484767</t>
  </si>
  <si>
    <t>SEZNAM FIGUR</t>
  </si>
  <si>
    <t>Výměra</t>
  </si>
  <si>
    <t xml:space="preserve"> 01/ 100</t>
  </si>
  <si>
    <t>Použití figury:</t>
  </si>
  <si>
    <t>F05_podh</t>
  </si>
  <si>
    <t>Koup_a_WC</t>
  </si>
  <si>
    <t>"FF18"</t>
  </si>
  <si>
    <t>44,48</t>
  </si>
  <si>
    <t>63,27</t>
  </si>
  <si>
    <t>55,27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</si>
</sst>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000"/>
    <numFmt numFmtId="166" formatCode="#,##0.00%"/>
    <numFmt numFmtId="167" formatCode="#,##0.00000"/>
  </numFmts>
  <fonts count="43">
    <font>
      <sz val="8"/>
      <name val="Arial CE"/>
      <charset val="134"/>
    </font>
    <font>
      <b/>
      <sz val="14"/>
      <name val="Arial CE"/>
      <family val="2"/>
      <charset val="238"/>
    </font>
    <font>
      <sz val="10"/>
      <color rgb="FF969696"/>
      <name val="Arial CE"/>
      <family val="2"/>
      <charset val="238"/>
    </font>
    <font>
      <sz val="10"/>
      <name val="Arial CE"/>
      <family val="2"/>
      <charset val="238"/>
    </font>
    <font>
      <b/>
      <sz val="11"/>
      <name val="Arial CE"/>
      <family val="2"/>
      <charset val="238"/>
    </font>
    <font>
      <sz val="9"/>
      <name val="Arial CE"/>
      <family val="2"/>
      <charset val="238"/>
    </font>
    <font>
      <b/>
      <sz val="12"/>
      <name val="Arial CE"/>
      <family val="2"/>
      <charset val="238"/>
    </font>
    <font>
      <b/>
      <sz val="9"/>
      <name val="Arial CE"/>
      <family val="2"/>
      <charset val="238"/>
    </font>
    <font>
      <b/>
      <sz val="8"/>
      <name val="Arial CE"/>
      <family val="2"/>
      <charset val="238"/>
    </font>
    <font>
      <sz val="12"/>
      <color rgb="FF003366"/>
      <name val="Arial CE"/>
      <family val="2"/>
      <charset val="238"/>
    </font>
    <font>
      <sz val="10"/>
      <color rgb="FF003366"/>
      <name val="Arial CE"/>
      <family val="2"/>
      <charset val="238"/>
    </font>
    <font>
      <sz val="8"/>
      <color rgb="FF003366"/>
      <name val="Arial CE"/>
      <family val="2"/>
      <charset val="238"/>
    </font>
    <font>
      <b/>
      <sz val="10"/>
      <name val="Arial CE"/>
      <family val="2"/>
      <charset val="238"/>
    </font>
    <font>
      <sz val="8"/>
      <color rgb="FF969696"/>
      <name val="Arial CE"/>
      <family val="2"/>
      <charset val="238"/>
    </font>
    <font>
      <b/>
      <sz val="10"/>
      <color rgb="FF464646"/>
      <name val="Arial CE"/>
      <family val="2"/>
      <charset val="238"/>
    </font>
    <font>
      <sz val="10"/>
      <color rgb="FF3366FF"/>
      <name val="Arial CE"/>
      <family val="2"/>
      <charset val="238"/>
    </font>
    <font>
      <b/>
      <sz val="12"/>
      <color rgb="FF960000"/>
      <name val="Arial CE"/>
      <family val="2"/>
      <charset val="238"/>
    </font>
    <font>
      <b/>
      <sz val="12"/>
      <color rgb="FF800000"/>
      <name val="Arial CE"/>
      <family val="2"/>
      <charset val="238"/>
    </font>
    <font>
      <sz val="9"/>
      <color rgb="FF969696"/>
      <name val="Arial CE"/>
      <family val="2"/>
      <charset val="238"/>
    </font>
    <font>
      <sz val="8"/>
      <color rgb="FF960000"/>
      <name val="Arial CE"/>
      <family val="2"/>
      <charset val="238"/>
    </font>
    <font>
      <sz val="7"/>
      <color rgb="FF969696"/>
      <name val="Arial CE"/>
      <family val="2"/>
      <charset val="238"/>
    </font>
    <font>
      <i/>
      <sz val="7"/>
      <color rgb="FF969696"/>
      <name val="Arial CE"/>
      <family val="2"/>
      <charset val="238"/>
    </font>
    <font>
      <sz val="8"/>
      <color rgb="FF505050"/>
      <name val="Arial CE"/>
      <family val="2"/>
      <charset val="238"/>
    </font>
    <font>
      <i/>
      <sz val="9"/>
      <color rgb="FF0000FF"/>
      <name val="Arial CE"/>
      <family val="2"/>
      <charset val="238"/>
    </font>
    <font>
      <i/>
      <sz val="8"/>
      <color rgb="FF0000FF"/>
      <name val="Arial CE"/>
      <family val="2"/>
      <charset val="238"/>
    </font>
    <font>
      <sz val="8"/>
      <color rgb="FF800080"/>
      <name val="Arial CE"/>
      <family val="2"/>
      <charset val="238"/>
    </font>
    <font>
      <sz val="8"/>
      <color rgb="FFFF0000"/>
      <name val="Arial CE"/>
      <family val="2"/>
      <charset val="238"/>
    </font>
    <font>
      <sz val="8"/>
      <color rgb="FF0000A8"/>
      <name val="Arial CE"/>
      <family val="2"/>
      <charset val="238"/>
    </font>
    <font>
      <sz val="8"/>
      <color rgb="FF000000"/>
      <name val="Arial CE"/>
      <family val="2"/>
      <charset val="238"/>
    </font>
    <font>
      <sz val="11"/>
      <name val="Arial CE"/>
      <family val="2"/>
      <charset val="238"/>
    </font>
    <font>
      <sz val="8"/>
      <color rgb="FFFFFFFF"/>
      <name val="Arial CE"/>
      <family val="2"/>
      <charset val="238"/>
    </font>
    <font>
      <b/>
      <sz val="10"/>
      <color rgb="FF969696"/>
      <name val="Arial CE"/>
      <family val="2"/>
      <charset val="238"/>
    </font>
    <font>
      <sz val="8"/>
      <color rgb="FF3366FF"/>
      <name val="Arial CE"/>
      <family val="2"/>
      <charset val="238"/>
    </font>
    <font>
      <b/>
      <sz val="12"/>
      <color rgb="FF969696"/>
      <name val="Arial CE"/>
      <family val="2"/>
      <charset val="238"/>
    </font>
    <font>
      <b/>
      <sz val="8"/>
      <color rgb="FF969696"/>
      <name val="Arial CE"/>
      <family val="2"/>
      <charset val="238"/>
    </font>
    <font>
      <sz val="18"/>
      <color theme="10"/>
      <name val="Wingdings 2"/>
      <family val="1"/>
      <charset val="2"/>
    </font>
    <font>
      <b/>
      <sz val="11"/>
      <color rgb="FF003366"/>
      <name val="Arial CE"/>
      <family val="2"/>
      <charset val="238"/>
    </font>
    <font>
      <b/>
      <sz val="10"/>
      <color rgb="FF003366"/>
      <name val="Arial CE"/>
      <family val="2"/>
      <charset val="238"/>
    </font>
    <font>
      <sz val="11"/>
      <color rgb="FF003366"/>
      <name val="Arial CE"/>
      <family val="2"/>
      <charset val="238"/>
    </font>
    <font>
      <sz val="12"/>
      <color rgb="FF969696"/>
      <name val="Arial CE"/>
      <family val="2"/>
      <charset val="238"/>
    </font>
    <font>
      <sz val="11"/>
      <color rgb="FF969696"/>
      <name val="Arial CE"/>
      <family val="2"/>
      <charset val="238"/>
    </font>
    <font>
      <sz val="12"/>
      <name val="Arial CE"/>
      <family val="2"/>
      <charset val="238"/>
    </font>
    <font>
      <u/>
      <sz val="11"/>
      <color theme="10"/>
      <name val="Calibri"/>
      <family val="2"/>
      <charset val="238"/>
      <scheme val="minor"/>
    </font>
  </fonts>
  <fills count="7">
    <fill>
      <patternFill patternType="none"/>
    </fill>
    <fill>
      <patternFill patternType="gray125"/>
    </fill>
    <fill>
      <patternFill patternType="solid">
        <fgColor rgb="FFD2D2D2"/>
        <bgColor indexed="64"/>
      </patternFill>
    </fill>
    <fill>
      <patternFill patternType="solid">
        <fgColor rgb="FFFFFFCC"/>
        <bgColor indexed="64"/>
      </patternFill>
    </fill>
    <fill>
      <patternFill patternType="solid">
        <fgColor rgb="FFFFFFCC"/>
        <bgColor rgb="FF000000"/>
      </patternFill>
    </fill>
    <fill>
      <patternFill patternType="solid">
        <fgColor rgb="FFBEBEBE"/>
        <bgColor indexed="64"/>
      </patternFill>
    </fill>
    <fill>
      <patternFill patternType="solid">
        <fgColor theme="4"/>
        <bgColor indexed="64"/>
      </patternFill>
    </fill>
  </fills>
  <borders count="23">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hair">
        <color rgb="FF969696"/>
      </left>
      <right/>
      <top style="hair">
        <color rgb="FF969696"/>
      </top>
      <bottom style="hair">
        <color rgb="FF969696"/>
      </bottom>
      <diagonal/>
    </border>
    <border>
      <left/>
      <right/>
      <top style="hair">
        <color rgb="FF969696"/>
      </top>
      <bottom style="hair">
        <color rgb="FF969696"/>
      </bottom>
      <diagonal/>
    </border>
    <border>
      <left/>
      <right style="hair">
        <color rgb="FF969696"/>
      </right>
      <top style="hair">
        <color rgb="FF969696"/>
      </top>
      <bottom style="hair">
        <color rgb="FF969696"/>
      </bottom>
      <diagonal/>
    </border>
    <border>
      <left style="hair">
        <color rgb="FF969696"/>
      </left>
      <right style="hair">
        <color rgb="FF969696"/>
      </right>
      <top style="hair">
        <color rgb="FF969696"/>
      </top>
      <bottom style="hair">
        <color rgb="FF969696"/>
      </bottom>
      <diagonal/>
    </border>
    <border>
      <left style="thin">
        <color rgb="FF000000"/>
      </left>
      <right/>
      <top/>
      <bottom style="thin">
        <color rgb="FF000000"/>
      </bottom>
      <diagonal/>
    </border>
    <border>
      <left/>
      <right/>
      <top/>
      <bottom style="thin">
        <color rgb="FF000000"/>
      </bottom>
      <diagonal/>
    </border>
    <border>
      <left/>
      <right/>
      <top style="hair">
        <color rgb="FF969696"/>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top style="hair">
        <color rgb="FF000000"/>
      </top>
      <bottom/>
      <diagonal/>
    </border>
    <border>
      <left/>
      <right/>
      <top/>
      <bottom style="hair">
        <color rgb="FF000000"/>
      </bottom>
      <diagonal/>
    </border>
    <border>
      <left/>
      <right style="hair">
        <color rgb="FF000000"/>
      </right>
      <top style="hair">
        <color rgb="FF000000"/>
      </top>
      <bottom style="hair">
        <color rgb="FF000000"/>
      </bottom>
      <diagonal/>
    </border>
    <border>
      <left/>
      <right/>
      <top/>
      <bottom style="hair">
        <color rgb="FF969696"/>
      </bottom>
      <diagonal/>
    </border>
    <border>
      <left style="hair">
        <color rgb="FF969696"/>
      </left>
      <right/>
      <top style="hair">
        <color rgb="FF969696"/>
      </top>
      <bottom/>
      <diagonal/>
    </border>
    <border>
      <left style="hair">
        <color rgb="FF969696"/>
      </left>
      <right/>
      <top/>
      <bottom/>
      <diagonal/>
    </border>
    <border>
      <left/>
      <right style="hair">
        <color rgb="FF969696"/>
      </right>
      <top style="hair">
        <color rgb="FF969696"/>
      </top>
      <bottom/>
      <diagonal/>
    </border>
    <border>
      <left/>
      <right style="hair">
        <color rgb="FF969696"/>
      </right>
      <top/>
      <bottom/>
      <diagonal/>
    </border>
    <border>
      <left style="hair">
        <color rgb="FF969696"/>
      </left>
      <right/>
      <top/>
      <bottom style="hair">
        <color rgb="FF969696"/>
      </bottom>
      <diagonal/>
    </border>
    <border>
      <left/>
      <right style="hair">
        <color rgb="FF969696"/>
      </right>
      <top/>
      <bottom style="hair">
        <color rgb="FF969696"/>
      </bottom>
      <diagonal/>
    </border>
  </borders>
  <cellStyleXfs count="2">
    <xf numFmtId="0" fontId="0" fillId="0" borderId="0"/>
    <xf numFmtId="0" fontId="42" fillId="0" borderId="0" applyNumberFormat="0" applyFill="0" applyBorder="0" applyAlignment="0" applyProtection="0"/>
  </cellStyleXfs>
  <cellXfs count="404">
    <xf numFmtId="0" fontId="0" fillId="0" borderId="0" xfId="0"/>
    <xf numFmtId="0" fontId="0" fillId="0" borderId="0" xfId="0" applyAlignment="1">
      <alignment vertical="center"/>
    </xf>
    <xf numFmtId="0" fontId="0" fillId="0" borderId="0" xfId="0" applyAlignment="1">
      <alignment horizontal="center" vertical="center" wrapText="1"/>
    </xf>
    <xf numFmtId="0" fontId="0" fillId="0" borderId="1" xfId="0" applyBorder="1"/>
    <xf numFmtId="0" fontId="0" fillId="0" borderId="2" xfId="0" applyBorder="1"/>
    <xf numFmtId="0" fontId="0" fillId="0" borderId="3" xfId="0" applyBorder="1"/>
    <xf numFmtId="0" fontId="1" fillId="0" borderId="0" xfId="0" applyFont="1" applyAlignment="1">
      <alignment horizontal="left" vertical="center"/>
    </xf>
    <xf numFmtId="0" fontId="2" fillId="0" borderId="0" xfId="0" applyFont="1" applyAlignment="1">
      <alignment horizontal="left" vertical="top"/>
    </xf>
    <xf numFmtId="0" fontId="3" fillId="0" borderId="0" xfId="0" applyFont="1" applyAlignment="1">
      <alignment horizontal="left" vertical="center" wrapText="1"/>
    </xf>
    <xf numFmtId="0" fontId="4" fillId="0" borderId="0" xfId="0" applyFont="1" applyAlignment="1">
      <alignment horizontal="left" vertical="top"/>
    </xf>
    <xf numFmtId="0" fontId="2" fillId="0" borderId="0" xfId="0" applyFont="1" applyAlignment="1">
      <alignment horizontal="left" vertical="center"/>
    </xf>
    <xf numFmtId="164" fontId="3" fillId="0" borderId="0" xfId="0" applyNumberFormat="1" applyFont="1" applyAlignment="1">
      <alignment horizontal="left" vertical="center"/>
    </xf>
    <xf numFmtId="0" fontId="0" fillId="0" borderId="3" xfId="0" applyBorder="1" applyAlignment="1">
      <alignment vertical="center"/>
    </xf>
    <xf numFmtId="0" fontId="0" fillId="0" borderId="3" xfId="0"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6" fillId="0" borderId="0" xfId="0" applyFont="1" applyAlignment="1">
      <alignment horizontal="left" vertical="center" wrapText="1"/>
    </xf>
    <xf numFmtId="0" fontId="7" fillId="0" borderId="4" xfId="0" applyFont="1" applyBorder="1" applyAlignment="1">
      <alignment horizontal="left" vertical="center" wrapText="1"/>
    </xf>
    <xf numFmtId="0" fontId="7" fillId="0" borderId="7" xfId="0" applyFont="1" applyBorder="1" applyAlignment="1">
      <alignment horizontal="left" vertical="center" wrapText="1"/>
    </xf>
    <xf numFmtId="0" fontId="7" fillId="0" borderId="7" xfId="0" applyFont="1" applyBorder="1" applyAlignment="1">
      <alignment horizontal="left" vertical="center"/>
    </xf>
    <xf numFmtId="165" fontId="7" fillId="0" borderId="6" xfId="0" applyNumberFormat="1" applyFont="1" applyBorder="1" applyAlignment="1">
      <alignment vertical="center"/>
    </xf>
    <xf numFmtId="0" fontId="0" fillId="0" borderId="0" xfId="0" applyAlignment="1">
      <alignment horizontal="left" vertical="center" wrapText="1"/>
    </xf>
    <xf numFmtId="0" fontId="0" fillId="0" borderId="0" xfId="0" applyAlignment="1">
      <alignment horizontal="left" vertical="center"/>
    </xf>
    <xf numFmtId="165" fontId="0" fillId="0" borderId="0" xfId="0" applyNumberFormat="1" applyAlignment="1">
      <alignment vertical="center"/>
    </xf>
    <xf numFmtId="0" fontId="8" fillId="0" borderId="0" xfId="0" applyFont="1" applyAlignment="1">
      <alignment horizontal="left" vertical="center"/>
    </xf>
    <xf numFmtId="0" fontId="0" fillId="0" borderId="8" xfId="0" applyBorder="1" applyAlignment="1">
      <alignment vertical="center"/>
    </xf>
    <xf numFmtId="0" fontId="0" fillId="0" borderId="9" xfId="0" applyBorder="1" applyAlignment="1">
      <alignment vertical="center"/>
    </xf>
    <xf numFmtId="0" fontId="0" fillId="0" borderId="0" xfId="0" applyAlignment="1">
      <alignment vertical="center" wrapText="1"/>
    </xf>
    <xf numFmtId="0" fontId="9" fillId="0" borderId="0" xfId="0" applyFont="1" applyAlignment="1">
      <alignment vertical="center"/>
    </xf>
    <xf numFmtId="0" fontId="10" fillId="0" borderId="0" xfId="0" applyFont="1" applyAlignment="1">
      <alignment vertical="center"/>
    </xf>
    <xf numFmtId="0" fontId="11" fillId="0" borderId="0" xfId="0" applyFont="1"/>
    <xf numFmtId="0" fontId="3" fillId="0" borderId="0" xfId="0" applyFont="1" applyAlignment="1">
      <alignment horizontal="left" vertical="center"/>
    </xf>
    <xf numFmtId="0" fontId="3" fillId="3" borderId="0" xfId="0" applyFont="1" applyFill="1" applyAlignment="1" applyProtection="1">
      <alignment horizontal="left" vertical="center"/>
      <protection locked="0"/>
    </xf>
    <xf numFmtId="0" fontId="0" fillId="0" borderId="3" xfId="0" applyBorder="1" applyAlignment="1">
      <alignment vertical="center" wrapText="1"/>
    </xf>
    <xf numFmtId="0" fontId="0" fillId="0" borderId="10" xfId="0" applyBorder="1" applyAlignment="1">
      <alignment vertical="center"/>
    </xf>
    <xf numFmtId="0" fontId="12" fillId="0" borderId="0" xfId="0" applyFont="1" applyAlignment="1">
      <alignment horizontal="left" vertical="center"/>
    </xf>
    <xf numFmtId="0" fontId="2" fillId="0" borderId="0" xfId="0" applyFont="1" applyAlignment="1">
      <alignment horizontal="right" vertical="center"/>
    </xf>
    <xf numFmtId="0" fontId="13" fillId="0" borderId="0" xfId="0" applyFont="1" applyAlignment="1">
      <alignment horizontal="left" vertical="center"/>
    </xf>
    <xf numFmtId="4" fontId="2" fillId="0" borderId="0" xfId="0" applyNumberFormat="1" applyFont="1" applyAlignment="1">
      <alignment vertical="center"/>
    </xf>
    <xf numFmtId="0" fontId="0" fillId="2" borderId="0" xfId="0" applyFill="1" applyAlignment="1">
      <alignment vertical="center"/>
    </xf>
    <xf numFmtId="0" fontId="6" fillId="2" borderId="11" xfId="0" applyFont="1" applyFill="1" applyBorder="1" applyAlignment="1">
      <alignment horizontal="left" vertical="center"/>
    </xf>
    <xf numFmtId="0" fontId="0" fillId="2" borderId="12" xfId="0" applyFill="1" applyBorder="1" applyAlignment="1">
      <alignment vertical="center"/>
    </xf>
    <xf numFmtId="0" fontId="6" fillId="2" borderId="12" xfId="0" applyFont="1" applyFill="1" applyBorder="1" applyAlignment="1">
      <alignment horizontal="right" vertical="center"/>
    </xf>
    <xf numFmtId="0" fontId="6" fillId="2" borderId="12" xfId="0" applyFont="1" applyFill="1" applyBorder="1" applyAlignment="1">
      <alignment horizontal="center" vertical="center"/>
    </xf>
    <xf numFmtId="0" fontId="14" fillId="0" borderId="13" xfId="0" applyFont="1" applyBorder="1" applyAlignment="1">
      <alignment horizontal="left" vertical="center"/>
    </xf>
    <xf numFmtId="0" fontId="0" fillId="0" borderId="13" xfId="0" applyBorder="1" applyAlignment="1">
      <alignment vertical="center"/>
    </xf>
    <xf numFmtId="0" fontId="2" fillId="0" borderId="14" xfId="0" applyFont="1" applyBorder="1" applyAlignment="1">
      <alignment horizontal="left" vertical="center"/>
    </xf>
    <xf numFmtId="0" fontId="0" fillId="0" borderId="14" xfId="0" applyBorder="1" applyAlignment="1">
      <alignment vertical="center"/>
    </xf>
    <xf numFmtId="0" fontId="2" fillId="0" borderId="14" xfId="0" applyFont="1" applyBorder="1" applyAlignment="1">
      <alignment horizontal="center" vertical="center"/>
    </xf>
    <xf numFmtId="0" fontId="15" fillId="0" borderId="0" xfId="0" applyFont="1" applyAlignment="1">
      <alignment horizontal="left" vertical="center"/>
    </xf>
    <xf numFmtId="4" fontId="16" fillId="0" borderId="0" xfId="0" applyNumberFormat="1" applyFont="1" applyAlignment="1">
      <alignment vertical="center"/>
    </xf>
    <xf numFmtId="166" fontId="2" fillId="0" borderId="0" xfId="0" applyNumberFormat="1" applyFont="1" applyAlignment="1">
      <alignment horizontal="right" vertical="center"/>
    </xf>
    <xf numFmtId="4" fontId="6" fillId="2" borderId="12" xfId="0" applyNumberFormat="1" applyFont="1" applyFill="1" applyBorder="1" applyAlignment="1">
      <alignment vertical="center"/>
    </xf>
    <xf numFmtId="0" fontId="0" fillId="2" borderId="15" xfId="0" applyFill="1" applyBorder="1" applyAlignment="1">
      <alignment vertical="center"/>
    </xf>
    <xf numFmtId="0" fontId="2" fillId="0" borderId="14" xfId="0" applyFont="1" applyBorder="1" applyAlignment="1">
      <alignment horizontal="right" vertical="center"/>
    </xf>
    <xf numFmtId="0" fontId="0" fillId="0" borderId="1" xfId="0" applyBorder="1" applyAlignment="1">
      <alignment vertical="center"/>
    </xf>
    <xf numFmtId="0" fontId="0" fillId="0" borderId="2" xfId="0" applyBorder="1" applyAlignment="1">
      <alignment vertical="center"/>
    </xf>
    <xf numFmtId="0" fontId="5" fillId="2" borderId="0" xfId="0" applyFont="1" applyFill="1" applyAlignment="1">
      <alignment horizontal="left" vertical="center"/>
    </xf>
    <xf numFmtId="0" fontId="17" fillId="0" borderId="0" xfId="0" applyFont="1" applyAlignment="1">
      <alignment horizontal="left" vertical="center"/>
    </xf>
    <xf numFmtId="0" fontId="9" fillId="0" borderId="3" xfId="0" applyFont="1" applyBorder="1" applyAlignment="1">
      <alignment vertical="center"/>
    </xf>
    <xf numFmtId="0" fontId="9" fillId="0" borderId="16" xfId="0" applyFont="1" applyBorder="1" applyAlignment="1">
      <alignment horizontal="left" vertical="center"/>
    </xf>
    <xf numFmtId="0" fontId="9" fillId="0" borderId="16" xfId="0" applyFont="1" applyBorder="1" applyAlignment="1">
      <alignment vertical="center"/>
    </xf>
    <xf numFmtId="0" fontId="10" fillId="0" borderId="3" xfId="0" applyFont="1" applyBorder="1" applyAlignment="1">
      <alignment vertical="center"/>
    </xf>
    <xf numFmtId="0" fontId="10" fillId="0" borderId="16" xfId="0" applyFont="1" applyBorder="1" applyAlignment="1">
      <alignment horizontal="left" vertical="center"/>
    </xf>
    <xf numFmtId="0" fontId="10" fillId="0" borderId="16" xfId="0" applyFont="1" applyBorder="1" applyAlignment="1">
      <alignment vertical="center"/>
    </xf>
    <xf numFmtId="0" fontId="16" fillId="0" borderId="0" xfId="0" applyFont="1" applyAlignment="1">
      <alignment horizontal="left" vertical="center"/>
    </xf>
    <xf numFmtId="0" fontId="11" fillId="0" borderId="3" xfId="0" applyFont="1" applyBorder="1"/>
    <xf numFmtId="0" fontId="11" fillId="0" borderId="0" xfId="0" applyFont="1" applyAlignment="1">
      <alignment horizontal="left"/>
    </xf>
    <xf numFmtId="0" fontId="9" fillId="0" borderId="0" xfId="0" applyFont="1" applyAlignment="1">
      <alignment horizontal="left"/>
    </xf>
    <xf numFmtId="0" fontId="10" fillId="0" borderId="0" xfId="0" applyFont="1" applyAlignment="1">
      <alignment horizontal="left"/>
    </xf>
    <xf numFmtId="0" fontId="5" fillId="0" borderId="7" xfId="0" applyFont="1" applyBorder="1" applyAlignment="1">
      <alignment horizontal="center" vertical="center"/>
    </xf>
    <xf numFmtId="49" fontId="5" fillId="0" borderId="7" xfId="0" applyNumberFormat="1" applyFont="1" applyBorder="1" applyAlignment="1">
      <alignment horizontal="left" vertical="center" wrapText="1"/>
    </xf>
    <xf numFmtId="0" fontId="5" fillId="0" borderId="7" xfId="0" applyFont="1" applyBorder="1" applyAlignment="1">
      <alignment horizontal="left" vertical="center" wrapText="1"/>
    </xf>
    <xf numFmtId="0" fontId="5" fillId="0" borderId="7" xfId="0" applyFont="1" applyBorder="1" applyAlignment="1">
      <alignment horizontal="center" vertical="center" wrapText="1"/>
    </xf>
    <xf numFmtId="165" fontId="5" fillId="0" borderId="7" xfId="0" applyNumberFormat="1" applyFont="1" applyBorder="1" applyAlignment="1">
      <alignment vertical="center"/>
    </xf>
    <xf numFmtId="0" fontId="5" fillId="2" borderId="0" xfId="0" applyFont="1" applyFill="1" applyAlignment="1">
      <alignment horizontal="right" vertical="center"/>
    </xf>
    <xf numFmtId="4" fontId="9" fillId="0" borderId="16" xfId="0" applyNumberFormat="1" applyFont="1" applyBorder="1" applyAlignment="1">
      <alignment vertical="center"/>
    </xf>
    <xf numFmtId="4" fontId="10" fillId="0" borderId="16" xfId="0" applyNumberFormat="1" applyFont="1" applyBorder="1" applyAlignment="1">
      <alignment vertical="center"/>
    </xf>
    <xf numFmtId="0" fontId="5" fillId="2" borderId="0" xfId="0" applyFont="1" applyFill="1" applyAlignment="1">
      <alignment horizontal="center" vertical="center" wrapText="1"/>
    </xf>
    <xf numFmtId="0" fontId="18" fillId="0" borderId="4" xfId="0" applyFont="1" applyBorder="1" applyAlignment="1">
      <alignment horizontal="center" vertical="center" wrapText="1"/>
    </xf>
    <xf numFmtId="0" fontId="18" fillId="0" borderId="5" xfId="0" applyFont="1" applyBorder="1" applyAlignment="1">
      <alignment horizontal="center" vertical="center" wrapText="1"/>
    </xf>
    <xf numFmtId="4" fontId="16" fillId="0" borderId="0" xfId="0" applyNumberFormat="1" applyFont="1"/>
    <xf numFmtId="0" fontId="0" fillId="0" borderId="17" xfId="0" applyBorder="1" applyAlignment="1">
      <alignment vertical="center"/>
    </xf>
    <xf numFmtId="167" fontId="19" fillId="0" borderId="10" xfId="0" applyNumberFormat="1" applyFont="1" applyBorder="1"/>
    <xf numFmtId="0" fontId="11" fillId="0" borderId="0" xfId="0" applyFont="1" applyProtection="1">
      <protection locked="0"/>
    </xf>
    <xf numFmtId="4" fontId="9" fillId="0" borderId="0" xfId="0" applyNumberFormat="1" applyFont="1"/>
    <xf numFmtId="0" fontId="11" fillId="0" borderId="18" xfId="0" applyFont="1" applyBorder="1"/>
    <xf numFmtId="167" fontId="11" fillId="0" borderId="0" xfId="0" applyNumberFormat="1" applyFont="1"/>
    <xf numFmtId="4" fontId="10" fillId="0" borderId="0" xfId="0" applyNumberFormat="1" applyFont="1"/>
    <xf numFmtId="4" fontId="5" fillId="3" borderId="7" xfId="0" applyNumberFormat="1" applyFont="1" applyFill="1" applyBorder="1" applyAlignment="1" applyProtection="1">
      <alignment vertical="center"/>
      <protection locked="0"/>
    </xf>
    <xf numFmtId="4" fontId="5" fillId="0" borderId="7" xfId="0" applyNumberFormat="1" applyFont="1" applyBorder="1" applyAlignment="1">
      <alignment vertical="center"/>
    </xf>
    <xf numFmtId="0" fontId="0" fillId="0" borderId="7" xfId="0" applyBorder="1" applyAlignment="1">
      <alignment vertical="center"/>
    </xf>
    <xf numFmtId="0" fontId="18" fillId="3" borderId="18" xfId="0" applyFont="1" applyFill="1" applyBorder="1" applyAlignment="1" applyProtection="1">
      <alignment horizontal="left" vertical="center"/>
      <protection locked="0"/>
    </xf>
    <xf numFmtId="0" fontId="18" fillId="0" borderId="0" xfId="0" applyFont="1" applyAlignment="1">
      <alignment horizontal="center" vertical="center"/>
    </xf>
    <xf numFmtId="167" fontId="18" fillId="0" borderId="0" xfId="0" applyNumberFormat="1" applyFont="1" applyAlignment="1">
      <alignment vertical="center"/>
    </xf>
    <xf numFmtId="0" fontId="18" fillId="0" borderId="6" xfId="0" applyFont="1" applyBorder="1" applyAlignment="1">
      <alignment horizontal="center" vertical="center" wrapText="1"/>
    </xf>
    <xf numFmtId="167" fontId="19" fillId="0" borderId="19" xfId="0" applyNumberFormat="1" applyFont="1" applyBorder="1"/>
    <xf numFmtId="167" fontId="11" fillId="0" borderId="20" xfId="0" applyNumberFormat="1" applyFont="1" applyBorder="1"/>
    <xf numFmtId="167" fontId="18" fillId="0" borderId="20" xfId="0" applyNumberFormat="1" applyFont="1" applyBorder="1" applyAlignment="1">
      <alignment vertical="center"/>
    </xf>
    <xf numFmtId="0" fontId="11" fillId="0" borderId="0" xfId="0" applyFont="1" applyAlignment="1">
      <alignment horizontal="center"/>
    </xf>
    <xf numFmtId="0" fontId="5" fillId="0" borderId="0" xfId="0" applyFont="1" applyAlignment="1">
      <alignment horizontal="left" vertical="center"/>
    </xf>
    <xf numFmtId="4" fontId="8" fillId="0" borderId="0" xfId="0" applyNumberFormat="1" applyFont="1" applyAlignment="1">
      <alignment vertical="center"/>
    </xf>
    <xf numFmtId="4" fontId="11" fillId="0" borderId="0" xfId="0" applyNumberFormat="1" applyFont="1" applyAlignment="1">
      <alignment vertical="center"/>
    </xf>
    <xf numFmtId="4" fontId="0" fillId="0" borderId="0" xfId="0" applyNumberFormat="1" applyAlignment="1">
      <alignment vertical="center"/>
    </xf>
    <xf numFmtId="0" fontId="20" fillId="0" borderId="0" xfId="0" applyFont="1" applyAlignment="1">
      <alignment horizontal="left" vertical="center"/>
    </xf>
    <xf numFmtId="0" fontId="21" fillId="0" borderId="0" xfId="0" applyFont="1" applyAlignment="1">
      <alignment vertical="center" wrapText="1"/>
    </xf>
    <xf numFmtId="0" fontId="0" fillId="0" borderId="0" xfId="0" applyAlignment="1" applyProtection="1">
      <alignment vertical="center"/>
      <protection locked="0"/>
    </xf>
    <xf numFmtId="0" fontId="0" fillId="0" borderId="18" xfId="0" applyBorder="1" applyAlignment="1">
      <alignment vertical="center"/>
    </xf>
    <xf numFmtId="0" fontId="0" fillId="0" borderId="21" xfId="0" applyBorder="1" applyAlignment="1">
      <alignment vertical="center"/>
    </xf>
    <xf numFmtId="0" fontId="0" fillId="0" borderId="16" xfId="0" applyBorder="1" applyAlignment="1">
      <alignment vertical="center"/>
    </xf>
    <xf numFmtId="0" fontId="0" fillId="0" borderId="20" xfId="0" applyBorder="1" applyAlignment="1">
      <alignment vertical="center"/>
    </xf>
    <xf numFmtId="0" fontId="0" fillId="0" borderId="22" xfId="0" applyBorder="1" applyAlignment="1">
      <alignment vertical="center"/>
    </xf>
    <xf numFmtId="0" fontId="22" fillId="0" borderId="0" xfId="0" applyFont="1" applyAlignment="1">
      <alignment vertical="center"/>
    </xf>
    <xf numFmtId="0" fontId="23" fillId="0" borderId="7" xfId="0" applyFont="1" applyBorder="1" applyAlignment="1">
      <alignment horizontal="center" vertical="center"/>
    </xf>
    <xf numFmtId="49" fontId="23" fillId="0" borderId="7" xfId="0" applyNumberFormat="1" applyFont="1" applyBorder="1" applyAlignment="1">
      <alignment horizontal="left" vertical="center" wrapText="1"/>
    </xf>
    <xf numFmtId="0" fontId="23" fillId="0" borderId="7" xfId="0" applyFont="1" applyBorder="1" applyAlignment="1">
      <alignment horizontal="left" vertical="center" wrapText="1"/>
    </xf>
    <xf numFmtId="0" fontId="23" fillId="0" borderId="7" xfId="0" applyFont="1" applyBorder="1" applyAlignment="1">
      <alignment horizontal="center" vertical="center" wrapText="1"/>
    </xf>
    <xf numFmtId="165" fontId="23" fillId="0" borderId="7" xfId="0" applyNumberFormat="1" applyFont="1" applyBorder="1" applyAlignment="1">
      <alignment vertical="center"/>
    </xf>
    <xf numFmtId="0" fontId="22" fillId="0" borderId="3" xfId="0" applyFont="1" applyBorder="1" applyAlignment="1">
      <alignment vertical="center"/>
    </xf>
    <xf numFmtId="0" fontId="22" fillId="0" borderId="0" xfId="0" applyFont="1" applyAlignment="1">
      <alignment horizontal="left" vertical="center" wrapText="1"/>
    </xf>
    <xf numFmtId="165" fontId="22" fillId="0" borderId="0" xfId="0" applyNumberFormat="1" applyFont="1" applyAlignment="1">
      <alignment vertical="center"/>
    </xf>
    <xf numFmtId="4" fontId="23" fillId="3" borderId="7" xfId="0" applyNumberFormat="1" applyFont="1" applyFill="1" applyBorder="1" applyAlignment="1" applyProtection="1">
      <alignment vertical="center"/>
      <protection locked="0"/>
    </xf>
    <xf numFmtId="4" fontId="23" fillId="0" borderId="7" xfId="0" applyNumberFormat="1" applyFont="1" applyBorder="1" applyAlignment="1">
      <alignment vertical="center"/>
    </xf>
    <xf numFmtId="0" fontId="24" fillId="0" borderId="7" xfId="0" applyFont="1" applyBorder="1" applyAlignment="1">
      <alignment vertical="center"/>
    </xf>
    <xf numFmtId="0" fontId="24" fillId="0" borderId="3" xfId="0" applyFont="1" applyBorder="1" applyAlignment="1">
      <alignment vertical="center"/>
    </xf>
    <xf numFmtId="0" fontId="23" fillId="3" borderId="18" xfId="0" applyFont="1" applyFill="1" applyBorder="1" applyAlignment="1" applyProtection="1">
      <alignment horizontal="left" vertical="center"/>
      <protection locked="0"/>
    </xf>
    <xf numFmtId="0" fontId="23" fillId="0" borderId="0" xfId="0" applyFont="1" applyAlignment="1">
      <alignment horizontal="center" vertical="center"/>
    </xf>
    <xf numFmtId="0" fontId="22" fillId="0" borderId="0" xfId="0" applyFont="1" applyAlignment="1" applyProtection="1">
      <alignment vertical="center"/>
      <protection locked="0"/>
    </xf>
    <xf numFmtId="0" fontId="22" fillId="0" borderId="18" xfId="0" applyFont="1" applyBorder="1" applyAlignment="1">
      <alignment vertical="center"/>
    </xf>
    <xf numFmtId="0" fontId="18" fillId="3" borderId="21" xfId="0" applyFont="1" applyFill="1" applyBorder="1" applyAlignment="1" applyProtection="1">
      <alignment horizontal="left" vertical="center"/>
      <protection locked="0"/>
    </xf>
    <xf numFmtId="0" fontId="18" fillId="0" borderId="16" xfId="0" applyFont="1" applyBorder="1" applyAlignment="1">
      <alignment horizontal="center" vertical="center"/>
    </xf>
    <xf numFmtId="167" fontId="18" fillId="0" borderId="16" xfId="0" applyNumberFormat="1" applyFont="1" applyBorder="1" applyAlignment="1">
      <alignment vertical="center"/>
    </xf>
    <xf numFmtId="0" fontId="22" fillId="0" borderId="20" xfId="0" applyFont="1" applyBorder="1" applyAlignment="1">
      <alignment vertical="center"/>
    </xf>
    <xf numFmtId="167" fontId="18" fillId="0" borderId="22" xfId="0" applyNumberFormat="1" applyFont="1" applyBorder="1" applyAlignment="1">
      <alignment vertical="center"/>
    </xf>
    <xf numFmtId="0" fontId="22" fillId="0" borderId="0" xfId="0" applyFont="1" applyAlignment="1">
      <alignment horizontal="left" vertical="center"/>
    </xf>
    <xf numFmtId="0" fontId="25" fillId="0" borderId="0" xfId="0" applyFont="1" applyAlignment="1">
      <alignment vertical="center"/>
    </xf>
    <xf numFmtId="0" fontId="26" fillId="0" borderId="0" xfId="0" applyFont="1" applyAlignment="1">
      <alignment vertical="center"/>
    </xf>
    <xf numFmtId="0" fontId="25" fillId="0" borderId="3" xfId="0" applyFont="1" applyBorder="1" applyAlignment="1">
      <alignment vertical="center"/>
    </xf>
    <xf numFmtId="0" fontId="25" fillId="0" borderId="0" xfId="0" applyFont="1" applyAlignment="1">
      <alignment horizontal="left" vertical="center"/>
    </xf>
    <xf numFmtId="0" fontId="25" fillId="0" borderId="0" xfId="0" applyFont="1" applyAlignment="1">
      <alignment horizontal="left" vertical="center" wrapText="1"/>
    </xf>
    <xf numFmtId="0" fontId="26" fillId="0" borderId="3" xfId="0" applyFont="1" applyBorder="1" applyAlignment="1">
      <alignment vertical="center"/>
    </xf>
    <xf numFmtId="0" fontId="26" fillId="0" borderId="0" xfId="0" applyFont="1" applyAlignment="1">
      <alignment horizontal="left" vertical="center"/>
    </xf>
    <xf numFmtId="0" fontId="26" fillId="0" borderId="0" xfId="0" applyFont="1" applyAlignment="1">
      <alignment horizontal="left" vertical="center" wrapText="1"/>
    </xf>
    <xf numFmtId="165" fontId="26" fillId="0" borderId="0" xfId="0" applyNumberFormat="1" applyFont="1" applyAlignment="1">
      <alignment vertical="center"/>
    </xf>
    <xf numFmtId="4" fontId="5" fillId="0" borderId="7" xfId="0" applyNumberFormat="1" applyFont="1" applyBorder="1" applyAlignment="1" applyProtection="1">
      <alignment vertical="center"/>
      <protection locked="0"/>
    </xf>
    <xf numFmtId="0" fontId="25" fillId="0" borderId="0" xfId="0" applyFont="1" applyAlignment="1" applyProtection="1">
      <alignment vertical="center"/>
      <protection locked="0"/>
    </xf>
    <xf numFmtId="0" fontId="25" fillId="0" borderId="18" xfId="0" applyFont="1" applyBorder="1" applyAlignment="1">
      <alignment vertical="center"/>
    </xf>
    <xf numFmtId="0" fontId="26" fillId="0" borderId="0" xfId="0" applyFont="1" applyAlignment="1" applyProtection="1">
      <alignment vertical="center"/>
      <protection locked="0"/>
    </xf>
    <xf numFmtId="0" fontId="26" fillId="0" borderId="18" xfId="0" applyFont="1" applyBorder="1" applyAlignment="1">
      <alignment vertical="center"/>
    </xf>
    <xf numFmtId="0" fontId="25" fillId="0" borderId="20" xfId="0" applyFont="1" applyBorder="1" applyAlignment="1">
      <alignment vertical="center"/>
    </xf>
    <xf numFmtId="0" fontId="26" fillId="0" borderId="20" xfId="0" applyFont="1" applyBorder="1" applyAlignment="1">
      <alignment vertical="center"/>
    </xf>
    <xf numFmtId="4" fontId="23" fillId="0" borderId="7" xfId="0" applyNumberFormat="1" applyFont="1" applyBorder="1" applyAlignment="1" applyProtection="1">
      <alignment vertical="center"/>
      <protection locked="0"/>
    </xf>
    <xf numFmtId="4" fontId="5" fillId="4" borderId="7" xfId="0" applyNumberFormat="1" applyFont="1" applyFill="1" applyBorder="1" applyAlignment="1" applyProtection="1">
      <alignment vertical="center"/>
      <protection locked="0"/>
    </xf>
    <xf numFmtId="0" fontId="27" fillId="0" borderId="0" xfId="0" applyFont="1" applyAlignment="1">
      <alignment vertical="center"/>
    </xf>
    <xf numFmtId="0" fontId="28" fillId="0" borderId="0" xfId="0" applyFont="1" applyAlignment="1">
      <alignment horizontal="left" vertical="center"/>
    </xf>
    <xf numFmtId="0" fontId="27" fillId="0" borderId="3" xfId="0" applyFont="1" applyBorder="1" applyAlignment="1">
      <alignment vertical="center"/>
    </xf>
    <xf numFmtId="0" fontId="27" fillId="0" borderId="0" xfId="0" applyFont="1" applyAlignment="1">
      <alignment horizontal="left" vertical="center"/>
    </xf>
    <xf numFmtId="0" fontId="27" fillId="0" borderId="0" xfId="0" applyFont="1" applyAlignment="1">
      <alignment horizontal="left" vertical="center" wrapText="1"/>
    </xf>
    <xf numFmtId="165" fontId="27" fillId="0" borderId="0" xfId="0" applyNumberFormat="1" applyFont="1" applyAlignment="1">
      <alignment vertical="center"/>
    </xf>
    <xf numFmtId="0" fontId="27" fillId="0" borderId="0" xfId="0" applyFont="1" applyAlignment="1" applyProtection="1">
      <alignment vertical="center"/>
      <protection locked="0"/>
    </xf>
    <xf numFmtId="0" fontId="27" fillId="0" borderId="18" xfId="0" applyFont="1" applyBorder="1" applyAlignment="1">
      <alignment vertical="center"/>
    </xf>
    <xf numFmtId="0" fontId="27" fillId="0" borderId="20" xfId="0" applyFont="1" applyBorder="1" applyAlignment="1">
      <alignment vertical="center"/>
    </xf>
    <xf numFmtId="165" fontId="5" fillId="3" borderId="7" xfId="0" applyNumberFormat="1" applyFont="1" applyFill="1" applyBorder="1" applyAlignment="1" applyProtection="1">
      <alignment vertical="center"/>
      <protection locked="0"/>
    </xf>
    <xf numFmtId="0" fontId="26" fillId="0" borderId="21" xfId="0" applyFont="1" applyBorder="1" applyAlignment="1">
      <alignment vertical="center"/>
    </xf>
    <xf numFmtId="0" fontId="26" fillId="0" borderId="16" xfId="0" applyFont="1" applyBorder="1" applyAlignment="1">
      <alignment vertical="center"/>
    </xf>
    <xf numFmtId="0" fontId="26" fillId="0" borderId="22" xfId="0" applyFont="1" applyBorder="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6" fillId="0" borderId="0" xfId="0" applyFont="1" applyAlignment="1">
      <alignment vertical="center"/>
    </xf>
    <xf numFmtId="0" fontId="29" fillId="0" borderId="0" xfId="0" applyFont="1" applyAlignment="1">
      <alignment vertical="center"/>
    </xf>
    <xf numFmtId="0" fontId="30" fillId="0" borderId="0" xfId="0" applyFont="1" applyAlignment="1">
      <alignment horizontal="left" vertical="center"/>
    </xf>
    <xf numFmtId="49" fontId="3" fillId="3" borderId="0" xfId="0" applyNumberFormat="1" applyFont="1" applyFill="1" applyAlignment="1" applyProtection="1">
      <alignment horizontal="left" vertical="center"/>
      <protection locked="0"/>
    </xf>
    <xf numFmtId="0" fontId="0" fillId="0" borderId="13" xfId="0" applyBorder="1"/>
    <xf numFmtId="0" fontId="12" fillId="0" borderId="14" xfId="0" applyFont="1" applyBorder="1" applyAlignment="1">
      <alignment horizontal="left" vertical="center"/>
    </xf>
    <xf numFmtId="0" fontId="2" fillId="0" borderId="3" xfId="0" applyFont="1" applyBorder="1" applyAlignment="1">
      <alignment vertical="center"/>
    </xf>
    <xf numFmtId="0" fontId="0" fillId="5" borderId="0" xfId="0" applyFill="1" applyAlignment="1">
      <alignment vertical="center"/>
    </xf>
    <xf numFmtId="0" fontId="6" fillId="5" borderId="11" xfId="0" applyFont="1" applyFill="1" applyBorder="1" applyAlignment="1">
      <alignment horizontal="left" vertical="center"/>
    </xf>
    <xf numFmtId="0" fontId="0" fillId="5" borderId="12" xfId="0" applyFill="1" applyBorder="1" applyAlignment="1">
      <alignment vertical="center"/>
    </xf>
    <xf numFmtId="0" fontId="6" fillId="5" borderId="12" xfId="0" applyFont="1" applyFill="1" applyBorder="1" applyAlignment="1">
      <alignment horizontal="center" vertical="center"/>
    </xf>
    <xf numFmtId="14" fontId="3" fillId="3" borderId="0" xfId="0" applyNumberFormat="1" applyFont="1" applyFill="1" applyAlignment="1" applyProtection="1">
      <alignment horizontal="left" vertical="center"/>
      <protection locked="0"/>
    </xf>
    <xf numFmtId="0" fontId="32" fillId="0" borderId="0" xfId="0" applyFont="1" applyAlignment="1">
      <alignment horizontal="left" vertical="center"/>
    </xf>
    <xf numFmtId="0" fontId="33" fillId="0" borderId="0" xfId="0" applyFont="1" applyAlignment="1">
      <alignment horizontal="left" vertical="center"/>
    </xf>
    <xf numFmtId="0" fontId="3" fillId="0" borderId="3" xfId="0" applyFont="1" applyBorder="1" applyAlignment="1">
      <alignment vertical="center"/>
    </xf>
    <xf numFmtId="0" fontId="4" fillId="0" borderId="3" xfId="0" applyFont="1" applyBorder="1" applyAlignment="1">
      <alignment vertical="center"/>
    </xf>
    <xf numFmtId="0" fontId="4" fillId="0" borderId="0" xfId="0" applyFont="1" applyAlignment="1">
      <alignment horizontal="left" vertical="center"/>
    </xf>
    <xf numFmtId="0" fontId="6" fillId="0" borderId="3" xfId="0" applyFont="1" applyBorder="1" applyAlignment="1">
      <alignment vertical="center"/>
    </xf>
    <xf numFmtId="0" fontId="16" fillId="0" borderId="0" xfId="0" applyFont="1" applyAlignment="1">
      <alignment vertical="center"/>
    </xf>
    <xf numFmtId="0" fontId="35" fillId="0" borderId="0" xfId="1" applyFont="1" applyAlignment="1">
      <alignment horizontal="center" vertical="center"/>
    </xf>
    <xf numFmtId="0" fontId="29" fillId="0" borderId="3" xfId="0" applyFont="1" applyBorder="1" applyAlignment="1">
      <alignment vertical="center"/>
    </xf>
    <xf numFmtId="0" fontId="36" fillId="0" borderId="0" xfId="0" applyFont="1" applyAlignment="1">
      <alignment vertical="center"/>
    </xf>
    <xf numFmtId="0" fontId="12" fillId="0" borderId="0" xfId="0" applyFont="1" applyAlignment="1">
      <alignment vertical="center"/>
    </xf>
    <xf numFmtId="0" fontId="38" fillId="0" borderId="0" xfId="0" applyFont="1" applyAlignment="1">
      <alignment vertical="center"/>
    </xf>
    <xf numFmtId="0" fontId="5" fillId="2" borderId="0" xfId="0" applyFont="1" applyFill="1" applyAlignment="1">
      <alignment horizontal="center" vertical="center"/>
    </xf>
    <xf numFmtId="0" fontId="6" fillId="0" borderId="0" xfId="0" applyFont="1" applyAlignment="1">
      <alignment horizontal="center" vertical="center"/>
    </xf>
    <xf numFmtId="4" fontId="39" fillId="0" borderId="18" xfId="0" applyNumberFormat="1" applyFont="1" applyBorder="1" applyAlignment="1">
      <alignment vertical="center"/>
    </xf>
    <xf numFmtId="4" fontId="39" fillId="0" borderId="0" xfId="0" applyNumberFormat="1" applyFont="1" applyAlignment="1">
      <alignment vertical="center"/>
    </xf>
    <xf numFmtId="167" fontId="39" fillId="0" borderId="0" xfId="0" applyNumberFormat="1" applyFont="1" applyAlignment="1">
      <alignment vertical="center"/>
    </xf>
    <xf numFmtId="0" fontId="4" fillId="0" borderId="0" xfId="0" applyFont="1" applyAlignment="1">
      <alignment horizontal="center" vertical="center"/>
    </xf>
    <xf numFmtId="4" fontId="40" fillId="0" borderId="18" xfId="0" applyNumberFormat="1" applyFont="1" applyBorder="1" applyAlignment="1">
      <alignment vertical="center"/>
    </xf>
    <xf numFmtId="4" fontId="40" fillId="0" borderId="0" xfId="0" applyNumberFormat="1" applyFont="1" applyAlignment="1">
      <alignment vertical="center"/>
    </xf>
    <xf numFmtId="167" fontId="40" fillId="0" borderId="0" xfId="0" applyNumberFormat="1" applyFont="1" applyAlignment="1">
      <alignment vertical="center"/>
    </xf>
    <xf numFmtId="0" fontId="3" fillId="0" borderId="0" xfId="0" applyFont="1" applyAlignment="1">
      <alignment horizontal="center" vertical="center"/>
    </xf>
    <xf numFmtId="4" fontId="2" fillId="0" borderId="18" xfId="0" applyNumberFormat="1" applyFont="1" applyBorder="1" applyAlignment="1">
      <alignment vertical="center"/>
    </xf>
    <xf numFmtId="167" fontId="2" fillId="0" borderId="0" xfId="0" applyNumberFormat="1" applyFont="1" applyAlignment="1">
      <alignment vertical="center"/>
    </xf>
    <xf numFmtId="4" fontId="2" fillId="0" borderId="21" xfId="0" applyNumberFormat="1" applyFont="1" applyBorder="1" applyAlignment="1">
      <alignment vertical="center"/>
    </xf>
    <xf numFmtId="4" fontId="2" fillId="0" borderId="16" xfId="0" applyNumberFormat="1" applyFont="1" applyBorder="1" applyAlignment="1">
      <alignment vertical="center"/>
    </xf>
    <xf numFmtId="167" fontId="2" fillId="0" borderId="16" xfId="0" applyNumberFormat="1" applyFont="1" applyBorder="1" applyAlignment="1">
      <alignment vertical="center"/>
    </xf>
    <xf numFmtId="0" fontId="0" fillId="0" borderId="19" xfId="0" applyBorder="1" applyAlignment="1">
      <alignment vertical="center"/>
    </xf>
    <xf numFmtId="4" fontId="39" fillId="0" borderId="20" xfId="0" applyNumberFormat="1" applyFont="1" applyBorder="1" applyAlignment="1">
      <alignment vertical="center"/>
    </xf>
    <xf numFmtId="4" fontId="40" fillId="0" borderId="20" xfId="0" applyNumberFormat="1" applyFont="1" applyBorder="1" applyAlignment="1">
      <alignment vertical="center"/>
    </xf>
    <xf numFmtId="4" fontId="2" fillId="0" borderId="20" xfId="0" applyNumberFormat="1" applyFont="1" applyBorder="1" applyAlignment="1">
      <alignment vertical="center"/>
    </xf>
    <xf numFmtId="4" fontId="2" fillId="0" borderId="22" xfId="0" applyNumberFormat="1" applyFont="1" applyBorder="1" applyAlignment="1">
      <alignment vertical="center"/>
    </xf>
    <xf numFmtId="0" fontId="6" fillId="0" borderId="0" xfId="0" applyFont="1" applyAlignment="1">
      <alignment horizontal="left" vertical="center"/>
    </xf>
    <xf numFmtId="0" fontId="29" fillId="0" borderId="0" xfId="0" applyFont="1" applyAlignment="1">
      <alignment horizontal="left" vertical="center"/>
    </xf>
    <xf numFmtId="0" fontId="41" fillId="0" borderId="0" xfId="0" applyFont="1" applyAlignment="1">
      <alignment horizontal="left" vertical="center"/>
    </xf>
    <xf numFmtId="0" fontId="0" fillId="6" borderId="0" xfId="0" applyFill="1"/>
    <xf numFmtId="0" fontId="0" fillId="6" borderId="1" xfId="0" applyFill="1" applyBorder="1"/>
    <xf numFmtId="0" fontId="0" fillId="6" borderId="2" xfId="0" applyFill="1" applyBorder="1"/>
    <xf numFmtId="0" fontId="0" fillId="6" borderId="3" xfId="0" applyFill="1" applyBorder="1"/>
    <xf numFmtId="0" fontId="1" fillId="6" borderId="0" xfId="0" applyFont="1" applyFill="1" applyAlignment="1">
      <alignment horizontal="left" vertical="center"/>
    </xf>
    <xf numFmtId="0" fontId="15" fillId="6" borderId="0" xfId="0" applyFont="1" applyFill="1" applyAlignment="1">
      <alignment horizontal="left" vertical="center"/>
    </xf>
    <xf numFmtId="0" fontId="2" fillId="6" borderId="0" xfId="0" applyFont="1" applyFill="1" applyAlignment="1">
      <alignment horizontal="left" vertical="center"/>
    </xf>
    <xf numFmtId="0" fontId="0" fillId="6" borderId="0" xfId="0" applyFill="1" applyAlignment="1">
      <alignment vertical="center"/>
    </xf>
    <xf numFmtId="0" fontId="0" fillId="6" borderId="3" xfId="0" applyFill="1" applyBorder="1" applyAlignment="1">
      <alignment vertical="center"/>
    </xf>
    <xf numFmtId="0" fontId="3" fillId="6" borderId="0" xfId="0" applyFont="1" applyFill="1" applyAlignment="1">
      <alignment horizontal="left" vertical="center"/>
    </xf>
    <xf numFmtId="164" fontId="3" fillId="6" borderId="0" xfId="0" applyNumberFormat="1" applyFont="1" applyFill="1" applyAlignment="1">
      <alignment horizontal="left" vertical="center"/>
    </xf>
    <xf numFmtId="0" fontId="3" fillId="6" borderId="0" xfId="0" applyFont="1" applyFill="1" applyAlignment="1" applyProtection="1">
      <alignment horizontal="left" vertical="center"/>
      <protection locked="0"/>
    </xf>
    <xf numFmtId="0" fontId="0" fillId="6" borderId="0" xfId="0" applyFill="1" applyAlignment="1">
      <alignment vertical="center" wrapText="1"/>
    </xf>
    <xf numFmtId="0" fontId="0" fillId="6" borderId="3" xfId="0" applyFill="1" applyBorder="1" applyAlignment="1">
      <alignment vertical="center" wrapText="1"/>
    </xf>
    <xf numFmtId="0" fontId="3" fillId="6" borderId="0" xfId="0" applyFont="1" applyFill="1" applyAlignment="1">
      <alignment horizontal="left" vertical="center" wrapText="1"/>
    </xf>
    <xf numFmtId="0" fontId="0" fillId="6" borderId="10" xfId="0" applyFill="1" applyBorder="1" applyAlignment="1">
      <alignment vertical="center"/>
    </xf>
    <xf numFmtId="0" fontId="12" fillId="6" borderId="0" xfId="0" applyFont="1" applyFill="1" applyAlignment="1">
      <alignment horizontal="left" vertical="center"/>
    </xf>
    <xf numFmtId="4" fontId="16" fillId="6" borderId="0" xfId="0" applyNumberFormat="1" applyFont="1" applyFill="1" applyAlignment="1">
      <alignment vertical="center"/>
    </xf>
    <xf numFmtId="0" fontId="2" fillId="6" borderId="0" xfId="0" applyFont="1" applyFill="1" applyAlignment="1">
      <alignment horizontal="right" vertical="center"/>
    </xf>
    <xf numFmtId="0" fontId="13" fillId="6" borderId="0" xfId="0" applyFont="1" applyFill="1" applyAlignment="1">
      <alignment horizontal="left" vertical="center"/>
    </xf>
    <xf numFmtId="4" fontId="2" fillId="6" borderId="0" xfId="0" applyNumberFormat="1" applyFont="1" applyFill="1" applyAlignment="1">
      <alignment vertical="center"/>
    </xf>
    <xf numFmtId="166" fontId="2" fillId="6" borderId="0" xfId="0" applyNumberFormat="1" applyFont="1" applyFill="1" applyAlignment="1">
      <alignment horizontal="right" vertical="center"/>
    </xf>
    <xf numFmtId="0" fontId="6" fillId="6" borderId="11" xfId="0" applyFont="1" applyFill="1" applyBorder="1" applyAlignment="1">
      <alignment horizontal="left" vertical="center"/>
    </xf>
    <xf numFmtId="0" fontId="0" fillId="6" borderId="12" xfId="0" applyFill="1" applyBorder="1" applyAlignment="1">
      <alignment vertical="center"/>
    </xf>
    <xf numFmtId="0" fontId="6" fillId="6" borderId="12" xfId="0" applyFont="1" applyFill="1" applyBorder="1" applyAlignment="1">
      <alignment horizontal="right" vertical="center"/>
    </xf>
    <xf numFmtId="0" fontId="6" fillId="6" borderId="12" xfId="0" applyFont="1" applyFill="1" applyBorder="1" applyAlignment="1">
      <alignment horizontal="center" vertical="center"/>
    </xf>
    <xf numFmtId="4" fontId="6" fillId="6" borderId="12" xfId="0" applyNumberFormat="1" applyFont="1" applyFill="1" applyBorder="1" applyAlignment="1">
      <alignment vertical="center"/>
    </xf>
    <xf numFmtId="0" fontId="0" fillId="6" borderId="15" xfId="0" applyFill="1" applyBorder="1" applyAlignment="1">
      <alignment vertical="center"/>
    </xf>
    <xf numFmtId="0" fontId="14" fillId="6" borderId="13" xfId="0" applyFont="1" applyFill="1" applyBorder="1" applyAlignment="1">
      <alignment horizontal="left" vertical="center"/>
    </xf>
    <xf numFmtId="0" fontId="0" fillId="6" borderId="13" xfId="0" applyFill="1" applyBorder="1" applyAlignment="1">
      <alignment vertical="center"/>
    </xf>
    <xf numFmtId="0" fontId="2" fillId="6" borderId="14" xfId="0" applyFont="1" applyFill="1" applyBorder="1" applyAlignment="1">
      <alignment horizontal="left" vertical="center"/>
    </xf>
    <xf numFmtId="0" fontId="0" fillId="6" borderId="14" xfId="0" applyFill="1" applyBorder="1" applyAlignment="1">
      <alignment vertical="center"/>
    </xf>
    <xf numFmtId="0" fontId="2" fillId="6" borderId="14" xfId="0" applyFont="1" applyFill="1" applyBorder="1" applyAlignment="1">
      <alignment horizontal="center" vertical="center"/>
    </xf>
    <xf numFmtId="0" fontId="2" fillId="6" borderId="14" xfId="0" applyFont="1" applyFill="1" applyBorder="1" applyAlignment="1">
      <alignment horizontal="right" vertical="center"/>
    </xf>
    <xf numFmtId="0" fontId="0" fillId="6" borderId="8" xfId="0" applyFill="1" applyBorder="1" applyAlignment="1">
      <alignment vertical="center"/>
    </xf>
    <xf numFmtId="0" fontId="0" fillId="6" borderId="9" xfId="0" applyFill="1" applyBorder="1" applyAlignment="1">
      <alignment vertical="center"/>
    </xf>
    <xf numFmtId="0" fontId="0" fillId="6" borderId="1" xfId="0" applyFill="1" applyBorder="1" applyAlignment="1">
      <alignment vertical="center"/>
    </xf>
    <xf numFmtId="0" fontId="0" fillId="6" borderId="2" xfId="0" applyFill="1" applyBorder="1" applyAlignment="1">
      <alignment vertical="center"/>
    </xf>
    <xf numFmtId="0" fontId="5" fillId="6" borderId="0" xfId="0" applyFont="1" applyFill="1" applyAlignment="1">
      <alignment horizontal="left" vertical="center"/>
    </xf>
    <xf numFmtId="0" fontId="5" fillId="6" borderId="0" xfId="0" applyFont="1" applyFill="1" applyAlignment="1">
      <alignment horizontal="right" vertical="center"/>
    </xf>
    <xf numFmtId="0" fontId="17" fillId="6" borderId="0" xfId="0" applyFont="1" applyFill="1" applyAlignment="1">
      <alignment horizontal="left" vertical="center"/>
    </xf>
    <xf numFmtId="0" fontId="9" fillId="6" borderId="0" xfId="0" applyFont="1" applyFill="1" applyAlignment="1">
      <alignment vertical="center"/>
    </xf>
    <xf numFmtId="0" fontId="9" fillId="6" borderId="3" xfId="0" applyFont="1" applyFill="1" applyBorder="1" applyAlignment="1">
      <alignment vertical="center"/>
    </xf>
    <xf numFmtId="0" fontId="9" fillId="6" borderId="16" xfId="0" applyFont="1" applyFill="1" applyBorder="1" applyAlignment="1">
      <alignment horizontal="left" vertical="center"/>
    </xf>
    <xf numFmtId="0" fontId="9" fillId="6" borderId="16" xfId="0" applyFont="1" applyFill="1" applyBorder="1" applyAlignment="1">
      <alignment vertical="center"/>
    </xf>
    <xf numFmtId="4" fontId="9" fillId="6" borderId="16" xfId="0" applyNumberFormat="1" applyFont="1" applyFill="1" applyBorder="1" applyAlignment="1">
      <alignment vertical="center"/>
    </xf>
    <xf numFmtId="0" fontId="10" fillId="6" borderId="0" xfId="0" applyFont="1" applyFill="1" applyAlignment="1">
      <alignment vertical="center"/>
    </xf>
    <xf numFmtId="0" fontId="10" fillId="6" borderId="3" xfId="0" applyFont="1" applyFill="1" applyBorder="1" applyAlignment="1">
      <alignment vertical="center"/>
    </xf>
    <xf numFmtId="0" fontId="10" fillId="6" borderId="16" xfId="0" applyFont="1" applyFill="1" applyBorder="1" applyAlignment="1">
      <alignment horizontal="left" vertical="center"/>
    </xf>
    <xf numFmtId="0" fontId="10" fillId="6" borderId="16" xfId="0" applyFont="1" applyFill="1" applyBorder="1" applyAlignment="1">
      <alignment vertical="center"/>
    </xf>
    <xf numFmtId="4" fontId="10" fillId="6" borderId="16" xfId="0" applyNumberFormat="1" applyFont="1" applyFill="1" applyBorder="1" applyAlignment="1">
      <alignment vertical="center"/>
    </xf>
    <xf numFmtId="0" fontId="0" fillId="6" borderId="0" xfId="0" applyFill="1" applyAlignment="1">
      <alignment horizontal="center" vertical="center" wrapText="1"/>
    </xf>
    <xf numFmtId="0" fontId="0" fillId="6" borderId="3" xfId="0"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0" xfId="0" applyFont="1" applyFill="1" applyAlignment="1">
      <alignment horizontal="center" vertical="center" wrapText="1"/>
    </xf>
    <xf numFmtId="0" fontId="18" fillId="6" borderId="4" xfId="0" applyFont="1" applyFill="1" applyBorder="1" applyAlignment="1">
      <alignment horizontal="center" vertical="center" wrapText="1"/>
    </xf>
    <xf numFmtId="0" fontId="18" fillId="6" borderId="5" xfId="0" applyFont="1" applyFill="1" applyBorder="1" applyAlignment="1">
      <alignment horizontal="center" vertical="center" wrapText="1"/>
    </xf>
    <xf numFmtId="0" fontId="18" fillId="6" borderId="6" xfId="0" applyFont="1" applyFill="1" applyBorder="1" applyAlignment="1">
      <alignment horizontal="center" vertical="center" wrapText="1"/>
    </xf>
    <xf numFmtId="0" fontId="16" fillId="6" borderId="0" xfId="0" applyFont="1" applyFill="1" applyAlignment="1">
      <alignment horizontal="left" vertical="center"/>
    </xf>
    <xf numFmtId="4" fontId="16" fillId="6" borderId="0" xfId="0" applyNumberFormat="1" applyFont="1" applyFill="1"/>
    <xf numFmtId="0" fontId="0" fillId="6" borderId="17" xfId="0" applyFill="1" applyBorder="1" applyAlignment="1">
      <alignment vertical="center"/>
    </xf>
    <xf numFmtId="167" fontId="19" fillId="6" borderId="10" xfId="0" applyNumberFormat="1" applyFont="1" applyFill="1" applyBorder="1"/>
    <xf numFmtId="167" fontId="19" fillId="6" borderId="19" xfId="0" applyNumberFormat="1" applyFont="1" applyFill="1" applyBorder="1"/>
    <xf numFmtId="0" fontId="11" fillId="6" borderId="0" xfId="0" applyFont="1" applyFill="1"/>
    <xf numFmtId="0" fontId="11" fillId="6" borderId="3" xfId="0" applyFont="1" applyFill="1" applyBorder="1"/>
    <xf numFmtId="0" fontId="11" fillId="6" borderId="0" xfId="0" applyFont="1" applyFill="1" applyAlignment="1">
      <alignment horizontal="left"/>
    </xf>
    <xf numFmtId="0" fontId="9" fillId="6" borderId="0" xfId="0" applyFont="1" applyFill="1" applyAlignment="1">
      <alignment horizontal="left"/>
    </xf>
    <xf numFmtId="0" fontId="11" fillId="6" borderId="0" xfId="0" applyFont="1" applyFill="1" applyProtection="1">
      <protection locked="0"/>
    </xf>
    <xf numFmtId="4" fontId="9" fillId="6" borderId="0" xfId="0" applyNumberFormat="1" applyFont="1" applyFill="1"/>
    <xf numFmtId="0" fontId="11" fillId="6" borderId="18" xfId="0" applyFont="1" applyFill="1" applyBorder="1"/>
    <xf numFmtId="167" fontId="11" fillId="6" borderId="0" xfId="0" applyNumberFormat="1" applyFont="1" applyFill="1"/>
    <xf numFmtId="167" fontId="11" fillId="6" borderId="20" xfId="0" applyNumberFormat="1" applyFont="1" applyFill="1" applyBorder="1"/>
    <xf numFmtId="0" fontId="10" fillId="6" borderId="0" xfId="0" applyFont="1" applyFill="1" applyAlignment="1">
      <alignment horizontal="left"/>
    </xf>
    <xf numFmtId="4" fontId="10" fillId="6" borderId="0" xfId="0" applyNumberFormat="1" applyFont="1" applyFill="1"/>
    <xf numFmtId="0" fontId="5" fillId="6" borderId="7" xfId="0" applyFont="1" applyFill="1" applyBorder="1" applyAlignment="1">
      <alignment horizontal="center" vertical="center"/>
    </xf>
    <xf numFmtId="49" fontId="5" fillId="6" borderId="7" xfId="0" applyNumberFormat="1" applyFont="1" applyFill="1" applyBorder="1" applyAlignment="1">
      <alignment horizontal="left" vertical="center" wrapText="1"/>
    </xf>
    <xf numFmtId="0" fontId="5" fillId="6" borderId="7" xfId="0" applyFont="1" applyFill="1" applyBorder="1" applyAlignment="1">
      <alignment horizontal="left" vertical="center" wrapText="1"/>
    </xf>
    <xf numFmtId="0" fontId="5" fillId="6" borderId="7" xfId="0" applyFont="1" applyFill="1" applyBorder="1" applyAlignment="1">
      <alignment horizontal="center" vertical="center" wrapText="1"/>
    </xf>
    <xf numFmtId="165" fontId="5" fillId="6" borderId="7" xfId="0" applyNumberFormat="1" applyFont="1" applyFill="1" applyBorder="1" applyAlignment="1">
      <alignment vertical="center"/>
    </xf>
    <xf numFmtId="4" fontId="5" fillId="6" borderId="7" xfId="0" applyNumberFormat="1" applyFont="1" applyFill="1" applyBorder="1" applyAlignment="1" applyProtection="1">
      <alignment vertical="center"/>
      <protection locked="0"/>
    </xf>
    <xf numFmtId="4" fontId="5" fillId="6" borderId="7" xfId="0" applyNumberFormat="1" applyFont="1" applyFill="1" applyBorder="1" applyAlignment="1">
      <alignment vertical="center"/>
    </xf>
    <xf numFmtId="0" fontId="0" fillId="6" borderId="7" xfId="0" applyFill="1" applyBorder="1" applyAlignment="1">
      <alignment vertical="center"/>
    </xf>
    <xf numFmtId="0" fontId="18" fillId="6" borderId="18" xfId="0" applyFont="1" applyFill="1" applyBorder="1" applyAlignment="1" applyProtection="1">
      <alignment horizontal="left" vertical="center"/>
      <protection locked="0"/>
    </xf>
    <xf numFmtId="0" fontId="18" fillId="6" borderId="0" xfId="0" applyFont="1" applyFill="1" applyAlignment="1">
      <alignment horizontal="center" vertical="center"/>
    </xf>
    <xf numFmtId="167" fontId="18" fillId="6" borderId="0" xfId="0" applyNumberFormat="1" applyFont="1" applyFill="1" applyAlignment="1">
      <alignment vertical="center"/>
    </xf>
    <xf numFmtId="167" fontId="18" fillId="6" borderId="20" xfId="0" applyNumberFormat="1" applyFont="1" applyFill="1" applyBorder="1" applyAlignment="1">
      <alignment vertical="center"/>
    </xf>
    <xf numFmtId="0" fontId="23" fillId="6" borderId="7" xfId="0" applyFont="1" applyFill="1" applyBorder="1" applyAlignment="1">
      <alignment horizontal="center" vertical="center"/>
    </xf>
    <xf numFmtId="49" fontId="23" fillId="6" borderId="7" xfId="0" applyNumberFormat="1" applyFont="1" applyFill="1" applyBorder="1" applyAlignment="1">
      <alignment horizontal="left" vertical="center" wrapText="1"/>
    </xf>
    <xf numFmtId="0" fontId="23" fillId="6" borderId="7" xfId="0" applyFont="1" applyFill="1" applyBorder="1" applyAlignment="1">
      <alignment horizontal="left" vertical="center" wrapText="1"/>
    </xf>
    <xf numFmtId="0" fontId="23" fillId="6" borderId="7" xfId="0" applyFont="1" applyFill="1" applyBorder="1" applyAlignment="1">
      <alignment horizontal="center" vertical="center" wrapText="1"/>
    </xf>
    <xf numFmtId="165" fontId="23" fillId="6" borderId="7" xfId="0" applyNumberFormat="1" applyFont="1" applyFill="1" applyBorder="1" applyAlignment="1">
      <alignment vertical="center"/>
    </xf>
    <xf numFmtId="4" fontId="23" fillId="6" borderId="7" xfId="0" applyNumberFormat="1" applyFont="1" applyFill="1" applyBorder="1" applyAlignment="1" applyProtection="1">
      <alignment vertical="center"/>
      <protection locked="0"/>
    </xf>
    <xf numFmtId="4" fontId="23" fillId="6" borderId="7" xfId="0" applyNumberFormat="1" applyFont="1" applyFill="1" applyBorder="1" applyAlignment="1">
      <alignment vertical="center"/>
    </xf>
    <xf numFmtId="0" fontId="24" fillId="6" borderId="7" xfId="0" applyFont="1" applyFill="1" applyBorder="1" applyAlignment="1">
      <alignment vertical="center"/>
    </xf>
    <xf numFmtId="0" fontId="24" fillId="6" borderId="3" xfId="0" applyFont="1" applyFill="1" applyBorder="1" applyAlignment="1">
      <alignment vertical="center"/>
    </xf>
    <xf numFmtId="0" fontId="23" fillId="6" borderId="18" xfId="0" applyFont="1" applyFill="1" applyBorder="1" applyAlignment="1" applyProtection="1">
      <alignment horizontal="left" vertical="center"/>
      <protection locked="0"/>
    </xf>
    <xf numFmtId="0" fontId="23" fillId="6" borderId="0" xfId="0" applyFont="1" applyFill="1" applyAlignment="1">
      <alignment horizontal="center" vertical="center"/>
    </xf>
    <xf numFmtId="0" fontId="25" fillId="6" borderId="0" xfId="0" applyFont="1" applyFill="1" applyAlignment="1">
      <alignment vertical="center"/>
    </xf>
    <xf numFmtId="0" fontId="25" fillId="6" borderId="3" xfId="0" applyFont="1" applyFill="1" applyBorder="1" applyAlignment="1">
      <alignment vertical="center"/>
    </xf>
    <xf numFmtId="0" fontId="20" fillId="6" borderId="0" xfId="0" applyFont="1" applyFill="1" applyAlignment="1">
      <alignment horizontal="left" vertical="center"/>
    </xf>
    <xf numFmtId="0" fontId="25" fillId="6" borderId="0" xfId="0" applyFont="1" applyFill="1" applyAlignment="1">
      <alignment horizontal="left" vertical="center"/>
    </xf>
    <xf numFmtId="0" fontId="25" fillId="6" borderId="0" xfId="0" applyFont="1" applyFill="1" applyAlignment="1">
      <alignment horizontal="left" vertical="center" wrapText="1"/>
    </xf>
    <xf numFmtId="0" fontId="25" fillId="6" borderId="0" xfId="0" applyFont="1" applyFill="1" applyAlignment="1" applyProtection="1">
      <alignment vertical="center"/>
      <protection locked="0"/>
    </xf>
    <xf numFmtId="0" fontId="25" fillId="6" borderId="18" xfId="0" applyFont="1" applyFill="1" applyBorder="1" applyAlignment="1">
      <alignment vertical="center"/>
    </xf>
    <xf numFmtId="0" fontId="25" fillId="6" borderId="20" xfId="0" applyFont="1" applyFill="1" applyBorder="1" applyAlignment="1">
      <alignment vertical="center"/>
    </xf>
    <xf numFmtId="0" fontId="22" fillId="6" borderId="0" xfId="0" applyFont="1" applyFill="1" applyAlignment="1">
      <alignment vertical="center"/>
    </xf>
    <xf numFmtId="0" fontId="22" fillId="6" borderId="3" xfId="0" applyFont="1" applyFill="1" applyBorder="1" applyAlignment="1">
      <alignment vertical="center"/>
    </xf>
    <xf numFmtId="0" fontId="22" fillId="6" borderId="0" xfId="0" applyFont="1" applyFill="1" applyAlignment="1">
      <alignment horizontal="left" vertical="center"/>
    </xf>
    <xf numFmtId="0" fontId="22" fillId="6" borderId="0" xfId="0" applyFont="1" applyFill="1" applyAlignment="1">
      <alignment horizontal="left" vertical="center" wrapText="1"/>
    </xf>
    <xf numFmtId="165" fontId="22" fillId="6" borderId="0" xfId="0" applyNumberFormat="1" applyFont="1" applyFill="1" applyAlignment="1">
      <alignment vertical="center"/>
    </xf>
    <xf numFmtId="0" fontId="22" fillId="6" borderId="0" xfId="0" applyFont="1" applyFill="1" applyAlignment="1" applyProtection="1">
      <alignment vertical="center"/>
      <protection locked="0"/>
    </xf>
    <xf numFmtId="0" fontId="22" fillId="6" borderId="18" xfId="0" applyFont="1" applyFill="1" applyBorder="1" applyAlignment="1">
      <alignment vertical="center"/>
    </xf>
    <xf numFmtId="0" fontId="22" fillId="6" borderId="20" xfId="0" applyFont="1" applyFill="1" applyBorder="1" applyAlignment="1">
      <alignment vertical="center"/>
    </xf>
    <xf numFmtId="0" fontId="26" fillId="6" borderId="0" xfId="0" applyFont="1" applyFill="1" applyAlignment="1">
      <alignment vertical="center"/>
    </xf>
    <xf numFmtId="0" fontId="26" fillId="6" borderId="3" xfId="0" applyFont="1" applyFill="1" applyBorder="1" applyAlignment="1">
      <alignment vertical="center"/>
    </xf>
    <xf numFmtId="0" fontId="26" fillId="6" borderId="0" xfId="0" applyFont="1" applyFill="1" applyAlignment="1">
      <alignment horizontal="left" vertical="center"/>
    </xf>
    <xf numFmtId="0" fontId="26" fillId="6" borderId="0" xfId="0" applyFont="1" applyFill="1" applyAlignment="1">
      <alignment horizontal="left" vertical="center" wrapText="1"/>
    </xf>
    <xf numFmtId="165" fontId="26" fillId="6" borderId="0" xfId="0" applyNumberFormat="1" applyFont="1" applyFill="1" applyAlignment="1">
      <alignment vertical="center"/>
    </xf>
    <xf numFmtId="0" fontId="26" fillId="6" borderId="0" xfId="0" applyFont="1" applyFill="1" applyAlignment="1" applyProtection="1">
      <alignment vertical="center"/>
      <protection locked="0"/>
    </xf>
    <xf numFmtId="0" fontId="26" fillId="6" borderId="18" xfId="0" applyFont="1" applyFill="1" applyBorder="1" applyAlignment="1">
      <alignment vertical="center"/>
    </xf>
    <xf numFmtId="0" fontId="26" fillId="6" borderId="20" xfId="0" applyFont="1" applyFill="1" applyBorder="1" applyAlignment="1">
      <alignment vertical="center"/>
    </xf>
    <xf numFmtId="0" fontId="21" fillId="6" borderId="0" xfId="0" applyFont="1" applyFill="1" applyAlignment="1">
      <alignment vertical="center" wrapText="1"/>
    </xf>
    <xf numFmtId="0" fontId="0" fillId="6" borderId="0" xfId="0" applyFill="1" applyAlignment="1" applyProtection="1">
      <alignment vertical="center"/>
      <protection locked="0"/>
    </xf>
    <xf numFmtId="0" fontId="0" fillId="6" borderId="18" xfId="0" applyFill="1" applyBorder="1" applyAlignment="1">
      <alignment vertical="center"/>
    </xf>
    <xf numFmtId="0" fontId="0" fillId="6" borderId="20" xfId="0" applyFill="1" applyBorder="1" applyAlignment="1">
      <alignment vertical="center"/>
    </xf>
    <xf numFmtId="0" fontId="18" fillId="6" borderId="21" xfId="0" applyFont="1" applyFill="1" applyBorder="1" applyAlignment="1" applyProtection="1">
      <alignment horizontal="left" vertical="center"/>
      <protection locked="0"/>
    </xf>
    <xf numFmtId="0" fontId="18" fillId="6" borderId="16" xfId="0" applyFont="1" applyFill="1" applyBorder="1" applyAlignment="1">
      <alignment horizontal="center" vertical="center"/>
    </xf>
    <xf numFmtId="0" fontId="0" fillId="6" borderId="16" xfId="0" applyFill="1" applyBorder="1" applyAlignment="1">
      <alignment vertical="center"/>
    </xf>
    <xf numFmtId="167" fontId="18" fillId="6" borderId="16" xfId="0" applyNumberFormat="1" applyFont="1" applyFill="1" applyBorder="1" applyAlignment="1">
      <alignment vertical="center"/>
    </xf>
    <xf numFmtId="167" fontId="18" fillId="6" borderId="22" xfId="0" applyNumberFormat="1" applyFont="1" applyFill="1" applyBorder="1" applyAlignment="1">
      <alignment vertical="center"/>
    </xf>
    <xf numFmtId="0" fontId="37" fillId="0" borderId="0" xfId="0" applyFont="1" applyAlignment="1">
      <alignment horizontal="left" vertical="center" wrapText="1"/>
    </xf>
    <xf numFmtId="4" fontId="10" fillId="0" borderId="0" xfId="0" applyNumberFormat="1" applyFont="1" applyAlignment="1">
      <alignment vertical="center"/>
    </xf>
    <xf numFmtId="0" fontId="10" fillId="0" borderId="0" xfId="0" applyFont="1" applyAlignment="1">
      <alignment vertical="center"/>
    </xf>
    <xf numFmtId="0" fontId="34" fillId="0" borderId="0" xfId="0" applyFont="1" applyAlignment="1">
      <alignment horizontal="left" vertical="top" wrapText="1"/>
    </xf>
    <xf numFmtId="0" fontId="34" fillId="0" borderId="0" xfId="0" applyFont="1" applyAlignment="1">
      <alignment horizontal="left" vertical="center"/>
    </xf>
    <xf numFmtId="0" fontId="31" fillId="0" borderId="0" xfId="0" applyFont="1" applyAlignment="1">
      <alignment horizontal="left" vertical="center"/>
    </xf>
    <xf numFmtId="0" fontId="39" fillId="0" borderId="17" xfId="0" applyFont="1" applyBorder="1" applyAlignment="1">
      <alignment horizontal="center" vertical="center"/>
    </xf>
    <xf numFmtId="0" fontId="39" fillId="0" borderId="10" xfId="0" applyFont="1" applyBorder="1" applyAlignment="1">
      <alignment horizontal="left" vertical="center"/>
    </xf>
    <xf numFmtId="0" fontId="13" fillId="0" borderId="18" xfId="0" applyFont="1" applyBorder="1" applyAlignment="1">
      <alignment horizontal="left" vertical="center"/>
    </xf>
    <xf numFmtId="0" fontId="13" fillId="0" borderId="0" xfId="0" applyFont="1" applyAlignment="1">
      <alignment horizontal="left" vertical="center"/>
    </xf>
    <xf numFmtId="4" fontId="10" fillId="0" borderId="0" xfId="0" applyNumberFormat="1" applyFont="1" applyAlignment="1">
      <alignment horizontal="right" vertical="center"/>
    </xf>
    <xf numFmtId="0" fontId="36" fillId="0" borderId="0" xfId="0" applyFont="1" applyAlignment="1">
      <alignment horizontal="left" vertical="center" wrapText="1"/>
    </xf>
    <xf numFmtId="4" fontId="38" fillId="0" borderId="0" xfId="0" applyNumberFormat="1" applyFont="1" applyAlignment="1">
      <alignment horizontal="right" vertical="center"/>
    </xf>
    <xf numFmtId="0" fontId="38" fillId="0" borderId="0" xfId="0" applyFont="1" applyAlignment="1">
      <alignment vertical="center"/>
    </xf>
    <xf numFmtId="4" fontId="38" fillId="0" borderId="0" xfId="0" applyNumberFormat="1" applyFont="1" applyAlignment="1">
      <alignment vertical="center"/>
    </xf>
    <xf numFmtId="164" fontId="3" fillId="0" borderId="0" xfId="0" applyNumberFormat="1" applyFont="1" applyAlignment="1">
      <alignment horizontal="left" vertical="center"/>
    </xf>
    <xf numFmtId="0" fontId="3" fillId="0" borderId="0" xfId="0" applyFont="1" applyAlignment="1">
      <alignment vertical="center" wrapText="1"/>
    </xf>
    <xf numFmtId="0" fontId="3" fillId="0" borderId="0" xfId="0" applyFont="1" applyAlignment="1">
      <alignment vertical="center"/>
    </xf>
    <xf numFmtId="0" fontId="5" fillId="2" borderId="11" xfId="0" applyFont="1" applyFill="1" applyBorder="1" applyAlignment="1">
      <alignment horizontal="center" vertical="center"/>
    </xf>
    <xf numFmtId="0" fontId="5" fillId="2" borderId="12" xfId="0" applyFont="1" applyFill="1" applyBorder="1" applyAlignment="1">
      <alignment horizontal="left" vertical="center"/>
    </xf>
    <xf numFmtId="0" fontId="5" fillId="2" borderId="12" xfId="0" applyFont="1" applyFill="1" applyBorder="1" applyAlignment="1">
      <alignment horizontal="center" vertical="center"/>
    </xf>
    <xf numFmtId="0" fontId="5" fillId="2" borderId="12" xfId="0" applyFont="1" applyFill="1" applyBorder="1" applyAlignment="1">
      <alignment horizontal="right" vertical="center"/>
    </xf>
    <xf numFmtId="0" fontId="5" fillId="2" borderId="15" xfId="0" applyFont="1" applyFill="1" applyBorder="1" applyAlignment="1">
      <alignment horizontal="left" vertical="center"/>
    </xf>
    <xf numFmtId="4" fontId="16" fillId="0" borderId="0" xfId="0" applyNumberFormat="1" applyFont="1" applyAlignment="1">
      <alignment horizontal="right" vertical="center"/>
    </xf>
    <xf numFmtId="4" fontId="16" fillId="0" borderId="0" xfId="0" applyNumberFormat="1" applyFont="1" applyAlignment="1">
      <alignment vertical="center"/>
    </xf>
    <xf numFmtId="166" fontId="2" fillId="0" borderId="0" xfId="0" applyNumberFormat="1" applyFont="1" applyAlignment="1">
      <alignment horizontal="left" vertical="center"/>
    </xf>
    <xf numFmtId="0" fontId="2" fillId="0" borderId="0" xfId="0" applyFont="1" applyAlignment="1">
      <alignment vertical="center"/>
    </xf>
    <xf numFmtId="4" fontId="31" fillId="0" borderId="0" xfId="0" applyNumberFormat="1" applyFont="1" applyAlignment="1">
      <alignment vertical="center"/>
    </xf>
    <xf numFmtId="0" fontId="6" fillId="5" borderId="12" xfId="0" applyFont="1" applyFill="1" applyBorder="1" applyAlignment="1">
      <alignment horizontal="left" vertical="center"/>
    </xf>
    <xf numFmtId="0" fontId="0" fillId="5" borderId="12" xfId="0" applyFill="1" applyBorder="1" applyAlignment="1">
      <alignment vertical="center"/>
    </xf>
    <xf numFmtId="4" fontId="6" fillId="5" borderId="12" xfId="0" applyNumberFormat="1" applyFont="1" applyFill="1" applyBorder="1" applyAlignment="1">
      <alignment vertical="center"/>
    </xf>
    <xf numFmtId="0" fontId="0" fillId="5" borderId="15" xfId="0" applyFill="1" applyBorder="1" applyAlignment="1">
      <alignment vertical="center"/>
    </xf>
    <xf numFmtId="0" fontId="4" fillId="0" borderId="0" xfId="0" applyFont="1" applyAlignment="1">
      <alignment horizontal="left" vertical="center" wrapText="1"/>
    </xf>
    <xf numFmtId="0" fontId="4" fillId="0" borderId="0" xfId="0" applyFont="1" applyAlignment="1">
      <alignment vertical="center"/>
    </xf>
    <xf numFmtId="0" fontId="0" fillId="0" borderId="0" xfId="0"/>
    <xf numFmtId="0" fontId="3" fillId="0" borderId="0" xfId="0" applyFont="1" applyAlignment="1">
      <alignment horizontal="left" vertical="center"/>
    </xf>
    <xf numFmtId="0" fontId="4" fillId="0" borderId="0" xfId="0" applyFont="1" applyAlignment="1">
      <alignment horizontal="left" vertical="top" wrapText="1"/>
    </xf>
    <xf numFmtId="49" fontId="3" fillId="3" borderId="0" xfId="0" applyNumberFormat="1" applyFont="1" applyFill="1" applyAlignment="1" applyProtection="1">
      <alignment horizontal="left" vertical="center"/>
      <protection locked="0"/>
    </xf>
    <xf numFmtId="49" fontId="3" fillId="0" borderId="0" xfId="0" applyNumberFormat="1" applyFont="1" applyAlignment="1">
      <alignment horizontal="left" vertical="center"/>
    </xf>
    <xf numFmtId="0" fontId="3" fillId="0" borderId="0" xfId="0" applyFont="1" applyAlignment="1">
      <alignment horizontal="left" vertical="center" wrapText="1"/>
    </xf>
    <xf numFmtId="4" fontId="12" fillId="0" borderId="14" xfId="0" applyNumberFormat="1" applyFont="1" applyBorder="1" applyAlignment="1">
      <alignment vertical="center"/>
    </xf>
    <xf numFmtId="0" fontId="0" fillId="0" borderId="14" xfId="0" applyBorder="1" applyAlignment="1">
      <alignment vertical="center"/>
    </xf>
    <xf numFmtId="0" fontId="2" fillId="0" borderId="0" xfId="0" applyFont="1" applyAlignment="1">
      <alignment horizontal="right" vertical="center"/>
    </xf>
    <xf numFmtId="0" fontId="2" fillId="0" borderId="0" xfId="0" applyFont="1" applyAlignment="1">
      <alignment horizontal="left" vertical="center" wrapText="1"/>
    </xf>
    <xf numFmtId="0" fontId="2" fillId="0" borderId="0" xfId="0" applyFont="1" applyAlignment="1">
      <alignment horizontal="left" vertical="center"/>
    </xf>
    <xf numFmtId="0" fontId="0" fillId="0" borderId="0" xfId="0" applyAlignment="1">
      <alignment vertical="center"/>
    </xf>
    <xf numFmtId="0" fontId="3" fillId="3" borderId="0" xfId="0" applyFont="1" applyFill="1" applyAlignment="1" applyProtection="1">
      <alignment horizontal="left" vertical="center"/>
      <protection locked="0"/>
    </xf>
    <xf numFmtId="0" fontId="2" fillId="6" borderId="0" xfId="0" applyFont="1" applyFill="1" applyAlignment="1">
      <alignment horizontal="left" vertical="center" wrapText="1"/>
    </xf>
    <xf numFmtId="0" fontId="0" fillId="6" borderId="0" xfId="0" applyFill="1" applyAlignment="1">
      <alignment vertical="center"/>
    </xf>
    <xf numFmtId="0" fontId="4" fillId="6" borderId="0" xfId="0" applyFont="1" applyFill="1" applyAlignment="1">
      <alignment horizontal="left" vertical="center" wrapText="1"/>
    </xf>
    <xf numFmtId="0" fontId="3" fillId="6" borderId="0" xfId="0" applyFont="1" applyFill="1" applyAlignment="1">
      <alignment horizontal="left" vertical="center" wrapText="1"/>
    </xf>
    <xf numFmtId="0" fontId="2" fillId="6" borderId="0" xfId="0" applyFont="1" applyFill="1" applyAlignment="1">
      <alignment horizontal="left" vertical="center"/>
    </xf>
    <xf numFmtId="0" fontId="0" fillId="6" borderId="0" xfId="0" applyFill="1"/>
    <xf numFmtId="0" fontId="3" fillId="6" borderId="0" xfId="0" applyFont="1" applyFill="1" applyAlignment="1" applyProtection="1">
      <alignment horizontal="left" vertical="center"/>
      <protection locked="0"/>
    </xf>
    <xf numFmtId="0" fontId="3" fillId="6" borderId="0" xfId="0" applyFont="1" applyFill="1" applyAlignment="1">
      <alignment horizontal="left" vertical="center"/>
    </xf>
  </cellXfs>
  <cellStyles count="2">
    <cellStyle name="Hypertextový odkaz" xfId="1" builtinId="8"/>
    <cellStyle name="Normální" xfId="0" builtinId="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3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286385</xdr:colOff>
      <xdr:row>1</xdr:row>
      <xdr:rowOff>143510</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2"/>
        <a:stretch>
          <a:fillRect/>
        </a:stretch>
      </xdr:blipFill>
      <xdr:spPr>
        <a:xfrm>
          <a:off x="0" y="0"/>
          <a:ext cx="286385" cy="2863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M127"/>
  <sheetViews>
    <sheetView showGridLines="0" topLeftCell="A92" workbookViewId="0">
      <selection activeCell="K97" sqref="K97:AF97"/>
    </sheetView>
  </sheetViews>
  <sheetFormatPr defaultColWidth="8.7109375" defaultRowHeight="10.199999999999999"/>
  <cols>
    <col min="1" max="1" width="8.140625" customWidth="1"/>
    <col min="2" max="2" width="1.7109375" customWidth="1"/>
    <col min="3" max="3" width="4.140625" customWidth="1"/>
    <col min="4" max="33" width="2.7109375" customWidth="1"/>
    <col min="34" max="34" width="3.140625" customWidth="1"/>
    <col min="35" max="35" width="31.7109375" customWidth="1"/>
    <col min="36" max="37" width="2.42578125" customWidth="1"/>
    <col min="38" max="38" width="8.140625" customWidth="1"/>
    <col min="39" max="39" width="3.140625" customWidth="1"/>
    <col min="40" max="40" width="16.140625" customWidth="1"/>
    <col min="41" max="41" width="7.42578125" customWidth="1"/>
    <col min="42" max="42" width="4.140625" customWidth="1"/>
    <col min="43" max="43" width="15.7109375" hidden="1" customWidth="1"/>
    <col min="44" max="44" width="13.7109375" customWidth="1"/>
    <col min="45" max="47" width="25.7109375" hidden="1" customWidth="1"/>
    <col min="48" max="49" width="21.7109375" hidden="1" customWidth="1"/>
    <col min="50" max="51" width="25" hidden="1" customWidth="1"/>
    <col min="52" max="52" width="21.7109375" hidden="1" customWidth="1"/>
    <col min="53" max="53" width="19.140625" hidden="1" customWidth="1"/>
    <col min="54" max="54" width="25" hidden="1" customWidth="1"/>
    <col min="55" max="55" width="21.7109375" hidden="1" customWidth="1"/>
    <col min="56" max="56" width="19.140625" hidden="1" customWidth="1"/>
    <col min="57" max="57" width="66.42578125" customWidth="1"/>
    <col min="71" max="91" width="9.140625" hidden="1"/>
  </cols>
  <sheetData>
    <row r="1" spans="1:74">
      <c r="A1" s="172" t="s">
        <v>0</v>
      </c>
      <c r="AZ1" s="172" t="s">
        <v>1</v>
      </c>
      <c r="BA1" s="172" t="s">
        <v>2</v>
      </c>
      <c r="BB1" s="172" t="s">
        <v>3</v>
      </c>
      <c r="BT1" s="172" t="s">
        <v>4</v>
      </c>
      <c r="BU1" s="172" t="s">
        <v>4</v>
      </c>
      <c r="BV1" s="172" t="s">
        <v>5</v>
      </c>
    </row>
    <row r="2" spans="1:74" ht="36.9" customHeight="1">
      <c r="AR2" s="383"/>
      <c r="AS2" s="383"/>
      <c r="AT2" s="383"/>
      <c r="AU2" s="383"/>
      <c r="AV2" s="383"/>
      <c r="AW2" s="383"/>
      <c r="AX2" s="383"/>
      <c r="AY2" s="383"/>
      <c r="AZ2" s="383"/>
      <c r="BA2" s="383"/>
      <c r="BB2" s="383"/>
      <c r="BC2" s="383"/>
      <c r="BD2" s="383"/>
      <c r="BE2" s="383"/>
      <c r="BS2" s="23" t="s">
        <v>6</v>
      </c>
      <c r="BT2" s="23" t="s">
        <v>7</v>
      </c>
    </row>
    <row r="3" spans="1:74" ht="6.9" customHeight="1">
      <c r="B3" s="3"/>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5"/>
      <c r="BS3" s="23" t="s">
        <v>6</v>
      </c>
      <c r="BT3" s="23" t="s">
        <v>8</v>
      </c>
    </row>
    <row r="4" spans="1:74" ht="24.9" customHeight="1">
      <c r="B4" s="5"/>
      <c r="D4" s="6" t="s">
        <v>9</v>
      </c>
      <c r="AR4" s="5"/>
      <c r="AS4" s="182" t="s">
        <v>10</v>
      </c>
      <c r="BE4" s="183" t="s">
        <v>11</v>
      </c>
      <c r="BS4" s="23" t="s">
        <v>12</v>
      </c>
    </row>
    <row r="5" spans="1:74" ht="12" customHeight="1">
      <c r="B5" s="5"/>
      <c r="D5" s="7" t="s">
        <v>13</v>
      </c>
      <c r="K5" s="384" t="s">
        <v>14</v>
      </c>
      <c r="L5" s="383"/>
      <c r="M5" s="383"/>
      <c r="N5" s="383"/>
      <c r="O5" s="383"/>
      <c r="P5" s="383"/>
      <c r="Q5" s="383"/>
      <c r="R5" s="383"/>
      <c r="S5" s="383"/>
      <c r="T5" s="383"/>
      <c r="U5" s="383"/>
      <c r="V5" s="383"/>
      <c r="W5" s="383"/>
      <c r="X5" s="383"/>
      <c r="Y5" s="383"/>
      <c r="Z5" s="383"/>
      <c r="AA5" s="383"/>
      <c r="AB5" s="383"/>
      <c r="AC5" s="383"/>
      <c r="AD5" s="383"/>
      <c r="AE5" s="383"/>
      <c r="AF5" s="383"/>
      <c r="AG5" s="383"/>
      <c r="AH5" s="383"/>
      <c r="AI5" s="383"/>
      <c r="AJ5" s="383"/>
      <c r="AK5" s="383"/>
      <c r="AL5" s="383"/>
      <c r="AM5" s="383"/>
      <c r="AN5" s="383"/>
      <c r="AO5" s="383"/>
      <c r="AR5" s="5"/>
      <c r="BE5" s="352" t="s">
        <v>15</v>
      </c>
      <c r="BS5" s="23" t="s">
        <v>6</v>
      </c>
    </row>
    <row r="6" spans="1:74" ht="36.9" customHeight="1">
      <c r="B6" s="5"/>
      <c r="D6" s="9" t="s">
        <v>16</v>
      </c>
      <c r="K6" s="385" t="s">
        <v>17</v>
      </c>
      <c r="L6" s="383"/>
      <c r="M6" s="383"/>
      <c r="N6" s="383"/>
      <c r="O6" s="383"/>
      <c r="P6" s="383"/>
      <c r="Q6" s="383"/>
      <c r="R6" s="383"/>
      <c r="S6" s="383"/>
      <c r="T6" s="383"/>
      <c r="U6" s="383"/>
      <c r="V6" s="383"/>
      <c r="W6" s="383"/>
      <c r="X6" s="383"/>
      <c r="Y6" s="383"/>
      <c r="Z6" s="383"/>
      <c r="AA6" s="383"/>
      <c r="AB6" s="383"/>
      <c r="AC6" s="383"/>
      <c r="AD6" s="383"/>
      <c r="AE6" s="383"/>
      <c r="AF6" s="383"/>
      <c r="AG6" s="383"/>
      <c r="AH6" s="383"/>
      <c r="AI6" s="383"/>
      <c r="AJ6" s="383"/>
      <c r="AK6" s="383"/>
      <c r="AL6" s="383"/>
      <c r="AM6" s="383"/>
      <c r="AN6" s="383"/>
      <c r="AO6" s="383"/>
      <c r="AR6" s="5"/>
      <c r="BE6" s="353"/>
      <c r="BS6" s="23" t="s">
        <v>6</v>
      </c>
    </row>
    <row r="7" spans="1:74" ht="12" customHeight="1">
      <c r="B7" s="5"/>
      <c r="D7" s="10" t="s">
        <v>18</v>
      </c>
      <c r="K7" s="32" t="s">
        <v>1</v>
      </c>
      <c r="AK7" s="10" t="s">
        <v>19</v>
      </c>
      <c r="AN7" s="32" t="s">
        <v>1</v>
      </c>
      <c r="AR7" s="5"/>
      <c r="BE7" s="353"/>
      <c r="BS7" s="23" t="s">
        <v>6</v>
      </c>
    </row>
    <row r="8" spans="1:74" ht="12" customHeight="1">
      <c r="B8" s="5"/>
      <c r="D8" s="10" t="s">
        <v>20</v>
      </c>
      <c r="K8" s="32" t="s">
        <v>21</v>
      </c>
      <c r="AK8" s="10" t="s">
        <v>22</v>
      </c>
      <c r="AN8" s="181">
        <v>45000</v>
      </c>
      <c r="AR8" s="5"/>
      <c r="BE8" s="353"/>
      <c r="BS8" s="23" t="s">
        <v>6</v>
      </c>
    </row>
    <row r="9" spans="1:74" ht="14.4" customHeight="1">
      <c r="B9" s="5"/>
      <c r="AR9" s="5"/>
      <c r="BE9" s="353"/>
      <c r="BS9" s="23" t="s">
        <v>6</v>
      </c>
    </row>
    <row r="10" spans="1:74" ht="12" customHeight="1">
      <c r="B10" s="5"/>
      <c r="D10" s="10" t="s">
        <v>23</v>
      </c>
      <c r="AK10" s="10" t="s">
        <v>24</v>
      </c>
      <c r="AN10" s="32" t="s">
        <v>1</v>
      </c>
      <c r="AR10" s="5"/>
      <c r="BE10" s="353"/>
      <c r="BS10" s="23" t="s">
        <v>6</v>
      </c>
    </row>
    <row r="11" spans="1:74" ht="18.600000000000001" customHeight="1">
      <c r="B11" s="5"/>
      <c r="E11" s="32" t="s">
        <v>25</v>
      </c>
      <c r="AK11" s="10" t="s">
        <v>26</v>
      </c>
      <c r="AN11" s="32" t="s">
        <v>1</v>
      </c>
      <c r="AR11" s="5"/>
      <c r="BE11" s="353"/>
      <c r="BS11" s="23" t="s">
        <v>6</v>
      </c>
    </row>
    <row r="12" spans="1:74" ht="6.9" customHeight="1">
      <c r="B12" s="5"/>
      <c r="AR12" s="5"/>
      <c r="BE12" s="353"/>
      <c r="BS12" s="23" t="s">
        <v>6</v>
      </c>
    </row>
    <row r="13" spans="1:74" ht="12" customHeight="1">
      <c r="B13" s="5"/>
      <c r="D13" s="10" t="s">
        <v>27</v>
      </c>
      <c r="AK13" s="10" t="s">
        <v>24</v>
      </c>
      <c r="AN13" s="173" t="s">
        <v>28</v>
      </c>
      <c r="AR13" s="5"/>
      <c r="BE13" s="353"/>
      <c r="BS13" s="23" t="s">
        <v>6</v>
      </c>
    </row>
    <row r="14" spans="1:74" ht="13.2">
      <c r="B14" s="5"/>
      <c r="E14" s="386" t="s">
        <v>29</v>
      </c>
      <c r="F14" s="387"/>
      <c r="G14" s="387"/>
      <c r="H14" s="387"/>
      <c r="I14" s="387"/>
      <c r="J14" s="387"/>
      <c r="K14" s="387"/>
      <c r="L14" s="387"/>
      <c r="M14" s="387"/>
      <c r="N14" s="387"/>
      <c r="O14" s="387"/>
      <c r="P14" s="387"/>
      <c r="Q14" s="387"/>
      <c r="R14" s="387"/>
      <c r="S14" s="387"/>
      <c r="T14" s="387"/>
      <c r="U14" s="387"/>
      <c r="V14" s="387"/>
      <c r="W14" s="387"/>
      <c r="X14" s="387"/>
      <c r="Y14" s="387"/>
      <c r="Z14" s="387"/>
      <c r="AA14" s="387"/>
      <c r="AB14" s="387"/>
      <c r="AC14" s="387"/>
      <c r="AD14" s="387"/>
      <c r="AE14" s="387"/>
      <c r="AF14" s="387"/>
      <c r="AG14" s="387"/>
      <c r="AH14" s="387"/>
      <c r="AI14" s="387"/>
      <c r="AJ14" s="387"/>
      <c r="AK14" s="10" t="s">
        <v>26</v>
      </c>
      <c r="AN14" s="173" t="s">
        <v>30</v>
      </c>
      <c r="AR14" s="5"/>
      <c r="BE14" s="353"/>
      <c r="BS14" s="23" t="s">
        <v>6</v>
      </c>
    </row>
    <row r="15" spans="1:74" ht="6.9" customHeight="1">
      <c r="B15" s="5"/>
      <c r="AR15" s="5"/>
      <c r="BE15" s="353"/>
      <c r="BS15" s="23" t="s">
        <v>4</v>
      </c>
    </row>
    <row r="16" spans="1:74" ht="12" customHeight="1">
      <c r="B16" s="5"/>
      <c r="D16" s="10" t="s">
        <v>31</v>
      </c>
      <c r="AK16" s="10" t="s">
        <v>24</v>
      </c>
      <c r="AN16" s="32" t="s">
        <v>1</v>
      </c>
      <c r="AR16" s="5"/>
      <c r="BE16" s="353"/>
      <c r="BS16" s="23" t="s">
        <v>4</v>
      </c>
    </row>
    <row r="17" spans="2:71" ht="18.600000000000001" customHeight="1">
      <c r="B17" s="5"/>
      <c r="E17" s="32" t="s">
        <v>32</v>
      </c>
      <c r="AK17" s="10" t="s">
        <v>26</v>
      </c>
      <c r="AN17" s="32" t="s">
        <v>1</v>
      </c>
      <c r="AR17" s="5"/>
      <c r="BE17" s="353"/>
      <c r="BS17" s="23" t="s">
        <v>33</v>
      </c>
    </row>
    <row r="18" spans="2:71" ht="6.9" customHeight="1">
      <c r="B18" s="5"/>
      <c r="AR18" s="5"/>
      <c r="BE18" s="353"/>
      <c r="BS18" s="23" t="s">
        <v>6</v>
      </c>
    </row>
    <row r="19" spans="2:71" ht="12" customHeight="1">
      <c r="B19" s="5"/>
      <c r="D19" s="10" t="s">
        <v>34</v>
      </c>
      <c r="AK19" s="10" t="s">
        <v>24</v>
      </c>
      <c r="AN19" s="32" t="s">
        <v>1</v>
      </c>
      <c r="AR19" s="5"/>
      <c r="BE19" s="353"/>
      <c r="BS19" s="23" t="s">
        <v>6</v>
      </c>
    </row>
    <row r="20" spans="2:71" ht="18.600000000000001" customHeight="1">
      <c r="B20" s="5"/>
      <c r="E20" s="32" t="s">
        <v>35</v>
      </c>
      <c r="AK20" s="10" t="s">
        <v>26</v>
      </c>
      <c r="AN20" s="32" t="s">
        <v>1</v>
      </c>
      <c r="AR20" s="5"/>
      <c r="BE20" s="353"/>
      <c r="BS20" s="23" t="s">
        <v>33</v>
      </c>
    </row>
    <row r="21" spans="2:71" ht="6.9" customHeight="1">
      <c r="B21" s="5"/>
      <c r="AR21" s="5"/>
      <c r="BE21" s="353"/>
    </row>
    <row r="22" spans="2:71" ht="12" customHeight="1">
      <c r="B22" s="5"/>
      <c r="D22" s="10" t="s">
        <v>36</v>
      </c>
      <c r="AR22" s="5"/>
      <c r="BE22" s="353"/>
    </row>
    <row r="23" spans="2:71" ht="16.5" customHeight="1">
      <c r="B23" s="5"/>
      <c r="E23" s="388" t="s">
        <v>1</v>
      </c>
      <c r="F23" s="388"/>
      <c r="G23" s="388"/>
      <c r="H23" s="388"/>
      <c r="I23" s="388"/>
      <c r="J23" s="388"/>
      <c r="K23" s="388"/>
      <c r="L23" s="388"/>
      <c r="M23" s="388"/>
      <c r="N23" s="388"/>
      <c r="O23" s="388"/>
      <c r="P23" s="388"/>
      <c r="Q23" s="388"/>
      <c r="R23" s="388"/>
      <c r="S23" s="388"/>
      <c r="T23" s="388"/>
      <c r="U23" s="388"/>
      <c r="V23" s="388"/>
      <c r="W23" s="388"/>
      <c r="X23" s="388"/>
      <c r="Y23" s="388"/>
      <c r="Z23" s="388"/>
      <c r="AA23" s="388"/>
      <c r="AB23" s="388"/>
      <c r="AC23" s="388"/>
      <c r="AD23" s="388"/>
      <c r="AE23" s="388"/>
      <c r="AF23" s="388"/>
      <c r="AG23" s="388"/>
      <c r="AH23" s="388"/>
      <c r="AI23" s="388"/>
      <c r="AJ23" s="388"/>
      <c r="AK23" s="388"/>
      <c r="AL23" s="388"/>
      <c r="AM23" s="388"/>
      <c r="AN23" s="388"/>
      <c r="AR23" s="5"/>
      <c r="BE23" s="353"/>
    </row>
    <row r="24" spans="2:71" ht="6.9" customHeight="1">
      <c r="B24" s="5"/>
      <c r="AR24" s="5"/>
      <c r="BE24" s="353"/>
    </row>
    <row r="25" spans="2:71" ht="6.9" customHeight="1">
      <c r="B25" s="5"/>
      <c r="D25" s="174"/>
      <c r="E25" s="174"/>
      <c r="F25" s="174"/>
      <c r="G25" s="174"/>
      <c r="H25" s="174"/>
      <c r="I25" s="174"/>
      <c r="J25" s="174"/>
      <c r="K25" s="174"/>
      <c r="L25" s="174"/>
      <c r="M25" s="174"/>
      <c r="N25" s="174"/>
      <c r="O25" s="174"/>
      <c r="P25" s="174"/>
      <c r="Q25" s="174"/>
      <c r="R25" s="174"/>
      <c r="S25" s="174"/>
      <c r="T25" s="174"/>
      <c r="U25" s="174"/>
      <c r="V25" s="174"/>
      <c r="W25" s="174"/>
      <c r="X25" s="174"/>
      <c r="Y25" s="174"/>
      <c r="Z25" s="174"/>
      <c r="AA25" s="174"/>
      <c r="AB25" s="174"/>
      <c r="AC25" s="174"/>
      <c r="AD25" s="174"/>
      <c r="AE25" s="174"/>
      <c r="AF25" s="174"/>
      <c r="AG25" s="174"/>
      <c r="AH25" s="174"/>
      <c r="AI25" s="174"/>
      <c r="AJ25" s="174"/>
      <c r="AK25" s="174"/>
      <c r="AL25" s="174"/>
      <c r="AM25" s="174"/>
      <c r="AN25" s="174"/>
      <c r="AO25" s="174"/>
      <c r="AR25" s="5"/>
      <c r="BE25" s="353"/>
    </row>
    <row r="26" spans="2:71" s="1" customFormat="1" ht="26.1" customHeight="1">
      <c r="B26" s="12"/>
      <c r="D26" s="175" t="s">
        <v>37</v>
      </c>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389">
        <f>ROUND(AG94,2)</f>
        <v>249030991.11000001</v>
      </c>
      <c r="AL26" s="390"/>
      <c r="AM26" s="390"/>
      <c r="AN26" s="390"/>
      <c r="AO26" s="390"/>
      <c r="AR26" s="12"/>
      <c r="BE26" s="353"/>
    </row>
    <row r="27" spans="2:71" s="1" customFormat="1" ht="6.9" customHeight="1">
      <c r="B27" s="12"/>
      <c r="AR27" s="12"/>
      <c r="BE27" s="353"/>
    </row>
    <row r="28" spans="2:71" s="1" customFormat="1" ht="13.2">
      <c r="B28" s="12"/>
      <c r="L28" s="391" t="s">
        <v>38</v>
      </c>
      <c r="M28" s="391"/>
      <c r="N28" s="391"/>
      <c r="O28" s="391"/>
      <c r="P28" s="391"/>
      <c r="W28" s="391" t="s">
        <v>39</v>
      </c>
      <c r="X28" s="391"/>
      <c r="Y28" s="391"/>
      <c r="Z28" s="391"/>
      <c r="AA28" s="391"/>
      <c r="AB28" s="391"/>
      <c r="AC28" s="391"/>
      <c r="AD28" s="391"/>
      <c r="AE28" s="391"/>
      <c r="AK28" s="391" t="s">
        <v>40</v>
      </c>
      <c r="AL28" s="391"/>
      <c r="AM28" s="391"/>
      <c r="AN28" s="391"/>
      <c r="AO28" s="391"/>
      <c r="AR28" s="12"/>
      <c r="BE28" s="353"/>
    </row>
    <row r="29" spans="2:71" s="167" customFormat="1" ht="14.4" customHeight="1">
      <c r="B29" s="176"/>
      <c r="D29" s="10" t="s">
        <v>41</v>
      </c>
      <c r="F29" s="10" t="s">
        <v>42</v>
      </c>
      <c r="L29" s="374">
        <v>0.21</v>
      </c>
      <c r="M29" s="375"/>
      <c r="N29" s="375"/>
      <c r="O29" s="375"/>
      <c r="P29" s="375"/>
      <c r="W29" s="376">
        <f>ROUND(AZ94,2)</f>
        <v>235583091.97</v>
      </c>
      <c r="X29" s="375"/>
      <c r="Y29" s="375"/>
      <c r="Z29" s="375"/>
      <c r="AA29" s="375"/>
      <c r="AB29" s="375"/>
      <c r="AC29" s="375"/>
      <c r="AD29" s="375"/>
      <c r="AE29" s="375"/>
      <c r="AK29" s="376">
        <f>ROUND(AV94,2)</f>
        <v>49472449.310000002</v>
      </c>
      <c r="AL29" s="375"/>
      <c r="AM29" s="375"/>
      <c r="AN29" s="375"/>
      <c r="AO29" s="375"/>
      <c r="AR29" s="176"/>
      <c r="BE29" s="354"/>
    </row>
    <row r="30" spans="2:71" s="167" customFormat="1" ht="14.4" customHeight="1">
      <c r="B30" s="176"/>
      <c r="F30" s="10" t="s">
        <v>43</v>
      </c>
      <c r="L30" s="374">
        <v>0.15</v>
      </c>
      <c r="M30" s="375"/>
      <c r="N30" s="375"/>
      <c r="O30" s="375"/>
      <c r="P30" s="375"/>
      <c r="W30" s="376">
        <f>ROUND(BA94,2)</f>
        <v>13447899.140000001</v>
      </c>
      <c r="X30" s="375"/>
      <c r="Y30" s="375"/>
      <c r="Z30" s="375"/>
      <c r="AA30" s="375"/>
      <c r="AB30" s="375"/>
      <c r="AC30" s="375"/>
      <c r="AD30" s="375"/>
      <c r="AE30" s="375"/>
      <c r="AK30" s="376">
        <f>ROUND(AW94,2)</f>
        <v>2017184.87</v>
      </c>
      <c r="AL30" s="375"/>
      <c r="AM30" s="375"/>
      <c r="AN30" s="375"/>
      <c r="AO30" s="375"/>
      <c r="AR30" s="176"/>
      <c r="BE30" s="354"/>
    </row>
    <row r="31" spans="2:71" s="167" customFormat="1" ht="14.4" hidden="1" customHeight="1">
      <c r="B31" s="176"/>
      <c r="F31" s="10" t="s">
        <v>44</v>
      </c>
      <c r="L31" s="374">
        <v>0.21</v>
      </c>
      <c r="M31" s="375"/>
      <c r="N31" s="375"/>
      <c r="O31" s="375"/>
      <c r="P31" s="375"/>
      <c r="W31" s="376">
        <f>ROUND(BB94,2)</f>
        <v>0</v>
      </c>
      <c r="X31" s="375"/>
      <c r="Y31" s="375"/>
      <c r="Z31" s="375"/>
      <c r="AA31" s="375"/>
      <c r="AB31" s="375"/>
      <c r="AC31" s="375"/>
      <c r="AD31" s="375"/>
      <c r="AE31" s="375"/>
      <c r="AK31" s="376">
        <v>0</v>
      </c>
      <c r="AL31" s="375"/>
      <c r="AM31" s="375"/>
      <c r="AN31" s="375"/>
      <c r="AO31" s="375"/>
      <c r="AR31" s="176"/>
      <c r="BE31" s="354"/>
    </row>
    <row r="32" spans="2:71" s="167" customFormat="1" ht="14.4" hidden="1" customHeight="1">
      <c r="B32" s="176"/>
      <c r="F32" s="10" t="s">
        <v>45</v>
      </c>
      <c r="L32" s="374">
        <v>0.15</v>
      </c>
      <c r="M32" s="375"/>
      <c r="N32" s="375"/>
      <c r="O32" s="375"/>
      <c r="P32" s="375"/>
      <c r="W32" s="376">
        <f>ROUND(BC94,2)</f>
        <v>0</v>
      </c>
      <c r="X32" s="375"/>
      <c r="Y32" s="375"/>
      <c r="Z32" s="375"/>
      <c r="AA32" s="375"/>
      <c r="AB32" s="375"/>
      <c r="AC32" s="375"/>
      <c r="AD32" s="375"/>
      <c r="AE32" s="375"/>
      <c r="AK32" s="376">
        <v>0</v>
      </c>
      <c r="AL32" s="375"/>
      <c r="AM32" s="375"/>
      <c r="AN32" s="375"/>
      <c r="AO32" s="375"/>
      <c r="AR32" s="176"/>
      <c r="BE32" s="354"/>
    </row>
    <row r="33" spans="2:57" s="167" customFormat="1" ht="14.4" hidden="1" customHeight="1">
      <c r="B33" s="176"/>
      <c r="F33" s="10" t="s">
        <v>46</v>
      </c>
      <c r="L33" s="374">
        <v>0</v>
      </c>
      <c r="M33" s="375"/>
      <c r="N33" s="375"/>
      <c r="O33" s="375"/>
      <c r="P33" s="375"/>
      <c r="W33" s="376">
        <f>ROUND(BD94,2)</f>
        <v>0</v>
      </c>
      <c r="X33" s="375"/>
      <c r="Y33" s="375"/>
      <c r="Z33" s="375"/>
      <c r="AA33" s="375"/>
      <c r="AB33" s="375"/>
      <c r="AC33" s="375"/>
      <c r="AD33" s="375"/>
      <c r="AE33" s="375"/>
      <c r="AK33" s="376">
        <v>0</v>
      </c>
      <c r="AL33" s="375"/>
      <c r="AM33" s="375"/>
      <c r="AN33" s="375"/>
      <c r="AO33" s="375"/>
      <c r="AR33" s="176"/>
      <c r="BE33" s="354"/>
    </row>
    <row r="34" spans="2:57" s="1" customFormat="1" ht="6.9" customHeight="1">
      <c r="B34" s="12"/>
      <c r="AR34" s="12"/>
      <c r="BE34" s="353"/>
    </row>
    <row r="35" spans="2:57" s="1" customFormat="1" ht="26.1" customHeight="1">
      <c r="B35" s="12"/>
      <c r="C35" s="177"/>
      <c r="D35" s="178" t="s">
        <v>47</v>
      </c>
      <c r="E35" s="179"/>
      <c r="F35" s="179"/>
      <c r="G35" s="179"/>
      <c r="H35" s="179"/>
      <c r="I35" s="179"/>
      <c r="J35" s="179"/>
      <c r="K35" s="179"/>
      <c r="L35" s="179"/>
      <c r="M35" s="179"/>
      <c r="N35" s="179"/>
      <c r="O35" s="179"/>
      <c r="P35" s="179"/>
      <c r="Q35" s="179"/>
      <c r="R35" s="179"/>
      <c r="S35" s="179"/>
      <c r="T35" s="180" t="s">
        <v>48</v>
      </c>
      <c r="U35" s="179"/>
      <c r="V35" s="179"/>
      <c r="W35" s="179"/>
      <c r="X35" s="377" t="s">
        <v>49</v>
      </c>
      <c r="Y35" s="378"/>
      <c r="Z35" s="378"/>
      <c r="AA35" s="378"/>
      <c r="AB35" s="378"/>
      <c r="AC35" s="179"/>
      <c r="AD35" s="179"/>
      <c r="AE35" s="179"/>
      <c r="AF35" s="179"/>
      <c r="AG35" s="179"/>
      <c r="AH35" s="179"/>
      <c r="AI35" s="179"/>
      <c r="AJ35" s="179"/>
      <c r="AK35" s="379">
        <f>SUM(AK26:AK33)</f>
        <v>300520625.29000002</v>
      </c>
      <c r="AL35" s="378"/>
      <c r="AM35" s="378"/>
      <c r="AN35" s="378"/>
      <c r="AO35" s="380"/>
      <c r="AP35" s="177"/>
      <c r="AQ35" s="177"/>
      <c r="AR35" s="12"/>
    </row>
    <row r="36" spans="2:57" s="1" customFormat="1" ht="6.9" customHeight="1">
      <c r="B36" s="12"/>
      <c r="AR36" s="12"/>
    </row>
    <row r="37" spans="2:57" s="1" customFormat="1" ht="14.4" customHeight="1">
      <c r="B37" s="12"/>
      <c r="AR37" s="12"/>
    </row>
    <row r="38" spans="2:57" ht="14.4" customHeight="1">
      <c r="B38" s="5"/>
      <c r="AR38" s="5"/>
    </row>
    <row r="39" spans="2:57" ht="14.4" customHeight="1">
      <c r="B39" s="5"/>
      <c r="AR39" s="5"/>
    </row>
    <row r="40" spans="2:57" ht="14.4" customHeight="1">
      <c r="B40" s="5"/>
      <c r="AR40" s="5"/>
    </row>
    <row r="41" spans="2:57" ht="14.4" customHeight="1">
      <c r="B41" s="5"/>
      <c r="AR41" s="5"/>
    </row>
    <row r="42" spans="2:57" ht="14.4" customHeight="1">
      <c r="B42" s="5"/>
      <c r="AR42" s="5"/>
    </row>
    <row r="43" spans="2:57" ht="14.4" customHeight="1">
      <c r="B43" s="5"/>
      <c r="AR43" s="5"/>
    </row>
    <row r="44" spans="2:57" ht="14.4" customHeight="1">
      <c r="B44" s="5"/>
      <c r="AR44" s="5"/>
    </row>
    <row r="45" spans="2:57" ht="14.4" customHeight="1">
      <c r="B45" s="5"/>
      <c r="AR45" s="5"/>
    </row>
    <row r="46" spans="2:57" ht="14.4" customHeight="1">
      <c r="B46" s="5"/>
      <c r="AR46" s="5"/>
    </row>
    <row r="47" spans="2:57" ht="14.4" customHeight="1">
      <c r="B47" s="5"/>
      <c r="AR47" s="5"/>
    </row>
    <row r="48" spans="2:57" ht="14.4" customHeight="1">
      <c r="B48" s="5"/>
      <c r="AR48" s="5"/>
    </row>
    <row r="49" spans="2:44" s="1" customFormat="1" ht="14.4" customHeight="1">
      <c r="B49" s="12"/>
      <c r="D49" s="45" t="s">
        <v>50</v>
      </c>
      <c r="E49" s="46"/>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5" t="s">
        <v>51</v>
      </c>
      <c r="AI49" s="46"/>
      <c r="AJ49" s="46"/>
      <c r="AK49" s="46"/>
      <c r="AL49" s="46"/>
      <c r="AM49" s="46"/>
      <c r="AN49" s="46"/>
      <c r="AO49" s="46"/>
      <c r="AR49" s="12"/>
    </row>
    <row r="50" spans="2:44">
      <c r="B50" s="5"/>
      <c r="AR50" s="5"/>
    </row>
    <row r="51" spans="2:44">
      <c r="B51" s="5"/>
      <c r="AR51" s="5"/>
    </row>
    <row r="52" spans="2:44">
      <c r="B52" s="5"/>
      <c r="AR52" s="5"/>
    </row>
    <row r="53" spans="2:44">
      <c r="B53" s="5"/>
      <c r="AR53" s="5"/>
    </row>
    <row r="54" spans="2:44">
      <c r="B54" s="5"/>
      <c r="AR54" s="5"/>
    </row>
    <row r="55" spans="2:44">
      <c r="B55" s="5"/>
      <c r="AR55" s="5"/>
    </row>
    <row r="56" spans="2:44">
      <c r="B56" s="5"/>
      <c r="AR56" s="5"/>
    </row>
    <row r="57" spans="2:44">
      <c r="B57" s="5"/>
      <c r="AR57" s="5"/>
    </row>
    <row r="58" spans="2:44">
      <c r="B58" s="5"/>
      <c r="AR58" s="5"/>
    </row>
    <row r="59" spans="2:44">
      <c r="B59" s="5"/>
      <c r="AR59" s="5"/>
    </row>
    <row r="60" spans="2:44" s="1" customFormat="1" ht="13.2">
      <c r="B60" s="12"/>
      <c r="D60" s="47" t="s">
        <v>52</v>
      </c>
      <c r="E60" s="48"/>
      <c r="F60" s="48"/>
      <c r="G60" s="48"/>
      <c r="H60" s="48"/>
      <c r="I60" s="48"/>
      <c r="J60" s="48"/>
      <c r="K60" s="48"/>
      <c r="L60" s="48"/>
      <c r="M60" s="48"/>
      <c r="N60" s="48"/>
      <c r="O60" s="48"/>
      <c r="P60" s="48"/>
      <c r="Q60" s="48"/>
      <c r="R60" s="48"/>
      <c r="S60" s="48"/>
      <c r="T60" s="48"/>
      <c r="U60" s="48"/>
      <c r="V60" s="47" t="s">
        <v>53</v>
      </c>
      <c r="W60" s="48"/>
      <c r="X60" s="48"/>
      <c r="Y60" s="48"/>
      <c r="Z60" s="48"/>
      <c r="AA60" s="48"/>
      <c r="AB60" s="48"/>
      <c r="AC60" s="48"/>
      <c r="AD60" s="48"/>
      <c r="AE60" s="48"/>
      <c r="AF60" s="48"/>
      <c r="AG60" s="48"/>
      <c r="AH60" s="47" t="s">
        <v>52</v>
      </c>
      <c r="AI60" s="48"/>
      <c r="AJ60" s="48"/>
      <c r="AK60" s="48"/>
      <c r="AL60" s="48"/>
      <c r="AM60" s="47" t="s">
        <v>53</v>
      </c>
      <c r="AN60" s="48"/>
      <c r="AO60" s="48"/>
      <c r="AR60" s="12"/>
    </row>
    <row r="61" spans="2:44">
      <c r="B61" s="5"/>
      <c r="AR61" s="5"/>
    </row>
    <row r="62" spans="2:44">
      <c r="B62" s="5"/>
      <c r="AR62" s="5"/>
    </row>
    <row r="63" spans="2:44">
      <c r="B63" s="5"/>
      <c r="AR63" s="5"/>
    </row>
    <row r="64" spans="2:44" s="1" customFormat="1" ht="13.2">
      <c r="B64" s="12"/>
      <c r="D64" s="45" t="s">
        <v>54</v>
      </c>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5" t="s">
        <v>55</v>
      </c>
      <c r="AI64" s="46"/>
      <c r="AJ64" s="46"/>
      <c r="AK64" s="46"/>
      <c r="AL64" s="46"/>
      <c r="AM64" s="46"/>
      <c r="AN64" s="46"/>
      <c r="AO64" s="46"/>
      <c r="AR64" s="12"/>
    </row>
    <row r="65" spans="2:44">
      <c r="B65" s="5"/>
      <c r="AR65" s="5"/>
    </row>
    <row r="66" spans="2:44">
      <c r="B66" s="5"/>
      <c r="AR66" s="5"/>
    </row>
    <row r="67" spans="2:44">
      <c r="B67" s="5"/>
      <c r="AR67" s="5"/>
    </row>
    <row r="68" spans="2:44">
      <c r="B68" s="5"/>
      <c r="AR68" s="5"/>
    </row>
    <row r="69" spans="2:44">
      <c r="B69" s="5"/>
      <c r="AR69" s="5"/>
    </row>
    <row r="70" spans="2:44">
      <c r="B70" s="5"/>
      <c r="AR70" s="5"/>
    </row>
    <row r="71" spans="2:44">
      <c r="B71" s="5"/>
      <c r="AR71" s="5"/>
    </row>
    <row r="72" spans="2:44">
      <c r="B72" s="5"/>
      <c r="AR72" s="5"/>
    </row>
    <row r="73" spans="2:44">
      <c r="B73" s="5"/>
      <c r="AR73" s="5"/>
    </row>
    <row r="74" spans="2:44">
      <c r="B74" s="5"/>
      <c r="AR74" s="5"/>
    </row>
    <row r="75" spans="2:44" s="1" customFormat="1" ht="13.2">
      <c r="B75" s="12"/>
      <c r="D75" s="47" t="s">
        <v>52</v>
      </c>
      <c r="E75" s="48"/>
      <c r="F75" s="48"/>
      <c r="G75" s="48"/>
      <c r="H75" s="48"/>
      <c r="I75" s="48"/>
      <c r="J75" s="48"/>
      <c r="K75" s="48"/>
      <c r="L75" s="48"/>
      <c r="M75" s="48"/>
      <c r="N75" s="48"/>
      <c r="O75" s="48"/>
      <c r="P75" s="48"/>
      <c r="Q75" s="48"/>
      <c r="R75" s="48"/>
      <c r="S75" s="48"/>
      <c r="T75" s="48"/>
      <c r="U75" s="48"/>
      <c r="V75" s="47" t="s">
        <v>53</v>
      </c>
      <c r="W75" s="48"/>
      <c r="X75" s="48"/>
      <c r="Y75" s="48"/>
      <c r="Z75" s="48"/>
      <c r="AA75" s="48"/>
      <c r="AB75" s="48"/>
      <c r="AC75" s="48"/>
      <c r="AD75" s="48"/>
      <c r="AE75" s="48"/>
      <c r="AF75" s="48"/>
      <c r="AG75" s="48"/>
      <c r="AH75" s="47" t="s">
        <v>52</v>
      </c>
      <c r="AI75" s="48"/>
      <c r="AJ75" s="48"/>
      <c r="AK75" s="48"/>
      <c r="AL75" s="48"/>
      <c r="AM75" s="47" t="s">
        <v>53</v>
      </c>
      <c r="AN75" s="48"/>
      <c r="AO75" s="48"/>
      <c r="AR75" s="12"/>
    </row>
    <row r="76" spans="2:44" s="1" customFormat="1">
      <c r="B76" s="12"/>
      <c r="AR76" s="12"/>
    </row>
    <row r="77" spans="2:44" s="1" customFormat="1" ht="6.9" customHeight="1">
      <c r="B77" s="26"/>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12"/>
    </row>
    <row r="81" spans="1:91" s="1" customFormat="1" ht="6.9" customHeight="1">
      <c r="B81" s="56"/>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12"/>
    </row>
    <row r="82" spans="1:91" s="1" customFormat="1" ht="24.9" customHeight="1">
      <c r="B82" s="12"/>
      <c r="C82" s="6" t="s">
        <v>56</v>
      </c>
      <c r="AR82" s="12"/>
    </row>
    <row r="83" spans="1:91" s="1" customFormat="1" ht="6.9" customHeight="1">
      <c r="B83" s="12"/>
      <c r="AR83" s="12"/>
    </row>
    <row r="84" spans="1:91" s="168" customFormat="1" ht="12" customHeight="1">
      <c r="B84" s="184"/>
      <c r="C84" s="10" t="s">
        <v>13</v>
      </c>
      <c r="L84" s="168" t="str">
        <f>K5</f>
        <v>Z2021126</v>
      </c>
      <c r="AR84" s="184"/>
    </row>
    <row r="85" spans="1:91" s="169" customFormat="1" ht="36.9" customHeight="1">
      <c r="B85" s="185"/>
      <c r="C85" s="186" t="s">
        <v>16</v>
      </c>
      <c r="L85" s="381" t="str">
        <f>K6</f>
        <v>Bytový soubor Libuše</v>
      </c>
      <c r="M85" s="382"/>
      <c r="N85" s="382"/>
      <c r="O85" s="382"/>
      <c r="P85" s="382"/>
      <c r="Q85" s="382"/>
      <c r="R85" s="382"/>
      <c r="S85" s="382"/>
      <c r="T85" s="382"/>
      <c r="U85" s="382"/>
      <c r="V85" s="382"/>
      <c r="W85" s="382"/>
      <c r="X85" s="382"/>
      <c r="Y85" s="382"/>
      <c r="Z85" s="382"/>
      <c r="AA85" s="382"/>
      <c r="AB85" s="382"/>
      <c r="AC85" s="382"/>
      <c r="AD85" s="382"/>
      <c r="AE85" s="382"/>
      <c r="AF85" s="382"/>
      <c r="AG85" s="382"/>
      <c r="AH85" s="382"/>
      <c r="AI85" s="382"/>
      <c r="AJ85" s="382"/>
      <c r="AK85" s="382"/>
      <c r="AL85" s="382"/>
      <c r="AM85" s="382"/>
      <c r="AN85" s="382"/>
      <c r="AO85" s="382"/>
      <c r="AR85" s="185"/>
    </row>
    <row r="86" spans="1:91" s="1" customFormat="1" ht="6.9" customHeight="1">
      <c r="B86" s="12"/>
      <c r="AR86" s="12"/>
    </row>
    <row r="87" spans="1:91" s="1" customFormat="1" ht="12" customHeight="1">
      <c r="B87" s="12"/>
      <c r="C87" s="10" t="s">
        <v>20</v>
      </c>
      <c r="L87" s="192" t="str">
        <f>IF(K8="","",K8)</f>
        <v>Praha</v>
      </c>
      <c r="AI87" s="10" t="s">
        <v>22</v>
      </c>
      <c r="AM87" s="364">
        <f>IF(AN8="","",AN8)</f>
        <v>45000</v>
      </c>
      <c r="AN87" s="364"/>
      <c r="AR87" s="12"/>
    </row>
    <row r="88" spans="1:91" s="1" customFormat="1" ht="6.9" customHeight="1">
      <c r="B88" s="12"/>
      <c r="AR88" s="12"/>
    </row>
    <row r="89" spans="1:91" s="1" customFormat="1" ht="15.15" customHeight="1">
      <c r="B89" s="12"/>
      <c r="C89" s="10" t="s">
        <v>23</v>
      </c>
      <c r="L89" s="168" t="str">
        <f>IF(E11="","",E11)</f>
        <v>VELTON REAL ESTATE</v>
      </c>
      <c r="AI89" s="10" t="s">
        <v>31</v>
      </c>
      <c r="AM89" s="365" t="str">
        <f>IF(E17="","",E17)</f>
        <v>ABMV World s.r.o</v>
      </c>
      <c r="AN89" s="366"/>
      <c r="AO89" s="366"/>
      <c r="AP89" s="366"/>
      <c r="AR89" s="12"/>
      <c r="AS89" s="355" t="s">
        <v>57</v>
      </c>
      <c r="AT89" s="356"/>
      <c r="AU89" s="35"/>
      <c r="AV89" s="35"/>
      <c r="AW89" s="35"/>
      <c r="AX89" s="35"/>
      <c r="AY89" s="35"/>
      <c r="AZ89" s="35"/>
      <c r="BA89" s="35"/>
      <c r="BB89" s="35"/>
      <c r="BC89" s="35"/>
      <c r="BD89" s="209"/>
    </row>
    <row r="90" spans="1:91" s="1" customFormat="1" ht="15.15" customHeight="1">
      <c r="B90" s="12"/>
      <c r="C90" s="10" t="s">
        <v>27</v>
      </c>
      <c r="L90" s="168" t="str">
        <f>IF(E14="Vyplň údaj","",E14)</f>
        <v>DMG Stav a.s.</v>
      </c>
      <c r="AI90" s="10" t="s">
        <v>34</v>
      </c>
      <c r="AM90" s="365" t="str">
        <f>IF(E20="","",E20)</f>
        <v>QSB s.r.o.</v>
      </c>
      <c r="AN90" s="366"/>
      <c r="AO90" s="366"/>
      <c r="AP90" s="366"/>
      <c r="AR90" s="12"/>
      <c r="AS90" s="357"/>
      <c r="AT90" s="358"/>
      <c r="BD90" s="111"/>
    </row>
    <row r="91" spans="1:91" s="1" customFormat="1" ht="11.1" customHeight="1">
      <c r="B91" s="12"/>
      <c r="AR91" s="12"/>
      <c r="AS91" s="357"/>
      <c r="AT91" s="358"/>
      <c r="BD91" s="111"/>
    </row>
    <row r="92" spans="1:91" s="1" customFormat="1" ht="29.25" customHeight="1">
      <c r="B92" s="12"/>
      <c r="C92" s="367" t="s">
        <v>58</v>
      </c>
      <c r="D92" s="368"/>
      <c r="E92" s="368"/>
      <c r="F92" s="368"/>
      <c r="G92" s="368"/>
      <c r="H92" s="42"/>
      <c r="I92" s="369" t="s">
        <v>59</v>
      </c>
      <c r="J92" s="368"/>
      <c r="K92" s="368"/>
      <c r="L92" s="368"/>
      <c r="M92" s="368"/>
      <c r="N92" s="368"/>
      <c r="O92" s="368"/>
      <c r="P92" s="368"/>
      <c r="Q92" s="368"/>
      <c r="R92" s="368"/>
      <c r="S92" s="368"/>
      <c r="T92" s="368"/>
      <c r="U92" s="368"/>
      <c r="V92" s="368"/>
      <c r="W92" s="368"/>
      <c r="X92" s="368"/>
      <c r="Y92" s="368"/>
      <c r="Z92" s="368"/>
      <c r="AA92" s="368"/>
      <c r="AB92" s="368"/>
      <c r="AC92" s="368"/>
      <c r="AD92" s="368"/>
      <c r="AE92" s="368"/>
      <c r="AF92" s="368"/>
      <c r="AG92" s="370" t="s">
        <v>60</v>
      </c>
      <c r="AH92" s="368"/>
      <c r="AI92" s="368"/>
      <c r="AJ92" s="368"/>
      <c r="AK92" s="368"/>
      <c r="AL92" s="368"/>
      <c r="AM92" s="368"/>
      <c r="AN92" s="369" t="s">
        <v>61</v>
      </c>
      <c r="AO92" s="368"/>
      <c r="AP92" s="371"/>
      <c r="AQ92" s="194" t="s">
        <v>62</v>
      </c>
      <c r="AR92" s="12"/>
      <c r="AS92" s="80" t="s">
        <v>63</v>
      </c>
      <c r="AT92" s="81" t="s">
        <v>64</v>
      </c>
      <c r="AU92" s="81" t="s">
        <v>65</v>
      </c>
      <c r="AV92" s="81" t="s">
        <v>66</v>
      </c>
      <c r="AW92" s="81" t="s">
        <v>67</v>
      </c>
      <c r="AX92" s="81" t="s">
        <v>68</v>
      </c>
      <c r="AY92" s="81" t="s">
        <v>69</v>
      </c>
      <c r="AZ92" s="81" t="s">
        <v>70</v>
      </c>
      <c r="BA92" s="81" t="s">
        <v>71</v>
      </c>
      <c r="BB92" s="81" t="s">
        <v>72</v>
      </c>
      <c r="BC92" s="81" t="s">
        <v>73</v>
      </c>
      <c r="BD92" s="96" t="s">
        <v>74</v>
      </c>
    </row>
    <row r="93" spans="1:91" s="1" customFormat="1" ht="11.1" customHeight="1">
      <c r="B93" s="12"/>
      <c r="AR93" s="12"/>
      <c r="AS93" s="83"/>
      <c r="AT93" s="35"/>
      <c r="AU93" s="35"/>
      <c r="AV93" s="35"/>
      <c r="AW93" s="35"/>
      <c r="AX93" s="35"/>
      <c r="AY93" s="35"/>
      <c r="AZ93" s="35"/>
      <c r="BA93" s="35"/>
      <c r="BB93" s="35"/>
      <c r="BC93" s="35"/>
      <c r="BD93" s="209"/>
    </row>
    <row r="94" spans="1:91" s="170" customFormat="1" ht="32.4" customHeight="1">
      <c r="B94" s="187"/>
      <c r="C94" s="66" t="s">
        <v>75</v>
      </c>
      <c r="D94" s="188"/>
      <c r="E94" s="188"/>
      <c r="F94" s="188"/>
      <c r="G94" s="188"/>
      <c r="H94" s="188"/>
      <c r="I94" s="188"/>
      <c r="J94" s="188"/>
      <c r="K94" s="188"/>
      <c r="L94" s="188"/>
      <c r="M94" s="188"/>
      <c r="N94" s="188"/>
      <c r="O94" s="188"/>
      <c r="P94" s="188"/>
      <c r="Q94" s="188"/>
      <c r="R94" s="188"/>
      <c r="S94" s="188"/>
      <c r="T94" s="188"/>
      <c r="U94" s="188"/>
      <c r="V94" s="188"/>
      <c r="W94" s="188"/>
      <c r="X94" s="188"/>
      <c r="Y94" s="188"/>
      <c r="Z94" s="188"/>
      <c r="AA94" s="188"/>
      <c r="AB94" s="188"/>
      <c r="AC94" s="188"/>
      <c r="AD94" s="188"/>
      <c r="AE94" s="188"/>
      <c r="AF94" s="188"/>
      <c r="AG94" s="372">
        <f>ROUND(AG95+AG96+AG109,2)</f>
        <v>249030991.11000001</v>
      </c>
      <c r="AH94" s="372"/>
      <c r="AI94" s="372"/>
      <c r="AJ94" s="372"/>
      <c r="AK94" s="372"/>
      <c r="AL94" s="372"/>
      <c r="AM94" s="372"/>
      <c r="AN94" s="373">
        <f t="shared" ref="AN94:AN125" si="0">SUM(AG94,AT94)</f>
        <v>300520625.29000002</v>
      </c>
      <c r="AO94" s="373"/>
      <c r="AP94" s="373"/>
      <c r="AQ94" s="195" t="s">
        <v>1</v>
      </c>
      <c r="AR94" s="187"/>
      <c r="AS94" s="196">
        <f>ROUND(AS95+AS96+AS109,2)</f>
        <v>0</v>
      </c>
      <c r="AT94" s="197">
        <f t="shared" ref="AT94:AT125" si="1">ROUND(SUM(AV94:AW94),2)</f>
        <v>51489634.18</v>
      </c>
      <c r="AU94" s="198">
        <f>ROUND(AU95+AU96+AU109,5)</f>
        <v>0</v>
      </c>
      <c r="AV94" s="197">
        <f>ROUND(AZ94*L29,2)</f>
        <v>49472449.310000002</v>
      </c>
      <c r="AW94" s="197">
        <f>ROUND(BA94*L30,2)</f>
        <v>2017184.87</v>
      </c>
      <c r="AX94" s="197">
        <f>ROUND(BB94*L29,2)</f>
        <v>0</v>
      </c>
      <c r="AY94" s="197">
        <f>ROUND(BC94*L30,2)</f>
        <v>0</v>
      </c>
      <c r="AZ94" s="197">
        <f>ROUND(AZ95+AZ96+AZ109,2)</f>
        <v>235583091.97</v>
      </c>
      <c r="BA94" s="197">
        <f>ROUND(BA95+BA96+BA109,2)</f>
        <v>13447899.140000001</v>
      </c>
      <c r="BB94" s="197">
        <f>ROUND(BB95+BB96+BB109,2)</f>
        <v>0</v>
      </c>
      <c r="BC94" s="197">
        <f>ROUND(BC95+BC96+BC109,2)</f>
        <v>0</v>
      </c>
      <c r="BD94" s="210">
        <f>ROUND(BD95+BD96+BD109,2)</f>
        <v>0</v>
      </c>
      <c r="BS94" s="214" t="s">
        <v>76</v>
      </c>
      <c r="BT94" s="214" t="s">
        <v>77</v>
      </c>
      <c r="BU94" s="216" t="s">
        <v>78</v>
      </c>
      <c r="BV94" s="214" t="s">
        <v>79</v>
      </c>
      <c r="BW94" s="214" t="s">
        <v>5</v>
      </c>
      <c r="BX94" s="214" t="s">
        <v>80</v>
      </c>
      <c r="CL94" s="214" t="s">
        <v>1</v>
      </c>
    </row>
    <row r="95" spans="1:91" s="171" customFormat="1" ht="16.5" customHeight="1">
      <c r="A95" s="189" t="s">
        <v>81</v>
      </c>
      <c r="B95" s="190"/>
      <c r="C95" s="191"/>
      <c r="D95" s="360" t="s">
        <v>82</v>
      </c>
      <c r="E95" s="360"/>
      <c r="F95" s="360"/>
      <c r="G95" s="360"/>
      <c r="H95" s="360"/>
      <c r="I95" s="193"/>
      <c r="J95" s="360" t="s">
        <v>83</v>
      </c>
      <c r="K95" s="360"/>
      <c r="L95" s="360"/>
      <c r="M95" s="360"/>
      <c r="N95" s="360"/>
      <c r="O95" s="360"/>
      <c r="P95" s="360"/>
      <c r="Q95" s="360"/>
      <c r="R95" s="360"/>
      <c r="S95" s="360"/>
      <c r="T95" s="360"/>
      <c r="U95" s="360"/>
      <c r="V95" s="360"/>
      <c r="W95" s="360"/>
      <c r="X95" s="360"/>
      <c r="Y95" s="360"/>
      <c r="Z95" s="360"/>
      <c r="AA95" s="360"/>
      <c r="AB95" s="360"/>
      <c r="AC95" s="360"/>
      <c r="AD95" s="360"/>
      <c r="AE95" s="360"/>
      <c r="AF95" s="360"/>
      <c r="AG95" s="363">
        <f>'00 - Vedlejší a ostatní n...'!J30</f>
        <v>9759000</v>
      </c>
      <c r="AH95" s="362"/>
      <c r="AI95" s="362"/>
      <c r="AJ95" s="362"/>
      <c r="AK95" s="362"/>
      <c r="AL95" s="362"/>
      <c r="AM95" s="362"/>
      <c r="AN95" s="363">
        <f t="shared" si="0"/>
        <v>11808390</v>
      </c>
      <c r="AO95" s="362"/>
      <c r="AP95" s="362"/>
      <c r="AQ95" s="199" t="s">
        <v>84</v>
      </c>
      <c r="AR95" s="190"/>
      <c r="AS95" s="200">
        <v>0</v>
      </c>
      <c r="AT95" s="201">
        <f t="shared" si="1"/>
        <v>2049390</v>
      </c>
      <c r="AU95" s="202">
        <f>'00 - Vedlejší a ostatní n...'!P122</f>
        <v>0</v>
      </c>
      <c r="AV95" s="201">
        <f>'00 - Vedlejší a ostatní n...'!J33</f>
        <v>2049390</v>
      </c>
      <c r="AW95" s="201">
        <f>'00 - Vedlejší a ostatní n...'!J34</f>
        <v>0</v>
      </c>
      <c r="AX95" s="201">
        <f>'00 - Vedlejší a ostatní n...'!J35</f>
        <v>0</v>
      </c>
      <c r="AY95" s="201">
        <f>'00 - Vedlejší a ostatní n...'!J36</f>
        <v>0</v>
      </c>
      <c r="AZ95" s="201">
        <f>'00 - Vedlejší a ostatní n...'!F33</f>
        <v>9759000</v>
      </c>
      <c r="BA95" s="201">
        <f>'00 - Vedlejší a ostatní n...'!F34</f>
        <v>0</v>
      </c>
      <c r="BB95" s="201">
        <f>'00 - Vedlejší a ostatní n...'!F35</f>
        <v>0</v>
      </c>
      <c r="BC95" s="201">
        <f>'00 - Vedlejší a ostatní n...'!F36</f>
        <v>0</v>
      </c>
      <c r="BD95" s="211">
        <f>'00 - Vedlejší a ostatní n...'!F37</f>
        <v>0</v>
      </c>
      <c r="BT95" s="215" t="s">
        <v>85</v>
      </c>
      <c r="BV95" s="215" t="s">
        <v>79</v>
      </c>
      <c r="BW95" s="215" t="s">
        <v>86</v>
      </c>
      <c r="BX95" s="215" t="s">
        <v>5</v>
      </c>
      <c r="CL95" s="215" t="s">
        <v>1</v>
      </c>
      <c r="CM95" s="215" t="s">
        <v>87</v>
      </c>
    </row>
    <row r="96" spans="1:91" s="171" customFormat="1" ht="24.75" customHeight="1">
      <c r="B96" s="190"/>
      <c r="C96" s="191"/>
      <c r="D96" s="360" t="s">
        <v>88</v>
      </c>
      <c r="E96" s="360"/>
      <c r="F96" s="360"/>
      <c r="G96" s="360"/>
      <c r="H96" s="360"/>
      <c r="I96" s="193"/>
      <c r="J96" s="360" t="s">
        <v>89</v>
      </c>
      <c r="K96" s="360"/>
      <c r="L96" s="360"/>
      <c r="M96" s="360"/>
      <c r="N96" s="360"/>
      <c r="O96" s="360"/>
      <c r="P96" s="360"/>
      <c r="Q96" s="360"/>
      <c r="R96" s="360"/>
      <c r="S96" s="360"/>
      <c r="T96" s="360"/>
      <c r="U96" s="360"/>
      <c r="V96" s="360"/>
      <c r="W96" s="360"/>
      <c r="X96" s="360"/>
      <c r="Y96" s="360"/>
      <c r="Z96" s="360"/>
      <c r="AA96" s="360"/>
      <c r="AB96" s="360"/>
      <c r="AC96" s="360"/>
      <c r="AD96" s="360"/>
      <c r="AE96" s="360"/>
      <c r="AF96" s="360"/>
      <c r="AG96" s="361">
        <f>ROUND(SUM(AG97:AG108),2)</f>
        <v>230112369.55000001</v>
      </c>
      <c r="AH96" s="362"/>
      <c r="AI96" s="362"/>
      <c r="AJ96" s="362"/>
      <c r="AK96" s="362"/>
      <c r="AL96" s="362"/>
      <c r="AM96" s="362"/>
      <c r="AN96" s="363">
        <f t="shared" si="0"/>
        <v>277682400.63999999</v>
      </c>
      <c r="AO96" s="362"/>
      <c r="AP96" s="362"/>
      <c r="AQ96" s="199" t="s">
        <v>90</v>
      </c>
      <c r="AR96" s="190"/>
      <c r="AS96" s="200">
        <f>ROUND(SUM(AS97:AS108),2)</f>
        <v>0</v>
      </c>
      <c r="AT96" s="201">
        <f t="shared" si="1"/>
        <v>47570031.090000004</v>
      </c>
      <c r="AU96" s="202">
        <f>ROUND(SUM(AU97:AU108),5)</f>
        <v>0</v>
      </c>
      <c r="AV96" s="201">
        <f>ROUND(AZ96*L29,2)</f>
        <v>45686114.789999999</v>
      </c>
      <c r="AW96" s="201">
        <f>ROUND(BA96*L30,2)</f>
        <v>1883916.3</v>
      </c>
      <c r="AX96" s="201">
        <f>ROUND(BB96*L29,2)</f>
        <v>0</v>
      </c>
      <c r="AY96" s="201">
        <f>ROUND(BC96*L30,2)</f>
        <v>0</v>
      </c>
      <c r="AZ96" s="201">
        <f>ROUND(SUM(AZ97:AZ108),2)</f>
        <v>217552927.55000001</v>
      </c>
      <c r="BA96" s="201">
        <f>ROUND(SUM(BA97:BA108),2)</f>
        <v>12559442</v>
      </c>
      <c r="BB96" s="201">
        <f>ROUND(SUM(BB97:BB108),2)</f>
        <v>0</v>
      </c>
      <c r="BC96" s="201">
        <f>ROUND(SUM(BC97:BC108),2)</f>
        <v>0</v>
      </c>
      <c r="BD96" s="211">
        <f>ROUND(SUM(BD97:BD108),2)</f>
        <v>0</v>
      </c>
      <c r="BS96" s="215" t="s">
        <v>76</v>
      </c>
      <c r="BT96" s="215" t="s">
        <v>85</v>
      </c>
      <c r="BU96" s="215" t="s">
        <v>78</v>
      </c>
      <c r="BV96" s="215" t="s">
        <v>79</v>
      </c>
      <c r="BW96" s="215" t="s">
        <v>91</v>
      </c>
      <c r="BX96" s="215" t="s">
        <v>5</v>
      </c>
      <c r="CL96" s="215" t="s">
        <v>1</v>
      </c>
      <c r="CM96" s="215" t="s">
        <v>87</v>
      </c>
    </row>
    <row r="97" spans="1:91" s="168" customFormat="1" ht="16.5" customHeight="1">
      <c r="A97" s="189" t="s">
        <v>81</v>
      </c>
      <c r="B97" s="184"/>
      <c r="C97" s="30"/>
      <c r="D97" s="30"/>
      <c r="E97" s="349" t="s">
        <v>92</v>
      </c>
      <c r="F97" s="349"/>
      <c r="G97" s="349"/>
      <c r="H97" s="349"/>
      <c r="I97" s="349"/>
      <c r="J97" s="30"/>
      <c r="K97" s="349" t="s">
        <v>93</v>
      </c>
      <c r="L97" s="349"/>
      <c r="M97" s="349"/>
      <c r="N97" s="349"/>
      <c r="O97" s="349"/>
      <c r="P97" s="349"/>
      <c r="Q97" s="349"/>
      <c r="R97" s="349"/>
      <c r="S97" s="349"/>
      <c r="T97" s="349"/>
      <c r="U97" s="349"/>
      <c r="V97" s="349"/>
      <c r="W97" s="349"/>
      <c r="X97" s="349"/>
      <c r="Y97" s="349"/>
      <c r="Z97" s="349"/>
      <c r="AA97" s="349"/>
      <c r="AB97" s="349"/>
      <c r="AC97" s="349"/>
      <c r="AD97" s="349"/>
      <c r="AE97" s="349"/>
      <c r="AF97" s="349"/>
      <c r="AG97" s="350">
        <f>'100 - Architektonicko-sta...'!J32</f>
        <v>183655741.81999999</v>
      </c>
      <c r="AH97" s="351"/>
      <c r="AI97" s="351"/>
      <c r="AJ97" s="351"/>
      <c r="AK97" s="351"/>
      <c r="AL97" s="351"/>
      <c r="AM97" s="351"/>
      <c r="AN97" s="350">
        <f t="shared" si="0"/>
        <v>222223447.59999999</v>
      </c>
      <c r="AO97" s="351"/>
      <c r="AP97" s="351"/>
      <c r="AQ97" s="203" t="s">
        <v>94</v>
      </c>
      <c r="AR97" s="184"/>
      <c r="AS97" s="204">
        <v>0</v>
      </c>
      <c r="AT97" s="39">
        <f t="shared" si="1"/>
        <v>38567705.780000001</v>
      </c>
      <c r="AU97" s="205">
        <f>'100 - Architektonicko-sta...'!P148</f>
        <v>0</v>
      </c>
      <c r="AV97" s="39">
        <f>'100 - Architektonicko-sta...'!J35</f>
        <v>38567705.780000001</v>
      </c>
      <c r="AW97" s="39">
        <f>'100 - Architektonicko-sta...'!J36</f>
        <v>0</v>
      </c>
      <c r="AX97" s="39">
        <f>'100 - Architektonicko-sta...'!J37</f>
        <v>0</v>
      </c>
      <c r="AY97" s="39">
        <f>'100 - Architektonicko-sta...'!J38</f>
        <v>0</v>
      </c>
      <c r="AZ97" s="39">
        <f>'100 - Architektonicko-sta...'!F35</f>
        <v>183655741.81999999</v>
      </c>
      <c r="BA97" s="39">
        <f>'100 - Architektonicko-sta...'!F36</f>
        <v>0</v>
      </c>
      <c r="BB97" s="39">
        <f>'100 - Architektonicko-sta...'!F37</f>
        <v>0</v>
      </c>
      <c r="BC97" s="39">
        <f>'100 - Architektonicko-sta...'!F38</f>
        <v>0</v>
      </c>
      <c r="BD97" s="212">
        <f>'100 - Architektonicko-sta...'!F39</f>
        <v>0</v>
      </c>
      <c r="BT97" s="32" t="s">
        <v>87</v>
      </c>
      <c r="BV97" s="32" t="s">
        <v>79</v>
      </c>
      <c r="BW97" s="32" t="s">
        <v>95</v>
      </c>
      <c r="BX97" s="32" t="s">
        <v>91</v>
      </c>
      <c r="CL97" s="32" t="s">
        <v>1</v>
      </c>
    </row>
    <row r="98" spans="1:91" s="168" customFormat="1" ht="16.5" customHeight="1">
      <c r="A98" s="189" t="s">
        <v>81</v>
      </c>
      <c r="B98" s="184"/>
      <c r="C98" s="30"/>
      <c r="D98" s="30"/>
      <c r="E98" s="349" t="s">
        <v>96</v>
      </c>
      <c r="F98" s="349"/>
      <c r="G98" s="349"/>
      <c r="H98" s="349"/>
      <c r="I98" s="349"/>
      <c r="J98" s="30"/>
      <c r="K98" s="349" t="s">
        <v>97</v>
      </c>
      <c r="L98" s="349"/>
      <c r="M98" s="349"/>
      <c r="N98" s="349"/>
      <c r="O98" s="349"/>
      <c r="P98" s="349"/>
      <c r="Q98" s="349"/>
      <c r="R98" s="349"/>
      <c r="S98" s="349"/>
      <c r="T98" s="349"/>
      <c r="U98" s="349"/>
      <c r="V98" s="349"/>
      <c r="W98" s="349"/>
      <c r="X98" s="349"/>
      <c r="Y98" s="349"/>
      <c r="Z98" s="349"/>
      <c r="AA98" s="349"/>
      <c r="AB98" s="349"/>
      <c r="AC98" s="349"/>
      <c r="AD98" s="349"/>
      <c r="AE98" s="349"/>
      <c r="AF98" s="349"/>
      <c r="AG98" s="350">
        <f>'D1.410 - ZTI - Kanalizace'!J32</f>
        <v>5975260</v>
      </c>
      <c r="AH98" s="351"/>
      <c r="AI98" s="351"/>
      <c r="AJ98" s="351"/>
      <c r="AK98" s="351"/>
      <c r="AL98" s="351"/>
      <c r="AM98" s="351"/>
      <c r="AN98" s="350">
        <f t="shared" si="0"/>
        <v>7230064.5999999996</v>
      </c>
      <c r="AO98" s="351"/>
      <c r="AP98" s="351"/>
      <c r="AQ98" s="203" t="s">
        <v>94</v>
      </c>
      <c r="AR98" s="184"/>
      <c r="AS98" s="204">
        <v>0</v>
      </c>
      <c r="AT98" s="39">
        <f t="shared" si="1"/>
        <v>1254804.6000000001</v>
      </c>
      <c r="AU98" s="205">
        <f>'D1.410 - ZTI - Kanalizace'!P130</f>
        <v>0</v>
      </c>
      <c r="AV98" s="39">
        <f>'D1.410 - ZTI - Kanalizace'!J35</f>
        <v>1254804.6000000001</v>
      </c>
      <c r="AW98" s="39">
        <f>'D1.410 - ZTI - Kanalizace'!J36</f>
        <v>0</v>
      </c>
      <c r="AX98" s="39">
        <f>'D1.410 - ZTI - Kanalizace'!J37</f>
        <v>0</v>
      </c>
      <c r="AY98" s="39">
        <f>'D1.410 - ZTI - Kanalizace'!J38</f>
        <v>0</v>
      </c>
      <c r="AZ98" s="39">
        <f>'D1.410 - ZTI - Kanalizace'!F35</f>
        <v>5975260</v>
      </c>
      <c r="BA98" s="39">
        <f>'D1.410 - ZTI - Kanalizace'!F36</f>
        <v>0</v>
      </c>
      <c r="BB98" s="39">
        <f>'D1.410 - ZTI - Kanalizace'!F37</f>
        <v>0</v>
      </c>
      <c r="BC98" s="39">
        <f>'D1.410 - ZTI - Kanalizace'!F38</f>
        <v>0</v>
      </c>
      <c r="BD98" s="212">
        <f>'D1.410 - ZTI - Kanalizace'!F39</f>
        <v>0</v>
      </c>
      <c r="BT98" s="32" t="s">
        <v>87</v>
      </c>
      <c r="BV98" s="32" t="s">
        <v>79</v>
      </c>
      <c r="BW98" s="32" t="s">
        <v>98</v>
      </c>
      <c r="BX98" s="32" t="s">
        <v>91</v>
      </c>
      <c r="CL98" s="32" t="s">
        <v>1</v>
      </c>
    </row>
    <row r="99" spans="1:91" s="168" customFormat="1" ht="16.5" customHeight="1">
      <c r="A99" s="189" t="s">
        <v>81</v>
      </c>
      <c r="B99" s="184"/>
      <c r="C99" s="30"/>
      <c r="D99" s="30"/>
      <c r="E99" s="349" t="s">
        <v>99</v>
      </c>
      <c r="F99" s="349"/>
      <c r="G99" s="349"/>
      <c r="H99" s="349"/>
      <c r="I99" s="349"/>
      <c r="J99" s="30"/>
      <c r="K99" s="349" t="s">
        <v>100</v>
      </c>
      <c r="L99" s="349"/>
      <c r="M99" s="349"/>
      <c r="N99" s="349"/>
      <c r="O99" s="349"/>
      <c r="P99" s="349"/>
      <c r="Q99" s="349"/>
      <c r="R99" s="349"/>
      <c r="S99" s="349"/>
      <c r="T99" s="349"/>
      <c r="U99" s="349"/>
      <c r="V99" s="349"/>
      <c r="W99" s="349"/>
      <c r="X99" s="349"/>
      <c r="Y99" s="349"/>
      <c r="Z99" s="349"/>
      <c r="AA99" s="349"/>
      <c r="AB99" s="349"/>
      <c r="AC99" s="349"/>
      <c r="AD99" s="349"/>
      <c r="AE99" s="349"/>
      <c r="AF99" s="349"/>
      <c r="AG99" s="350">
        <f>'D1.420 - ZTI - Vodovod'!J32</f>
        <v>6593470</v>
      </c>
      <c r="AH99" s="351"/>
      <c r="AI99" s="351"/>
      <c r="AJ99" s="351"/>
      <c r="AK99" s="351"/>
      <c r="AL99" s="351"/>
      <c r="AM99" s="351"/>
      <c r="AN99" s="350">
        <f t="shared" si="0"/>
        <v>7978098.7000000002</v>
      </c>
      <c r="AO99" s="351"/>
      <c r="AP99" s="351"/>
      <c r="AQ99" s="203" t="s">
        <v>94</v>
      </c>
      <c r="AR99" s="184"/>
      <c r="AS99" s="204">
        <v>0</v>
      </c>
      <c r="AT99" s="39">
        <f t="shared" si="1"/>
        <v>1384628.7</v>
      </c>
      <c r="AU99" s="205">
        <f>'D1.420 - ZTI - Vodovod'!P124</f>
        <v>0</v>
      </c>
      <c r="AV99" s="39">
        <f>'D1.420 - ZTI - Vodovod'!J35</f>
        <v>1384628.7</v>
      </c>
      <c r="AW99" s="39">
        <f>'D1.420 - ZTI - Vodovod'!J36</f>
        <v>0</v>
      </c>
      <c r="AX99" s="39">
        <f>'D1.420 - ZTI - Vodovod'!J37</f>
        <v>0</v>
      </c>
      <c r="AY99" s="39">
        <f>'D1.420 - ZTI - Vodovod'!J38</f>
        <v>0</v>
      </c>
      <c r="AZ99" s="39">
        <f>'D1.420 - ZTI - Vodovod'!F35</f>
        <v>6593470</v>
      </c>
      <c r="BA99" s="39">
        <f>'D1.420 - ZTI - Vodovod'!F36</f>
        <v>0</v>
      </c>
      <c r="BB99" s="39">
        <f>'D1.420 - ZTI - Vodovod'!F37</f>
        <v>0</v>
      </c>
      <c r="BC99" s="39">
        <f>'D1.420 - ZTI - Vodovod'!F38</f>
        <v>0</v>
      </c>
      <c r="BD99" s="212">
        <f>'D1.420 - ZTI - Vodovod'!F39</f>
        <v>0</v>
      </c>
      <c r="BT99" s="32" t="s">
        <v>87</v>
      </c>
      <c r="BV99" s="32" t="s">
        <v>79</v>
      </c>
      <c r="BW99" s="32" t="s">
        <v>101</v>
      </c>
      <c r="BX99" s="32" t="s">
        <v>91</v>
      </c>
      <c r="CL99" s="32" t="s">
        <v>1</v>
      </c>
    </row>
    <row r="100" spans="1:91" s="168" customFormat="1" ht="16.5" customHeight="1">
      <c r="A100" s="189" t="s">
        <v>81</v>
      </c>
      <c r="B100" s="184"/>
      <c r="C100" s="30"/>
      <c r="D100" s="30"/>
      <c r="E100" s="349" t="s">
        <v>102</v>
      </c>
      <c r="F100" s="349"/>
      <c r="G100" s="349"/>
      <c r="H100" s="349"/>
      <c r="I100" s="349"/>
      <c r="J100" s="30"/>
      <c r="K100" s="349" t="s">
        <v>103</v>
      </c>
      <c r="L100" s="349"/>
      <c r="M100" s="349"/>
      <c r="N100" s="349"/>
      <c r="O100" s="349"/>
      <c r="P100" s="349"/>
      <c r="Q100" s="349"/>
      <c r="R100" s="349"/>
      <c r="S100" s="349"/>
      <c r="T100" s="349"/>
      <c r="U100" s="349"/>
      <c r="V100" s="349"/>
      <c r="W100" s="349"/>
      <c r="X100" s="349"/>
      <c r="Y100" s="349"/>
      <c r="Z100" s="349"/>
      <c r="AA100" s="349"/>
      <c r="AB100" s="349"/>
      <c r="AC100" s="349"/>
      <c r="AD100" s="349"/>
      <c r="AE100" s="349"/>
      <c r="AF100" s="349"/>
      <c r="AG100" s="350">
        <f>'D1.430 - ZTI - Plynovod'!J32</f>
        <v>78000</v>
      </c>
      <c r="AH100" s="351"/>
      <c r="AI100" s="351"/>
      <c r="AJ100" s="351"/>
      <c r="AK100" s="351"/>
      <c r="AL100" s="351"/>
      <c r="AM100" s="351"/>
      <c r="AN100" s="350">
        <f t="shared" si="0"/>
        <v>94380</v>
      </c>
      <c r="AO100" s="351"/>
      <c r="AP100" s="351"/>
      <c r="AQ100" s="203" t="s">
        <v>94</v>
      </c>
      <c r="AR100" s="184"/>
      <c r="AS100" s="204">
        <v>0</v>
      </c>
      <c r="AT100" s="39">
        <f t="shared" si="1"/>
        <v>16380</v>
      </c>
      <c r="AU100" s="205">
        <f>'D1.430 - ZTI - Plynovod'!P122</f>
        <v>0</v>
      </c>
      <c r="AV100" s="39">
        <f>'D1.430 - ZTI - Plynovod'!J35</f>
        <v>16380</v>
      </c>
      <c r="AW100" s="39">
        <f>'D1.430 - ZTI - Plynovod'!J36</f>
        <v>0</v>
      </c>
      <c r="AX100" s="39">
        <f>'D1.430 - ZTI - Plynovod'!J37</f>
        <v>0</v>
      </c>
      <c r="AY100" s="39">
        <f>'D1.430 - ZTI - Plynovod'!J38</f>
        <v>0</v>
      </c>
      <c r="AZ100" s="39">
        <f>'D1.430 - ZTI - Plynovod'!F35</f>
        <v>78000</v>
      </c>
      <c r="BA100" s="39">
        <f>'D1.430 - ZTI - Plynovod'!F36</f>
        <v>0</v>
      </c>
      <c r="BB100" s="39">
        <f>'D1.430 - ZTI - Plynovod'!F37</f>
        <v>0</v>
      </c>
      <c r="BC100" s="39">
        <f>'D1.430 - ZTI - Plynovod'!F38</f>
        <v>0</v>
      </c>
      <c r="BD100" s="212">
        <f>'D1.430 - ZTI - Plynovod'!F39</f>
        <v>0</v>
      </c>
      <c r="BT100" s="32" t="s">
        <v>87</v>
      </c>
      <c r="BV100" s="32" t="s">
        <v>79</v>
      </c>
      <c r="BW100" s="32" t="s">
        <v>104</v>
      </c>
      <c r="BX100" s="32" t="s">
        <v>91</v>
      </c>
      <c r="CL100" s="32" t="s">
        <v>1</v>
      </c>
    </row>
    <row r="101" spans="1:91" s="168" customFormat="1" ht="16.5" customHeight="1">
      <c r="A101" s="189" t="s">
        <v>81</v>
      </c>
      <c r="B101" s="184"/>
      <c r="C101" s="30"/>
      <c r="D101" s="30"/>
      <c r="E101" s="349" t="s">
        <v>105</v>
      </c>
      <c r="F101" s="349"/>
      <c r="G101" s="349"/>
      <c r="H101" s="349"/>
      <c r="I101" s="349"/>
      <c r="J101" s="30"/>
      <c r="K101" s="349" t="s">
        <v>106</v>
      </c>
      <c r="L101" s="349"/>
      <c r="M101" s="349"/>
      <c r="N101" s="349"/>
      <c r="O101" s="349"/>
      <c r="P101" s="349"/>
      <c r="Q101" s="349"/>
      <c r="R101" s="349"/>
      <c r="S101" s="349"/>
      <c r="T101" s="349"/>
      <c r="U101" s="349"/>
      <c r="V101" s="349"/>
      <c r="W101" s="349"/>
      <c r="X101" s="349"/>
      <c r="Y101" s="349"/>
      <c r="Z101" s="349"/>
      <c r="AA101" s="349"/>
      <c r="AB101" s="349"/>
      <c r="AC101" s="349"/>
      <c r="AD101" s="349"/>
      <c r="AE101" s="349"/>
      <c r="AF101" s="349"/>
      <c r="AG101" s="350">
        <f>'D1.510 - Vzduchotechnika'!J32</f>
        <v>3746900</v>
      </c>
      <c r="AH101" s="351"/>
      <c r="AI101" s="351"/>
      <c r="AJ101" s="351"/>
      <c r="AK101" s="351"/>
      <c r="AL101" s="351"/>
      <c r="AM101" s="351"/>
      <c r="AN101" s="350">
        <f t="shared" si="0"/>
        <v>4533749</v>
      </c>
      <c r="AO101" s="351"/>
      <c r="AP101" s="351"/>
      <c r="AQ101" s="203" t="s">
        <v>94</v>
      </c>
      <c r="AR101" s="184"/>
      <c r="AS101" s="204">
        <v>0</v>
      </c>
      <c r="AT101" s="39">
        <f t="shared" si="1"/>
        <v>786849</v>
      </c>
      <c r="AU101" s="205">
        <f>'D1.510 - Vzduchotechnika'!P150</f>
        <v>0</v>
      </c>
      <c r="AV101" s="39">
        <f>'D1.510 - Vzduchotechnika'!J35</f>
        <v>786849</v>
      </c>
      <c r="AW101" s="39">
        <f>'D1.510 - Vzduchotechnika'!J36</f>
        <v>0</v>
      </c>
      <c r="AX101" s="39">
        <f>'D1.510 - Vzduchotechnika'!J37</f>
        <v>0</v>
      </c>
      <c r="AY101" s="39">
        <f>'D1.510 - Vzduchotechnika'!J38</f>
        <v>0</v>
      </c>
      <c r="AZ101" s="39">
        <f>'D1.510 - Vzduchotechnika'!F35</f>
        <v>3746900</v>
      </c>
      <c r="BA101" s="39">
        <f>'D1.510 - Vzduchotechnika'!F36</f>
        <v>0</v>
      </c>
      <c r="BB101" s="39">
        <f>'D1.510 - Vzduchotechnika'!F37</f>
        <v>0</v>
      </c>
      <c r="BC101" s="39">
        <f>'D1.510 - Vzduchotechnika'!F38</f>
        <v>0</v>
      </c>
      <c r="BD101" s="212">
        <f>'D1.510 - Vzduchotechnika'!F39</f>
        <v>0</v>
      </c>
      <c r="BT101" s="32" t="s">
        <v>87</v>
      </c>
      <c r="BV101" s="32" t="s">
        <v>79</v>
      </c>
      <c r="BW101" s="32" t="s">
        <v>107</v>
      </c>
      <c r="BX101" s="32" t="s">
        <v>91</v>
      </c>
      <c r="CL101" s="32" t="s">
        <v>1</v>
      </c>
    </row>
    <row r="102" spans="1:91" s="168" customFormat="1" ht="16.5" customHeight="1">
      <c r="A102" s="189" t="s">
        <v>81</v>
      </c>
      <c r="B102" s="184"/>
      <c r="C102" s="30"/>
      <c r="D102" s="30"/>
      <c r="E102" s="349" t="s">
        <v>108</v>
      </c>
      <c r="F102" s="349"/>
      <c r="G102" s="349"/>
      <c r="H102" s="349"/>
      <c r="I102" s="349"/>
      <c r="J102" s="30"/>
      <c r="K102" s="349" t="s">
        <v>109</v>
      </c>
      <c r="L102" s="349"/>
      <c r="M102" s="349"/>
      <c r="N102" s="349"/>
      <c r="O102" s="349"/>
      <c r="P102" s="349"/>
      <c r="Q102" s="349"/>
      <c r="R102" s="349"/>
      <c r="S102" s="349"/>
      <c r="T102" s="349"/>
      <c r="U102" s="349"/>
      <c r="V102" s="349"/>
      <c r="W102" s="349"/>
      <c r="X102" s="349"/>
      <c r="Y102" s="349"/>
      <c r="Z102" s="349"/>
      <c r="AA102" s="349"/>
      <c r="AB102" s="349"/>
      <c r="AC102" s="349"/>
      <c r="AD102" s="349"/>
      <c r="AE102" s="349"/>
      <c r="AF102" s="349"/>
      <c r="AG102" s="350">
        <f>'D1.520 - Rozvody chladu'!J32</f>
        <v>5661300</v>
      </c>
      <c r="AH102" s="351"/>
      <c r="AI102" s="351"/>
      <c r="AJ102" s="351"/>
      <c r="AK102" s="351"/>
      <c r="AL102" s="351"/>
      <c r="AM102" s="351"/>
      <c r="AN102" s="350">
        <f t="shared" si="0"/>
        <v>6850173</v>
      </c>
      <c r="AO102" s="351"/>
      <c r="AP102" s="351"/>
      <c r="AQ102" s="203" t="s">
        <v>94</v>
      </c>
      <c r="AR102" s="184"/>
      <c r="AS102" s="204">
        <v>0</v>
      </c>
      <c r="AT102" s="39">
        <f t="shared" si="1"/>
        <v>1188873</v>
      </c>
      <c r="AU102" s="205">
        <f>'D1.520 - Rozvody chladu'!P144</f>
        <v>0</v>
      </c>
      <c r="AV102" s="39">
        <f>'D1.520 - Rozvody chladu'!J35</f>
        <v>1188873</v>
      </c>
      <c r="AW102" s="39">
        <f>'D1.520 - Rozvody chladu'!J36</f>
        <v>0</v>
      </c>
      <c r="AX102" s="39">
        <f>'D1.520 - Rozvody chladu'!J37</f>
        <v>0</v>
      </c>
      <c r="AY102" s="39">
        <f>'D1.520 - Rozvody chladu'!J38</f>
        <v>0</v>
      </c>
      <c r="AZ102" s="39">
        <f>'D1.520 - Rozvody chladu'!F35</f>
        <v>5661300</v>
      </c>
      <c r="BA102" s="39">
        <f>'D1.520 - Rozvody chladu'!F36</f>
        <v>0</v>
      </c>
      <c r="BB102" s="39">
        <f>'D1.520 - Rozvody chladu'!F37</f>
        <v>0</v>
      </c>
      <c r="BC102" s="39">
        <f>'D1.520 - Rozvody chladu'!F38</f>
        <v>0</v>
      </c>
      <c r="BD102" s="212">
        <f>'D1.520 - Rozvody chladu'!F39</f>
        <v>0</v>
      </c>
      <c r="BT102" s="32" t="s">
        <v>87</v>
      </c>
      <c r="BV102" s="32" t="s">
        <v>79</v>
      </c>
      <c r="BW102" s="32" t="s">
        <v>110</v>
      </c>
      <c r="BX102" s="32" t="s">
        <v>91</v>
      </c>
      <c r="CL102" s="32" t="s">
        <v>1</v>
      </c>
    </row>
    <row r="103" spans="1:91" s="168" customFormat="1" ht="16.5" customHeight="1">
      <c r="A103" s="189" t="s">
        <v>81</v>
      </c>
      <c r="B103" s="184"/>
      <c r="C103" s="30"/>
      <c r="D103" s="30"/>
      <c r="E103" s="349" t="s">
        <v>111</v>
      </c>
      <c r="F103" s="349"/>
      <c r="G103" s="349"/>
      <c r="H103" s="349"/>
      <c r="I103" s="349"/>
      <c r="J103" s="30"/>
      <c r="K103" s="349" t="s">
        <v>112</v>
      </c>
      <c r="L103" s="349"/>
      <c r="M103" s="349"/>
      <c r="N103" s="349"/>
      <c r="O103" s="349"/>
      <c r="P103" s="349"/>
      <c r="Q103" s="349"/>
      <c r="R103" s="349"/>
      <c r="S103" s="349"/>
      <c r="T103" s="349"/>
      <c r="U103" s="349"/>
      <c r="V103" s="349"/>
      <c r="W103" s="349"/>
      <c r="X103" s="349"/>
      <c r="Y103" s="349"/>
      <c r="Z103" s="349"/>
      <c r="AA103" s="349"/>
      <c r="AB103" s="349"/>
      <c r="AC103" s="349"/>
      <c r="AD103" s="349"/>
      <c r="AE103" s="349"/>
      <c r="AF103" s="349"/>
      <c r="AG103" s="350">
        <f>'D1.530 - ÚT - Rozvody tepla'!J32</f>
        <v>3569260</v>
      </c>
      <c r="AH103" s="351"/>
      <c r="AI103" s="351"/>
      <c r="AJ103" s="351"/>
      <c r="AK103" s="351"/>
      <c r="AL103" s="351"/>
      <c r="AM103" s="351"/>
      <c r="AN103" s="350">
        <f t="shared" si="0"/>
        <v>4318804.5999999996</v>
      </c>
      <c r="AO103" s="351"/>
      <c r="AP103" s="351"/>
      <c r="AQ103" s="203" t="s">
        <v>94</v>
      </c>
      <c r="AR103" s="184"/>
      <c r="AS103" s="204">
        <v>0</v>
      </c>
      <c r="AT103" s="39">
        <f t="shared" si="1"/>
        <v>749544.6</v>
      </c>
      <c r="AU103" s="205">
        <f>'D1.530 - ÚT - Rozvody tepla'!P150</f>
        <v>0</v>
      </c>
      <c r="AV103" s="39">
        <f>'D1.530 - ÚT - Rozvody tepla'!J35</f>
        <v>749544.6</v>
      </c>
      <c r="AW103" s="39">
        <f>'D1.530 - ÚT - Rozvody tepla'!J36</f>
        <v>0</v>
      </c>
      <c r="AX103" s="39">
        <f>'D1.530 - ÚT - Rozvody tepla'!J37</f>
        <v>0</v>
      </c>
      <c r="AY103" s="39">
        <f>'D1.530 - ÚT - Rozvody tepla'!J38</f>
        <v>0</v>
      </c>
      <c r="AZ103" s="39">
        <f>'D1.530 - ÚT - Rozvody tepla'!F35</f>
        <v>3569260</v>
      </c>
      <c r="BA103" s="39">
        <f>'D1.530 - ÚT - Rozvody tepla'!F36</f>
        <v>0</v>
      </c>
      <c r="BB103" s="39">
        <f>'D1.530 - ÚT - Rozvody tepla'!F37</f>
        <v>0</v>
      </c>
      <c r="BC103" s="39">
        <f>'D1.530 - ÚT - Rozvody tepla'!F38</f>
        <v>0</v>
      </c>
      <c r="BD103" s="212">
        <f>'D1.530 - ÚT - Rozvody tepla'!F39</f>
        <v>0</v>
      </c>
      <c r="BT103" s="32" t="s">
        <v>87</v>
      </c>
      <c r="BV103" s="32" t="s">
        <v>79</v>
      </c>
      <c r="BW103" s="32" t="s">
        <v>113</v>
      </c>
      <c r="BX103" s="32" t="s">
        <v>91</v>
      </c>
      <c r="CL103" s="32" t="s">
        <v>1</v>
      </c>
    </row>
    <row r="104" spans="1:91" s="168" customFormat="1" ht="16.5" customHeight="1">
      <c r="A104" s="189" t="s">
        <v>81</v>
      </c>
      <c r="B104" s="184"/>
      <c r="C104" s="30"/>
      <c r="D104" s="30"/>
      <c r="E104" s="349" t="s">
        <v>114</v>
      </c>
      <c r="F104" s="349"/>
      <c r="G104" s="349"/>
      <c r="H104" s="349"/>
      <c r="I104" s="349"/>
      <c r="J104" s="30"/>
      <c r="K104" s="349" t="s">
        <v>115</v>
      </c>
      <c r="L104" s="349"/>
      <c r="M104" s="349"/>
      <c r="N104" s="349"/>
      <c r="O104" s="349"/>
      <c r="P104" s="349"/>
      <c r="Q104" s="349"/>
      <c r="R104" s="349"/>
      <c r="S104" s="349"/>
      <c r="T104" s="349"/>
      <c r="U104" s="349"/>
      <c r="V104" s="349"/>
      <c r="W104" s="349"/>
      <c r="X104" s="349"/>
      <c r="Y104" s="349"/>
      <c r="Z104" s="349"/>
      <c r="AA104" s="349"/>
      <c r="AB104" s="349"/>
      <c r="AC104" s="349"/>
      <c r="AD104" s="349"/>
      <c r="AE104" s="349"/>
      <c r="AF104" s="349"/>
      <c r="AG104" s="350">
        <f>'D1.610 - Uzemnění a hromo...'!J32</f>
        <v>472890</v>
      </c>
      <c r="AH104" s="351"/>
      <c r="AI104" s="351"/>
      <c r="AJ104" s="351"/>
      <c r="AK104" s="351"/>
      <c r="AL104" s="351"/>
      <c r="AM104" s="351"/>
      <c r="AN104" s="350">
        <f t="shared" si="0"/>
        <v>543823.5</v>
      </c>
      <c r="AO104" s="351"/>
      <c r="AP104" s="351"/>
      <c r="AQ104" s="203" t="s">
        <v>94</v>
      </c>
      <c r="AR104" s="184"/>
      <c r="AS104" s="204">
        <v>0</v>
      </c>
      <c r="AT104" s="39">
        <f t="shared" si="1"/>
        <v>70933.5</v>
      </c>
      <c r="AU104" s="205">
        <f>'D1.610 - Uzemnění a hromo...'!P122</f>
        <v>0</v>
      </c>
      <c r="AV104" s="39">
        <f>'D1.610 - Uzemnění a hromo...'!J35</f>
        <v>0</v>
      </c>
      <c r="AW104" s="39">
        <f>'D1.610 - Uzemnění a hromo...'!J36</f>
        <v>70933.5</v>
      </c>
      <c r="AX104" s="39">
        <f>'D1.610 - Uzemnění a hromo...'!J37</f>
        <v>0</v>
      </c>
      <c r="AY104" s="39">
        <f>'D1.610 - Uzemnění a hromo...'!J38</f>
        <v>0</v>
      </c>
      <c r="AZ104" s="39">
        <f>'D1.610 - Uzemnění a hromo...'!F35</f>
        <v>0</v>
      </c>
      <c r="BA104" s="39">
        <f>'D1.610 - Uzemnění a hromo...'!F36</f>
        <v>472890</v>
      </c>
      <c r="BB104" s="39">
        <f>'D1.610 - Uzemnění a hromo...'!F37</f>
        <v>0</v>
      </c>
      <c r="BC104" s="39">
        <f>'D1.610 - Uzemnění a hromo...'!F38</f>
        <v>0</v>
      </c>
      <c r="BD104" s="212">
        <f>'D1.610 - Uzemnění a hromo...'!F39</f>
        <v>0</v>
      </c>
      <c r="BT104" s="32" t="s">
        <v>87</v>
      </c>
      <c r="BV104" s="32" t="s">
        <v>79</v>
      </c>
      <c r="BW104" s="32" t="s">
        <v>116</v>
      </c>
      <c r="BX104" s="32" t="s">
        <v>91</v>
      </c>
      <c r="CL104" s="32" t="s">
        <v>1</v>
      </c>
    </row>
    <row r="105" spans="1:91" s="168" customFormat="1" ht="16.5" customHeight="1">
      <c r="A105" s="189" t="s">
        <v>81</v>
      </c>
      <c r="B105" s="184"/>
      <c r="C105" s="30"/>
      <c r="D105" s="30"/>
      <c r="E105" s="349" t="s">
        <v>117</v>
      </c>
      <c r="F105" s="349"/>
      <c r="G105" s="349"/>
      <c r="H105" s="349"/>
      <c r="I105" s="349"/>
      <c r="J105" s="30"/>
      <c r="K105" s="349" t="s">
        <v>118</v>
      </c>
      <c r="L105" s="349"/>
      <c r="M105" s="349"/>
      <c r="N105" s="349"/>
      <c r="O105" s="349"/>
      <c r="P105" s="349"/>
      <c r="Q105" s="349"/>
      <c r="R105" s="349"/>
      <c r="S105" s="349"/>
      <c r="T105" s="349"/>
      <c r="U105" s="349"/>
      <c r="V105" s="349"/>
      <c r="W105" s="349"/>
      <c r="X105" s="349"/>
      <c r="Y105" s="349"/>
      <c r="Z105" s="349"/>
      <c r="AA105" s="349"/>
      <c r="AB105" s="349"/>
      <c r="AC105" s="349"/>
      <c r="AD105" s="349"/>
      <c r="AE105" s="349"/>
      <c r="AF105" s="349"/>
      <c r="AG105" s="350">
        <f>'D1.620 - Silnoproudá elek...'!J32</f>
        <v>12086552</v>
      </c>
      <c r="AH105" s="351"/>
      <c r="AI105" s="351"/>
      <c r="AJ105" s="351"/>
      <c r="AK105" s="351"/>
      <c r="AL105" s="351"/>
      <c r="AM105" s="351"/>
      <c r="AN105" s="350">
        <f t="shared" si="0"/>
        <v>13899534.800000001</v>
      </c>
      <c r="AO105" s="351"/>
      <c r="AP105" s="351"/>
      <c r="AQ105" s="203" t="s">
        <v>94</v>
      </c>
      <c r="AR105" s="184"/>
      <c r="AS105" s="204">
        <v>0</v>
      </c>
      <c r="AT105" s="39">
        <f t="shared" si="1"/>
        <v>1812982.8</v>
      </c>
      <c r="AU105" s="205">
        <f>'D1.620 - Silnoproudá elek...'!P127</f>
        <v>0</v>
      </c>
      <c r="AV105" s="39">
        <f>'D1.620 - Silnoproudá elek...'!J35</f>
        <v>0</v>
      </c>
      <c r="AW105" s="39">
        <f>'D1.620 - Silnoproudá elek...'!J36</f>
        <v>1812982.8</v>
      </c>
      <c r="AX105" s="39">
        <f>'D1.620 - Silnoproudá elek...'!J37</f>
        <v>0</v>
      </c>
      <c r="AY105" s="39">
        <f>'D1.620 - Silnoproudá elek...'!J38</f>
        <v>0</v>
      </c>
      <c r="AZ105" s="39">
        <f>'D1.620 - Silnoproudá elek...'!F35</f>
        <v>0</v>
      </c>
      <c r="BA105" s="39">
        <f>'D1.620 - Silnoproudá elek...'!F36</f>
        <v>12086552</v>
      </c>
      <c r="BB105" s="39">
        <f>'D1.620 - Silnoproudá elek...'!F37</f>
        <v>0</v>
      </c>
      <c r="BC105" s="39">
        <f>'D1.620 - Silnoproudá elek...'!F38</f>
        <v>0</v>
      </c>
      <c r="BD105" s="212">
        <f>'D1.620 - Silnoproudá elek...'!F39</f>
        <v>0</v>
      </c>
      <c r="BT105" s="32" t="s">
        <v>87</v>
      </c>
      <c r="BV105" s="32" t="s">
        <v>79</v>
      </c>
      <c r="BW105" s="32" t="s">
        <v>119</v>
      </c>
      <c r="BX105" s="32" t="s">
        <v>91</v>
      </c>
      <c r="CL105" s="32" t="s">
        <v>1</v>
      </c>
    </row>
    <row r="106" spans="1:91" s="168" customFormat="1" ht="16.5" customHeight="1">
      <c r="A106" s="189" t="s">
        <v>81</v>
      </c>
      <c r="B106" s="184"/>
      <c r="C106" s="30"/>
      <c r="D106" s="30"/>
      <c r="E106" s="349" t="s">
        <v>120</v>
      </c>
      <c r="F106" s="349"/>
      <c r="G106" s="349"/>
      <c r="H106" s="349"/>
      <c r="I106" s="349"/>
      <c r="J106" s="30"/>
      <c r="K106" s="349" t="s">
        <v>121</v>
      </c>
      <c r="L106" s="349"/>
      <c r="M106" s="349"/>
      <c r="N106" s="349"/>
      <c r="O106" s="349"/>
      <c r="P106" s="349"/>
      <c r="Q106" s="349"/>
      <c r="R106" s="349"/>
      <c r="S106" s="349"/>
      <c r="T106" s="349"/>
      <c r="U106" s="349"/>
      <c r="V106" s="349"/>
      <c r="W106" s="349"/>
      <c r="X106" s="349"/>
      <c r="Y106" s="349"/>
      <c r="Z106" s="349"/>
      <c r="AA106" s="349"/>
      <c r="AB106" s="349"/>
      <c r="AC106" s="349"/>
      <c r="AD106" s="349"/>
      <c r="AE106" s="349"/>
      <c r="AF106" s="349"/>
      <c r="AG106" s="350">
        <f>'D1.700 - Slaboproudé elek...'!J32</f>
        <v>3885503</v>
      </c>
      <c r="AH106" s="351"/>
      <c r="AI106" s="351"/>
      <c r="AJ106" s="351"/>
      <c r="AK106" s="351"/>
      <c r="AL106" s="351"/>
      <c r="AM106" s="351"/>
      <c r="AN106" s="350">
        <f t="shared" si="0"/>
        <v>4701458.63</v>
      </c>
      <c r="AO106" s="351"/>
      <c r="AP106" s="351"/>
      <c r="AQ106" s="203" t="s">
        <v>94</v>
      </c>
      <c r="AR106" s="184"/>
      <c r="AS106" s="204">
        <v>0</v>
      </c>
      <c r="AT106" s="39">
        <f t="shared" si="1"/>
        <v>815955.63</v>
      </c>
      <c r="AU106" s="205">
        <f>'D1.700 - Slaboproudé elek...'!P147</f>
        <v>0</v>
      </c>
      <c r="AV106" s="39">
        <f>'D1.700 - Slaboproudé elek...'!J35</f>
        <v>815955.63</v>
      </c>
      <c r="AW106" s="39">
        <f>'D1.700 - Slaboproudé elek...'!J36</f>
        <v>0</v>
      </c>
      <c r="AX106" s="39">
        <f>'D1.700 - Slaboproudé elek...'!J37</f>
        <v>0</v>
      </c>
      <c r="AY106" s="39">
        <f>'D1.700 - Slaboproudé elek...'!J38</f>
        <v>0</v>
      </c>
      <c r="AZ106" s="39">
        <f>'D1.700 - Slaboproudé elek...'!F35</f>
        <v>3885503</v>
      </c>
      <c r="BA106" s="39">
        <f>'D1.700 - Slaboproudé elek...'!F36</f>
        <v>0</v>
      </c>
      <c r="BB106" s="39">
        <f>'D1.700 - Slaboproudé elek...'!F37</f>
        <v>0</v>
      </c>
      <c r="BC106" s="39">
        <f>'D1.700 - Slaboproudé elek...'!F38</f>
        <v>0</v>
      </c>
      <c r="BD106" s="212">
        <f>'D1.700 - Slaboproudé elek...'!F39</f>
        <v>0</v>
      </c>
      <c r="BT106" s="32" t="s">
        <v>87</v>
      </c>
      <c r="BV106" s="32" t="s">
        <v>79</v>
      </c>
      <c r="BW106" s="32" t="s">
        <v>122</v>
      </c>
      <c r="BX106" s="32" t="s">
        <v>91</v>
      </c>
      <c r="CL106" s="32" t="s">
        <v>1</v>
      </c>
    </row>
    <row r="107" spans="1:91" s="168" customFormat="1" ht="16.5" customHeight="1">
      <c r="A107" s="189" t="s">
        <v>81</v>
      </c>
      <c r="B107" s="184"/>
      <c r="C107" s="30"/>
      <c r="D107" s="30"/>
      <c r="E107" s="349" t="s">
        <v>123</v>
      </c>
      <c r="F107" s="349"/>
      <c r="G107" s="349"/>
      <c r="H107" s="349"/>
      <c r="I107" s="349"/>
      <c r="J107" s="30"/>
      <c r="K107" s="349" t="s">
        <v>124</v>
      </c>
      <c r="L107" s="349"/>
      <c r="M107" s="349"/>
      <c r="N107" s="349"/>
      <c r="O107" s="349"/>
      <c r="P107" s="349"/>
      <c r="Q107" s="349"/>
      <c r="R107" s="349"/>
      <c r="S107" s="349"/>
      <c r="T107" s="349"/>
      <c r="U107" s="349"/>
      <c r="V107" s="349"/>
      <c r="W107" s="349"/>
      <c r="X107" s="349"/>
      <c r="Y107" s="349"/>
      <c r="Z107" s="349"/>
      <c r="AA107" s="349"/>
      <c r="AB107" s="349"/>
      <c r="AC107" s="349"/>
      <c r="AD107" s="349"/>
      <c r="AE107" s="349"/>
      <c r="AF107" s="349"/>
      <c r="AG107" s="350">
        <f>'D1.901 - Osobní výtahy'!J32</f>
        <v>4200000</v>
      </c>
      <c r="AH107" s="351"/>
      <c r="AI107" s="351"/>
      <c r="AJ107" s="351"/>
      <c r="AK107" s="351"/>
      <c r="AL107" s="351"/>
      <c r="AM107" s="351"/>
      <c r="AN107" s="350">
        <f t="shared" si="0"/>
        <v>5082000</v>
      </c>
      <c r="AO107" s="351"/>
      <c r="AP107" s="351"/>
      <c r="AQ107" s="203" t="s">
        <v>94</v>
      </c>
      <c r="AR107" s="184"/>
      <c r="AS107" s="204">
        <v>0</v>
      </c>
      <c r="AT107" s="39">
        <f t="shared" si="1"/>
        <v>882000</v>
      </c>
      <c r="AU107" s="205">
        <f>'D1.901 - Osobní výtahy'!P122</f>
        <v>0</v>
      </c>
      <c r="AV107" s="39">
        <f>'D1.901 - Osobní výtahy'!J35</f>
        <v>882000</v>
      </c>
      <c r="AW107" s="39">
        <f>'D1.901 - Osobní výtahy'!J36</f>
        <v>0</v>
      </c>
      <c r="AX107" s="39">
        <f>'D1.901 - Osobní výtahy'!J37</f>
        <v>0</v>
      </c>
      <c r="AY107" s="39">
        <f>'D1.901 - Osobní výtahy'!J38</f>
        <v>0</v>
      </c>
      <c r="AZ107" s="39">
        <f>'D1.901 - Osobní výtahy'!F35</f>
        <v>4200000</v>
      </c>
      <c r="BA107" s="39">
        <f>'D1.901 - Osobní výtahy'!F36</f>
        <v>0</v>
      </c>
      <c r="BB107" s="39">
        <f>'D1.901 - Osobní výtahy'!F37</f>
        <v>0</v>
      </c>
      <c r="BC107" s="39">
        <f>'D1.901 - Osobní výtahy'!F38</f>
        <v>0</v>
      </c>
      <c r="BD107" s="212">
        <f>'D1.901 - Osobní výtahy'!F39</f>
        <v>0</v>
      </c>
      <c r="BT107" s="32" t="s">
        <v>87</v>
      </c>
      <c r="BV107" s="32" t="s">
        <v>79</v>
      </c>
      <c r="BW107" s="32" t="s">
        <v>125</v>
      </c>
      <c r="BX107" s="32" t="s">
        <v>91</v>
      </c>
      <c r="CL107" s="32" t="s">
        <v>1</v>
      </c>
    </row>
    <row r="108" spans="1:91" s="168" customFormat="1" ht="16.5" customHeight="1">
      <c r="A108" s="189" t="s">
        <v>81</v>
      </c>
      <c r="B108" s="184"/>
      <c r="C108" s="30"/>
      <c r="D108" s="30"/>
      <c r="E108" s="349" t="s">
        <v>126</v>
      </c>
      <c r="F108" s="349"/>
      <c r="G108" s="349"/>
      <c r="H108" s="349"/>
      <c r="I108" s="349"/>
      <c r="J108" s="30"/>
      <c r="K108" s="349" t="s">
        <v>127</v>
      </c>
      <c r="L108" s="349"/>
      <c r="M108" s="349"/>
      <c r="N108" s="349"/>
      <c r="O108" s="349"/>
      <c r="P108" s="349"/>
      <c r="Q108" s="349"/>
      <c r="R108" s="349"/>
      <c r="S108" s="349"/>
      <c r="T108" s="349"/>
      <c r="U108" s="349"/>
      <c r="V108" s="349"/>
      <c r="W108" s="349"/>
      <c r="X108" s="349"/>
      <c r="Y108" s="349"/>
      <c r="Z108" s="349"/>
      <c r="AA108" s="349"/>
      <c r="AB108" s="349"/>
      <c r="AC108" s="349"/>
      <c r="AD108" s="349"/>
      <c r="AE108" s="349"/>
      <c r="AF108" s="349"/>
      <c r="AG108" s="350">
        <f>'D1.902 - Vnitřní dopravní...'!J32</f>
        <v>187492.73</v>
      </c>
      <c r="AH108" s="351"/>
      <c r="AI108" s="351"/>
      <c r="AJ108" s="351"/>
      <c r="AK108" s="351"/>
      <c r="AL108" s="351"/>
      <c r="AM108" s="351"/>
      <c r="AN108" s="350">
        <f t="shared" si="0"/>
        <v>226866.2</v>
      </c>
      <c r="AO108" s="351"/>
      <c r="AP108" s="351"/>
      <c r="AQ108" s="203" t="s">
        <v>94</v>
      </c>
      <c r="AR108" s="184"/>
      <c r="AS108" s="204">
        <v>0</v>
      </c>
      <c r="AT108" s="39">
        <f t="shared" si="1"/>
        <v>39373.47</v>
      </c>
      <c r="AU108" s="205">
        <f>'D1.902 - Vnitřní dopravní...'!P123</f>
        <v>0</v>
      </c>
      <c r="AV108" s="39">
        <f>'D1.902 - Vnitřní dopravní...'!J35</f>
        <v>39373.47</v>
      </c>
      <c r="AW108" s="39">
        <f>'D1.902 - Vnitřní dopravní...'!J36</f>
        <v>0</v>
      </c>
      <c r="AX108" s="39">
        <f>'D1.902 - Vnitřní dopravní...'!J37</f>
        <v>0</v>
      </c>
      <c r="AY108" s="39">
        <f>'D1.902 - Vnitřní dopravní...'!J38</f>
        <v>0</v>
      </c>
      <c r="AZ108" s="39">
        <f>'D1.902 - Vnitřní dopravní...'!F35</f>
        <v>187492.73</v>
      </c>
      <c r="BA108" s="39">
        <f>'D1.902 - Vnitřní dopravní...'!F36</f>
        <v>0</v>
      </c>
      <c r="BB108" s="39">
        <f>'D1.902 - Vnitřní dopravní...'!F37</f>
        <v>0</v>
      </c>
      <c r="BC108" s="39">
        <f>'D1.902 - Vnitřní dopravní...'!F38</f>
        <v>0</v>
      </c>
      <c r="BD108" s="212">
        <f>'D1.902 - Vnitřní dopravní...'!F39</f>
        <v>0</v>
      </c>
      <c r="BT108" s="32" t="s">
        <v>87</v>
      </c>
      <c r="BV108" s="32" t="s">
        <v>79</v>
      </c>
      <c r="BW108" s="32" t="s">
        <v>128</v>
      </c>
      <c r="BX108" s="32" t="s">
        <v>91</v>
      </c>
      <c r="CL108" s="32" t="s">
        <v>1</v>
      </c>
    </row>
    <row r="109" spans="1:91" s="171" customFormat="1" ht="16.5" customHeight="1">
      <c r="B109" s="190"/>
      <c r="C109" s="191"/>
      <c r="D109" s="360" t="s">
        <v>129</v>
      </c>
      <c r="E109" s="360"/>
      <c r="F109" s="360"/>
      <c r="G109" s="360"/>
      <c r="H109" s="360"/>
      <c r="I109" s="193"/>
      <c r="J109" s="360" t="s">
        <v>130</v>
      </c>
      <c r="K109" s="360"/>
      <c r="L109" s="360"/>
      <c r="M109" s="360"/>
      <c r="N109" s="360"/>
      <c r="O109" s="360"/>
      <c r="P109" s="360"/>
      <c r="Q109" s="360"/>
      <c r="R109" s="360"/>
      <c r="S109" s="360"/>
      <c r="T109" s="360"/>
      <c r="U109" s="360"/>
      <c r="V109" s="360"/>
      <c r="W109" s="360"/>
      <c r="X109" s="360"/>
      <c r="Y109" s="360"/>
      <c r="Z109" s="360"/>
      <c r="AA109" s="360"/>
      <c r="AB109" s="360"/>
      <c r="AC109" s="360"/>
      <c r="AD109" s="360"/>
      <c r="AE109" s="360"/>
      <c r="AF109" s="360"/>
      <c r="AG109" s="361">
        <f>ROUND(AG110+SUM(AG118:AG125),2)</f>
        <v>9159621.5600000005</v>
      </c>
      <c r="AH109" s="362"/>
      <c r="AI109" s="362"/>
      <c r="AJ109" s="362"/>
      <c r="AK109" s="362"/>
      <c r="AL109" s="362"/>
      <c r="AM109" s="362"/>
      <c r="AN109" s="363">
        <f t="shared" si="0"/>
        <v>11029834.66</v>
      </c>
      <c r="AO109" s="362"/>
      <c r="AP109" s="362"/>
      <c r="AQ109" s="199" t="s">
        <v>90</v>
      </c>
      <c r="AR109" s="190"/>
      <c r="AS109" s="200">
        <f>ROUND(AS110+SUM(AS118:AS125),2)</f>
        <v>0</v>
      </c>
      <c r="AT109" s="201">
        <f t="shared" si="1"/>
        <v>1870213.1</v>
      </c>
      <c r="AU109" s="202">
        <f>ROUND(AU110+SUM(AU118:AU125),5)</f>
        <v>0</v>
      </c>
      <c r="AV109" s="201">
        <f>ROUND(AZ109*L29,2)</f>
        <v>1736944.53</v>
      </c>
      <c r="AW109" s="201">
        <f>ROUND(BA109*L30,2)</f>
        <v>133268.57</v>
      </c>
      <c r="AX109" s="201">
        <f>ROUND(BB109*L29,2)</f>
        <v>0</v>
      </c>
      <c r="AY109" s="201">
        <f>ROUND(BC109*L30,2)</f>
        <v>0</v>
      </c>
      <c r="AZ109" s="201">
        <f>ROUND(AZ110+SUM(AZ118:AZ125),2)</f>
        <v>8271164.4199999999</v>
      </c>
      <c r="BA109" s="201">
        <f>ROUND(BA110+SUM(BA118:BA125),2)</f>
        <v>888457.14</v>
      </c>
      <c r="BB109" s="201">
        <f>ROUND(BB110+SUM(BB118:BB125),2)</f>
        <v>0</v>
      </c>
      <c r="BC109" s="201">
        <f>ROUND(BC110+SUM(BC118:BC125),2)</f>
        <v>0</v>
      </c>
      <c r="BD109" s="211">
        <f>ROUND(BD110+SUM(BD118:BD125),2)</f>
        <v>0</v>
      </c>
      <c r="BS109" s="215" t="s">
        <v>76</v>
      </c>
      <c r="BT109" s="215" t="s">
        <v>85</v>
      </c>
      <c r="BU109" s="215" t="s">
        <v>78</v>
      </c>
      <c r="BV109" s="215" t="s">
        <v>79</v>
      </c>
      <c r="BW109" s="215" t="s">
        <v>131</v>
      </c>
      <c r="BX109" s="215" t="s">
        <v>5</v>
      </c>
      <c r="CL109" s="215" t="s">
        <v>1</v>
      </c>
      <c r="CM109" s="215" t="s">
        <v>87</v>
      </c>
    </row>
    <row r="110" spans="1:91" s="168" customFormat="1" ht="16.5" customHeight="1">
      <c r="B110" s="184"/>
      <c r="C110" s="30"/>
      <c r="D110" s="30"/>
      <c r="E110" s="349" t="s">
        <v>132</v>
      </c>
      <c r="F110" s="349"/>
      <c r="G110" s="349"/>
      <c r="H110" s="349"/>
      <c r="I110" s="349"/>
      <c r="J110" s="30"/>
      <c r="K110" s="349" t="s">
        <v>133</v>
      </c>
      <c r="L110" s="349"/>
      <c r="M110" s="349"/>
      <c r="N110" s="349"/>
      <c r="O110" s="349"/>
      <c r="P110" s="349"/>
      <c r="Q110" s="349"/>
      <c r="R110" s="349"/>
      <c r="S110" s="349"/>
      <c r="T110" s="349"/>
      <c r="U110" s="349"/>
      <c r="V110" s="349"/>
      <c r="W110" s="349"/>
      <c r="X110" s="349"/>
      <c r="Y110" s="349"/>
      <c r="Z110" s="349"/>
      <c r="AA110" s="349"/>
      <c r="AB110" s="349"/>
      <c r="AC110" s="349"/>
      <c r="AD110" s="349"/>
      <c r="AE110" s="349"/>
      <c r="AF110" s="349"/>
      <c r="AG110" s="359">
        <f>ROUND(SUM(AG111:AG117),2)</f>
        <v>1026974.14</v>
      </c>
      <c r="AH110" s="351"/>
      <c r="AI110" s="351"/>
      <c r="AJ110" s="351"/>
      <c r="AK110" s="351"/>
      <c r="AL110" s="351"/>
      <c r="AM110" s="351"/>
      <c r="AN110" s="350">
        <f t="shared" si="0"/>
        <v>1221173.28</v>
      </c>
      <c r="AO110" s="351"/>
      <c r="AP110" s="351"/>
      <c r="AQ110" s="203" t="s">
        <v>94</v>
      </c>
      <c r="AR110" s="184"/>
      <c r="AS110" s="204">
        <f>ROUND(SUM(AS111:AS117),2)</f>
        <v>0</v>
      </c>
      <c r="AT110" s="39">
        <f t="shared" si="1"/>
        <v>194199.14</v>
      </c>
      <c r="AU110" s="205">
        <f>ROUND(SUM(AU111:AU117),5)</f>
        <v>0</v>
      </c>
      <c r="AV110" s="39">
        <f>ROUND(AZ110*L29,2)</f>
        <v>140535.57</v>
      </c>
      <c r="AW110" s="39">
        <f>ROUND(BA110*L30,2)</f>
        <v>53663.57</v>
      </c>
      <c r="AX110" s="39">
        <f>ROUND(BB110*L29,2)</f>
        <v>0</v>
      </c>
      <c r="AY110" s="39">
        <f>ROUND(BC110*L30,2)</f>
        <v>0</v>
      </c>
      <c r="AZ110" s="39">
        <f>ROUND(SUM(AZ111:AZ117),2)</f>
        <v>669217</v>
      </c>
      <c r="BA110" s="39">
        <f>ROUND(SUM(BA111:BA117),2)</f>
        <v>357757.14</v>
      </c>
      <c r="BB110" s="39">
        <f>ROUND(SUM(BB111:BB117),2)</f>
        <v>0</v>
      </c>
      <c r="BC110" s="39">
        <f>ROUND(SUM(BC111:BC117),2)</f>
        <v>0</v>
      </c>
      <c r="BD110" s="212">
        <f>ROUND(SUM(BD111:BD117),2)</f>
        <v>0</v>
      </c>
      <c r="BS110" s="32" t="s">
        <v>76</v>
      </c>
      <c r="BT110" s="32" t="s">
        <v>87</v>
      </c>
      <c r="BU110" s="32" t="s">
        <v>78</v>
      </c>
      <c r="BV110" s="32" t="s">
        <v>79</v>
      </c>
      <c r="BW110" s="32" t="s">
        <v>134</v>
      </c>
      <c r="BX110" s="32" t="s">
        <v>131</v>
      </c>
      <c r="CL110" s="32" t="s">
        <v>1</v>
      </c>
    </row>
    <row r="111" spans="1:91" s="168" customFormat="1" ht="16.5" customHeight="1">
      <c r="A111" s="189" t="s">
        <v>81</v>
      </c>
      <c r="B111" s="184"/>
      <c r="C111" s="30"/>
      <c r="D111" s="30"/>
      <c r="E111" s="30"/>
      <c r="F111" s="349" t="s">
        <v>135</v>
      </c>
      <c r="G111" s="349"/>
      <c r="H111" s="349"/>
      <c r="I111" s="349"/>
      <c r="J111" s="349"/>
      <c r="K111" s="30"/>
      <c r="L111" s="349" t="s">
        <v>136</v>
      </c>
      <c r="M111" s="349"/>
      <c r="N111" s="349"/>
      <c r="O111" s="349"/>
      <c r="P111" s="349"/>
      <c r="Q111" s="349"/>
      <c r="R111" s="349"/>
      <c r="S111" s="349"/>
      <c r="T111" s="349"/>
      <c r="U111" s="349"/>
      <c r="V111" s="349"/>
      <c r="W111" s="349"/>
      <c r="X111" s="349"/>
      <c r="Y111" s="349"/>
      <c r="Z111" s="349"/>
      <c r="AA111" s="349"/>
      <c r="AB111" s="349"/>
      <c r="AC111" s="349"/>
      <c r="AD111" s="349"/>
      <c r="AE111" s="349"/>
      <c r="AF111" s="349"/>
      <c r="AG111" s="350">
        <f>'IO01 - Přípojka vodovodu'!J34</f>
        <v>78350</v>
      </c>
      <c r="AH111" s="351"/>
      <c r="AI111" s="351"/>
      <c r="AJ111" s="351"/>
      <c r="AK111" s="351"/>
      <c r="AL111" s="351"/>
      <c r="AM111" s="351"/>
      <c r="AN111" s="350">
        <f t="shared" si="0"/>
        <v>94803.5</v>
      </c>
      <c r="AO111" s="351"/>
      <c r="AP111" s="351"/>
      <c r="AQ111" s="203" t="s">
        <v>94</v>
      </c>
      <c r="AR111" s="184"/>
      <c r="AS111" s="204">
        <v>0</v>
      </c>
      <c r="AT111" s="39">
        <f t="shared" si="1"/>
        <v>16453.5</v>
      </c>
      <c r="AU111" s="205">
        <f>'IO01 - Přípojka vodovodu'!P132</f>
        <v>0</v>
      </c>
      <c r="AV111" s="39">
        <f>'IO01 - Přípojka vodovodu'!J37</f>
        <v>16453.5</v>
      </c>
      <c r="AW111" s="39">
        <f>'IO01 - Přípojka vodovodu'!J38</f>
        <v>0</v>
      </c>
      <c r="AX111" s="39">
        <f>'IO01 - Přípojka vodovodu'!J39</f>
        <v>0</v>
      </c>
      <c r="AY111" s="39">
        <f>'IO01 - Přípojka vodovodu'!J40</f>
        <v>0</v>
      </c>
      <c r="AZ111" s="39">
        <f>'IO01 - Přípojka vodovodu'!F37</f>
        <v>78350</v>
      </c>
      <c r="BA111" s="39">
        <f>'IO01 - Přípojka vodovodu'!F38</f>
        <v>0</v>
      </c>
      <c r="BB111" s="39">
        <f>'IO01 - Přípojka vodovodu'!F39</f>
        <v>0</v>
      </c>
      <c r="BC111" s="39">
        <f>'IO01 - Přípojka vodovodu'!F40</f>
        <v>0</v>
      </c>
      <c r="BD111" s="212">
        <f>'IO01 - Přípojka vodovodu'!F41</f>
        <v>0</v>
      </c>
      <c r="BT111" s="32" t="s">
        <v>137</v>
      </c>
      <c r="BV111" s="32" t="s">
        <v>79</v>
      </c>
      <c r="BW111" s="32" t="s">
        <v>138</v>
      </c>
      <c r="BX111" s="32" t="s">
        <v>134</v>
      </c>
      <c r="CL111" s="32" t="s">
        <v>1</v>
      </c>
    </row>
    <row r="112" spans="1:91" s="168" customFormat="1" ht="16.5" customHeight="1">
      <c r="A112" s="189" t="s">
        <v>81</v>
      </c>
      <c r="B112" s="184"/>
      <c r="C112" s="30"/>
      <c r="D112" s="30"/>
      <c r="E112" s="30"/>
      <c r="F112" s="349" t="s">
        <v>139</v>
      </c>
      <c r="G112" s="349"/>
      <c r="H112" s="349"/>
      <c r="I112" s="349"/>
      <c r="J112" s="349"/>
      <c r="K112" s="30"/>
      <c r="L112" s="349" t="s">
        <v>140</v>
      </c>
      <c r="M112" s="349"/>
      <c r="N112" s="349"/>
      <c r="O112" s="349"/>
      <c r="P112" s="349"/>
      <c r="Q112" s="349"/>
      <c r="R112" s="349"/>
      <c r="S112" s="349"/>
      <c r="T112" s="349"/>
      <c r="U112" s="349"/>
      <c r="V112" s="349"/>
      <c r="W112" s="349"/>
      <c r="X112" s="349"/>
      <c r="Y112" s="349"/>
      <c r="Z112" s="349"/>
      <c r="AA112" s="349"/>
      <c r="AB112" s="349"/>
      <c r="AC112" s="349"/>
      <c r="AD112" s="349"/>
      <c r="AE112" s="349"/>
      <c r="AF112" s="349"/>
      <c r="AG112" s="350">
        <f>'IO02 - Přípojka plynovodu'!J34</f>
        <v>40877</v>
      </c>
      <c r="AH112" s="351"/>
      <c r="AI112" s="351"/>
      <c r="AJ112" s="351"/>
      <c r="AK112" s="351"/>
      <c r="AL112" s="351"/>
      <c r="AM112" s="351"/>
      <c r="AN112" s="350">
        <f t="shared" si="0"/>
        <v>49461.17</v>
      </c>
      <c r="AO112" s="351"/>
      <c r="AP112" s="351"/>
      <c r="AQ112" s="203" t="s">
        <v>94</v>
      </c>
      <c r="AR112" s="184"/>
      <c r="AS112" s="204">
        <v>0</v>
      </c>
      <c r="AT112" s="39">
        <f t="shared" si="1"/>
        <v>8584.17</v>
      </c>
      <c r="AU112" s="205">
        <f>'IO02 - Přípojka plynovodu'!P125</f>
        <v>0</v>
      </c>
      <c r="AV112" s="39">
        <f>'IO02 - Přípojka plynovodu'!J37</f>
        <v>8584.17</v>
      </c>
      <c r="AW112" s="39">
        <f>'IO02 - Přípojka plynovodu'!J38</f>
        <v>0</v>
      </c>
      <c r="AX112" s="39">
        <f>'IO02 - Přípojka plynovodu'!J39</f>
        <v>0</v>
      </c>
      <c r="AY112" s="39">
        <f>'IO02 - Přípojka plynovodu'!J40</f>
        <v>0</v>
      </c>
      <c r="AZ112" s="39">
        <f>'IO02 - Přípojka plynovodu'!F37</f>
        <v>40877</v>
      </c>
      <c r="BA112" s="39">
        <f>'IO02 - Přípojka plynovodu'!F38</f>
        <v>0</v>
      </c>
      <c r="BB112" s="39">
        <f>'IO02 - Přípojka plynovodu'!F39</f>
        <v>0</v>
      </c>
      <c r="BC112" s="39">
        <f>'IO02 - Přípojka plynovodu'!F40</f>
        <v>0</v>
      </c>
      <c r="BD112" s="212">
        <f>'IO02 - Přípojka plynovodu'!F41</f>
        <v>0</v>
      </c>
      <c r="BT112" s="32" t="s">
        <v>137</v>
      </c>
      <c r="BV112" s="32" t="s">
        <v>79</v>
      </c>
      <c r="BW112" s="32" t="s">
        <v>141</v>
      </c>
      <c r="BX112" s="32" t="s">
        <v>134</v>
      </c>
      <c r="CL112" s="32" t="s">
        <v>1</v>
      </c>
    </row>
    <row r="113" spans="1:90" s="168" customFormat="1" ht="16.5" customHeight="1">
      <c r="A113" s="189" t="s">
        <v>81</v>
      </c>
      <c r="B113" s="184"/>
      <c r="C113" s="30"/>
      <c r="D113" s="30"/>
      <c r="E113" s="30"/>
      <c r="F113" s="349" t="s">
        <v>142</v>
      </c>
      <c r="G113" s="349"/>
      <c r="H113" s="349"/>
      <c r="I113" s="349"/>
      <c r="J113" s="349"/>
      <c r="K113" s="30"/>
      <c r="L113" s="349" t="s">
        <v>143</v>
      </c>
      <c r="M113" s="349"/>
      <c r="N113" s="349"/>
      <c r="O113" s="349"/>
      <c r="P113" s="349"/>
      <c r="Q113" s="349"/>
      <c r="R113" s="349"/>
      <c r="S113" s="349"/>
      <c r="T113" s="349"/>
      <c r="U113" s="349"/>
      <c r="V113" s="349"/>
      <c r="W113" s="349"/>
      <c r="X113" s="349"/>
      <c r="Y113" s="349"/>
      <c r="Z113" s="349"/>
      <c r="AA113" s="349"/>
      <c r="AB113" s="349"/>
      <c r="AC113" s="349"/>
      <c r="AD113" s="349"/>
      <c r="AE113" s="349"/>
      <c r="AF113" s="349"/>
      <c r="AG113" s="350">
        <f>'IO03 - Přípojka dešťové k...'!J34</f>
        <v>143500</v>
      </c>
      <c r="AH113" s="351"/>
      <c r="AI113" s="351"/>
      <c r="AJ113" s="351"/>
      <c r="AK113" s="351"/>
      <c r="AL113" s="351"/>
      <c r="AM113" s="351"/>
      <c r="AN113" s="350">
        <f t="shared" si="0"/>
        <v>173635</v>
      </c>
      <c r="AO113" s="351"/>
      <c r="AP113" s="351"/>
      <c r="AQ113" s="203" t="s">
        <v>94</v>
      </c>
      <c r="AR113" s="184"/>
      <c r="AS113" s="204">
        <v>0</v>
      </c>
      <c r="AT113" s="39">
        <f t="shared" si="1"/>
        <v>30135</v>
      </c>
      <c r="AU113" s="205">
        <f>'IO03 - Přípojka dešťové k...'!P131</f>
        <v>0</v>
      </c>
      <c r="AV113" s="39">
        <f>'IO03 - Přípojka dešťové k...'!J37</f>
        <v>30135</v>
      </c>
      <c r="AW113" s="39">
        <f>'IO03 - Přípojka dešťové k...'!J38</f>
        <v>0</v>
      </c>
      <c r="AX113" s="39">
        <f>'IO03 - Přípojka dešťové k...'!J39</f>
        <v>0</v>
      </c>
      <c r="AY113" s="39">
        <f>'IO03 - Přípojka dešťové k...'!J40</f>
        <v>0</v>
      </c>
      <c r="AZ113" s="39">
        <f>'IO03 - Přípojka dešťové k...'!F37</f>
        <v>143500</v>
      </c>
      <c r="BA113" s="39">
        <f>'IO03 - Přípojka dešťové k...'!F38</f>
        <v>0</v>
      </c>
      <c r="BB113" s="39">
        <f>'IO03 - Přípojka dešťové k...'!F39</f>
        <v>0</v>
      </c>
      <c r="BC113" s="39">
        <f>'IO03 - Přípojka dešťové k...'!F40</f>
        <v>0</v>
      </c>
      <c r="BD113" s="212">
        <f>'IO03 - Přípojka dešťové k...'!F41</f>
        <v>0</v>
      </c>
      <c r="BT113" s="32" t="s">
        <v>137</v>
      </c>
      <c r="BV113" s="32" t="s">
        <v>79</v>
      </c>
      <c r="BW113" s="32" t="s">
        <v>144</v>
      </c>
      <c r="BX113" s="32" t="s">
        <v>134</v>
      </c>
      <c r="CL113" s="32" t="s">
        <v>1</v>
      </c>
    </row>
    <row r="114" spans="1:90" s="168" customFormat="1" ht="16.5" customHeight="1">
      <c r="A114" s="189" t="s">
        <v>81</v>
      </c>
      <c r="B114" s="184"/>
      <c r="C114" s="30"/>
      <c r="D114" s="30"/>
      <c r="E114" s="30"/>
      <c r="F114" s="349" t="s">
        <v>145</v>
      </c>
      <c r="G114" s="349"/>
      <c r="H114" s="349"/>
      <c r="I114" s="349"/>
      <c r="J114" s="349"/>
      <c r="K114" s="30"/>
      <c r="L114" s="349" t="s">
        <v>146</v>
      </c>
      <c r="M114" s="349"/>
      <c r="N114" s="349"/>
      <c r="O114" s="349"/>
      <c r="P114" s="349"/>
      <c r="Q114" s="349"/>
      <c r="R114" s="349"/>
      <c r="S114" s="349"/>
      <c r="T114" s="349"/>
      <c r="U114" s="349"/>
      <c r="V114" s="349"/>
      <c r="W114" s="349"/>
      <c r="X114" s="349"/>
      <c r="Y114" s="349"/>
      <c r="Z114" s="349"/>
      <c r="AA114" s="349"/>
      <c r="AB114" s="349"/>
      <c r="AC114" s="349"/>
      <c r="AD114" s="349"/>
      <c r="AE114" s="349"/>
      <c r="AF114" s="349"/>
      <c r="AG114" s="350">
        <f>'IO04 - Přípojka splaškové...'!J34</f>
        <v>406490</v>
      </c>
      <c r="AH114" s="351"/>
      <c r="AI114" s="351"/>
      <c r="AJ114" s="351"/>
      <c r="AK114" s="351"/>
      <c r="AL114" s="351"/>
      <c r="AM114" s="351"/>
      <c r="AN114" s="350">
        <f t="shared" si="0"/>
        <v>491852.9</v>
      </c>
      <c r="AO114" s="351"/>
      <c r="AP114" s="351"/>
      <c r="AQ114" s="203" t="s">
        <v>94</v>
      </c>
      <c r="AR114" s="184"/>
      <c r="AS114" s="204">
        <v>0</v>
      </c>
      <c r="AT114" s="39">
        <f t="shared" si="1"/>
        <v>85362.9</v>
      </c>
      <c r="AU114" s="205">
        <f>'IO04 - Přípojka splaškové...'!P131</f>
        <v>0</v>
      </c>
      <c r="AV114" s="39">
        <f>'IO04 - Přípojka splaškové...'!J37</f>
        <v>85362.9</v>
      </c>
      <c r="AW114" s="39">
        <f>'IO04 - Přípojka splaškové...'!J38</f>
        <v>0</v>
      </c>
      <c r="AX114" s="39">
        <f>'IO04 - Přípojka splaškové...'!J39</f>
        <v>0</v>
      </c>
      <c r="AY114" s="39">
        <f>'IO04 - Přípojka splaškové...'!J40</f>
        <v>0</v>
      </c>
      <c r="AZ114" s="39">
        <f>'IO04 - Přípojka splaškové...'!F37</f>
        <v>406490</v>
      </c>
      <c r="BA114" s="39">
        <f>'IO04 - Přípojka splaškové...'!F38</f>
        <v>0</v>
      </c>
      <c r="BB114" s="39">
        <f>'IO04 - Přípojka splaškové...'!F39</f>
        <v>0</v>
      </c>
      <c r="BC114" s="39">
        <f>'IO04 - Přípojka splaškové...'!F40</f>
        <v>0</v>
      </c>
      <c r="BD114" s="212">
        <f>'IO04 - Přípojka splaškové...'!F41</f>
        <v>0</v>
      </c>
      <c r="BT114" s="32" t="s">
        <v>137</v>
      </c>
      <c r="BV114" s="32" t="s">
        <v>79</v>
      </c>
      <c r="BW114" s="32" t="s">
        <v>147</v>
      </c>
      <c r="BX114" s="32" t="s">
        <v>134</v>
      </c>
      <c r="CL114" s="32" t="s">
        <v>1</v>
      </c>
    </row>
    <row r="115" spans="1:90" s="168" customFormat="1" ht="16.5" customHeight="1">
      <c r="A115" s="189" t="s">
        <v>81</v>
      </c>
      <c r="B115" s="184"/>
      <c r="C115" s="30"/>
      <c r="D115" s="30"/>
      <c r="E115" s="30"/>
      <c r="F115" s="349" t="s">
        <v>148</v>
      </c>
      <c r="G115" s="349"/>
      <c r="H115" s="349"/>
      <c r="I115" s="349"/>
      <c r="J115" s="349"/>
      <c r="K115" s="30"/>
      <c r="L115" s="349" t="s">
        <v>149</v>
      </c>
      <c r="M115" s="349"/>
      <c r="N115" s="349"/>
      <c r="O115" s="349"/>
      <c r="P115" s="349"/>
      <c r="Q115" s="349"/>
      <c r="R115" s="349"/>
      <c r="S115" s="349"/>
      <c r="T115" s="349"/>
      <c r="U115" s="349"/>
      <c r="V115" s="349"/>
      <c r="W115" s="349"/>
      <c r="X115" s="349"/>
      <c r="Y115" s="349"/>
      <c r="Z115" s="349"/>
      <c r="AA115" s="349"/>
      <c r="AB115" s="349"/>
      <c r="AC115" s="349"/>
      <c r="AD115" s="349"/>
      <c r="AE115" s="349"/>
      <c r="AF115" s="349"/>
      <c r="AG115" s="350">
        <f>'IO05 - PRE'!J34</f>
        <v>0</v>
      </c>
      <c r="AH115" s="351"/>
      <c r="AI115" s="351"/>
      <c r="AJ115" s="351"/>
      <c r="AK115" s="351"/>
      <c r="AL115" s="351"/>
      <c r="AM115" s="351"/>
      <c r="AN115" s="350">
        <f t="shared" si="0"/>
        <v>0</v>
      </c>
      <c r="AO115" s="351"/>
      <c r="AP115" s="351"/>
      <c r="AQ115" s="203" t="s">
        <v>94</v>
      </c>
      <c r="AR115" s="184"/>
      <c r="AS115" s="204">
        <v>0</v>
      </c>
      <c r="AT115" s="39">
        <f t="shared" si="1"/>
        <v>0</v>
      </c>
      <c r="AU115" s="205">
        <f>'IO05 - PRE'!P125</f>
        <v>0</v>
      </c>
      <c r="AV115" s="39">
        <f>'IO05 - PRE'!J37</f>
        <v>0</v>
      </c>
      <c r="AW115" s="39">
        <f>'IO05 - PRE'!J38</f>
        <v>0</v>
      </c>
      <c r="AX115" s="39">
        <f>'IO05 - PRE'!J39</f>
        <v>0</v>
      </c>
      <c r="AY115" s="39">
        <f>'IO05 - PRE'!J40</f>
        <v>0</v>
      </c>
      <c r="AZ115" s="39">
        <f>'IO05 - PRE'!F37</f>
        <v>0</v>
      </c>
      <c r="BA115" s="39">
        <f>'IO05 - PRE'!F38</f>
        <v>0</v>
      </c>
      <c r="BB115" s="39">
        <f>'IO05 - PRE'!F39</f>
        <v>0</v>
      </c>
      <c r="BC115" s="39">
        <f>'IO05 - PRE'!F40</f>
        <v>0</v>
      </c>
      <c r="BD115" s="212">
        <f>'IO05 - PRE'!F41</f>
        <v>0</v>
      </c>
      <c r="BT115" s="32" t="s">
        <v>137</v>
      </c>
      <c r="BV115" s="32" t="s">
        <v>79</v>
      </c>
      <c r="BW115" s="32" t="s">
        <v>150</v>
      </c>
      <c r="BX115" s="32" t="s">
        <v>134</v>
      </c>
      <c r="CL115" s="32" t="s">
        <v>1</v>
      </c>
    </row>
    <row r="116" spans="1:90" s="168" customFormat="1" ht="16.5" customHeight="1">
      <c r="A116" s="189" t="s">
        <v>81</v>
      </c>
      <c r="B116" s="184"/>
      <c r="C116" s="30"/>
      <c r="D116" s="30"/>
      <c r="E116" s="30"/>
      <c r="F116" s="349" t="s">
        <v>151</v>
      </c>
      <c r="G116" s="349"/>
      <c r="H116" s="349"/>
      <c r="I116" s="349"/>
      <c r="J116" s="349"/>
      <c r="K116" s="30"/>
      <c r="L116" s="349" t="s">
        <v>152</v>
      </c>
      <c r="M116" s="349"/>
      <c r="N116" s="349"/>
      <c r="O116" s="349"/>
      <c r="P116" s="349"/>
      <c r="Q116" s="349"/>
      <c r="R116" s="349"/>
      <c r="S116" s="349"/>
      <c r="T116" s="349"/>
      <c r="U116" s="349"/>
      <c r="V116" s="349"/>
      <c r="W116" s="349"/>
      <c r="X116" s="349"/>
      <c r="Y116" s="349"/>
      <c r="Z116" s="349"/>
      <c r="AA116" s="349"/>
      <c r="AB116" s="349"/>
      <c r="AC116" s="349"/>
      <c r="AD116" s="349"/>
      <c r="AE116" s="349"/>
      <c r="AF116" s="349"/>
      <c r="AG116" s="350">
        <f>'IO06 - CETIN'!J34</f>
        <v>0</v>
      </c>
      <c r="AH116" s="351"/>
      <c r="AI116" s="351"/>
      <c r="AJ116" s="351"/>
      <c r="AK116" s="351"/>
      <c r="AL116" s="351"/>
      <c r="AM116" s="351"/>
      <c r="AN116" s="350">
        <f t="shared" si="0"/>
        <v>0</v>
      </c>
      <c r="AO116" s="351"/>
      <c r="AP116" s="351"/>
      <c r="AQ116" s="203" t="s">
        <v>94</v>
      </c>
      <c r="AR116" s="184"/>
      <c r="AS116" s="204">
        <v>0</v>
      </c>
      <c r="AT116" s="39">
        <f t="shared" si="1"/>
        <v>0</v>
      </c>
      <c r="AU116" s="205">
        <f>'IO06 - CETIN'!P125</f>
        <v>0</v>
      </c>
      <c r="AV116" s="39">
        <f>'IO06 - CETIN'!J37</f>
        <v>0</v>
      </c>
      <c r="AW116" s="39">
        <f>'IO06 - CETIN'!J38</f>
        <v>0</v>
      </c>
      <c r="AX116" s="39">
        <f>'IO06 - CETIN'!J39</f>
        <v>0</v>
      </c>
      <c r="AY116" s="39">
        <f>'IO06 - CETIN'!J40</f>
        <v>0</v>
      </c>
      <c r="AZ116" s="39">
        <f>'IO06 - CETIN'!F37</f>
        <v>0</v>
      </c>
      <c r="BA116" s="39">
        <f>'IO06 - CETIN'!F38</f>
        <v>0</v>
      </c>
      <c r="BB116" s="39">
        <f>'IO06 - CETIN'!F39</f>
        <v>0</v>
      </c>
      <c r="BC116" s="39">
        <f>'IO06 - CETIN'!F40</f>
        <v>0</v>
      </c>
      <c r="BD116" s="212">
        <f>'IO06 - CETIN'!F41</f>
        <v>0</v>
      </c>
      <c r="BT116" s="32" t="s">
        <v>137</v>
      </c>
      <c r="BV116" s="32" t="s">
        <v>79</v>
      </c>
      <c r="BW116" s="32" t="s">
        <v>153</v>
      </c>
      <c r="BX116" s="32" t="s">
        <v>134</v>
      </c>
      <c r="CL116" s="32" t="s">
        <v>1</v>
      </c>
    </row>
    <row r="117" spans="1:90" s="168" customFormat="1" ht="16.5" customHeight="1">
      <c r="A117" s="189" t="s">
        <v>81</v>
      </c>
      <c r="B117" s="184"/>
      <c r="C117" s="30"/>
      <c r="D117" s="30"/>
      <c r="E117" s="30"/>
      <c r="F117" s="349" t="s">
        <v>154</v>
      </c>
      <c r="G117" s="349"/>
      <c r="H117" s="349"/>
      <c r="I117" s="349"/>
      <c r="J117" s="349"/>
      <c r="K117" s="30"/>
      <c r="L117" s="349" t="s">
        <v>155</v>
      </c>
      <c r="M117" s="349"/>
      <c r="N117" s="349"/>
      <c r="O117" s="349"/>
      <c r="P117" s="349"/>
      <c r="Q117" s="349"/>
      <c r="R117" s="349"/>
      <c r="S117" s="349"/>
      <c r="T117" s="349"/>
      <c r="U117" s="349"/>
      <c r="V117" s="349"/>
      <c r="W117" s="349"/>
      <c r="X117" s="349"/>
      <c r="Y117" s="349"/>
      <c r="Z117" s="349"/>
      <c r="AA117" s="349"/>
      <c r="AB117" s="349"/>
      <c r="AC117" s="349"/>
      <c r="AD117" s="349"/>
      <c r="AE117" s="349"/>
      <c r="AF117" s="349"/>
      <c r="AG117" s="350">
        <f>'IO07 - Veřejné osvětlení'!J34</f>
        <v>357757.14</v>
      </c>
      <c r="AH117" s="351"/>
      <c r="AI117" s="351"/>
      <c r="AJ117" s="351"/>
      <c r="AK117" s="351"/>
      <c r="AL117" s="351"/>
      <c r="AM117" s="351"/>
      <c r="AN117" s="350">
        <f t="shared" si="0"/>
        <v>411420.71</v>
      </c>
      <c r="AO117" s="351"/>
      <c r="AP117" s="351"/>
      <c r="AQ117" s="203" t="s">
        <v>94</v>
      </c>
      <c r="AR117" s="184"/>
      <c r="AS117" s="204">
        <v>0</v>
      </c>
      <c r="AT117" s="39">
        <f t="shared" si="1"/>
        <v>53663.57</v>
      </c>
      <c r="AU117" s="205">
        <f>'IO07 - Veřejné osvětlení'!P131</f>
        <v>0</v>
      </c>
      <c r="AV117" s="39">
        <f>'IO07 - Veřejné osvětlení'!J37</f>
        <v>0</v>
      </c>
      <c r="AW117" s="39">
        <f>'IO07 - Veřejné osvětlení'!J38</f>
        <v>53663.57</v>
      </c>
      <c r="AX117" s="39">
        <f>'IO07 - Veřejné osvětlení'!J39</f>
        <v>0</v>
      </c>
      <c r="AY117" s="39">
        <f>'IO07 - Veřejné osvětlení'!J40</f>
        <v>0</v>
      </c>
      <c r="AZ117" s="39">
        <f>'IO07 - Veřejné osvětlení'!F37</f>
        <v>0</v>
      </c>
      <c r="BA117" s="39">
        <f>'IO07 - Veřejné osvětlení'!F38</f>
        <v>357757.14</v>
      </c>
      <c r="BB117" s="39">
        <f>'IO07 - Veřejné osvětlení'!F39</f>
        <v>0</v>
      </c>
      <c r="BC117" s="39">
        <f>'IO07 - Veřejné osvětlení'!F40</f>
        <v>0</v>
      </c>
      <c r="BD117" s="212">
        <f>'IO07 - Veřejné osvětlení'!F41</f>
        <v>0</v>
      </c>
      <c r="BT117" s="32" t="s">
        <v>137</v>
      </c>
      <c r="BV117" s="32" t="s">
        <v>79</v>
      </c>
      <c r="BW117" s="32" t="s">
        <v>156</v>
      </c>
      <c r="BX117" s="32" t="s">
        <v>134</v>
      </c>
      <c r="CL117" s="32" t="s">
        <v>1</v>
      </c>
    </row>
    <row r="118" spans="1:90" s="168" customFormat="1" ht="16.5" customHeight="1">
      <c r="A118" s="189" t="s">
        <v>81</v>
      </c>
      <c r="B118" s="184"/>
      <c r="C118" s="30"/>
      <c r="D118" s="30"/>
      <c r="E118" s="349" t="s">
        <v>157</v>
      </c>
      <c r="F118" s="349"/>
      <c r="G118" s="349"/>
      <c r="H118" s="349"/>
      <c r="I118" s="349"/>
      <c r="J118" s="30"/>
      <c r="K118" s="349" t="s">
        <v>158</v>
      </c>
      <c r="L118" s="349"/>
      <c r="M118" s="349"/>
      <c r="N118" s="349"/>
      <c r="O118" s="349"/>
      <c r="P118" s="349"/>
      <c r="Q118" s="349"/>
      <c r="R118" s="349"/>
      <c r="S118" s="349"/>
      <c r="T118" s="349"/>
      <c r="U118" s="349"/>
      <c r="V118" s="349"/>
      <c r="W118" s="349"/>
      <c r="X118" s="349"/>
      <c r="Y118" s="349"/>
      <c r="Z118" s="349"/>
      <c r="AA118" s="349"/>
      <c r="AB118" s="349"/>
      <c r="AC118" s="349"/>
      <c r="AD118" s="349"/>
      <c r="AE118" s="349"/>
      <c r="AF118" s="349"/>
      <c r="AG118" s="350">
        <f>'IOX - Přeložky'!J32</f>
        <v>821450</v>
      </c>
      <c r="AH118" s="351"/>
      <c r="AI118" s="351"/>
      <c r="AJ118" s="351"/>
      <c r="AK118" s="351"/>
      <c r="AL118" s="351"/>
      <c r="AM118" s="351"/>
      <c r="AN118" s="350">
        <f t="shared" si="0"/>
        <v>993954.5</v>
      </c>
      <c r="AO118" s="351"/>
      <c r="AP118" s="351"/>
      <c r="AQ118" s="203" t="s">
        <v>94</v>
      </c>
      <c r="AR118" s="184"/>
      <c r="AS118" s="204">
        <v>0</v>
      </c>
      <c r="AT118" s="39">
        <f t="shared" si="1"/>
        <v>172504.5</v>
      </c>
      <c r="AU118" s="205">
        <f>'IOX - Přeložky'!P128</f>
        <v>0</v>
      </c>
      <c r="AV118" s="39">
        <f>'IOX - Přeložky'!J35</f>
        <v>172504.5</v>
      </c>
      <c r="AW118" s="39">
        <f>'IOX - Přeložky'!J36</f>
        <v>0</v>
      </c>
      <c r="AX118" s="39">
        <f>'IOX - Přeložky'!J37</f>
        <v>0</v>
      </c>
      <c r="AY118" s="39">
        <f>'IOX - Přeložky'!J38</f>
        <v>0</v>
      </c>
      <c r="AZ118" s="39">
        <f>'IOX - Přeložky'!F35</f>
        <v>821450</v>
      </c>
      <c r="BA118" s="39">
        <f>'IOX - Přeložky'!F36</f>
        <v>0</v>
      </c>
      <c r="BB118" s="39">
        <f>'IOX - Přeložky'!F37</f>
        <v>0</v>
      </c>
      <c r="BC118" s="39">
        <f>'IOX - Přeložky'!F38</f>
        <v>0</v>
      </c>
      <c r="BD118" s="212">
        <f>'IOX - Přeložky'!F39</f>
        <v>0</v>
      </c>
      <c r="BT118" s="32" t="s">
        <v>87</v>
      </c>
      <c r="BV118" s="32" t="s">
        <v>79</v>
      </c>
      <c r="BW118" s="32" t="s">
        <v>159</v>
      </c>
      <c r="BX118" s="32" t="s">
        <v>131</v>
      </c>
      <c r="CL118" s="32" t="s">
        <v>1</v>
      </c>
    </row>
    <row r="119" spans="1:90" s="168" customFormat="1" ht="16.5" customHeight="1">
      <c r="A119" s="189" t="s">
        <v>81</v>
      </c>
      <c r="B119" s="184"/>
      <c r="C119" s="30"/>
      <c r="D119" s="30"/>
      <c r="E119" s="349" t="s">
        <v>160</v>
      </c>
      <c r="F119" s="349"/>
      <c r="G119" s="349"/>
      <c r="H119" s="349"/>
      <c r="I119" s="349"/>
      <c r="J119" s="30"/>
      <c r="K119" s="349" t="s">
        <v>161</v>
      </c>
      <c r="L119" s="349"/>
      <c r="M119" s="349"/>
      <c r="N119" s="349"/>
      <c r="O119" s="349"/>
      <c r="P119" s="349"/>
      <c r="Q119" s="349"/>
      <c r="R119" s="349"/>
      <c r="S119" s="349"/>
      <c r="T119" s="349"/>
      <c r="U119" s="349"/>
      <c r="V119" s="349"/>
      <c r="W119" s="349"/>
      <c r="X119" s="349"/>
      <c r="Y119" s="349"/>
      <c r="Z119" s="349"/>
      <c r="AA119" s="349"/>
      <c r="AB119" s="349"/>
      <c r="AC119" s="349"/>
      <c r="AD119" s="349"/>
      <c r="AE119" s="349"/>
      <c r="AF119" s="349"/>
      <c r="AG119" s="350">
        <f>'IOX05 - přeložka PRE'!J32</f>
        <v>0</v>
      </c>
      <c r="AH119" s="351"/>
      <c r="AI119" s="351"/>
      <c r="AJ119" s="351"/>
      <c r="AK119" s="351"/>
      <c r="AL119" s="351"/>
      <c r="AM119" s="351"/>
      <c r="AN119" s="350">
        <f t="shared" si="0"/>
        <v>0</v>
      </c>
      <c r="AO119" s="351"/>
      <c r="AP119" s="351"/>
      <c r="AQ119" s="203" t="s">
        <v>94</v>
      </c>
      <c r="AR119" s="184"/>
      <c r="AS119" s="204">
        <v>0</v>
      </c>
      <c r="AT119" s="39">
        <f t="shared" si="1"/>
        <v>0</v>
      </c>
      <c r="AU119" s="205">
        <f>'IOX05 - přeložka PRE'!P121</f>
        <v>0</v>
      </c>
      <c r="AV119" s="39">
        <f>'IOX05 - přeložka PRE'!J35</f>
        <v>0</v>
      </c>
      <c r="AW119" s="39">
        <f>'IOX05 - přeložka PRE'!J36</f>
        <v>0</v>
      </c>
      <c r="AX119" s="39">
        <f>'IOX05 - přeložka PRE'!J37</f>
        <v>0</v>
      </c>
      <c r="AY119" s="39">
        <f>'IOX05 - přeložka PRE'!J38</f>
        <v>0</v>
      </c>
      <c r="AZ119" s="39">
        <f>'IOX05 - přeložka PRE'!F35</f>
        <v>0</v>
      </c>
      <c r="BA119" s="39">
        <f>'IOX05 - přeložka PRE'!F36</f>
        <v>0</v>
      </c>
      <c r="BB119" s="39">
        <f>'IOX05 - přeložka PRE'!F37</f>
        <v>0</v>
      </c>
      <c r="BC119" s="39">
        <f>'IOX05 - přeložka PRE'!F38</f>
        <v>0</v>
      </c>
      <c r="BD119" s="212">
        <f>'IOX05 - přeložka PRE'!F39</f>
        <v>0</v>
      </c>
      <c r="BT119" s="32" t="s">
        <v>87</v>
      </c>
      <c r="BV119" s="32" t="s">
        <v>79</v>
      </c>
      <c r="BW119" s="32" t="s">
        <v>162</v>
      </c>
      <c r="BX119" s="32" t="s">
        <v>131</v>
      </c>
      <c r="CL119" s="32" t="s">
        <v>1</v>
      </c>
    </row>
    <row r="120" spans="1:90" s="168" customFormat="1" ht="16.5" customHeight="1">
      <c r="A120" s="189" t="s">
        <v>81</v>
      </c>
      <c r="B120" s="184"/>
      <c r="C120" s="30"/>
      <c r="D120" s="30"/>
      <c r="E120" s="349" t="s">
        <v>163</v>
      </c>
      <c r="F120" s="349"/>
      <c r="G120" s="349"/>
      <c r="H120" s="349"/>
      <c r="I120" s="349"/>
      <c r="J120" s="30"/>
      <c r="K120" s="349" t="s">
        <v>164</v>
      </c>
      <c r="L120" s="349"/>
      <c r="M120" s="349"/>
      <c r="N120" s="349"/>
      <c r="O120" s="349"/>
      <c r="P120" s="349"/>
      <c r="Q120" s="349"/>
      <c r="R120" s="349"/>
      <c r="S120" s="349"/>
      <c r="T120" s="349"/>
      <c r="U120" s="349"/>
      <c r="V120" s="349"/>
      <c r="W120" s="349"/>
      <c r="X120" s="349"/>
      <c r="Y120" s="349"/>
      <c r="Z120" s="349"/>
      <c r="AA120" s="349"/>
      <c r="AB120" s="349"/>
      <c r="AC120" s="349"/>
      <c r="AD120" s="349"/>
      <c r="AE120" s="349"/>
      <c r="AF120" s="349"/>
      <c r="AG120" s="350">
        <f>'IOX06 - přeložka CETIN'!J32</f>
        <v>0</v>
      </c>
      <c r="AH120" s="351"/>
      <c r="AI120" s="351"/>
      <c r="AJ120" s="351"/>
      <c r="AK120" s="351"/>
      <c r="AL120" s="351"/>
      <c r="AM120" s="351"/>
      <c r="AN120" s="350">
        <f t="shared" si="0"/>
        <v>0</v>
      </c>
      <c r="AO120" s="351"/>
      <c r="AP120" s="351"/>
      <c r="AQ120" s="203" t="s">
        <v>94</v>
      </c>
      <c r="AR120" s="184"/>
      <c r="AS120" s="204">
        <v>0</v>
      </c>
      <c r="AT120" s="39">
        <f t="shared" si="1"/>
        <v>0</v>
      </c>
      <c r="AU120" s="205">
        <f>'IOX06 - přeložka CETIN'!P121</f>
        <v>0</v>
      </c>
      <c r="AV120" s="39">
        <f>'IOX06 - přeložka CETIN'!J35</f>
        <v>0</v>
      </c>
      <c r="AW120" s="39">
        <f>'IOX06 - přeložka CETIN'!J36</f>
        <v>0</v>
      </c>
      <c r="AX120" s="39">
        <f>'IOX06 - přeložka CETIN'!J37</f>
        <v>0</v>
      </c>
      <c r="AY120" s="39">
        <f>'IOX06 - přeložka CETIN'!J38</f>
        <v>0</v>
      </c>
      <c r="AZ120" s="39">
        <f>'IOX06 - přeložka CETIN'!F35</f>
        <v>0</v>
      </c>
      <c r="BA120" s="39">
        <f>'IOX06 - přeložka CETIN'!F36</f>
        <v>0</v>
      </c>
      <c r="BB120" s="39">
        <f>'IOX06 - přeložka CETIN'!F37</f>
        <v>0</v>
      </c>
      <c r="BC120" s="39">
        <f>'IOX06 - přeložka CETIN'!F38</f>
        <v>0</v>
      </c>
      <c r="BD120" s="212">
        <f>'IOX06 - přeložka CETIN'!F39</f>
        <v>0</v>
      </c>
      <c r="BT120" s="32" t="s">
        <v>87</v>
      </c>
      <c r="BV120" s="32" t="s">
        <v>79</v>
      </c>
      <c r="BW120" s="32" t="s">
        <v>165</v>
      </c>
      <c r="BX120" s="32" t="s">
        <v>131</v>
      </c>
      <c r="CL120" s="32" t="s">
        <v>1</v>
      </c>
    </row>
    <row r="121" spans="1:90" s="168" customFormat="1" ht="16.5" customHeight="1">
      <c r="A121" s="189" t="s">
        <v>81</v>
      </c>
      <c r="B121" s="184"/>
      <c r="C121" s="30"/>
      <c r="D121" s="30"/>
      <c r="E121" s="349" t="s">
        <v>166</v>
      </c>
      <c r="F121" s="349"/>
      <c r="G121" s="349"/>
      <c r="H121" s="349"/>
      <c r="I121" s="349"/>
      <c r="J121" s="30"/>
      <c r="K121" s="349" t="s">
        <v>167</v>
      </c>
      <c r="L121" s="349"/>
      <c r="M121" s="349"/>
      <c r="N121" s="349"/>
      <c r="O121" s="349"/>
      <c r="P121" s="349"/>
      <c r="Q121" s="349"/>
      <c r="R121" s="349"/>
      <c r="S121" s="349"/>
      <c r="T121" s="349"/>
      <c r="U121" s="349"/>
      <c r="V121" s="349"/>
      <c r="W121" s="349"/>
      <c r="X121" s="349"/>
      <c r="Y121" s="349"/>
      <c r="Z121" s="349"/>
      <c r="AA121" s="349"/>
      <c r="AB121" s="349"/>
      <c r="AC121" s="349"/>
      <c r="AD121" s="349"/>
      <c r="AE121" s="349"/>
      <c r="AF121" s="349"/>
      <c r="AG121" s="350">
        <f>'S041 - Sadové úpravy a ká...'!J32</f>
        <v>1552321.95</v>
      </c>
      <c r="AH121" s="351"/>
      <c r="AI121" s="351"/>
      <c r="AJ121" s="351"/>
      <c r="AK121" s="351"/>
      <c r="AL121" s="351"/>
      <c r="AM121" s="351"/>
      <c r="AN121" s="350">
        <f t="shared" si="0"/>
        <v>1878309.56</v>
      </c>
      <c r="AO121" s="351"/>
      <c r="AP121" s="351"/>
      <c r="AQ121" s="203" t="s">
        <v>94</v>
      </c>
      <c r="AR121" s="184"/>
      <c r="AS121" s="204">
        <v>0</v>
      </c>
      <c r="AT121" s="39">
        <f t="shared" si="1"/>
        <v>325987.61</v>
      </c>
      <c r="AU121" s="205">
        <f>'S041 - Sadové úpravy a ká...'!P122</f>
        <v>0</v>
      </c>
      <c r="AV121" s="39">
        <f>'S041 - Sadové úpravy a ká...'!J35</f>
        <v>325987.61</v>
      </c>
      <c r="AW121" s="39">
        <f>'S041 - Sadové úpravy a ká...'!J36</f>
        <v>0</v>
      </c>
      <c r="AX121" s="39">
        <f>'S041 - Sadové úpravy a ká...'!J37</f>
        <v>0</v>
      </c>
      <c r="AY121" s="39">
        <f>'S041 - Sadové úpravy a ká...'!J38</f>
        <v>0</v>
      </c>
      <c r="AZ121" s="39">
        <f>'S041 - Sadové úpravy a ká...'!F35</f>
        <v>1552321.95</v>
      </c>
      <c r="BA121" s="39">
        <f>'S041 - Sadové úpravy a ká...'!F36</f>
        <v>0</v>
      </c>
      <c r="BB121" s="39">
        <f>'S041 - Sadové úpravy a ká...'!F37</f>
        <v>0</v>
      </c>
      <c r="BC121" s="39">
        <f>'S041 - Sadové úpravy a ká...'!F38</f>
        <v>0</v>
      </c>
      <c r="BD121" s="212">
        <f>'S041 - Sadové úpravy a ká...'!F39</f>
        <v>0</v>
      </c>
      <c r="BT121" s="32" t="s">
        <v>87</v>
      </c>
      <c r="BV121" s="32" t="s">
        <v>79</v>
      </c>
      <c r="BW121" s="32" t="s">
        <v>168</v>
      </c>
      <c r="BX121" s="32" t="s">
        <v>131</v>
      </c>
      <c r="CL121" s="32" t="s">
        <v>1</v>
      </c>
    </row>
    <row r="122" spans="1:90" s="168" customFormat="1" ht="16.5" customHeight="1">
      <c r="A122" s="189" t="s">
        <v>81</v>
      </c>
      <c r="B122" s="184"/>
      <c r="C122" s="30"/>
      <c r="D122" s="30"/>
      <c r="E122" s="349" t="s">
        <v>169</v>
      </c>
      <c r="F122" s="349"/>
      <c r="G122" s="349"/>
      <c r="H122" s="349"/>
      <c r="I122" s="349"/>
      <c r="J122" s="30"/>
      <c r="K122" s="349" t="s">
        <v>170</v>
      </c>
      <c r="L122" s="349"/>
      <c r="M122" s="349"/>
      <c r="N122" s="349"/>
      <c r="O122" s="349"/>
      <c r="P122" s="349"/>
      <c r="Q122" s="349"/>
      <c r="R122" s="349"/>
      <c r="S122" s="349"/>
      <c r="T122" s="349"/>
      <c r="U122" s="349"/>
      <c r="V122" s="349"/>
      <c r="W122" s="349"/>
      <c r="X122" s="349"/>
      <c r="Y122" s="349"/>
      <c r="Z122" s="349"/>
      <c r="AA122" s="349"/>
      <c r="AB122" s="349"/>
      <c r="AC122" s="349"/>
      <c r="AD122" s="349"/>
      <c r="AE122" s="349"/>
      <c r="AF122" s="349"/>
      <c r="AG122" s="350">
        <f>'S044 - Drobná venkovná ar...'!J32</f>
        <v>2080855</v>
      </c>
      <c r="AH122" s="351"/>
      <c r="AI122" s="351"/>
      <c r="AJ122" s="351"/>
      <c r="AK122" s="351"/>
      <c r="AL122" s="351"/>
      <c r="AM122" s="351"/>
      <c r="AN122" s="350">
        <f t="shared" si="0"/>
        <v>2517834.5499999998</v>
      </c>
      <c r="AO122" s="351"/>
      <c r="AP122" s="351"/>
      <c r="AQ122" s="203" t="s">
        <v>94</v>
      </c>
      <c r="AR122" s="184"/>
      <c r="AS122" s="204">
        <v>0</v>
      </c>
      <c r="AT122" s="39">
        <f t="shared" si="1"/>
        <v>436979.55</v>
      </c>
      <c r="AU122" s="205">
        <f>'S044 - Drobná venkovná ar...'!P121</f>
        <v>0</v>
      </c>
      <c r="AV122" s="39">
        <f>'S044 - Drobná venkovná ar...'!J35</f>
        <v>436979.55</v>
      </c>
      <c r="AW122" s="39">
        <f>'S044 - Drobná venkovná ar...'!J36</f>
        <v>0</v>
      </c>
      <c r="AX122" s="39">
        <f>'S044 - Drobná venkovná ar...'!J37</f>
        <v>0</v>
      </c>
      <c r="AY122" s="39">
        <f>'S044 - Drobná venkovná ar...'!J38</f>
        <v>0</v>
      </c>
      <c r="AZ122" s="39">
        <f>'S044 - Drobná venkovná ar...'!F35</f>
        <v>2080855</v>
      </c>
      <c r="BA122" s="39">
        <f>'S044 - Drobná venkovná ar...'!F36</f>
        <v>0</v>
      </c>
      <c r="BB122" s="39">
        <f>'S044 - Drobná venkovná ar...'!F37</f>
        <v>0</v>
      </c>
      <c r="BC122" s="39">
        <f>'S044 - Drobná venkovná ar...'!F38</f>
        <v>0</v>
      </c>
      <c r="BD122" s="212">
        <f>'S044 - Drobná venkovná ar...'!F39</f>
        <v>0</v>
      </c>
      <c r="BT122" s="32" t="s">
        <v>87</v>
      </c>
      <c r="BV122" s="32" t="s">
        <v>79</v>
      </c>
      <c r="BW122" s="32" t="s">
        <v>171</v>
      </c>
      <c r="BX122" s="32" t="s">
        <v>131</v>
      </c>
      <c r="CL122" s="32" t="s">
        <v>1</v>
      </c>
    </row>
    <row r="123" spans="1:90" s="168" customFormat="1" ht="23.25" customHeight="1">
      <c r="A123" s="189" t="s">
        <v>81</v>
      </c>
      <c r="B123" s="184"/>
      <c r="C123" s="30"/>
      <c r="D123" s="30"/>
      <c r="E123" s="349" t="s">
        <v>172</v>
      </c>
      <c r="F123" s="349"/>
      <c r="G123" s="349"/>
      <c r="H123" s="349"/>
      <c r="I123" s="349"/>
      <c r="J123" s="30"/>
      <c r="K123" s="349" t="s">
        <v>173</v>
      </c>
      <c r="L123" s="349"/>
      <c r="M123" s="349"/>
      <c r="N123" s="349"/>
      <c r="O123" s="349"/>
      <c r="P123" s="349"/>
      <c r="Q123" s="349"/>
      <c r="R123" s="349"/>
      <c r="S123" s="349"/>
      <c r="T123" s="349"/>
      <c r="U123" s="349"/>
      <c r="V123" s="349"/>
      <c r="W123" s="349"/>
      <c r="X123" s="349"/>
      <c r="Y123" s="349"/>
      <c r="Z123" s="349"/>
      <c r="AA123" s="349"/>
      <c r="AB123" s="349"/>
      <c r="AC123" s="349"/>
      <c r="AD123" s="349"/>
      <c r="AE123" s="349"/>
      <c r="AF123" s="349"/>
      <c r="AG123" s="350">
        <f>'SO10 - Komunikace, zpevně...'!J32</f>
        <v>2726480.47</v>
      </c>
      <c r="AH123" s="351"/>
      <c r="AI123" s="351"/>
      <c r="AJ123" s="351"/>
      <c r="AK123" s="351"/>
      <c r="AL123" s="351"/>
      <c r="AM123" s="351"/>
      <c r="AN123" s="350">
        <f t="shared" si="0"/>
        <v>3299041.37</v>
      </c>
      <c r="AO123" s="351"/>
      <c r="AP123" s="351"/>
      <c r="AQ123" s="203" t="s">
        <v>94</v>
      </c>
      <c r="AR123" s="184"/>
      <c r="AS123" s="204">
        <v>0</v>
      </c>
      <c r="AT123" s="39">
        <f t="shared" si="1"/>
        <v>572560.9</v>
      </c>
      <c r="AU123" s="205">
        <f>'SO10 - Komunikace, zpevně...'!P126</f>
        <v>0</v>
      </c>
      <c r="AV123" s="39">
        <f>'SO10 - Komunikace, zpevně...'!J35</f>
        <v>572560.9</v>
      </c>
      <c r="AW123" s="39">
        <f>'SO10 - Komunikace, zpevně...'!J36</f>
        <v>0</v>
      </c>
      <c r="AX123" s="39">
        <f>'SO10 - Komunikace, zpevně...'!J37</f>
        <v>0</v>
      </c>
      <c r="AY123" s="39">
        <f>'SO10 - Komunikace, zpevně...'!J38</f>
        <v>0</v>
      </c>
      <c r="AZ123" s="39">
        <f>'SO10 - Komunikace, zpevně...'!F35</f>
        <v>2726480.47</v>
      </c>
      <c r="BA123" s="39">
        <f>'SO10 - Komunikace, zpevně...'!F36</f>
        <v>0</v>
      </c>
      <c r="BB123" s="39">
        <f>'SO10 - Komunikace, zpevně...'!F37</f>
        <v>0</v>
      </c>
      <c r="BC123" s="39">
        <f>'SO10 - Komunikace, zpevně...'!F38</f>
        <v>0</v>
      </c>
      <c r="BD123" s="212">
        <f>'SO10 - Komunikace, zpevně...'!F39</f>
        <v>0</v>
      </c>
      <c r="BT123" s="32" t="s">
        <v>87</v>
      </c>
      <c r="BV123" s="32" t="s">
        <v>79</v>
      </c>
      <c r="BW123" s="32" t="s">
        <v>174</v>
      </c>
      <c r="BX123" s="32" t="s">
        <v>131</v>
      </c>
      <c r="CL123" s="32" t="s">
        <v>1</v>
      </c>
    </row>
    <row r="124" spans="1:90" s="168" customFormat="1" ht="16.5" customHeight="1">
      <c r="A124" s="189" t="s">
        <v>81</v>
      </c>
      <c r="B124" s="184"/>
      <c r="C124" s="30"/>
      <c r="D124" s="30"/>
      <c r="E124" s="349" t="s">
        <v>175</v>
      </c>
      <c r="F124" s="349"/>
      <c r="G124" s="349"/>
      <c r="H124" s="349"/>
      <c r="I124" s="349"/>
      <c r="J124" s="30"/>
      <c r="K124" s="349" t="s">
        <v>176</v>
      </c>
      <c r="L124" s="349"/>
      <c r="M124" s="349"/>
      <c r="N124" s="349"/>
      <c r="O124" s="349"/>
      <c r="P124" s="349"/>
      <c r="Q124" s="349"/>
      <c r="R124" s="349"/>
      <c r="S124" s="349"/>
      <c r="T124" s="349"/>
      <c r="U124" s="349"/>
      <c r="V124" s="349"/>
      <c r="W124" s="349"/>
      <c r="X124" s="349"/>
      <c r="Y124" s="349"/>
      <c r="Z124" s="349"/>
      <c r="AA124" s="349"/>
      <c r="AB124" s="349"/>
      <c r="AC124" s="349"/>
      <c r="AD124" s="349"/>
      <c r="AE124" s="349"/>
      <c r="AF124" s="349"/>
      <c r="AG124" s="350">
        <f>'SO21 - Venkovní osvětlení'!J32</f>
        <v>530700</v>
      </c>
      <c r="AH124" s="351"/>
      <c r="AI124" s="351"/>
      <c r="AJ124" s="351"/>
      <c r="AK124" s="351"/>
      <c r="AL124" s="351"/>
      <c r="AM124" s="351"/>
      <c r="AN124" s="350">
        <f t="shared" si="0"/>
        <v>610305</v>
      </c>
      <c r="AO124" s="351"/>
      <c r="AP124" s="351"/>
      <c r="AQ124" s="203" t="s">
        <v>94</v>
      </c>
      <c r="AR124" s="184"/>
      <c r="AS124" s="204">
        <v>0</v>
      </c>
      <c r="AT124" s="39">
        <f t="shared" si="1"/>
        <v>79605</v>
      </c>
      <c r="AU124" s="205">
        <f>'SO21 - Venkovní osvětlení'!P125</f>
        <v>0</v>
      </c>
      <c r="AV124" s="39">
        <f>'SO21 - Venkovní osvětlení'!J35</f>
        <v>0</v>
      </c>
      <c r="AW124" s="39">
        <f>'SO21 - Venkovní osvětlení'!J36</f>
        <v>79605</v>
      </c>
      <c r="AX124" s="39">
        <f>'SO21 - Venkovní osvětlení'!J37</f>
        <v>0</v>
      </c>
      <c r="AY124" s="39">
        <f>'SO21 - Venkovní osvětlení'!J38</f>
        <v>0</v>
      </c>
      <c r="AZ124" s="39">
        <f>'SO21 - Venkovní osvětlení'!F35</f>
        <v>0</v>
      </c>
      <c r="BA124" s="39">
        <f>'SO21 - Venkovní osvětlení'!F36</f>
        <v>530700</v>
      </c>
      <c r="BB124" s="39">
        <f>'SO21 - Venkovní osvětlení'!F37</f>
        <v>0</v>
      </c>
      <c r="BC124" s="39">
        <f>'SO21 - Venkovní osvětlení'!F38</f>
        <v>0</v>
      </c>
      <c r="BD124" s="212">
        <f>'SO21 - Venkovní osvětlení'!F39</f>
        <v>0</v>
      </c>
      <c r="BT124" s="32" t="s">
        <v>87</v>
      </c>
      <c r="BV124" s="32" t="s">
        <v>79</v>
      </c>
      <c r="BW124" s="32" t="s">
        <v>177</v>
      </c>
      <c r="BX124" s="32" t="s">
        <v>131</v>
      </c>
      <c r="CL124" s="32" t="s">
        <v>1</v>
      </c>
    </row>
    <row r="125" spans="1:90" s="168" customFormat="1" ht="16.5" customHeight="1">
      <c r="A125" s="189" t="s">
        <v>81</v>
      </c>
      <c r="B125" s="184"/>
      <c r="C125" s="30"/>
      <c r="D125" s="30"/>
      <c r="E125" s="349" t="s">
        <v>178</v>
      </c>
      <c r="F125" s="349"/>
      <c r="G125" s="349"/>
      <c r="H125" s="349"/>
      <c r="I125" s="349"/>
      <c r="J125" s="30"/>
      <c r="K125" s="349" t="s">
        <v>179</v>
      </c>
      <c r="L125" s="349"/>
      <c r="M125" s="349"/>
      <c r="N125" s="349"/>
      <c r="O125" s="349"/>
      <c r="P125" s="349"/>
      <c r="Q125" s="349"/>
      <c r="R125" s="349"/>
      <c r="S125" s="349"/>
      <c r="T125" s="349"/>
      <c r="U125" s="349"/>
      <c r="V125" s="349"/>
      <c r="W125" s="349"/>
      <c r="X125" s="349"/>
      <c r="Y125" s="349"/>
      <c r="Z125" s="349"/>
      <c r="AA125" s="349"/>
      <c r="AB125" s="349"/>
      <c r="AC125" s="349"/>
      <c r="AD125" s="349"/>
      <c r="AE125" s="349"/>
      <c r="AF125" s="349"/>
      <c r="AG125" s="350">
        <f>'SO31 - Příprava území'!J32</f>
        <v>420840</v>
      </c>
      <c r="AH125" s="351"/>
      <c r="AI125" s="351"/>
      <c r="AJ125" s="351"/>
      <c r="AK125" s="351"/>
      <c r="AL125" s="351"/>
      <c r="AM125" s="351"/>
      <c r="AN125" s="350">
        <f t="shared" si="0"/>
        <v>509216.4</v>
      </c>
      <c r="AO125" s="351"/>
      <c r="AP125" s="351"/>
      <c r="AQ125" s="203" t="s">
        <v>94</v>
      </c>
      <c r="AR125" s="184"/>
      <c r="AS125" s="206">
        <v>0</v>
      </c>
      <c r="AT125" s="207">
        <f t="shared" si="1"/>
        <v>88376.4</v>
      </c>
      <c r="AU125" s="208">
        <f>'SO31 - Příprava území'!P123</f>
        <v>0</v>
      </c>
      <c r="AV125" s="207">
        <f>'SO31 - Příprava území'!J35</f>
        <v>88376.4</v>
      </c>
      <c r="AW125" s="207">
        <f>'SO31 - Příprava území'!J36</f>
        <v>0</v>
      </c>
      <c r="AX125" s="207">
        <f>'SO31 - Příprava území'!J37</f>
        <v>0</v>
      </c>
      <c r="AY125" s="207">
        <f>'SO31 - Příprava území'!J38</f>
        <v>0</v>
      </c>
      <c r="AZ125" s="207">
        <f>'SO31 - Příprava území'!F35</f>
        <v>420840</v>
      </c>
      <c r="BA125" s="207">
        <f>'SO31 - Příprava území'!F36</f>
        <v>0</v>
      </c>
      <c r="BB125" s="207">
        <f>'SO31 - Příprava území'!F37</f>
        <v>0</v>
      </c>
      <c r="BC125" s="207">
        <f>'SO31 - Příprava území'!F38</f>
        <v>0</v>
      </c>
      <c r="BD125" s="213">
        <f>'SO31 - Příprava území'!F39</f>
        <v>0</v>
      </c>
      <c r="BT125" s="32" t="s">
        <v>87</v>
      </c>
      <c r="BV125" s="32" t="s">
        <v>79</v>
      </c>
      <c r="BW125" s="32" t="s">
        <v>180</v>
      </c>
      <c r="BX125" s="32" t="s">
        <v>131</v>
      </c>
      <c r="CL125" s="32" t="s">
        <v>1</v>
      </c>
    </row>
    <row r="126" spans="1:90" s="1" customFormat="1" ht="30" customHeight="1">
      <c r="B126" s="12"/>
      <c r="AR126" s="12"/>
    </row>
    <row r="127" spans="1:90" s="1" customFormat="1" ht="6.9" customHeight="1">
      <c r="B127" s="26"/>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12"/>
    </row>
  </sheetData>
  <mergeCells count="162">
    <mergeCell ref="AR2:BE2"/>
    <mergeCell ref="K5:AO5"/>
    <mergeCell ref="K6:AO6"/>
    <mergeCell ref="E14:AJ14"/>
    <mergeCell ref="E23:AN23"/>
    <mergeCell ref="AK26:AO26"/>
    <mergeCell ref="L28:P28"/>
    <mergeCell ref="W28:AE28"/>
    <mergeCell ref="AK28:AO28"/>
    <mergeCell ref="L29:P29"/>
    <mergeCell ref="W29:AE29"/>
    <mergeCell ref="AK29:AO29"/>
    <mergeCell ref="L30:P30"/>
    <mergeCell ref="W30:AE30"/>
    <mergeCell ref="AK30:AO30"/>
    <mergeCell ref="L31:P31"/>
    <mergeCell ref="W31:AE31"/>
    <mergeCell ref="AK31:AO31"/>
    <mergeCell ref="L32:P32"/>
    <mergeCell ref="W32:AE32"/>
    <mergeCell ref="AK32:AO32"/>
    <mergeCell ref="L33:P33"/>
    <mergeCell ref="W33:AE33"/>
    <mergeCell ref="AK33:AO33"/>
    <mergeCell ref="X35:AB35"/>
    <mergeCell ref="AK35:AO35"/>
    <mergeCell ref="L85:AO85"/>
    <mergeCell ref="AM87:AN87"/>
    <mergeCell ref="AM89:AP89"/>
    <mergeCell ref="AM90:AP90"/>
    <mergeCell ref="C92:G92"/>
    <mergeCell ref="I92:AF92"/>
    <mergeCell ref="AG92:AM92"/>
    <mergeCell ref="AN92:AP92"/>
    <mergeCell ref="AG94:AM94"/>
    <mergeCell ref="AN94:AP94"/>
    <mergeCell ref="D95:H95"/>
    <mergeCell ref="J95:AF95"/>
    <mergeCell ref="AG95:AM95"/>
    <mergeCell ref="AN95:AP95"/>
    <mergeCell ref="D96:H96"/>
    <mergeCell ref="J96:AF96"/>
    <mergeCell ref="AG96:AM96"/>
    <mergeCell ref="AN96:AP96"/>
    <mergeCell ref="E97:I97"/>
    <mergeCell ref="K97:AF97"/>
    <mergeCell ref="AG97:AM97"/>
    <mergeCell ref="AN97:AP97"/>
    <mergeCell ref="E98:I98"/>
    <mergeCell ref="K98:AF98"/>
    <mergeCell ref="AG98:AM98"/>
    <mergeCell ref="AN98:AP98"/>
    <mergeCell ref="E99:I99"/>
    <mergeCell ref="K99:AF99"/>
    <mergeCell ref="AG99:AM99"/>
    <mergeCell ref="AN99:AP99"/>
    <mergeCell ref="E100:I100"/>
    <mergeCell ref="K100:AF100"/>
    <mergeCell ref="AG100:AM100"/>
    <mergeCell ref="AN100:AP100"/>
    <mergeCell ref="E101:I101"/>
    <mergeCell ref="K101:AF101"/>
    <mergeCell ref="AG101:AM101"/>
    <mergeCell ref="AN101:AP101"/>
    <mergeCell ref="E102:I102"/>
    <mergeCell ref="K102:AF102"/>
    <mergeCell ref="AG102:AM102"/>
    <mergeCell ref="AN102:AP102"/>
    <mergeCell ref="E103:I103"/>
    <mergeCell ref="K103:AF103"/>
    <mergeCell ref="AG103:AM103"/>
    <mergeCell ref="AN103:AP103"/>
    <mergeCell ref="E104:I104"/>
    <mergeCell ref="K104:AF104"/>
    <mergeCell ref="AG104:AM104"/>
    <mergeCell ref="AN104:AP104"/>
    <mergeCell ref="E105:I105"/>
    <mergeCell ref="K105:AF105"/>
    <mergeCell ref="AG105:AM105"/>
    <mergeCell ref="AN105:AP105"/>
    <mergeCell ref="E106:I106"/>
    <mergeCell ref="K106:AF106"/>
    <mergeCell ref="AG106:AM106"/>
    <mergeCell ref="AN106:AP106"/>
    <mergeCell ref="E107:I107"/>
    <mergeCell ref="K107:AF107"/>
    <mergeCell ref="AG107:AM107"/>
    <mergeCell ref="AN107:AP107"/>
    <mergeCell ref="E108:I108"/>
    <mergeCell ref="K108:AF108"/>
    <mergeCell ref="AG108:AM108"/>
    <mergeCell ref="AN108:AP108"/>
    <mergeCell ref="D109:H109"/>
    <mergeCell ref="J109:AF109"/>
    <mergeCell ref="AG109:AM109"/>
    <mergeCell ref="AN109:AP109"/>
    <mergeCell ref="E110:I110"/>
    <mergeCell ref="K110:AF110"/>
    <mergeCell ref="AG110:AM110"/>
    <mergeCell ref="AN110:AP110"/>
    <mergeCell ref="F111:J111"/>
    <mergeCell ref="L111:AF111"/>
    <mergeCell ref="AG111:AM111"/>
    <mergeCell ref="AN111:AP111"/>
    <mergeCell ref="F112:J112"/>
    <mergeCell ref="L112:AF112"/>
    <mergeCell ref="AG112:AM112"/>
    <mergeCell ref="AN112:AP112"/>
    <mergeCell ref="F113:J113"/>
    <mergeCell ref="L113:AF113"/>
    <mergeCell ref="AG113:AM113"/>
    <mergeCell ref="AN113:AP113"/>
    <mergeCell ref="F114:J114"/>
    <mergeCell ref="L114:AF114"/>
    <mergeCell ref="AG114:AM114"/>
    <mergeCell ref="AN114:AP114"/>
    <mergeCell ref="F115:J115"/>
    <mergeCell ref="L115:AF115"/>
    <mergeCell ref="AG115:AM115"/>
    <mergeCell ref="AN115:AP115"/>
    <mergeCell ref="AG120:AM120"/>
    <mergeCell ref="AN120:AP120"/>
    <mergeCell ref="E121:I121"/>
    <mergeCell ref="K121:AF121"/>
    <mergeCell ref="AG121:AM121"/>
    <mergeCell ref="AN121:AP121"/>
    <mergeCell ref="F116:J116"/>
    <mergeCell ref="L116:AF116"/>
    <mergeCell ref="AG116:AM116"/>
    <mergeCell ref="AN116:AP116"/>
    <mergeCell ref="F117:J117"/>
    <mergeCell ref="L117:AF117"/>
    <mergeCell ref="AG117:AM117"/>
    <mergeCell ref="AN117:AP117"/>
    <mergeCell ref="E118:I118"/>
    <mergeCell ref="K118:AF118"/>
    <mergeCell ref="AG118:AM118"/>
    <mergeCell ref="AN118:AP118"/>
    <mergeCell ref="E125:I125"/>
    <mergeCell ref="K125:AF125"/>
    <mergeCell ref="AG125:AM125"/>
    <mergeCell ref="AN125:AP125"/>
    <mergeCell ref="BE5:BE34"/>
    <mergeCell ref="AS89:AT91"/>
    <mergeCell ref="E122:I122"/>
    <mergeCell ref="K122:AF122"/>
    <mergeCell ref="AG122:AM122"/>
    <mergeCell ref="AN122:AP122"/>
    <mergeCell ref="E123:I123"/>
    <mergeCell ref="K123:AF123"/>
    <mergeCell ref="AG123:AM123"/>
    <mergeCell ref="AN123:AP123"/>
    <mergeCell ref="E124:I124"/>
    <mergeCell ref="K124:AF124"/>
    <mergeCell ref="AG124:AM124"/>
    <mergeCell ref="AN124:AP124"/>
    <mergeCell ref="E119:I119"/>
    <mergeCell ref="K119:AF119"/>
    <mergeCell ref="AG119:AM119"/>
    <mergeCell ref="AN119:AP119"/>
    <mergeCell ref="E120:I120"/>
    <mergeCell ref="K120:AF120"/>
  </mergeCells>
  <hyperlinks>
    <hyperlink ref="A95" location="'00 - Vedlejší a ostatní n...'!C2" display="/" xr:uid="{00000000-0004-0000-0000-000000000000}"/>
    <hyperlink ref="A97" location="'100 - Architektonicko-sta...'!C2" display="/" xr:uid="{00000000-0004-0000-0000-000001000000}"/>
    <hyperlink ref="A98" location="'D1.410 - ZTI - Kanalizace'!C2" display="/" xr:uid="{00000000-0004-0000-0000-000002000000}"/>
    <hyperlink ref="A99" location="'D1.420 - ZTI - Vodovod'!C2" display="/" xr:uid="{00000000-0004-0000-0000-000003000000}"/>
    <hyperlink ref="A100" location="'D1.430 - ZTI - Plynovod'!C2" display="/" xr:uid="{00000000-0004-0000-0000-000004000000}"/>
    <hyperlink ref="A101" location="'D1.510 - Vzduchotechnika'!C2" display="/" xr:uid="{00000000-0004-0000-0000-000005000000}"/>
    <hyperlink ref="A102" location="'D1.520 - Rozvody chladu'!C2" display="/" xr:uid="{00000000-0004-0000-0000-000006000000}"/>
    <hyperlink ref="A103" location="'D1.530 - ÚT - Rozvody tepla'!C2" display="/" xr:uid="{00000000-0004-0000-0000-000007000000}"/>
    <hyperlink ref="A104" location="'D1.610 - Uzemnění a hromo...'!C2" display="/" xr:uid="{00000000-0004-0000-0000-000008000000}"/>
    <hyperlink ref="A105" location="'D1.620 - Silnoproudá elek...'!C2" display="/" xr:uid="{00000000-0004-0000-0000-000009000000}"/>
    <hyperlink ref="A106" location="'D1.700 - Slaboproudé elek...'!C2" display="/" xr:uid="{00000000-0004-0000-0000-00000A000000}"/>
    <hyperlink ref="A107" location="'D1.901 - Osobní výtahy'!C2" display="/" xr:uid="{00000000-0004-0000-0000-00000B000000}"/>
    <hyperlink ref="A108" location="'D1.902 - Vnitřní dopravní...'!C2" display="/" xr:uid="{00000000-0004-0000-0000-00000C000000}"/>
    <hyperlink ref="A111" location="'IO01 - Přípojka vodovodu'!C2" display="/" xr:uid="{00000000-0004-0000-0000-00000D000000}"/>
    <hyperlink ref="A112" location="'IO02 - Přípojka plynovodu'!C2" display="/" xr:uid="{00000000-0004-0000-0000-00000E000000}"/>
    <hyperlink ref="A113" location="'IO03 - Přípojka dešťové k...'!C2" display="/" xr:uid="{00000000-0004-0000-0000-00000F000000}"/>
    <hyperlink ref="A114" location="'IO04 - Přípojka splaškové...'!C2" display="/" xr:uid="{00000000-0004-0000-0000-000010000000}"/>
    <hyperlink ref="A115" location="'IO05 - PRE'!C2" display="/" xr:uid="{00000000-0004-0000-0000-000011000000}"/>
    <hyperlink ref="A116" location="'IO06 - CETIN'!C2" display="/" xr:uid="{00000000-0004-0000-0000-000012000000}"/>
    <hyperlink ref="A117" location="'IO07 - Veřejné osvětlení'!C2" display="/" xr:uid="{00000000-0004-0000-0000-000013000000}"/>
    <hyperlink ref="A118" location="'IOX - Přeložky'!C2" display="/" xr:uid="{00000000-0004-0000-0000-000014000000}"/>
    <hyperlink ref="A119" location="'IOX05 - přeložka PRE'!C2" display="/" xr:uid="{00000000-0004-0000-0000-000015000000}"/>
    <hyperlink ref="A120" location="'IOX06 - přeložka CETIN'!C2" display="/" xr:uid="{00000000-0004-0000-0000-000016000000}"/>
    <hyperlink ref="A121" location="'S041 - Sadové úpravy a ká...'!C2" display="/" xr:uid="{00000000-0004-0000-0000-000017000000}"/>
    <hyperlink ref="A122" location="'S044 - Drobná venkovná ar...'!C2" display="/" xr:uid="{00000000-0004-0000-0000-000018000000}"/>
    <hyperlink ref="A123" location="'SO10 - Komunikace, zpevně...'!C2" display="/" xr:uid="{00000000-0004-0000-0000-000019000000}"/>
    <hyperlink ref="A124" location="'SO21 - Venkovní osvětlení'!C2" display="/" xr:uid="{00000000-0004-0000-0000-00001A000000}"/>
    <hyperlink ref="A125" location="'SO31 - Příprava území'!C2" display="/" xr:uid="{00000000-0004-0000-0000-00001B000000}"/>
  </hyperlink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BM148"/>
  <sheetViews>
    <sheetView showGridLines="0" topLeftCell="A133" workbookViewId="0">
      <selection activeCell="I133" sqref="I133"/>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86</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s="1" customFormat="1" ht="12" customHeight="1">
      <c r="B8" s="12"/>
      <c r="D8" s="10" t="s">
        <v>182</v>
      </c>
      <c r="L8" s="12"/>
    </row>
    <row r="9" spans="2:46" s="1" customFormat="1" ht="16.5" customHeight="1">
      <c r="B9" s="12"/>
      <c r="E9" s="381" t="s">
        <v>183</v>
      </c>
      <c r="F9" s="394"/>
      <c r="G9" s="394"/>
      <c r="H9" s="394"/>
      <c r="L9" s="12"/>
    </row>
    <row r="10" spans="2:46" s="1" customFormat="1">
      <c r="B10" s="12"/>
      <c r="L10" s="12"/>
    </row>
    <row r="11" spans="2:46" s="1" customFormat="1" ht="12" customHeight="1">
      <c r="B11" s="12"/>
      <c r="D11" s="10" t="s">
        <v>18</v>
      </c>
      <c r="F11" s="32" t="s">
        <v>1</v>
      </c>
      <c r="I11" s="10" t="s">
        <v>19</v>
      </c>
      <c r="J11" s="32" t="s">
        <v>1</v>
      </c>
      <c r="L11" s="12"/>
    </row>
    <row r="12" spans="2:46" s="1" customFormat="1" ht="12" customHeight="1">
      <c r="B12" s="12"/>
      <c r="D12" s="10" t="s">
        <v>20</v>
      </c>
      <c r="F12" s="32" t="s">
        <v>21</v>
      </c>
      <c r="I12" s="10" t="s">
        <v>22</v>
      </c>
      <c r="J12" s="11">
        <f>'Rekapitulace stavby'!AN8</f>
        <v>45000</v>
      </c>
      <c r="L12" s="12"/>
    </row>
    <row r="13" spans="2:46" s="1" customFormat="1" ht="11.1" customHeight="1">
      <c r="B13" s="12"/>
      <c r="L13" s="12"/>
    </row>
    <row r="14" spans="2:46" s="1" customFormat="1" ht="12" customHeight="1">
      <c r="B14" s="12"/>
      <c r="D14" s="10" t="s">
        <v>23</v>
      </c>
      <c r="I14" s="10" t="s">
        <v>24</v>
      </c>
      <c r="J14" s="32" t="s">
        <v>1</v>
      </c>
      <c r="L14" s="12"/>
    </row>
    <row r="15" spans="2:46" s="1" customFormat="1" ht="18" customHeight="1">
      <c r="B15" s="12"/>
      <c r="E15" s="32" t="s">
        <v>25</v>
      </c>
      <c r="I15" s="10" t="s">
        <v>26</v>
      </c>
      <c r="J15" s="32" t="s">
        <v>1</v>
      </c>
      <c r="L15" s="12"/>
    </row>
    <row r="16" spans="2:46" s="1" customFormat="1" ht="6.9" customHeight="1">
      <c r="B16" s="12"/>
      <c r="L16" s="12"/>
    </row>
    <row r="17" spans="2:12" s="1" customFormat="1" ht="12" customHeight="1">
      <c r="B17" s="12"/>
      <c r="D17" s="10" t="s">
        <v>27</v>
      </c>
      <c r="I17" s="10" t="s">
        <v>24</v>
      </c>
      <c r="J17" s="33" t="str">
        <f>'Rekapitulace stavby'!AN13</f>
        <v>08004013</v>
      </c>
      <c r="L17" s="12"/>
    </row>
    <row r="18" spans="2:12" s="1" customFormat="1" ht="18" customHeight="1">
      <c r="B18" s="12"/>
      <c r="E18" s="395" t="str">
        <f>'Rekapitulace stavby'!E14</f>
        <v>DMG Stav a.s.</v>
      </c>
      <c r="F18" s="384"/>
      <c r="G18" s="384"/>
      <c r="H18" s="384"/>
      <c r="I18" s="10" t="s">
        <v>26</v>
      </c>
      <c r="J18" s="33" t="str">
        <f>'Rekapitulace stavby'!AN14</f>
        <v>CZ 08004013</v>
      </c>
      <c r="L18" s="12"/>
    </row>
    <row r="19" spans="2:12" s="1" customFormat="1" ht="6.9" customHeight="1">
      <c r="B19" s="12"/>
      <c r="L19" s="12"/>
    </row>
    <row r="20" spans="2:12" s="1" customFormat="1" ht="12" customHeight="1">
      <c r="B20" s="12"/>
      <c r="D20" s="10" t="s">
        <v>31</v>
      </c>
      <c r="I20" s="10" t="s">
        <v>24</v>
      </c>
      <c r="J20" s="32" t="s">
        <v>1</v>
      </c>
      <c r="L20" s="12"/>
    </row>
    <row r="21" spans="2:12" s="1" customFormat="1" ht="18" customHeight="1">
      <c r="B21" s="12"/>
      <c r="E21" s="32" t="s">
        <v>32</v>
      </c>
      <c r="I21" s="10" t="s">
        <v>26</v>
      </c>
      <c r="J21" s="32" t="s">
        <v>1</v>
      </c>
      <c r="L21" s="12"/>
    </row>
    <row r="22" spans="2:12" s="1" customFormat="1" ht="6.9" customHeight="1">
      <c r="B22" s="12"/>
      <c r="L22" s="12"/>
    </row>
    <row r="23" spans="2:12" s="1" customFormat="1" ht="12" customHeight="1">
      <c r="B23" s="12"/>
      <c r="D23" s="10" t="s">
        <v>34</v>
      </c>
      <c r="I23" s="10" t="s">
        <v>24</v>
      </c>
      <c r="J23" s="32" t="s">
        <v>1</v>
      </c>
      <c r="L23" s="12"/>
    </row>
    <row r="24" spans="2:12" s="1" customFormat="1" ht="18" customHeight="1">
      <c r="B24" s="12"/>
      <c r="E24" s="32" t="s">
        <v>35</v>
      </c>
      <c r="I24" s="10" t="s">
        <v>26</v>
      </c>
      <c r="J24" s="32" t="s">
        <v>1</v>
      </c>
      <c r="L24" s="12"/>
    </row>
    <row r="25" spans="2:12" s="1" customFormat="1" ht="6.9" customHeight="1">
      <c r="B25" s="12"/>
      <c r="L25" s="12"/>
    </row>
    <row r="26" spans="2:12" s="1" customFormat="1" ht="12" customHeight="1">
      <c r="B26" s="12"/>
      <c r="D26" s="10" t="s">
        <v>36</v>
      </c>
      <c r="L26" s="12"/>
    </row>
    <row r="27" spans="2:12" s="28" customFormat="1" ht="16.5" customHeight="1">
      <c r="B27" s="34"/>
      <c r="E27" s="388" t="s">
        <v>1</v>
      </c>
      <c r="F27" s="388"/>
      <c r="G27" s="388"/>
      <c r="H27" s="388"/>
      <c r="L27" s="34"/>
    </row>
    <row r="28" spans="2:12" s="1" customFormat="1" ht="6.9" customHeight="1">
      <c r="B28" s="12"/>
      <c r="L28" s="12"/>
    </row>
    <row r="29" spans="2:12" s="1" customFormat="1" ht="6.9" customHeight="1">
      <c r="B29" s="12"/>
      <c r="D29" s="35"/>
      <c r="E29" s="35"/>
      <c r="F29" s="35"/>
      <c r="G29" s="35"/>
      <c r="H29" s="35"/>
      <c r="I29" s="35"/>
      <c r="J29" s="35"/>
      <c r="K29" s="35"/>
      <c r="L29" s="12"/>
    </row>
    <row r="30" spans="2:12" s="1" customFormat="1" ht="25.35" customHeight="1">
      <c r="B30" s="12"/>
      <c r="D30" s="36" t="s">
        <v>37</v>
      </c>
      <c r="J30" s="51">
        <f>ROUND(J122,2)</f>
        <v>9759000</v>
      </c>
      <c r="L30" s="12"/>
    </row>
    <row r="31" spans="2:12" s="1" customFormat="1" ht="6.9" customHeight="1">
      <c r="B31" s="12"/>
      <c r="D31" s="35"/>
      <c r="E31" s="35"/>
      <c r="F31" s="35"/>
      <c r="G31" s="35"/>
      <c r="H31" s="35"/>
      <c r="I31" s="35"/>
      <c r="J31" s="35"/>
      <c r="K31" s="35"/>
      <c r="L31" s="12"/>
    </row>
    <row r="32" spans="2:12" s="1" customFormat="1" ht="14.4" customHeight="1">
      <c r="B32" s="12"/>
      <c r="F32" s="37" t="s">
        <v>39</v>
      </c>
      <c r="I32" s="37" t="s">
        <v>38</v>
      </c>
      <c r="J32" s="37" t="s">
        <v>40</v>
      </c>
      <c r="L32" s="12"/>
    </row>
    <row r="33" spans="2:12" s="1" customFormat="1" ht="14.4" customHeight="1">
      <c r="B33" s="12"/>
      <c r="D33" s="38" t="s">
        <v>41</v>
      </c>
      <c r="E33" s="10" t="s">
        <v>42</v>
      </c>
      <c r="F33" s="39">
        <f>ROUND((SUM(BE122:BE147)),2)</f>
        <v>9759000</v>
      </c>
      <c r="I33" s="52">
        <v>0.21</v>
      </c>
      <c r="J33" s="39">
        <f>ROUND(((SUM(BE122:BE147))*I33),2)</f>
        <v>2049390</v>
      </c>
      <c r="L33" s="12"/>
    </row>
    <row r="34" spans="2:12" s="1" customFormat="1" ht="14.4" customHeight="1">
      <c r="B34" s="12"/>
      <c r="E34" s="10" t="s">
        <v>43</v>
      </c>
      <c r="F34" s="39">
        <f>ROUND((SUM(BF122:BF147)),2)</f>
        <v>0</v>
      </c>
      <c r="I34" s="52">
        <v>0.15</v>
      </c>
      <c r="J34" s="39">
        <f>ROUND(((SUM(BF122:BF147))*I34),2)</f>
        <v>0</v>
      </c>
      <c r="L34" s="12"/>
    </row>
    <row r="35" spans="2:12" s="1" customFormat="1" ht="14.4" hidden="1" customHeight="1">
      <c r="B35" s="12"/>
      <c r="E35" s="10" t="s">
        <v>44</v>
      </c>
      <c r="F35" s="39">
        <f>ROUND((SUM(BG122:BG147)),2)</f>
        <v>0</v>
      </c>
      <c r="I35" s="52">
        <v>0.21</v>
      </c>
      <c r="J35" s="39">
        <f>0</f>
        <v>0</v>
      </c>
      <c r="L35" s="12"/>
    </row>
    <row r="36" spans="2:12" s="1" customFormat="1" ht="14.4" hidden="1" customHeight="1">
      <c r="B36" s="12"/>
      <c r="E36" s="10" t="s">
        <v>45</v>
      </c>
      <c r="F36" s="39">
        <f>ROUND((SUM(BH122:BH147)),2)</f>
        <v>0</v>
      </c>
      <c r="I36" s="52">
        <v>0.15</v>
      </c>
      <c r="J36" s="39">
        <f>0</f>
        <v>0</v>
      </c>
      <c r="L36" s="12"/>
    </row>
    <row r="37" spans="2:12" s="1" customFormat="1" ht="14.4" hidden="1" customHeight="1">
      <c r="B37" s="12"/>
      <c r="E37" s="10" t="s">
        <v>46</v>
      </c>
      <c r="F37" s="39">
        <f>ROUND((SUM(BI122:BI147)),2)</f>
        <v>0</v>
      </c>
      <c r="I37" s="52">
        <v>0</v>
      </c>
      <c r="J37" s="39">
        <f>0</f>
        <v>0</v>
      </c>
      <c r="L37" s="12"/>
    </row>
    <row r="38" spans="2:12" s="1" customFormat="1" ht="6.9" customHeight="1">
      <c r="B38" s="12"/>
      <c r="L38" s="12"/>
    </row>
    <row r="39" spans="2:12" s="1" customFormat="1" ht="25.35" customHeight="1">
      <c r="B39" s="12"/>
      <c r="C39" s="40"/>
      <c r="D39" s="41" t="s">
        <v>47</v>
      </c>
      <c r="E39" s="42"/>
      <c r="F39" s="42"/>
      <c r="G39" s="43" t="s">
        <v>48</v>
      </c>
      <c r="H39" s="44" t="s">
        <v>49</v>
      </c>
      <c r="I39" s="42"/>
      <c r="J39" s="53">
        <f>SUM(J30:J37)</f>
        <v>11808390</v>
      </c>
      <c r="K39" s="54"/>
      <c r="L39" s="12"/>
    </row>
    <row r="40" spans="2:12" s="1" customFormat="1" ht="14.4" customHeight="1">
      <c r="B40" s="12"/>
      <c r="L40" s="12"/>
    </row>
    <row r="41" spans="2:12" ht="14.4" customHeight="1">
      <c r="B41" s="5"/>
      <c r="L41" s="5"/>
    </row>
    <row r="42" spans="2:12" ht="14.4" customHeight="1">
      <c r="B42" s="5"/>
      <c r="L42" s="5"/>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47" s="1" customFormat="1" ht="6.9" customHeight="1">
      <c r="B81" s="56"/>
      <c r="C81" s="57"/>
      <c r="D81" s="57"/>
      <c r="E81" s="57"/>
      <c r="F81" s="57"/>
      <c r="G81" s="57"/>
      <c r="H81" s="57"/>
      <c r="I81" s="57"/>
      <c r="J81" s="57"/>
      <c r="K81" s="57"/>
      <c r="L81" s="12"/>
    </row>
    <row r="82" spans="2:47" s="1" customFormat="1" ht="24.9" customHeight="1">
      <c r="B82" s="12"/>
      <c r="C82" s="6" t="s">
        <v>184</v>
      </c>
      <c r="L82" s="12"/>
    </row>
    <row r="83" spans="2:47" s="1" customFormat="1" ht="6.9" customHeight="1">
      <c r="B83" s="12"/>
      <c r="L83" s="12"/>
    </row>
    <row r="84" spans="2:47" s="1" customFormat="1" ht="12" customHeight="1">
      <c r="B84" s="12"/>
      <c r="C84" s="10" t="s">
        <v>16</v>
      </c>
      <c r="L84" s="12"/>
    </row>
    <row r="85" spans="2:47" s="1" customFormat="1" ht="16.5" customHeight="1">
      <c r="B85" s="12"/>
      <c r="E85" s="392" t="str">
        <f>E7</f>
        <v>Bytový soubor Libuše</v>
      </c>
      <c r="F85" s="393"/>
      <c r="G85" s="393"/>
      <c r="H85" s="393"/>
      <c r="L85" s="12"/>
    </row>
    <row r="86" spans="2:47" s="1" customFormat="1" ht="12" customHeight="1">
      <c r="B86" s="12"/>
      <c r="C86" s="10" t="s">
        <v>182</v>
      </c>
      <c r="L86" s="12"/>
    </row>
    <row r="87" spans="2:47" s="1" customFormat="1" ht="16.5" customHeight="1">
      <c r="B87" s="12"/>
      <c r="E87" s="381" t="str">
        <f>E9</f>
        <v>00 - Vedlejší a ostatní náklady</v>
      </c>
      <c r="F87" s="394"/>
      <c r="G87" s="394"/>
      <c r="H87" s="394"/>
      <c r="L87" s="12"/>
    </row>
    <row r="88" spans="2:47" s="1" customFormat="1" ht="6.9" customHeight="1">
      <c r="B88" s="12"/>
      <c r="L88" s="12"/>
    </row>
    <row r="89" spans="2:47" s="1" customFormat="1" ht="12" customHeight="1">
      <c r="B89" s="12"/>
      <c r="C89" s="10" t="s">
        <v>20</v>
      </c>
      <c r="F89" s="32" t="str">
        <f>F12</f>
        <v>Praha</v>
      </c>
      <c r="I89" s="10" t="s">
        <v>22</v>
      </c>
      <c r="J89" s="11">
        <f>IF(J12="","",J12)</f>
        <v>45000</v>
      </c>
      <c r="L89" s="12"/>
    </row>
    <row r="90" spans="2:47" s="1" customFormat="1" ht="6.9" customHeight="1">
      <c r="B90" s="12"/>
      <c r="L90" s="12"/>
    </row>
    <row r="91" spans="2:47" s="1" customFormat="1" ht="15.15" customHeight="1">
      <c r="B91" s="12"/>
      <c r="C91" s="10" t="s">
        <v>23</v>
      </c>
      <c r="F91" s="32" t="str">
        <f>E15</f>
        <v>VELTON REAL ESTATE</v>
      </c>
      <c r="I91" s="10" t="s">
        <v>31</v>
      </c>
      <c r="J91" s="8" t="str">
        <f>E21</f>
        <v>ABMV World s.r.o</v>
      </c>
      <c r="L91" s="12"/>
    </row>
    <row r="92" spans="2:47" s="1" customFormat="1" ht="15.15" customHeight="1">
      <c r="B92" s="12"/>
      <c r="C92" s="10" t="s">
        <v>27</v>
      </c>
      <c r="F92" s="32" t="str">
        <f>IF(E18="","",E18)</f>
        <v>DMG Stav a.s.</v>
      </c>
      <c r="I92" s="10" t="s">
        <v>34</v>
      </c>
      <c r="J92" s="8" t="str">
        <f>E24</f>
        <v>QSB s.r.o.</v>
      </c>
      <c r="L92" s="12"/>
    </row>
    <row r="93" spans="2:47" s="1" customFormat="1" ht="10.35" customHeight="1">
      <c r="B93" s="12"/>
      <c r="L93" s="12"/>
    </row>
    <row r="94" spans="2:47" s="1" customFormat="1" ht="29.25" customHeight="1">
      <c r="B94" s="12"/>
      <c r="C94" s="58" t="s">
        <v>185</v>
      </c>
      <c r="D94" s="40"/>
      <c r="E94" s="40"/>
      <c r="F94" s="40"/>
      <c r="G94" s="40"/>
      <c r="H94" s="40"/>
      <c r="I94" s="40"/>
      <c r="J94" s="76" t="s">
        <v>186</v>
      </c>
      <c r="K94" s="40"/>
      <c r="L94" s="12"/>
    </row>
    <row r="95" spans="2:47" s="1" customFormat="1" ht="10.35" customHeight="1">
      <c r="B95" s="12"/>
      <c r="L95" s="12"/>
    </row>
    <row r="96" spans="2:47" s="1" customFormat="1" ht="23.1" customHeight="1">
      <c r="B96" s="12"/>
      <c r="C96" s="59" t="s">
        <v>187</v>
      </c>
      <c r="J96" s="51">
        <f>J122</f>
        <v>9759000</v>
      </c>
      <c r="L96" s="12"/>
      <c r="AU96" s="23" t="s">
        <v>188</v>
      </c>
    </row>
    <row r="97" spans="2:12" s="29" customFormat="1" ht="24.9" customHeight="1">
      <c r="B97" s="60"/>
      <c r="D97" s="61" t="s">
        <v>189</v>
      </c>
      <c r="E97" s="62"/>
      <c r="F97" s="62"/>
      <c r="G97" s="62"/>
      <c r="H97" s="62"/>
      <c r="I97" s="62"/>
      <c r="J97" s="77">
        <f>J123</f>
        <v>9759000</v>
      </c>
      <c r="L97" s="60"/>
    </row>
    <row r="98" spans="2:12" s="30" customFormat="1" ht="20.100000000000001" customHeight="1">
      <c r="B98" s="63"/>
      <c r="D98" s="64" t="s">
        <v>190</v>
      </c>
      <c r="E98" s="65"/>
      <c r="F98" s="65"/>
      <c r="G98" s="65"/>
      <c r="H98" s="65"/>
      <c r="I98" s="65"/>
      <c r="J98" s="78">
        <f>J124</f>
        <v>304000</v>
      </c>
      <c r="L98" s="63"/>
    </row>
    <row r="99" spans="2:12" s="30" customFormat="1" ht="20.100000000000001" customHeight="1">
      <c r="B99" s="63"/>
      <c r="D99" s="64" t="s">
        <v>191</v>
      </c>
      <c r="E99" s="65"/>
      <c r="F99" s="65"/>
      <c r="G99" s="65"/>
      <c r="H99" s="65"/>
      <c r="I99" s="65"/>
      <c r="J99" s="78">
        <f>J131</f>
        <v>6970000</v>
      </c>
      <c r="L99" s="63"/>
    </row>
    <row r="100" spans="2:12" s="30" customFormat="1" ht="20.100000000000001" customHeight="1">
      <c r="B100" s="63"/>
      <c r="D100" s="64" t="s">
        <v>192</v>
      </c>
      <c r="E100" s="65"/>
      <c r="F100" s="65"/>
      <c r="G100" s="65"/>
      <c r="H100" s="65"/>
      <c r="I100" s="65"/>
      <c r="J100" s="78">
        <f>J134</f>
        <v>355000</v>
      </c>
      <c r="L100" s="63"/>
    </row>
    <row r="101" spans="2:12" s="30" customFormat="1" ht="20.100000000000001" customHeight="1">
      <c r="B101" s="63"/>
      <c r="D101" s="64" t="s">
        <v>193</v>
      </c>
      <c r="E101" s="65"/>
      <c r="F101" s="65"/>
      <c r="G101" s="65"/>
      <c r="H101" s="65"/>
      <c r="I101" s="65"/>
      <c r="J101" s="78">
        <f>J143</f>
        <v>1750000</v>
      </c>
      <c r="L101" s="63"/>
    </row>
    <row r="102" spans="2:12" s="30" customFormat="1" ht="20.100000000000001" customHeight="1">
      <c r="B102" s="63"/>
      <c r="D102" s="64" t="s">
        <v>194</v>
      </c>
      <c r="E102" s="65"/>
      <c r="F102" s="65"/>
      <c r="G102" s="65"/>
      <c r="H102" s="65"/>
      <c r="I102" s="65"/>
      <c r="J102" s="78">
        <f>J145</f>
        <v>380000</v>
      </c>
      <c r="L102" s="63"/>
    </row>
    <row r="103" spans="2:12" s="1" customFormat="1" ht="21.75" customHeight="1">
      <c r="B103" s="12"/>
      <c r="L103" s="12"/>
    </row>
    <row r="104" spans="2:12" s="1" customFormat="1" ht="6.9" customHeight="1">
      <c r="B104" s="26"/>
      <c r="C104" s="27"/>
      <c r="D104" s="27"/>
      <c r="E104" s="27"/>
      <c r="F104" s="27"/>
      <c r="G104" s="27"/>
      <c r="H104" s="27"/>
      <c r="I104" s="27"/>
      <c r="J104" s="27"/>
      <c r="K104" s="27"/>
      <c r="L104" s="12"/>
    </row>
    <row r="108" spans="2:12" s="1" customFormat="1" ht="6.9" customHeight="1">
      <c r="B108" s="56"/>
      <c r="C108" s="57"/>
      <c r="D108" s="57"/>
      <c r="E108" s="57"/>
      <c r="F108" s="57"/>
      <c r="G108" s="57"/>
      <c r="H108" s="57"/>
      <c r="I108" s="57"/>
      <c r="J108" s="57"/>
      <c r="K108" s="57"/>
      <c r="L108" s="12"/>
    </row>
    <row r="109" spans="2:12" s="1" customFormat="1" ht="24.9" customHeight="1">
      <c r="B109" s="12"/>
      <c r="C109" s="6" t="s">
        <v>195</v>
      </c>
      <c r="L109" s="12"/>
    </row>
    <row r="110" spans="2:12" s="1" customFormat="1" ht="6.9" customHeight="1">
      <c r="B110" s="12"/>
      <c r="L110" s="12"/>
    </row>
    <row r="111" spans="2:12" s="1" customFormat="1" ht="12" customHeight="1">
      <c r="B111" s="12"/>
      <c r="C111" s="10" t="s">
        <v>16</v>
      </c>
      <c r="L111" s="12"/>
    </row>
    <row r="112" spans="2:12" s="1" customFormat="1" ht="16.5" customHeight="1">
      <c r="B112" s="12"/>
      <c r="E112" s="392" t="str">
        <f>E7</f>
        <v>Bytový soubor Libuše</v>
      </c>
      <c r="F112" s="393"/>
      <c r="G112" s="393"/>
      <c r="H112" s="393"/>
      <c r="L112" s="12"/>
    </row>
    <row r="113" spans="2:65" s="1" customFormat="1" ht="12" customHeight="1">
      <c r="B113" s="12"/>
      <c r="C113" s="10" t="s">
        <v>182</v>
      </c>
      <c r="L113" s="12"/>
    </row>
    <row r="114" spans="2:65" s="1" customFormat="1" ht="16.5" customHeight="1">
      <c r="B114" s="12"/>
      <c r="E114" s="381" t="str">
        <f>E9</f>
        <v>00 - Vedlejší a ostatní náklady</v>
      </c>
      <c r="F114" s="394"/>
      <c r="G114" s="394"/>
      <c r="H114" s="394"/>
      <c r="L114" s="12"/>
    </row>
    <row r="115" spans="2:65" s="1" customFormat="1" ht="6.9" customHeight="1">
      <c r="B115" s="12"/>
      <c r="L115" s="12"/>
    </row>
    <row r="116" spans="2:65" s="1" customFormat="1" ht="12" customHeight="1">
      <c r="B116" s="12"/>
      <c r="C116" s="10" t="s">
        <v>20</v>
      </c>
      <c r="F116" s="32" t="str">
        <f>F12</f>
        <v>Praha</v>
      </c>
      <c r="I116" s="10" t="s">
        <v>22</v>
      </c>
      <c r="J116" s="11">
        <f>IF(J12="","",J12)</f>
        <v>45000</v>
      </c>
      <c r="L116" s="12"/>
    </row>
    <row r="117" spans="2:65" s="1" customFormat="1" ht="6.9" customHeight="1">
      <c r="B117" s="12"/>
      <c r="L117" s="12"/>
    </row>
    <row r="118" spans="2:65" s="1" customFormat="1" ht="15.15" customHeight="1">
      <c r="B118" s="12"/>
      <c r="C118" s="10" t="s">
        <v>23</v>
      </c>
      <c r="F118" s="32" t="str">
        <f>E15</f>
        <v>VELTON REAL ESTATE</v>
      </c>
      <c r="I118" s="10" t="s">
        <v>31</v>
      </c>
      <c r="J118" s="8" t="str">
        <f>E21</f>
        <v>ABMV World s.r.o</v>
      </c>
      <c r="L118" s="12"/>
    </row>
    <row r="119" spans="2:65" s="1" customFormat="1" ht="15.15" customHeight="1">
      <c r="B119" s="12"/>
      <c r="C119" s="10" t="s">
        <v>27</v>
      </c>
      <c r="F119" s="32" t="str">
        <f>IF(E18="","",E18)</f>
        <v>DMG Stav a.s.</v>
      </c>
      <c r="I119" s="10" t="s">
        <v>34</v>
      </c>
      <c r="J119" s="8" t="str">
        <f>E24</f>
        <v>QSB s.r.o.</v>
      </c>
      <c r="L119" s="12"/>
    </row>
    <row r="120" spans="2:65" s="1" customFormat="1" ht="10.35" customHeight="1">
      <c r="B120" s="12"/>
      <c r="L120" s="12"/>
    </row>
    <row r="121" spans="2:65" s="2" customFormat="1" ht="29.25" customHeight="1">
      <c r="B121" s="13"/>
      <c r="C121" s="14" t="s">
        <v>196</v>
      </c>
      <c r="D121" s="15" t="s">
        <v>62</v>
      </c>
      <c r="E121" s="15" t="s">
        <v>58</v>
      </c>
      <c r="F121" s="15" t="s">
        <v>59</v>
      </c>
      <c r="G121" s="15" t="s">
        <v>197</v>
      </c>
      <c r="H121" s="15" t="s">
        <v>198</v>
      </c>
      <c r="I121" s="15" t="s">
        <v>199</v>
      </c>
      <c r="J121" s="16" t="s">
        <v>186</v>
      </c>
      <c r="K121" s="79" t="s">
        <v>200</v>
      </c>
      <c r="L121" s="13"/>
      <c r="M121" s="80" t="s">
        <v>1</v>
      </c>
      <c r="N121" s="81" t="s">
        <v>41</v>
      </c>
      <c r="O121" s="81" t="s">
        <v>201</v>
      </c>
      <c r="P121" s="81" t="s">
        <v>202</v>
      </c>
      <c r="Q121" s="81" t="s">
        <v>203</v>
      </c>
      <c r="R121" s="81" t="s">
        <v>204</v>
      </c>
      <c r="S121" s="81" t="s">
        <v>205</v>
      </c>
      <c r="T121" s="96" t="s">
        <v>206</v>
      </c>
    </row>
    <row r="122" spans="2:65" s="1" customFormat="1" ht="23.1" customHeight="1">
      <c r="B122" s="12"/>
      <c r="C122" s="66" t="s">
        <v>207</v>
      </c>
      <c r="J122" s="82">
        <f>BK122</f>
        <v>9759000</v>
      </c>
      <c r="L122" s="12"/>
      <c r="M122" s="83"/>
      <c r="N122" s="35"/>
      <c r="O122" s="35"/>
      <c r="P122" s="84">
        <f>P123</f>
        <v>0</v>
      </c>
      <c r="Q122" s="35"/>
      <c r="R122" s="84">
        <f>R123</f>
        <v>0</v>
      </c>
      <c r="S122" s="35"/>
      <c r="T122" s="97">
        <f>T123</f>
        <v>0</v>
      </c>
      <c r="AT122" s="23" t="s">
        <v>76</v>
      </c>
      <c r="AU122" s="23" t="s">
        <v>188</v>
      </c>
      <c r="BK122" s="102">
        <f>BK123</f>
        <v>9759000</v>
      </c>
    </row>
    <row r="123" spans="2:65" s="31" customFormat="1" ht="26.1" customHeight="1">
      <c r="B123" s="67"/>
      <c r="D123" s="68" t="s">
        <v>76</v>
      </c>
      <c r="E123" s="69" t="s">
        <v>208</v>
      </c>
      <c r="F123" s="69" t="s">
        <v>209</v>
      </c>
      <c r="I123" s="85"/>
      <c r="J123" s="86">
        <f>BK123</f>
        <v>9759000</v>
      </c>
      <c r="L123" s="67"/>
      <c r="M123" s="87"/>
      <c r="P123" s="88">
        <f>P124+P131+P134+P143+P145</f>
        <v>0</v>
      </c>
      <c r="R123" s="88">
        <f>R124+R131+R134+R143+R145</f>
        <v>0</v>
      </c>
      <c r="T123" s="98">
        <f>T124+T131+T134+T143+T145</f>
        <v>0</v>
      </c>
      <c r="AR123" s="68" t="s">
        <v>210</v>
      </c>
      <c r="AT123" s="100" t="s">
        <v>76</v>
      </c>
      <c r="AU123" s="100" t="s">
        <v>77</v>
      </c>
      <c r="AY123" s="68" t="s">
        <v>211</v>
      </c>
      <c r="BK123" s="103">
        <f>BK124+BK131+BK134+BK143+BK145</f>
        <v>9759000</v>
      </c>
    </row>
    <row r="124" spans="2:65" s="31" customFormat="1" ht="23.1" customHeight="1">
      <c r="B124" s="67"/>
      <c r="D124" s="68" t="s">
        <v>76</v>
      </c>
      <c r="E124" s="70" t="s">
        <v>212</v>
      </c>
      <c r="F124" s="70" t="s">
        <v>213</v>
      </c>
      <c r="I124" s="85"/>
      <c r="J124" s="89">
        <f>BK124</f>
        <v>304000</v>
      </c>
      <c r="L124" s="67"/>
      <c r="M124" s="87"/>
      <c r="P124" s="88">
        <f>SUM(P125:P130)</f>
        <v>0</v>
      </c>
      <c r="R124" s="88">
        <f>SUM(R125:R130)</f>
        <v>0</v>
      </c>
      <c r="T124" s="98">
        <f>SUM(T125:T130)</f>
        <v>0</v>
      </c>
      <c r="AR124" s="68" t="s">
        <v>210</v>
      </c>
      <c r="AT124" s="100" t="s">
        <v>76</v>
      </c>
      <c r="AU124" s="100" t="s">
        <v>85</v>
      </c>
      <c r="AY124" s="68" t="s">
        <v>211</v>
      </c>
      <c r="BK124" s="103">
        <f>SUM(BK125:BK130)</f>
        <v>304000</v>
      </c>
    </row>
    <row r="125" spans="2:65" s="1" customFormat="1" ht="24.15" customHeight="1">
      <c r="B125" s="12"/>
      <c r="C125" s="71" t="s">
        <v>85</v>
      </c>
      <c r="D125" s="71" t="s">
        <v>214</v>
      </c>
      <c r="E125" s="72" t="s">
        <v>215</v>
      </c>
      <c r="F125" s="73" t="s">
        <v>216</v>
      </c>
      <c r="G125" s="74" t="s">
        <v>217</v>
      </c>
      <c r="H125" s="75">
        <v>1</v>
      </c>
      <c r="I125" s="90">
        <v>20000</v>
      </c>
      <c r="J125" s="91">
        <f>ROUND(I125*H125,2)</f>
        <v>20000</v>
      </c>
      <c r="K125" s="92"/>
      <c r="L125" s="12"/>
      <c r="M125" s="93" t="s">
        <v>1</v>
      </c>
      <c r="N125" s="94" t="s">
        <v>42</v>
      </c>
      <c r="P125" s="95">
        <f>O125*H125</f>
        <v>0</v>
      </c>
      <c r="Q125" s="95">
        <v>0</v>
      </c>
      <c r="R125" s="95">
        <f>Q125*H125</f>
        <v>0</v>
      </c>
      <c r="S125" s="95">
        <v>0</v>
      </c>
      <c r="T125" s="99">
        <f>S125*H125</f>
        <v>0</v>
      </c>
      <c r="AR125" s="101" t="s">
        <v>218</v>
      </c>
      <c r="AT125" s="101" t="s">
        <v>214</v>
      </c>
      <c r="AU125" s="101" t="s">
        <v>87</v>
      </c>
      <c r="AY125" s="23" t="s">
        <v>211</v>
      </c>
      <c r="BE125" s="104">
        <f>IF(N125="základní",J125,0)</f>
        <v>20000</v>
      </c>
      <c r="BF125" s="104">
        <f>IF(N125="snížená",J125,0)</f>
        <v>0</v>
      </c>
      <c r="BG125" s="104">
        <f>IF(N125="zákl. přenesená",J125,0)</f>
        <v>0</v>
      </c>
      <c r="BH125" s="104">
        <f>IF(N125="sníž. přenesená",J125,0)</f>
        <v>0</v>
      </c>
      <c r="BI125" s="104">
        <f>IF(N125="nulová",J125,0)</f>
        <v>0</v>
      </c>
      <c r="BJ125" s="23" t="s">
        <v>85</v>
      </c>
      <c r="BK125" s="104">
        <f>ROUND(I125*H125,2)</f>
        <v>20000</v>
      </c>
      <c r="BL125" s="23" t="s">
        <v>218</v>
      </c>
      <c r="BM125" s="101" t="s">
        <v>219</v>
      </c>
    </row>
    <row r="126" spans="2:65" s="1" customFormat="1" ht="38.1" customHeight="1">
      <c r="B126" s="12"/>
      <c r="C126" s="71" t="s">
        <v>87</v>
      </c>
      <c r="D126" s="71" t="s">
        <v>214</v>
      </c>
      <c r="E126" s="72" t="s">
        <v>220</v>
      </c>
      <c r="F126" s="73" t="s">
        <v>221</v>
      </c>
      <c r="G126" s="74" t="s">
        <v>217</v>
      </c>
      <c r="H126" s="75">
        <v>1</v>
      </c>
      <c r="I126" s="90">
        <v>40000</v>
      </c>
      <c r="J126" s="91">
        <f>ROUND(I126*H126,2)</f>
        <v>40000</v>
      </c>
      <c r="K126" s="92"/>
      <c r="L126" s="12"/>
      <c r="M126" s="93" t="s">
        <v>1</v>
      </c>
      <c r="N126" s="94" t="s">
        <v>42</v>
      </c>
      <c r="P126" s="95">
        <f>O126*H126</f>
        <v>0</v>
      </c>
      <c r="Q126" s="95">
        <v>0</v>
      </c>
      <c r="R126" s="95">
        <f>Q126*H126</f>
        <v>0</v>
      </c>
      <c r="S126" s="95">
        <v>0</v>
      </c>
      <c r="T126" s="99">
        <f>S126*H126</f>
        <v>0</v>
      </c>
      <c r="AR126" s="101" t="s">
        <v>218</v>
      </c>
      <c r="AT126" s="101" t="s">
        <v>214</v>
      </c>
      <c r="AU126" s="101" t="s">
        <v>87</v>
      </c>
      <c r="AY126" s="23" t="s">
        <v>211</v>
      </c>
      <c r="BE126" s="104">
        <f>IF(N126="základní",J126,0)</f>
        <v>40000</v>
      </c>
      <c r="BF126" s="104">
        <f>IF(N126="snížená",J126,0)</f>
        <v>0</v>
      </c>
      <c r="BG126" s="104">
        <f>IF(N126="zákl. přenesená",J126,0)</f>
        <v>0</v>
      </c>
      <c r="BH126" s="104">
        <f>IF(N126="sníž. přenesená",J126,0)</f>
        <v>0</v>
      </c>
      <c r="BI126" s="104">
        <f>IF(N126="nulová",J126,0)</f>
        <v>0</v>
      </c>
      <c r="BJ126" s="23" t="s">
        <v>85</v>
      </c>
      <c r="BK126" s="104">
        <f>ROUND(I126*H126,2)</f>
        <v>40000</v>
      </c>
      <c r="BL126" s="23" t="s">
        <v>218</v>
      </c>
      <c r="BM126" s="101" t="s">
        <v>222</v>
      </c>
    </row>
    <row r="127" spans="2:65" s="1" customFormat="1" ht="24.15" customHeight="1">
      <c r="B127" s="12"/>
      <c r="C127" s="71" t="s">
        <v>137</v>
      </c>
      <c r="D127" s="71" t="s">
        <v>214</v>
      </c>
      <c r="E127" s="72" t="s">
        <v>223</v>
      </c>
      <c r="F127" s="73" t="s">
        <v>224</v>
      </c>
      <c r="G127" s="74" t="s">
        <v>225</v>
      </c>
      <c r="H127" s="75">
        <v>1</v>
      </c>
      <c r="I127" s="90">
        <v>45000</v>
      </c>
      <c r="J127" s="91">
        <f>ROUND(I127*H127,2)</f>
        <v>45000</v>
      </c>
      <c r="K127" s="92"/>
      <c r="L127" s="12"/>
      <c r="M127" s="93" t="s">
        <v>1</v>
      </c>
      <c r="N127" s="94" t="s">
        <v>42</v>
      </c>
      <c r="P127" s="95">
        <f>O127*H127</f>
        <v>0</v>
      </c>
      <c r="Q127" s="95">
        <v>0</v>
      </c>
      <c r="R127" s="95">
        <f>Q127*H127</f>
        <v>0</v>
      </c>
      <c r="S127" s="95">
        <v>0</v>
      </c>
      <c r="T127" s="99">
        <f>S127*H127</f>
        <v>0</v>
      </c>
      <c r="AR127" s="101" t="s">
        <v>218</v>
      </c>
      <c r="AT127" s="101" t="s">
        <v>214</v>
      </c>
      <c r="AU127" s="101" t="s">
        <v>87</v>
      </c>
      <c r="AY127" s="23" t="s">
        <v>211</v>
      </c>
      <c r="BE127" s="104">
        <f>IF(N127="základní",J127,0)</f>
        <v>45000</v>
      </c>
      <c r="BF127" s="104">
        <f>IF(N127="snížená",J127,0)</f>
        <v>0</v>
      </c>
      <c r="BG127" s="104">
        <f>IF(N127="zákl. přenesená",J127,0)</f>
        <v>0</v>
      </c>
      <c r="BH127" s="104">
        <f>IF(N127="sníž. přenesená",J127,0)</f>
        <v>0</v>
      </c>
      <c r="BI127" s="104">
        <f>IF(N127="nulová",J127,0)</f>
        <v>0</v>
      </c>
      <c r="BJ127" s="23" t="s">
        <v>85</v>
      </c>
      <c r="BK127" s="104">
        <f>ROUND(I127*H127,2)</f>
        <v>45000</v>
      </c>
      <c r="BL127" s="23" t="s">
        <v>218</v>
      </c>
      <c r="BM127" s="101" t="s">
        <v>226</v>
      </c>
    </row>
    <row r="128" spans="2:65" s="1" customFormat="1" ht="57.6">
      <c r="B128" s="12"/>
      <c r="D128" s="105" t="s">
        <v>227</v>
      </c>
      <c r="F128" s="106" t="s">
        <v>228</v>
      </c>
      <c r="I128" s="107"/>
      <c r="L128" s="12"/>
      <c r="M128" s="108"/>
      <c r="T128" s="111"/>
      <c r="AT128" s="23" t="s">
        <v>227</v>
      </c>
      <c r="AU128" s="23" t="s">
        <v>87</v>
      </c>
    </row>
    <row r="129" spans="2:65" s="1" customFormat="1" ht="24.15" customHeight="1">
      <c r="B129" s="12"/>
      <c r="C129" s="71" t="s">
        <v>218</v>
      </c>
      <c r="D129" s="71" t="s">
        <v>214</v>
      </c>
      <c r="E129" s="72" t="s">
        <v>229</v>
      </c>
      <c r="F129" s="73" t="s">
        <v>230</v>
      </c>
      <c r="G129" s="74" t="s">
        <v>217</v>
      </c>
      <c r="H129" s="75">
        <v>1</v>
      </c>
      <c r="I129" s="90">
        <v>24000</v>
      </c>
      <c r="J129" s="91">
        <f>ROUND(I129*H129,2)</f>
        <v>24000</v>
      </c>
      <c r="K129" s="92"/>
      <c r="L129" s="12"/>
      <c r="M129" s="93" t="s">
        <v>1</v>
      </c>
      <c r="N129" s="94" t="s">
        <v>42</v>
      </c>
      <c r="P129" s="95">
        <f>O129*H129</f>
        <v>0</v>
      </c>
      <c r="Q129" s="95">
        <v>0</v>
      </c>
      <c r="R129" s="95">
        <f>Q129*H129</f>
        <v>0</v>
      </c>
      <c r="S129" s="95">
        <v>0</v>
      </c>
      <c r="T129" s="99">
        <f>S129*H129</f>
        <v>0</v>
      </c>
      <c r="AR129" s="101" t="s">
        <v>218</v>
      </c>
      <c r="AT129" s="101" t="s">
        <v>214</v>
      </c>
      <c r="AU129" s="101" t="s">
        <v>87</v>
      </c>
      <c r="AY129" s="23" t="s">
        <v>211</v>
      </c>
      <c r="BE129" s="104">
        <f>IF(N129="základní",J129,0)</f>
        <v>24000</v>
      </c>
      <c r="BF129" s="104">
        <f>IF(N129="snížená",J129,0)</f>
        <v>0</v>
      </c>
      <c r="BG129" s="104">
        <f>IF(N129="zákl. přenesená",J129,0)</f>
        <v>0</v>
      </c>
      <c r="BH129" s="104">
        <f>IF(N129="sníž. přenesená",J129,0)</f>
        <v>0</v>
      </c>
      <c r="BI129" s="104">
        <f>IF(N129="nulová",J129,0)</f>
        <v>0</v>
      </c>
      <c r="BJ129" s="23" t="s">
        <v>85</v>
      </c>
      <c r="BK129" s="104">
        <f>ROUND(I129*H129,2)</f>
        <v>24000</v>
      </c>
      <c r="BL129" s="23" t="s">
        <v>218</v>
      </c>
      <c r="BM129" s="101" t="s">
        <v>231</v>
      </c>
    </row>
    <row r="130" spans="2:65" s="1" customFormat="1" ht="16.5" customHeight="1">
      <c r="B130" s="12"/>
      <c r="C130" s="71" t="s">
        <v>210</v>
      </c>
      <c r="D130" s="71" t="s">
        <v>214</v>
      </c>
      <c r="E130" s="72" t="s">
        <v>232</v>
      </c>
      <c r="F130" s="73" t="s">
        <v>233</v>
      </c>
      <c r="G130" s="74" t="s">
        <v>234</v>
      </c>
      <c r="H130" s="75">
        <v>1</v>
      </c>
      <c r="I130" s="90">
        <v>175000</v>
      </c>
      <c r="J130" s="91">
        <f>ROUND(I130*H130,2)</f>
        <v>175000</v>
      </c>
      <c r="K130" s="92"/>
      <c r="L130" s="12"/>
      <c r="M130" s="93" t="s">
        <v>1</v>
      </c>
      <c r="N130" s="94" t="s">
        <v>42</v>
      </c>
      <c r="P130" s="95">
        <f>O130*H130</f>
        <v>0</v>
      </c>
      <c r="Q130" s="95">
        <v>0</v>
      </c>
      <c r="R130" s="95">
        <f>Q130*H130</f>
        <v>0</v>
      </c>
      <c r="S130" s="95">
        <v>0</v>
      </c>
      <c r="T130" s="99">
        <f>S130*H130</f>
        <v>0</v>
      </c>
      <c r="AR130" s="101" t="s">
        <v>235</v>
      </c>
      <c r="AT130" s="101" t="s">
        <v>214</v>
      </c>
      <c r="AU130" s="101" t="s">
        <v>87</v>
      </c>
      <c r="AY130" s="23" t="s">
        <v>211</v>
      </c>
      <c r="BE130" s="104">
        <f>IF(N130="základní",J130,0)</f>
        <v>175000</v>
      </c>
      <c r="BF130" s="104">
        <f>IF(N130="snížená",J130,0)</f>
        <v>0</v>
      </c>
      <c r="BG130" s="104">
        <f>IF(N130="zákl. přenesená",J130,0)</f>
        <v>0</v>
      </c>
      <c r="BH130" s="104">
        <f>IF(N130="sníž. přenesená",J130,0)</f>
        <v>0</v>
      </c>
      <c r="BI130" s="104">
        <f>IF(N130="nulová",J130,0)</f>
        <v>0</v>
      </c>
      <c r="BJ130" s="23" t="s">
        <v>85</v>
      </c>
      <c r="BK130" s="104">
        <f>ROUND(I130*H130,2)</f>
        <v>175000</v>
      </c>
      <c r="BL130" s="23" t="s">
        <v>235</v>
      </c>
      <c r="BM130" s="101" t="s">
        <v>236</v>
      </c>
    </row>
    <row r="131" spans="2:65" s="31" customFormat="1" ht="23.1" customHeight="1">
      <c r="B131" s="67"/>
      <c r="D131" s="68" t="s">
        <v>76</v>
      </c>
      <c r="E131" s="70" t="s">
        <v>237</v>
      </c>
      <c r="F131" s="70" t="s">
        <v>238</v>
      </c>
      <c r="I131" s="85"/>
      <c r="J131" s="89">
        <f>BK131</f>
        <v>6970000</v>
      </c>
      <c r="L131" s="67"/>
      <c r="M131" s="87"/>
      <c r="P131" s="88">
        <f>SUM(P132:P133)</f>
        <v>0</v>
      </c>
      <c r="R131" s="88">
        <f>SUM(R132:R133)</f>
        <v>0</v>
      </c>
      <c r="T131" s="98">
        <f>SUM(T132:T133)</f>
        <v>0</v>
      </c>
      <c r="AR131" s="68" t="s">
        <v>210</v>
      </c>
      <c r="AT131" s="100" t="s">
        <v>76</v>
      </c>
      <c r="AU131" s="100" t="s">
        <v>85</v>
      </c>
      <c r="AY131" s="68" t="s">
        <v>211</v>
      </c>
      <c r="BK131" s="103">
        <f>SUM(BK132:BK133)</f>
        <v>6970000</v>
      </c>
    </row>
    <row r="132" spans="2:65" s="1" customFormat="1" ht="16.5" customHeight="1">
      <c r="B132" s="12"/>
      <c r="C132" s="71" t="s">
        <v>239</v>
      </c>
      <c r="D132" s="71" t="s">
        <v>214</v>
      </c>
      <c r="E132" s="72" t="s">
        <v>240</v>
      </c>
      <c r="F132" s="73" t="s">
        <v>238</v>
      </c>
      <c r="G132" s="74" t="s">
        <v>234</v>
      </c>
      <c r="H132" s="75">
        <v>1</v>
      </c>
      <c r="I132" s="90">
        <v>6970000</v>
      </c>
      <c r="J132" s="91">
        <f>ROUND(I132*H132,2)</f>
        <v>6970000</v>
      </c>
      <c r="K132" s="92"/>
      <c r="L132" s="12"/>
      <c r="M132" s="93" t="s">
        <v>1</v>
      </c>
      <c r="N132" s="94" t="s">
        <v>42</v>
      </c>
      <c r="P132" s="95">
        <f>O132*H132</f>
        <v>0</v>
      </c>
      <c r="Q132" s="95">
        <v>0</v>
      </c>
      <c r="R132" s="95">
        <f>Q132*H132</f>
        <v>0</v>
      </c>
      <c r="S132" s="95">
        <v>0</v>
      </c>
      <c r="T132" s="99">
        <f>S132*H132</f>
        <v>0</v>
      </c>
      <c r="AR132" s="101" t="s">
        <v>235</v>
      </c>
      <c r="AT132" s="101" t="s">
        <v>214</v>
      </c>
      <c r="AU132" s="101" t="s">
        <v>87</v>
      </c>
      <c r="AY132" s="23" t="s">
        <v>211</v>
      </c>
      <c r="BE132" s="104">
        <f>IF(N132="základní",J132,0)</f>
        <v>6970000</v>
      </c>
      <c r="BF132" s="104">
        <f>IF(N132="snížená",J132,0)</f>
        <v>0</v>
      </c>
      <c r="BG132" s="104">
        <f>IF(N132="zákl. přenesená",J132,0)</f>
        <v>0</v>
      </c>
      <c r="BH132" s="104">
        <f>IF(N132="sníž. přenesená",J132,0)</f>
        <v>0</v>
      </c>
      <c r="BI132" s="104">
        <f>IF(N132="nulová",J132,0)</f>
        <v>0</v>
      </c>
      <c r="BJ132" s="23" t="s">
        <v>85</v>
      </c>
      <c r="BK132" s="104">
        <f>ROUND(I132*H132,2)</f>
        <v>6970000</v>
      </c>
      <c r="BL132" s="23" t="s">
        <v>235</v>
      </c>
      <c r="BM132" s="101" t="s">
        <v>241</v>
      </c>
    </row>
    <row r="133" spans="2:65" s="1" customFormat="1" ht="163.19999999999999">
      <c r="B133" s="12"/>
      <c r="D133" s="105" t="s">
        <v>227</v>
      </c>
      <c r="F133" s="106" t="s">
        <v>242</v>
      </c>
      <c r="I133" s="107"/>
      <c r="L133" s="12"/>
      <c r="M133" s="108"/>
      <c r="T133" s="111"/>
      <c r="AT133" s="23" t="s">
        <v>227</v>
      </c>
      <c r="AU133" s="23" t="s">
        <v>87</v>
      </c>
    </row>
    <row r="134" spans="2:65" s="31" customFormat="1" ht="23.1" customHeight="1">
      <c r="B134" s="67"/>
      <c r="D134" s="68" t="s">
        <v>76</v>
      </c>
      <c r="E134" s="70" t="s">
        <v>243</v>
      </c>
      <c r="F134" s="70" t="s">
        <v>244</v>
      </c>
      <c r="I134" s="85"/>
      <c r="J134" s="89">
        <f>BK134</f>
        <v>355000</v>
      </c>
      <c r="L134" s="67"/>
      <c r="M134" s="87"/>
      <c r="P134" s="88">
        <f>SUM(P135:P142)</f>
        <v>0</v>
      </c>
      <c r="R134" s="88">
        <f>SUM(R135:R142)</f>
        <v>0</v>
      </c>
      <c r="T134" s="98">
        <f>SUM(T135:T142)</f>
        <v>0</v>
      </c>
      <c r="AR134" s="68" t="s">
        <v>210</v>
      </c>
      <c r="AT134" s="100" t="s">
        <v>76</v>
      </c>
      <c r="AU134" s="100" t="s">
        <v>85</v>
      </c>
      <c r="AY134" s="68" t="s">
        <v>211</v>
      </c>
      <c r="BK134" s="103">
        <f>SUM(BK135:BK142)</f>
        <v>355000</v>
      </c>
    </row>
    <row r="135" spans="2:65" s="1" customFormat="1" ht="16.5" customHeight="1">
      <c r="B135" s="12"/>
      <c r="C135" s="71" t="s">
        <v>245</v>
      </c>
      <c r="D135" s="71" t="s">
        <v>214</v>
      </c>
      <c r="E135" s="72" t="s">
        <v>246</v>
      </c>
      <c r="F135" s="73" t="s">
        <v>247</v>
      </c>
      <c r="G135" s="74" t="s">
        <v>217</v>
      </c>
      <c r="H135" s="75">
        <v>1</v>
      </c>
      <c r="I135" s="90">
        <v>75000</v>
      </c>
      <c r="J135" s="91">
        <f>ROUND(I135*H135,2)</f>
        <v>75000</v>
      </c>
      <c r="K135" s="92"/>
      <c r="L135" s="12"/>
      <c r="M135" s="93" t="s">
        <v>1</v>
      </c>
      <c r="N135" s="94" t="s">
        <v>42</v>
      </c>
      <c r="P135" s="95">
        <f>O135*H135</f>
        <v>0</v>
      </c>
      <c r="Q135" s="95">
        <v>0</v>
      </c>
      <c r="R135" s="95">
        <f>Q135*H135</f>
        <v>0</v>
      </c>
      <c r="S135" s="95">
        <v>0</v>
      </c>
      <c r="T135" s="99">
        <f>S135*H135</f>
        <v>0</v>
      </c>
      <c r="AR135" s="101" t="s">
        <v>218</v>
      </c>
      <c r="AT135" s="101" t="s">
        <v>214</v>
      </c>
      <c r="AU135" s="101" t="s">
        <v>87</v>
      </c>
      <c r="AY135" s="23" t="s">
        <v>211</v>
      </c>
      <c r="BE135" s="104">
        <f>IF(N135="základní",J135,0)</f>
        <v>75000</v>
      </c>
      <c r="BF135" s="104">
        <f>IF(N135="snížená",J135,0)</f>
        <v>0</v>
      </c>
      <c r="BG135" s="104">
        <f>IF(N135="zákl. přenesená",J135,0)</f>
        <v>0</v>
      </c>
      <c r="BH135" s="104">
        <f>IF(N135="sníž. přenesená",J135,0)</f>
        <v>0</v>
      </c>
      <c r="BI135" s="104">
        <f>IF(N135="nulová",J135,0)</f>
        <v>0</v>
      </c>
      <c r="BJ135" s="23" t="s">
        <v>85</v>
      </c>
      <c r="BK135" s="104">
        <f>ROUND(I135*H135,2)</f>
        <v>75000</v>
      </c>
      <c r="BL135" s="23" t="s">
        <v>218</v>
      </c>
      <c r="BM135" s="101" t="s">
        <v>248</v>
      </c>
    </row>
    <row r="136" spans="2:65" s="1" customFormat="1" ht="57.6">
      <c r="B136" s="12"/>
      <c r="D136" s="105" t="s">
        <v>227</v>
      </c>
      <c r="F136" s="106" t="s">
        <v>249</v>
      </c>
      <c r="I136" s="107"/>
      <c r="L136" s="12"/>
      <c r="M136" s="108"/>
      <c r="T136" s="111"/>
      <c r="AT136" s="23" t="s">
        <v>227</v>
      </c>
      <c r="AU136" s="23" t="s">
        <v>87</v>
      </c>
    </row>
    <row r="137" spans="2:65" s="1" customFormat="1" ht="24.15" customHeight="1">
      <c r="B137" s="12"/>
      <c r="C137" s="71" t="s">
        <v>250</v>
      </c>
      <c r="D137" s="71" t="s">
        <v>214</v>
      </c>
      <c r="E137" s="72" t="s">
        <v>251</v>
      </c>
      <c r="F137" s="73" t="s">
        <v>252</v>
      </c>
      <c r="G137" s="74" t="s">
        <v>217</v>
      </c>
      <c r="H137" s="75">
        <v>1</v>
      </c>
      <c r="I137" s="90">
        <v>130000</v>
      </c>
      <c r="J137" s="91">
        <f>ROUND(I137*H137,2)</f>
        <v>130000</v>
      </c>
      <c r="K137" s="92"/>
      <c r="L137" s="12"/>
      <c r="M137" s="93" t="s">
        <v>1</v>
      </c>
      <c r="N137" s="94" t="s">
        <v>42</v>
      </c>
      <c r="P137" s="95">
        <f>O137*H137</f>
        <v>0</v>
      </c>
      <c r="Q137" s="95">
        <v>0</v>
      </c>
      <c r="R137" s="95">
        <f>Q137*H137</f>
        <v>0</v>
      </c>
      <c r="S137" s="95">
        <v>0</v>
      </c>
      <c r="T137" s="99">
        <f>S137*H137</f>
        <v>0</v>
      </c>
      <c r="AR137" s="101" t="s">
        <v>218</v>
      </c>
      <c r="AT137" s="101" t="s">
        <v>214</v>
      </c>
      <c r="AU137" s="101" t="s">
        <v>87</v>
      </c>
      <c r="AY137" s="23" t="s">
        <v>211</v>
      </c>
      <c r="BE137" s="104">
        <f>IF(N137="základní",J137,0)</f>
        <v>130000</v>
      </c>
      <c r="BF137" s="104">
        <f>IF(N137="snížená",J137,0)</f>
        <v>0</v>
      </c>
      <c r="BG137" s="104">
        <f>IF(N137="zákl. přenesená",J137,0)</f>
        <v>0</v>
      </c>
      <c r="BH137" s="104">
        <f>IF(N137="sníž. přenesená",J137,0)</f>
        <v>0</v>
      </c>
      <c r="BI137" s="104">
        <f>IF(N137="nulová",J137,0)</f>
        <v>0</v>
      </c>
      <c r="BJ137" s="23" t="s">
        <v>85</v>
      </c>
      <c r="BK137" s="104">
        <f>ROUND(I137*H137,2)</f>
        <v>130000</v>
      </c>
      <c r="BL137" s="23" t="s">
        <v>218</v>
      </c>
      <c r="BM137" s="101" t="s">
        <v>253</v>
      </c>
    </row>
    <row r="138" spans="2:65" s="1" customFormat="1" ht="38.4">
      <c r="B138" s="12"/>
      <c r="D138" s="105" t="s">
        <v>227</v>
      </c>
      <c r="F138" s="106" t="s">
        <v>254</v>
      </c>
      <c r="I138" s="107"/>
      <c r="L138" s="12"/>
      <c r="M138" s="108"/>
      <c r="T138" s="111"/>
      <c r="AT138" s="23" t="s">
        <v>227</v>
      </c>
      <c r="AU138" s="23" t="s">
        <v>87</v>
      </c>
    </row>
    <row r="139" spans="2:65" s="1" customFormat="1" ht="16.5" customHeight="1">
      <c r="B139" s="12"/>
      <c r="C139" s="71" t="s">
        <v>255</v>
      </c>
      <c r="D139" s="71" t="s">
        <v>214</v>
      </c>
      <c r="E139" s="72" t="s">
        <v>256</v>
      </c>
      <c r="F139" s="73" t="s">
        <v>257</v>
      </c>
      <c r="G139" s="74" t="s">
        <v>217</v>
      </c>
      <c r="H139" s="75">
        <v>1</v>
      </c>
      <c r="I139" s="90">
        <v>120000</v>
      </c>
      <c r="J139" s="91">
        <f>ROUND(I139*H139,2)</f>
        <v>120000</v>
      </c>
      <c r="K139" s="92"/>
      <c r="L139" s="12"/>
      <c r="M139" s="93" t="s">
        <v>1</v>
      </c>
      <c r="N139" s="94" t="s">
        <v>42</v>
      </c>
      <c r="P139" s="95">
        <f>O139*H139</f>
        <v>0</v>
      </c>
      <c r="Q139" s="95">
        <v>0</v>
      </c>
      <c r="R139" s="95">
        <f>Q139*H139</f>
        <v>0</v>
      </c>
      <c r="S139" s="95">
        <v>0</v>
      </c>
      <c r="T139" s="99">
        <f>S139*H139</f>
        <v>0</v>
      </c>
      <c r="AR139" s="101" t="s">
        <v>218</v>
      </c>
      <c r="AT139" s="101" t="s">
        <v>214</v>
      </c>
      <c r="AU139" s="101" t="s">
        <v>87</v>
      </c>
      <c r="AY139" s="23" t="s">
        <v>211</v>
      </c>
      <c r="BE139" s="104">
        <f>IF(N139="základní",J139,0)</f>
        <v>120000</v>
      </c>
      <c r="BF139" s="104">
        <f>IF(N139="snížená",J139,0)</f>
        <v>0</v>
      </c>
      <c r="BG139" s="104">
        <f>IF(N139="zákl. přenesená",J139,0)</f>
        <v>0</v>
      </c>
      <c r="BH139" s="104">
        <f>IF(N139="sníž. přenesená",J139,0)</f>
        <v>0</v>
      </c>
      <c r="BI139" s="104">
        <f>IF(N139="nulová",J139,0)</f>
        <v>0</v>
      </c>
      <c r="BJ139" s="23" t="s">
        <v>85</v>
      </c>
      <c r="BK139" s="104">
        <f>ROUND(I139*H139,2)</f>
        <v>120000</v>
      </c>
      <c r="BL139" s="23" t="s">
        <v>218</v>
      </c>
      <c r="BM139" s="101" t="s">
        <v>258</v>
      </c>
    </row>
    <row r="140" spans="2:65" s="1" customFormat="1" ht="38.4">
      <c r="B140" s="12"/>
      <c r="D140" s="105" t="s">
        <v>227</v>
      </c>
      <c r="F140" s="106" t="s">
        <v>254</v>
      </c>
      <c r="I140" s="107"/>
      <c r="L140" s="12"/>
      <c r="M140" s="108"/>
      <c r="T140" s="111"/>
      <c r="AT140" s="23" t="s">
        <v>227</v>
      </c>
      <c r="AU140" s="23" t="s">
        <v>87</v>
      </c>
    </row>
    <row r="141" spans="2:65" s="1" customFormat="1" ht="16.5" customHeight="1">
      <c r="B141" s="12"/>
      <c r="C141" s="71" t="s">
        <v>259</v>
      </c>
      <c r="D141" s="71" t="s">
        <v>214</v>
      </c>
      <c r="E141" s="72" t="s">
        <v>260</v>
      </c>
      <c r="F141" s="73" t="s">
        <v>261</v>
      </c>
      <c r="G141" s="74" t="s">
        <v>217</v>
      </c>
      <c r="H141" s="75">
        <v>1</v>
      </c>
      <c r="I141" s="90">
        <v>30000</v>
      </c>
      <c r="J141" s="91">
        <f>ROUND(I141*H141,2)</f>
        <v>30000</v>
      </c>
      <c r="K141" s="92"/>
      <c r="L141" s="12"/>
      <c r="M141" s="93" t="s">
        <v>1</v>
      </c>
      <c r="N141" s="94" t="s">
        <v>42</v>
      </c>
      <c r="P141" s="95">
        <f>O141*H141</f>
        <v>0</v>
      </c>
      <c r="Q141" s="95">
        <v>0</v>
      </c>
      <c r="R141" s="95">
        <f>Q141*H141</f>
        <v>0</v>
      </c>
      <c r="S141" s="95">
        <v>0</v>
      </c>
      <c r="T141" s="99">
        <f>S141*H141</f>
        <v>0</v>
      </c>
      <c r="AR141" s="101" t="s">
        <v>218</v>
      </c>
      <c r="AT141" s="101" t="s">
        <v>214</v>
      </c>
      <c r="AU141" s="101" t="s">
        <v>87</v>
      </c>
      <c r="AY141" s="23" t="s">
        <v>211</v>
      </c>
      <c r="BE141" s="104">
        <f>IF(N141="základní",J141,0)</f>
        <v>30000</v>
      </c>
      <c r="BF141" s="104">
        <f>IF(N141="snížená",J141,0)</f>
        <v>0</v>
      </c>
      <c r="BG141" s="104">
        <f>IF(N141="zákl. přenesená",J141,0)</f>
        <v>0</v>
      </c>
      <c r="BH141" s="104">
        <f>IF(N141="sníž. přenesená",J141,0)</f>
        <v>0</v>
      </c>
      <c r="BI141" s="104">
        <f>IF(N141="nulová",J141,0)</f>
        <v>0</v>
      </c>
      <c r="BJ141" s="23" t="s">
        <v>85</v>
      </c>
      <c r="BK141" s="104">
        <f>ROUND(I141*H141,2)</f>
        <v>30000</v>
      </c>
      <c r="BL141" s="23" t="s">
        <v>218</v>
      </c>
      <c r="BM141" s="101" t="s">
        <v>262</v>
      </c>
    </row>
    <row r="142" spans="2:65" s="1" customFormat="1" ht="38.4">
      <c r="B142" s="12"/>
      <c r="D142" s="105" t="s">
        <v>227</v>
      </c>
      <c r="F142" s="106" t="s">
        <v>263</v>
      </c>
      <c r="I142" s="107"/>
      <c r="L142" s="12"/>
      <c r="M142" s="108"/>
      <c r="T142" s="111"/>
      <c r="AT142" s="23" t="s">
        <v>227</v>
      </c>
      <c r="AU142" s="23" t="s">
        <v>87</v>
      </c>
    </row>
    <row r="143" spans="2:65" s="31" customFormat="1" ht="23.1" customHeight="1">
      <c r="B143" s="67"/>
      <c r="D143" s="68" t="s">
        <v>76</v>
      </c>
      <c r="E143" s="70" t="s">
        <v>264</v>
      </c>
      <c r="F143" s="70" t="s">
        <v>265</v>
      </c>
      <c r="I143" s="85"/>
      <c r="J143" s="89">
        <f>BK143</f>
        <v>1750000</v>
      </c>
      <c r="L143" s="67"/>
      <c r="M143" s="87"/>
      <c r="P143" s="88">
        <f>P144</f>
        <v>0</v>
      </c>
      <c r="R143" s="88">
        <f>R144</f>
        <v>0</v>
      </c>
      <c r="T143" s="98">
        <f>T144</f>
        <v>0</v>
      </c>
      <c r="AR143" s="68" t="s">
        <v>218</v>
      </c>
      <c r="AT143" s="100" t="s">
        <v>76</v>
      </c>
      <c r="AU143" s="100" t="s">
        <v>85</v>
      </c>
      <c r="AY143" s="68" t="s">
        <v>211</v>
      </c>
      <c r="BK143" s="103">
        <f>BK144</f>
        <v>1750000</v>
      </c>
    </row>
    <row r="144" spans="2:65" s="1" customFormat="1" ht="16.5" customHeight="1">
      <c r="B144" s="12"/>
      <c r="C144" s="71" t="s">
        <v>266</v>
      </c>
      <c r="D144" s="71" t="s">
        <v>214</v>
      </c>
      <c r="E144" s="72" t="s">
        <v>267</v>
      </c>
      <c r="F144" s="73" t="s">
        <v>268</v>
      </c>
      <c r="G144" s="74" t="s">
        <v>269</v>
      </c>
      <c r="H144" s="75">
        <v>1</v>
      </c>
      <c r="I144" s="90">
        <v>1750000</v>
      </c>
      <c r="J144" s="91">
        <f>ROUND(I144*H144,2)</f>
        <v>1750000</v>
      </c>
      <c r="K144" s="92"/>
      <c r="L144" s="12"/>
      <c r="M144" s="93" t="s">
        <v>1</v>
      </c>
      <c r="N144" s="94" t="s">
        <v>42</v>
      </c>
      <c r="P144" s="95">
        <f>O144*H144</f>
        <v>0</v>
      </c>
      <c r="Q144" s="95">
        <v>0</v>
      </c>
      <c r="R144" s="95">
        <f>Q144*H144</f>
        <v>0</v>
      </c>
      <c r="S144" s="95">
        <v>0</v>
      </c>
      <c r="T144" s="99">
        <f>S144*H144</f>
        <v>0</v>
      </c>
      <c r="AR144" s="101" t="s">
        <v>218</v>
      </c>
      <c r="AT144" s="101" t="s">
        <v>214</v>
      </c>
      <c r="AU144" s="101" t="s">
        <v>87</v>
      </c>
      <c r="AY144" s="23" t="s">
        <v>211</v>
      </c>
      <c r="BE144" s="104">
        <f>IF(N144="základní",J144,0)</f>
        <v>1750000</v>
      </c>
      <c r="BF144" s="104">
        <f>IF(N144="snížená",J144,0)</f>
        <v>0</v>
      </c>
      <c r="BG144" s="104">
        <f>IF(N144="zákl. přenesená",J144,0)</f>
        <v>0</v>
      </c>
      <c r="BH144" s="104">
        <f>IF(N144="sníž. přenesená",J144,0)</f>
        <v>0</v>
      </c>
      <c r="BI144" s="104">
        <f>IF(N144="nulová",J144,0)</f>
        <v>0</v>
      </c>
      <c r="BJ144" s="23" t="s">
        <v>85</v>
      </c>
      <c r="BK144" s="104">
        <f>ROUND(I144*H144,2)</f>
        <v>1750000</v>
      </c>
      <c r="BL144" s="23" t="s">
        <v>218</v>
      </c>
      <c r="BM144" s="101" t="s">
        <v>270</v>
      </c>
    </row>
    <row r="145" spans="2:65" s="31" customFormat="1" ht="23.1" customHeight="1">
      <c r="B145" s="67"/>
      <c r="D145" s="68" t="s">
        <v>76</v>
      </c>
      <c r="E145" s="70" t="s">
        <v>271</v>
      </c>
      <c r="F145" s="70" t="s">
        <v>272</v>
      </c>
      <c r="I145" s="85"/>
      <c r="J145" s="89">
        <f>BK145</f>
        <v>380000</v>
      </c>
      <c r="L145" s="67"/>
      <c r="M145" s="87"/>
      <c r="P145" s="88">
        <f>SUM(P146:P147)</f>
        <v>0</v>
      </c>
      <c r="R145" s="88">
        <f>SUM(R146:R147)</f>
        <v>0</v>
      </c>
      <c r="T145" s="98">
        <f>SUM(T146:T147)</f>
        <v>0</v>
      </c>
      <c r="AR145" s="68" t="s">
        <v>218</v>
      </c>
      <c r="AT145" s="100" t="s">
        <v>76</v>
      </c>
      <c r="AU145" s="100" t="s">
        <v>85</v>
      </c>
      <c r="AY145" s="68" t="s">
        <v>211</v>
      </c>
      <c r="BK145" s="103">
        <f>SUM(BK146:BK147)</f>
        <v>380000</v>
      </c>
    </row>
    <row r="146" spans="2:65" s="1" customFormat="1" ht="16.5" customHeight="1">
      <c r="B146" s="12"/>
      <c r="C146" s="71" t="s">
        <v>273</v>
      </c>
      <c r="D146" s="71" t="s">
        <v>214</v>
      </c>
      <c r="E146" s="72" t="s">
        <v>274</v>
      </c>
      <c r="F146" s="73" t="s">
        <v>275</v>
      </c>
      <c r="G146" s="74" t="s">
        <v>217</v>
      </c>
      <c r="H146" s="75">
        <v>1</v>
      </c>
      <c r="I146" s="90">
        <v>380000</v>
      </c>
      <c r="J146" s="91">
        <f>ROUND(I146*H146,2)</f>
        <v>380000</v>
      </c>
      <c r="K146" s="92"/>
      <c r="L146" s="12"/>
      <c r="M146" s="93" t="s">
        <v>1</v>
      </c>
      <c r="N146" s="94" t="s">
        <v>42</v>
      </c>
      <c r="P146" s="95">
        <f>O146*H146</f>
        <v>0</v>
      </c>
      <c r="Q146" s="95">
        <v>0</v>
      </c>
      <c r="R146" s="95">
        <f>Q146*H146</f>
        <v>0</v>
      </c>
      <c r="S146" s="95">
        <v>0</v>
      </c>
      <c r="T146" s="99">
        <f>S146*H146</f>
        <v>0</v>
      </c>
      <c r="AR146" s="101" t="s">
        <v>218</v>
      </c>
      <c r="AT146" s="101" t="s">
        <v>214</v>
      </c>
      <c r="AU146" s="101" t="s">
        <v>87</v>
      </c>
      <c r="AY146" s="23" t="s">
        <v>211</v>
      </c>
      <c r="BE146" s="104">
        <f>IF(N146="základní",J146,0)</f>
        <v>380000</v>
      </c>
      <c r="BF146" s="104">
        <f>IF(N146="snížená",J146,0)</f>
        <v>0</v>
      </c>
      <c r="BG146" s="104">
        <f>IF(N146="zákl. přenesená",J146,0)</f>
        <v>0</v>
      </c>
      <c r="BH146" s="104">
        <f>IF(N146="sníž. přenesená",J146,0)</f>
        <v>0</v>
      </c>
      <c r="BI146" s="104">
        <f>IF(N146="nulová",J146,0)</f>
        <v>0</v>
      </c>
      <c r="BJ146" s="23" t="s">
        <v>85</v>
      </c>
      <c r="BK146" s="104">
        <f>ROUND(I146*H146,2)</f>
        <v>380000</v>
      </c>
      <c r="BL146" s="23" t="s">
        <v>218</v>
      </c>
      <c r="BM146" s="101" t="s">
        <v>276</v>
      </c>
    </row>
    <row r="147" spans="2:65" s="1" customFormat="1" ht="48">
      <c r="B147" s="12"/>
      <c r="D147" s="105" t="s">
        <v>227</v>
      </c>
      <c r="F147" s="106" t="s">
        <v>277</v>
      </c>
      <c r="I147" s="107"/>
      <c r="L147" s="12"/>
      <c r="M147" s="109"/>
      <c r="N147" s="110"/>
      <c r="O147" s="110"/>
      <c r="P147" s="110"/>
      <c r="Q147" s="110"/>
      <c r="R147" s="110"/>
      <c r="S147" s="110"/>
      <c r="T147" s="112"/>
      <c r="AT147" s="23" t="s">
        <v>227</v>
      </c>
      <c r="AU147" s="23" t="s">
        <v>87</v>
      </c>
    </row>
    <row r="148" spans="2:65" s="1" customFormat="1" ht="6.9" customHeight="1">
      <c r="B148" s="26"/>
      <c r="C148" s="27"/>
      <c r="D148" s="27"/>
      <c r="E148" s="27"/>
      <c r="F148" s="27"/>
      <c r="G148" s="27"/>
      <c r="H148" s="27"/>
      <c r="I148" s="27"/>
      <c r="J148" s="27"/>
      <c r="K148" s="27"/>
      <c r="L148" s="12"/>
    </row>
  </sheetData>
  <autoFilter ref="C121:K147" xr:uid="{00000000-0009-0000-0000-000001000000}"/>
  <mergeCells count="9">
    <mergeCell ref="E85:H85"/>
    <mergeCell ref="E87:H87"/>
    <mergeCell ref="E112:H112"/>
    <mergeCell ref="E114:H114"/>
    <mergeCell ref="L2:V2"/>
    <mergeCell ref="E7:H7"/>
    <mergeCell ref="E9:H9"/>
    <mergeCell ref="E18:H18"/>
    <mergeCell ref="E27:H27"/>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BM2682"/>
  <sheetViews>
    <sheetView showGridLines="0" tabSelected="1" topLeftCell="A823" zoomScale="120" zoomScaleNormal="120" workbookViewId="0">
      <selection activeCell="F1912" sqref="F1912"/>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56" ht="36.9" customHeight="1">
      <c r="L2" s="383"/>
      <c r="M2" s="383"/>
      <c r="N2" s="383"/>
      <c r="O2" s="383"/>
      <c r="P2" s="383"/>
      <c r="Q2" s="383"/>
      <c r="R2" s="383"/>
      <c r="S2" s="383"/>
      <c r="T2" s="383"/>
      <c r="U2" s="383"/>
      <c r="V2" s="383"/>
      <c r="AT2" s="23" t="s">
        <v>95</v>
      </c>
      <c r="AZ2" s="155" t="s">
        <v>278</v>
      </c>
      <c r="BA2" s="155" t="s">
        <v>1</v>
      </c>
      <c r="BB2" s="155" t="s">
        <v>279</v>
      </c>
      <c r="BC2" s="155" t="s">
        <v>280</v>
      </c>
      <c r="BD2" s="155" t="s">
        <v>87</v>
      </c>
    </row>
    <row r="3" spans="2:56" ht="6.9" customHeight="1">
      <c r="B3" s="3"/>
      <c r="C3" s="4"/>
      <c r="D3" s="4"/>
      <c r="E3" s="4"/>
      <c r="F3" s="4"/>
      <c r="G3" s="4"/>
      <c r="H3" s="4"/>
      <c r="I3" s="4"/>
      <c r="J3" s="4"/>
      <c r="K3" s="4"/>
      <c r="L3" s="5"/>
      <c r="AT3" s="23" t="s">
        <v>87</v>
      </c>
      <c r="AZ3" s="155" t="s">
        <v>281</v>
      </c>
      <c r="BA3" s="155" t="s">
        <v>1</v>
      </c>
      <c r="BB3" s="155" t="s">
        <v>279</v>
      </c>
      <c r="BC3" s="155" t="s">
        <v>282</v>
      </c>
      <c r="BD3" s="155" t="s">
        <v>87</v>
      </c>
    </row>
    <row r="4" spans="2:56" ht="24.9" customHeight="1">
      <c r="B4" s="5"/>
      <c r="D4" s="6" t="s">
        <v>181</v>
      </c>
      <c r="L4" s="5"/>
      <c r="M4" s="50" t="s">
        <v>10</v>
      </c>
      <c r="AT4" s="23" t="s">
        <v>4</v>
      </c>
      <c r="AZ4" s="155" t="s">
        <v>283</v>
      </c>
      <c r="BA4" s="155" t="s">
        <v>1</v>
      </c>
      <c r="BB4" s="155" t="s">
        <v>279</v>
      </c>
      <c r="BC4" s="155" t="s">
        <v>284</v>
      </c>
      <c r="BD4" s="155" t="s">
        <v>87</v>
      </c>
    </row>
    <row r="5" spans="2:56" ht="6.9" customHeight="1">
      <c r="B5" s="5"/>
      <c r="L5" s="5"/>
      <c r="AZ5" s="155" t="s">
        <v>285</v>
      </c>
      <c r="BA5" s="155" t="s">
        <v>1</v>
      </c>
      <c r="BB5" s="155" t="s">
        <v>279</v>
      </c>
      <c r="BC5" s="155" t="s">
        <v>286</v>
      </c>
      <c r="BD5" s="155" t="s">
        <v>87</v>
      </c>
    </row>
    <row r="6" spans="2:56" ht="12" customHeight="1">
      <c r="B6" s="5"/>
      <c r="D6" s="10" t="s">
        <v>16</v>
      </c>
      <c r="L6" s="5"/>
      <c r="AZ6" s="155" t="s">
        <v>287</v>
      </c>
      <c r="BA6" s="155" t="s">
        <v>1</v>
      </c>
      <c r="BB6" s="155" t="s">
        <v>279</v>
      </c>
      <c r="BC6" s="155" t="s">
        <v>288</v>
      </c>
      <c r="BD6" s="155" t="s">
        <v>87</v>
      </c>
    </row>
    <row r="7" spans="2:56" ht="16.5" customHeight="1">
      <c r="B7" s="5"/>
      <c r="E7" s="392" t="str">
        <f>'Rekapitulace stavby'!K6</f>
        <v>Bytový soubor Libuše</v>
      </c>
      <c r="F7" s="393"/>
      <c r="G7" s="393"/>
      <c r="H7" s="393"/>
      <c r="L7" s="5"/>
      <c r="AZ7" s="155" t="s">
        <v>289</v>
      </c>
      <c r="BA7" s="155" t="s">
        <v>1</v>
      </c>
      <c r="BB7" s="155" t="s">
        <v>279</v>
      </c>
      <c r="BC7" s="155" t="s">
        <v>290</v>
      </c>
      <c r="BD7" s="155" t="s">
        <v>87</v>
      </c>
    </row>
    <row r="8" spans="2:56" ht="12" customHeight="1">
      <c r="B8" s="5"/>
      <c r="D8" s="10" t="s">
        <v>182</v>
      </c>
      <c r="L8" s="5"/>
      <c r="AZ8" s="155" t="s">
        <v>291</v>
      </c>
      <c r="BA8" s="155" t="s">
        <v>1</v>
      </c>
      <c r="BB8" s="155" t="s">
        <v>279</v>
      </c>
      <c r="BC8" s="155" t="s">
        <v>292</v>
      </c>
      <c r="BD8" s="155" t="s">
        <v>87</v>
      </c>
    </row>
    <row r="9" spans="2:56" s="1" customFormat="1" ht="16.5" customHeight="1">
      <c r="B9" s="12"/>
      <c r="E9" s="392" t="s">
        <v>293</v>
      </c>
      <c r="F9" s="394"/>
      <c r="G9" s="394"/>
      <c r="H9" s="394"/>
      <c r="L9" s="12"/>
      <c r="AZ9" s="155" t="s">
        <v>294</v>
      </c>
      <c r="BA9" s="155" t="s">
        <v>1</v>
      </c>
      <c r="BB9" s="155" t="s">
        <v>279</v>
      </c>
      <c r="BC9" s="155" t="s">
        <v>295</v>
      </c>
      <c r="BD9" s="155" t="s">
        <v>87</v>
      </c>
    </row>
    <row r="10" spans="2:56" s="1" customFormat="1" ht="12" customHeight="1">
      <c r="B10" s="12"/>
      <c r="D10" s="10" t="s">
        <v>296</v>
      </c>
      <c r="L10" s="12"/>
      <c r="AZ10" s="155" t="s">
        <v>297</v>
      </c>
      <c r="BA10" s="155" t="s">
        <v>1</v>
      </c>
      <c r="BB10" s="155" t="s">
        <v>279</v>
      </c>
      <c r="BC10" s="155" t="s">
        <v>298</v>
      </c>
      <c r="BD10" s="155" t="s">
        <v>87</v>
      </c>
    </row>
    <row r="11" spans="2:56" s="1" customFormat="1" ht="16.5" customHeight="1">
      <c r="B11" s="12"/>
      <c r="E11" s="381" t="s">
        <v>299</v>
      </c>
      <c r="F11" s="394"/>
      <c r="G11" s="394"/>
      <c r="H11" s="394"/>
      <c r="L11" s="12"/>
      <c r="AZ11" s="155" t="s">
        <v>300</v>
      </c>
      <c r="BA11" s="155" t="s">
        <v>1</v>
      </c>
      <c r="BB11" s="155" t="s">
        <v>279</v>
      </c>
      <c r="BC11" s="155" t="s">
        <v>301</v>
      </c>
      <c r="BD11" s="155" t="s">
        <v>87</v>
      </c>
    </row>
    <row r="12" spans="2:56" s="1" customFormat="1">
      <c r="B12" s="12"/>
      <c r="L12" s="12"/>
      <c r="AZ12" s="155" t="s">
        <v>302</v>
      </c>
      <c r="BA12" s="155" t="s">
        <v>1</v>
      </c>
      <c r="BB12" s="155" t="s">
        <v>279</v>
      </c>
      <c r="BC12" s="155" t="s">
        <v>303</v>
      </c>
      <c r="BD12" s="155" t="s">
        <v>87</v>
      </c>
    </row>
    <row r="13" spans="2:56" s="1" customFormat="1" ht="12" customHeight="1">
      <c r="B13" s="12"/>
      <c r="D13" s="10" t="s">
        <v>18</v>
      </c>
      <c r="F13" s="32" t="s">
        <v>1</v>
      </c>
      <c r="I13" s="10" t="s">
        <v>19</v>
      </c>
      <c r="J13" s="32" t="s">
        <v>1</v>
      </c>
      <c r="L13" s="12"/>
      <c r="AZ13" s="155" t="s">
        <v>304</v>
      </c>
      <c r="BA13" s="155" t="s">
        <v>1</v>
      </c>
      <c r="BB13" s="155" t="s">
        <v>279</v>
      </c>
      <c r="BC13" s="155" t="s">
        <v>305</v>
      </c>
      <c r="BD13" s="155" t="s">
        <v>87</v>
      </c>
    </row>
    <row r="14" spans="2:56" s="1" customFormat="1" ht="12" customHeight="1">
      <c r="B14" s="12"/>
      <c r="D14" s="10" t="s">
        <v>20</v>
      </c>
      <c r="F14" s="32" t="s">
        <v>21</v>
      </c>
      <c r="I14" s="10" t="s">
        <v>22</v>
      </c>
      <c r="J14" s="11">
        <f>'Rekapitulace stavby'!AN8</f>
        <v>45000</v>
      </c>
      <c r="L14" s="12"/>
      <c r="AZ14" s="155" t="s">
        <v>306</v>
      </c>
      <c r="BA14" s="155" t="s">
        <v>1</v>
      </c>
      <c r="BB14" s="155" t="s">
        <v>279</v>
      </c>
      <c r="BC14" s="155" t="s">
        <v>307</v>
      </c>
      <c r="BD14" s="155" t="s">
        <v>87</v>
      </c>
    </row>
    <row r="15" spans="2:56" s="1" customFormat="1" ht="11.1" customHeight="1">
      <c r="B15" s="12"/>
      <c r="L15" s="12"/>
      <c r="AZ15" s="155" t="s">
        <v>308</v>
      </c>
      <c r="BA15" s="155" t="s">
        <v>1</v>
      </c>
      <c r="BB15" s="155" t="s">
        <v>279</v>
      </c>
      <c r="BC15" s="155" t="s">
        <v>309</v>
      </c>
      <c r="BD15" s="155" t="s">
        <v>87</v>
      </c>
    </row>
    <row r="16" spans="2:56" s="1" customFormat="1" ht="12" customHeight="1">
      <c r="B16" s="12"/>
      <c r="D16" s="10" t="s">
        <v>23</v>
      </c>
      <c r="I16" s="10" t="s">
        <v>24</v>
      </c>
      <c r="J16" s="32" t="s">
        <v>1</v>
      </c>
      <c r="L16" s="12"/>
      <c r="AZ16" s="155" t="s">
        <v>310</v>
      </c>
      <c r="BA16" s="155" t="s">
        <v>1</v>
      </c>
      <c r="BB16" s="155" t="s">
        <v>279</v>
      </c>
      <c r="BC16" s="155" t="s">
        <v>311</v>
      </c>
      <c r="BD16" s="155" t="s">
        <v>87</v>
      </c>
    </row>
    <row r="17" spans="2:56" s="1" customFormat="1" ht="18" customHeight="1">
      <c r="B17" s="12"/>
      <c r="E17" s="32" t="s">
        <v>25</v>
      </c>
      <c r="I17" s="10" t="s">
        <v>26</v>
      </c>
      <c r="J17" s="32" t="s">
        <v>1</v>
      </c>
      <c r="L17" s="12"/>
      <c r="AZ17" s="155" t="s">
        <v>312</v>
      </c>
      <c r="BA17" s="155" t="s">
        <v>1</v>
      </c>
      <c r="BB17" s="155" t="s">
        <v>279</v>
      </c>
      <c r="BC17" s="155" t="s">
        <v>313</v>
      </c>
      <c r="BD17" s="155" t="s">
        <v>87</v>
      </c>
    </row>
    <row r="18" spans="2:56" s="1" customFormat="1" ht="6.9" customHeight="1">
      <c r="B18" s="12"/>
      <c r="L18" s="12"/>
      <c r="AZ18" s="155" t="s">
        <v>314</v>
      </c>
      <c r="BA18" s="155" t="s">
        <v>1</v>
      </c>
      <c r="BB18" s="155" t="s">
        <v>279</v>
      </c>
      <c r="BC18" s="155" t="s">
        <v>315</v>
      </c>
      <c r="BD18" s="155" t="s">
        <v>87</v>
      </c>
    </row>
    <row r="19" spans="2:56" s="1" customFormat="1" ht="12" customHeight="1">
      <c r="B19" s="12"/>
      <c r="D19" s="10" t="s">
        <v>27</v>
      </c>
      <c r="I19" s="10" t="s">
        <v>24</v>
      </c>
      <c r="J19" s="33" t="str">
        <f>'Rekapitulace stavby'!AN13</f>
        <v>08004013</v>
      </c>
      <c r="L19" s="12"/>
      <c r="AZ19" s="155" t="s">
        <v>316</v>
      </c>
      <c r="BA19" s="155" t="s">
        <v>1</v>
      </c>
      <c r="BB19" s="155" t="s">
        <v>279</v>
      </c>
      <c r="BC19" s="155" t="s">
        <v>317</v>
      </c>
      <c r="BD19" s="155" t="s">
        <v>87</v>
      </c>
    </row>
    <row r="20" spans="2:56" s="1" customFormat="1" ht="18" customHeight="1">
      <c r="B20" s="12"/>
      <c r="E20" s="395" t="str">
        <f>'Rekapitulace stavby'!E14</f>
        <v>DMG Stav a.s.</v>
      </c>
      <c r="F20" s="384"/>
      <c r="G20" s="384"/>
      <c r="H20" s="384"/>
      <c r="I20" s="10" t="s">
        <v>26</v>
      </c>
      <c r="J20" s="33" t="str">
        <f>'Rekapitulace stavby'!AN14</f>
        <v>CZ 08004013</v>
      </c>
      <c r="L20" s="12"/>
      <c r="AZ20" s="155" t="s">
        <v>318</v>
      </c>
      <c r="BA20" s="155" t="s">
        <v>1</v>
      </c>
      <c r="BB20" s="155" t="s">
        <v>279</v>
      </c>
      <c r="BC20" s="155" t="s">
        <v>319</v>
      </c>
      <c r="BD20" s="155" t="s">
        <v>87</v>
      </c>
    </row>
    <row r="21" spans="2:56" s="1" customFormat="1" ht="6.9" customHeight="1">
      <c r="B21" s="12"/>
      <c r="L21" s="12"/>
      <c r="AZ21" s="155" t="s">
        <v>320</v>
      </c>
      <c r="BA21" s="155" t="s">
        <v>1</v>
      </c>
      <c r="BB21" s="155" t="s">
        <v>279</v>
      </c>
      <c r="BC21" s="155" t="s">
        <v>321</v>
      </c>
      <c r="BD21" s="155" t="s">
        <v>87</v>
      </c>
    </row>
    <row r="22" spans="2:56" s="1" customFormat="1" ht="12" customHeight="1">
      <c r="B22" s="12"/>
      <c r="D22" s="10" t="s">
        <v>31</v>
      </c>
      <c r="I22" s="10" t="s">
        <v>24</v>
      </c>
      <c r="J22" s="32" t="s">
        <v>1</v>
      </c>
      <c r="L22" s="12"/>
      <c r="AZ22" s="155" t="s">
        <v>322</v>
      </c>
      <c r="BA22" s="155" t="s">
        <v>1</v>
      </c>
      <c r="BB22" s="155" t="s">
        <v>279</v>
      </c>
      <c r="BC22" s="155" t="s">
        <v>323</v>
      </c>
      <c r="BD22" s="155" t="s">
        <v>87</v>
      </c>
    </row>
    <row r="23" spans="2:56" s="1" customFormat="1" ht="18" customHeight="1">
      <c r="B23" s="12"/>
      <c r="E23" s="32" t="s">
        <v>32</v>
      </c>
      <c r="I23" s="10" t="s">
        <v>26</v>
      </c>
      <c r="J23" s="32" t="s">
        <v>1</v>
      </c>
      <c r="L23" s="12"/>
    </row>
    <row r="24" spans="2:56" s="1" customFormat="1" ht="6.9" customHeight="1">
      <c r="B24" s="12"/>
      <c r="L24" s="12"/>
    </row>
    <row r="25" spans="2:56" s="1" customFormat="1" ht="12" customHeight="1">
      <c r="B25" s="12"/>
      <c r="D25" s="10" t="s">
        <v>34</v>
      </c>
      <c r="I25" s="10" t="s">
        <v>24</v>
      </c>
      <c r="J25" s="32" t="s">
        <v>1</v>
      </c>
      <c r="L25" s="12"/>
    </row>
    <row r="26" spans="2:56" s="1" customFormat="1" ht="18" customHeight="1">
      <c r="B26" s="12"/>
      <c r="E26" s="32" t="s">
        <v>35</v>
      </c>
      <c r="I26" s="10" t="s">
        <v>26</v>
      </c>
      <c r="J26" s="32" t="s">
        <v>1</v>
      </c>
      <c r="L26" s="12"/>
    </row>
    <row r="27" spans="2:56" s="1" customFormat="1" ht="6.9" customHeight="1">
      <c r="B27" s="12"/>
      <c r="L27" s="12"/>
    </row>
    <row r="28" spans="2:56" s="1" customFormat="1" ht="12" customHeight="1">
      <c r="B28" s="12"/>
      <c r="D28" s="10" t="s">
        <v>36</v>
      </c>
      <c r="L28" s="12"/>
    </row>
    <row r="29" spans="2:56" s="28" customFormat="1" ht="16.5" customHeight="1">
      <c r="B29" s="34"/>
      <c r="E29" s="388" t="s">
        <v>1</v>
      </c>
      <c r="F29" s="388"/>
      <c r="G29" s="388"/>
      <c r="H29" s="388"/>
      <c r="L29" s="34"/>
    </row>
    <row r="30" spans="2:56" s="1" customFormat="1" ht="6.9" customHeight="1">
      <c r="B30" s="12"/>
      <c r="L30" s="12"/>
    </row>
    <row r="31" spans="2:56" s="1" customFormat="1" ht="6.9" customHeight="1">
      <c r="B31" s="12"/>
      <c r="D31" s="35"/>
      <c r="E31" s="35"/>
      <c r="F31" s="35"/>
      <c r="G31" s="35"/>
      <c r="H31" s="35"/>
      <c r="I31" s="35"/>
      <c r="J31" s="35"/>
      <c r="K31" s="35"/>
      <c r="L31" s="12"/>
    </row>
    <row r="32" spans="2:56" s="1" customFormat="1" ht="25.35" customHeight="1">
      <c r="B32" s="12"/>
      <c r="D32" s="36" t="s">
        <v>37</v>
      </c>
      <c r="J32" s="51">
        <f>ROUND(J148,2)</f>
        <v>183655741.81999999</v>
      </c>
      <c r="L32" s="12"/>
    </row>
    <row r="33" spans="2:12" s="1" customFormat="1" ht="6.9" customHeight="1">
      <c r="B33" s="12"/>
      <c r="D33" s="35"/>
      <c r="E33" s="35"/>
      <c r="F33" s="35"/>
      <c r="G33" s="35"/>
      <c r="H33" s="35"/>
      <c r="I33" s="35"/>
      <c r="J33" s="35"/>
      <c r="K33" s="35"/>
      <c r="L33" s="12"/>
    </row>
    <row r="34" spans="2:12" s="1" customFormat="1" ht="14.4" customHeight="1">
      <c r="B34" s="12"/>
      <c r="F34" s="37" t="s">
        <v>39</v>
      </c>
      <c r="I34" s="37" t="s">
        <v>38</v>
      </c>
      <c r="J34" s="37" t="s">
        <v>40</v>
      </c>
      <c r="L34" s="12"/>
    </row>
    <row r="35" spans="2:12" s="1" customFormat="1" ht="14.4" customHeight="1">
      <c r="B35" s="12"/>
      <c r="D35" s="38" t="s">
        <v>41</v>
      </c>
      <c r="E35" s="10" t="s">
        <v>42</v>
      </c>
      <c r="F35" s="39">
        <f>ROUND((SUM(BE148:BE2681)),2)</f>
        <v>183655741.81999999</v>
      </c>
      <c r="I35" s="52">
        <v>0.21</v>
      </c>
      <c r="J35" s="39">
        <f>ROUND(((SUM(BE148:BE2681))*I35),2)</f>
        <v>38567705.780000001</v>
      </c>
      <c r="L35" s="12"/>
    </row>
    <row r="36" spans="2:12" s="1" customFormat="1" ht="14.4" customHeight="1">
      <c r="B36" s="12"/>
      <c r="E36" s="10" t="s">
        <v>43</v>
      </c>
      <c r="F36" s="39">
        <f>ROUND((SUM(BF148:BF2681)),2)</f>
        <v>0</v>
      </c>
      <c r="I36" s="52">
        <v>0.15</v>
      </c>
      <c r="J36" s="39">
        <f>ROUND(((SUM(BF148:BF2681))*I36),2)</f>
        <v>0</v>
      </c>
      <c r="L36" s="12"/>
    </row>
    <row r="37" spans="2:12" s="1" customFormat="1" ht="14.4" hidden="1" customHeight="1">
      <c r="B37" s="12"/>
      <c r="E37" s="10" t="s">
        <v>44</v>
      </c>
      <c r="F37" s="39">
        <f>ROUND((SUM(BG148:BG2681)),2)</f>
        <v>0</v>
      </c>
      <c r="I37" s="52">
        <v>0.21</v>
      </c>
      <c r="J37" s="39">
        <f>0</f>
        <v>0</v>
      </c>
      <c r="L37" s="12"/>
    </row>
    <row r="38" spans="2:12" s="1" customFormat="1" ht="14.4" hidden="1" customHeight="1">
      <c r="B38" s="12"/>
      <c r="E38" s="10" t="s">
        <v>45</v>
      </c>
      <c r="F38" s="39">
        <f>ROUND((SUM(BH148:BH2681)),2)</f>
        <v>0</v>
      </c>
      <c r="I38" s="52">
        <v>0.15</v>
      </c>
      <c r="J38" s="39">
        <f>0</f>
        <v>0</v>
      </c>
      <c r="L38" s="12"/>
    </row>
    <row r="39" spans="2:12" s="1" customFormat="1" ht="14.4" hidden="1" customHeight="1">
      <c r="B39" s="12"/>
      <c r="E39" s="10" t="s">
        <v>46</v>
      </c>
      <c r="F39" s="39">
        <f>ROUND((SUM(BI148:BI2681)),2)</f>
        <v>0</v>
      </c>
      <c r="I39" s="52">
        <v>0</v>
      </c>
      <c r="J39" s="39">
        <f>0</f>
        <v>0</v>
      </c>
      <c r="L39" s="12"/>
    </row>
    <row r="40" spans="2:12" s="1" customFormat="1" ht="6.9" customHeight="1">
      <c r="B40" s="12"/>
      <c r="L40" s="12"/>
    </row>
    <row r="41" spans="2:12" s="1" customFormat="1" ht="25.35" customHeight="1">
      <c r="B41" s="12"/>
      <c r="C41" s="40"/>
      <c r="D41" s="41" t="s">
        <v>47</v>
      </c>
      <c r="E41" s="42"/>
      <c r="F41" s="42"/>
      <c r="G41" s="43" t="s">
        <v>48</v>
      </c>
      <c r="H41" s="44" t="s">
        <v>49</v>
      </c>
      <c r="I41" s="42"/>
      <c r="J41" s="53">
        <f>SUM(J32:J39)</f>
        <v>222223447.59999999</v>
      </c>
      <c r="K41" s="54"/>
      <c r="L41" s="12"/>
    </row>
    <row r="42" spans="2:12" s="1" customFormat="1" ht="14.4" customHeight="1">
      <c r="B42" s="12"/>
      <c r="L42" s="12"/>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s="1" customFormat="1" ht="16.5" customHeight="1">
      <c r="B87" s="12"/>
      <c r="E87" s="392" t="s">
        <v>293</v>
      </c>
      <c r="F87" s="394"/>
      <c r="G87" s="394"/>
      <c r="H87" s="394"/>
      <c r="L87" s="12"/>
    </row>
    <row r="88" spans="2:12" s="1" customFormat="1" ht="12" customHeight="1">
      <c r="B88" s="12"/>
      <c r="C88" s="10" t="s">
        <v>296</v>
      </c>
      <c r="L88" s="12"/>
    </row>
    <row r="89" spans="2:12" s="1" customFormat="1" ht="16.5" customHeight="1">
      <c r="B89" s="12"/>
      <c r="E89" s="381" t="str">
        <f>E11</f>
        <v>100 - Architektonicko-stavební a konstrukční část</v>
      </c>
      <c r="F89" s="394"/>
      <c r="G89" s="394"/>
      <c r="H89" s="394"/>
      <c r="L89" s="12"/>
    </row>
    <row r="90" spans="2:12" s="1" customFormat="1" ht="6.9" customHeight="1">
      <c r="B90" s="12"/>
      <c r="L90" s="12"/>
    </row>
    <row r="91" spans="2:12" s="1" customFormat="1" ht="12" customHeight="1">
      <c r="B91" s="12"/>
      <c r="C91" s="10" t="s">
        <v>20</v>
      </c>
      <c r="F91" s="32" t="str">
        <f>F14</f>
        <v>Praha</v>
      </c>
      <c r="I91" s="10" t="s">
        <v>22</v>
      </c>
      <c r="J91" s="11">
        <f>IF(J14="","",J14)</f>
        <v>45000</v>
      </c>
      <c r="L91" s="12"/>
    </row>
    <row r="92" spans="2:12" s="1" customFormat="1" ht="6.9" customHeight="1">
      <c r="B92" s="12"/>
      <c r="L92" s="12"/>
    </row>
    <row r="93" spans="2:12" s="1" customFormat="1" ht="15.15" customHeight="1">
      <c r="B93" s="12"/>
      <c r="C93" s="10" t="s">
        <v>23</v>
      </c>
      <c r="F93" s="32" t="str">
        <f>E17</f>
        <v>VELTON REAL ESTATE</v>
      </c>
      <c r="I93" s="10" t="s">
        <v>31</v>
      </c>
      <c r="J93" s="8" t="str">
        <f>E23</f>
        <v>ABMV World s.r.o</v>
      </c>
      <c r="L93" s="12"/>
    </row>
    <row r="94" spans="2:12" s="1" customFormat="1" ht="15.15"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J148</f>
        <v>183655741.81999999</v>
      </c>
      <c r="L98" s="12"/>
      <c r="AU98" s="23" t="s">
        <v>188</v>
      </c>
    </row>
    <row r="99" spans="2:47" s="29" customFormat="1" ht="24.9" customHeight="1">
      <c r="B99" s="60"/>
      <c r="D99" s="61" t="s">
        <v>324</v>
      </c>
      <c r="E99" s="62"/>
      <c r="F99" s="62"/>
      <c r="G99" s="62"/>
      <c r="H99" s="62"/>
      <c r="I99" s="62"/>
      <c r="J99" s="77">
        <f>J149</f>
        <v>137374714.06999999</v>
      </c>
      <c r="L99" s="60"/>
    </row>
    <row r="100" spans="2:47" s="30" customFormat="1" ht="20.100000000000001" customHeight="1">
      <c r="B100" s="63"/>
      <c r="D100" s="64" t="s">
        <v>325</v>
      </c>
      <c r="E100" s="65"/>
      <c r="F100" s="65"/>
      <c r="G100" s="65"/>
      <c r="H100" s="65"/>
      <c r="I100" s="65"/>
      <c r="J100" s="78">
        <f>J150</f>
        <v>17743567.93</v>
      </c>
      <c r="L100" s="63"/>
    </row>
    <row r="101" spans="2:47" s="30" customFormat="1" ht="20.100000000000001" customHeight="1">
      <c r="B101" s="63"/>
      <c r="D101" s="64" t="s">
        <v>326</v>
      </c>
      <c r="E101" s="65"/>
      <c r="F101" s="65"/>
      <c r="G101" s="65"/>
      <c r="H101" s="65"/>
      <c r="I101" s="65"/>
      <c r="J101" s="78">
        <f>J212</f>
        <v>17547278.02</v>
      </c>
      <c r="L101" s="63"/>
    </row>
    <row r="102" spans="2:47" s="30" customFormat="1" ht="20.100000000000001" customHeight="1">
      <c r="B102" s="63"/>
      <c r="D102" s="64" t="s">
        <v>327</v>
      </c>
      <c r="E102" s="65"/>
      <c r="F102" s="65"/>
      <c r="G102" s="65"/>
      <c r="H102" s="65"/>
      <c r="I102" s="65"/>
      <c r="J102" s="78">
        <f>J283</f>
        <v>41373312.829999998</v>
      </c>
      <c r="L102" s="63"/>
    </row>
    <row r="103" spans="2:47" s="30" customFormat="1" ht="20.100000000000001" customHeight="1">
      <c r="B103" s="63"/>
      <c r="D103" s="64" t="s">
        <v>328</v>
      </c>
      <c r="E103" s="65"/>
      <c r="F103" s="65"/>
      <c r="G103" s="65"/>
      <c r="H103" s="65"/>
      <c r="I103" s="65"/>
      <c r="J103" s="78">
        <f>J588</f>
        <v>43097305.880000003</v>
      </c>
      <c r="L103" s="63"/>
    </row>
    <row r="104" spans="2:47" s="30" customFormat="1" ht="20.100000000000001" customHeight="1">
      <c r="B104" s="63"/>
      <c r="D104" s="64" t="s">
        <v>329</v>
      </c>
      <c r="E104" s="65"/>
      <c r="F104" s="65"/>
      <c r="G104" s="65"/>
      <c r="H104" s="65"/>
      <c r="I104" s="65"/>
      <c r="J104" s="78">
        <f>J934</f>
        <v>8994668.0199999996</v>
      </c>
      <c r="L104" s="63"/>
    </row>
    <row r="105" spans="2:47" s="30" customFormat="1" ht="20.100000000000001" customHeight="1">
      <c r="B105" s="63"/>
      <c r="D105" s="64" t="s">
        <v>330</v>
      </c>
      <c r="E105" s="65"/>
      <c r="F105" s="65"/>
      <c r="G105" s="65"/>
      <c r="H105" s="65"/>
      <c r="I105" s="65"/>
      <c r="J105" s="78">
        <f>J1040</f>
        <v>5012594.26</v>
      </c>
      <c r="L105" s="63"/>
    </row>
    <row r="106" spans="2:47" s="30" customFormat="1" ht="20.100000000000001" customHeight="1">
      <c r="B106" s="63"/>
      <c r="D106" s="64" t="s">
        <v>331</v>
      </c>
      <c r="E106" s="65"/>
      <c r="F106" s="65"/>
      <c r="G106" s="65"/>
      <c r="H106" s="65"/>
      <c r="I106" s="65"/>
      <c r="J106" s="78">
        <f>J1219</f>
        <v>3605987.13</v>
      </c>
      <c r="L106" s="63"/>
    </row>
    <row r="107" spans="2:47" s="29" customFormat="1" ht="24.9" customHeight="1">
      <c r="B107" s="60"/>
      <c r="D107" s="61" t="s">
        <v>332</v>
      </c>
      <c r="E107" s="62"/>
      <c r="F107" s="62"/>
      <c r="G107" s="62"/>
      <c r="H107" s="62"/>
      <c r="I107" s="62"/>
      <c r="J107" s="77">
        <f>J1221</f>
        <v>46281027.75</v>
      </c>
      <c r="L107" s="60"/>
    </row>
    <row r="108" spans="2:47" s="30" customFormat="1" ht="20.100000000000001" customHeight="1">
      <c r="B108" s="63"/>
      <c r="D108" s="64" t="s">
        <v>333</v>
      </c>
      <c r="E108" s="65"/>
      <c r="F108" s="65"/>
      <c r="G108" s="65"/>
      <c r="H108" s="65"/>
      <c r="I108" s="65"/>
      <c r="J108" s="78">
        <f>J1222</f>
        <v>8800000</v>
      </c>
      <c r="L108" s="63"/>
    </row>
    <row r="109" spans="2:47" s="30" customFormat="1" ht="20.100000000000001" customHeight="1">
      <c r="B109" s="63"/>
      <c r="D109" s="64" t="s">
        <v>334</v>
      </c>
      <c r="E109" s="65"/>
      <c r="F109" s="65"/>
      <c r="G109" s="65"/>
      <c r="H109" s="65"/>
      <c r="I109" s="65"/>
      <c r="J109" s="78">
        <f>J1803</f>
        <v>2667800</v>
      </c>
      <c r="L109" s="63"/>
    </row>
    <row r="110" spans="2:47" s="30" customFormat="1" ht="20.100000000000001" customHeight="1">
      <c r="B110" s="63"/>
      <c r="D110" s="64" t="s">
        <v>335</v>
      </c>
      <c r="E110" s="65"/>
      <c r="F110" s="65"/>
      <c r="G110" s="65"/>
      <c r="H110" s="65"/>
      <c r="I110" s="65"/>
      <c r="J110" s="78">
        <f>J1838</f>
        <v>3673000</v>
      </c>
      <c r="L110" s="63"/>
    </row>
    <row r="111" spans="2:47" s="30" customFormat="1" ht="20.100000000000001" customHeight="1">
      <c r="B111" s="63"/>
      <c r="D111" s="64" t="s">
        <v>336</v>
      </c>
      <c r="E111" s="65"/>
      <c r="F111" s="65"/>
      <c r="G111" s="65"/>
      <c r="H111" s="65"/>
      <c r="I111" s="65"/>
      <c r="J111" s="78">
        <f>J1877</f>
        <v>328676.13</v>
      </c>
      <c r="L111" s="63"/>
    </row>
    <row r="112" spans="2:47" s="30" customFormat="1" ht="20.100000000000001" customHeight="1">
      <c r="B112" s="63"/>
      <c r="D112" s="64" t="s">
        <v>337</v>
      </c>
      <c r="E112" s="65"/>
      <c r="F112" s="65"/>
      <c r="G112" s="65"/>
      <c r="H112" s="65"/>
      <c r="I112" s="65"/>
      <c r="J112" s="78">
        <f>J1911</f>
        <v>824360.26</v>
      </c>
      <c r="L112" s="63"/>
    </row>
    <row r="113" spans="2:12" s="30" customFormat="1" ht="20.100000000000001" customHeight="1">
      <c r="B113" s="63"/>
      <c r="D113" s="64" t="s">
        <v>338</v>
      </c>
      <c r="E113" s="65"/>
      <c r="F113" s="65"/>
      <c r="G113" s="65"/>
      <c r="H113" s="65"/>
      <c r="I113" s="65"/>
      <c r="J113" s="78">
        <f>J1956</f>
        <v>4322800.6900000004</v>
      </c>
      <c r="L113" s="63"/>
    </row>
    <row r="114" spans="2:12" s="30" customFormat="1" ht="20.100000000000001" customHeight="1">
      <c r="B114" s="63"/>
      <c r="D114" s="64" t="s">
        <v>339</v>
      </c>
      <c r="E114" s="65"/>
      <c r="F114" s="65"/>
      <c r="G114" s="65"/>
      <c r="H114" s="65"/>
      <c r="I114" s="65"/>
      <c r="J114" s="78">
        <f>J2114</f>
        <v>320767.33</v>
      </c>
      <c r="L114" s="63"/>
    </row>
    <row r="115" spans="2:12" s="30" customFormat="1" ht="20.100000000000001" customHeight="1">
      <c r="B115" s="63"/>
      <c r="D115" s="64" t="s">
        <v>340</v>
      </c>
      <c r="E115" s="65"/>
      <c r="F115" s="65"/>
      <c r="G115" s="65"/>
      <c r="H115" s="65"/>
      <c r="I115" s="65"/>
      <c r="J115" s="78">
        <f>J2127</f>
        <v>377333.95</v>
      </c>
      <c r="L115" s="63"/>
    </row>
    <row r="116" spans="2:12" s="30" customFormat="1" ht="20.100000000000001" customHeight="1">
      <c r="B116" s="63"/>
      <c r="D116" s="64" t="s">
        <v>341</v>
      </c>
      <c r="E116" s="65"/>
      <c r="F116" s="65"/>
      <c r="G116" s="65"/>
      <c r="H116" s="65"/>
      <c r="I116" s="65"/>
      <c r="J116" s="78">
        <f>J2172</f>
        <v>5356132.5</v>
      </c>
      <c r="L116" s="63"/>
    </row>
    <row r="117" spans="2:12" s="30" customFormat="1" ht="20.100000000000001" customHeight="1">
      <c r="B117" s="63"/>
      <c r="D117" s="64" t="s">
        <v>342</v>
      </c>
      <c r="E117" s="65"/>
      <c r="F117" s="65"/>
      <c r="G117" s="65"/>
      <c r="H117" s="65"/>
      <c r="I117" s="65"/>
      <c r="J117" s="78">
        <f>J2270</f>
        <v>505769.96</v>
      </c>
      <c r="L117" s="63"/>
    </row>
    <row r="118" spans="2:12" s="30" customFormat="1" ht="20.100000000000001" customHeight="1">
      <c r="B118" s="63"/>
      <c r="D118" s="64" t="s">
        <v>343</v>
      </c>
      <c r="E118" s="65"/>
      <c r="F118" s="65"/>
      <c r="G118" s="65"/>
      <c r="H118" s="65"/>
      <c r="I118" s="65"/>
      <c r="J118" s="78">
        <f>J2295</f>
        <v>3110699.26</v>
      </c>
      <c r="L118" s="63"/>
    </row>
    <row r="119" spans="2:12" s="30" customFormat="1" ht="20.100000000000001" customHeight="1">
      <c r="B119" s="63"/>
      <c r="D119" s="64" t="s">
        <v>344</v>
      </c>
      <c r="E119" s="65"/>
      <c r="F119" s="65"/>
      <c r="G119" s="65"/>
      <c r="H119" s="65"/>
      <c r="I119" s="65"/>
      <c r="J119" s="78">
        <f>J2319</f>
        <v>774771.94</v>
      </c>
      <c r="L119" s="63"/>
    </row>
    <row r="120" spans="2:12" s="30" customFormat="1" ht="20.100000000000001" customHeight="1">
      <c r="B120" s="63"/>
      <c r="D120" s="64" t="s">
        <v>345</v>
      </c>
      <c r="E120" s="65"/>
      <c r="F120" s="65"/>
      <c r="G120" s="65"/>
      <c r="H120" s="65"/>
      <c r="I120" s="65"/>
      <c r="J120" s="78">
        <f>J2341</f>
        <v>2738285.79</v>
      </c>
      <c r="L120" s="63"/>
    </row>
    <row r="121" spans="2:12" s="30" customFormat="1" ht="20.100000000000001" customHeight="1">
      <c r="B121" s="63"/>
      <c r="D121" s="64" t="s">
        <v>346</v>
      </c>
      <c r="E121" s="65"/>
      <c r="F121" s="65"/>
      <c r="G121" s="65"/>
      <c r="H121" s="65"/>
      <c r="I121" s="65"/>
      <c r="J121" s="78">
        <f>J2453</f>
        <v>826578.61</v>
      </c>
      <c r="L121" s="63"/>
    </row>
    <row r="122" spans="2:12" s="30" customFormat="1" ht="20.100000000000001" customHeight="1">
      <c r="B122" s="63"/>
      <c r="D122" s="64" t="s">
        <v>347</v>
      </c>
      <c r="E122" s="65"/>
      <c r="F122" s="65"/>
      <c r="G122" s="65"/>
      <c r="H122" s="65"/>
      <c r="I122" s="65"/>
      <c r="J122" s="78">
        <f>J2458</f>
        <v>2919791.08</v>
      </c>
      <c r="L122" s="63"/>
    </row>
    <row r="123" spans="2:12" s="30" customFormat="1" ht="20.100000000000001" customHeight="1">
      <c r="B123" s="63"/>
      <c r="D123" s="64" t="s">
        <v>348</v>
      </c>
      <c r="E123" s="65"/>
      <c r="F123" s="65"/>
      <c r="G123" s="65"/>
      <c r="H123" s="65"/>
      <c r="I123" s="65"/>
      <c r="J123" s="78">
        <f>J2484</f>
        <v>6234246.6399999997</v>
      </c>
      <c r="L123" s="63"/>
    </row>
    <row r="124" spans="2:12" s="30" customFormat="1" ht="20.100000000000001" customHeight="1">
      <c r="B124" s="63"/>
      <c r="D124" s="64" t="s">
        <v>349</v>
      </c>
      <c r="E124" s="65"/>
      <c r="F124" s="65"/>
      <c r="G124" s="65"/>
      <c r="H124" s="65"/>
      <c r="I124" s="65"/>
      <c r="J124" s="78">
        <f>J2561</f>
        <v>376577.59</v>
      </c>
      <c r="L124" s="63"/>
    </row>
    <row r="125" spans="2:12" s="30" customFormat="1" ht="20.100000000000001" customHeight="1">
      <c r="B125" s="63"/>
      <c r="D125" s="64" t="s">
        <v>350</v>
      </c>
      <c r="E125" s="65"/>
      <c r="F125" s="65"/>
      <c r="G125" s="65"/>
      <c r="H125" s="65"/>
      <c r="I125" s="65"/>
      <c r="J125" s="78">
        <f>J2570</f>
        <v>1065537.21</v>
      </c>
      <c r="L125" s="63"/>
    </row>
    <row r="126" spans="2:12" s="30" customFormat="1" ht="20.100000000000001" customHeight="1">
      <c r="B126" s="63"/>
      <c r="D126" s="64" t="s">
        <v>351</v>
      </c>
      <c r="E126" s="65"/>
      <c r="F126" s="65"/>
      <c r="G126" s="65"/>
      <c r="H126" s="65"/>
      <c r="I126" s="65"/>
      <c r="J126" s="78">
        <f>J2632</f>
        <v>1057898.81</v>
      </c>
      <c r="L126" s="63"/>
    </row>
    <row r="127" spans="2:12" s="1" customFormat="1" ht="21.75" customHeight="1">
      <c r="B127" s="12"/>
      <c r="L127" s="12"/>
    </row>
    <row r="128" spans="2:12" s="1" customFormat="1" ht="6.9" customHeight="1">
      <c r="B128" s="26"/>
      <c r="C128" s="27"/>
      <c r="D128" s="27"/>
      <c r="E128" s="27"/>
      <c r="F128" s="27"/>
      <c r="G128" s="27"/>
      <c r="H128" s="27"/>
      <c r="I128" s="27"/>
      <c r="J128" s="27"/>
      <c r="K128" s="27"/>
      <c r="L128" s="12"/>
    </row>
    <row r="132" spans="2:12" s="1" customFormat="1" ht="6.9" customHeight="1">
      <c r="B132" s="56"/>
      <c r="C132" s="57"/>
      <c r="D132" s="57"/>
      <c r="E132" s="57"/>
      <c r="F132" s="57"/>
      <c r="G132" s="57"/>
      <c r="H132" s="57"/>
      <c r="I132" s="57"/>
      <c r="J132" s="57"/>
      <c r="K132" s="57"/>
      <c r="L132" s="12"/>
    </row>
    <row r="133" spans="2:12" s="1" customFormat="1" ht="24.9" customHeight="1">
      <c r="B133" s="12"/>
      <c r="C133" s="6" t="s">
        <v>195</v>
      </c>
      <c r="L133" s="12"/>
    </row>
    <row r="134" spans="2:12" s="1" customFormat="1" ht="6.9" customHeight="1">
      <c r="B134" s="12"/>
      <c r="L134" s="12"/>
    </row>
    <row r="135" spans="2:12" s="1" customFormat="1" ht="12" customHeight="1">
      <c r="B135" s="12"/>
      <c r="C135" s="10" t="s">
        <v>16</v>
      </c>
      <c r="L135" s="12"/>
    </row>
    <row r="136" spans="2:12" s="1" customFormat="1" ht="16.5" customHeight="1">
      <c r="B136" s="12"/>
      <c r="E136" s="392" t="str">
        <f>E7</f>
        <v>Bytový soubor Libuše</v>
      </c>
      <c r="F136" s="393"/>
      <c r="G136" s="393"/>
      <c r="H136" s="393"/>
      <c r="L136" s="12"/>
    </row>
    <row r="137" spans="2:12" ht="12" customHeight="1">
      <c r="B137" s="5"/>
      <c r="C137" s="10" t="s">
        <v>182</v>
      </c>
      <c r="L137" s="5"/>
    </row>
    <row r="138" spans="2:12" s="1" customFormat="1" ht="16.5" customHeight="1">
      <c r="B138" s="12"/>
      <c r="E138" s="392" t="s">
        <v>293</v>
      </c>
      <c r="F138" s="394"/>
      <c r="G138" s="394"/>
      <c r="H138" s="394"/>
      <c r="L138" s="12"/>
    </row>
    <row r="139" spans="2:12" s="1" customFormat="1" ht="12" customHeight="1">
      <c r="B139" s="12"/>
      <c r="C139" s="10" t="s">
        <v>296</v>
      </c>
      <c r="L139" s="12"/>
    </row>
    <row r="140" spans="2:12" s="1" customFormat="1" ht="16.5" customHeight="1">
      <c r="B140" s="12"/>
      <c r="E140" s="381" t="str">
        <f>E11</f>
        <v>100 - Architektonicko-stavební a konstrukční část</v>
      </c>
      <c r="F140" s="394"/>
      <c r="G140" s="394"/>
      <c r="H140" s="394"/>
      <c r="L140" s="12"/>
    </row>
    <row r="141" spans="2:12" s="1" customFormat="1" ht="6.9" customHeight="1">
      <c r="B141" s="12"/>
      <c r="L141" s="12"/>
    </row>
    <row r="142" spans="2:12" s="1" customFormat="1" ht="12" customHeight="1">
      <c r="B142" s="12"/>
      <c r="C142" s="10" t="s">
        <v>20</v>
      </c>
      <c r="F142" s="32" t="str">
        <f>F14</f>
        <v>Praha</v>
      </c>
      <c r="I142" s="10" t="s">
        <v>22</v>
      </c>
      <c r="J142" s="11">
        <f>IF(J14="","",J14)</f>
        <v>45000</v>
      </c>
      <c r="L142" s="12"/>
    </row>
    <row r="143" spans="2:12" s="1" customFormat="1" ht="6.9" customHeight="1">
      <c r="B143" s="12"/>
      <c r="L143" s="12"/>
    </row>
    <row r="144" spans="2:12" s="1" customFormat="1" ht="15.15" customHeight="1">
      <c r="B144" s="12"/>
      <c r="C144" s="10" t="s">
        <v>23</v>
      </c>
      <c r="F144" s="32" t="str">
        <f>E17</f>
        <v>VELTON REAL ESTATE</v>
      </c>
      <c r="I144" s="10" t="s">
        <v>31</v>
      </c>
      <c r="J144" s="8" t="str">
        <f>E23</f>
        <v>ABMV World s.r.o</v>
      </c>
      <c r="L144" s="12"/>
    </row>
    <row r="145" spans="2:65" s="1" customFormat="1" ht="15.15" customHeight="1">
      <c r="B145" s="12"/>
      <c r="C145" s="10" t="s">
        <v>27</v>
      </c>
      <c r="F145" s="32" t="str">
        <f>IF(E20="","",E20)</f>
        <v>DMG Stav a.s.</v>
      </c>
      <c r="I145" s="10" t="s">
        <v>34</v>
      </c>
      <c r="J145" s="8" t="str">
        <f>E26</f>
        <v>QSB s.r.o.</v>
      </c>
      <c r="L145" s="12"/>
    </row>
    <row r="146" spans="2:65" s="1" customFormat="1" ht="10.35" customHeight="1">
      <c r="B146" s="12"/>
      <c r="L146" s="12"/>
    </row>
    <row r="147" spans="2:65" s="2" customFormat="1" ht="29.25" customHeight="1">
      <c r="B147" s="13"/>
      <c r="C147" s="14" t="s">
        <v>196</v>
      </c>
      <c r="D147" s="15" t="s">
        <v>62</v>
      </c>
      <c r="E147" s="15" t="s">
        <v>58</v>
      </c>
      <c r="F147" s="15" t="s">
        <v>59</v>
      </c>
      <c r="G147" s="15" t="s">
        <v>197</v>
      </c>
      <c r="H147" s="15" t="s">
        <v>198</v>
      </c>
      <c r="I147" s="15" t="s">
        <v>199</v>
      </c>
      <c r="J147" s="16" t="s">
        <v>186</v>
      </c>
      <c r="K147" s="79" t="s">
        <v>200</v>
      </c>
      <c r="L147" s="13"/>
      <c r="M147" s="80" t="s">
        <v>1</v>
      </c>
      <c r="N147" s="81" t="s">
        <v>41</v>
      </c>
      <c r="O147" s="81" t="s">
        <v>201</v>
      </c>
      <c r="P147" s="81" t="s">
        <v>202</v>
      </c>
      <c r="Q147" s="81" t="s">
        <v>203</v>
      </c>
      <c r="R147" s="81" t="s">
        <v>204</v>
      </c>
      <c r="S147" s="81" t="s">
        <v>205</v>
      </c>
      <c r="T147" s="96" t="s">
        <v>206</v>
      </c>
    </row>
    <row r="148" spans="2:65" s="1" customFormat="1" ht="23.1" customHeight="1">
      <c r="B148" s="12"/>
      <c r="C148" s="66" t="s">
        <v>207</v>
      </c>
      <c r="J148" s="82">
        <f>BK148</f>
        <v>183655741.81999999</v>
      </c>
      <c r="L148" s="12"/>
      <c r="M148" s="83"/>
      <c r="N148" s="35"/>
      <c r="O148" s="35"/>
      <c r="P148" s="84">
        <f>P149+P1221</f>
        <v>0</v>
      </c>
      <c r="Q148" s="35"/>
      <c r="R148" s="84">
        <f>R149+R1221</f>
        <v>11487.44266801</v>
      </c>
      <c r="S148" s="35"/>
      <c r="T148" s="97">
        <f>T149+T1221</f>
        <v>0</v>
      </c>
      <c r="AT148" s="23" t="s">
        <v>76</v>
      </c>
      <c r="AU148" s="23" t="s">
        <v>188</v>
      </c>
      <c r="BK148" s="102">
        <f>BK149+BK1221</f>
        <v>183655741.81999999</v>
      </c>
    </row>
    <row r="149" spans="2:65" s="31" customFormat="1" ht="26.1" customHeight="1">
      <c r="B149" s="67"/>
      <c r="D149" s="68" t="s">
        <v>76</v>
      </c>
      <c r="E149" s="69" t="s">
        <v>352</v>
      </c>
      <c r="F149" s="69" t="s">
        <v>353</v>
      </c>
      <c r="I149" s="85"/>
      <c r="J149" s="86">
        <f>BK149</f>
        <v>137374714.06999999</v>
      </c>
      <c r="L149" s="67"/>
      <c r="M149" s="87"/>
      <c r="P149" s="88">
        <f>P150+P212+P283+P588+P934+P1040+P1219</f>
        <v>0</v>
      </c>
      <c r="R149" s="88">
        <f>R150+R212+R283+R588+R934+R1040+R1219</f>
        <v>11120.82955197</v>
      </c>
      <c r="T149" s="98">
        <f>T150+T212+T283+T588+T934+T1040+T1219</f>
        <v>0</v>
      </c>
      <c r="AR149" s="68" t="s">
        <v>85</v>
      </c>
      <c r="AT149" s="100" t="s">
        <v>76</v>
      </c>
      <c r="AU149" s="100" t="s">
        <v>77</v>
      </c>
      <c r="AY149" s="68" t="s">
        <v>211</v>
      </c>
      <c r="BK149" s="103">
        <f>BK150+BK212+BK283+BK588+BK934+BK1040+BK1219</f>
        <v>137374714.06999999</v>
      </c>
    </row>
    <row r="150" spans="2:65" s="31" customFormat="1" ht="23.1" customHeight="1">
      <c r="B150" s="67"/>
      <c r="D150" s="68" t="s">
        <v>76</v>
      </c>
      <c r="E150" s="70" t="s">
        <v>85</v>
      </c>
      <c r="F150" s="70" t="s">
        <v>354</v>
      </c>
      <c r="I150" s="85"/>
      <c r="J150" s="89">
        <f>BK150</f>
        <v>17743567.93</v>
      </c>
      <c r="L150" s="67"/>
      <c r="M150" s="87"/>
      <c r="P150" s="88">
        <f>SUM(P151:P211)</f>
        <v>0</v>
      </c>
      <c r="R150" s="88">
        <f>SUM(R151:R211)</f>
        <v>0</v>
      </c>
      <c r="T150" s="98">
        <f>SUM(T151:T211)</f>
        <v>0</v>
      </c>
      <c r="AR150" s="68" t="s">
        <v>85</v>
      </c>
      <c r="AT150" s="100" t="s">
        <v>76</v>
      </c>
      <c r="AU150" s="100" t="s">
        <v>85</v>
      </c>
      <c r="AY150" s="68" t="s">
        <v>211</v>
      </c>
      <c r="BK150" s="103">
        <f>SUM(BK151:BK211)</f>
        <v>17743567.93</v>
      </c>
    </row>
    <row r="151" spans="2:65" s="1" customFormat="1" ht="33" customHeight="1">
      <c r="B151" s="12"/>
      <c r="C151" s="71" t="s">
        <v>85</v>
      </c>
      <c r="D151" s="71" t="s">
        <v>214</v>
      </c>
      <c r="E151" s="72" t="s">
        <v>355</v>
      </c>
      <c r="F151" s="73" t="s">
        <v>356</v>
      </c>
      <c r="G151" s="74" t="s">
        <v>357</v>
      </c>
      <c r="H151" s="75">
        <v>9775</v>
      </c>
      <c r="I151" s="90">
        <v>176</v>
      </c>
      <c r="J151" s="91">
        <f>ROUND(I151*H151,2)</f>
        <v>1720400</v>
      </c>
      <c r="K151" s="92"/>
      <c r="L151" s="12"/>
      <c r="M151" s="93" t="s">
        <v>1</v>
      </c>
      <c r="N151" s="94" t="s">
        <v>42</v>
      </c>
      <c r="P151" s="95">
        <f>O151*H151</f>
        <v>0</v>
      </c>
      <c r="Q151" s="95">
        <v>0</v>
      </c>
      <c r="R151" s="95">
        <f>Q151*H151</f>
        <v>0</v>
      </c>
      <c r="S151" s="95">
        <v>0</v>
      </c>
      <c r="T151" s="99">
        <f>S151*H151</f>
        <v>0</v>
      </c>
      <c r="AR151" s="101" t="s">
        <v>218</v>
      </c>
      <c r="AT151" s="101" t="s">
        <v>214</v>
      </c>
      <c r="AU151" s="101" t="s">
        <v>87</v>
      </c>
      <c r="AY151" s="23" t="s">
        <v>211</v>
      </c>
      <c r="BE151" s="104">
        <f>IF(N151="základní",J151,0)</f>
        <v>1720400</v>
      </c>
      <c r="BF151" s="104">
        <f>IF(N151="snížená",J151,0)</f>
        <v>0</v>
      </c>
      <c r="BG151" s="104">
        <f>IF(N151="zákl. přenesená",J151,0)</f>
        <v>0</v>
      </c>
      <c r="BH151" s="104">
        <f>IF(N151="sníž. přenesená",J151,0)</f>
        <v>0</v>
      </c>
      <c r="BI151" s="104">
        <f>IF(N151="nulová",J151,0)</f>
        <v>0</v>
      </c>
      <c r="BJ151" s="23" t="s">
        <v>85</v>
      </c>
      <c r="BK151" s="104">
        <f>ROUND(I151*H151,2)</f>
        <v>1720400</v>
      </c>
      <c r="BL151" s="23" t="s">
        <v>218</v>
      </c>
      <c r="BM151" s="101" t="s">
        <v>358</v>
      </c>
    </row>
    <row r="152" spans="2:65" s="1" customFormat="1" ht="33" customHeight="1">
      <c r="B152" s="12"/>
      <c r="C152" s="71" t="s">
        <v>87</v>
      </c>
      <c r="D152" s="71" t="s">
        <v>214</v>
      </c>
      <c r="E152" s="72" t="s">
        <v>359</v>
      </c>
      <c r="F152" s="73" t="s">
        <v>360</v>
      </c>
      <c r="G152" s="74" t="s">
        <v>357</v>
      </c>
      <c r="H152" s="75">
        <v>1725</v>
      </c>
      <c r="I152" s="90">
        <v>315</v>
      </c>
      <c r="J152" s="91">
        <f>ROUND(I152*H152,2)</f>
        <v>543375</v>
      </c>
      <c r="K152" s="92"/>
      <c r="L152" s="12"/>
      <c r="M152" s="93" t="s">
        <v>1</v>
      </c>
      <c r="N152" s="94" t="s">
        <v>42</v>
      </c>
      <c r="P152" s="95">
        <f>O152*H152</f>
        <v>0</v>
      </c>
      <c r="Q152" s="95">
        <v>0</v>
      </c>
      <c r="R152" s="95">
        <f>Q152*H152</f>
        <v>0</v>
      </c>
      <c r="S152" s="95">
        <v>0</v>
      </c>
      <c r="T152" s="99">
        <f>S152*H152</f>
        <v>0</v>
      </c>
      <c r="AR152" s="101" t="s">
        <v>218</v>
      </c>
      <c r="AT152" s="101" t="s">
        <v>214</v>
      </c>
      <c r="AU152" s="101" t="s">
        <v>87</v>
      </c>
      <c r="AY152" s="23" t="s">
        <v>211</v>
      </c>
      <c r="BE152" s="104">
        <f>IF(N152="základní",J152,0)</f>
        <v>543375</v>
      </c>
      <c r="BF152" s="104">
        <f>IF(N152="snížená",J152,0)</f>
        <v>0</v>
      </c>
      <c r="BG152" s="104">
        <f>IF(N152="zákl. přenesená",J152,0)</f>
        <v>0</v>
      </c>
      <c r="BH152" s="104">
        <f>IF(N152="sníž. přenesená",J152,0)</f>
        <v>0</v>
      </c>
      <c r="BI152" s="104">
        <f>IF(N152="nulová",J152,0)</f>
        <v>0</v>
      </c>
      <c r="BJ152" s="23" t="s">
        <v>85</v>
      </c>
      <c r="BK152" s="104">
        <f>ROUND(I152*H152,2)</f>
        <v>543375</v>
      </c>
      <c r="BL152" s="23" t="s">
        <v>218</v>
      </c>
      <c r="BM152" s="101" t="s">
        <v>361</v>
      </c>
    </row>
    <row r="153" spans="2:65" s="1" customFormat="1" ht="38.1" customHeight="1">
      <c r="B153" s="12"/>
      <c r="C153" s="71" t="s">
        <v>137</v>
      </c>
      <c r="D153" s="71" t="s">
        <v>214</v>
      </c>
      <c r="E153" s="72" t="s">
        <v>362</v>
      </c>
      <c r="F153" s="73" t="s">
        <v>363</v>
      </c>
      <c r="G153" s="74" t="s">
        <v>357</v>
      </c>
      <c r="H153" s="75">
        <v>5912.7079999999996</v>
      </c>
      <c r="I153" s="90">
        <v>72</v>
      </c>
      <c r="J153" s="91">
        <f>ROUND(I153*H153,2)</f>
        <v>425714.98</v>
      </c>
      <c r="K153" s="92"/>
      <c r="L153" s="12"/>
      <c r="M153" s="93" t="s">
        <v>1</v>
      </c>
      <c r="N153" s="94" t="s">
        <v>42</v>
      </c>
      <c r="P153" s="95">
        <f>O153*H153</f>
        <v>0</v>
      </c>
      <c r="Q153" s="95">
        <v>0</v>
      </c>
      <c r="R153" s="95">
        <f>Q153*H153</f>
        <v>0</v>
      </c>
      <c r="S153" s="95">
        <v>0</v>
      </c>
      <c r="T153" s="99">
        <f>S153*H153</f>
        <v>0</v>
      </c>
      <c r="AR153" s="101" t="s">
        <v>218</v>
      </c>
      <c r="AT153" s="101" t="s">
        <v>214</v>
      </c>
      <c r="AU153" s="101" t="s">
        <v>87</v>
      </c>
      <c r="AY153" s="23" t="s">
        <v>211</v>
      </c>
      <c r="BE153" s="104">
        <f>IF(N153="základní",J153,0)</f>
        <v>425714.98</v>
      </c>
      <c r="BF153" s="104">
        <f>IF(N153="snížená",J153,0)</f>
        <v>0</v>
      </c>
      <c r="BG153" s="104">
        <f>IF(N153="zákl. přenesená",J153,0)</f>
        <v>0</v>
      </c>
      <c r="BH153" s="104">
        <f>IF(N153="sníž. přenesená",J153,0)</f>
        <v>0</v>
      </c>
      <c r="BI153" s="104">
        <f>IF(N153="nulová",J153,0)</f>
        <v>0</v>
      </c>
      <c r="BJ153" s="23" t="s">
        <v>85</v>
      </c>
      <c r="BK153" s="104">
        <f>ROUND(I153*H153,2)</f>
        <v>425714.98</v>
      </c>
      <c r="BL153" s="23" t="s">
        <v>218</v>
      </c>
      <c r="BM153" s="101" t="s">
        <v>364</v>
      </c>
    </row>
    <row r="154" spans="2:65" s="113" customFormat="1">
      <c r="B154" s="119"/>
      <c r="D154" s="105" t="s">
        <v>365</v>
      </c>
      <c r="E154" s="135" t="s">
        <v>1</v>
      </c>
      <c r="F154" s="120" t="s">
        <v>366</v>
      </c>
      <c r="H154" s="121">
        <v>2956.3539999999998</v>
      </c>
      <c r="I154" s="128"/>
      <c r="L154" s="119"/>
      <c r="M154" s="129"/>
      <c r="T154" s="133"/>
      <c r="AT154" s="135" t="s">
        <v>365</v>
      </c>
      <c r="AU154" s="135" t="s">
        <v>87</v>
      </c>
      <c r="AV154" s="113" t="s">
        <v>87</v>
      </c>
      <c r="AW154" s="113" t="s">
        <v>33</v>
      </c>
      <c r="AX154" s="113" t="s">
        <v>77</v>
      </c>
      <c r="AY154" s="135" t="s">
        <v>211</v>
      </c>
    </row>
    <row r="155" spans="2:65" s="113" customFormat="1" ht="20.399999999999999">
      <c r="B155" s="119"/>
      <c r="D155" s="105" t="s">
        <v>365</v>
      </c>
      <c r="E155" s="135" t="s">
        <v>1</v>
      </c>
      <c r="F155" s="120" t="s">
        <v>367</v>
      </c>
      <c r="H155" s="121">
        <v>2956.3539999999998</v>
      </c>
      <c r="I155" s="128"/>
      <c r="L155" s="119"/>
      <c r="M155" s="129"/>
      <c r="T155" s="133"/>
      <c r="AT155" s="135" t="s">
        <v>365</v>
      </c>
      <c r="AU155" s="135" t="s">
        <v>87</v>
      </c>
      <c r="AV155" s="113" t="s">
        <v>87</v>
      </c>
      <c r="AW155" s="113" t="s">
        <v>33</v>
      </c>
      <c r="AX155" s="113" t="s">
        <v>77</v>
      </c>
      <c r="AY155" s="135" t="s">
        <v>211</v>
      </c>
    </row>
    <row r="156" spans="2:65" s="137" customFormat="1">
      <c r="B156" s="141"/>
      <c r="D156" s="105" t="s">
        <v>365</v>
      </c>
      <c r="E156" s="142" t="s">
        <v>1</v>
      </c>
      <c r="F156" s="143" t="s">
        <v>368</v>
      </c>
      <c r="H156" s="144">
        <v>5912.7079999999996</v>
      </c>
      <c r="I156" s="148"/>
      <c r="L156" s="141"/>
      <c r="M156" s="149"/>
      <c r="T156" s="151"/>
      <c r="AT156" s="142" t="s">
        <v>365</v>
      </c>
      <c r="AU156" s="142" t="s">
        <v>87</v>
      </c>
      <c r="AV156" s="137" t="s">
        <v>218</v>
      </c>
      <c r="AW156" s="137" t="s">
        <v>33</v>
      </c>
      <c r="AX156" s="137" t="s">
        <v>85</v>
      </c>
      <c r="AY156" s="142" t="s">
        <v>211</v>
      </c>
    </row>
    <row r="157" spans="2:65" s="1" customFormat="1" ht="38.1" customHeight="1">
      <c r="B157" s="12"/>
      <c r="C157" s="71" t="s">
        <v>218</v>
      </c>
      <c r="D157" s="71" t="s">
        <v>214</v>
      </c>
      <c r="E157" s="72" t="s">
        <v>369</v>
      </c>
      <c r="F157" s="73" t="s">
        <v>370</v>
      </c>
      <c r="G157" s="74" t="s">
        <v>357</v>
      </c>
      <c r="H157" s="75">
        <v>6951.7560000000003</v>
      </c>
      <c r="I157" s="90">
        <v>288</v>
      </c>
      <c r="J157" s="91">
        <f>ROUND(I157*H157,2)</f>
        <v>2002105.73</v>
      </c>
      <c r="K157" s="92"/>
      <c r="L157" s="12"/>
      <c r="M157" s="93" t="s">
        <v>1</v>
      </c>
      <c r="N157" s="94" t="s">
        <v>42</v>
      </c>
      <c r="P157" s="95">
        <f>O157*H157</f>
        <v>0</v>
      </c>
      <c r="Q157" s="95">
        <v>0</v>
      </c>
      <c r="R157" s="95">
        <f>Q157*H157</f>
        <v>0</v>
      </c>
      <c r="S157" s="95">
        <v>0</v>
      </c>
      <c r="T157" s="99">
        <f>S157*H157</f>
        <v>0</v>
      </c>
      <c r="AR157" s="101" t="s">
        <v>218</v>
      </c>
      <c r="AT157" s="101" t="s">
        <v>214</v>
      </c>
      <c r="AU157" s="101" t="s">
        <v>87</v>
      </c>
      <c r="AY157" s="23" t="s">
        <v>211</v>
      </c>
      <c r="BE157" s="104">
        <f>IF(N157="základní",J157,0)</f>
        <v>2002105.73</v>
      </c>
      <c r="BF157" s="104">
        <f>IF(N157="snížená",J157,0)</f>
        <v>0</v>
      </c>
      <c r="BG157" s="104">
        <f>IF(N157="zákl. přenesená",J157,0)</f>
        <v>0</v>
      </c>
      <c r="BH157" s="104">
        <f>IF(N157="sníž. přenesená",J157,0)</f>
        <v>0</v>
      </c>
      <c r="BI157" s="104">
        <f>IF(N157="nulová",J157,0)</f>
        <v>0</v>
      </c>
      <c r="BJ157" s="23" t="s">
        <v>85</v>
      </c>
      <c r="BK157" s="104">
        <f>ROUND(I157*H157,2)</f>
        <v>2002105.73</v>
      </c>
      <c r="BL157" s="23" t="s">
        <v>218</v>
      </c>
      <c r="BM157" s="101" t="s">
        <v>371</v>
      </c>
    </row>
    <row r="158" spans="2:65" s="113" customFormat="1">
      <c r="B158" s="119"/>
      <c r="D158" s="105" t="s">
        <v>365</v>
      </c>
      <c r="E158" s="135" t="s">
        <v>1</v>
      </c>
      <c r="F158" s="120" t="s">
        <v>372</v>
      </c>
      <c r="H158" s="121">
        <v>9775</v>
      </c>
      <c r="I158" s="128"/>
      <c r="L158" s="119"/>
      <c r="M158" s="129"/>
      <c r="T158" s="133"/>
      <c r="AT158" s="135" t="s">
        <v>365</v>
      </c>
      <c r="AU158" s="135" t="s">
        <v>87</v>
      </c>
      <c r="AV158" s="113" t="s">
        <v>87</v>
      </c>
      <c r="AW158" s="113" t="s">
        <v>33</v>
      </c>
      <c r="AX158" s="113" t="s">
        <v>77</v>
      </c>
      <c r="AY158" s="135" t="s">
        <v>211</v>
      </c>
    </row>
    <row r="159" spans="2:65" s="113" customFormat="1">
      <c r="B159" s="119"/>
      <c r="D159" s="105" t="s">
        <v>365</v>
      </c>
      <c r="E159" s="135" t="s">
        <v>1</v>
      </c>
      <c r="F159" s="120" t="s">
        <v>373</v>
      </c>
      <c r="H159" s="121">
        <v>-2956.3539999999998</v>
      </c>
      <c r="I159" s="128"/>
      <c r="L159" s="119"/>
      <c r="M159" s="129"/>
      <c r="T159" s="133"/>
      <c r="AT159" s="135" t="s">
        <v>365</v>
      </c>
      <c r="AU159" s="135" t="s">
        <v>87</v>
      </c>
      <c r="AV159" s="113" t="s">
        <v>87</v>
      </c>
      <c r="AW159" s="113" t="s">
        <v>33</v>
      </c>
      <c r="AX159" s="113" t="s">
        <v>77</v>
      </c>
      <c r="AY159" s="135" t="s">
        <v>211</v>
      </c>
    </row>
    <row r="160" spans="2:65" s="113" customFormat="1">
      <c r="B160" s="119"/>
      <c r="D160" s="105" t="s">
        <v>365</v>
      </c>
      <c r="E160" s="135" t="s">
        <v>1</v>
      </c>
      <c r="F160" s="120" t="s">
        <v>374</v>
      </c>
      <c r="H160" s="121">
        <v>133.11000000000001</v>
      </c>
      <c r="I160" s="128"/>
      <c r="L160" s="119"/>
      <c r="M160" s="129"/>
      <c r="T160" s="133"/>
      <c r="AT160" s="135" t="s">
        <v>365</v>
      </c>
      <c r="AU160" s="135" t="s">
        <v>87</v>
      </c>
      <c r="AV160" s="113" t="s">
        <v>87</v>
      </c>
      <c r="AW160" s="113" t="s">
        <v>33</v>
      </c>
      <c r="AX160" s="113" t="s">
        <v>77</v>
      </c>
      <c r="AY160" s="135" t="s">
        <v>211</v>
      </c>
    </row>
    <row r="161" spans="2:65" s="137" customFormat="1">
      <c r="B161" s="141"/>
      <c r="D161" s="105" t="s">
        <v>365</v>
      </c>
      <c r="E161" s="142" t="s">
        <v>1</v>
      </c>
      <c r="F161" s="143" t="s">
        <v>368</v>
      </c>
      <c r="H161" s="144">
        <v>6951.7560000000003</v>
      </c>
      <c r="I161" s="148"/>
      <c r="L161" s="141"/>
      <c r="M161" s="149"/>
      <c r="T161" s="151"/>
      <c r="AT161" s="142" t="s">
        <v>365</v>
      </c>
      <c r="AU161" s="142" t="s">
        <v>87</v>
      </c>
      <c r="AV161" s="137" t="s">
        <v>218</v>
      </c>
      <c r="AW161" s="137" t="s">
        <v>33</v>
      </c>
      <c r="AX161" s="137" t="s">
        <v>85</v>
      </c>
      <c r="AY161" s="142" t="s">
        <v>211</v>
      </c>
    </row>
    <row r="162" spans="2:65" s="1" customFormat="1" ht="38.1" customHeight="1">
      <c r="B162" s="12"/>
      <c r="C162" s="71" t="s">
        <v>210</v>
      </c>
      <c r="D162" s="71" t="s">
        <v>214</v>
      </c>
      <c r="E162" s="72" t="s">
        <v>375</v>
      </c>
      <c r="F162" s="73" t="s">
        <v>376</v>
      </c>
      <c r="G162" s="74" t="s">
        <v>357</v>
      </c>
      <c r="H162" s="75">
        <v>69517.56</v>
      </c>
      <c r="I162" s="90">
        <v>19.8</v>
      </c>
      <c r="J162" s="91">
        <f>ROUND(I162*H162,2)</f>
        <v>1376447.69</v>
      </c>
      <c r="K162" s="92"/>
      <c r="L162" s="12"/>
      <c r="M162" s="93" t="s">
        <v>1</v>
      </c>
      <c r="N162" s="94" t="s">
        <v>42</v>
      </c>
      <c r="P162" s="95">
        <f>O162*H162</f>
        <v>0</v>
      </c>
      <c r="Q162" s="95">
        <v>0</v>
      </c>
      <c r="R162" s="95">
        <f>Q162*H162</f>
        <v>0</v>
      </c>
      <c r="S162" s="95">
        <v>0</v>
      </c>
      <c r="T162" s="99">
        <f>S162*H162</f>
        <v>0</v>
      </c>
      <c r="AR162" s="101" t="s">
        <v>218</v>
      </c>
      <c r="AT162" s="101" t="s">
        <v>214</v>
      </c>
      <c r="AU162" s="101" t="s">
        <v>87</v>
      </c>
      <c r="AY162" s="23" t="s">
        <v>211</v>
      </c>
      <c r="BE162" s="104">
        <f>IF(N162="základní",J162,0)</f>
        <v>1376447.69</v>
      </c>
      <c r="BF162" s="104">
        <f>IF(N162="snížená",J162,0)</f>
        <v>0</v>
      </c>
      <c r="BG162" s="104">
        <f>IF(N162="zákl. přenesená",J162,0)</f>
        <v>0</v>
      </c>
      <c r="BH162" s="104">
        <f>IF(N162="sníž. přenesená",J162,0)</f>
        <v>0</v>
      </c>
      <c r="BI162" s="104">
        <f>IF(N162="nulová",J162,0)</f>
        <v>0</v>
      </c>
      <c r="BJ162" s="23" t="s">
        <v>85</v>
      </c>
      <c r="BK162" s="104">
        <f>ROUND(I162*H162,2)</f>
        <v>1376447.69</v>
      </c>
      <c r="BL162" s="23" t="s">
        <v>218</v>
      </c>
      <c r="BM162" s="101" t="s">
        <v>377</v>
      </c>
    </row>
    <row r="163" spans="2:65" s="113" customFormat="1">
      <c r="B163" s="119"/>
      <c r="D163" s="105" t="s">
        <v>365</v>
      </c>
      <c r="F163" s="120" t="s">
        <v>378</v>
      </c>
      <c r="H163" s="121">
        <v>69517.56</v>
      </c>
      <c r="I163" s="128"/>
      <c r="L163" s="119"/>
      <c r="M163" s="129"/>
      <c r="T163" s="133"/>
      <c r="AT163" s="135" t="s">
        <v>365</v>
      </c>
      <c r="AU163" s="135" t="s">
        <v>87</v>
      </c>
      <c r="AV163" s="113" t="s">
        <v>87</v>
      </c>
      <c r="AW163" s="113" t="s">
        <v>4</v>
      </c>
      <c r="AX163" s="113" t="s">
        <v>85</v>
      </c>
      <c r="AY163" s="135" t="s">
        <v>211</v>
      </c>
    </row>
    <row r="164" spans="2:65" s="1" customFormat="1" ht="38.1" customHeight="1">
      <c r="B164" s="12"/>
      <c r="C164" s="71" t="s">
        <v>239</v>
      </c>
      <c r="D164" s="71" t="s">
        <v>214</v>
      </c>
      <c r="E164" s="72" t="s">
        <v>379</v>
      </c>
      <c r="F164" s="73" t="s">
        <v>380</v>
      </c>
      <c r="G164" s="74" t="s">
        <v>357</v>
      </c>
      <c r="H164" s="75">
        <v>1858.106</v>
      </c>
      <c r="I164" s="90">
        <v>317</v>
      </c>
      <c r="J164" s="91">
        <f>ROUND(I164*H164,2)</f>
        <v>589019.6</v>
      </c>
      <c r="K164" s="92"/>
      <c r="L164" s="12"/>
      <c r="M164" s="93" t="s">
        <v>1</v>
      </c>
      <c r="N164" s="94" t="s">
        <v>42</v>
      </c>
      <c r="P164" s="95">
        <f>O164*H164</f>
        <v>0</v>
      </c>
      <c r="Q164" s="95">
        <v>0</v>
      </c>
      <c r="R164" s="95">
        <f>Q164*H164</f>
        <v>0</v>
      </c>
      <c r="S164" s="95">
        <v>0</v>
      </c>
      <c r="T164" s="99">
        <f>S164*H164</f>
        <v>0</v>
      </c>
      <c r="AR164" s="101" t="s">
        <v>218</v>
      </c>
      <c r="AT164" s="101" t="s">
        <v>214</v>
      </c>
      <c r="AU164" s="101" t="s">
        <v>87</v>
      </c>
      <c r="AY164" s="23" t="s">
        <v>211</v>
      </c>
      <c r="BE164" s="104">
        <f>IF(N164="základní",J164,0)</f>
        <v>589019.6</v>
      </c>
      <c r="BF164" s="104">
        <f>IF(N164="snížená",J164,0)</f>
        <v>0</v>
      </c>
      <c r="BG164" s="104">
        <f>IF(N164="zákl. přenesená",J164,0)</f>
        <v>0</v>
      </c>
      <c r="BH164" s="104">
        <f>IF(N164="sníž. přenesená",J164,0)</f>
        <v>0</v>
      </c>
      <c r="BI164" s="104">
        <f>IF(N164="nulová",J164,0)</f>
        <v>0</v>
      </c>
      <c r="BJ164" s="23" t="s">
        <v>85</v>
      </c>
      <c r="BK164" s="104">
        <f>ROUND(I164*H164,2)</f>
        <v>589019.6</v>
      </c>
      <c r="BL164" s="23" t="s">
        <v>218</v>
      </c>
      <c r="BM164" s="101" t="s">
        <v>381</v>
      </c>
    </row>
    <row r="165" spans="2:65" s="113" customFormat="1">
      <c r="B165" s="119"/>
      <c r="D165" s="105" t="s">
        <v>365</v>
      </c>
      <c r="E165" s="135" t="s">
        <v>1</v>
      </c>
      <c r="F165" s="120" t="s">
        <v>382</v>
      </c>
      <c r="H165" s="121">
        <v>1725</v>
      </c>
      <c r="I165" s="128"/>
      <c r="L165" s="119"/>
      <c r="M165" s="129"/>
      <c r="T165" s="133"/>
      <c r="AT165" s="135" t="s">
        <v>365</v>
      </c>
      <c r="AU165" s="135" t="s">
        <v>87</v>
      </c>
      <c r="AV165" s="113" t="s">
        <v>87</v>
      </c>
      <c r="AW165" s="113" t="s">
        <v>33</v>
      </c>
      <c r="AX165" s="113" t="s">
        <v>77</v>
      </c>
      <c r="AY165" s="135" t="s">
        <v>211</v>
      </c>
    </row>
    <row r="166" spans="2:65" s="113" customFormat="1">
      <c r="B166" s="119"/>
      <c r="D166" s="105" t="s">
        <v>365</v>
      </c>
      <c r="E166" s="135" t="s">
        <v>1</v>
      </c>
      <c r="F166" s="120" t="s">
        <v>383</v>
      </c>
      <c r="H166" s="121">
        <v>133.10599999999999</v>
      </c>
      <c r="I166" s="128"/>
      <c r="L166" s="119"/>
      <c r="M166" s="129"/>
      <c r="T166" s="133"/>
      <c r="AT166" s="135" t="s">
        <v>365</v>
      </c>
      <c r="AU166" s="135" t="s">
        <v>87</v>
      </c>
      <c r="AV166" s="113" t="s">
        <v>87</v>
      </c>
      <c r="AW166" s="113" t="s">
        <v>33</v>
      </c>
      <c r="AX166" s="113" t="s">
        <v>77</v>
      </c>
      <c r="AY166" s="135" t="s">
        <v>211</v>
      </c>
    </row>
    <row r="167" spans="2:65" s="137" customFormat="1">
      <c r="B167" s="141"/>
      <c r="D167" s="105" t="s">
        <v>365</v>
      </c>
      <c r="E167" s="142" t="s">
        <v>1</v>
      </c>
      <c r="F167" s="143" t="s">
        <v>368</v>
      </c>
      <c r="H167" s="144">
        <v>1858.106</v>
      </c>
      <c r="I167" s="148"/>
      <c r="L167" s="141"/>
      <c r="M167" s="149"/>
      <c r="T167" s="151"/>
      <c r="AT167" s="142" t="s">
        <v>365</v>
      </c>
      <c r="AU167" s="142" t="s">
        <v>87</v>
      </c>
      <c r="AV167" s="137" t="s">
        <v>218</v>
      </c>
      <c r="AW167" s="137" t="s">
        <v>33</v>
      </c>
      <c r="AX167" s="137" t="s">
        <v>85</v>
      </c>
      <c r="AY167" s="142" t="s">
        <v>211</v>
      </c>
    </row>
    <row r="168" spans="2:65" s="1" customFormat="1" ht="38.1" customHeight="1">
      <c r="B168" s="12"/>
      <c r="C168" s="71" t="s">
        <v>245</v>
      </c>
      <c r="D168" s="71" t="s">
        <v>214</v>
      </c>
      <c r="E168" s="72" t="s">
        <v>384</v>
      </c>
      <c r="F168" s="73" t="s">
        <v>385</v>
      </c>
      <c r="G168" s="74" t="s">
        <v>357</v>
      </c>
      <c r="H168" s="75">
        <v>18581.060000000001</v>
      </c>
      <c r="I168" s="90">
        <v>22.3</v>
      </c>
      <c r="J168" s="91">
        <f>ROUND(I168*H168,2)</f>
        <v>414357.64</v>
      </c>
      <c r="K168" s="92"/>
      <c r="L168" s="12"/>
      <c r="M168" s="93" t="s">
        <v>1</v>
      </c>
      <c r="N168" s="94" t="s">
        <v>42</v>
      </c>
      <c r="P168" s="95">
        <f>O168*H168</f>
        <v>0</v>
      </c>
      <c r="Q168" s="95">
        <v>0</v>
      </c>
      <c r="R168" s="95">
        <f>Q168*H168</f>
        <v>0</v>
      </c>
      <c r="S168" s="95">
        <v>0</v>
      </c>
      <c r="T168" s="99">
        <f>S168*H168</f>
        <v>0</v>
      </c>
      <c r="AR168" s="101" t="s">
        <v>218</v>
      </c>
      <c r="AT168" s="101" t="s">
        <v>214</v>
      </c>
      <c r="AU168" s="101" t="s">
        <v>87</v>
      </c>
      <c r="AY168" s="23" t="s">
        <v>211</v>
      </c>
      <c r="BE168" s="104">
        <f>IF(N168="základní",J168,0)</f>
        <v>414357.64</v>
      </c>
      <c r="BF168" s="104">
        <f>IF(N168="snížená",J168,0)</f>
        <v>0</v>
      </c>
      <c r="BG168" s="104">
        <f>IF(N168="zákl. přenesená",J168,0)</f>
        <v>0</v>
      </c>
      <c r="BH168" s="104">
        <f>IF(N168="sníž. přenesená",J168,0)</f>
        <v>0</v>
      </c>
      <c r="BI168" s="104">
        <f>IF(N168="nulová",J168,0)</f>
        <v>0</v>
      </c>
      <c r="BJ168" s="23" t="s">
        <v>85</v>
      </c>
      <c r="BK168" s="104">
        <f>ROUND(I168*H168,2)</f>
        <v>414357.64</v>
      </c>
      <c r="BL168" s="23" t="s">
        <v>218</v>
      </c>
      <c r="BM168" s="101" t="s">
        <v>386</v>
      </c>
    </row>
    <row r="169" spans="2:65" s="113" customFormat="1">
      <c r="B169" s="119"/>
      <c r="D169" s="105" t="s">
        <v>365</v>
      </c>
      <c r="F169" s="120" t="s">
        <v>387</v>
      </c>
      <c r="H169" s="121">
        <v>18581.060000000001</v>
      </c>
      <c r="I169" s="128"/>
      <c r="L169" s="119"/>
      <c r="M169" s="129"/>
      <c r="T169" s="133"/>
      <c r="AT169" s="135" t="s">
        <v>365</v>
      </c>
      <c r="AU169" s="135" t="s">
        <v>87</v>
      </c>
      <c r="AV169" s="113" t="s">
        <v>87</v>
      </c>
      <c r="AW169" s="113" t="s">
        <v>4</v>
      </c>
      <c r="AX169" s="113" t="s">
        <v>85</v>
      </c>
      <c r="AY169" s="135" t="s">
        <v>211</v>
      </c>
    </row>
    <row r="170" spans="2:65" s="1" customFormat="1" ht="24.15" customHeight="1">
      <c r="B170" s="12"/>
      <c r="C170" s="71" t="s">
        <v>250</v>
      </c>
      <c r="D170" s="71" t="s">
        <v>214</v>
      </c>
      <c r="E170" s="72" t="s">
        <v>388</v>
      </c>
      <c r="F170" s="73" t="s">
        <v>389</v>
      </c>
      <c r="G170" s="74" t="s">
        <v>357</v>
      </c>
      <c r="H170" s="75">
        <v>3089.46</v>
      </c>
      <c r="I170" s="90">
        <v>45.7</v>
      </c>
      <c r="J170" s="91">
        <f>ROUND(I170*H170,2)</f>
        <v>141188.32</v>
      </c>
      <c r="K170" s="92"/>
      <c r="L170" s="12"/>
      <c r="M170" s="93" t="s">
        <v>1</v>
      </c>
      <c r="N170" s="94" t="s">
        <v>42</v>
      </c>
      <c r="P170" s="95">
        <f>O170*H170</f>
        <v>0</v>
      </c>
      <c r="Q170" s="95">
        <v>0</v>
      </c>
      <c r="R170" s="95">
        <f>Q170*H170</f>
        <v>0</v>
      </c>
      <c r="S170" s="95">
        <v>0</v>
      </c>
      <c r="T170" s="99">
        <f>S170*H170</f>
        <v>0</v>
      </c>
      <c r="AR170" s="101" t="s">
        <v>218</v>
      </c>
      <c r="AT170" s="101" t="s">
        <v>214</v>
      </c>
      <c r="AU170" s="101" t="s">
        <v>87</v>
      </c>
      <c r="AY170" s="23" t="s">
        <v>211</v>
      </c>
      <c r="BE170" s="104">
        <f>IF(N170="základní",J170,0)</f>
        <v>141188.32</v>
      </c>
      <c r="BF170" s="104">
        <f>IF(N170="snížená",J170,0)</f>
        <v>0</v>
      </c>
      <c r="BG170" s="104">
        <f>IF(N170="zákl. přenesená",J170,0)</f>
        <v>0</v>
      </c>
      <c r="BH170" s="104">
        <f>IF(N170="sníž. přenesená",J170,0)</f>
        <v>0</v>
      </c>
      <c r="BI170" s="104">
        <f>IF(N170="nulová",J170,0)</f>
        <v>0</v>
      </c>
      <c r="BJ170" s="23" t="s">
        <v>85</v>
      </c>
      <c r="BK170" s="104">
        <f>ROUND(I170*H170,2)</f>
        <v>141188.32</v>
      </c>
      <c r="BL170" s="23" t="s">
        <v>218</v>
      </c>
      <c r="BM170" s="101" t="s">
        <v>390</v>
      </c>
    </row>
    <row r="171" spans="2:65" s="113" customFormat="1">
      <c r="B171" s="119"/>
      <c r="D171" s="105" t="s">
        <v>365</v>
      </c>
      <c r="E171" s="135" t="s">
        <v>1</v>
      </c>
      <c r="F171" s="120" t="s">
        <v>391</v>
      </c>
      <c r="H171" s="121">
        <v>2956.3539999999998</v>
      </c>
      <c r="I171" s="128"/>
      <c r="L171" s="119"/>
      <c r="M171" s="129"/>
      <c r="T171" s="133"/>
      <c r="AT171" s="135" t="s">
        <v>365</v>
      </c>
      <c r="AU171" s="135" t="s">
        <v>87</v>
      </c>
      <c r="AV171" s="113" t="s">
        <v>87</v>
      </c>
      <c r="AW171" s="113" t="s">
        <v>33</v>
      </c>
      <c r="AX171" s="113" t="s">
        <v>77</v>
      </c>
      <c r="AY171" s="135" t="s">
        <v>211</v>
      </c>
    </row>
    <row r="172" spans="2:65" s="113" customFormat="1">
      <c r="B172" s="119"/>
      <c r="D172" s="105" t="s">
        <v>365</v>
      </c>
      <c r="E172" s="135" t="s">
        <v>1</v>
      </c>
      <c r="F172" s="120" t="s">
        <v>383</v>
      </c>
      <c r="H172" s="121">
        <v>133.10599999999999</v>
      </c>
      <c r="I172" s="128"/>
      <c r="L172" s="119"/>
      <c r="M172" s="129"/>
      <c r="T172" s="133"/>
      <c r="AT172" s="135" t="s">
        <v>365</v>
      </c>
      <c r="AU172" s="135" t="s">
        <v>87</v>
      </c>
      <c r="AV172" s="113" t="s">
        <v>87</v>
      </c>
      <c r="AW172" s="113" t="s">
        <v>33</v>
      </c>
      <c r="AX172" s="113" t="s">
        <v>77</v>
      </c>
      <c r="AY172" s="135" t="s">
        <v>211</v>
      </c>
    </row>
    <row r="173" spans="2:65" s="137" customFormat="1">
      <c r="B173" s="141"/>
      <c r="D173" s="105" t="s">
        <v>365</v>
      </c>
      <c r="E173" s="142" t="s">
        <v>1</v>
      </c>
      <c r="F173" s="143" t="s">
        <v>368</v>
      </c>
      <c r="H173" s="144">
        <v>3089.46</v>
      </c>
      <c r="I173" s="148"/>
      <c r="L173" s="141"/>
      <c r="M173" s="149"/>
      <c r="T173" s="151"/>
      <c r="AT173" s="142" t="s">
        <v>365</v>
      </c>
      <c r="AU173" s="142" t="s">
        <v>87</v>
      </c>
      <c r="AV173" s="137" t="s">
        <v>218</v>
      </c>
      <c r="AW173" s="137" t="s">
        <v>33</v>
      </c>
      <c r="AX173" s="137" t="s">
        <v>85</v>
      </c>
      <c r="AY173" s="142" t="s">
        <v>211</v>
      </c>
    </row>
    <row r="174" spans="2:65" s="1" customFormat="1" ht="33" customHeight="1">
      <c r="B174" s="12"/>
      <c r="C174" s="71" t="s">
        <v>255</v>
      </c>
      <c r="D174" s="71" t="s">
        <v>214</v>
      </c>
      <c r="E174" s="72" t="s">
        <v>392</v>
      </c>
      <c r="F174" s="73" t="s">
        <v>393</v>
      </c>
      <c r="G174" s="74" t="s">
        <v>394</v>
      </c>
      <c r="H174" s="75">
        <v>12616.603999999999</v>
      </c>
      <c r="I174" s="90">
        <v>231</v>
      </c>
      <c r="J174" s="91">
        <f>ROUND(I174*H174,2)</f>
        <v>2914435.52</v>
      </c>
      <c r="K174" s="92"/>
      <c r="L174" s="12"/>
      <c r="M174" s="93" t="s">
        <v>1</v>
      </c>
      <c r="N174" s="94" t="s">
        <v>42</v>
      </c>
      <c r="P174" s="95">
        <f>O174*H174</f>
        <v>0</v>
      </c>
      <c r="Q174" s="95">
        <v>0</v>
      </c>
      <c r="R174" s="95">
        <f>Q174*H174</f>
        <v>0</v>
      </c>
      <c r="S174" s="95">
        <v>0</v>
      </c>
      <c r="T174" s="99">
        <f>S174*H174</f>
        <v>0</v>
      </c>
      <c r="AR174" s="101" t="s">
        <v>218</v>
      </c>
      <c r="AT174" s="101" t="s">
        <v>214</v>
      </c>
      <c r="AU174" s="101" t="s">
        <v>87</v>
      </c>
      <c r="AY174" s="23" t="s">
        <v>211</v>
      </c>
      <c r="BE174" s="104">
        <f>IF(N174="základní",J174,0)</f>
        <v>2914435.52</v>
      </c>
      <c r="BF174" s="104">
        <f>IF(N174="snížená",J174,0)</f>
        <v>0</v>
      </c>
      <c r="BG174" s="104">
        <f>IF(N174="zákl. přenesená",J174,0)</f>
        <v>0</v>
      </c>
      <c r="BH174" s="104">
        <f>IF(N174="sníž. přenesená",J174,0)</f>
        <v>0</v>
      </c>
      <c r="BI174" s="104">
        <f>IF(N174="nulová",J174,0)</f>
        <v>0</v>
      </c>
      <c r="BJ174" s="23" t="s">
        <v>85</v>
      </c>
      <c r="BK174" s="104">
        <f>ROUND(I174*H174,2)</f>
        <v>2914435.52</v>
      </c>
      <c r="BL174" s="23" t="s">
        <v>218</v>
      </c>
      <c r="BM174" s="101" t="s">
        <v>395</v>
      </c>
    </row>
    <row r="175" spans="2:65" s="113" customFormat="1">
      <c r="B175" s="119"/>
      <c r="D175" s="105" t="s">
        <v>365</v>
      </c>
      <c r="E175" s="135" t="s">
        <v>1</v>
      </c>
      <c r="F175" s="120" t="s">
        <v>396</v>
      </c>
      <c r="H175" s="121">
        <v>12616.603999999999</v>
      </c>
      <c r="I175" s="128"/>
      <c r="L175" s="119"/>
      <c r="M175" s="129"/>
      <c r="T175" s="133"/>
      <c r="AT175" s="135" t="s">
        <v>365</v>
      </c>
      <c r="AU175" s="135" t="s">
        <v>87</v>
      </c>
      <c r="AV175" s="113" t="s">
        <v>87</v>
      </c>
      <c r="AW175" s="113" t="s">
        <v>33</v>
      </c>
      <c r="AX175" s="113" t="s">
        <v>85</v>
      </c>
      <c r="AY175" s="135" t="s">
        <v>211</v>
      </c>
    </row>
    <row r="176" spans="2:65" s="1" customFormat="1" ht="24.15" customHeight="1">
      <c r="B176" s="12"/>
      <c r="C176" s="71" t="s">
        <v>259</v>
      </c>
      <c r="D176" s="71" t="s">
        <v>214</v>
      </c>
      <c r="E176" s="72" t="s">
        <v>397</v>
      </c>
      <c r="F176" s="73" t="s">
        <v>398</v>
      </c>
      <c r="G176" s="74" t="s">
        <v>357</v>
      </c>
      <c r="H176" s="75">
        <v>2956.3539999999998</v>
      </c>
      <c r="I176" s="90">
        <v>121</v>
      </c>
      <c r="J176" s="91">
        <f>ROUND(I176*H176,2)</f>
        <v>357718.83</v>
      </c>
      <c r="K176" s="92"/>
      <c r="L176" s="12"/>
      <c r="M176" s="93" t="s">
        <v>1</v>
      </c>
      <c r="N176" s="94" t="s">
        <v>42</v>
      </c>
      <c r="P176" s="95">
        <f>O176*H176</f>
        <v>0</v>
      </c>
      <c r="Q176" s="95">
        <v>0</v>
      </c>
      <c r="R176" s="95">
        <f>Q176*H176</f>
        <v>0</v>
      </c>
      <c r="S176" s="95">
        <v>0</v>
      </c>
      <c r="T176" s="99">
        <f>S176*H176</f>
        <v>0</v>
      </c>
      <c r="AR176" s="101" t="s">
        <v>218</v>
      </c>
      <c r="AT176" s="101" t="s">
        <v>214</v>
      </c>
      <c r="AU176" s="101" t="s">
        <v>87</v>
      </c>
      <c r="AY176" s="23" t="s">
        <v>211</v>
      </c>
      <c r="BE176" s="104">
        <f>IF(N176="základní",J176,0)</f>
        <v>357718.83</v>
      </c>
      <c r="BF176" s="104">
        <f>IF(N176="snížená",J176,0)</f>
        <v>0</v>
      </c>
      <c r="BG176" s="104">
        <f>IF(N176="zákl. přenesená",J176,0)</f>
        <v>0</v>
      </c>
      <c r="BH176" s="104">
        <f>IF(N176="sníž. přenesená",J176,0)</f>
        <v>0</v>
      </c>
      <c r="BI176" s="104">
        <f>IF(N176="nulová",J176,0)</f>
        <v>0</v>
      </c>
      <c r="BJ176" s="23" t="s">
        <v>85</v>
      </c>
      <c r="BK176" s="104">
        <f>ROUND(I176*H176,2)</f>
        <v>357718.83</v>
      </c>
      <c r="BL176" s="23" t="s">
        <v>218</v>
      </c>
      <c r="BM176" s="101" t="s">
        <v>399</v>
      </c>
    </row>
    <row r="177" spans="2:51" s="136" customFormat="1">
      <c r="B177" s="138"/>
      <c r="D177" s="105" t="s">
        <v>365</v>
      </c>
      <c r="E177" s="139" t="s">
        <v>1</v>
      </c>
      <c r="F177" s="140" t="s">
        <v>400</v>
      </c>
      <c r="H177" s="139" t="s">
        <v>1</v>
      </c>
      <c r="I177" s="146"/>
      <c r="L177" s="138"/>
      <c r="M177" s="147"/>
      <c r="T177" s="150"/>
      <c r="AT177" s="139" t="s">
        <v>365</v>
      </c>
      <c r="AU177" s="139" t="s">
        <v>87</v>
      </c>
      <c r="AV177" s="136" t="s">
        <v>85</v>
      </c>
      <c r="AW177" s="136" t="s">
        <v>33</v>
      </c>
      <c r="AX177" s="136" t="s">
        <v>77</v>
      </c>
      <c r="AY177" s="139" t="s">
        <v>211</v>
      </c>
    </row>
    <row r="178" spans="2:51" s="136" customFormat="1">
      <c r="B178" s="138"/>
      <c r="D178" s="105" t="s">
        <v>365</v>
      </c>
      <c r="E178" s="139" t="s">
        <v>1</v>
      </c>
      <c r="F178" s="140" t="s">
        <v>401</v>
      </c>
      <c r="H178" s="139" t="s">
        <v>1</v>
      </c>
      <c r="I178" s="146"/>
      <c r="L178" s="138"/>
      <c r="M178" s="147"/>
      <c r="T178" s="150"/>
      <c r="AT178" s="139" t="s">
        <v>365</v>
      </c>
      <c r="AU178" s="139" t="s">
        <v>87</v>
      </c>
      <c r="AV178" s="136" t="s">
        <v>85</v>
      </c>
      <c r="AW178" s="136" t="s">
        <v>33</v>
      </c>
      <c r="AX178" s="136" t="s">
        <v>77</v>
      </c>
      <c r="AY178" s="139" t="s">
        <v>211</v>
      </c>
    </row>
    <row r="179" spans="2:51" s="113" customFormat="1">
      <c r="B179" s="119"/>
      <c r="D179" s="105" t="s">
        <v>365</v>
      </c>
      <c r="E179" s="135" t="s">
        <v>1</v>
      </c>
      <c r="F179" s="120" t="s">
        <v>402</v>
      </c>
      <c r="H179" s="121">
        <v>46.103999999999999</v>
      </c>
      <c r="I179" s="128"/>
      <c r="L179" s="119"/>
      <c r="M179" s="129"/>
      <c r="T179" s="133"/>
      <c r="AT179" s="135" t="s">
        <v>365</v>
      </c>
      <c r="AU179" s="135" t="s">
        <v>87</v>
      </c>
      <c r="AV179" s="113" t="s">
        <v>87</v>
      </c>
      <c r="AW179" s="113" t="s">
        <v>33</v>
      </c>
      <c r="AX179" s="113" t="s">
        <v>77</v>
      </c>
      <c r="AY179" s="135" t="s">
        <v>211</v>
      </c>
    </row>
    <row r="180" spans="2:51" s="113" customFormat="1" ht="20.399999999999999">
      <c r="B180" s="119"/>
      <c r="D180" s="105" t="s">
        <v>365</v>
      </c>
      <c r="E180" s="135" t="s">
        <v>1</v>
      </c>
      <c r="F180" s="120" t="s">
        <v>403</v>
      </c>
      <c r="H180" s="121">
        <v>364.45299999999997</v>
      </c>
      <c r="I180" s="128"/>
      <c r="L180" s="119"/>
      <c r="M180" s="129"/>
      <c r="T180" s="133"/>
      <c r="AT180" s="135" t="s">
        <v>365</v>
      </c>
      <c r="AU180" s="135" t="s">
        <v>87</v>
      </c>
      <c r="AV180" s="113" t="s">
        <v>87</v>
      </c>
      <c r="AW180" s="113" t="s">
        <v>33</v>
      </c>
      <c r="AX180" s="113" t="s">
        <v>77</v>
      </c>
      <c r="AY180" s="135" t="s">
        <v>211</v>
      </c>
    </row>
    <row r="181" spans="2:51" s="113" customFormat="1">
      <c r="B181" s="119"/>
      <c r="D181" s="105" t="s">
        <v>365</v>
      </c>
      <c r="E181" s="135" t="s">
        <v>1</v>
      </c>
      <c r="F181" s="120" t="s">
        <v>404</v>
      </c>
      <c r="H181" s="121">
        <v>232.50200000000001</v>
      </c>
      <c r="I181" s="128"/>
      <c r="L181" s="119"/>
      <c r="M181" s="129"/>
      <c r="T181" s="133"/>
      <c r="AT181" s="135" t="s">
        <v>365</v>
      </c>
      <c r="AU181" s="135" t="s">
        <v>87</v>
      </c>
      <c r="AV181" s="113" t="s">
        <v>87</v>
      </c>
      <c r="AW181" s="113" t="s">
        <v>33</v>
      </c>
      <c r="AX181" s="113" t="s">
        <v>77</v>
      </c>
      <c r="AY181" s="135" t="s">
        <v>211</v>
      </c>
    </row>
    <row r="182" spans="2:51" s="113" customFormat="1">
      <c r="B182" s="119"/>
      <c r="D182" s="105" t="s">
        <v>365</v>
      </c>
      <c r="E182" s="135" t="s">
        <v>1</v>
      </c>
      <c r="F182" s="120" t="s">
        <v>405</v>
      </c>
      <c r="H182" s="121">
        <v>250.851</v>
      </c>
      <c r="I182" s="128"/>
      <c r="L182" s="119"/>
      <c r="M182" s="129"/>
      <c r="T182" s="133"/>
      <c r="AT182" s="135" t="s">
        <v>365</v>
      </c>
      <c r="AU182" s="135" t="s">
        <v>87</v>
      </c>
      <c r="AV182" s="113" t="s">
        <v>87</v>
      </c>
      <c r="AW182" s="113" t="s">
        <v>33</v>
      </c>
      <c r="AX182" s="113" t="s">
        <v>77</v>
      </c>
      <c r="AY182" s="135" t="s">
        <v>211</v>
      </c>
    </row>
    <row r="183" spans="2:51" s="154" customFormat="1">
      <c r="B183" s="156"/>
      <c r="D183" s="105" t="s">
        <v>365</v>
      </c>
      <c r="E183" s="157" t="s">
        <v>1</v>
      </c>
      <c r="F183" s="158" t="s">
        <v>406</v>
      </c>
      <c r="H183" s="159">
        <v>893.91</v>
      </c>
      <c r="I183" s="160"/>
      <c r="L183" s="156"/>
      <c r="M183" s="161"/>
      <c r="T183" s="162"/>
      <c r="AT183" s="157" t="s">
        <v>365</v>
      </c>
      <c r="AU183" s="157" t="s">
        <v>87</v>
      </c>
      <c r="AV183" s="154" t="s">
        <v>137</v>
      </c>
      <c r="AW183" s="154" t="s">
        <v>33</v>
      </c>
      <c r="AX183" s="154" t="s">
        <v>77</v>
      </c>
      <c r="AY183" s="157" t="s">
        <v>211</v>
      </c>
    </row>
    <row r="184" spans="2:51" s="136" customFormat="1">
      <c r="B184" s="138"/>
      <c r="D184" s="105" t="s">
        <v>365</v>
      </c>
      <c r="E184" s="139" t="s">
        <v>1</v>
      </c>
      <c r="F184" s="140" t="s">
        <v>407</v>
      </c>
      <c r="H184" s="139" t="s">
        <v>1</v>
      </c>
      <c r="I184" s="146"/>
      <c r="L184" s="138"/>
      <c r="M184" s="147"/>
      <c r="T184" s="150"/>
      <c r="AT184" s="139" t="s">
        <v>365</v>
      </c>
      <c r="AU184" s="139" t="s">
        <v>87</v>
      </c>
      <c r="AV184" s="136" t="s">
        <v>85</v>
      </c>
      <c r="AW184" s="136" t="s">
        <v>33</v>
      </c>
      <c r="AX184" s="136" t="s">
        <v>77</v>
      </c>
      <c r="AY184" s="139" t="s">
        <v>211</v>
      </c>
    </row>
    <row r="185" spans="2:51" s="136" customFormat="1">
      <c r="B185" s="138"/>
      <c r="D185" s="105" t="s">
        <v>365</v>
      </c>
      <c r="E185" s="139" t="s">
        <v>1</v>
      </c>
      <c r="F185" s="140" t="s">
        <v>408</v>
      </c>
      <c r="H185" s="139" t="s">
        <v>1</v>
      </c>
      <c r="I185" s="146"/>
      <c r="L185" s="138"/>
      <c r="M185" s="147"/>
      <c r="T185" s="150"/>
      <c r="AT185" s="139" t="s">
        <v>365</v>
      </c>
      <c r="AU185" s="139" t="s">
        <v>87</v>
      </c>
      <c r="AV185" s="136" t="s">
        <v>85</v>
      </c>
      <c r="AW185" s="136" t="s">
        <v>33</v>
      </c>
      <c r="AX185" s="136" t="s">
        <v>77</v>
      </c>
      <c r="AY185" s="139" t="s">
        <v>211</v>
      </c>
    </row>
    <row r="186" spans="2:51" s="113" customFormat="1">
      <c r="B186" s="119"/>
      <c r="D186" s="105" t="s">
        <v>365</v>
      </c>
      <c r="E186" s="135" t="s">
        <v>1</v>
      </c>
      <c r="F186" s="120" t="s">
        <v>409</v>
      </c>
      <c r="H186" s="121">
        <v>59.287999999999997</v>
      </c>
      <c r="I186" s="128"/>
      <c r="L186" s="119"/>
      <c r="M186" s="129"/>
      <c r="T186" s="133"/>
      <c r="AT186" s="135" t="s">
        <v>365</v>
      </c>
      <c r="AU186" s="135" t="s">
        <v>87</v>
      </c>
      <c r="AV186" s="113" t="s">
        <v>87</v>
      </c>
      <c r="AW186" s="113" t="s">
        <v>33</v>
      </c>
      <c r="AX186" s="113" t="s">
        <v>77</v>
      </c>
      <c r="AY186" s="135" t="s">
        <v>211</v>
      </c>
    </row>
    <row r="187" spans="2:51" s="113" customFormat="1">
      <c r="B187" s="119"/>
      <c r="D187" s="105" t="s">
        <v>365</v>
      </c>
      <c r="E187" s="135" t="s">
        <v>1</v>
      </c>
      <c r="F187" s="120" t="s">
        <v>410</v>
      </c>
      <c r="H187" s="121">
        <v>506.94</v>
      </c>
      <c r="I187" s="128"/>
      <c r="L187" s="119"/>
      <c r="M187" s="129"/>
      <c r="T187" s="133"/>
      <c r="AT187" s="135" t="s">
        <v>365</v>
      </c>
      <c r="AU187" s="135" t="s">
        <v>87</v>
      </c>
      <c r="AV187" s="113" t="s">
        <v>87</v>
      </c>
      <c r="AW187" s="113" t="s">
        <v>33</v>
      </c>
      <c r="AX187" s="113" t="s">
        <v>77</v>
      </c>
      <c r="AY187" s="135" t="s">
        <v>211</v>
      </c>
    </row>
    <row r="188" spans="2:51" s="113" customFormat="1">
      <c r="B188" s="119"/>
      <c r="D188" s="105" t="s">
        <v>365</v>
      </c>
      <c r="E188" s="135" t="s">
        <v>1</v>
      </c>
      <c r="F188" s="120" t="s">
        <v>411</v>
      </c>
      <c r="H188" s="121">
        <v>259.09199999999998</v>
      </c>
      <c r="I188" s="128"/>
      <c r="L188" s="119"/>
      <c r="M188" s="129"/>
      <c r="T188" s="133"/>
      <c r="AT188" s="135" t="s">
        <v>365</v>
      </c>
      <c r="AU188" s="135" t="s">
        <v>87</v>
      </c>
      <c r="AV188" s="113" t="s">
        <v>87</v>
      </c>
      <c r="AW188" s="113" t="s">
        <v>33</v>
      </c>
      <c r="AX188" s="113" t="s">
        <v>77</v>
      </c>
      <c r="AY188" s="135" t="s">
        <v>211</v>
      </c>
    </row>
    <row r="189" spans="2:51" s="154" customFormat="1">
      <c r="B189" s="156"/>
      <c r="D189" s="105" t="s">
        <v>365</v>
      </c>
      <c r="E189" s="157" t="s">
        <v>1</v>
      </c>
      <c r="F189" s="158" t="s">
        <v>412</v>
      </c>
      <c r="H189" s="159">
        <v>825.32</v>
      </c>
      <c r="I189" s="160"/>
      <c r="L189" s="156"/>
      <c r="M189" s="161"/>
      <c r="T189" s="162"/>
      <c r="AT189" s="157" t="s">
        <v>365</v>
      </c>
      <c r="AU189" s="157" t="s">
        <v>87</v>
      </c>
      <c r="AV189" s="154" t="s">
        <v>137</v>
      </c>
      <c r="AW189" s="154" t="s">
        <v>33</v>
      </c>
      <c r="AX189" s="154" t="s">
        <v>77</v>
      </c>
      <c r="AY189" s="157" t="s">
        <v>211</v>
      </c>
    </row>
    <row r="190" spans="2:51" s="136" customFormat="1">
      <c r="B190" s="138"/>
      <c r="D190" s="105" t="s">
        <v>365</v>
      </c>
      <c r="E190" s="139" t="s">
        <v>1</v>
      </c>
      <c r="F190" s="140" t="s">
        <v>413</v>
      </c>
      <c r="H190" s="139" t="s">
        <v>1</v>
      </c>
      <c r="I190" s="146"/>
      <c r="L190" s="138"/>
      <c r="M190" s="147"/>
      <c r="T190" s="150"/>
      <c r="AT190" s="139" t="s">
        <v>365</v>
      </c>
      <c r="AU190" s="139" t="s">
        <v>87</v>
      </c>
      <c r="AV190" s="136" t="s">
        <v>85</v>
      </c>
      <c r="AW190" s="136" t="s">
        <v>33</v>
      </c>
      <c r="AX190" s="136" t="s">
        <v>77</v>
      </c>
      <c r="AY190" s="139" t="s">
        <v>211</v>
      </c>
    </row>
    <row r="191" spans="2:51" s="136" customFormat="1">
      <c r="B191" s="138"/>
      <c r="D191" s="105" t="s">
        <v>365</v>
      </c>
      <c r="E191" s="139" t="s">
        <v>1</v>
      </c>
      <c r="F191" s="140" t="s">
        <v>414</v>
      </c>
      <c r="H191" s="139" t="s">
        <v>1</v>
      </c>
      <c r="I191" s="146"/>
      <c r="L191" s="138"/>
      <c r="M191" s="147"/>
      <c r="T191" s="150"/>
      <c r="AT191" s="139" t="s">
        <v>365</v>
      </c>
      <c r="AU191" s="139" t="s">
        <v>87</v>
      </c>
      <c r="AV191" s="136" t="s">
        <v>85</v>
      </c>
      <c r="AW191" s="136" t="s">
        <v>33</v>
      </c>
      <c r="AX191" s="136" t="s">
        <v>77</v>
      </c>
      <c r="AY191" s="139" t="s">
        <v>211</v>
      </c>
    </row>
    <row r="192" spans="2:51" s="113" customFormat="1">
      <c r="B192" s="119"/>
      <c r="D192" s="105" t="s">
        <v>365</v>
      </c>
      <c r="E192" s="135" t="s">
        <v>1</v>
      </c>
      <c r="F192" s="120" t="s">
        <v>415</v>
      </c>
      <c r="H192" s="121">
        <v>142.273</v>
      </c>
      <c r="I192" s="128"/>
      <c r="L192" s="119"/>
      <c r="M192" s="129"/>
      <c r="T192" s="133"/>
      <c r="AT192" s="135" t="s">
        <v>365</v>
      </c>
      <c r="AU192" s="135" t="s">
        <v>87</v>
      </c>
      <c r="AV192" s="113" t="s">
        <v>87</v>
      </c>
      <c r="AW192" s="113" t="s">
        <v>33</v>
      </c>
      <c r="AX192" s="113" t="s">
        <v>77</v>
      </c>
      <c r="AY192" s="135" t="s">
        <v>211</v>
      </c>
    </row>
    <row r="193" spans="2:65" s="113" customFormat="1" ht="20.399999999999999">
      <c r="B193" s="119"/>
      <c r="D193" s="105" t="s">
        <v>365</v>
      </c>
      <c r="E193" s="135" t="s">
        <v>1</v>
      </c>
      <c r="F193" s="120" t="s">
        <v>416</v>
      </c>
      <c r="H193" s="121">
        <v>229.40100000000001</v>
      </c>
      <c r="I193" s="128"/>
      <c r="L193" s="119"/>
      <c r="M193" s="129"/>
      <c r="T193" s="133"/>
      <c r="AT193" s="135" t="s">
        <v>365</v>
      </c>
      <c r="AU193" s="135" t="s">
        <v>87</v>
      </c>
      <c r="AV193" s="113" t="s">
        <v>87</v>
      </c>
      <c r="AW193" s="113" t="s">
        <v>33</v>
      </c>
      <c r="AX193" s="113" t="s">
        <v>77</v>
      </c>
      <c r="AY193" s="135" t="s">
        <v>211</v>
      </c>
    </row>
    <row r="194" spans="2:65" s="154" customFormat="1">
      <c r="B194" s="156"/>
      <c r="D194" s="105" t="s">
        <v>365</v>
      </c>
      <c r="E194" s="157" t="s">
        <v>1</v>
      </c>
      <c r="F194" s="158" t="s">
        <v>417</v>
      </c>
      <c r="H194" s="159">
        <v>371.67399999999998</v>
      </c>
      <c r="I194" s="160"/>
      <c r="L194" s="156"/>
      <c r="M194" s="161"/>
      <c r="T194" s="162"/>
      <c r="AT194" s="157" t="s">
        <v>365</v>
      </c>
      <c r="AU194" s="157" t="s">
        <v>87</v>
      </c>
      <c r="AV194" s="154" t="s">
        <v>137</v>
      </c>
      <c r="AW194" s="154" t="s">
        <v>33</v>
      </c>
      <c r="AX194" s="154" t="s">
        <v>77</v>
      </c>
      <c r="AY194" s="157" t="s">
        <v>211</v>
      </c>
    </row>
    <row r="195" spans="2:65" s="136" customFormat="1">
      <c r="B195" s="138"/>
      <c r="D195" s="105" t="s">
        <v>365</v>
      </c>
      <c r="E195" s="139" t="s">
        <v>1</v>
      </c>
      <c r="F195" s="140" t="s">
        <v>418</v>
      </c>
      <c r="H195" s="139" t="s">
        <v>1</v>
      </c>
      <c r="I195" s="146"/>
      <c r="L195" s="138"/>
      <c r="M195" s="147"/>
      <c r="T195" s="150"/>
      <c r="AT195" s="139" t="s">
        <v>365</v>
      </c>
      <c r="AU195" s="139" t="s">
        <v>87</v>
      </c>
      <c r="AV195" s="136" t="s">
        <v>85</v>
      </c>
      <c r="AW195" s="136" t="s">
        <v>33</v>
      </c>
      <c r="AX195" s="136" t="s">
        <v>77</v>
      </c>
      <c r="AY195" s="139" t="s">
        <v>211</v>
      </c>
    </row>
    <row r="196" spans="2:65" s="136" customFormat="1">
      <c r="B196" s="138"/>
      <c r="D196" s="105" t="s">
        <v>365</v>
      </c>
      <c r="E196" s="139" t="s">
        <v>1</v>
      </c>
      <c r="F196" s="140" t="s">
        <v>419</v>
      </c>
      <c r="H196" s="139" t="s">
        <v>1</v>
      </c>
      <c r="I196" s="146"/>
      <c r="L196" s="138"/>
      <c r="M196" s="147"/>
      <c r="T196" s="150"/>
      <c r="AT196" s="139" t="s">
        <v>365</v>
      </c>
      <c r="AU196" s="139" t="s">
        <v>87</v>
      </c>
      <c r="AV196" s="136" t="s">
        <v>85</v>
      </c>
      <c r="AW196" s="136" t="s">
        <v>33</v>
      </c>
      <c r="AX196" s="136" t="s">
        <v>77</v>
      </c>
      <c r="AY196" s="139" t="s">
        <v>211</v>
      </c>
    </row>
    <row r="197" spans="2:65" s="113" customFormat="1">
      <c r="B197" s="119"/>
      <c r="D197" s="105" t="s">
        <v>365</v>
      </c>
      <c r="E197" s="135" t="s">
        <v>1</v>
      </c>
      <c r="F197" s="120" t="s">
        <v>420</v>
      </c>
      <c r="H197" s="121">
        <v>42.65</v>
      </c>
      <c r="I197" s="128"/>
      <c r="L197" s="119"/>
      <c r="M197" s="129"/>
      <c r="T197" s="133"/>
      <c r="AT197" s="135" t="s">
        <v>365</v>
      </c>
      <c r="AU197" s="135" t="s">
        <v>87</v>
      </c>
      <c r="AV197" s="113" t="s">
        <v>87</v>
      </c>
      <c r="AW197" s="113" t="s">
        <v>33</v>
      </c>
      <c r="AX197" s="113" t="s">
        <v>77</v>
      </c>
      <c r="AY197" s="135" t="s">
        <v>211</v>
      </c>
    </row>
    <row r="198" spans="2:65" s="113" customFormat="1" ht="20.399999999999999">
      <c r="B198" s="119"/>
      <c r="D198" s="105" t="s">
        <v>365</v>
      </c>
      <c r="E198" s="135" t="s">
        <v>1</v>
      </c>
      <c r="F198" s="120" t="s">
        <v>421</v>
      </c>
      <c r="H198" s="121">
        <v>50.895000000000003</v>
      </c>
      <c r="I198" s="128"/>
      <c r="L198" s="119"/>
      <c r="M198" s="129"/>
      <c r="T198" s="133"/>
      <c r="AT198" s="135" t="s">
        <v>365</v>
      </c>
      <c r="AU198" s="135" t="s">
        <v>87</v>
      </c>
      <c r="AV198" s="113" t="s">
        <v>87</v>
      </c>
      <c r="AW198" s="113" t="s">
        <v>33</v>
      </c>
      <c r="AX198" s="113" t="s">
        <v>77</v>
      </c>
      <c r="AY198" s="135" t="s">
        <v>211</v>
      </c>
    </row>
    <row r="199" spans="2:65" s="113" customFormat="1">
      <c r="B199" s="119"/>
      <c r="D199" s="105" t="s">
        <v>365</v>
      </c>
      <c r="E199" s="135" t="s">
        <v>1</v>
      </c>
      <c r="F199" s="120" t="s">
        <v>422</v>
      </c>
      <c r="H199" s="121">
        <v>565.90499999999997</v>
      </c>
      <c r="I199" s="128"/>
      <c r="L199" s="119"/>
      <c r="M199" s="129"/>
      <c r="T199" s="133"/>
      <c r="AT199" s="135" t="s">
        <v>365</v>
      </c>
      <c r="AU199" s="135" t="s">
        <v>87</v>
      </c>
      <c r="AV199" s="113" t="s">
        <v>87</v>
      </c>
      <c r="AW199" s="113" t="s">
        <v>33</v>
      </c>
      <c r="AX199" s="113" t="s">
        <v>77</v>
      </c>
      <c r="AY199" s="135" t="s">
        <v>211</v>
      </c>
    </row>
    <row r="200" spans="2:65" s="154" customFormat="1">
      <c r="B200" s="156"/>
      <c r="D200" s="105" t="s">
        <v>365</v>
      </c>
      <c r="E200" s="157" t="s">
        <v>1</v>
      </c>
      <c r="F200" s="158" t="s">
        <v>423</v>
      </c>
      <c r="H200" s="159">
        <v>659.45</v>
      </c>
      <c r="I200" s="160"/>
      <c r="L200" s="156"/>
      <c r="M200" s="161"/>
      <c r="T200" s="162"/>
      <c r="AT200" s="157" t="s">
        <v>365</v>
      </c>
      <c r="AU200" s="157" t="s">
        <v>87</v>
      </c>
      <c r="AV200" s="154" t="s">
        <v>137</v>
      </c>
      <c r="AW200" s="154" t="s">
        <v>33</v>
      </c>
      <c r="AX200" s="154" t="s">
        <v>77</v>
      </c>
      <c r="AY200" s="157" t="s">
        <v>211</v>
      </c>
    </row>
    <row r="201" spans="2:65" s="113" customFormat="1">
      <c r="B201" s="119"/>
      <c r="D201" s="105" t="s">
        <v>365</v>
      </c>
      <c r="E201" s="135" t="s">
        <v>1</v>
      </c>
      <c r="F201" s="120" t="s">
        <v>424</v>
      </c>
      <c r="H201" s="121">
        <v>206</v>
      </c>
      <c r="I201" s="128"/>
      <c r="L201" s="119"/>
      <c r="M201" s="129"/>
      <c r="T201" s="133"/>
      <c r="AT201" s="135" t="s">
        <v>365</v>
      </c>
      <c r="AU201" s="135" t="s">
        <v>87</v>
      </c>
      <c r="AV201" s="113" t="s">
        <v>87</v>
      </c>
      <c r="AW201" s="113" t="s">
        <v>33</v>
      </c>
      <c r="AX201" s="113" t="s">
        <v>77</v>
      </c>
      <c r="AY201" s="135" t="s">
        <v>211</v>
      </c>
    </row>
    <row r="202" spans="2:65" s="137" customFormat="1">
      <c r="B202" s="141"/>
      <c r="D202" s="105" t="s">
        <v>365</v>
      </c>
      <c r="E202" s="142" t="s">
        <v>1</v>
      </c>
      <c r="F202" s="143" t="s">
        <v>368</v>
      </c>
      <c r="H202" s="144">
        <v>2956.3539999999998</v>
      </c>
      <c r="I202" s="148"/>
      <c r="L202" s="141"/>
      <c r="M202" s="149"/>
      <c r="T202" s="151"/>
      <c r="AT202" s="142" t="s">
        <v>365</v>
      </c>
      <c r="AU202" s="142" t="s">
        <v>87</v>
      </c>
      <c r="AV202" s="137" t="s">
        <v>218</v>
      </c>
      <c r="AW202" s="137" t="s">
        <v>33</v>
      </c>
      <c r="AX202" s="137" t="s">
        <v>85</v>
      </c>
      <c r="AY202" s="142" t="s">
        <v>211</v>
      </c>
    </row>
    <row r="203" spans="2:65" s="1" customFormat="1" ht="24.15" customHeight="1">
      <c r="B203" s="12"/>
      <c r="C203" s="71" t="s">
        <v>266</v>
      </c>
      <c r="D203" s="71" t="s">
        <v>214</v>
      </c>
      <c r="E203" s="72" t="s">
        <v>425</v>
      </c>
      <c r="F203" s="73" t="s">
        <v>426</v>
      </c>
      <c r="G203" s="74" t="s">
        <v>394</v>
      </c>
      <c r="H203" s="75">
        <v>3154.1509999999998</v>
      </c>
      <c r="I203" s="90">
        <v>1350</v>
      </c>
      <c r="J203" s="91">
        <f>ROUND(I203*H203,2)</f>
        <v>4258103.8499999996</v>
      </c>
      <c r="K203" s="92"/>
      <c r="L203" s="12"/>
      <c r="M203" s="93" t="s">
        <v>1</v>
      </c>
      <c r="N203" s="94" t="s">
        <v>42</v>
      </c>
      <c r="P203" s="95">
        <f>O203*H203</f>
        <v>0</v>
      </c>
      <c r="Q203" s="95">
        <v>0</v>
      </c>
      <c r="R203" s="95">
        <f>Q203*H203</f>
        <v>0</v>
      </c>
      <c r="S203" s="95">
        <v>0</v>
      </c>
      <c r="T203" s="99">
        <f>S203*H203</f>
        <v>0</v>
      </c>
      <c r="AR203" s="101" t="s">
        <v>218</v>
      </c>
      <c r="AT203" s="101" t="s">
        <v>214</v>
      </c>
      <c r="AU203" s="101" t="s">
        <v>87</v>
      </c>
      <c r="AY203" s="23" t="s">
        <v>211</v>
      </c>
      <c r="BE203" s="104">
        <f>IF(N203="základní",J203,0)</f>
        <v>4258103.8499999996</v>
      </c>
      <c r="BF203" s="104">
        <f>IF(N203="snížená",J203,0)</f>
        <v>0</v>
      </c>
      <c r="BG203" s="104">
        <f>IF(N203="zákl. přenesená",J203,0)</f>
        <v>0</v>
      </c>
      <c r="BH203" s="104">
        <f>IF(N203="sníž. přenesená",J203,0)</f>
        <v>0</v>
      </c>
      <c r="BI203" s="104">
        <f>IF(N203="nulová",J203,0)</f>
        <v>0</v>
      </c>
      <c r="BJ203" s="23" t="s">
        <v>85</v>
      </c>
      <c r="BK203" s="104">
        <f>ROUND(I203*H203,2)</f>
        <v>4258103.8499999996</v>
      </c>
      <c r="BL203" s="23" t="s">
        <v>218</v>
      </c>
      <c r="BM203" s="101" t="s">
        <v>427</v>
      </c>
    </row>
    <row r="204" spans="2:65" s="113" customFormat="1">
      <c r="B204" s="119"/>
      <c r="D204" s="105" t="s">
        <v>365</v>
      </c>
      <c r="E204" s="135" t="s">
        <v>1</v>
      </c>
      <c r="F204" s="120" t="s">
        <v>428</v>
      </c>
      <c r="H204" s="121">
        <v>3154.1509999999998</v>
      </c>
      <c r="I204" s="128"/>
      <c r="L204" s="119"/>
      <c r="M204" s="129"/>
      <c r="T204" s="133"/>
      <c r="AT204" s="135" t="s">
        <v>365</v>
      </c>
      <c r="AU204" s="135" t="s">
        <v>87</v>
      </c>
      <c r="AV204" s="113" t="s">
        <v>87</v>
      </c>
      <c r="AW204" s="113" t="s">
        <v>33</v>
      </c>
      <c r="AX204" s="113" t="s">
        <v>85</v>
      </c>
      <c r="AY204" s="135" t="s">
        <v>211</v>
      </c>
    </row>
    <row r="205" spans="2:65" s="1" customFormat="1" ht="44.25" customHeight="1">
      <c r="B205" s="12"/>
      <c r="C205" s="71" t="s">
        <v>273</v>
      </c>
      <c r="D205" s="71" t="s">
        <v>214</v>
      </c>
      <c r="E205" s="72" t="s">
        <v>429</v>
      </c>
      <c r="F205" s="73" t="s">
        <v>430</v>
      </c>
      <c r="G205" s="74" t="s">
        <v>431</v>
      </c>
      <c r="H205" s="75">
        <v>427</v>
      </c>
      <c r="I205" s="90">
        <v>1820</v>
      </c>
      <c r="J205" s="91">
        <f t="shared" ref="J205:J211" si="0">ROUND(I205*H205,2)</f>
        <v>777140</v>
      </c>
      <c r="K205" s="92"/>
      <c r="L205" s="12"/>
      <c r="M205" s="93" t="s">
        <v>1</v>
      </c>
      <c r="N205" s="94" t="s">
        <v>42</v>
      </c>
      <c r="P205" s="95">
        <f t="shared" ref="P205:P211" si="1">O205*H205</f>
        <v>0</v>
      </c>
      <c r="Q205" s="95">
        <v>0</v>
      </c>
      <c r="R205" s="95">
        <f t="shared" ref="R205:R211" si="2">Q205*H205</f>
        <v>0</v>
      </c>
      <c r="S205" s="95">
        <v>0</v>
      </c>
      <c r="T205" s="99">
        <f t="shared" ref="T205:T211" si="3">S205*H205</f>
        <v>0</v>
      </c>
      <c r="AR205" s="101" t="s">
        <v>218</v>
      </c>
      <c r="AT205" s="101" t="s">
        <v>214</v>
      </c>
      <c r="AU205" s="101" t="s">
        <v>87</v>
      </c>
      <c r="AY205" s="23" t="s">
        <v>211</v>
      </c>
      <c r="BE205" s="104">
        <f t="shared" ref="BE205:BE211" si="4">IF(N205="základní",J205,0)</f>
        <v>777140</v>
      </c>
      <c r="BF205" s="104">
        <f t="shared" ref="BF205:BF211" si="5">IF(N205="snížená",J205,0)</f>
        <v>0</v>
      </c>
      <c r="BG205" s="104">
        <f t="shared" ref="BG205:BG211" si="6">IF(N205="zákl. přenesená",J205,0)</f>
        <v>0</v>
      </c>
      <c r="BH205" s="104">
        <f t="shared" ref="BH205:BH211" si="7">IF(N205="sníž. přenesená",J205,0)</f>
        <v>0</v>
      </c>
      <c r="BI205" s="104">
        <f t="shared" ref="BI205:BI211" si="8">IF(N205="nulová",J205,0)</f>
        <v>0</v>
      </c>
      <c r="BJ205" s="23" t="s">
        <v>85</v>
      </c>
      <c r="BK205" s="104">
        <f t="shared" ref="BK205:BK211" si="9">ROUND(I205*H205,2)</f>
        <v>777140</v>
      </c>
      <c r="BL205" s="23" t="s">
        <v>218</v>
      </c>
      <c r="BM205" s="101" t="s">
        <v>432</v>
      </c>
    </row>
    <row r="206" spans="2:65" s="1" customFormat="1" ht="38.1" customHeight="1">
      <c r="B206" s="12"/>
      <c r="C206" s="71" t="s">
        <v>433</v>
      </c>
      <c r="D206" s="71" t="s">
        <v>214</v>
      </c>
      <c r="E206" s="72" t="s">
        <v>434</v>
      </c>
      <c r="F206" s="73" t="s">
        <v>435</v>
      </c>
      <c r="G206" s="74" t="s">
        <v>394</v>
      </c>
      <c r="H206" s="75">
        <v>21.704999999999998</v>
      </c>
      <c r="I206" s="90">
        <v>53200</v>
      </c>
      <c r="J206" s="91">
        <f t="shared" si="0"/>
        <v>1154706</v>
      </c>
      <c r="K206" s="92"/>
      <c r="L206" s="12"/>
      <c r="M206" s="93" t="s">
        <v>1</v>
      </c>
      <c r="N206" s="94" t="s">
        <v>42</v>
      </c>
      <c r="P206" s="95">
        <f t="shared" si="1"/>
        <v>0</v>
      </c>
      <c r="Q206" s="95">
        <v>0</v>
      </c>
      <c r="R206" s="95">
        <f t="shared" si="2"/>
        <v>0</v>
      </c>
      <c r="S206" s="95">
        <v>0</v>
      </c>
      <c r="T206" s="99">
        <f t="shared" si="3"/>
        <v>0</v>
      </c>
      <c r="AR206" s="101" t="s">
        <v>218</v>
      </c>
      <c r="AT206" s="101" t="s">
        <v>214</v>
      </c>
      <c r="AU206" s="101" t="s">
        <v>87</v>
      </c>
      <c r="AY206" s="23" t="s">
        <v>211</v>
      </c>
      <c r="BE206" s="104">
        <f t="shared" si="4"/>
        <v>1154706</v>
      </c>
      <c r="BF206" s="104">
        <f t="shared" si="5"/>
        <v>0</v>
      </c>
      <c r="BG206" s="104">
        <f t="shared" si="6"/>
        <v>0</v>
      </c>
      <c r="BH206" s="104">
        <f t="shared" si="7"/>
        <v>0</v>
      </c>
      <c r="BI206" s="104">
        <f t="shared" si="8"/>
        <v>0</v>
      </c>
      <c r="BJ206" s="23" t="s">
        <v>85</v>
      </c>
      <c r="BK206" s="104">
        <f t="shared" si="9"/>
        <v>1154706</v>
      </c>
      <c r="BL206" s="23" t="s">
        <v>218</v>
      </c>
      <c r="BM206" s="101" t="s">
        <v>436</v>
      </c>
    </row>
    <row r="207" spans="2:65" s="1" customFormat="1" ht="33" customHeight="1">
      <c r="B207" s="12"/>
      <c r="C207" s="114" t="s">
        <v>437</v>
      </c>
      <c r="D207" s="114" t="s">
        <v>438</v>
      </c>
      <c r="E207" s="115" t="s">
        <v>439</v>
      </c>
      <c r="F207" s="116" t="s">
        <v>440</v>
      </c>
      <c r="G207" s="117" t="s">
        <v>357</v>
      </c>
      <c r="H207" s="118">
        <v>78.025999999999996</v>
      </c>
      <c r="I207" s="122">
        <v>3790</v>
      </c>
      <c r="J207" s="123">
        <f t="shared" si="0"/>
        <v>295718.53999999998</v>
      </c>
      <c r="K207" s="124"/>
      <c r="L207" s="125"/>
      <c r="M207" s="126" t="s">
        <v>1</v>
      </c>
      <c r="N207" s="127" t="s">
        <v>42</v>
      </c>
      <c r="P207" s="95">
        <f t="shared" si="1"/>
        <v>0</v>
      </c>
      <c r="Q207" s="95">
        <v>0</v>
      </c>
      <c r="R207" s="95">
        <f t="shared" si="2"/>
        <v>0</v>
      </c>
      <c r="S207" s="95">
        <v>0</v>
      </c>
      <c r="T207" s="99">
        <f t="shared" si="3"/>
        <v>0</v>
      </c>
      <c r="AR207" s="101" t="s">
        <v>250</v>
      </c>
      <c r="AT207" s="101" t="s">
        <v>438</v>
      </c>
      <c r="AU207" s="101" t="s">
        <v>87</v>
      </c>
      <c r="AY207" s="23" t="s">
        <v>211</v>
      </c>
      <c r="BE207" s="104">
        <f t="shared" si="4"/>
        <v>295718.53999999998</v>
      </c>
      <c r="BF207" s="104">
        <f t="shared" si="5"/>
        <v>0</v>
      </c>
      <c r="BG207" s="104">
        <f t="shared" si="6"/>
        <v>0</v>
      </c>
      <c r="BH207" s="104">
        <f t="shared" si="7"/>
        <v>0</v>
      </c>
      <c r="BI207" s="104">
        <f t="shared" si="8"/>
        <v>0</v>
      </c>
      <c r="BJ207" s="23" t="s">
        <v>85</v>
      </c>
      <c r="BK207" s="104">
        <f t="shared" si="9"/>
        <v>295718.53999999998</v>
      </c>
      <c r="BL207" s="23" t="s">
        <v>218</v>
      </c>
      <c r="BM207" s="101" t="s">
        <v>441</v>
      </c>
    </row>
    <row r="208" spans="2:65" s="1" customFormat="1" ht="24.15" customHeight="1">
      <c r="B208" s="12"/>
      <c r="C208" s="71" t="s">
        <v>8</v>
      </c>
      <c r="D208" s="71" t="s">
        <v>214</v>
      </c>
      <c r="E208" s="72" t="s">
        <v>442</v>
      </c>
      <c r="F208" s="73" t="s">
        <v>443</v>
      </c>
      <c r="G208" s="74" t="s">
        <v>444</v>
      </c>
      <c r="H208" s="75">
        <v>427</v>
      </c>
      <c r="I208" s="90">
        <v>310</v>
      </c>
      <c r="J208" s="91">
        <f t="shared" si="0"/>
        <v>132370</v>
      </c>
      <c r="K208" s="92"/>
      <c r="L208" s="12"/>
      <c r="M208" s="93" t="s">
        <v>1</v>
      </c>
      <c r="N208" s="94" t="s">
        <v>42</v>
      </c>
      <c r="P208" s="95">
        <f t="shared" si="1"/>
        <v>0</v>
      </c>
      <c r="Q208" s="95">
        <v>0</v>
      </c>
      <c r="R208" s="95">
        <f t="shared" si="2"/>
        <v>0</v>
      </c>
      <c r="S208" s="95">
        <v>0</v>
      </c>
      <c r="T208" s="99">
        <f t="shared" si="3"/>
        <v>0</v>
      </c>
      <c r="AR208" s="101" t="s">
        <v>218</v>
      </c>
      <c r="AT208" s="101" t="s">
        <v>214</v>
      </c>
      <c r="AU208" s="101" t="s">
        <v>87</v>
      </c>
      <c r="AY208" s="23" t="s">
        <v>211</v>
      </c>
      <c r="BE208" s="104">
        <f t="shared" si="4"/>
        <v>132370</v>
      </c>
      <c r="BF208" s="104">
        <f t="shared" si="5"/>
        <v>0</v>
      </c>
      <c r="BG208" s="104">
        <f t="shared" si="6"/>
        <v>0</v>
      </c>
      <c r="BH208" s="104">
        <f t="shared" si="7"/>
        <v>0</v>
      </c>
      <c r="BI208" s="104">
        <f t="shared" si="8"/>
        <v>0</v>
      </c>
      <c r="BJ208" s="23" t="s">
        <v>85</v>
      </c>
      <c r="BK208" s="104">
        <f t="shared" si="9"/>
        <v>132370</v>
      </c>
      <c r="BL208" s="23" t="s">
        <v>218</v>
      </c>
      <c r="BM208" s="101" t="s">
        <v>445</v>
      </c>
    </row>
    <row r="209" spans="2:65" s="1" customFormat="1" ht="24.15" customHeight="1">
      <c r="B209" s="12"/>
      <c r="C209" s="71" t="s">
        <v>446</v>
      </c>
      <c r="D209" s="71" t="s">
        <v>214</v>
      </c>
      <c r="E209" s="72" t="s">
        <v>447</v>
      </c>
      <c r="F209" s="73" t="s">
        <v>448</v>
      </c>
      <c r="G209" s="74" t="s">
        <v>357</v>
      </c>
      <c r="H209" s="75">
        <v>62.173000000000002</v>
      </c>
      <c r="I209" s="90">
        <v>310</v>
      </c>
      <c r="J209" s="91">
        <f t="shared" si="0"/>
        <v>19273.63</v>
      </c>
      <c r="K209" s="92"/>
      <c r="L209" s="12"/>
      <c r="M209" s="93" t="s">
        <v>1</v>
      </c>
      <c r="N209" s="94" t="s">
        <v>42</v>
      </c>
      <c r="P209" s="95">
        <f t="shared" si="1"/>
        <v>0</v>
      </c>
      <c r="Q209" s="95">
        <v>0</v>
      </c>
      <c r="R209" s="95">
        <f t="shared" si="2"/>
        <v>0</v>
      </c>
      <c r="S209" s="95">
        <v>0</v>
      </c>
      <c r="T209" s="99">
        <f t="shared" si="3"/>
        <v>0</v>
      </c>
      <c r="AR209" s="101" t="s">
        <v>218</v>
      </c>
      <c r="AT209" s="101" t="s">
        <v>214</v>
      </c>
      <c r="AU209" s="101" t="s">
        <v>87</v>
      </c>
      <c r="AY209" s="23" t="s">
        <v>211</v>
      </c>
      <c r="BE209" s="104">
        <f t="shared" si="4"/>
        <v>19273.63</v>
      </c>
      <c r="BF209" s="104">
        <f t="shared" si="5"/>
        <v>0</v>
      </c>
      <c r="BG209" s="104">
        <f t="shared" si="6"/>
        <v>0</v>
      </c>
      <c r="BH209" s="104">
        <f t="shared" si="7"/>
        <v>0</v>
      </c>
      <c r="BI209" s="104">
        <f t="shared" si="8"/>
        <v>0</v>
      </c>
      <c r="BJ209" s="23" t="s">
        <v>85</v>
      </c>
      <c r="BK209" s="104">
        <f t="shared" si="9"/>
        <v>19273.63</v>
      </c>
      <c r="BL209" s="23" t="s">
        <v>218</v>
      </c>
      <c r="BM209" s="101" t="s">
        <v>449</v>
      </c>
    </row>
    <row r="210" spans="2:65" s="1" customFormat="1" ht="24.15" customHeight="1">
      <c r="B210" s="12"/>
      <c r="C210" s="71" t="s">
        <v>450</v>
      </c>
      <c r="D210" s="71" t="s">
        <v>214</v>
      </c>
      <c r="E210" s="72" t="s">
        <v>451</v>
      </c>
      <c r="F210" s="73" t="s">
        <v>452</v>
      </c>
      <c r="G210" s="74" t="s">
        <v>279</v>
      </c>
      <c r="H210" s="75">
        <v>333.24</v>
      </c>
      <c r="I210" s="90">
        <v>1820</v>
      </c>
      <c r="J210" s="91">
        <f t="shared" si="0"/>
        <v>606496.80000000005</v>
      </c>
      <c r="K210" s="92"/>
      <c r="L210" s="12"/>
      <c r="M210" s="93" t="s">
        <v>1</v>
      </c>
      <c r="N210" s="94" t="s">
        <v>42</v>
      </c>
      <c r="P210" s="95">
        <f t="shared" si="1"/>
        <v>0</v>
      </c>
      <c r="Q210" s="95">
        <v>0</v>
      </c>
      <c r="R210" s="95">
        <f t="shared" si="2"/>
        <v>0</v>
      </c>
      <c r="S210" s="95">
        <v>0</v>
      </c>
      <c r="T210" s="99">
        <f t="shared" si="3"/>
        <v>0</v>
      </c>
      <c r="AR210" s="101" t="s">
        <v>218</v>
      </c>
      <c r="AT210" s="101" t="s">
        <v>214</v>
      </c>
      <c r="AU210" s="101" t="s">
        <v>87</v>
      </c>
      <c r="AY210" s="23" t="s">
        <v>211</v>
      </c>
      <c r="BE210" s="104">
        <f t="shared" si="4"/>
        <v>606496.80000000005</v>
      </c>
      <c r="BF210" s="104">
        <f t="shared" si="5"/>
        <v>0</v>
      </c>
      <c r="BG210" s="104">
        <f t="shared" si="6"/>
        <v>0</v>
      </c>
      <c r="BH210" s="104">
        <f t="shared" si="7"/>
        <v>0</v>
      </c>
      <c r="BI210" s="104">
        <f t="shared" si="8"/>
        <v>0</v>
      </c>
      <c r="BJ210" s="23" t="s">
        <v>85</v>
      </c>
      <c r="BK210" s="104">
        <f t="shared" si="9"/>
        <v>606496.80000000005</v>
      </c>
      <c r="BL210" s="23" t="s">
        <v>218</v>
      </c>
      <c r="BM210" s="101" t="s">
        <v>453</v>
      </c>
    </row>
    <row r="211" spans="2:65" s="1" customFormat="1" ht="24.15" customHeight="1">
      <c r="B211" s="12"/>
      <c r="C211" s="71" t="s">
        <v>454</v>
      </c>
      <c r="D211" s="71" t="s">
        <v>214</v>
      </c>
      <c r="E211" s="72" t="s">
        <v>455</v>
      </c>
      <c r="F211" s="73" t="s">
        <v>456</v>
      </c>
      <c r="G211" s="74" t="s">
        <v>357</v>
      </c>
      <c r="H211" s="75">
        <v>49.985999999999997</v>
      </c>
      <c r="I211" s="90">
        <v>300</v>
      </c>
      <c r="J211" s="91">
        <f t="shared" si="0"/>
        <v>14995.8</v>
      </c>
      <c r="K211" s="92"/>
      <c r="L211" s="12"/>
      <c r="M211" s="93" t="s">
        <v>1</v>
      </c>
      <c r="N211" s="94" t="s">
        <v>42</v>
      </c>
      <c r="P211" s="95">
        <f t="shared" si="1"/>
        <v>0</v>
      </c>
      <c r="Q211" s="95">
        <v>0</v>
      </c>
      <c r="R211" s="95">
        <f t="shared" si="2"/>
        <v>0</v>
      </c>
      <c r="S211" s="95">
        <v>0</v>
      </c>
      <c r="T211" s="99">
        <f t="shared" si="3"/>
        <v>0</v>
      </c>
      <c r="AR211" s="101" t="s">
        <v>218</v>
      </c>
      <c r="AT211" s="101" t="s">
        <v>214</v>
      </c>
      <c r="AU211" s="101" t="s">
        <v>87</v>
      </c>
      <c r="AY211" s="23" t="s">
        <v>211</v>
      </c>
      <c r="BE211" s="104">
        <f t="shared" si="4"/>
        <v>14995.8</v>
      </c>
      <c r="BF211" s="104">
        <f t="shared" si="5"/>
        <v>0</v>
      </c>
      <c r="BG211" s="104">
        <f t="shared" si="6"/>
        <v>0</v>
      </c>
      <c r="BH211" s="104">
        <f t="shared" si="7"/>
        <v>0</v>
      </c>
      <c r="BI211" s="104">
        <f t="shared" si="8"/>
        <v>0</v>
      </c>
      <c r="BJ211" s="23" t="s">
        <v>85</v>
      </c>
      <c r="BK211" s="104">
        <f t="shared" si="9"/>
        <v>14995.8</v>
      </c>
      <c r="BL211" s="23" t="s">
        <v>218</v>
      </c>
      <c r="BM211" s="101" t="s">
        <v>457</v>
      </c>
    </row>
    <row r="212" spans="2:65" s="31" customFormat="1" ht="23.1" customHeight="1">
      <c r="B212" s="67"/>
      <c r="D212" s="68" t="s">
        <v>76</v>
      </c>
      <c r="E212" s="70" t="s">
        <v>87</v>
      </c>
      <c r="F212" s="70" t="s">
        <v>458</v>
      </c>
      <c r="I212" s="85"/>
      <c r="J212" s="89">
        <f>BK212</f>
        <v>17547278.02</v>
      </c>
      <c r="L212" s="67"/>
      <c r="M212" s="87"/>
      <c r="P212" s="88">
        <f>SUM(P213:P282)</f>
        <v>0</v>
      </c>
      <c r="R212" s="88">
        <f>SUM(R213:R282)</f>
        <v>3816.3917723099999</v>
      </c>
      <c r="T212" s="98">
        <f>SUM(T213:T282)</f>
        <v>0</v>
      </c>
      <c r="AR212" s="68" t="s">
        <v>85</v>
      </c>
      <c r="AT212" s="100" t="s">
        <v>76</v>
      </c>
      <c r="AU212" s="100" t="s">
        <v>85</v>
      </c>
      <c r="AY212" s="68" t="s">
        <v>211</v>
      </c>
      <c r="BK212" s="103">
        <f>SUM(BK213:BK282)</f>
        <v>17547278.02</v>
      </c>
    </row>
    <row r="213" spans="2:65" s="1" customFormat="1" ht="16.5" customHeight="1">
      <c r="B213" s="12"/>
      <c r="C213" s="71" t="s">
        <v>459</v>
      </c>
      <c r="D213" s="71" t="s">
        <v>214</v>
      </c>
      <c r="E213" s="72" t="s">
        <v>460</v>
      </c>
      <c r="F213" s="73" t="s">
        <v>461</v>
      </c>
      <c r="G213" s="74" t="s">
        <v>357</v>
      </c>
      <c r="H213" s="75">
        <v>374.07499999999999</v>
      </c>
      <c r="I213" s="90">
        <v>3820</v>
      </c>
      <c r="J213" s="91">
        <f>ROUND(I213*H213,2)</f>
        <v>1428966.5</v>
      </c>
      <c r="K213" s="92"/>
      <c r="L213" s="12"/>
      <c r="M213" s="93" t="s">
        <v>1</v>
      </c>
      <c r="N213" s="94" t="s">
        <v>42</v>
      </c>
      <c r="P213" s="95">
        <f>O213*H213</f>
        <v>0</v>
      </c>
      <c r="Q213" s="95">
        <v>2.2563399999999998</v>
      </c>
      <c r="R213" s="95">
        <f>Q213*H213</f>
        <v>844.04038549999996</v>
      </c>
      <c r="S213" s="95">
        <v>0</v>
      </c>
      <c r="T213" s="99">
        <f>S213*H213</f>
        <v>0</v>
      </c>
      <c r="AR213" s="101" t="s">
        <v>218</v>
      </c>
      <c r="AT213" s="101" t="s">
        <v>214</v>
      </c>
      <c r="AU213" s="101" t="s">
        <v>87</v>
      </c>
      <c r="AY213" s="23" t="s">
        <v>211</v>
      </c>
      <c r="BE213" s="104">
        <f>IF(N213="základní",J213,0)</f>
        <v>1428966.5</v>
      </c>
      <c r="BF213" s="104">
        <f>IF(N213="snížená",J213,0)</f>
        <v>0</v>
      </c>
      <c r="BG213" s="104">
        <f>IF(N213="zákl. přenesená",J213,0)</f>
        <v>0</v>
      </c>
      <c r="BH213" s="104">
        <f>IF(N213="sníž. přenesená",J213,0)</f>
        <v>0</v>
      </c>
      <c r="BI213" s="104">
        <f>IF(N213="nulová",J213,0)</f>
        <v>0</v>
      </c>
      <c r="BJ213" s="23" t="s">
        <v>85</v>
      </c>
      <c r="BK213" s="104">
        <f>ROUND(I213*H213,2)</f>
        <v>1428966.5</v>
      </c>
      <c r="BL213" s="23" t="s">
        <v>218</v>
      </c>
      <c r="BM213" s="101" t="s">
        <v>462</v>
      </c>
    </row>
    <row r="214" spans="2:65" s="113" customFormat="1">
      <c r="B214" s="119"/>
      <c r="D214" s="105" t="s">
        <v>365</v>
      </c>
      <c r="E214" s="135" t="s">
        <v>1</v>
      </c>
      <c r="F214" s="120" t="s">
        <v>463</v>
      </c>
      <c r="H214" s="121">
        <v>200.77099999999999</v>
      </c>
      <c r="I214" s="128"/>
      <c r="L214" s="119"/>
      <c r="M214" s="129"/>
      <c r="T214" s="133"/>
      <c r="AT214" s="135" t="s">
        <v>365</v>
      </c>
      <c r="AU214" s="135" t="s">
        <v>87</v>
      </c>
      <c r="AV214" s="113" t="s">
        <v>87</v>
      </c>
      <c r="AW214" s="113" t="s">
        <v>33</v>
      </c>
      <c r="AX214" s="113" t="s">
        <v>77</v>
      </c>
      <c r="AY214" s="135" t="s">
        <v>211</v>
      </c>
    </row>
    <row r="215" spans="2:65" s="113" customFormat="1">
      <c r="B215" s="119"/>
      <c r="D215" s="105" t="s">
        <v>365</v>
      </c>
      <c r="E215" s="135" t="s">
        <v>1</v>
      </c>
      <c r="F215" s="120" t="s">
        <v>464</v>
      </c>
      <c r="H215" s="121">
        <v>173.304</v>
      </c>
      <c r="I215" s="128"/>
      <c r="L215" s="119"/>
      <c r="M215" s="129"/>
      <c r="T215" s="133"/>
      <c r="AT215" s="135" t="s">
        <v>365</v>
      </c>
      <c r="AU215" s="135" t="s">
        <v>87</v>
      </c>
      <c r="AV215" s="113" t="s">
        <v>87</v>
      </c>
      <c r="AW215" s="113" t="s">
        <v>33</v>
      </c>
      <c r="AX215" s="113" t="s">
        <v>77</v>
      </c>
      <c r="AY215" s="135" t="s">
        <v>211</v>
      </c>
    </row>
    <row r="216" spans="2:65" s="137" customFormat="1">
      <c r="B216" s="141"/>
      <c r="D216" s="105" t="s">
        <v>365</v>
      </c>
      <c r="E216" s="142" t="s">
        <v>1</v>
      </c>
      <c r="F216" s="143" t="s">
        <v>368</v>
      </c>
      <c r="H216" s="144">
        <v>374.07499999999999</v>
      </c>
      <c r="I216" s="148"/>
      <c r="L216" s="141"/>
      <c r="M216" s="149"/>
      <c r="T216" s="151"/>
      <c r="AT216" s="142" t="s">
        <v>365</v>
      </c>
      <c r="AU216" s="142" t="s">
        <v>87</v>
      </c>
      <c r="AV216" s="137" t="s">
        <v>218</v>
      </c>
      <c r="AW216" s="137" t="s">
        <v>33</v>
      </c>
      <c r="AX216" s="137" t="s">
        <v>85</v>
      </c>
      <c r="AY216" s="142" t="s">
        <v>211</v>
      </c>
    </row>
    <row r="217" spans="2:65" s="1" customFormat="1" ht="24.15" customHeight="1">
      <c r="B217" s="12"/>
      <c r="C217" s="71" t="s">
        <v>465</v>
      </c>
      <c r="D217" s="71" t="s">
        <v>214</v>
      </c>
      <c r="E217" s="72" t="s">
        <v>466</v>
      </c>
      <c r="F217" s="73" t="s">
        <v>467</v>
      </c>
      <c r="G217" s="74" t="s">
        <v>357</v>
      </c>
      <c r="H217" s="75">
        <v>815.18</v>
      </c>
      <c r="I217" s="90">
        <v>4710</v>
      </c>
      <c r="J217" s="91">
        <f>ROUND(I217*H217,2)</f>
        <v>3839497.8</v>
      </c>
      <c r="K217" s="92"/>
      <c r="L217" s="12"/>
      <c r="M217" s="93" t="s">
        <v>1</v>
      </c>
      <c r="N217" s="94" t="s">
        <v>42</v>
      </c>
      <c r="P217" s="95">
        <f>O217*H217</f>
        <v>0</v>
      </c>
      <c r="Q217" s="95">
        <v>2.45329</v>
      </c>
      <c r="R217" s="95">
        <f>Q217*H217</f>
        <v>1999.8729421999999</v>
      </c>
      <c r="S217" s="95">
        <v>0</v>
      </c>
      <c r="T217" s="99">
        <f>S217*H217</f>
        <v>0</v>
      </c>
      <c r="AR217" s="101" t="s">
        <v>218</v>
      </c>
      <c r="AT217" s="101" t="s">
        <v>214</v>
      </c>
      <c r="AU217" s="101" t="s">
        <v>87</v>
      </c>
      <c r="AY217" s="23" t="s">
        <v>211</v>
      </c>
      <c r="BE217" s="104">
        <f>IF(N217="základní",J217,0)</f>
        <v>3839497.8</v>
      </c>
      <c r="BF217" s="104">
        <f>IF(N217="snížená",J217,0)</f>
        <v>0</v>
      </c>
      <c r="BG217" s="104">
        <f>IF(N217="zákl. přenesená",J217,0)</f>
        <v>0</v>
      </c>
      <c r="BH217" s="104">
        <f>IF(N217="sníž. přenesená",J217,0)</f>
        <v>0</v>
      </c>
      <c r="BI217" s="104">
        <f>IF(N217="nulová",J217,0)</f>
        <v>0</v>
      </c>
      <c r="BJ217" s="23" t="s">
        <v>85</v>
      </c>
      <c r="BK217" s="104">
        <f>ROUND(I217*H217,2)</f>
        <v>3839497.8</v>
      </c>
      <c r="BL217" s="23" t="s">
        <v>218</v>
      </c>
      <c r="BM217" s="101" t="s">
        <v>468</v>
      </c>
    </row>
    <row r="218" spans="2:65" s="1" customFormat="1" ht="67.2">
      <c r="B218" s="12"/>
      <c r="D218" s="105" t="s">
        <v>227</v>
      </c>
      <c r="F218" s="106" t="s">
        <v>469</v>
      </c>
      <c r="I218" s="107"/>
      <c r="L218" s="12"/>
      <c r="M218" s="108"/>
      <c r="T218" s="111"/>
      <c r="AT218" s="23" t="s">
        <v>227</v>
      </c>
      <c r="AU218" s="23" t="s">
        <v>87</v>
      </c>
    </row>
    <row r="219" spans="2:65" s="113" customFormat="1">
      <c r="B219" s="119"/>
      <c r="D219" s="105" t="s">
        <v>365</v>
      </c>
      <c r="E219" s="135" t="s">
        <v>1</v>
      </c>
      <c r="F219" s="120" t="s">
        <v>470</v>
      </c>
      <c r="H219" s="121">
        <v>815.18</v>
      </c>
      <c r="I219" s="128"/>
      <c r="L219" s="119"/>
      <c r="M219" s="129"/>
      <c r="T219" s="133"/>
      <c r="AT219" s="135" t="s">
        <v>365</v>
      </c>
      <c r="AU219" s="135" t="s">
        <v>87</v>
      </c>
      <c r="AV219" s="113" t="s">
        <v>87</v>
      </c>
      <c r="AW219" s="113" t="s">
        <v>33</v>
      </c>
      <c r="AX219" s="113" t="s">
        <v>85</v>
      </c>
      <c r="AY219" s="135" t="s">
        <v>211</v>
      </c>
    </row>
    <row r="220" spans="2:65" s="1" customFormat="1" ht="24.15" customHeight="1">
      <c r="B220" s="12"/>
      <c r="C220" s="71" t="s">
        <v>7</v>
      </c>
      <c r="D220" s="71" t="s">
        <v>214</v>
      </c>
      <c r="E220" s="72" t="s">
        <v>471</v>
      </c>
      <c r="F220" s="73" t="s">
        <v>472</v>
      </c>
      <c r="G220" s="74" t="s">
        <v>357</v>
      </c>
      <c r="H220" s="75">
        <v>2.3220000000000001</v>
      </c>
      <c r="I220" s="90">
        <v>4710</v>
      </c>
      <c r="J220" s="91">
        <f>ROUND(I220*H220,2)</f>
        <v>10936.62</v>
      </c>
      <c r="K220" s="92"/>
      <c r="L220" s="12"/>
      <c r="M220" s="93" t="s">
        <v>1</v>
      </c>
      <c r="N220" s="94" t="s">
        <v>42</v>
      </c>
      <c r="P220" s="95">
        <f>O220*H220</f>
        <v>0</v>
      </c>
      <c r="Q220" s="95">
        <v>2.45329</v>
      </c>
      <c r="R220" s="95">
        <f>Q220*H220</f>
        <v>5.6965393799999999</v>
      </c>
      <c r="S220" s="95">
        <v>0</v>
      </c>
      <c r="T220" s="99">
        <f>S220*H220</f>
        <v>0</v>
      </c>
      <c r="AR220" s="101" t="s">
        <v>218</v>
      </c>
      <c r="AT220" s="101" t="s">
        <v>214</v>
      </c>
      <c r="AU220" s="101" t="s">
        <v>87</v>
      </c>
      <c r="AY220" s="23" t="s">
        <v>211</v>
      </c>
      <c r="BE220" s="104">
        <f>IF(N220="základní",J220,0)</f>
        <v>10936.62</v>
      </c>
      <c r="BF220" s="104">
        <f>IF(N220="snížená",J220,0)</f>
        <v>0</v>
      </c>
      <c r="BG220" s="104">
        <f>IF(N220="zákl. přenesená",J220,0)</f>
        <v>0</v>
      </c>
      <c r="BH220" s="104">
        <f>IF(N220="sníž. přenesená",J220,0)</f>
        <v>0</v>
      </c>
      <c r="BI220" s="104">
        <f>IF(N220="nulová",J220,0)</f>
        <v>0</v>
      </c>
      <c r="BJ220" s="23" t="s">
        <v>85</v>
      </c>
      <c r="BK220" s="104">
        <f>ROUND(I220*H220,2)</f>
        <v>10936.62</v>
      </c>
      <c r="BL220" s="23" t="s">
        <v>218</v>
      </c>
      <c r="BM220" s="101" t="s">
        <v>473</v>
      </c>
    </row>
    <row r="221" spans="2:65" s="1" customFormat="1" ht="67.2">
      <c r="B221" s="12"/>
      <c r="D221" s="105" t="s">
        <v>227</v>
      </c>
      <c r="F221" s="106" t="s">
        <v>469</v>
      </c>
      <c r="I221" s="107"/>
      <c r="L221" s="12"/>
      <c r="M221" s="108"/>
      <c r="T221" s="111"/>
      <c r="AT221" s="23" t="s">
        <v>227</v>
      </c>
      <c r="AU221" s="23" t="s">
        <v>87</v>
      </c>
    </row>
    <row r="222" spans="2:65" s="113" customFormat="1">
      <c r="B222" s="119"/>
      <c r="D222" s="105" t="s">
        <v>365</v>
      </c>
      <c r="E222" s="135" t="s">
        <v>1</v>
      </c>
      <c r="F222" s="120" t="s">
        <v>474</v>
      </c>
      <c r="H222" s="121">
        <v>2.3220000000000001</v>
      </c>
      <c r="I222" s="128"/>
      <c r="L222" s="119"/>
      <c r="M222" s="129"/>
      <c r="T222" s="133"/>
      <c r="AT222" s="135" t="s">
        <v>365</v>
      </c>
      <c r="AU222" s="135" t="s">
        <v>87</v>
      </c>
      <c r="AV222" s="113" t="s">
        <v>87</v>
      </c>
      <c r="AW222" s="113" t="s">
        <v>33</v>
      </c>
      <c r="AX222" s="113" t="s">
        <v>85</v>
      </c>
      <c r="AY222" s="135" t="s">
        <v>211</v>
      </c>
    </row>
    <row r="223" spans="2:65" s="1" customFormat="1" ht="24.15" customHeight="1">
      <c r="B223" s="12"/>
      <c r="C223" s="71" t="s">
        <v>475</v>
      </c>
      <c r="D223" s="71" t="s">
        <v>214</v>
      </c>
      <c r="E223" s="72" t="s">
        <v>476</v>
      </c>
      <c r="F223" s="73" t="s">
        <v>477</v>
      </c>
      <c r="G223" s="74" t="s">
        <v>357</v>
      </c>
      <c r="H223" s="75">
        <v>4.202</v>
      </c>
      <c r="I223" s="90">
        <v>4710</v>
      </c>
      <c r="J223" s="91">
        <f>ROUND(I223*H223,2)</f>
        <v>19791.419999999998</v>
      </c>
      <c r="K223" s="92"/>
      <c r="L223" s="12"/>
      <c r="M223" s="93" t="s">
        <v>1</v>
      </c>
      <c r="N223" s="94" t="s">
        <v>42</v>
      </c>
      <c r="P223" s="95">
        <f>O223*H223</f>
        <v>0</v>
      </c>
      <c r="Q223" s="95">
        <v>2.45343</v>
      </c>
      <c r="R223" s="95">
        <f>Q223*H223</f>
        <v>10.30931286</v>
      </c>
      <c r="S223" s="95">
        <v>0</v>
      </c>
      <c r="T223" s="99">
        <f>S223*H223</f>
        <v>0</v>
      </c>
      <c r="AR223" s="101" t="s">
        <v>218</v>
      </c>
      <c r="AT223" s="101" t="s">
        <v>214</v>
      </c>
      <c r="AU223" s="101" t="s">
        <v>87</v>
      </c>
      <c r="AY223" s="23" t="s">
        <v>211</v>
      </c>
      <c r="BE223" s="104">
        <f>IF(N223="základní",J223,0)</f>
        <v>19791.419999999998</v>
      </c>
      <c r="BF223" s="104">
        <f>IF(N223="snížená",J223,0)</f>
        <v>0</v>
      </c>
      <c r="BG223" s="104">
        <f>IF(N223="zákl. přenesená",J223,0)</f>
        <v>0</v>
      </c>
      <c r="BH223" s="104">
        <f>IF(N223="sníž. přenesená",J223,0)</f>
        <v>0</v>
      </c>
      <c r="BI223" s="104">
        <f>IF(N223="nulová",J223,0)</f>
        <v>0</v>
      </c>
      <c r="BJ223" s="23" t="s">
        <v>85</v>
      </c>
      <c r="BK223" s="104">
        <f>ROUND(I223*H223,2)</f>
        <v>19791.419999999998</v>
      </c>
      <c r="BL223" s="23" t="s">
        <v>218</v>
      </c>
      <c r="BM223" s="101" t="s">
        <v>478</v>
      </c>
    </row>
    <row r="224" spans="2:65" s="1" customFormat="1" ht="19.2">
      <c r="B224" s="12"/>
      <c r="D224" s="105" t="s">
        <v>227</v>
      </c>
      <c r="F224" s="106" t="s">
        <v>479</v>
      </c>
      <c r="I224" s="107"/>
      <c r="L224" s="12"/>
      <c r="M224" s="108"/>
      <c r="T224" s="111"/>
      <c r="AT224" s="23" t="s">
        <v>227</v>
      </c>
      <c r="AU224" s="23" t="s">
        <v>87</v>
      </c>
    </row>
    <row r="225" spans="2:65" s="113" customFormat="1">
      <c r="B225" s="119"/>
      <c r="D225" s="105" t="s">
        <v>365</v>
      </c>
      <c r="E225" s="135" t="s">
        <v>1</v>
      </c>
      <c r="F225" s="120" t="s">
        <v>480</v>
      </c>
      <c r="H225" s="121">
        <v>4.202</v>
      </c>
      <c r="I225" s="128"/>
      <c r="L225" s="119"/>
      <c r="M225" s="129"/>
      <c r="T225" s="133"/>
      <c r="AT225" s="135" t="s">
        <v>365</v>
      </c>
      <c r="AU225" s="135" t="s">
        <v>87</v>
      </c>
      <c r="AV225" s="113" t="s">
        <v>87</v>
      </c>
      <c r="AW225" s="113" t="s">
        <v>33</v>
      </c>
      <c r="AX225" s="113" t="s">
        <v>85</v>
      </c>
      <c r="AY225" s="135" t="s">
        <v>211</v>
      </c>
    </row>
    <row r="226" spans="2:65" s="1" customFormat="1" ht="16.5" customHeight="1">
      <c r="B226" s="12"/>
      <c r="C226" s="71" t="s">
        <v>481</v>
      </c>
      <c r="D226" s="71" t="s">
        <v>214</v>
      </c>
      <c r="E226" s="72" t="s">
        <v>482</v>
      </c>
      <c r="F226" s="73" t="s">
        <v>483</v>
      </c>
      <c r="G226" s="74" t="s">
        <v>279</v>
      </c>
      <c r="H226" s="75">
        <v>384.19</v>
      </c>
      <c r="I226" s="90">
        <v>710</v>
      </c>
      <c r="J226" s="91">
        <f>ROUND(I226*H226,2)</f>
        <v>272774.90000000002</v>
      </c>
      <c r="K226" s="92"/>
      <c r="L226" s="12"/>
      <c r="M226" s="93" t="s">
        <v>1</v>
      </c>
      <c r="N226" s="94" t="s">
        <v>42</v>
      </c>
      <c r="P226" s="95">
        <f>O226*H226</f>
        <v>0</v>
      </c>
      <c r="Q226" s="95">
        <v>2.47E-3</v>
      </c>
      <c r="R226" s="95">
        <f>Q226*H226</f>
        <v>0.9489493</v>
      </c>
      <c r="S226" s="95">
        <v>0</v>
      </c>
      <c r="T226" s="99">
        <f>S226*H226</f>
        <v>0</v>
      </c>
      <c r="AR226" s="101" t="s">
        <v>218</v>
      </c>
      <c r="AT226" s="101" t="s">
        <v>214</v>
      </c>
      <c r="AU226" s="101" t="s">
        <v>87</v>
      </c>
      <c r="AY226" s="23" t="s">
        <v>211</v>
      </c>
      <c r="BE226" s="104">
        <f>IF(N226="základní",J226,0)</f>
        <v>272774.90000000002</v>
      </c>
      <c r="BF226" s="104">
        <f>IF(N226="snížená",J226,0)</f>
        <v>0</v>
      </c>
      <c r="BG226" s="104">
        <f>IF(N226="zákl. přenesená",J226,0)</f>
        <v>0</v>
      </c>
      <c r="BH226" s="104">
        <f>IF(N226="sníž. přenesená",J226,0)</f>
        <v>0</v>
      </c>
      <c r="BI226" s="104">
        <f>IF(N226="nulová",J226,0)</f>
        <v>0</v>
      </c>
      <c r="BJ226" s="23" t="s">
        <v>85</v>
      </c>
      <c r="BK226" s="104">
        <f>ROUND(I226*H226,2)</f>
        <v>272774.90000000002</v>
      </c>
      <c r="BL226" s="23" t="s">
        <v>218</v>
      </c>
      <c r="BM226" s="101" t="s">
        <v>484</v>
      </c>
    </row>
    <row r="227" spans="2:65" s="113" customFormat="1">
      <c r="B227" s="119"/>
      <c r="D227" s="105" t="s">
        <v>365</v>
      </c>
      <c r="E227" s="135" t="s">
        <v>1</v>
      </c>
      <c r="F227" s="120" t="s">
        <v>485</v>
      </c>
      <c r="H227" s="121">
        <v>384.19</v>
      </c>
      <c r="I227" s="128"/>
      <c r="L227" s="119"/>
      <c r="M227" s="129"/>
      <c r="T227" s="133"/>
      <c r="AT227" s="135" t="s">
        <v>365</v>
      </c>
      <c r="AU227" s="135" t="s">
        <v>87</v>
      </c>
      <c r="AV227" s="113" t="s">
        <v>87</v>
      </c>
      <c r="AW227" s="113" t="s">
        <v>33</v>
      </c>
      <c r="AX227" s="113" t="s">
        <v>85</v>
      </c>
      <c r="AY227" s="135" t="s">
        <v>211</v>
      </c>
    </row>
    <row r="228" spans="2:65" s="1" customFormat="1" ht="16.5" customHeight="1">
      <c r="B228" s="12"/>
      <c r="C228" s="71" t="s">
        <v>486</v>
      </c>
      <c r="D228" s="71" t="s">
        <v>214</v>
      </c>
      <c r="E228" s="72" t="s">
        <v>487</v>
      </c>
      <c r="F228" s="73" t="s">
        <v>488</v>
      </c>
      <c r="G228" s="74" t="s">
        <v>279</v>
      </c>
      <c r="H228" s="75">
        <v>384.19</v>
      </c>
      <c r="I228" s="90">
        <v>150</v>
      </c>
      <c r="J228" s="91">
        <f>ROUND(I228*H228,2)</f>
        <v>57628.5</v>
      </c>
      <c r="K228" s="92"/>
      <c r="L228" s="12"/>
      <c r="M228" s="93" t="s">
        <v>1</v>
      </c>
      <c r="N228" s="94" t="s">
        <v>42</v>
      </c>
      <c r="P228" s="95">
        <f>O228*H228</f>
        <v>0</v>
      </c>
      <c r="Q228" s="95">
        <v>0</v>
      </c>
      <c r="R228" s="95">
        <f>Q228*H228</f>
        <v>0</v>
      </c>
      <c r="S228" s="95">
        <v>0</v>
      </c>
      <c r="T228" s="99">
        <f>S228*H228</f>
        <v>0</v>
      </c>
      <c r="AR228" s="101" t="s">
        <v>218</v>
      </c>
      <c r="AT228" s="101" t="s">
        <v>214</v>
      </c>
      <c r="AU228" s="101" t="s">
        <v>87</v>
      </c>
      <c r="AY228" s="23" t="s">
        <v>211</v>
      </c>
      <c r="BE228" s="104">
        <f>IF(N228="základní",J228,0)</f>
        <v>57628.5</v>
      </c>
      <c r="BF228" s="104">
        <f>IF(N228="snížená",J228,0)</f>
        <v>0</v>
      </c>
      <c r="BG228" s="104">
        <f>IF(N228="zákl. přenesená",J228,0)</f>
        <v>0</v>
      </c>
      <c r="BH228" s="104">
        <f>IF(N228="sníž. přenesená",J228,0)</f>
        <v>0</v>
      </c>
      <c r="BI228" s="104">
        <f>IF(N228="nulová",J228,0)</f>
        <v>0</v>
      </c>
      <c r="BJ228" s="23" t="s">
        <v>85</v>
      </c>
      <c r="BK228" s="104">
        <f>ROUND(I228*H228,2)</f>
        <v>57628.5</v>
      </c>
      <c r="BL228" s="23" t="s">
        <v>218</v>
      </c>
      <c r="BM228" s="101" t="s">
        <v>489</v>
      </c>
    </row>
    <row r="229" spans="2:65" s="113" customFormat="1">
      <c r="B229" s="119"/>
      <c r="D229" s="105" t="s">
        <v>365</v>
      </c>
      <c r="E229" s="135" t="s">
        <v>1</v>
      </c>
      <c r="F229" s="120" t="s">
        <v>485</v>
      </c>
      <c r="H229" s="121">
        <v>384.19</v>
      </c>
      <c r="I229" s="128"/>
      <c r="L229" s="119"/>
      <c r="M229" s="129"/>
      <c r="T229" s="133"/>
      <c r="AT229" s="135" t="s">
        <v>365</v>
      </c>
      <c r="AU229" s="135" t="s">
        <v>87</v>
      </c>
      <c r="AV229" s="113" t="s">
        <v>87</v>
      </c>
      <c r="AW229" s="113" t="s">
        <v>33</v>
      </c>
      <c r="AX229" s="113" t="s">
        <v>85</v>
      </c>
      <c r="AY229" s="135" t="s">
        <v>211</v>
      </c>
    </row>
    <row r="230" spans="2:65" s="1" customFormat="1" ht="21.75" customHeight="1">
      <c r="B230" s="12"/>
      <c r="C230" s="71" t="s">
        <v>490</v>
      </c>
      <c r="D230" s="71" t="s">
        <v>214</v>
      </c>
      <c r="E230" s="72" t="s">
        <v>491</v>
      </c>
      <c r="F230" s="73" t="s">
        <v>492</v>
      </c>
      <c r="G230" s="74" t="s">
        <v>394</v>
      </c>
      <c r="H230" s="75">
        <v>114.45</v>
      </c>
      <c r="I230" s="90">
        <v>48500</v>
      </c>
      <c r="J230" s="91">
        <f>ROUND(I230*H230,2)</f>
        <v>5550825</v>
      </c>
      <c r="K230" s="92"/>
      <c r="L230" s="12"/>
      <c r="M230" s="93" t="s">
        <v>1</v>
      </c>
      <c r="N230" s="94" t="s">
        <v>42</v>
      </c>
      <c r="P230" s="95">
        <f>O230*H230</f>
        <v>0</v>
      </c>
      <c r="Q230" s="95">
        <v>1.0606199999999999</v>
      </c>
      <c r="R230" s="95">
        <f>Q230*H230</f>
        <v>121.387959</v>
      </c>
      <c r="S230" s="95">
        <v>0</v>
      </c>
      <c r="T230" s="99">
        <f>S230*H230</f>
        <v>0</v>
      </c>
      <c r="AR230" s="101" t="s">
        <v>218</v>
      </c>
      <c r="AT230" s="101" t="s">
        <v>214</v>
      </c>
      <c r="AU230" s="101" t="s">
        <v>87</v>
      </c>
      <c r="AY230" s="23" t="s">
        <v>211</v>
      </c>
      <c r="BE230" s="104">
        <f>IF(N230="základní",J230,0)</f>
        <v>5550825</v>
      </c>
      <c r="BF230" s="104">
        <f>IF(N230="snížená",J230,0)</f>
        <v>0</v>
      </c>
      <c r="BG230" s="104">
        <f>IF(N230="zákl. přenesená",J230,0)</f>
        <v>0</v>
      </c>
      <c r="BH230" s="104">
        <f>IF(N230="sníž. přenesená",J230,0)</f>
        <v>0</v>
      </c>
      <c r="BI230" s="104">
        <f>IF(N230="nulová",J230,0)</f>
        <v>0</v>
      </c>
      <c r="BJ230" s="23" t="s">
        <v>85</v>
      </c>
      <c r="BK230" s="104">
        <f>ROUND(I230*H230,2)</f>
        <v>5550825</v>
      </c>
      <c r="BL230" s="23" t="s">
        <v>218</v>
      </c>
      <c r="BM230" s="101" t="s">
        <v>493</v>
      </c>
    </row>
    <row r="231" spans="2:65" s="113" customFormat="1">
      <c r="B231" s="119"/>
      <c r="D231" s="105" t="s">
        <v>365</v>
      </c>
      <c r="E231" s="135" t="s">
        <v>1</v>
      </c>
      <c r="F231" s="120" t="s">
        <v>494</v>
      </c>
      <c r="H231" s="121">
        <v>114.125</v>
      </c>
      <c r="I231" s="128"/>
      <c r="L231" s="119"/>
      <c r="M231" s="129"/>
      <c r="T231" s="133"/>
      <c r="AT231" s="135" t="s">
        <v>365</v>
      </c>
      <c r="AU231" s="135" t="s">
        <v>87</v>
      </c>
      <c r="AV231" s="113" t="s">
        <v>87</v>
      </c>
      <c r="AW231" s="113" t="s">
        <v>33</v>
      </c>
      <c r="AX231" s="113" t="s">
        <v>77</v>
      </c>
      <c r="AY231" s="135" t="s">
        <v>211</v>
      </c>
    </row>
    <row r="232" spans="2:65" s="113" customFormat="1">
      <c r="B232" s="119"/>
      <c r="D232" s="105" t="s">
        <v>365</v>
      </c>
      <c r="E232" s="135" t="s">
        <v>1</v>
      </c>
      <c r="F232" s="120" t="s">
        <v>495</v>
      </c>
      <c r="H232" s="121">
        <v>0.32500000000000001</v>
      </c>
      <c r="I232" s="128"/>
      <c r="L232" s="119"/>
      <c r="M232" s="129"/>
      <c r="T232" s="133"/>
      <c r="AT232" s="135" t="s">
        <v>365</v>
      </c>
      <c r="AU232" s="135" t="s">
        <v>87</v>
      </c>
      <c r="AV232" s="113" t="s">
        <v>87</v>
      </c>
      <c r="AW232" s="113" t="s">
        <v>33</v>
      </c>
      <c r="AX232" s="113" t="s">
        <v>77</v>
      </c>
      <c r="AY232" s="135" t="s">
        <v>211</v>
      </c>
    </row>
    <row r="233" spans="2:65" s="137" customFormat="1">
      <c r="B233" s="141"/>
      <c r="D233" s="105" t="s">
        <v>365</v>
      </c>
      <c r="E233" s="142" t="s">
        <v>1</v>
      </c>
      <c r="F233" s="143" t="s">
        <v>368</v>
      </c>
      <c r="H233" s="144">
        <v>114.45</v>
      </c>
      <c r="I233" s="148"/>
      <c r="L233" s="141"/>
      <c r="M233" s="149"/>
      <c r="T233" s="151"/>
      <c r="AT233" s="142" t="s">
        <v>365</v>
      </c>
      <c r="AU233" s="142" t="s">
        <v>87</v>
      </c>
      <c r="AV233" s="137" t="s">
        <v>218</v>
      </c>
      <c r="AW233" s="137" t="s">
        <v>33</v>
      </c>
      <c r="AX233" s="137" t="s">
        <v>85</v>
      </c>
      <c r="AY233" s="142" t="s">
        <v>211</v>
      </c>
    </row>
    <row r="234" spans="2:65" s="1" customFormat="1" ht="16.5" customHeight="1">
      <c r="B234" s="12"/>
      <c r="C234" s="71" t="s">
        <v>496</v>
      </c>
      <c r="D234" s="71" t="s">
        <v>214</v>
      </c>
      <c r="E234" s="72" t="s">
        <v>497</v>
      </c>
      <c r="F234" s="73" t="s">
        <v>498</v>
      </c>
      <c r="G234" s="74" t="s">
        <v>357</v>
      </c>
      <c r="H234" s="75">
        <v>11.813000000000001</v>
      </c>
      <c r="I234" s="90">
        <v>4780</v>
      </c>
      <c r="J234" s="91">
        <f>ROUND(I234*H234,2)</f>
        <v>56466.14</v>
      </c>
      <c r="K234" s="92"/>
      <c r="L234" s="12"/>
      <c r="M234" s="93" t="s">
        <v>1</v>
      </c>
      <c r="N234" s="94" t="s">
        <v>42</v>
      </c>
      <c r="P234" s="95">
        <f>O234*H234</f>
        <v>0</v>
      </c>
      <c r="Q234" s="95">
        <v>2.45329</v>
      </c>
      <c r="R234" s="95">
        <f>Q234*H234</f>
        <v>28.980714769999999</v>
      </c>
      <c r="S234" s="95">
        <v>0</v>
      </c>
      <c r="T234" s="99">
        <f>S234*H234</f>
        <v>0</v>
      </c>
      <c r="AR234" s="101" t="s">
        <v>218</v>
      </c>
      <c r="AT234" s="101" t="s">
        <v>214</v>
      </c>
      <c r="AU234" s="101" t="s">
        <v>87</v>
      </c>
      <c r="AY234" s="23" t="s">
        <v>211</v>
      </c>
      <c r="BE234" s="104">
        <f>IF(N234="základní",J234,0)</f>
        <v>56466.14</v>
      </c>
      <c r="BF234" s="104">
        <f>IF(N234="snížená",J234,0)</f>
        <v>0</v>
      </c>
      <c r="BG234" s="104">
        <f>IF(N234="zákl. přenesená",J234,0)</f>
        <v>0</v>
      </c>
      <c r="BH234" s="104">
        <f>IF(N234="sníž. přenesená",J234,0)</f>
        <v>0</v>
      </c>
      <c r="BI234" s="104">
        <f>IF(N234="nulová",J234,0)</f>
        <v>0</v>
      </c>
      <c r="BJ234" s="23" t="s">
        <v>85</v>
      </c>
      <c r="BK234" s="104">
        <f>ROUND(I234*H234,2)</f>
        <v>56466.14</v>
      </c>
      <c r="BL234" s="23" t="s">
        <v>218</v>
      </c>
      <c r="BM234" s="101" t="s">
        <v>499</v>
      </c>
    </row>
    <row r="235" spans="2:65" s="136" customFormat="1">
      <c r="B235" s="138"/>
      <c r="D235" s="105" t="s">
        <v>365</v>
      </c>
      <c r="E235" s="139" t="s">
        <v>1</v>
      </c>
      <c r="F235" s="140" t="s">
        <v>500</v>
      </c>
      <c r="H235" s="139" t="s">
        <v>1</v>
      </c>
      <c r="I235" s="146"/>
      <c r="L235" s="138"/>
      <c r="M235" s="147"/>
      <c r="T235" s="150"/>
      <c r="AT235" s="139" t="s">
        <v>365</v>
      </c>
      <c r="AU235" s="139" t="s">
        <v>87</v>
      </c>
      <c r="AV235" s="136" t="s">
        <v>85</v>
      </c>
      <c r="AW235" s="136" t="s">
        <v>33</v>
      </c>
      <c r="AX235" s="136" t="s">
        <v>77</v>
      </c>
      <c r="AY235" s="139" t="s">
        <v>211</v>
      </c>
    </row>
    <row r="236" spans="2:65" s="113" customFormat="1">
      <c r="B236" s="119"/>
      <c r="D236" s="105" t="s">
        <v>365</v>
      </c>
      <c r="E236" s="135" t="s">
        <v>1</v>
      </c>
      <c r="F236" s="120" t="s">
        <v>501</v>
      </c>
      <c r="H236" s="121">
        <v>11.813000000000001</v>
      </c>
      <c r="I236" s="128"/>
      <c r="L236" s="119"/>
      <c r="M236" s="129"/>
      <c r="T236" s="133"/>
      <c r="AT236" s="135" t="s">
        <v>365</v>
      </c>
      <c r="AU236" s="135" t="s">
        <v>87</v>
      </c>
      <c r="AV236" s="113" t="s">
        <v>87</v>
      </c>
      <c r="AW236" s="113" t="s">
        <v>33</v>
      </c>
      <c r="AX236" s="113" t="s">
        <v>77</v>
      </c>
      <c r="AY236" s="135" t="s">
        <v>211</v>
      </c>
    </row>
    <row r="237" spans="2:65" s="137" customFormat="1">
      <c r="B237" s="141"/>
      <c r="D237" s="105" t="s">
        <v>365</v>
      </c>
      <c r="E237" s="142" t="s">
        <v>1</v>
      </c>
      <c r="F237" s="143" t="s">
        <v>368</v>
      </c>
      <c r="H237" s="144">
        <v>11.813000000000001</v>
      </c>
      <c r="I237" s="148"/>
      <c r="L237" s="141"/>
      <c r="M237" s="149"/>
      <c r="T237" s="151"/>
      <c r="AT237" s="142" t="s">
        <v>365</v>
      </c>
      <c r="AU237" s="142" t="s">
        <v>87</v>
      </c>
      <c r="AV237" s="137" t="s">
        <v>218</v>
      </c>
      <c r="AW237" s="137" t="s">
        <v>33</v>
      </c>
      <c r="AX237" s="137" t="s">
        <v>85</v>
      </c>
      <c r="AY237" s="142" t="s">
        <v>211</v>
      </c>
    </row>
    <row r="238" spans="2:65" s="1" customFormat="1" ht="16.5" customHeight="1">
      <c r="B238" s="12"/>
      <c r="C238" s="71" t="s">
        <v>502</v>
      </c>
      <c r="D238" s="71" t="s">
        <v>214</v>
      </c>
      <c r="E238" s="72" t="s">
        <v>503</v>
      </c>
      <c r="F238" s="73" t="s">
        <v>504</v>
      </c>
      <c r="G238" s="74" t="s">
        <v>279</v>
      </c>
      <c r="H238" s="75">
        <v>189</v>
      </c>
      <c r="I238" s="90">
        <v>710</v>
      </c>
      <c r="J238" s="91">
        <f>ROUND(I238*H238,2)</f>
        <v>134190</v>
      </c>
      <c r="K238" s="92"/>
      <c r="L238" s="12"/>
      <c r="M238" s="93" t="s">
        <v>1</v>
      </c>
      <c r="N238" s="94" t="s">
        <v>42</v>
      </c>
      <c r="P238" s="95">
        <f>O238*H238</f>
        <v>0</v>
      </c>
      <c r="Q238" s="95">
        <v>2.64E-3</v>
      </c>
      <c r="R238" s="95">
        <f>Q238*H238</f>
        <v>0.49896000000000001</v>
      </c>
      <c r="S238" s="95">
        <v>0</v>
      </c>
      <c r="T238" s="99">
        <f>S238*H238</f>
        <v>0</v>
      </c>
      <c r="AR238" s="101" t="s">
        <v>218</v>
      </c>
      <c r="AT238" s="101" t="s">
        <v>214</v>
      </c>
      <c r="AU238" s="101" t="s">
        <v>87</v>
      </c>
      <c r="AY238" s="23" t="s">
        <v>211</v>
      </c>
      <c r="BE238" s="104">
        <f>IF(N238="základní",J238,0)</f>
        <v>134190</v>
      </c>
      <c r="BF238" s="104">
        <f>IF(N238="snížená",J238,0)</f>
        <v>0</v>
      </c>
      <c r="BG238" s="104">
        <f>IF(N238="zákl. přenesená",J238,0)</f>
        <v>0</v>
      </c>
      <c r="BH238" s="104">
        <f>IF(N238="sníž. přenesená",J238,0)</f>
        <v>0</v>
      </c>
      <c r="BI238" s="104">
        <f>IF(N238="nulová",J238,0)</f>
        <v>0</v>
      </c>
      <c r="BJ238" s="23" t="s">
        <v>85</v>
      </c>
      <c r="BK238" s="104">
        <f>ROUND(I238*H238,2)</f>
        <v>134190</v>
      </c>
      <c r="BL238" s="23" t="s">
        <v>218</v>
      </c>
      <c r="BM238" s="101" t="s">
        <v>505</v>
      </c>
    </row>
    <row r="239" spans="2:65" s="136" customFormat="1">
      <c r="B239" s="138"/>
      <c r="D239" s="105" t="s">
        <v>365</v>
      </c>
      <c r="E239" s="139" t="s">
        <v>1</v>
      </c>
      <c r="F239" s="140" t="s">
        <v>500</v>
      </c>
      <c r="H239" s="139" t="s">
        <v>1</v>
      </c>
      <c r="I239" s="146"/>
      <c r="L239" s="138"/>
      <c r="M239" s="147"/>
      <c r="T239" s="150"/>
      <c r="AT239" s="139" t="s">
        <v>365</v>
      </c>
      <c r="AU239" s="139" t="s">
        <v>87</v>
      </c>
      <c r="AV239" s="136" t="s">
        <v>85</v>
      </c>
      <c r="AW239" s="136" t="s">
        <v>33</v>
      </c>
      <c r="AX239" s="136" t="s">
        <v>77</v>
      </c>
      <c r="AY239" s="139" t="s">
        <v>211</v>
      </c>
    </row>
    <row r="240" spans="2:65" s="113" customFormat="1">
      <c r="B240" s="119"/>
      <c r="D240" s="105" t="s">
        <v>365</v>
      </c>
      <c r="E240" s="135" t="s">
        <v>1</v>
      </c>
      <c r="F240" s="120" t="s">
        <v>506</v>
      </c>
      <c r="H240" s="121">
        <v>189</v>
      </c>
      <c r="I240" s="128"/>
      <c r="L240" s="119"/>
      <c r="M240" s="129"/>
      <c r="T240" s="133"/>
      <c r="AT240" s="135" t="s">
        <v>365</v>
      </c>
      <c r="AU240" s="135" t="s">
        <v>87</v>
      </c>
      <c r="AV240" s="113" t="s">
        <v>87</v>
      </c>
      <c r="AW240" s="113" t="s">
        <v>33</v>
      </c>
      <c r="AX240" s="113" t="s">
        <v>77</v>
      </c>
      <c r="AY240" s="135" t="s">
        <v>211</v>
      </c>
    </row>
    <row r="241" spans="2:65" s="137" customFormat="1">
      <c r="B241" s="141"/>
      <c r="D241" s="105" t="s">
        <v>365</v>
      </c>
      <c r="E241" s="142" t="s">
        <v>1</v>
      </c>
      <c r="F241" s="143" t="s">
        <v>368</v>
      </c>
      <c r="H241" s="144">
        <v>189</v>
      </c>
      <c r="I241" s="148"/>
      <c r="L241" s="141"/>
      <c r="M241" s="149"/>
      <c r="T241" s="151"/>
      <c r="AT241" s="142" t="s">
        <v>365</v>
      </c>
      <c r="AU241" s="142" t="s">
        <v>87</v>
      </c>
      <c r="AV241" s="137" t="s">
        <v>218</v>
      </c>
      <c r="AW241" s="137" t="s">
        <v>33</v>
      </c>
      <c r="AX241" s="137" t="s">
        <v>85</v>
      </c>
      <c r="AY241" s="142" t="s">
        <v>211</v>
      </c>
    </row>
    <row r="242" spans="2:65" s="1" customFormat="1" ht="16.5" customHeight="1">
      <c r="B242" s="12"/>
      <c r="C242" s="71" t="s">
        <v>507</v>
      </c>
      <c r="D242" s="71" t="s">
        <v>214</v>
      </c>
      <c r="E242" s="72" t="s">
        <v>508</v>
      </c>
      <c r="F242" s="73" t="s">
        <v>509</v>
      </c>
      <c r="G242" s="74" t="s">
        <v>279</v>
      </c>
      <c r="H242" s="75">
        <v>189</v>
      </c>
      <c r="I242" s="90">
        <v>150</v>
      </c>
      <c r="J242" s="91">
        <f>ROUND(I242*H242,2)</f>
        <v>28350</v>
      </c>
      <c r="K242" s="92"/>
      <c r="L242" s="12"/>
      <c r="M242" s="93" t="s">
        <v>1</v>
      </c>
      <c r="N242" s="94" t="s">
        <v>42</v>
      </c>
      <c r="P242" s="95">
        <f>O242*H242</f>
        <v>0</v>
      </c>
      <c r="Q242" s="95">
        <v>0</v>
      </c>
      <c r="R242" s="95">
        <f>Q242*H242</f>
        <v>0</v>
      </c>
      <c r="S242" s="95">
        <v>0</v>
      </c>
      <c r="T242" s="99">
        <f>S242*H242</f>
        <v>0</v>
      </c>
      <c r="AR242" s="101" t="s">
        <v>218</v>
      </c>
      <c r="AT242" s="101" t="s">
        <v>214</v>
      </c>
      <c r="AU242" s="101" t="s">
        <v>87</v>
      </c>
      <c r="AY242" s="23" t="s">
        <v>211</v>
      </c>
      <c r="BE242" s="104">
        <f>IF(N242="základní",J242,0)</f>
        <v>28350</v>
      </c>
      <c r="BF242" s="104">
        <f>IF(N242="snížená",J242,0)</f>
        <v>0</v>
      </c>
      <c r="BG242" s="104">
        <f>IF(N242="zákl. přenesená",J242,0)</f>
        <v>0</v>
      </c>
      <c r="BH242" s="104">
        <f>IF(N242="sníž. přenesená",J242,0)</f>
        <v>0</v>
      </c>
      <c r="BI242" s="104">
        <f>IF(N242="nulová",J242,0)</f>
        <v>0</v>
      </c>
      <c r="BJ242" s="23" t="s">
        <v>85</v>
      </c>
      <c r="BK242" s="104">
        <f>ROUND(I242*H242,2)</f>
        <v>28350</v>
      </c>
      <c r="BL242" s="23" t="s">
        <v>218</v>
      </c>
      <c r="BM242" s="101" t="s">
        <v>510</v>
      </c>
    </row>
    <row r="243" spans="2:65" s="1" customFormat="1" ht="24.15" customHeight="1">
      <c r="B243" s="12"/>
      <c r="C243" s="71" t="s">
        <v>511</v>
      </c>
      <c r="D243" s="71" t="s">
        <v>214</v>
      </c>
      <c r="E243" s="72" t="s">
        <v>512</v>
      </c>
      <c r="F243" s="73" t="s">
        <v>513</v>
      </c>
      <c r="G243" s="74" t="s">
        <v>357</v>
      </c>
      <c r="H243" s="75">
        <v>208.28899999999999</v>
      </c>
      <c r="I243" s="90">
        <v>4580</v>
      </c>
      <c r="J243" s="91">
        <f>ROUND(I243*H243,2)</f>
        <v>953963.62</v>
      </c>
      <c r="K243" s="92"/>
      <c r="L243" s="12"/>
      <c r="M243" s="93" t="s">
        <v>1</v>
      </c>
      <c r="N243" s="94" t="s">
        <v>42</v>
      </c>
      <c r="P243" s="95">
        <f>O243*H243</f>
        <v>0</v>
      </c>
      <c r="Q243" s="95">
        <v>2.4744999999999999</v>
      </c>
      <c r="R243" s="95">
        <f>Q243*H243</f>
        <v>515.41113050000001</v>
      </c>
      <c r="S243" s="95">
        <v>0</v>
      </c>
      <c r="T243" s="99">
        <f>S243*H243</f>
        <v>0</v>
      </c>
      <c r="AR243" s="101" t="s">
        <v>218</v>
      </c>
      <c r="AT243" s="101" t="s">
        <v>214</v>
      </c>
      <c r="AU243" s="101" t="s">
        <v>87</v>
      </c>
      <c r="AY243" s="23" t="s">
        <v>211</v>
      </c>
      <c r="BE243" s="104">
        <f>IF(N243="základní",J243,0)</f>
        <v>953963.62</v>
      </c>
      <c r="BF243" s="104">
        <f>IF(N243="snížená",J243,0)</f>
        <v>0</v>
      </c>
      <c r="BG243" s="104">
        <f>IF(N243="zákl. přenesená",J243,0)</f>
        <v>0</v>
      </c>
      <c r="BH243" s="104">
        <f>IF(N243="sníž. přenesená",J243,0)</f>
        <v>0</v>
      </c>
      <c r="BI243" s="104">
        <f>IF(N243="nulová",J243,0)</f>
        <v>0</v>
      </c>
      <c r="BJ243" s="23" t="s">
        <v>85</v>
      </c>
      <c r="BK243" s="104">
        <f>ROUND(I243*H243,2)</f>
        <v>953963.62</v>
      </c>
      <c r="BL243" s="23" t="s">
        <v>218</v>
      </c>
      <c r="BM243" s="101" t="s">
        <v>514</v>
      </c>
    </row>
    <row r="244" spans="2:65" s="1" customFormat="1" ht="76.8">
      <c r="B244" s="12"/>
      <c r="D244" s="105" t="s">
        <v>227</v>
      </c>
      <c r="F244" s="106" t="s">
        <v>515</v>
      </c>
      <c r="I244" s="107"/>
      <c r="L244" s="12"/>
      <c r="M244" s="108"/>
      <c r="T244" s="111"/>
      <c r="AT244" s="23" t="s">
        <v>227</v>
      </c>
      <c r="AU244" s="23" t="s">
        <v>87</v>
      </c>
    </row>
    <row r="245" spans="2:65" s="113" customFormat="1">
      <c r="B245" s="119"/>
      <c r="D245" s="105" t="s">
        <v>365</v>
      </c>
      <c r="E245" s="135" t="s">
        <v>1</v>
      </c>
      <c r="F245" s="120" t="s">
        <v>516</v>
      </c>
      <c r="H245" s="121">
        <v>208.28899999999999</v>
      </c>
      <c r="I245" s="128"/>
      <c r="L245" s="119"/>
      <c r="M245" s="129"/>
      <c r="T245" s="133"/>
      <c r="AT245" s="135" t="s">
        <v>365</v>
      </c>
      <c r="AU245" s="135" t="s">
        <v>87</v>
      </c>
      <c r="AV245" s="113" t="s">
        <v>87</v>
      </c>
      <c r="AW245" s="113" t="s">
        <v>33</v>
      </c>
      <c r="AX245" s="113" t="s">
        <v>85</v>
      </c>
      <c r="AY245" s="135" t="s">
        <v>211</v>
      </c>
    </row>
    <row r="246" spans="2:65" s="1" customFormat="1" ht="24.15" customHeight="1">
      <c r="B246" s="12"/>
      <c r="C246" s="71" t="s">
        <v>517</v>
      </c>
      <c r="D246" s="71" t="s">
        <v>214</v>
      </c>
      <c r="E246" s="72" t="s">
        <v>518</v>
      </c>
      <c r="F246" s="73" t="s">
        <v>519</v>
      </c>
      <c r="G246" s="74" t="s">
        <v>357</v>
      </c>
      <c r="H246" s="75">
        <v>0.64700000000000002</v>
      </c>
      <c r="I246" s="90">
        <v>4580</v>
      </c>
      <c r="J246" s="91">
        <f>ROUND(I246*H246,2)</f>
        <v>2963.26</v>
      </c>
      <c r="K246" s="92"/>
      <c r="L246" s="12"/>
      <c r="M246" s="93" t="s">
        <v>1</v>
      </c>
      <c r="N246" s="94" t="s">
        <v>42</v>
      </c>
      <c r="P246" s="95">
        <f>O246*H246</f>
        <v>0</v>
      </c>
      <c r="Q246" s="95">
        <v>2.4744999999999999</v>
      </c>
      <c r="R246" s="95">
        <f>Q246*H246</f>
        <v>1.6010015</v>
      </c>
      <c r="S246" s="95">
        <v>0</v>
      </c>
      <c r="T246" s="99">
        <f>S246*H246</f>
        <v>0</v>
      </c>
      <c r="AR246" s="101" t="s">
        <v>218</v>
      </c>
      <c r="AT246" s="101" t="s">
        <v>214</v>
      </c>
      <c r="AU246" s="101" t="s">
        <v>87</v>
      </c>
      <c r="AY246" s="23" t="s">
        <v>211</v>
      </c>
      <c r="BE246" s="104">
        <f>IF(N246="základní",J246,0)</f>
        <v>2963.26</v>
      </c>
      <c r="BF246" s="104">
        <f>IF(N246="snížená",J246,0)</f>
        <v>0</v>
      </c>
      <c r="BG246" s="104">
        <f>IF(N246="zákl. přenesená",J246,0)</f>
        <v>0</v>
      </c>
      <c r="BH246" s="104">
        <f>IF(N246="sníž. přenesená",J246,0)</f>
        <v>0</v>
      </c>
      <c r="BI246" s="104">
        <f>IF(N246="nulová",J246,0)</f>
        <v>0</v>
      </c>
      <c r="BJ246" s="23" t="s">
        <v>85</v>
      </c>
      <c r="BK246" s="104">
        <f>ROUND(I246*H246,2)</f>
        <v>2963.26</v>
      </c>
      <c r="BL246" s="23" t="s">
        <v>218</v>
      </c>
      <c r="BM246" s="101" t="s">
        <v>520</v>
      </c>
    </row>
    <row r="247" spans="2:65" s="1" customFormat="1" ht="76.8">
      <c r="B247" s="12"/>
      <c r="D247" s="105" t="s">
        <v>227</v>
      </c>
      <c r="F247" s="106" t="s">
        <v>515</v>
      </c>
      <c r="I247" s="107"/>
      <c r="L247" s="12"/>
      <c r="M247" s="108"/>
      <c r="T247" s="111"/>
      <c r="AT247" s="23" t="s">
        <v>227</v>
      </c>
      <c r="AU247" s="23" t="s">
        <v>87</v>
      </c>
    </row>
    <row r="248" spans="2:65" s="113" customFormat="1">
      <c r="B248" s="119"/>
      <c r="D248" s="105" t="s">
        <v>365</v>
      </c>
      <c r="E248" s="135" t="s">
        <v>1</v>
      </c>
      <c r="F248" s="120" t="s">
        <v>521</v>
      </c>
      <c r="H248" s="121">
        <v>0.64700000000000002</v>
      </c>
      <c r="I248" s="128"/>
      <c r="L248" s="119"/>
      <c r="M248" s="129"/>
      <c r="T248" s="133"/>
      <c r="AT248" s="135" t="s">
        <v>365</v>
      </c>
      <c r="AU248" s="135" t="s">
        <v>87</v>
      </c>
      <c r="AV248" s="113" t="s">
        <v>87</v>
      </c>
      <c r="AW248" s="113" t="s">
        <v>33</v>
      </c>
      <c r="AX248" s="113" t="s">
        <v>85</v>
      </c>
      <c r="AY248" s="135" t="s">
        <v>211</v>
      </c>
    </row>
    <row r="249" spans="2:65" s="1" customFormat="1" ht="24.15" customHeight="1">
      <c r="B249" s="12"/>
      <c r="C249" s="71" t="s">
        <v>522</v>
      </c>
      <c r="D249" s="71" t="s">
        <v>214</v>
      </c>
      <c r="E249" s="72" t="s">
        <v>523</v>
      </c>
      <c r="F249" s="73" t="s">
        <v>524</v>
      </c>
      <c r="G249" s="74" t="s">
        <v>357</v>
      </c>
      <c r="H249" s="75">
        <v>0.20300000000000001</v>
      </c>
      <c r="I249" s="90">
        <v>4580</v>
      </c>
      <c r="J249" s="91">
        <f>ROUND(I249*H249,2)</f>
        <v>929.74</v>
      </c>
      <c r="K249" s="92"/>
      <c r="L249" s="12"/>
      <c r="M249" s="93" t="s">
        <v>1</v>
      </c>
      <c r="N249" s="94" t="s">
        <v>42</v>
      </c>
      <c r="P249" s="95">
        <f>O249*H249</f>
        <v>0</v>
      </c>
      <c r="Q249" s="95">
        <v>2.4744999999999999</v>
      </c>
      <c r="R249" s="95">
        <f>Q249*H249</f>
        <v>0.50232350000000003</v>
      </c>
      <c r="S249" s="95">
        <v>0</v>
      </c>
      <c r="T249" s="99">
        <f>S249*H249</f>
        <v>0</v>
      </c>
      <c r="AR249" s="101" t="s">
        <v>218</v>
      </c>
      <c r="AT249" s="101" t="s">
        <v>214</v>
      </c>
      <c r="AU249" s="101" t="s">
        <v>87</v>
      </c>
      <c r="AY249" s="23" t="s">
        <v>211</v>
      </c>
      <c r="BE249" s="104">
        <f>IF(N249="základní",J249,0)</f>
        <v>929.74</v>
      </c>
      <c r="BF249" s="104">
        <f>IF(N249="snížená",J249,0)</f>
        <v>0</v>
      </c>
      <c r="BG249" s="104">
        <f>IF(N249="zákl. přenesená",J249,0)</f>
        <v>0</v>
      </c>
      <c r="BH249" s="104">
        <f>IF(N249="sníž. přenesená",J249,0)</f>
        <v>0</v>
      </c>
      <c r="BI249" s="104">
        <f>IF(N249="nulová",J249,0)</f>
        <v>0</v>
      </c>
      <c r="BJ249" s="23" t="s">
        <v>85</v>
      </c>
      <c r="BK249" s="104">
        <f>ROUND(I249*H249,2)</f>
        <v>929.74</v>
      </c>
      <c r="BL249" s="23" t="s">
        <v>218</v>
      </c>
      <c r="BM249" s="101" t="s">
        <v>525</v>
      </c>
    </row>
    <row r="250" spans="2:65" s="1" customFormat="1" ht="76.8">
      <c r="B250" s="12"/>
      <c r="D250" s="105" t="s">
        <v>227</v>
      </c>
      <c r="F250" s="106" t="s">
        <v>515</v>
      </c>
      <c r="I250" s="107"/>
      <c r="L250" s="12"/>
      <c r="M250" s="108"/>
      <c r="T250" s="111"/>
      <c r="AT250" s="23" t="s">
        <v>227</v>
      </c>
      <c r="AU250" s="23" t="s">
        <v>87</v>
      </c>
    </row>
    <row r="251" spans="2:65" s="113" customFormat="1">
      <c r="B251" s="119"/>
      <c r="D251" s="105" t="s">
        <v>365</v>
      </c>
      <c r="E251" s="135" t="s">
        <v>1</v>
      </c>
      <c r="F251" s="120" t="s">
        <v>526</v>
      </c>
      <c r="H251" s="121">
        <v>0.20300000000000001</v>
      </c>
      <c r="I251" s="128"/>
      <c r="L251" s="119"/>
      <c r="M251" s="129"/>
      <c r="T251" s="133"/>
      <c r="AT251" s="135" t="s">
        <v>365</v>
      </c>
      <c r="AU251" s="135" t="s">
        <v>87</v>
      </c>
      <c r="AV251" s="113" t="s">
        <v>87</v>
      </c>
      <c r="AW251" s="113" t="s">
        <v>33</v>
      </c>
      <c r="AX251" s="113" t="s">
        <v>85</v>
      </c>
      <c r="AY251" s="135" t="s">
        <v>211</v>
      </c>
    </row>
    <row r="252" spans="2:65" s="1" customFormat="1" ht="24.15" customHeight="1">
      <c r="B252" s="12"/>
      <c r="C252" s="71" t="s">
        <v>527</v>
      </c>
      <c r="D252" s="71" t="s">
        <v>214</v>
      </c>
      <c r="E252" s="72" t="s">
        <v>528</v>
      </c>
      <c r="F252" s="73" t="s">
        <v>529</v>
      </c>
      <c r="G252" s="74" t="s">
        <v>357</v>
      </c>
      <c r="H252" s="75">
        <v>43.188000000000002</v>
      </c>
      <c r="I252" s="90">
        <v>4580</v>
      </c>
      <c r="J252" s="91">
        <f>ROUND(I252*H252,2)</f>
        <v>197801.04</v>
      </c>
      <c r="K252" s="92"/>
      <c r="L252" s="12"/>
      <c r="M252" s="93" t="s">
        <v>1</v>
      </c>
      <c r="N252" s="94" t="s">
        <v>42</v>
      </c>
      <c r="P252" s="95">
        <f>O252*H252</f>
        <v>0</v>
      </c>
      <c r="Q252" s="95">
        <v>2.4744999999999999</v>
      </c>
      <c r="R252" s="95">
        <f>Q252*H252</f>
        <v>106.868706</v>
      </c>
      <c r="S252" s="95">
        <v>0</v>
      </c>
      <c r="T252" s="99">
        <f>S252*H252</f>
        <v>0</v>
      </c>
      <c r="AR252" s="101" t="s">
        <v>218</v>
      </c>
      <c r="AT252" s="101" t="s">
        <v>214</v>
      </c>
      <c r="AU252" s="101" t="s">
        <v>87</v>
      </c>
      <c r="AY252" s="23" t="s">
        <v>211</v>
      </c>
      <c r="BE252" s="104">
        <f>IF(N252="základní",J252,0)</f>
        <v>197801.04</v>
      </c>
      <c r="BF252" s="104">
        <f>IF(N252="snížená",J252,0)</f>
        <v>0</v>
      </c>
      <c r="BG252" s="104">
        <f>IF(N252="zákl. přenesená",J252,0)</f>
        <v>0</v>
      </c>
      <c r="BH252" s="104">
        <f>IF(N252="sníž. přenesená",J252,0)</f>
        <v>0</v>
      </c>
      <c r="BI252" s="104">
        <f>IF(N252="nulová",J252,0)</f>
        <v>0</v>
      </c>
      <c r="BJ252" s="23" t="s">
        <v>85</v>
      </c>
      <c r="BK252" s="104">
        <f>ROUND(I252*H252,2)</f>
        <v>197801.04</v>
      </c>
      <c r="BL252" s="23" t="s">
        <v>218</v>
      </c>
      <c r="BM252" s="101" t="s">
        <v>530</v>
      </c>
    </row>
    <row r="253" spans="2:65" s="1" customFormat="1" ht="76.8">
      <c r="B253" s="12"/>
      <c r="D253" s="105" t="s">
        <v>227</v>
      </c>
      <c r="F253" s="106" t="s">
        <v>515</v>
      </c>
      <c r="I253" s="107"/>
      <c r="L253" s="12"/>
      <c r="M253" s="108"/>
      <c r="T253" s="111"/>
      <c r="AT253" s="23" t="s">
        <v>227</v>
      </c>
      <c r="AU253" s="23" t="s">
        <v>87</v>
      </c>
    </row>
    <row r="254" spans="2:65" s="113" customFormat="1">
      <c r="B254" s="119"/>
      <c r="D254" s="105" t="s">
        <v>365</v>
      </c>
      <c r="E254" s="135" t="s">
        <v>1</v>
      </c>
      <c r="F254" s="120" t="s">
        <v>531</v>
      </c>
      <c r="H254" s="121">
        <v>43.188000000000002</v>
      </c>
      <c r="I254" s="128"/>
      <c r="L254" s="119"/>
      <c r="M254" s="129"/>
      <c r="T254" s="133"/>
      <c r="AT254" s="135" t="s">
        <v>365</v>
      </c>
      <c r="AU254" s="135" t="s">
        <v>87</v>
      </c>
      <c r="AV254" s="113" t="s">
        <v>87</v>
      </c>
      <c r="AW254" s="113" t="s">
        <v>33</v>
      </c>
      <c r="AX254" s="113" t="s">
        <v>85</v>
      </c>
      <c r="AY254" s="135" t="s">
        <v>211</v>
      </c>
    </row>
    <row r="255" spans="2:65" s="1" customFormat="1" ht="24.15" customHeight="1">
      <c r="B255" s="12"/>
      <c r="C255" s="71" t="s">
        <v>532</v>
      </c>
      <c r="D255" s="71" t="s">
        <v>214</v>
      </c>
      <c r="E255" s="72" t="s">
        <v>533</v>
      </c>
      <c r="F255" s="73" t="s">
        <v>534</v>
      </c>
      <c r="G255" s="74" t="s">
        <v>357</v>
      </c>
      <c r="H255" s="75">
        <v>37.667000000000002</v>
      </c>
      <c r="I255" s="90">
        <v>4580</v>
      </c>
      <c r="J255" s="91">
        <f>ROUND(I255*H255,2)</f>
        <v>172514.86</v>
      </c>
      <c r="K255" s="92"/>
      <c r="L255" s="12"/>
      <c r="M255" s="93" t="s">
        <v>1</v>
      </c>
      <c r="N255" s="94" t="s">
        <v>42</v>
      </c>
      <c r="P255" s="95">
        <f>O255*H255</f>
        <v>0</v>
      </c>
      <c r="Q255" s="95">
        <v>2.4744999999999999</v>
      </c>
      <c r="R255" s="95">
        <f>Q255*H255</f>
        <v>93.206991500000001</v>
      </c>
      <c r="S255" s="95">
        <v>0</v>
      </c>
      <c r="T255" s="99">
        <f>S255*H255</f>
        <v>0</v>
      </c>
      <c r="AR255" s="101" t="s">
        <v>218</v>
      </c>
      <c r="AT255" s="101" t="s">
        <v>214</v>
      </c>
      <c r="AU255" s="101" t="s">
        <v>87</v>
      </c>
      <c r="AY255" s="23" t="s">
        <v>211</v>
      </c>
      <c r="BE255" s="104">
        <f>IF(N255="základní",J255,0)</f>
        <v>172514.86</v>
      </c>
      <c r="BF255" s="104">
        <f>IF(N255="snížená",J255,0)</f>
        <v>0</v>
      </c>
      <c r="BG255" s="104">
        <f>IF(N255="zákl. přenesená",J255,0)</f>
        <v>0</v>
      </c>
      <c r="BH255" s="104">
        <f>IF(N255="sníž. přenesená",J255,0)</f>
        <v>0</v>
      </c>
      <c r="BI255" s="104">
        <f>IF(N255="nulová",J255,0)</f>
        <v>0</v>
      </c>
      <c r="BJ255" s="23" t="s">
        <v>85</v>
      </c>
      <c r="BK255" s="104">
        <f>ROUND(I255*H255,2)</f>
        <v>172514.86</v>
      </c>
      <c r="BL255" s="23" t="s">
        <v>218</v>
      </c>
      <c r="BM255" s="101" t="s">
        <v>535</v>
      </c>
    </row>
    <row r="256" spans="2:65" s="1" customFormat="1" ht="76.8">
      <c r="B256" s="12"/>
      <c r="D256" s="105" t="s">
        <v>227</v>
      </c>
      <c r="F256" s="106" t="s">
        <v>515</v>
      </c>
      <c r="I256" s="107"/>
      <c r="L256" s="12"/>
      <c r="M256" s="108"/>
      <c r="T256" s="111"/>
      <c r="AT256" s="23" t="s">
        <v>227</v>
      </c>
      <c r="AU256" s="23" t="s">
        <v>87</v>
      </c>
    </row>
    <row r="257" spans="2:65" s="113" customFormat="1">
      <c r="B257" s="119"/>
      <c r="D257" s="105" t="s">
        <v>365</v>
      </c>
      <c r="E257" s="135" t="s">
        <v>1</v>
      </c>
      <c r="F257" s="120" t="s">
        <v>536</v>
      </c>
      <c r="H257" s="121">
        <v>37.667000000000002</v>
      </c>
      <c r="I257" s="128"/>
      <c r="L257" s="119"/>
      <c r="M257" s="129"/>
      <c r="T257" s="133"/>
      <c r="AT257" s="135" t="s">
        <v>365</v>
      </c>
      <c r="AU257" s="135" t="s">
        <v>87</v>
      </c>
      <c r="AV257" s="113" t="s">
        <v>87</v>
      </c>
      <c r="AW257" s="113" t="s">
        <v>33</v>
      </c>
      <c r="AX257" s="113" t="s">
        <v>85</v>
      </c>
      <c r="AY257" s="135" t="s">
        <v>211</v>
      </c>
    </row>
    <row r="258" spans="2:65" s="1" customFormat="1" ht="24.15" customHeight="1">
      <c r="B258" s="12"/>
      <c r="C258" s="71" t="s">
        <v>537</v>
      </c>
      <c r="D258" s="71" t="s">
        <v>214</v>
      </c>
      <c r="E258" s="72" t="s">
        <v>538</v>
      </c>
      <c r="F258" s="73" t="s">
        <v>539</v>
      </c>
      <c r="G258" s="74" t="s">
        <v>357</v>
      </c>
      <c r="H258" s="75">
        <v>15.675000000000001</v>
      </c>
      <c r="I258" s="90">
        <v>4580</v>
      </c>
      <c r="J258" s="91">
        <f>ROUND(I258*H258,2)</f>
        <v>71791.5</v>
      </c>
      <c r="K258" s="92"/>
      <c r="L258" s="12"/>
      <c r="M258" s="93" t="s">
        <v>1</v>
      </c>
      <c r="N258" s="94" t="s">
        <v>42</v>
      </c>
      <c r="P258" s="95">
        <f>O258*H258</f>
        <v>0</v>
      </c>
      <c r="Q258" s="95">
        <v>2.4744999999999999</v>
      </c>
      <c r="R258" s="95">
        <f>Q258*H258</f>
        <v>38.7877875</v>
      </c>
      <c r="S258" s="95">
        <v>0</v>
      </c>
      <c r="T258" s="99">
        <f>S258*H258</f>
        <v>0</v>
      </c>
      <c r="AR258" s="101" t="s">
        <v>218</v>
      </c>
      <c r="AT258" s="101" t="s">
        <v>214</v>
      </c>
      <c r="AU258" s="101" t="s">
        <v>87</v>
      </c>
      <c r="AY258" s="23" t="s">
        <v>211</v>
      </c>
      <c r="BE258" s="104">
        <f>IF(N258="základní",J258,0)</f>
        <v>71791.5</v>
      </c>
      <c r="BF258" s="104">
        <f>IF(N258="snížená",J258,0)</f>
        <v>0</v>
      </c>
      <c r="BG258" s="104">
        <f>IF(N258="zákl. přenesená",J258,0)</f>
        <v>0</v>
      </c>
      <c r="BH258" s="104">
        <f>IF(N258="sníž. přenesená",J258,0)</f>
        <v>0</v>
      </c>
      <c r="BI258" s="104">
        <f>IF(N258="nulová",J258,0)</f>
        <v>0</v>
      </c>
      <c r="BJ258" s="23" t="s">
        <v>85</v>
      </c>
      <c r="BK258" s="104">
        <f>ROUND(I258*H258,2)</f>
        <v>71791.5</v>
      </c>
      <c r="BL258" s="23" t="s">
        <v>218</v>
      </c>
      <c r="BM258" s="101" t="s">
        <v>540</v>
      </c>
    </row>
    <row r="259" spans="2:65" s="1" customFormat="1" ht="76.8">
      <c r="B259" s="12"/>
      <c r="D259" s="105" t="s">
        <v>227</v>
      </c>
      <c r="F259" s="106" t="s">
        <v>515</v>
      </c>
      <c r="I259" s="107"/>
      <c r="L259" s="12"/>
      <c r="M259" s="108"/>
      <c r="T259" s="111"/>
      <c r="AT259" s="23" t="s">
        <v>227</v>
      </c>
      <c r="AU259" s="23" t="s">
        <v>87</v>
      </c>
    </row>
    <row r="260" spans="2:65" s="113" customFormat="1">
      <c r="B260" s="119"/>
      <c r="D260" s="105" t="s">
        <v>365</v>
      </c>
      <c r="E260" s="135" t="s">
        <v>1</v>
      </c>
      <c r="F260" s="120" t="s">
        <v>541</v>
      </c>
      <c r="H260" s="121">
        <v>15.675000000000001</v>
      </c>
      <c r="I260" s="128"/>
      <c r="L260" s="119"/>
      <c r="M260" s="129"/>
      <c r="T260" s="133"/>
      <c r="AT260" s="135" t="s">
        <v>365</v>
      </c>
      <c r="AU260" s="135" t="s">
        <v>87</v>
      </c>
      <c r="AV260" s="113" t="s">
        <v>87</v>
      </c>
      <c r="AW260" s="113" t="s">
        <v>33</v>
      </c>
      <c r="AX260" s="113" t="s">
        <v>85</v>
      </c>
      <c r="AY260" s="135" t="s">
        <v>211</v>
      </c>
    </row>
    <row r="261" spans="2:65" s="1" customFormat="1" ht="16.5" customHeight="1">
      <c r="B261" s="12"/>
      <c r="C261" s="71" t="s">
        <v>542</v>
      </c>
      <c r="D261" s="71" t="s">
        <v>214</v>
      </c>
      <c r="E261" s="72" t="s">
        <v>543</v>
      </c>
      <c r="F261" s="73" t="s">
        <v>544</v>
      </c>
      <c r="G261" s="74" t="s">
        <v>279</v>
      </c>
      <c r="H261" s="75">
        <v>2247.5239999999999</v>
      </c>
      <c r="I261" s="90">
        <v>960</v>
      </c>
      <c r="J261" s="91">
        <f>ROUND(I261*H261,2)</f>
        <v>2157623.04</v>
      </c>
      <c r="K261" s="92"/>
      <c r="L261" s="12"/>
      <c r="M261" s="93" t="s">
        <v>1</v>
      </c>
      <c r="N261" s="94" t="s">
        <v>42</v>
      </c>
      <c r="P261" s="95">
        <f>O261*H261</f>
        <v>0</v>
      </c>
      <c r="Q261" s="95">
        <v>2.7499999999999998E-3</v>
      </c>
      <c r="R261" s="95">
        <f>Q261*H261</f>
        <v>6.1806910000000004</v>
      </c>
      <c r="S261" s="95">
        <v>0</v>
      </c>
      <c r="T261" s="99">
        <f>S261*H261</f>
        <v>0</v>
      </c>
      <c r="AR261" s="101" t="s">
        <v>218</v>
      </c>
      <c r="AT261" s="101" t="s">
        <v>214</v>
      </c>
      <c r="AU261" s="101" t="s">
        <v>87</v>
      </c>
      <c r="AY261" s="23" t="s">
        <v>211</v>
      </c>
      <c r="BE261" s="104">
        <f>IF(N261="základní",J261,0)</f>
        <v>2157623.04</v>
      </c>
      <c r="BF261" s="104">
        <f>IF(N261="snížená",J261,0)</f>
        <v>0</v>
      </c>
      <c r="BG261" s="104">
        <f>IF(N261="zákl. přenesená",J261,0)</f>
        <v>0</v>
      </c>
      <c r="BH261" s="104">
        <f>IF(N261="sníž. přenesená",J261,0)</f>
        <v>0</v>
      </c>
      <c r="BI261" s="104">
        <f>IF(N261="nulová",J261,0)</f>
        <v>0</v>
      </c>
      <c r="BJ261" s="23" t="s">
        <v>85</v>
      </c>
      <c r="BK261" s="104">
        <f>ROUND(I261*H261,2)</f>
        <v>2157623.04</v>
      </c>
      <c r="BL261" s="23" t="s">
        <v>218</v>
      </c>
      <c r="BM261" s="101" t="s">
        <v>545</v>
      </c>
    </row>
    <row r="262" spans="2:65" s="113" customFormat="1">
      <c r="B262" s="119"/>
      <c r="D262" s="105" t="s">
        <v>365</v>
      </c>
      <c r="E262" s="135" t="s">
        <v>1</v>
      </c>
      <c r="F262" s="120" t="s">
        <v>546</v>
      </c>
      <c r="H262" s="121">
        <v>1666.308</v>
      </c>
      <c r="I262" s="128"/>
      <c r="L262" s="119"/>
      <c r="M262" s="129"/>
      <c r="T262" s="133"/>
      <c r="AT262" s="135" t="s">
        <v>365</v>
      </c>
      <c r="AU262" s="135" t="s">
        <v>87</v>
      </c>
      <c r="AV262" s="113" t="s">
        <v>87</v>
      </c>
      <c r="AW262" s="113" t="s">
        <v>33</v>
      </c>
      <c r="AX262" s="113" t="s">
        <v>77</v>
      </c>
      <c r="AY262" s="135" t="s">
        <v>211</v>
      </c>
    </row>
    <row r="263" spans="2:65" s="113" customFormat="1">
      <c r="B263" s="119"/>
      <c r="D263" s="105" t="s">
        <v>365</v>
      </c>
      <c r="E263" s="135" t="s">
        <v>1</v>
      </c>
      <c r="F263" s="120" t="s">
        <v>547</v>
      </c>
      <c r="H263" s="121">
        <v>4.3099999999999996</v>
      </c>
      <c r="I263" s="128"/>
      <c r="L263" s="119"/>
      <c r="M263" s="129"/>
      <c r="T263" s="133"/>
      <c r="AT263" s="135" t="s">
        <v>365</v>
      </c>
      <c r="AU263" s="135" t="s">
        <v>87</v>
      </c>
      <c r="AV263" s="113" t="s">
        <v>87</v>
      </c>
      <c r="AW263" s="113" t="s">
        <v>33</v>
      </c>
      <c r="AX263" s="113" t="s">
        <v>77</v>
      </c>
      <c r="AY263" s="135" t="s">
        <v>211</v>
      </c>
    </row>
    <row r="264" spans="2:65" s="113" customFormat="1">
      <c r="B264" s="119"/>
      <c r="D264" s="105" t="s">
        <v>365</v>
      </c>
      <c r="E264" s="135" t="s">
        <v>1</v>
      </c>
      <c r="F264" s="120" t="s">
        <v>548</v>
      </c>
      <c r="H264" s="121">
        <v>289.27</v>
      </c>
      <c r="I264" s="128"/>
      <c r="L264" s="119"/>
      <c r="M264" s="129"/>
      <c r="T264" s="133"/>
      <c r="AT264" s="135" t="s">
        <v>365</v>
      </c>
      <c r="AU264" s="135" t="s">
        <v>87</v>
      </c>
      <c r="AV264" s="113" t="s">
        <v>87</v>
      </c>
      <c r="AW264" s="113" t="s">
        <v>33</v>
      </c>
      <c r="AX264" s="113" t="s">
        <v>77</v>
      </c>
      <c r="AY264" s="135" t="s">
        <v>211</v>
      </c>
    </row>
    <row r="265" spans="2:65" s="113" customFormat="1">
      <c r="B265" s="119"/>
      <c r="D265" s="105" t="s">
        <v>365</v>
      </c>
      <c r="E265" s="135" t="s">
        <v>1</v>
      </c>
      <c r="F265" s="120" t="s">
        <v>549</v>
      </c>
      <c r="H265" s="121">
        <v>209.26</v>
      </c>
      <c r="I265" s="128"/>
      <c r="L265" s="119"/>
      <c r="M265" s="129"/>
      <c r="T265" s="133"/>
      <c r="AT265" s="135" t="s">
        <v>365</v>
      </c>
      <c r="AU265" s="135" t="s">
        <v>87</v>
      </c>
      <c r="AV265" s="113" t="s">
        <v>87</v>
      </c>
      <c r="AW265" s="113" t="s">
        <v>33</v>
      </c>
      <c r="AX265" s="113" t="s">
        <v>77</v>
      </c>
      <c r="AY265" s="135" t="s">
        <v>211</v>
      </c>
    </row>
    <row r="266" spans="2:65" s="113" customFormat="1">
      <c r="B266" s="119"/>
      <c r="D266" s="105" t="s">
        <v>365</v>
      </c>
      <c r="E266" s="135" t="s">
        <v>1</v>
      </c>
      <c r="F266" s="120" t="s">
        <v>550</v>
      </c>
      <c r="H266" s="121">
        <v>78.376000000000005</v>
      </c>
      <c r="I266" s="128"/>
      <c r="L266" s="119"/>
      <c r="M266" s="129"/>
      <c r="T266" s="133"/>
      <c r="AT266" s="135" t="s">
        <v>365</v>
      </c>
      <c r="AU266" s="135" t="s">
        <v>87</v>
      </c>
      <c r="AV266" s="113" t="s">
        <v>87</v>
      </c>
      <c r="AW266" s="113" t="s">
        <v>33</v>
      </c>
      <c r="AX266" s="113" t="s">
        <v>77</v>
      </c>
      <c r="AY266" s="135" t="s">
        <v>211</v>
      </c>
    </row>
    <row r="267" spans="2:65" s="137" customFormat="1">
      <c r="B267" s="141"/>
      <c r="D267" s="105" t="s">
        <v>365</v>
      </c>
      <c r="E267" s="142" t="s">
        <v>1</v>
      </c>
      <c r="F267" s="143" t="s">
        <v>368</v>
      </c>
      <c r="H267" s="144">
        <v>2247.5239999999999</v>
      </c>
      <c r="I267" s="148"/>
      <c r="L267" s="141"/>
      <c r="M267" s="149"/>
      <c r="T267" s="151"/>
      <c r="AT267" s="142" t="s">
        <v>365</v>
      </c>
      <c r="AU267" s="142" t="s">
        <v>87</v>
      </c>
      <c r="AV267" s="137" t="s">
        <v>218</v>
      </c>
      <c r="AW267" s="137" t="s">
        <v>33</v>
      </c>
      <c r="AX267" s="137" t="s">
        <v>85</v>
      </c>
      <c r="AY267" s="142" t="s">
        <v>211</v>
      </c>
    </row>
    <row r="268" spans="2:65" s="1" customFormat="1" ht="21.75" customHeight="1">
      <c r="B268" s="12"/>
      <c r="C268" s="71" t="s">
        <v>551</v>
      </c>
      <c r="D268" s="71" t="s">
        <v>214</v>
      </c>
      <c r="E268" s="72" t="s">
        <v>552</v>
      </c>
      <c r="F268" s="73" t="s">
        <v>553</v>
      </c>
      <c r="G268" s="74" t="s">
        <v>279</v>
      </c>
      <c r="H268" s="75">
        <v>2247.5239999999999</v>
      </c>
      <c r="I268" s="90">
        <v>295</v>
      </c>
      <c r="J268" s="91">
        <f>ROUND(I268*H268,2)</f>
        <v>663019.57999999996</v>
      </c>
      <c r="K268" s="92"/>
      <c r="L268" s="12"/>
      <c r="M268" s="93" t="s">
        <v>1</v>
      </c>
      <c r="N268" s="94" t="s">
        <v>42</v>
      </c>
      <c r="P268" s="95">
        <f>O268*H268</f>
        <v>0</v>
      </c>
      <c r="Q268" s="95">
        <v>0</v>
      </c>
      <c r="R268" s="95">
        <f>Q268*H268</f>
        <v>0</v>
      </c>
      <c r="S268" s="95">
        <v>0</v>
      </c>
      <c r="T268" s="99">
        <f>S268*H268</f>
        <v>0</v>
      </c>
      <c r="AR268" s="101" t="s">
        <v>218</v>
      </c>
      <c r="AT268" s="101" t="s">
        <v>214</v>
      </c>
      <c r="AU268" s="101" t="s">
        <v>87</v>
      </c>
      <c r="AY268" s="23" t="s">
        <v>211</v>
      </c>
      <c r="BE268" s="104">
        <f>IF(N268="základní",J268,0)</f>
        <v>663019.57999999996</v>
      </c>
      <c r="BF268" s="104">
        <f>IF(N268="snížená",J268,0)</f>
        <v>0</v>
      </c>
      <c r="BG268" s="104">
        <f>IF(N268="zákl. přenesená",J268,0)</f>
        <v>0</v>
      </c>
      <c r="BH268" s="104">
        <f>IF(N268="sníž. přenesená",J268,0)</f>
        <v>0</v>
      </c>
      <c r="BI268" s="104">
        <f>IF(N268="nulová",J268,0)</f>
        <v>0</v>
      </c>
      <c r="BJ268" s="23" t="s">
        <v>85</v>
      </c>
      <c r="BK268" s="104">
        <f>ROUND(I268*H268,2)</f>
        <v>663019.57999999996</v>
      </c>
      <c r="BL268" s="23" t="s">
        <v>218</v>
      </c>
      <c r="BM268" s="101" t="s">
        <v>554</v>
      </c>
    </row>
    <row r="269" spans="2:65" s="113" customFormat="1">
      <c r="B269" s="119"/>
      <c r="D269" s="105" t="s">
        <v>365</v>
      </c>
      <c r="E269" s="135" t="s">
        <v>1</v>
      </c>
      <c r="F269" s="120" t="s">
        <v>546</v>
      </c>
      <c r="H269" s="121">
        <v>1666.308</v>
      </c>
      <c r="I269" s="128"/>
      <c r="L269" s="119"/>
      <c r="M269" s="129"/>
      <c r="T269" s="133"/>
      <c r="AT269" s="135" t="s">
        <v>365</v>
      </c>
      <c r="AU269" s="135" t="s">
        <v>87</v>
      </c>
      <c r="AV269" s="113" t="s">
        <v>87</v>
      </c>
      <c r="AW269" s="113" t="s">
        <v>33</v>
      </c>
      <c r="AX269" s="113" t="s">
        <v>77</v>
      </c>
      <c r="AY269" s="135" t="s">
        <v>211</v>
      </c>
    </row>
    <row r="270" spans="2:65" s="113" customFormat="1">
      <c r="B270" s="119"/>
      <c r="D270" s="105" t="s">
        <v>365</v>
      </c>
      <c r="E270" s="135" t="s">
        <v>1</v>
      </c>
      <c r="F270" s="120" t="s">
        <v>547</v>
      </c>
      <c r="H270" s="121">
        <v>4.3099999999999996</v>
      </c>
      <c r="I270" s="128"/>
      <c r="L270" s="119"/>
      <c r="M270" s="129"/>
      <c r="T270" s="133"/>
      <c r="AT270" s="135" t="s">
        <v>365</v>
      </c>
      <c r="AU270" s="135" t="s">
        <v>87</v>
      </c>
      <c r="AV270" s="113" t="s">
        <v>87</v>
      </c>
      <c r="AW270" s="113" t="s">
        <v>33</v>
      </c>
      <c r="AX270" s="113" t="s">
        <v>77</v>
      </c>
      <c r="AY270" s="135" t="s">
        <v>211</v>
      </c>
    </row>
    <row r="271" spans="2:65" s="113" customFormat="1">
      <c r="B271" s="119"/>
      <c r="D271" s="105" t="s">
        <v>365</v>
      </c>
      <c r="E271" s="135" t="s">
        <v>1</v>
      </c>
      <c r="F271" s="120" t="s">
        <v>548</v>
      </c>
      <c r="H271" s="121">
        <v>289.27</v>
      </c>
      <c r="I271" s="128"/>
      <c r="L271" s="119"/>
      <c r="M271" s="129"/>
      <c r="T271" s="133"/>
      <c r="AT271" s="135" t="s">
        <v>365</v>
      </c>
      <c r="AU271" s="135" t="s">
        <v>87</v>
      </c>
      <c r="AV271" s="113" t="s">
        <v>87</v>
      </c>
      <c r="AW271" s="113" t="s">
        <v>33</v>
      </c>
      <c r="AX271" s="113" t="s">
        <v>77</v>
      </c>
      <c r="AY271" s="135" t="s">
        <v>211</v>
      </c>
    </row>
    <row r="272" spans="2:65" s="113" customFormat="1">
      <c r="B272" s="119"/>
      <c r="D272" s="105" t="s">
        <v>365</v>
      </c>
      <c r="E272" s="135" t="s">
        <v>1</v>
      </c>
      <c r="F272" s="120" t="s">
        <v>549</v>
      </c>
      <c r="H272" s="121">
        <v>209.26</v>
      </c>
      <c r="I272" s="128"/>
      <c r="L272" s="119"/>
      <c r="M272" s="129"/>
      <c r="T272" s="133"/>
      <c r="AT272" s="135" t="s">
        <v>365</v>
      </c>
      <c r="AU272" s="135" t="s">
        <v>87</v>
      </c>
      <c r="AV272" s="113" t="s">
        <v>87</v>
      </c>
      <c r="AW272" s="113" t="s">
        <v>33</v>
      </c>
      <c r="AX272" s="113" t="s">
        <v>77</v>
      </c>
      <c r="AY272" s="135" t="s">
        <v>211</v>
      </c>
    </row>
    <row r="273" spans="2:65" s="113" customFormat="1">
      <c r="B273" s="119"/>
      <c r="D273" s="105" t="s">
        <v>365</v>
      </c>
      <c r="E273" s="135" t="s">
        <v>1</v>
      </c>
      <c r="F273" s="120" t="s">
        <v>550</v>
      </c>
      <c r="H273" s="121">
        <v>78.376000000000005</v>
      </c>
      <c r="I273" s="128"/>
      <c r="L273" s="119"/>
      <c r="M273" s="129"/>
      <c r="T273" s="133"/>
      <c r="AT273" s="135" t="s">
        <v>365</v>
      </c>
      <c r="AU273" s="135" t="s">
        <v>87</v>
      </c>
      <c r="AV273" s="113" t="s">
        <v>87</v>
      </c>
      <c r="AW273" s="113" t="s">
        <v>33</v>
      </c>
      <c r="AX273" s="113" t="s">
        <v>77</v>
      </c>
      <c r="AY273" s="135" t="s">
        <v>211</v>
      </c>
    </row>
    <row r="274" spans="2:65" s="137" customFormat="1">
      <c r="B274" s="141"/>
      <c r="D274" s="105" t="s">
        <v>365</v>
      </c>
      <c r="E274" s="142" t="s">
        <v>1</v>
      </c>
      <c r="F274" s="143" t="s">
        <v>368</v>
      </c>
      <c r="H274" s="144">
        <v>2247.5239999999999</v>
      </c>
      <c r="I274" s="148"/>
      <c r="L274" s="141"/>
      <c r="M274" s="149"/>
      <c r="T274" s="151"/>
      <c r="AT274" s="142" t="s">
        <v>365</v>
      </c>
      <c r="AU274" s="142" t="s">
        <v>87</v>
      </c>
      <c r="AV274" s="137" t="s">
        <v>218</v>
      </c>
      <c r="AW274" s="137" t="s">
        <v>33</v>
      </c>
      <c r="AX274" s="137" t="s">
        <v>85</v>
      </c>
      <c r="AY274" s="142" t="s">
        <v>211</v>
      </c>
    </row>
    <row r="275" spans="2:65" s="1" customFormat="1" ht="24.15" customHeight="1">
      <c r="B275" s="12"/>
      <c r="C275" s="71" t="s">
        <v>555</v>
      </c>
      <c r="D275" s="71" t="s">
        <v>214</v>
      </c>
      <c r="E275" s="72" t="s">
        <v>556</v>
      </c>
      <c r="F275" s="73" t="s">
        <v>557</v>
      </c>
      <c r="G275" s="74" t="s">
        <v>394</v>
      </c>
      <c r="H275" s="75">
        <v>39.737000000000002</v>
      </c>
      <c r="I275" s="90">
        <v>48500</v>
      </c>
      <c r="J275" s="91">
        <f>ROUND(I275*H275,2)</f>
        <v>1927244.5</v>
      </c>
      <c r="K275" s="92"/>
      <c r="L275" s="12"/>
      <c r="M275" s="93" t="s">
        <v>1</v>
      </c>
      <c r="N275" s="94" t="s">
        <v>42</v>
      </c>
      <c r="P275" s="95">
        <f>O275*H275</f>
        <v>0</v>
      </c>
      <c r="Q275" s="95">
        <v>1.0593999999999999</v>
      </c>
      <c r="R275" s="95">
        <f>Q275*H275</f>
        <v>42.097377799999997</v>
      </c>
      <c r="S275" s="95">
        <v>0</v>
      </c>
      <c r="T275" s="99">
        <f>S275*H275</f>
        <v>0</v>
      </c>
      <c r="AR275" s="101" t="s">
        <v>218</v>
      </c>
      <c r="AT275" s="101" t="s">
        <v>214</v>
      </c>
      <c r="AU275" s="101" t="s">
        <v>87</v>
      </c>
      <c r="AY275" s="23" t="s">
        <v>211</v>
      </c>
      <c r="BE275" s="104">
        <f>IF(N275="základní",J275,0)</f>
        <v>1927244.5</v>
      </c>
      <c r="BF275" s="104">
        <f>IF(N275="snížená",J275,0)</f>
        <v>0</v>
      </c>
      <c r="BG275" s="104">
        <f>IF(N275="zákl. přenesená",J275,0)</f>
        <v>0</v>
      </c>
      <c r="BH275" s="104">
        <f>IF(N275="sníž. přenesená",J275,0)</f>
        <v>0</v>
      </c>
      <c r="BI275" s="104">
        <f>IF(N275="nulová",J275,0)</f>
        <v>0</v>
      </c>
      <c r="BJ275" s="23" t="s">
        <v>85</v>
      </c>
      <c r="BK275" s="104">
        <f>ROUND(I275*H275,2)</f>
        <v>1927244.5</v>
      </c>
      <c r="BL275" s="23" t="s">
        <v>218</v>
      </c>
      <c r="BM275" s="101" t="s">
        <v>558</v>
      </c>
    </row>
    <row r="276" spans="2:65" s="113" customFormat="1">
      <c r="B276" s="119"/>
      <c r="D276" s="105" t="s">
        <v>365</v>
      </c>
      <c r="E276" s="135" t="s">
        <v>1</v>
      </c>
      <c r="F276" s="120" t="s">
        <v>559</v>
      </c>
      <c r="H276" s="121">
        <v>27.077999999999999</v>
      </c>
      <c r="I276" s="128"/>
      <c r="L276" s="119"/>
      <c r="M276" s="129"/>
      <c r="T276" s="133"/>
      <c r="AT276" s="135" t="s">
        <v>365</v>
      </c>
      <c r="AU276" s="135" t="s">
        <v>87</v>
      </c>
      <c r="AV276" s="113" t="s">
        <v>87</v>
      </c>
      <c r="AW276" s="113" t="s">
        <v>33</v>
      </c>
      <c r="AX276" s="113" t="s">
        <v>77</v>
      </c>
      <c r="AY276" s="135" t="s">
        <v>211</v>
      </c>
    </row>
    <row r="277" spans="2:65" s="113" customFormat="1">
      <c r="B277" s="119"/>
      <c r="D277" s="105" t="s">
        <v>365</v>
      </c>
      <c r="E277" s="135" t="s">
        <v>1</v>
      </c>
      <c r="F277" s="120" t="s">
        <v>560</v>
      </c>
      <c r="H277" s="121">
        <v>8.4000000000000005E-2</v>
      </c>
      <c r="I277" s="128"/>
      <c r="L277" s="119"/>
      <c r="M277" s="129"/>
      <c r="T277" s="133"/>
      <c r="AT277" s="135" t="s">
        <v>365</v>
      </c>
      <c r="AU277" s="135" t="s">
        <v>87</v>
      </c>
      <c r="AV277" s="113" t="s">
        <v>87</v>
      </c>
      <c r="AW277" s="113" t="s">
        <v>33</v>
      </c>
      <c r="AX277" s="113" t="s">
        <v>77</v>
      </c>
      <c r="AY277" s="135" t="s">
        <v>211</v>
      </c>
    </row>
    <row r="278" spans="2:65" s="113" customFormat="1">
      <c r="B278" s="119"/>
      <c r="D278" s="105" t="s">
        <v>365</v>
      </c>
      <c r="E278" s="135" t="s">
        <v>1</v>
      </c>
      <c r="F278" s="120" t="s">
        <v>561</v>
      </c>
      <c r="H278" s="121">
        <v>2.0379999999999998</v>
      </c>
      <c r="I278" s="128"/>
      <c r="L278" s="119"/>
      <c r="M278" s="129"/>
      <c r="T278" s="133"/>
      <c r="AT278" s="135" t="s">
        <v>365</v>
      </c>
      <c r="AU278" s="135" t="s">
        <v>87</v>
      </c>
      <c r="AV278" s="113" t="s">
        <v>87</v>
      </c>
      <c r="AW278" s="113" t="s">
        <v>33</v>
      </c>
      <c r="AX278" s="113" t="s">
        <v>77</v>
      </c>
      <c r="AY278" s="135" t="s">
        <v>211</v>
      </c>
    </row>
    <row r="279" spans="2:65" s="113" customFormat="1">
      <c r="B279" s="119"/>
      <c r="D279" s="105" t="s">
        <v>365</v>
      </c>
      <c r="E279" s="135" t="s">
        <v>1</v>
      </c>
      <c r="F279" s="120" t="s">
        <v>562</v>
      </c>
      <c r="H279" s="121">
        <v>4.8970000000000002</v>
      </c>
      <c r="I279" s="128"/>
      <c r="L279" s="119"/>
      <c r="M279" s="129"/>
      <c r="T279" s="133"/>
      <c r="AT279" s="135" t="s">
        <v>365</v>
      </c>
      <c r="AU279" s="135" t="s">
        <v>87</v>
      </c>
      <c r="AV279" s="113" t="s">
        <v>87</v>
      </c>
      <c r="AW279" s="113" t="s">
        <v>33</v>
      </c>
      <c r="AX279" s="113" t="s">
        <v>77</v>
      </c>
      <c r="AY279" s="135" t="s">
        <v>211</v>
      </c>
    </row>
    <row r="280" spans="2:65" s="113" customFormat="1">
      <c r="B280" s="119"/>
      <c r="D280" s="105" t="s">
        <v>365</v>
      </c>
      <c r="E280" s="135" t="s">
        <v>1</v>
      </c>
      <c r="F280" s="120" t="s">
        <v>563</v>
      </c>
      <c r="H280" s="121">
        <v>5.6139999999999999</v>
      </c>
      <c r="I280" s="128"/>
      <c r="L280" s="119"/>
      <c r="M280" s="129"/>
      <c r="T280" s="133"/>
      <c r="AT280" s="135" t="s">
        <v>365</v>
      </c>
      <c r="AU280" s="135" t="s">
        <v>87</v>
      </c>
      <c r="AV280" s="113" t="s">
        <v>87</v>
      </c>
      <c r="AW280" s="113" t="s">
        <v>33</v>
      </c>
      <c r="AX280" s="113" t="s">
        <v>77</v>
      </c>
      <c r="AY280" s="135" t="s">
        <v>211</v>
      </c>
    </row>
    <row r="281" spans="2:65" s="113" customFormat="1">
      <c r="B281" s="119"/>
      <c r="D281" s="105" t="s">
        <v>365</v>
      </c>
      <c r="E281" s="135" t="s">
        <v>1</v>
      </c>
      <c r="F281" s="120" t="s">
        <v>564</v>
      </c>
      <c r="H281" s="121">
        <v>2.5999999999999999E-2</v>
      </c>
      <c r="I281" s="128"/>
      <c r="L281" s="119"/>
      <c r="M281" s="129"/>
      <c r="T281" s="133"/>
      <c r="AT281" s="135" t="s">
        <v>365</v>
      </c>
      <c r="AU281" s="135" t="s">
        <v>87</v>
      </c>
      <c r="AV281" s="113" t="s">
        <v>87</v>
      </c>
      <c r="AW281" s="113" t="s">
        <v>33</v>
      </c>
      <c r="AX281" s="113" t="s">
        <v>77</v>
      </c>
      <c r="AY281" s="135" t="s">
        <v>211</v>
      </c>
    </row>
    <row r="282" spans="2:65" s="137" customFormat="1">
      <c r="B282" s="141"/>
      <c r="D282" s="105" t="s">
        <v>365</v>
      </c>
      <c r="E282" s="142" t="s">
        <v>1</v>
      </c>
      <c r="F282" s="143" t="s">
        <v>368</v>
      </c>
      <c r="H282" s="144">
        <v>39.737000000000002</v>
      </c>
      <c r="I282" s="148"/>
      <c r="L282" s="141"/>
      <c r="M282" s="149"/>
      <c r="T282" s="151"/>
      <c r="AT282" s="142" t="s">
        <v>365</v>
      </c>
      <c r="AU282" s="142" t="s">
        <v>87</v>
      </c>
      <c r="AV282" s="137" t="s">
        <v>218</v>
      </c>
      <c r="AW282" s="137" t="s">
        <v>33</v>
      </c>
      <c r="AX282" s="137" t="s">
        <v>85</v>
      </c>
      <c r="AY282" s="142" t="s">
        <v>211</v>
      </c>
    </row>
    <row r="283" spans="2:65" s="31" customFormat="1" ht="23.1" customHeight="1">
      <c r="B283" s="67"/>
      <c r="D283" s="68" t="s">
        <v>76</v>
      </c>
      <c r="E283" s="70" t="s">
        <v>137</v>
      </c>
      <c r="F283" s="70" t="s">
        <v>565</v>
      </c>
      <c r="I283" s="85"/>
      <c r="J283" s="89">
        <f>BK283</f>
        <v>41373312.829999998</v>
      </c>
      <c r="L283" s="67"/>
      <c r="M283" s="87"/>
      <c r="P283" s="88">
        <f>SUM(P284:P587)</f>
        <v>0</v>
      </c>
      <c r="R283" s="88">
        <f>SUM(R284:R587)</f>
        <v>3619.5751045000002</v>
      </c>
      <c r="T283" s="98">
        <f>SUM(T284:T587)</f>
        <v>0</v>
      </c>
      <c r="AR283" s="68" t="s">
        <v>85</v>
      </c>
      <c r="AT283" s="100" t="s">
        <v>76</v>
      </c>
      <c r="AU283" s="100" t="s">
        <v>85</v>
      </c>
      <c r="AY283" s="68" t="s">
        <v>211</v>
      </c>
      <c r="BK283" s="103">
        <f>SUM(BK284:BK587)</f>
        <v>41373312.829999998</v>
      </c>
    </row>
    <row r="284" spans="2:65" s="1" customFormat="1" ht="33" customHeight="1">
      <c r="B284" s="12"/>
      <c r="C284" s="71" t="s">
        <v>566</v>
      </c>
      <c r="D284" s="71" t="s">
        <v>214</v>
      </c>
      <c r="E284" s="72" t="s">
        <v>567</v>
      </c>
      <c r="F284" s="73" t="s">
        <v>568</v>
      </c>
      <c r="G284" s="74" t="s">
        <v>279</v>
      </c>
      <c r="H284" s="75">
        <v>224.178</v>
      </c>
      <c r="I284" s="90">
        <v>10300</v>
      </c>
      <c r="J284" s="91">
        <f>ROUND(I284*H284,2)</f>
        <v>2309033.4</v>
      </c>
      <c r="K284" s="92"/>
      <c r="L284" s="12"/>
      <c r="M284" s="93" t="s">
        <v>1</v>
      </c>
      <c r="N284" s="94" t="s">
        <v>42</v>
      </c>
      <c r="P284" s="95">
        <f>O284*H284</f>
        <v>0</v>
      </c>
      <c r="Q284" s="95">
        <v>1.9539999999999998E-2</v>
      </c>
      <c r="R284" s="95">
        <f>Q284*H284</f>
        <v>4.38043812</v>
      </c>
      <c r="S284" s="95">
        <v>0</v>
      </c>
      <c r="T284" s="99">
        <f>S284*H284</f>
        <v>0</v>
      </c>
      <c r="AR284" s="101" t="s">
        <v>218</v>
      </c>
      <c r="AT284" s="101" t="s">
        <v>214</v>
      </c>
      <c r="AU284" s="101" t="s">
        <v>87</v>
      </c>
      <c r="AY284" s="23" t="s">
        <v>211</v>
      </c>
      <c r="BE284" s="104">
        <f>IF(N284="základní",J284,0)</f>
        <v>2309033.4</v>
      </c>
      <c r="BF284" s="104">
        <f>IF(N284="snížená",J284,0)</f>
        <v>0</v>
      </c>
      <c r="BG284" s="104">
        <f>IF(N284="zákl. přenesená",J284,0)</f>
        <v>0</v>
      </c>
      <c r="BH284" s="104">
        <f>IF(N284="sníž. přenesená",J284,0)</f>
        <v>0</v>
      </c>
      <c r="BI284" s="104">
        <f>IF(N284="nulová",J284,0)</f>
        <v>0</v>
      </c>
      <c r="BJ284" s="23" t="s">
        <v>85</v>
      </c>
      <c r="BK284" s="104">
        <f>ROUND(I284*H284,2)</f>
        <v>2309033.4</v>
      </c>
      <c r="BL284" s="23" t="s">
        <v>218</v>
      </c>
      <c r="BM284" s="101" t="s">
        <v>569</v>
      </c>
    </row>
    <row r="285" spans="2:65" s="1" customFormat="1" ht="21.75" customHeight="1">
      <c r="B285" s="12"/>
      <c r="C285" s="114" t="s">
        <v>570</v>
      </c>
      <c r="D285" s="114" t="s">
        <v>438</v>
      </c>
      <c r="E285" s="115" t="s">
        <v>571</v>
      </c>
      <c r="F285" s="116" t="s">
        <v>572</v>
      </c>
      <c r="G285" s="117" t="s">
        <v>394</v>
      </c>
      <c r="H285" s="118">
        <v>2.1589999999999998</v>
      </c>
      <c r="I285" s="122">
        <v>32100</v>
      </c>
      <c r="J285" s="123">
        <f>ROUND(I285*H285,2)</f>
        <v>69303.899999999994</v>
      </c>
      <c r="K285" s="124"/>
      <c r="L285" s="125"/>
      <c r="M285" s="126" t="s">
        <v>1</v>
      </c>
      <c r="N285" s="127" t="s">
        <v>42</v>
      </c>
      <c r="P285" s="95">
        <f>O285*H285</f>
        <v>0</v>
      </c>
      <c r="Q285" s="95">
        <v>1</v>
      </c>
      <c r="R285" s="95">
        <f>Q285*H285</f>
        <v>2.1589999999999998</v>
      </c>
      <c r="S285" s="95">
        <v>0</v>
      </c>
      <c r="T285" s="99">
        <f>S285*H285</f>
        <v>0</v>
      </c>
      <c r="AR285" s="101" t="s">
        <v>250</v>
      </c>
      <c r="AT285" s="101" t="s">
        <v>438</v>
      </c>
      <c r="AU285" s="101" t="s">
        <v>87</v>
      </c>
      <c r="AY285" s="23" t="s">
        <v>211</v>
      </c>
      <c r="BE285" s="104">
        <f>IF(N285="základní",J285,0)</f>
        <v>69303.899999999994</v>
      </c>
      <c r="BF285" s="104">
        <f>IF(N285="snížená",J285,0)</f>
        <v>0</v>
      </c>
      <c r="BG285" s="104">
        <f>IF(N285="zákl. přenesená",J285,0)</f>
        <v>0</v>
      </c>
      <c r="BH285" s="104">
        <f>IF(N285="sníž. přenesená",J285,0)</f>
        <v>0</v>
      </c>
      <c r="BI285" s="104">
        <f>IF(N285="nulová",J285,0)</f>
        <v>0</v>
      </c>
      <c r="BJ285" s="23" t="s">
        <v>85</v>
      </c>
      <c r="BK285" s="104">
        <f>ROUND(I285*H285,2)</f>
        <v>69303.899999999994</v>
      </c>
      <c r="BL285" s="23" t="s">
        <v>218</v>
      </c>
      <c r="BM285" s="101" t="s">
        <v>573</v>
      </c>
    </row>
    <row r="286" spans="2:65" s="1" customFormat="1" ht="19.2">
      <c r="B286" s="12"/>
      <c r="D286" s="105" t="s">
        <v>227</v>
      </c>
      <c r="F286" s="106" t="s">
        <v>574</v>
      </c>
      <c r="I286" s="107"/>
      <c r="L286" s="12"/>
      <c r="M286" s="108"/>
      <c r="T286" s="111"/>
      <c r="AT286" s="23" t="s">
        <v>227</v>
      </c>
      <c r="AU286" s="23" t="s">
        <v>87</v>
      </c>
    </row>
    <row r="287" spans="2:65" s="136" customFormat="1">
      <c r="B287" s="138"/>
      <c r="D287" s="105" t="s">
        <v>365</v>
      </c>
      <c r="E287" s="139" t="s">
        <v>1</v>
      </c>
      <c r="F287" s="140" t="s">
        <v>575</v>
      </c>
      <c r="H287" s="139" t="s">
        <v>1</v>
      </c>
      <c r="I287" s="146"/>
      <c r="L287" s="138"/>
      <c r="M287" s="147"/>
      <c r="T287" s="150"/>
      <c r="AT287" s="139" t="s">
        <v>365</v>
      </c>
      <c r="AU287" s="139" t="s">
        <v>87</v>
      </c>
      <c r="AV287" s="136" t="s">
        <v>85</v>
      </c>
      <c r="AW287" s="136" t="s">
        <v>33</v>
      </c>
      <c r="AX287" s="136" t="s">
        <v>77</v>
      </c>
      <c r="AY287" s="139" t="s">
        <v>211</v>
      </c>
    </row>
    <row r="288" spans="2:65" s="136" customFormat="1">
      <c r="B288" s="138"/>
      <c r="D288" s="105" t="s">
        <v>365</v>
      </c>
      <c r="E288" s="139" t="s">
        <v>1</v>
      </c>
      <c r="F288" s="140" t="s">
        <v>576</v>
      </c>
      <c r="H288" s="139" t="s">
        <v>1</v>
      </c>
      <c r="I288" s="146"/>
      <c r="L288" s="138"/>
      <c r="M288" s="147"/>
      <c r="T288" s="150"/>
      <c r="AT288" s="139" t="s">
        <v>365</v>
      </c>
      <c r="AU288" s="139" t="s">
        <v>87</v>
      </c>
      <c r="AV288" s="136" t="s">
        <v>85</v>
      </c>
      <c r="AW288" s="136" t="s">
        <v>33</v>
      </c>
      <c r="AX288" s="136" t="s">
        <v>77</v>
      </c>
      <c r="AY288" s="139" t="s">
        <v>211</v>
      </c>
    </row>
    <row r="289" spans="2:65" s="113" customFormat="1">
      <c r="B289" s="119"/>
      <c r="D289" s="105" t="s">
        <v>365</v>
      </c>
      <c r="E289" s="135" t="s">
        <v>1</v>
      </c>
      <c r="F289" s="120" t="s">
        <v>577</v>
      </c>
      <c r="H289" s="121">
        <v>2.1589999999999998</v>
      </c>
      <c r="I289" s="128"/>
      <c r="L289" s="119"/>
      <c r="M289" s="129"/>
      <c r="T289" s="133"/>
      <c r="AT289" s="135" t="s">
        <v>365</v>
      </c>
      <c r="AU289" s="135" t="s">
        <v>87</v>
      </c>
      <c r="AV289" s="113" t="s">
        <v>87</v>
      </c>
      <c r="AW289" s="113" t="s">
        <v>33</v>
      </c>
      <c r="AX289" s="113" t="s">
        <v>77</v>
      </c>
      <c r="AY289" s="135" t="s">
        <v>211</v>
      </c>
    </row>
    <row r="290" spans="2:65" s="137" customFormat="1">
      <c r="B290" s="141"/>
      <c r="D290" s="105" t="s">
        <v>365</v>
      </c>
      <c r="E290" s="142" t="s">
        <v>1</v>
      </c>
      <c r="F290" s="143" t="s">
        <v>368</v>
      </c>
      <c r="H290" s="144">
        <v>2.1589999999999998</v>
      </c>
      <c r="I290" s="148"/>
      <c r="L290" s="141"/>
      <c r="M290" s="149"/>
      <c r="T290" s="151"/>
      <c r="AT290" s="142" t="s">
        <v>365</v>
      </c>
      <c r="AU290" s="142" t="s">
        <v>87</v>
      </c>
      <c r="AV290" s="137" t="s">
        <v>218</v>
      </c>
      <c r="AW290" s="137" t="s">
        <v>33</v>
      </c>
      <c r="AX290" s="137" t="s">
        <v>85</v>
      </c>
      <c r="AY290" s="142" t="s">
        <v>211</v>
      </c>
    </row>
    <row r="291" spans="2:65" s="1" customFormat="1" ht="38.1" customHeight="1">
      <c r="B291" s="12"/>
      <c r="C291" s="71" t="s">
        <v>578</v>
      </c>
      <c r="D291" s="71" t="s">
        <v>214</v>
      </c>
      <c r="E291" s="72" t="s">
        <v>579</v>
      </c>
      <c r="F291" s="73" t="s">
        <v>580</v>
      </c>
      <c r="G291" s="74" t="s">
        <v>279</v>
      </c>
      <c r="H291" s="75">
        <v>105.069</v>
      </c>
      <c r="I291" s="90">
        <v>9380</v>
      </c>
      <c r="J291" s="91">
        <f>ROUND(I291*H291,2)</f>
        <v>985547.22</v>
      </c>
      <c r="K291" s="92"/>
      <c r="L291" s="12"/>
      <c r="M291" s="93" t="s">
        <v>1</v>
      </c>
      <c r="N291" s="94" t="s">
        <v>42</v>
      </c>
      <c r="P291" s="95">
        <f>O291*H291</f>
        <v>0</v>
      </c>
      <c r="Q291" s="95">
        <v>1.7090000000000001E-2</v>
      </c>
      <c r="R291" s="95">
        <f>Q291*H291</f>
        <v>1.79562921</v>
      </c>
      <c r="S291" s="95">
        <v>0</v>
      </c>
      <c r="T291" s="99">
        <f>S291*H291</f>
        <v>0</v>
      </c>
      <c r="AR291" s="101" t="s">
        <v>218</v>
      </c>
      <c r="AT291" s="101" t="s">
        <v>214</v>
      </c>
      <c r="AU291" s="101" t="s">
        <v>87</v>
      </c>
      <c r="AY291" s="23" t="s">
        <v>211</v>
      </c>
      <c r="BE291" s="104">
        <f>IF(N291="základní",J291,0)</f>
        <v>985547.22</v>
      </c>
      <c r="BF291" s="104">
        <f>IF(N291="snížená",J291,0)</f>
        <v>0</v>
      </c>
      <c r="BG291" s="104">
        <f>IF(N291="zákl. přenesená",J291,0)</f>
        <v>0</v>
      </c>
      <c r="BH291" s="104">
        <f>IF(N291="sníž. přenesená",J291,0)</f>
        <v>0</v>
      </c>
      <c r="BI291" s="104">
        <f>IF(N291="nulová",J291,0)</f>
        <v>0</v>
      </c>
      <c r="BJ291" s="23" t="s">
        <v>85</v>
      </c>
      <c r="BK291" s="104">
        <f>ROUND(I291*H291,2)</f>
        <v>985547.22</v>
      </c>
      <c r="BL291" s="23" t="s">
        <v>218</v>
      </c>
      <c r="BM291" s="101" t="s">
        <v>581</v>
      </c>
    </row>
    <row r="292" spans="2:65" s="1" customFormat="1" ht="24.15" customHeight="1">
      <c r="B292" s="12"/>
      <c r="C292" s="114" t="s">
        <v>582</v>
      </c>
      <c r="D292" s="114" t="s">
        <v>438</v>
      </c>
      <c r="E292" s="115" t="s">
        <v>583</v>
      </c>
      <c r="F292" s="116" t="s">
        <v>584</v>
      </c>
      <c r="G292" s="117" t="s">
        <v>394</v>
      </c>
      <c r="H292" s="118">
        <v>1.681</v>
      </c>
      <c r="I292" s="122">
        <v>24500</v>
      </c>
      <c r="J292" s="123">
        <f>ROUND(I292*H292,2)</f>
        <v>41184.5</v>
      </c>
      <c r="K292" s="124"/>
      <c r="L292" s="125"/>
      <c r="M292" s="126" t="s">
        <v>1</v>
      </c>
      <c r="N292" s="127" t="s">
        <v>42</v>
      </c>
      <c r="P292" s="95">
        <f>O292*H292</f>
        <v>0</v>
      </c>
      <c r="Q292" s="95">
        <v>1</v>
      </c>
      <c r="R292" s="95">
        <f>Q292*H292</f>
        <v>1.681</v>
      </c>
      <c r="S292" s="95">
        <v>0</v>
      </c>
      <c r="T292" s="99">
        <f>S292*H292</f>
        <v>0</v>
      </c>
      <c r="AR292" s="101" t="s">
        <v>250</v>
      </c>
      <c r="AT292" s="101" t="s">
        <v>438</v>
      </c>
      <c r="AU292" s="101" t="s">
        <v>87</v>
      </c>
      <c r="AY292" s="23" t="s">
        <v>211</v>
      </c>
      <c r="BE292" s="104">
        <f>IF(N292="základní",J292,0)</f>
        <v>41184.5</v>
      </c>
      <c r="BF292" s="104">
        <f>IF(N292="snížená",J292,0)</f>
        <v>0</v>
      </c>
      <c r="BG292" s="104">
        <f>IF(N292="zákl. přenesená",J292,0)</f>
        <v>0</v>
      </c>
      <c r="BH292" s="104">
        <f>IF(N292="sníž. přenesená",J292,0)</f>
        <v>0</v>
      </c>
      <c r="BI292" s="104">
        <f>IF(N292="nulová",J292,0)</f>
        <v>0</v>
      </c>
      <c r="BJ292" s="23" t="s">
        <v>85</v>
      </c>
      <c r="BK292" s="104">
        <f>ROUND(I292*H292,2)</f>
        <v>41184.5</v>
      </c>
      <c r="BL292" s="23" t="s">
        <v>218</v>
      </c>
      <c r="BM292" s="101" t="s">
        <v>585</v>
      </c>
    </row>
    <row r="293" spans="2:65" s="136" customFormat="1">
      <c r="B293" s="138"/>
      <c r="D293" s="105" t="s">
        <v>365</v>
      </c>
      <c r="E293" s="139" t="s">
        <v>1</v>
      </c>
      <c r="F293" s="140" t="s">
        <v>586</v>
      </c>
      <c r="H293" s="139" t="s">
        <v>1</v>
      </c>
      <c r="I293" s="146"/>
      <c r="L293" s="138"/>
      <c r="M293" s="147"/>
      <c r="T293" s="150"/>
      <c r="AT293" s="139" t="s">
        <v>365</v>
      </c>
      <c r="AU293" s="139" t="s">
        <v>87</v>
      </c>
      <c r="AV293" s="136" t="s">
        <v>85</v>
      </c>
      <c r="AW293" s="136" t="s">
        <v>33</v>
      </c>
      <c r="AX293" s="136" t="s">
        <v>77</v>
      </c>
      <c r="AY293" s="139" t="s">
        <v>211</v>
      </c>
    </row>
    <row r="294" spans="2:65" s="136" customFormat="1">
      <c r="B294" s="138"/>
      <c r="D294" s="105" t="s">
        <v>365</v>
      </c>
      <c r="E294" s="139" t="s">
        <v>1</v>
      </c>
      <c r="F294" s="140" t="s">
        <v>576</v>
      </c>
      <c r="H294" s="139" t="s">
        <v>1</v>
      </c>
      <c r="I294" s="146"/>
      <c r="L294" s="138"/>
      <c r="M294" s="147"/>
      <c r="T294" s="150"/>
      <c r="AT294" s="139" t="s">
        <v>365</v>
      </c>
      <c r="AU294" s="139" t="s">
        <v>87</v>
      </c>
      <c r="AV294" s="136" t="s">
        <v>85</v>
      </c>
      <c r="AW294" s="136" t="s">
        <v>33</v>
      </c>
      <c r="AX294" s="136" t="s">
        <v>77</v>
      </c>
      <c r="AY294" s="139" t="s">
        <v>211</v>
      </c>
    </row>
    <row r="295" spans="2:65" s="113" customFormat="1">
      <c r="B295" s="119"/>
      <c r="D295" s="105" t="s">
        <v>365</v>
      </c>
      <c r="E295" s="135" t="s">
        <v>1</v>
      </c>
      <c r="F295" s="120" t="s">
        <v>587</v>
      </c>
      <c r="H295" s="121">
        <v>1.681</v>
      </c>
      <c r="I295" s="128"/>
      <c r="L295" s="119"/>
      <c r="M295" s="129"/>
      <c r="T295" s="133"/>
      <c r="AT295" s="135" t="s">
        <v>365</v>
      </c>
      <c r="AU295" s="135" t="s">
        <v>87</v>
      </c>
      <c r="AV295" s="113" t="s">
        <v>87</v>
      </c>
      <c r="AW295" s="113" t="s">
        <v>33</v>
      </c>
      <c r="AX295" s="113" t="s">
        <v>77</v>
      </c>
      <c r="AY295" s="135" t="s">
        <v>211</v>
      </c>
    </row>
    <row r="296" spans="2:65" s="137" customFormat="1">
      <c r="B296" s="141"/>
      <c r="D296" s="105" t="s">
        <v>365</v>
      </c>
      <c r="E296" s="142" t="s">
        <v>1</v>
      </c>
      <c r="F296" s="143" t="s">
        <v>368</v>
      </c>
      <c r="H296" s="144">
        <v>1.681</v>
      </c>
      <c r="I296" s="148"/>
      <c r="L296" s="141"/>
      <c r="M296" s="149"/>
      <c r="T296" s="151"/>
      <c r="AT296" s="142" t="s">
        <v>365</v>
      </c>
      <c r="AU296" s="142" t="s">
        <v>87</v>
      </c>
      <c r="AV296" s="137" t="s">
        <v>218</v>
      </c>
      <c r="AW296" s="137" t="s">
        <v>33</v>
      </c>
      <c r="AX296" s="137" t="s">
        <v>85</v>
      </c>
      <c r="AY296" s="142" t="s">
        <v>211</v>
      </c>
    </row>
    <row r="297" spans="2:65" s="1" customFormat="1" ht="24.15" customHeight="1">
      <c r="B297" s="12"/>
      <c r="C297" s="71" t="s">
        <v>588</v>
      </c>
      <c r="D297" s="71" t="s">
        <v>214</v>
      </c>
      <c r="E297" s="72" t="s">
        <v>589</v>
      </c>
      <c r="F297" s="73" t="s">
        <v>590</v>
      </c>
      <c r="G297" s="74" t="s">
        <v>357</v>
      </c>
      <c r="H297" s="75">
        <v>0.45400000000000001</v>
      </c>
      <c r="I297" s="90">
        <v>5600</v>
      </c>
      <c r="J297" s="91">
        <f>ROUND(I297*H297,2)</f>
        <v>2542.4</v>
      </c>
      <c r="K297" s="92"/>
      <c r="L297" s="12"/>
      <c r="M297" s="93" t="s">
        <v>1</v>
      </c>
      <c r="N297" s="94" t="s">
        <v>42</v>
      </c>
      <c r="P297" s="95">
        <f>O297*H297</f>
        <v>0</v>
      </c>
      <c r="Q297" s="95">
        <v>2.45329</v>
      </c>
      <c r="R297" s="95">
        <f>Q297*H297</f>
        <v>1.11379366</v>
      </c>
      <c r="S297" s="95">
        <v>0</v>
      </c>
      <c r="T297" s="99">
        <f>S297*H297</f>
        <v>0</v>
      </c>
      <c r="AR297" s="101" t="s">
        <v>218</v>
      </c>
      <c r="AT297" s="101" t="s">
        <v>214</v>
      </c>
      <c r="AU297" s="101" t="s">
        <v>87</v>
      </c>
      <c r="AY297" s="23" t="s">
        <v>211</v>
      </c>
      <c r="BE297" s="104">
        <f>IF(N297="základní",J297,0)</f>
        <v>2542.4</v>
      </c>
      <c r="BF297" s="104">
        <f>IF(N297="snížená",J297,0)</f>
        <v>0</v>
      </c>
      <c r="BG297" s="104">
        <f>IF(N297="zákl. přenesená",J297,0)</f>
        <v>0</v>
      </c>
      <c r="BH297" s="104">
        <f>IF(N297="sníž. přenesená",J297,0)</f>
        <v>0</v>
      </c>
      <c r="BI297" s="104">
        <f>IF(N297="nulová",J297,0)</f>
        <v>0</v>
      </c>
      <c r="BJ297" s="23" t="s">
        <v>85</v>
      </c>
      <c r="BK297" s="104">
        <f>ROUND(I297*H297,2)</f>
        <v>2542.4</v>
      </c>
      <c r="BL297" s="23" t="s">
        <v>218</v>
      </c>
      <c r="BM297" s="101" t="s">
        <v>591</v>
      </c>
    </row>
    <row r="298" spans="2:65" s="1" customFormat="1" ht="19.2">
      <c r="B298" s="12"/>
      <c r="D298" s="105" t="s">
        <v>227</v>
      </c>
      <c r="F298" s="106" t="s">
        <v>479</v>
      </c>
      <c r="I298" s="107"/>
      <c r="L298" s="12"/>
      <c r="M298" s="108"/>
      <c r="T298" s="111"/>
      <c r="AT298" s="23" t="s">
        <v>227</v>
      </c>
      <c r="AU298" s="23" t="s">
        <v>87</v>
      </c>
    </row>
    <row r="299" spans="2:65" s="113" customFormat="1">
      <c r="B299" s="119"/>
      <c r="D299" s="105" t="s">
        <v>365</v>
      </c>
      <c r="E299" s="135" t="s">
        <v>1</v>
      </c>
      <c r="F299" s="120" t="s">
        <v>592</v>
      </c>
      <c r="H299" s="121">
        <v>0.45400000000000001</v>
      </c>
      <c r="I299" s="128"/>
      <c r="L299" s="119"/>
      <c r="M299" s="129"/>
      <c r="T299" s="133"/>
      <c r="AT299" s="135" t="s">
        <v>365</v>
      </c>
      <c r="AU299" s="135" t="s">
        <v>87</v>
      </c>
      <c r="AV299" s="113" t="s">
        <v>87</v>
      </c>
      <c r="AW299" s="113" t="s">
        <v>33</v>
      </c>
      <c r="AX299" s="113" t="s">
        <v>85</v>
      </c>
      <c r="AY299" s="135" t="s">
        <v>211</v>
      </c>
    </row>
    <row r="300" spans="2:65" s="1" customFormat="1" ht="16.5" customHeight="1">
      <c r="B300" s="12"/>
      <c r="C300" s="71" t="s">
        <v>593</v>
      </c>
      <c r="D300" s="71" t="s">
        <v>214</v>
      </c>
      <c r="E300" s="72" t="s">
        <v>594</v>
      </c>
      <c r="F300" s="73" t="s">
        <v>595</v>
      </c>
      <c r="G300" s="74" t="s">
        <v>357</v>
      </c>
      <c r="H300" s="75">
        <v>6.5810000000000004</v>
      </c>
      <c r="I300" s="90">
        <v>5400</v>
      </c>
      <c r="J300" s="91">
        <f>ROUND(I300*H300,2)</f>
        <v>35537.4</v>
      </c>
      <c r="K300" s="92"/>
      <c r="L300" s="12"/>
      <c r="M300" s="93" t="s">
        <v>1</v>
      </c>
      <c r="N300" s="94" t="s">
        <v>42</v>
      </c>
      <c r="P300" s="95">
        <f>O300*H300</f>
        <v>0</v>
      </c>
      <c r="Q300" s="95">
        <v>2.45329</v>
      </c>
      <c r="R300" s="95">
        <f>Q300*H300</f>
        <v>16.145101489999998</v>
      </c>
      <c r="S300" s="95">
        <v>0</v>
      </c>
      <c r="T300" s="99">
        <f>S300*H300</f>
        <v>0</v>
      </c>
      <c r="AR300" s="101" t="s">
        <v>218</v>
      </c>
      <c r="AT300" s="101" t="s">
        <v>214</v>
      </c>
      <c r="AU300" s="101" t="s">
        <v>87</v>
      </c>
      <c r="AY300" s="23" t="s">
        <v>211</v>
      </c>
      <c r="BE300" s="104">
        <f>IF(N300="základní",J300,0)</f>
        <v>35537.4</v>
      </c>
      <c r="BF300" s="104">
        <f>IF(N300="snížená",J300,0)</f>
        <v>0</v>
      </c>
      <c r="BG300" s="104">
        <f>IF(N300="zákl. přenesená",J300,0)</f>
        <v>0</v>
      </c>
      <c r="BH300" s="104">
        <f>IF(N300="sníž. přenesená",J300,0)</f>
        <v>0</v>
      </c>
      <c r="BI300" s="104">
        <f>IF(N300="nulová",J300,0)</f>
        <v>0</v>
      </c>
      <c r="BJ300" s="23" t="s">
        <v>85</v>
      </c>
      <c r="BK300" s="104">
        <f>ROUND(I300*H300,2)</f>
        <v>35537.4</v>
      </c>
      <c r="BL300" s="23" t="s">
        <v>218</v>
      </c>
      <c r="BM300" s="101" t="s">
        <v>596</v>
      </c>
    </row>
    <row r="301" spans="2:65" s="1" customFormat="1" ht="19.2">
      <c r="B301" s="12"/>
      <c r="D301" s="105" t="s">
        <v>227</v>
      </c>
      <c r="F301" s="106" t="s">
        <v>479</v>
      </c>
      <c r="I301" s="107"/>
      <c r="L301" s="12"/>
      <c r="M301" s="108"/>
      <c r="T301" s="111"/>
      <c r="AT301" s="23" t="s">
        <v>227</v>
      </c>
      <c r="AU301" s="23" t="s">
        <v>87</v>
      </c>
    </row>
    <row r="302" spans="2:65" s="113" customFormat="1">
      <c r="B302" s="119"/>
      <c r="D302" s="105" t="s">
        <v>365</v>
      </c>
      <c r="E302" s="135" t="s">
        <v>1</v>
      </c>
      <c r="F302" s="120" t="s">
        <v>597</v>
      </c>
      <c r="H302" s="121">
        <v>6.5810000000000004</v>
      </c>
      <c r="I302" s="128"/>
      <c r="L302" s="119"/>
      <c r="M302" s="129"/>
      <c r="T302" s="133"/>
      <c r="AT302" s="135" t="s">
        <v>365</v>
      </c>
      <c r="AU302" s="135" t="s">
        <v>87</v>
      </c>
      <c r="AV302" s="113" t="s">
        <v>87</v>
      </c>
      <c r="AW302" s="113" t="s">
        <v>33</v>
      </c>
      <c r="AX302" s="113" t="s">
        <v>85</v>
      </c>
      <c r="AY302" s="135" t="s">
        <v>211</v>
      </c>
    </row>
    <row r="303" spans="2:65" s="1" customFormat="1" ht="24.15" customHeight="1">
      <c r="B303" s="12"/>
      <c r="C303" s="71" t="s">
        <v>598</v>
      </c>
      <c r="D303" s="71" t="s">
        <v>214</v>
      </c>
      <c r="E303" s="72" t="s">
        <v>599</v>
      </c>
      <c r="F303" s="73" t="s">
        <v>600</v>
      </c>
      <c r="G303" s="74" t="s">
        <v>279</v>
      </c>
      <c r="H303" s="75">
        <v>68.040000000000006</v>
      </c>
      <c r="I303" s="90">
        <v>1000</v>
      </c>
      <c r="J303" s="91">
        <f>ROUND(I303*H303,2)</f>
        <v>68040</v>
      </c>
      <c r="K303" s="92"/>
      <c r="L303" s="12"/>
      <c r="M303" s="93" t="s">
        <v>1</v>
      </c>
      <c r="N303" s="94" t="s">
        <v>42</v>
      </c>
      <c r="P303" s="95">
        <f>O303*H303</f>
        <v>0</v>
      </c>
      <c r="Q303" s="95">
        <v>2.2000000000000001E-3</v>
      </c>
      <c r="R303" s="95">
        <f>Q303*H303</f>
        <v>0.14968799999999999</v>
      </c>
      <c r="S303" s="95">
        <v>0</v>
      </c>
      <c r="T303" s="99">
        <f>S303*H303</f>
        <v>0</v>
      </c>
      <c r="AR303" s="101" t="s">
        <v>218</v>
      </c>
      <c r="AT303" s="101" t="s">
        <v>214</v>
      </c>
      <c r="AU303" s="101" t="s">
        <v>87</v>
      </c>
      <c r="AY303" s="23" t="s">
        <v>211</v>
      </c>
      <c r="BE303" s="104">
        <f>IF(N303="základní",J303,0)</f>
        <v>68040</v>
      </c>
      <c r="BF303" s="104">
        <f>IF(N303="snížená",J303,0)</f>
        <v>0</v>
      </c>
      <c r="BG303" s="104">
        <f>IF(N303="zákl. přenesená",J303,0)</f>
        <v>0</v>
      </c>
      <c r="BH303" s="104">
        <f>IF(N303="sníž. přenesená",J303,0)</f>
        <v>0</v>
      </c>
      <c r="BI303" s="104">
        <f>IF(N303="nulová",J303,0)</f>
        <v>0</v>
      </c>
      <c r="BJ303" s="23" t="s">
        <v>85</v>
      </c>
      <c r="BK303" s="104">
        <f>ROUND(I303*H303,2)</f>
        <v>68040</v>
      </c>
      <c r="BL303" s="23" t="s">
        <v>218</v>
      </c>
      <c r="BM303" s="101" t="s">
        <v>601</v>
      </c>
    </row>
    <row r="304" spans="2:65" s="113" customFormat="1">
      <c r="B304" s="119"/>
      <c r="D304" s="105" t="s">
        <v>365</v>
      </c>
      <c r="E304" s="135" t="s">
        <v>1</v>
      </c>
      <c r="F304" s="120" t="s">
        <v>602</v>
      </c>
      <c r="H304" s="121">
        <v>63.503999999999998</v>
      </c>
      <c r="I304" s="128"/>
      <c r="L304" s="119"/>
      <c r="M304" s="129"/>
      <c r="T304" s="133"/>
      <c r="AT304" s="135" t="s">
        <v>365</v>
      </c>
      <c r="AU304" s="135" t="s">
        <v>87</v>
      </c>
      <c r="AV304" s="113" t="s">
        <v>87</v>
      </c>
      <c r="AW304" s="113" t="s">
        <v>33</v>
      </c>
      <c r="AX304" s="113" t="s">
        <v>77</v>
      </c>
      <c r="AY304" s="135" t="s">
        <v>211</v>
      </c>
    </row>
    <row r="305" spans="2:65" s="113" customFormat="1">
      <c r="B305" s="119"/>
      <c r="D305" s="105" t="s">
        <v>365</v>
      </c>
      <c r="E305" s="135" t="s">
        <v>1</v>
      </c>
      <c r="F305" s="120" t="s">
        <v>603</v>
      </c>
      <c r="H305" s="121">
        <v>4.5359999999999996</v>
      </c>
      <c r="I305" s="128"/>
      <c r="L305" s="119"/>
      <c r="M305" s="129"/>
      <c r="T305" s="133"/>
      <c r="AT305" s="135" t="s">
        <v>365</v>
      </c>
      <c r="AU305" s="135" t="s">
        <v>87</v>
      </c>
      <c r="AV305" s="113" t="s">
        <v>87</v>
      </c>
      <c r="AW305" s="113" t="s">
        <v>33</v>
      </c>
      <c r="AX305" s="113" t="s">
        <v>77</v>
      </c>
      <c r="AY305" s="135" t="s">
        <v>211</v>
      </c>
    </row>
    <row r="306" spans="2:65" s="137" customFormat="1">
      <c r="B306" s="141"/>
      <c r="D306" s="105" t="s">
        <v>365</v>
      </c>
      <c r="E306" s="142" t="s">
        <v>1</v>
      </c>
      <c r="F306" s="143" t="s">
        <v>368</v>
      </c>
      <c r="H306" s="144">
        <v>68.040000000000006</v>
      </c>
      <c r="I306" s="148"/>
      <c r="L306" s="141"/>
      <c r="M306" s="149"/>
      <c r="T306" s="151"/>
      <c r="AT306" s="142" t="s">
        <v>365</v>
      </c>
      <c r="AU306" s="142" t="s">
        <v>87</v>
      </c>
      <c r="AV306" s="137" t="s">
        <v>218</v>
      </c>
      <c r="AW306" s="137" t="s">
        <v>33</v>
      </c>
      <c r="AX306" s="137" t="s">
        <v>85</v>
      </c>
      <c r="AY306" s="142" t="s">
        <v>211</v>
      </c>
    </row>
    <row r="307" spans="2:65" s="1" customFormat="1" ht="24.15" customHeight="1">
      <c r="B307" s="12"/>
      <c r="C307" s="71" t="s">
        <v>604</v>
      </c>
      <c r="D307" s="71" t="s">
        <v>214</v>
      </c>
      <c r="E307" s="72" t="s">
        <v>605</v>
      </c>
      <c r="F307" s="73" t="s">
        <v>606</v>
      </c>
      <c r="G307" s="74" t="s">
        <v>279</v>
      </c>
      <c r="H307" s="75">
        <v>68.040000000000006</v>
      </c>
      <c r="I307" s="90">
        <v>310</v>
      </c>
      <c r="J307" s="91">
        <f>ROUND(I307*H307,2)</f>
        <v>21092.400000000001</v>
      </c>
      <c r="K307" s="92"/>
      <c r="L307" s="12"/>
      <c r="M307" s="93" t="s">
        <v>1</v>
      </c>
      <c r="N307" s="94" t="s">
        <v>42</v>
      </c>
      <c r="P307" s="95">
        <f>O307*H307</f>
        <v>0</v>
      </c>
      <c r="Q307" s="95">
        <v>0</v>
      </c>
      <c r="R307" s="95">
        <f>Q307*H307</f>
        <v>0</v>
      </c>
      <c r="S307" s="95">
        <v>0</v>
      </c>
      <c r="T307" s="99">
        <f>S307*H307</f>
        <v>0</v>
      </c>
      <c r="AR307" s="101" t="s">
        <v>218</v>
      </c>
      <c r="AT307" s="101" t="s">
        <v>214</v>
      </c>
      <c r="AU307" s="101" t="s">
        <v>87</v>
      </c>
      <c r="AY307" s="23" t="s">
        <v>211</v>
      </c>
      <c r="BE307" s="104">
        <f>IF(N307="základní",J307,0)</f>
        <v>21092.400000000001</v>
      </c>
      <c r="BF307" s="104">
        <f>IF(N307="snížená",J307,0)</f>
        <v>0</v>
      </c>
      <c r="BG307" s="104">
        <f>IF(N307="zákl. přenesená",J307,0)</f>
        <v>0</v>
      </c>
      <c r="BH307" s="104">
        <f>IF(N307="sníž. přenesená",J307,0)</f>
        <v>0</v>
      </c>
      <c r="BI307" s="104">
        <f>IF(N307="nulová",J307,0)</f>
        <v>0</v>
      </c>
      <c r="BJ307" s="23" t="s">
        <v>85</v>
      </c>
      <c r="BK307" s="104">
        <f>ROUND(I307*H307,2)</f>
        <v>21092.400000000001</v>
      </c>
      <c r="BL307" s="23" t="s">
        <v>218</v>
      </c>
      <c r="BM307" s="101" t="s">
        <v>607</v>
      </c>
    </row>
    <row r="308" spans="2:65" s="113" customFormat="1">
      <c r="B308" s="119"/>
      <c r="D308" s="105" t="s">
        <v>365</v>
      </c>
      <c r="E308" s="135" t="s">
        <v>1</v>
      </c>
      <c r="F308" s="120" t="s">
        <v>602</v>
      </c>
      <c r="H308" s="121">
        <v>63.503999999999998</v>
      </c>
      <c r="I308" s="128"/>
      <c r="L308" s="119"/>
      <c r="M308" s="129"/>
      <c r="T308" s="133"/>
      <c r="AT308" s="135" t="s">
        <v>365</v>
      </c>
      <c r="AU308" s="135" t="s">
        <v>87</v>
      </c>
      <c r="AV308" s="113" t="s">
        <v>87</v>
      </c>
      <c r="AW308" s="113" t="s">
        <v>33</v>
      </c>
      <c r="AX308" s="113" t="s">
        <v>77</v>
      </c>
      <c r="AY308" s="135" t="s">
        <v>211</v>
      </c>
    </row>
    <row r="309" spans="2:65" s="113" customFormat="1">
      <c r="B309" s="119"/>
      <c r="D309" s="105" t="s">
        <v>365</v>
      </c>
      <c r="E309" s="135" t="s">
        <v>1</v>
      </c>
      <c r="F309" s="120" t="s">
        <v>603</v>
      </c>
      <c r="H309" s="121">
        <v>4.5359999999999996</v>
      </c>
      <c r="I309" s="128"/>
      <c r="L309" s="119"/>
      <c r="M309" s="129"/>
      <c r="T309" s="133"/>
      <c r="AT309" s="135" t="s">
        <v>365</v>
      </c>
      <c r="AU309" s="135" t="s">
        <v>87</v>
      </c>
      <c r="AV309" s="113" t="s">
        <v>87</v>
      </c>
      <c r="AW309" s="113" t="s">
        <v>33</v>
      </c>
      <c r="AX309" s="113" t="s">
        <v>77</v>
      </c>
      <c r="AY309" s="135" t="s">
        <v>211</v>
      </c>
    </row>
    <row r="310" spans="2:65" s="137" customFormat="1">
      <c r="B310" s="141"/>
      <c r="D310" s="105" t="s">
        <v>365</v>
      </c>
      <c r="E310" s="142" t="s">
        <v>1</v>
      </c>
      <c r="F310" s="143" t="s">
        <v>368</v>
      </c>
      <c r="H310" s="144">
        <v>68.040000000000006</v>
      </c>
      <c r="I310" s="148"/>
      <c r="L310" s="141"/>
      <c r="M310" s="149"/>
      <c r="T310" s="151"/>
      <c r="AT310" s="142" t="s">
        <v>365</v>
      </c>
      <c r="AU310" s="142" t="s">
        <v>87</v>
      </c>
      <c r="AV310" s="137" t="s">
        <v>218</v>
      </c>
      <c r="AW310" s="137" t="s">
        <v>33</v>
      </c>
      <c r="AX310" s="137" t="s">
        <v>85</v>
      </c>
      <c r="AY310" s="142" t="s">
        <v>211</v>
      </c>
    </row>
    <row r="311" spans="2:65" s="1" customFormat="1" ht="21.75" customHeight="1">
      <c r="B311" s="12"/>
      <c r="C311" s="71" t="s">
        <v>608</v>
      </c>
      <c r="D311" s="71" t="s">
        <v>214</v>
      </c>
      <c r="E311" s="72" t="s">
        <v>609</v>
      </c>
      <c r="F311" s="73" t="s">
        <v>610</v>
      </c>
      <c r="G311" s="74" t="s">
        <v>394</v>
      </c>
      <c r="H311" s="75">
        <v>2.11</v>
      </c>
      <c r="I311" s="90">
        <v>48500</v>
      </c>
      <c r="J311" s="91">
        <f>ROUND(I311*H311,2)</f>
        <v>102335</v>
      </c>
      <c r="K311" s="92"/>
      <c r="L311" s="12"/>
      <c r="M311" s="93" t="s">
        <v>1</v>
      </c>
      <c r="N311" s="94" t="s">
        <v>42</v>
      </c>
      <c r="P311" s="95">
        <f>O311*H311</f>
        <v>0</v>
      </c>
      <c r="Q311" s="95">
        <v>1.05237</v>
      </c>
      <c r="R311" s="95">
        <f>Q311*H311</f>
        <v>2.2205007000000001</v>
      </c>
      <c r="S311" s="95">
        <v>0</v>
      </c>
      <c r="T311" s="99">
        <f>S311*H311</f>
        <v>0</v>
      </c>
      <c r="AR311" s="101" t="s">
        <v>218</v>
      </c>
      <c r="AT311" s="101" t="s">
        <v>214</v>
      </c>
      <c r="AU311" s="101" t="s">
        <v>87</v>
      </c>
      <c r="AY311" s="23" t="s">
        <v>211</v>
      </c>
      <c r="BE311" s="104">
        <f>IF(N311="základní",J311,0)</f>
        <v>102335</v>
      </c>
      <c r="BF311" s="104">
        <f>IF(N311="snížená",J311,0)</f>
        <v>0</v>
      </c>
      <c r="BG311" s="104">
        <f>IF(N311="zákl. přenesená",J311,0)</f>
        <v>0</v>
      </c>
      <c r="BH311" s="104">
        <f>IF(N311="sníž. přenesená",J311,0)</f>
        <v>0</v>
      </c>
      <c r="BI311" s="104">
        <f>IF(N311="nulová",J311,0)</f>
        <v>0</v>
      </c>
      <c r="BJ311" s="23" t="s">
        <v>85</v>
      </c>
      <c r="BK311" s="104">
        <f>ROUND(I311*H311,2)</f>
        <v>102335</v>
      </c>
      <c r="BL311" s="23" t="s">
        <v>218</v>
      </c>
      <c r="BM311" s="101" t="s">
        <v>611</v>
      </c>
    </row>
    <row r="312" spans="2:65" s="113" customFormat="1">
      <c r="B312" s="119"/>
      <c r="D312" s="105" t="s">
        <v>365</v>
      </c>
      <c r="E312" s="135" t="s">
        <v>1</v>
      </c>
      <c r="F312" s="120" t="s">
        <v>612</v>
      </c>
      <c r="H312" s="121">
        <v>1.974</v>
      </c>
      <c r="I312" s="128"/>
      <c r="L312" s="119"/>
      <c r="M312" s="129"/>
      <c r="T312" s="133"/>
      <c r="AT312" s="135" t="s">
        <v>365</v>
      </c>
      <c r="AU312" s="135" t="s">
        <v>87</v>
      </c>
      <c r="AV312" s="113" t="s">
        <v>87</v>
      </c>
      <c r="AW312" s="113" t="s">
        <v>33</v>
      </c>
      <c r="AX312" s="113" t="s">
        <v>77</v>
      </c>
      <c r="AY312" s="135" t="s">
        <v>211</v>
      </c>
    </row>
    <row r="313" spans="2:65" s="113" customFormat="1">
      <c r="B313" s="119"/>
      <c r="D313" s="105" t="s">
        <v>365</v>
      </c>
      <c r="E313" s="135" t="s">
        <v>1</v>
      </c>
      <c r="F313" s="120" t="s">
        <v>613</v>
      </c>
      <c r="H313" s="121">
        <v>0.13600000000000001</v>
      </c>
      <c r="I313" s="128"/>
      <c r="L313" s="119"/>
      <c r="M313" s="129"/>
      <c r="T313" s="133"/>
      <c r="AT313" s="135" t="s">
        <v>365</v>
      </c>
      <c r="AU313" s="135" t="s">
        <v>87</v>
      </c>
      <c r="AV313" s="113" t="s">
        <v>87</v>
      </c>
      <c r="AW313" s="113" t="s">
        <v>33</v>
      </c>
      <c r="AX313" s="113" t="s">
        <v>77</v>
      </c>
      <c r="AY313" s="135" t="s">
        <v>211</v>
      </c>
    </row>
    <row r="314" spans="2:65" s="137" customFormat="1">
      <c r="B314" s="141"/>
      <c r="D314" s="105" t="s">
        <v>365</v>
      </c>
      <c r="E314" s="142" t="s">
        <v>1</v>
      </c>
      <c r="F314" s="143" t="s">
        <v>368</v>
      </c>
      <c r="H314" s="144">
        <v>2.11</v>
      </c>
      <c r="I314" s="148"/>
      <c r="L314" s="141"/>
      <c r="M314" s="149"/>
      <c r="T314" s="151"/>
      <c r="AT314" s="142" t="s">
        <v>365</v>
      </c>
      <c r="AU314" s="142" t="s">
        <v>87</v>
      </c>
      <c r="AV314" s="137" t="s">
        <v>218</v>
      </c>
      <c r="AW314" s="137" t="s">
        <v>33</v>
      </c>
      <c r="AX314" s="137" t="s">
        <v>85</v>
      </c>
      <c r="AY314" s="142" t="s">
        <v>211</v>
      </c>
    </row>
    <row r="315" spans="2:65" s="1" customFormat="1" ht="24.15" customHeight="1">
      <c r="B315" s="12"/>
      <c r="C315" s="71" t="s">
        <v>614</v>
      </c>
      <c r="D315" s="71" t="s">
        <v>214</v>
      </c>
      <c r="E315" s="72" t="s">
        <v>615</v>
      </c>
      <c r="F315" s="73" t="s">
        <v>616</v>
      </c>
      <c r="G315" s="74" t="s">
        <v>357</v>
      </c>
      <c r="H315" s="75">
        <v>35.534999999999997</v>
      </c>
      <c r="I315" s="90">
        <v>4930</v>
      </c>
      <c r="J315" s="91">
        <f>ROUND(I315*H315,2)</f>
        <v>175187.55</v>
      </c>
      <c r="K315" s="92"/>
      <c r="L315" s="12"/>
      <c r="M315" s="93" t="s">
        <v>1</v>
      </c>
      <c r="N315" s="94" t="s">
        <v>42</v>
      </c>
      <c r="P315" s="95">
        <f>O315*H315</f>
        <v>0</v>
      </c>
      <c r="Q315" s="95">
        <v>2.4533</v>
      </c>
      <c r="R315" s="95">
        <f>Q315*H315</f>
        <v>87.178015500000001</v>
      </c>
      <c r="S315" s="95">
        <v>0</v>
      </c>
      <c r="T315" s="99">
        <f>S315*H315</f>
        <v>0</v>
      </c>
      <c r="AR315" s="101" t="s">
        <v>218</v>
      </c>
      <c r="AT315" s="101" t="s">
        <v>214</v>
      </c>
      <c r="AU315" s="101" t="s">
        <v>87</v>
      </c>
      <c r="AY315" s="23" t="s">
        <v>211</v>
      </c>
      <c r="BE315" s="104">
        <f>IF(N315="základní",J315,0)</f>
        <v>175187.55</v>
      </c>
      <c r="BF315" s="104">
        <f>IF(N315="snížená",J315,0)</f>
        <v>0</v>
      </c>
      <c r="BG315" s="104">
        <f>IF(N315="zákl. přenesená",J315,0)</f>
        <v>0</v>
      </c>
      <c r="BH315" s="104">
        <f>IF(N315="sníž. přenesená",J315,0)</f>
        <v>0</v>
      </c>
      <c r="BI315" s="104">
        <f>IF(N315="nulová",J315,0)</f>
        <v>0</v>
      </c>
      <c r="BJ315" s="23" t="s">
        <v>85</v>
      </c>
      <c r="BK315" s="104">
        <f>ROUND(I315*H315,2)</f>
        <v>175187.55</v>
      </c>
      <c r="BL315" s="23" t="s">
        <v>218</v>
      </c>
      <c r="BM315" s="101" t="s">
        <v>617</v>
      </c>
    </row>
    <row r="316" spans="2:65" s="1" customFormat="1" ht="19.2">
      <c r="B316" s="12"/>
      <c r="D316" s="105" t="s">
        <v>227</v>
      </c>
      <c r="F316" s="106" t="s">
        <v>479</v>
      </c>
      <c r="I316" s="107"/>
      <c r="L316" s="12"/>
      <c r="M316" s="108"/>
      <c r="T316" s="111"/>
      <c r="AT316" s="23" t="s">
        <v>227</v>
      </c>
      <c r="AU316" s="23" t="s">
        <v>87</v>
      </c>
    </row>
    <row r="317" spans="2:65" s="113" customFormat="1">
      <c r="B317" s="119"/>
      <c r="D317" s="105" t="s">
        <v>365</v>
      </c>
      <c r="E317" s="135" t="s">
        <v>1</v>
      </c>
      <c r="F317" s="120" t="s">
        <v>618</v>
      </c>
      <c r="H317" s="121">
        <v>35.534999999999997</v>
      </c>
      <c r="I317" s="128"/>
      <c r="L317" s="119"/>
      <c r="M317" s="129"/>
      <c r="T317" s="133"/>
      <c r="AT317" s="135" t="s">
        <v>365</v>
      </c>
      <c r="AU317" s="135" t="s">
        <v>87</v>
      </c>
      <c r="AV317" s="113" t="s">
        <v>87</v>
      </c>
      <c r="AW317" s="113" t="s">
        <v>33</v>
      </c>
      <c r="AX317" s="113" t="s">
        <v>85</v>
      </c>
      <c r="AY317" s="135" t="s">
        <v>211</v>
      </c>
    </row>
    <row r="318" spans="2:65" s="1" customFormat="1" ht="16.5" customHeight="1">
      <c r="B318" s="12"/>
      <c r="C318" s="71" t="s">
        <v>619</v>
      </c>
      <c r="D318" s="71" t="s">
        <v>214</v>
      </c>
      <c r="E318" s="72" t="s">
        <v>620</v>
      </c>
      <c r="F318" s="73" t="s">
        <v>621</v>
      </c>
      <c r="G318" s="74" t="s">
        <v>357</v>
      </c>
      <c r="H318" s="75">
        <v>42.27</v>
      </c>
      <c r="I318" s="90">
        <v>4880</v>
      </c>
      <c r="J318" s="91">
        <f>ROUND(I318*H318,2)</f>
        <v>206277.6</v>
      </c>
      <c r="K318" s="92"/>
      <c r="L318" s="12"/>
      <c r="M318" s="93" t="s">
        <v>1</v>
      </c>
      <c r="N318" s="94" t="s">
        <v>42</v>
      </c>
      <c r="P318" s="95">
        <f>O318*H318</f>
        <v>0</v>
      </c>
      <c r="Q318" s="95">
        <v>2.4533</v>
      </c>
      <c r="R318" s="95">
        <f>Q318*H318</f>
        <v>103.700991</v>
      </c>
      <c r="S318" s="95">
        <v>0</v>
      </c>
      <c r="T318" s="99">
        <f>S318*H318</f>
        <v>0</v>
      </c>
      <c r="AR318" s="101" t="s">
        <v>218</v>
      </c>
      <c r="AT318" s="101" t="s">
        <v>214</v>
      </c>
      <c r="AU318" s="101" t="s">
        <v>87</v>
      </c>
      <c r="AY318" s="23" t="s">
        <v>211</v>
      </c>
      <c r="BE318" s="104">
        <f>IF(N318="základní",J318,0)</f>
        <v>206277.6</v>
      </c>
      <c r="BF318" s="104">
        <f>IF(N318="snížená",J318,0)</f>
        <v>0</v>
      </c>
      <c r="BG318" s="104">
        <f>IF(N318="zákl. přenesená",J318,0)</f>
        <v>0</v>
      </c>
      <c r="BH318" s="104">
        <f>IF(N318="sníž. přenesená",J318,0)</f>
        <v>0</v>
      </c>
      <c r="BI318" s="104">
        <f>IF(N318="nulová",J318,0)</f>
        <v>0</v>
      </c>
      <c r="BJ318" s="23" t="s">
        <v>85</v>
      </c>
      <c r="BK318" s="104">
        <f>ROUND(I318*H318,2)</f>
        <v>206277.6</v>
      </c>
      <c r="BL318" s="23" t="s">
        <v>218</v>
      </c>
      <c r="BM318" s="101" t="s">
        <v>622</v>
      </c>
    </row>
    <row r="319" spans="2:65" s="1" customFormat="1" ht="19.2">
      <c r="B319" s="12"/>
      <c r="D319" s="105" t="s">
        <v>227</v>
      </c>
      <c r="F319" s="106" t="s">
        <v>479</v>
      </c>
      <c r="I319" s="107"/>
      <c r="L319" s="12"/>
      <c r="M319" s="108"/>
      <c r="T319" s="111"/>
      <c r="AT319" s="23" t="s">
        <v>227</v>
      </c>
      <c r="AU319" s="23" t="s">
        <v>87</v>
      </c>
    </row>
    <row r="320" spans="2:65" s="113" customFormat="1">
      <c r="B320" s="119"/>
      <c r="D320" s="105" t="s">
        <v>365</v>
      </c>
      <c r="E320" s="135" t="s">
        <v>1</v>
      </c>
      <c r="F320" s="120" t="s">
        <v>623</v>
      </c>
      <c r="H320" s="121">
        <v>42.27</v>
      </c>
      <c r="I320" s="128"/>
      <c r="L320" s="119"/>
      <c r="M320" s="129"/>
      <c r="T320" s="133"/>
      <c r="AT320" s="135" t="s">
        <v>365</v>
      </c>
      <c r="AU320" s="135" t="s">
        <v>87</v>
      </c>
      <c r="AV320" s="113" t="s">
        <v>87</v>
      </c>
      <c r="AW320" s="113" t="s">
        <v>33</v>
      </c>
      <c r="AX320" s="113" t="s">
        <v>85</v>
      </c>
      <c r="AY320" s="135" t="s">
        <v>211</v>
      </c>
    </row>
    <row r="321" spans="2:65" s="1" customFormat="1" ht="24.15" customHeight="1">
      <c r="B321" s="12"/>
      <c r="C321" s="71" t="s">
        <v>624</v>
      </c>
      <c r="D321" s="71" t="s">
        <v>214</v>
      </c>
      <c r="E321" s="72" t="s">
        <v>625</v>
      </c>
      <c r="F321" s="73" t="s">
        <v>626</v>
      </c>
      <c r="G321" s="74" t="s">
        <v>357</v>
      </c>
      <c r="H321" s="75">
        <v>28.635999999999999</v>
      </c>
      <c r="I321" s="90">
        <v>4930</v>
      </c>
      <c r="J321" s="91">
        <f>ROUND(I321*H321,2)</f>
        <v>141175.48000000001</v>
      </c>
      <c r="K321" s="92"/>
      <c r="L321" s="12"/>
      <c r="M321" s="93" t="s">
        <v>1</v>
      </c>
      <c r="N321" s="94" t="s">
        <v>42</v>
      </c>
      <c r="P321" s="95">
        <f>O321*H321</f>
        <v>0</v>
      </c>
      <c r="Q321" s="95">
        <v>2.4533</v>
      </c>
      <c r="R321" s="95">
        <f>Q321*H321</f>
        <v>70.252698800000005</v>
      </c>
      <c r="S321" s="95">
        <v>0</v>
      </c>
      <c r="T321" s="99">
        <f>S321*H321</f>
        <v>0</v>
      </c>
      <c r="AR321" s="101" t="s">
        <v>218</v>
      </c>
      <c r="AT321" s="101" t="s">
        <v>214</v>
      </c>
      <c r="AU321" s="101" t="s">
        <v>87</v>
      </c>
      <c r="AY321" s="23" t="s">
        <v>211</v>
      </c>
      <c r="BE321" s="104">
        <f>IF(N321="základní",J321,0)</f>
        <v>141175.48000000001</v>
      </c>
      <c r="BF321" s="104">
        <f>IF(N321="snížená",J321,0)</f>
        <v>0</v>
      </c>
      <c r="BG321" s="104">
        <f>IF(N321="zákl. přenesená",J321,0)</f>
        <v>0</v>
      </c>
      <c r="BH321" s="104">
        <f>IF(N321="sníž. přenesená",J321,0)</f>
        <v>0</v>
      </c>
      <c r="BI321" s="104">
        <f>IF(N321="nulová",J321,0)</f>
        <v>0</v>
      </c>
      <c r="BJ321" s="23" t="s">
        <v>85</v>
      </c>
      <c r="BK321" s="104">
        <f>ROUND(I321*H321,2)</f>
        <v>141175.48000000001</v>
      </c>
      <c r="BL321" s="23" t="s">
        <v>218</v>
      </c>
      <c r="BM321" s="101" t="s">
        <v>627</v>
      </c>
    </row>
    <row r="322" spans="2:65" s="1" customFormat="1" ht="19.2">
      <c r="B322" s="12"/>
      <c r="D322" s="105" t="s">
        <v>227</v>
      </c>
      <c r="F322" s="106" t="s">
        <v>479</v>
      </c>
      <c r="I322" s="107"/>
      <c r="L322" s="12"/>
      <c r="M322" s="108"/>
      <c r="T322" s="111"/>
      <c r="AT322" s="23" t="s">
        <v>227</v>
      </c>
      <c r="AU322" s="23" t="s">
        <v>87</v>
      </c>
    </row>
    <row r="323" spans="2:65" s="113" customFormat="1">
      <c r="B323" s="119"/>
      <c r="D323" s="105" t="s">
        <v>365</v>
      </c>
      <c r="E323" s="135" t="s">
        <v>1</v>
      </c>
      <c r="F323" s="120" t="s">
        <v>628</v>
      </c>
      <c r="H323" s="121">
        <v>28.635999999999999</v>
      </c>
      <c r="I323" s="128"/>
      <c r="L323" s="119"/>
      <c r="M323" s="129"/>
      <c r="T323" s="133"/>
      <c r="AT323" s="135" t="s">
        <v>365</v>
      </c>
      <c r="AU323" s="135" t="s">
        <v>87</v>
      </c>
      <c r="AV323" s="113" t="s">
        <v>87</v>
      </c>
      <c r="AW323" s="113" t="s">
        <v>33</v>
      </c>
      <c r="AX323" s="113" t="s">
        <v>85</v>
      </c>
      <c r="AY323" s="135" t="s">
        <v>211</v>
      </c>
    </row>
    <row r="324" spans="2:65" s="1" customFormat="1" ht="24.15" customHeight="1">
      <c r="B324" s="12"/>
      <c r="C324" s="71" t="s">
        <v>629</v>
      </c>
      <c r="D324" s="71" t="s">
        <v>214</v>
      </c>
      <c r="E324" s="72" t="s">
        <v>630</v>
      </c>
      <c r="F324" s="73" t="s">
        <v>631</v>
      </c>
      <c r="G324" s="74" t="s">
        <v>357</v>
      </c>
      <c r="H324" s="75">
        <v>150.261</v>
      </c>
      <c r="I324" s="90">
        <v>4930</v>
      </c>
      <c r="J324" s="91">
        <f>ROUND(I324*H324,2)</f>
        <v>740786.73</v>
      </c>
      <c r="K324" s="92"/>
      <c r="L324" s="12"/>
      <c r="M324" s="93" t="s">
        <v>1</v>
      </c>
      <c r="N324" s="94" t="s">
        <v>42</v>
      </c>
      <c r="P324" s="95">
        <f>O324*H324</f>
        <v>0</v>
      </c>
      <c r="Q324" s="95">
        <v>2.4533</v>
      </c>
      <c r="R324" s="95">
        <f>Q324*H324</f>
        <v>368.63531130000001</v>
      </c>
      <c r="S324" s="95">
        <v>0</v>
      </c>
      <c r="T324" s="99">
        <f>S324*H324</f>
        <v>0</v>
      </c>
      <c r="AR324" s="101" t="s">
        <v>218</v>
      </c>
      <c r="AT324" s="101" t="s">
        <v>214</v>
      </c>
      <c r="AU324" s="101" t="s">
        <v>87</v>
      </c>
      <c r="AY324" s="23" t="s">
        <v>211</v>
      </c>
      <c r="BE324" s="104">
        <f>IF(N324="základní",J324,0)</f>
        <v>740786.73</v>
      </c>
      <c r="BF324" s="104">
        <f>IF(N324="snížená",J324,0)</f>
        <v>0</v>
      </c>
      <c r="BG324" s="104">
        <f>IF(N324="zákl. přenesená",J324,0)</f>
        <v>0</v>
      </c>
      <c r="BH324" s="104">
        <f>IF(N324="sníž. přenesená",J324,0)</f>
        <v>0</v>
      </c>
      <c r="BI324" s="104">
        <f>IF(N324="nulová",J324,0)</f>
        <v>0</v>
      </c>
      <c r="BJ324" s="23" t="s">
        <v>85</v>
      </c>
      <c r="BK324" s="104">
        <f>ROUND(I324*H324,2)</f>
        <v>740786.73</v>
      </c>
      <c r="BL324" s="23" t="s">
        <v>218</v>
      </c>
      <c r="BM324" s="101" t="s">
        <v>632</v>
      </c>
    </row>
    <row r="325" spans="2:65" s="1" customFormat="1" ht="19.2">
      <c r="B325" s="12"/>
      <c r="D325" s="105" t="s">
        <v>227</v>
      </c>
      <c r="F325" s="106" t="s">
        <v>479</v>
      </c>
      <c r="I325" s="107"/>
      <c r="L325" s="12"/>
      <c r="M325" s="108"/>
      <c r="T325" s="111"/>
      <c r="AT325" s="23" t="s">
        <v>227</v>
      </c>
      <c r="AU325" s="23" t="s">
        <v>87</v>
      </c>
    </row>
    <row r="326" spans="2:65" s="113" customFormat="1">
      <c r="B326" s="119"/>
      <c r="D326" s="105" t="s">
        <v>365</v>
      </c>
      <c r="E326" s="135" t="s">
        <v>1</v>
      </c>
      <c r="F326" s="120" t="s">
        <v>633</v>
      </c>
      <c r="H326" s="121">
        <v>150.261</v>
      </c>
      <c r="I326" s="128"/>
      <c r="L326" s="119"/>
      <c r="M326" s="129"/>
      <c r="T326" s="133"/>
      <c r="AT326" s="135" t="s">
        <v>365</v>
      </c>
      <c r="AU326" s="135" t="s">
        <v>87</v>
      </c>
      <c r="AV326" s="113" t="s">
        <v>87</v>
      </c>
      <c r="AW326" s="113" t="s">
        <v>33</v>
      </c>
      <c r="AX326" s="113" t="s">
        <v>85</v>
      </c>
      <c r="AY326" s="135" t="s">
        <v>211</v>
      </c>
    </row>
    <row r="327" spans="2:65" s="1" customFormat="1" ht="16.5" customHeight="1">
      <c r="B327" s="12"/>
      <c r="C327" s="71" t="s">
        <v>634</v>
      </c>
      <c r="D327" s="71" t="s">
        <v>214</v>
      </c>
      <c r="E327" s="72" t="s">
        <v>635</v>
      </c>
      <c r="F327" s="73" t="s">
        <v>636</v>
      </c>
      <c r="G327" s="74" t="s">
        <v>357</v>
      </c>
      <c r="H327" s="75">
        <v>1.3680000000000001</v>
      </c>
      <c r="I327" s="90">
        <v>4880</v>
      </c>
      <c r="J327" s="91">
        <f>ROUND(I327*H327,2)</f>
        <v>6675.84</v>
      </c>
      <c r="K327" s="92"/>
      <c r="L327" s="12"/>
      <c r="M327" s="93" t="s">
        <v>1</v>
      </c>
      <c r="N327" s="94" t="s">
        <v>42</v>
      </c>
      <c r="P327" s="95">
        <f>O327*H327</f>
        <v>0</v>
      </c>
      <c r="Q327" s="95">
        <v>2.4533</v>
      </c>
      <c r="R327" s="95">
        <f>Q327*H327</f>
        <v>3.3561144000000001</v>
      </c>
      <c r="S327" s="95">
        <v>0</v>
      </c>
      <c r="T327" s="99">
        <f>S327*H327</f>
        <v>0</v>
      </c>
      <c r="AR327" s="101" t="s">
        <v>218</v>
      </c>
      <c r="AT327" s="101" t="s">
        <v>214</v>
      </c>
      <c r="AU327" s="101" t="s">
        <v>87</v>
      </c>
      <c r="AY327" s="23" t="s">
        <v>211</v>
      </c>
      <c r="BE327" s="104">
        <f>IF(N327="základní",J327,0)</f>
        <v>6675.84</v>
      </c>
      <c r="BF327" s="104">
        <f>IF(N327="snížená",J327,0)</f>
        <v>0</v>
      </c>
      <c r="BG327" s="104">
        <f>IF(N327="zákl. přenesená",J327,0)</f>
        <v>0</v>
      </c>
      <c r="BH327" s="104">
        <f>IF(N327="sníž. přenesená",J327,0)</f>
        <v>0</v>
      </c>
      <c r="BI327" s="104">
        <f>IF(N327="nulová",J327,0)</f>
        <v>0</v>
      </c>
      <c r="BJ327" s="23" t="s">
        <v>85</v>
      </c>
      <c r="BK327" s="104">
        <f>ROUND(I327*H327,2)</f>
        <v>6675.84</v>
      </c>
      <c r="BL327" s="23" t="s">
        <v>218</v>
      </c>
      <c r="BM327" s="101" t="s">
        <v>637</v>
      </c>
    </row>
    <row r="328" spans="2:65" s="1" customFormat="1" ht="19.2">
      <c r="B328" s="12"/>
      <c r="D328" s="105" t="s">
        <v>227</v>
      </c>
      <c r="F328" s="106" t="s">
        <v>479</v>
      </c>
      <c r="I328" s="107"/>
      <c r="L328" s="12"/>
      <c r="M328" s="108"/>
      <c r="T328" s="111"/>
      <c r="AT328" s="23" t="s">
        <v>227</v>
      </c>
      <c r="AU328" s="23" t="s">
        <v>87</v>
      </c>
    </row>
    <row r="329" spans="2:65" s="113" customFormat="1">
      <c r="B329" s="119"/>
      <c r="D329" s="105" t="s">
        <v>365</v>
      </c>
      <c r="E329" s="135" t="s">
        <v>1</v>
      </c>
      <c r="F329" s="120" t="s">
        <v>638</v>
      </c>
      <c r="H329" s="121">
        <v>1.3680000000000001</v>
      </c>
      <c r="I329" s="128"/>
      <c r="L329" s="119"/>
      <c r="M329" s="129"/>
      <c r="T329" s="133"/>
      <c r="AT329" s="135" t="s">
        <v>365</v>
      </c>
      <c r="AU329" s="135" t="s">
        <v>87</v>
      </c>
      <c r="AV329" s="113" t="s">
        <v>87</v>
      </c>
      <c r="AW329" s="113" t="s">
        <v>33</v>
      </c>
      <c r="AX329" s="113" t="s">
        <v>85</v>
      </c>
      <c r="AY329" s="135" t="s">
        <v>211</v>
      </c>
    </row>
    <row r="330" spans="2:65" s="1" customFormat="1" ht="24.15" customHeight="1">
      <c r="B330" s="12"/>
      <c r="C330" s="71" t="s">
        <v>639</v>
      </c>
      <c r="D330" s="71" t="s">
        <v>214</v>
      </c>
      <c r="E330" s="72" t="s">
        <v>640</v>
      </c>
      <c r="F330" s="73" t="s">
        <v>641</v>
      </c>
      <c r="G330" s="74" t="s">
        <v>357</v>
      </c>
      <c r="H330" s="75">
        <v>11.151</v>
      </c>
      <c r="I330" s="90">
        <v>4930</v>
      </c>
      <c r="J330" s="91">
        <f>ROUND(I330*H330,2)</f>
        <v>54974.43</v>
      </c>
      <c r="K330" s="92"/>
      <c r="L330" s="12"/>
      <c r="M330" s="93" t="s">
        <v>1</v>
      </c>
      <c r="N330" s="94" t="s">
        <v>42</v>
      </c>
      <c r="P330" s="95">
        <f>O330*H330</f>
        <v>0</v>
      </c>
      <c r="Q330" s="95">
        <v>2.4533</v>
      </c>
      <c r="R330" s="95">
        <f>Q330*H330</f>
        <v>27.3567483</v>
      </c>
      <c r="S330" s="95">
        <v>0</v>
      </c>
      <c r="T330" s="99">
        <f>S330*H330</f>
        <v>0</v>
      </c>
      <c r="AR330" s="101" t="s">
        <v>218</v>
      </c>
      <c r="AT330" s="101" t="s">
        <v>214</v>
      </c>
      <c r="AU330" s="101" t="s">
        <v>87</v>
      </c>
      <c r="AY330" s="23" t="s">
        <v>211</v>
      </c>
      <c r="BE330" s="104">
        <f>IF(N330="základní",J330,0)</f>
        <v>54974.43</v>
      </c>
      <c r="BF330" s="104">
        <f>IF(N330="snížená",J330,0)</f>
        <v>0</v>
      </c>
      <c r="BG330" s="104">
        <f>IF(N330="zákl. přenesená",J330,0)</f>
        <v>0</v>
      </c>
      <c r="BH330" s="104">
        <f>IF(N330="sníž. přenesená",J330,0)</f>
        <v>0</v>
      </c>
      <c r="BI330" s="104">
        <f>IF(N330="nulová",J330,0)</f>
        <v>0</v>
      </c>
      <c r="BJ330" s="23" t="s">
        <v>85</v>
      </c>
      <c r="BK330" s="104">
        <f>ROUND(I330*H330,2)</f>
        <v>54974.43</v>
      </c>
      <c r="BL330" s="23" t="s">
        <v>218</v>
      </c>
      <c r="BM330" s="101" t="s">
        <v>642</v>
      </c>
    </row>
    <row r="331" spans="2:65" s="1" customFormat="1" ht="19.2">
      <c r="B331" s="12"/>
      <c r="D331" s="105" t="s">
        <v>227</v>
      </c>
      <c r="F331" s="106" t="s">
        <v>479</v>
      </c>
      <c r="I331" s="107"/>
      <c r="L331" s="12"/>
      <c r="M331" s="108"/>
      <c r="T331" s="111"/>
      <c r="AT331" s="23" t="s">
        <v>227</v>
      </c>
      <c r="AU331" s="23" t="s">
        <v>87</v>
      </c>
    </row>
    <row r="332" spans="2:65" s="113" customFormat="1">
      <c r="B332" s="119"/>
      <c r="D332" s="105" t="s">
        <v>365</v>
      </c>
      <c r="E332" s="135" t="s">
        <v>1</v>
      </c>
      <c r="F332" s="120" t="s">
        <v>643</v>
      </c>
      <c r="H332" s="121">
        <v>11.151</v>
      </c>
      <c r="I332" s="128"/>
      <c r="L332" s="119"/>
      <c r="M332" s="129"/>
      <c r="T332" s="133"/>
      <c r="AT332" s="135" t="s">
        <v>365</v>
      </c>
      <c r="AU332" s="135" t="s">
        <v>87</v>
      </c>
      <c r="AV332" s="113" t="s">
        <v>87</v>
      </c>
      <c r="AW332" s="113" t="s">
        <v>33</v>
      </c>
      <c r="AX332" s="113" t="s">
        <v>85</v>
      </c>
      <c r="AY332" s="135" t="s">
        <v>211</v>
      </c>
    </row>
    <row r="333" spans="2:65" s="1" customFormat="1" ht="24.15" customHeight="1">
      <c r="B333" s="12"/>
      <c r="C333" s="71" t="s">
        <v>644</v>
      </c>
      <c r="D333" s="71" t="s">
        <v>214</v>
      </c>
      <c r="E333" s="72" t="s">
        <v>645</v>
      </c>
      <c r="F333" s="73" t="s">
        <v>646</v>
      </c>
      <c r="G333" s="74" t="s">
        <v>357</v>
      </c>
      <c r="H333" s="75">
        <v>0.27700000000000002</v>
      </c>
      <c r="I333" s="90">
        <v>4930</v>
      </c>
      <c r="J333" s="91">
        <f>ROUND(I333*H333,2)</f>
        <v>1365.61</v>
      </c>
      <c r="K333" s="92"/>
      <c r="L333" s="12"/>
      <c r="M333" s="93" t="s">
        <v>1</v>
      </c>
      <c r="N333" s="94" t="s">
        <v>42</v>
      </c>
      <c r="P333" s="95">
        <f>O333*H333</f>
        <v>0</v>
      </c>
      <c r="Q333" s="95">
        <v>2.4533</v>
      </c>
      <c r="R333" s="95">
        <f>Q333*H333</f>
        <v>0.6795641</v>
      </c>
      <c r="S333" s="95">
        <v>0</v>
      </c>
      <c r="T333" s="99">
        <f>S333*H333</f>
        <v>0</v>
      </c>
      <c r="AR333" s="101" t="s">
        <v>218</v>
      </c>
      <c r="AT333" s="101" t="s">
        <v>214</v>
      </c>
      <c r="AU333" s="101" t="s">
        <v>87</v>
      </c>
      <c r="AY333" s="23" t="s">
        <v>211</v>
      </c>
      <c r="BE333" s="104">
        <f>IF(N333="základní",J333,0)</f>
        <v>1365.61</v>
      </c>
      <c r="BF333" s="104">
        <f>IF(N333="snížená",J333,0)</f>
        <v>0</v>
      </c>
      <c r="BG333" s="104">
        <f>IF(N333="zákl. přenesená",J333,0)</f>
        <v>0</v>
      </c>
      <c r="BH333" s="104">
        <f>IF(N333="sníž. přenesená",J333,0)</f>
        <v>0</v>
      </c>
      <c r="BI333" s="104">
        <f>IF(N333="nulová",J333,0)</f>
        <v>0</v>
      </c>
      <c r="BJ333" s="23" t="s">
        <v>85</v>
      </c>
      <c r="BK333" s="104">
        <f>ROUND(I333*H333,2)</f>
        <v>1365.61</v>
      </c>
      <c r="BL333" s="23" t="s">
        <v>218</v>
      </c>
      <c r="BM333" s="101" t="s">
        <v>647</v>
      </c>
    </row>
    <row r="334" spans="2:65" s="1" customFormat="1" ht="19.2">
      <c r="B334" s="12"/>
      <c r="D334" s="105" t="s">
        <v>227</v>
      </c>
      <c r="F334" s="106" t="s">
        <v>479</v>
      </c>
      <c r="I334" s="107"/>
      <c r="L334" s="12"/>
      <c r="M334" s="108"/>
      <c r="T334" s="111"/>
      <c r="AT334" s="23" t="s">
        <v>227</v>
      </c>
      <c r="AU334" s="23" t="s">
        <v>87</v>
      </c>
    </row>
    <row r="335" spans="2:65" s="113" customFormat="1">
      <c r="B335" s="119"/>
      <c r="D335" s="105" t="s">
        <v>365</v>
      </c>
      <c r="E335" s="135" t="s">
        <v>1</v>
      </c>
      <c r="F335" s="120" t="s">
        <v>648</v>
      </c>
      <c r="H335" s="121">
        <v>0.27700000000000002</v>
      </c>
      <c r="I335" s="128"/>
      <c r="L335" s="119"/>
      <c r="M335" s="129"/>
      <c r="T335" s="133"/>
      <c r="AT335" s="135" t="s">
        <v>365</v>
      </c>
      <c r="AU335" s="135" t="s">
        <v>87</v>
      </c>
      <c r="AV335" s="113" t="s">
        <v>87</v>
      </c>
      <c r="AW335" s="113" t="s">
        <v>33</v>
      </c>
      <c r="AX335" s="113" t="s">
        <v>85</v>
      </c>
      <c r="AY335" s="135" t="s">
        <v>211</v>
      </c>
    </row>
    <row r="336" spans="2:65" s="1" customFormat="1" ht="24.15" customHeight="1">
      <c r="B336" s="12"/>
      <c r="C336" s="71" t="s">
        <v>649</v>
      </c>
      <c r="D336" s="71" t="s">
        <v>214</v>
      </c>
      <c r="E336" s="72" t="s">
        <v>650</v>
      </c>
      <c r="F336" s="73" t="s">
        <v>651</v>
      </c>
      <c r="G336" s="74" t="s">
        <v>357</v>
      </c>
      <c r="H336" s="75">
        <v>6.3289999999999997</v>
      </c>
      <c r="I336" s="90">
        <v>4930</v>
      </c>
      <c r="J336" s="91">
        <f>ROUND(I336*H336,2)</f>
        <v>31201.97</v>
      </c>
      <c r="K336" s="92"/>
      <c r="L336" s="12"/>
      <c r="M336" s="93" t="s">
        <v>1</v>
      </c>
      <c r="N336" s="94" t="s">
        <v>42</v>
      </c>
      <c r="P336" s="95">
        <f>O336*H336</f>
        <v>0</v>
      </c>
      <c r="Q336" s="95">
        <v>2.4533</v>
      </c>
      <c r="R336" s="95">
        <f>Q336*H336</f>
        <v>15.526935699999999</v>
      </c>
      <c r="S336" s="95">
        <v>0</v>
      </c>
      <c r="T336" s="99">
        <f>S336*H336</f>
        <v>0</v>
      </c>
      <c r="AR336" s="101" t="s">
        <v>218</v>
      </c>
      <c r="AT336" s="101" t="s">
        <v>214</v>
      </c>
      <c r="AU336" s="101" t="s">
        <v>87</v>
      </c>
      <c r="AY336" s="23" t="s">
        <v>211</v>
      </c>
      <c r="BE336" s="104">
        <f>IF(N336="základní",J336,0)</f>
        <v>31201.97</v>
      </c>
      <c r="BF336" s="104">
        <f>IF(N336="snížená",J336,0)</f>
        <v>0</v>
      </c>
      <c r="BG336" s="104">
        <f>IF(N336="zákl. přenesená",J336,0)</f>
        <v>0</v>
      </c>
      <c r="BH336" s="104">
        <f>IF(N336="sníž. přenesená",J336,0)</f>
        <v>0</v>
      </c>
      <c r="BI336" s="104">
        <f>IF(N336="nulová",J336,0)</f>
        <v>0</v>
      </c>
      <c r="BJ336" s="23" t="s">
        <v>85</v>
      </c>
      <c r="BK336" s="104">
        <f>ROUND(I336*H336,2)</f>
        <v>31201.97</v>
      </c>
      <c r="BL336" s="23" t="s">
        <v>218</v>
      </c>
      <c r="BM336" s="101" t="s">
        <v>652</v>
      </c>
    </row>
    <row r="337" spans="2:65" s="1" customFormat="1" ht="19.2">
      <c r="B337" s="12"/>
      <c r="D337" s="105" t="s">
        <v>227</v>
      </c>
      <c r="F337" s="106" t="s">
        <v>479</v>
      </c>
      <c r="I337" s="107"/>
      <c r="L337" s="12"/>
      <c r="M337" s="108"/>
      <c r="T337" s="111"/>
      <c r="AT337" s="23" t="s">
        <v>227</v>
      </c>
      <c r="AU337" s="23" t="s">
        <v>87</v>
      </c>
    </row>
    <row r="338" spans="2:65" s="113" customFormat="1">
      <c r="B338" s="119"/>
      <c r="D338" s="105" t="s">
        <v>365</v>
      </c>
      <c r="E338" s="135" t="s">
        <v>1</v>
      </c>
      <c r="F338" s="120" t="s">
        <v>653</v>
      </c>
      <c r="H338" s="121">
        <v>6.3289999999999997</v>
      </c>
      <c r="I338" s="128"/>
      <c r="L338" s="119"/>
      <c r="M338" s="129"/>
      <c r="T338" s="133"/>
      <c r="AT338" s="135" t="s">
        <v>365</v>
      </c>
      <c r="AU338" s="135" t="s">
        <v>87</v>
      </c>
      <c r="AV338" s="113" t="s">
        <v>87</v>
      </c>
      <c r="AW338" s="113" t="s">
        <v>33</v>
      </c>
      <c r="AX338" s="113" t="s">
        <v>85</v>
      </c>
      <c r="AY338" s="135" t="s">
        <v>211</v>
      </c>
    </row>
    <row r="339" spans="2:65" s="1" customFormat="1" ht="16.5" customHeight="1">
      <c r="B339" s="12"/>
      <c r="C339" s="71" t="s">
        <v>654</v>
      </c>
      <c r="D339" s="71" t="s">
        <v>214</v>
      </c>
      <c r="E339" s="72" t="s">
        <v>655</v>
      </c>
      <c r="F339" s="73" t="s">
        <v>656</v>
      </c>
      <c r="G339" s="74" t="s">
        <v>357</v>
      </c>
      <c r="H339" s="75">
        <v>75.152000000000001</v>
      </c>
      <c r="I339" s="90">
        <v>4880</v>
      </c>
      <c r="J339" s="91">
        <f>ROUND(I339*H339,2)</f>
        <v>366741.76000000001</v>
      </c>
      <c r="K339" s="92"/>
      <c r="L339" s="12"/>
      <c r="M339" s="93" t="s">
        <v>1</v>
      </c>
      <c r="N339" s="94" t="s">
        <v>42</v>
      </c>
      <c r="P339" s="95">
        <f>O339*H339</f>
        <v>0</v>
      </c>
      <c r="Q339" s="95">
        <v>2.4533</v>
      </c>
      <c r="R339" s="95">
        <f>Q339*H339</f>
        <v>184.37040160000001</v>
      </c>
      <c r="S339" s="95">
        <v>0</v>
      </c>
      <c r="T339" s="99">
        <f>S339*H339</f>
        <v>0</v>
      </c>
      <c r="AR339" s="101" t="s">
        <v>218</v>
      </c>
      <c r="AT339" s="101" t="s">
        <v>214</v>
      </c>
      <c r="AU339" s="101" t="s">
        <v>87</v>
      </c>
      <c r="AY339" s="23" t="s">
        <v>211</v>
      </c>
      <c r="BE339" s="104">
        <f>IF(N339="základní",J339,0)</f>
        <v>366741.76000000001</v>
      </c>
      <c r="BF339" s="104">
        <f>IF(N339="snížená",J339,0)</f>
        <v>0</v>
      </c>
      <c r="BG339" s="104">
        <f>IF(N339="zákl. přenesená",J339,0)</f>
        <v>0</v>
      </c>
      <c r="BH339" s="104">
        <f>IF(N339="sníž. přenesená",J339,0)</f>
        <v>0</v>
      </c>
      <c r="BI339" s="104">
        <f>IF(N339="nulová",J339,0)</f>
        <v>0</v>
      </c>
      <c r="BJ339" s="23" t="s">
        <v>85</v>
      </c>
      <c r="BK339" s="104">
        <f>ROUND(I339*H339,2)</f>
        <v>366741.76000000001</v>
      </c>
      <c r="BL339" s="23" t="s">
        <v>218</v>
      </c>
      <c r="BM339" s="101" t="s">
        <v>657</v>
      </c>
    </row>
    <row r="340" spans="2:65" s="1" customFormat="1" ht="19.2">
      <c r="B340" s="12"/>
      <c r="D340" s="105" t="s">
        <v>227</v>
      </c>
      <c r="F340" s="106" t="s">
        <v>479</v>
      </c>
      <c r="I340" s="107"/>
      <c r="L340" s="12"/>
      <c r="M340" s="108"/>
      <c r="T340" s="111"/>
      <c r="AT340" s="23" t="s">
        <v>227</v>
      </c>
      <c r="AU340" s="23" t="s">
        <v>87</v>
      </c>
    </row>
    <row r="341" spans="2:65" s="113" customFormat="1">
      <c r="B341" s="119"/>
      <c r="D341" s="105" t="s">
        <v>365</v>
      </c>
      <c r="E341" s="135" t="s">
        <v>1</v>
      </c>
      <c r="F341" s="120" t="s">
        <v>658</v>
      </c>
      <c r="H341" s="121">
        <v>73.334000000000003</v>
      </c>
      <c r="I341" s="128"/>
      <c r="L341" s="119"/>
      <c r="M341" s="129"/>
      <c r="T341" s="133"/>
      <c r="AT341" s="135" t="s">
        <v>365</v>
      </c>
      <c r="AU341" s="135" t="s">
        <v>87</v>
      </c>
      <c r="AV341" s="113" t="s">
        <v>87</v>
      </c>
      <c r="AW341" s="113" t="s">
        <v>33</v>
      </c>
      <c r="AX341" s="113" t="s">
        <v>77</v>
      </c>
      <c r="AY341" s="135" t="s">
        <v>211</v>
      </c>
    </row>
    <row r="342" spans="2:65" s="113" customFormat="1">
      <c r="B342" s="119"/>
      <c r="D342" s="105" t="s">
        <v>365</v>
      </c>
      <c r="E342" s="135" t="s">
        <v>1</v>
      </c>
      <c r="F342" s="120" t="s">
        <v>659</v>
      </c>
      <c r="H342" s="121">
        <v>1.8180000000000001</v>
      </c>
      <c r="I342" s="128"/>
      <c r="L342" s="119"/>
      <c r="M342" s="129"/>
      <c r="T342" s="133"/>
      <c r="AT342" s="135" t="s">
        <v>365</v>
      </c>
      <c r="AU342" s="135" t="s">
        <v>87</v>
      </c>
      <c r="AV342" s="113" t="s">
        <v>87</v>
      </c>
      <c r="AW342" s="113" t="s">
        <v>33</v>
      </c>
      <c r="AX342" s="113" t="s">
        <v>77</v>
      </c>
      <c r="AY342" s="135" t="s">
        <v>211</v>
      </c>
    </row>
    <row r="343" spans="2:65" s="137" customFormat="1">
      <c r="B343" s="141"/>
      <c r="D343" s="105" t="s">
        <v>365</v>
      </c>
      <c r="E343" s="142" t="s">
        <v>1</v>
      </c>
      <c r="F343" s="143" t="s">
        <v>368</v>
      </c>
      <c r="H343" s="144">
        <v>75.152000000000001</v>
      </c>
      <c r="I343" s="148"/>
      <c r="L343" s="141"/>
      <c r="M343" s="149"/>
      <c r="T343" s="151"/>
      <c r="AT343" s="142" t="s">
        <v>365</v>
      </c>
      <c r="AU343" s="142" t="s">
        <v>87</v>
      </c>
      <c r="AV343" s="137" t="s">
        <v>218</v>
      </c>
      <c r="AW343" s="137" t="s">
        <v>33</v>
      </c>
      <c r="AX343" s="137" t="s">
        <v>85</v>
      </c>
      <c r="AY343" s="142" t="s">
        <v>211</v>
      </c>
    </row>
    <row r="344" spans="2:65" s="1" customFormat="1" ht="24.15" customHeight="1">
      <c r="B344" s="12"/>
      <c r="C344" s="71" t="s">
        <v>660</v>
      </c>
      <c r="D344" s="71" t="s">
        <v>214</v>
      </c>
      <c r="E344" s="72" t="s">
        <v>661</v>
      </c>
      <c r="F344" s="73" t="s">
        <v>662</v>
      </c>
      <c r="G344" s="74" t="s">
        <v>357</v>
      </c>
      <c r="H344" s="75">
        <v>16.085000000000001</v>
      </c>
      <c r="I344" s="153">
        <v>4930</v>
      </c>
      <c r="J344" s="91">
        <f>ROUND(I344*H344,2)</f>
        <v>79299.05</v>
      </c>
      <c r="K344" s="92"/>
      <c r="L344" s="12"/>
      <c r="M344" s="93" t="s">
        <v>1</v>
      </c>
      <c r="N344" s="94" t="s">
        <v>42</v>
      </c>
      <c r="P344" s="95">
        <f>O344*H344</f>
        <v>0</v>
      </c>
      <c r="Q344" s="95">
        <v>2.4533</v>
      </c>
      <c r="R344" s="95">
        <f>Q344*H344</f>
        <v>39.461330500000003</v>
      </c>
      <c r="S344" s="95">
        <v>0</v>
      </c>
      <c r="T344" s="99">
        <f>S344*H344</f>
        <v>0</v>
      </c>
      <c r="AR344" s="101" t="s">
        <v>218</v>
      </c>
      <c r="AT344" s="101" t="s">
        <v>214</v>
      </c>
      <c r="AU344" s="101" t="s">
        <v>87</v>
      </c>
      <c r="AY344" s="23" t="s">
        <v>211</v>
      </c>
      <c r="BE344" s="104">
        <f>IF(N344="základní",J344,0)</f>
        <v>79299.05</v>
      </c>
      <c r="BF344" s="104">
        <f>IF(N344="snížená",J344,0)</f>
        <v>0</v>
      </c>
      <c r="BG344" s="104">
        <f>IF(N344="zákl. přenesená",J344,0)</f>
        <v>0</v>
      </c>
      <c r="BH344" s="104">
        <f>IF(N344="sníž. přenesená",J344,0)</f>
        <v>0</v>
      </c>
      <c r="BI344" s="104">
        <f>IF(N344="nulová",J344,0)</f>
        <v>0</v>
      </c>
      <c r="BJ344" s="23" t="s">
        <v>85</v>
      </c>
      <c r="BK344" s="104">
        <f>ROUND(I344*H344,2)</f>
        <v>79299.05</v>
      </c>
      <c r="BL344" s="23" t="s">
        <v>218</v>
      </c>
      <c r="BM344" s="101" t="s">
        <v>663</v>
      </c>
    </row>
    <row r="345" spans="2:65" s="1" customFormat="1" ht="19.2">
      <c r="B345" s="12"/>
      <c r="D345" s="105" t="s">
        <v>227</v>
      </c>
      <c r="F345" s="106" t="s">
        <v>479</v>
      </c>
      <c r="I345" s="107"/>
      <c r="L345" s="12"/>
      <c r="M345" s="108"/>
      <c r="T345" s="111"/>
      <c r="AT345" s="23" t="s">
        <v>227</v>
      </c>
      <c r="AU345" s="23" t="s">
        <v>87</v>
      </c>
    </row>
    <row r="346" spans="2:65" s="113" customFormat="1">
      <c r="B346" s="119"/>
      <c r="D346" s="105" t="s">
        <v>365</v>
      </c>
      <c r="E346" s="135" t="s">
        <v>1</v>
      </c>
      <c r="F346" s="120" t="s">
        <v>664</v>
      </c>
      <c r="H346" s="121">
        <v>16.085000000000001</v>
      </c>
      <c r="I346" s="128"/>
      <c r="L346" s="119"/>
      <c r="M346" s="129"/>
      <c r="T346" s="133"/>
      <c r="AT346" s="135" t="s">
        <v>365</v>
      </c>
      <c r="AU346" s="135" t="s">
        <v>87</v>
      </c>
      <c r="AV346" s="113" t="s">
        <v>87</v>
      </c>
      <c r="AW346" s="113" t="s">
        <v>33</v>
      </c>
      <c r="AX346" s="113" t="s">
        <v>85</v>
      </c>
      <c r="AY346" s="135" t="s">
        <v>211</v>
      </c>
    </row>
    <row r="347" spans="2:65" s="1" customFormat="1" ht="21.75" customHeight="1">
      <c r="B347" s="12"/>
      <c r="C347" s="71" t="s">
        <v>665</v>
      </c>
      <c r="D347" s="71" t="s">
        <v>214</v>
      </c>
      <c r="E347" s="72" t="s">
        <v>666</v>
      </c>
      <c r="F347" s="73" t="s">
        <v>667</v>
      </c>
      <c r="G347" s="74" t="s">
        <v>357</v>
      </c>
      <c r="H347" s="75">
        <v>70.801000000000002</v>
      </c>
      <c r="I347" s="90">
        <v>4730</v>
      </c>
      <c r="J347" s="91">
        <f>ROUND(I347*H347,2)</f>
        <v>334888.73</v>
      </c>
      <c r="K347" s="92"/>
      <c r="L347" s="12"/>
      <c r="M347" s="93" t="s">
        <v>1</v>
      </c>
      <c r="N347" s="94" t="s">
        <v>42</v>
      </c>
      <c r="P347" s="95">
        <f>O347*H347</f>
        <v>0</v>
      </c>
      <c r="Q347" s="95">
        <v>2.4533</v>
      </c>
      <c r="R347" s="95">
        <f>Q347*H347</f>
        <v>173.6960933</v>
      </c>
      <c r="S347" s="95">
        <v>0</v>
      </c>
      <c r="T347" s="99">
        <f>S347*H347</f>
        <v>0</v>
      </c>
      <c r="AR347" s="101" t="s">
        <v>218</v>
      </c>
      <c r="AT347" s="101" t="s">
        <v>214</v>
      </c>
      <c r="AU347" s="101" t="s">
        <v>87</v>
      </c>
      <c r="AY347" s="23" t="s">
        <v>211</v>
      </c>
      <c r="BE347" s="104">
        <f>IF(N347="základní",J347,0)</f>
        <v>334888.73</v>
      </c>
      <c r="BF347" s="104">
        <f>IF(N347="snížená",J347,0)</f>
        <v>0</v>
      </c>
      <c r="BG347" s="104">
        <f>IF(N347="zákl. přenesená",J347,0)</f>
        <v>0</v>
      </c>
      <c r="BH347" s="104">
        <f>IF(N347="sníž. přenesená",J347,0)</f>
        <v>0</v>
      </c>
      <c r="BI347" s="104">
        <f>IF(N347="nulová",J347,0)</f>
        <v>0</v>
      </c>
      <c r="BJ347" s="23" t="s">
        <v>85</v>
      </c>
      <c r="BK347" s="104">
        <f>ROUND(I347*H347,2)</f>
        <v>334888.73</v>
      </c>
      <c r="BL347" s="23" t="s">
        <v>218</v>
      </c>
      <c r="BM347" s="101" t="s">
        <v>668</v>
      </c>
    </row>
    <row r="348" spans="2:65" s="1" customFormat="1" ht="19.2">
      <c r="B348" s="12"/>
      <c r="D348" s="105" t="s">
        <v>227</v>
      </c>
      <c r="F348" s="106" t="s">
        <v>479</v>
      </c>
      <c r="I348" s="107"/>
      <c r="L348" s="12"/>
      <c r="M348" s="108"/>
      <c r="T348" s="111"/>
      <c r="AT348" s="23" t="s">
        <v>227</v>
      </c>
      <c r="AU348" s="23" t="s">
        <v>87</v>
      </c>
    </row>
    <row r="349" spans="2:65" s="136" customFormat="1">
      <c r="B349" s="138"/>
      <c r="D349" s="105" t="s">
        <v>365</v>
      </c>
      <c r="E349" s="139" t="s">
        <v>1</v>
      </c>
      <c r="F349" s="140" t="s">
        <v>669</v>
      </c>
      <c r="H349" s="139" t="s">
        <v>1</v>
      </c>
      <c r="I349" s="146"/>
      <c r="L349" s="138"/>
      <c r="M349" s="147"/>
      <c r="T349" s="150"/>
      <c r="AT349" s="139" t="s">
        <v>365</v>
      </c>
      <c r="AU349" s="139" t="s">
        <v>87</v>
      </c>
      <c r="AV349" s="136" t="s">
        <v>85</v>
      </c>
      <c r="AW349" s="136" t="s">
        <v>33</v>
      </c>
      <c r="AX349" s="136" t="s">
        <v>77</v>
      </c>
      <c r="AY349" s="139" t="s">
        <v>211</v>
      </c>
    </row>
    <row r="350" spans="2:65" s="113" customFormat="1">
      <c r="B350" s="119"/>
      <c r="D350" s="105" t="s">
        <v>365</v>
      </c>
      <c r="E350" s="135" t="s">
        <v>1</v>
      </c>
      <c r="F350" s="120" t="s">
        <v>670</v>
      </c>
      <c r="H350" s="121">
        <v>20.902000000000001</v>
      </c>
      <c r="I350" s="128"/>
      <c r="L350" s="119"/>
      <c r="M350" s="129"/>
      <c r="T350" s="133"/>
      <c r="AT350" s="135" t="s">
        <v>365</v>
      </c>
      <c r="AU350" s="135" t="s">
        <v>87</v>
      </c>
      <c r="AV350" s="113" t="s">
        <v>87</v>
      </c>
      <c r="AW350" s="113" t="s">
        <v>33</v>
      </c>
      <c r="AX350" s="113" t="s">
        <v>77</v>
      </c>
      <c r="AY350" s="135" t="s">
        <v>211</v>
      </c>
    </row>
    <row r="351" spans="2:65" s="113" customFormat="1">
      <c r="B351" s="119"/>
      <c r="D351" s="105" t="s">
        <v>365</v>
      </c>
      <c r="E351" s="135" t="s">
        <v>1</v>
      </c>
      <c r="F351" s="120" t="s">
        <v>671</v>
      </c>
      <c r="H351" s="121">
        <v>8.0690000000000008</v>
      </c>
      <c r="I351" s="128"/>
      <c r="L351" s="119"/>
      <c r="M351" s="129"/>
      <c r="T351" s="133"/>
      <c r="AT351" s="135" t="s">
        <v>365</v>
      </c>
      <c r="AU351" s="135" t="s">
        <v>87</v>
      </c>
      <c r="AV351" s="113" t="s">
        <v>87</v>
      </c>
      <c r="AW351" s="113" t="s">
        <v>33</v>
      </c>
      <c r="AX351" s="113" t="s">
        <v>77</v>
      </c>
      <c r="AY351" s="135" t="s">
        <v>211</v>
      </c>
    </row>
    <row r="352" spans="2:65" s="113" customFormat="1">
      <c r="B352" s="119"/>
      <c r="D352" s="105" t="s">
        <v>365</v>
      </c>
      <c r="E352" s="135" t="s">
        <v>1</v>
      </c>
      <c r="F352" s="120" t="s">
        <v>672</v>
      </c>
      <c r="H352" s="121">
        <v>5.1159999999999997</v>
      </c>
      <c r="I352" s="128"/>
      <c r="L352" s="119"/>
      <c r="M352" s="129"/>
      <c r="T352" s="133"/>
      <c r="AT352" s="135" t="s">
        <v>365</v>
      </c>
      <c r="AU352" s="135" t="s">
        <v>87</v>
      </c>
      <c r="AV352" s="113" t="s">
        <v>87</v>
      </c>
      <c r="AW352" s="113" t="s">
        <v>33</v>
      </c>
      <c r="AX352" s="113" t="s">
        <v>77</v>
      </c>
      <c r="AY352" s="135" t="s">
        <v>211</v>
      </c>
    </row>
    <row r="353" spans="2:65" s="113" customFormat="1">
      <c r="B353" s="119"/>
      <c r="D353" s="105" t="s">
        <v>365</v>
      </c>
      <c r="E353" s="135" t="s">
        <v>1</v>
      </c>
      <c r="F353" s="120" t="s">
        <v>673</v>
      </c>
      <c r="H353" s="121">
        <v>8.0459999999999994</v>
      </c>
      <c r="I353" s="128"/>
      <c r="L353" s="119"/>
      <c r="M353" s="129"/>
      <c r="T353" s="133"/>
      <c r="AT353" s="135" t="s">
        <v>365</v>
      </c>
      <c r="AU353" s="135" t="s">
        <v>87</v>
      </c>
      <c r="AV353" s="113" t="s">
        <v>87</v>
      </c>
      <c r="AW353" s="113" t="s">
        <v>33</v>
      </c>
      <c r="AX353" s="113" t="s">
        <v>77</v>
      </c>
      <c r="AY353" s="135" t="s">
        <v>211</v>
      </c>
    </row>
    <row r="354" spans="2:65" s="113" customFormat="1">
      <c r="B354" s="119"/>
      <c r="D354" s="105" t="s">
        <v>365</v>
      </c>
      <c r="E354" s="135" t="s">
        <v>1</v>
      </c>
      <c r="F354" s="120" t="s">
        <v>674</v>
      </c>
      <c r="H354" s="121">
        <v>3.9849999999999999</v>
      </c>
      <c r="I354" s="128"/>
      <c r="L354" s="119"/>
      <c r="M354" s="129"/>
      <c r="T354" s="133"/>
      <c r="AT354" s="135" t="s">
        <v>365</v>
      </c>
      <c r="AU354" s="135" t="s">
        <v>87</v>
      </c>
      <c r="AV354" s="113" t="s">
        <v>87</v>
      </c>
      <c r="AW354" s="113" t="s">
        <v>33</v>
      </c>
      <c r="AX354" s="113" t="s">
        <v>77</v>
      </c>
      <c r="AY354" s="135" t="s">
        <v>211</v>
      </c>
    </row>
    <row r="355" spans="2:65" s="113" customFormat="1">
      <c r="B355" s="119"/>
      <c r="D355" s="105" t="s">
        <v>365</v>
      </c>
      <c r="E355" s="135" t="s">
        <v>1</v>
      </c>
      <c r="F355" s="120" t="s">
        <v>675</v>
      </c>
      <c r="H355" s="121">
        <v>8.0459999999999994</v>
      </c>
      <c r="I355" s="128"/>
      <c r="L355" s="119"/>
      <c r="M355" s="129"/>
      <c r="T355" s="133"/>
      <c r="AT355" s="135" t="s">
        <v>365</v>
      </c>
      <c r="AU355" s="135" t="s">
        <v>87</v>
      </c>
      <c r="AV355" s="113" t="s">
        <v>87</v>
      </c>
      <c r="AW355" s="113" t="s">
        <v>33</v>
      </c>
      <c r="AX355" s="113" t="s">
        <v>77</v>
      </c>
      <c r="AY355" s="135" t="s">
        <v>211</v>
      </c>
    </row>
    <row r="356" spans="2:65" s="113" customFormat="1">
      <c r="B356" s="119"/>
      <c r="D356" s="105" t="s">
        <v>365</v>
      </c>
      <c r="E356" s="135" t="s">
        <v>1</v>
      </c>
      <c r="F356" s="120" t="s">
        <v>676</v>
      </c>
      <c r="H356" s="121">
        <v>3.92</v>
      </c>
      <c r="I356" s="128"/>
      <c r="L356" s="119"/>
      <c r="M356" s="129"/>
      <c r="T356" s="133"/>
      <c r="AT356" s="135" t="s">
        <v>365</v>
      </c>
      <c r="AU356" s="135" t="s">
        <v>87</v>
      </c>
      <c r="AV356" s="113" t="s">
        <v>87</v>
      </c>
      <c r="AW356" s="113" t="s">
        <v>33</v>
      </c>
      <c r="AX356" s="113" t="s">
        <v>77</v>
      </c>
      <c r="AY356" s="135" t="s">
        <v>211</v>
      </c>
    </row>
    <row r="357" spans="2:65" s="113" customFormat="1">
      <c r="B357" s="119"/>
      <c r="D357" s="105" t="s">
        <v>365</v>
      </c>
      <c r="E357" s="135" t="s">
        <v>1</v>
      </c>
      <c r="F357" s="120" t="s">
        <v>677</v>
      </c>
      <c r="H357" s="121">
        <v>8.7769999999999992</v>
      </c>
      <c r="I357" s="128"/>
      <c r="L357" s="119"/>
      <c r="M357" s="129"/>
      <c r="T357" s="133"/>
      <c r="AT357" s="135" t="s">
        <v>365</v>
      </c>
      <c r="AU357" s="135" t="s">
        <v>87</v>
      </c>
      <c r="AV357" s="113" t="s">
        <v>87</v>
      </c>
      <c r="AW357" s="113" t="s">
        <v>33</v>
      </c>
      <c r="AX357" s="113" t="s">
        <v>77</v>
      </c>
      <c r="AY357" s="135" t="s">
        <v>211</v>
      </c>
    </row>
    <row r="358" spans="2:65" s="113" customFormat="1">
      <c r="B358" s="119"/>
      <c r="D358" s="105" t="s">
        <v>365</v>
      </c>
      <c r="E358" s="135" t="s">
        <v>1</v>
      </c>
      <c r="F358" s="120" t="s">
        <v>678</v>
      </c>
      <c r="H358" s="121">
        <v>3.94</v>
      </c>
      <c r="I358" s="128"/>
      <c r="L358" s="119"/>
      <c r="M358" s="129"/>
      <c r="T358" s="133"/>
      <c r="AT358" s="135" t="s">
        <v>365</v>
      </c>
      <c r="AU358" s="135" t="s">
        <v>87</v>
      </c>
      <c r="AV358" s="113" t="s">
        <v>87</v>
      </c>
      <c r="AW358" s="113" t="s">
        <v>33</v>
      </c>
      <c r="AX358" s="113" t="s">
        <v>77</v>
      </c>
      <c r="AY358" s="135" t="s">
        <v>211</v>
      </c>
    </row>
    <row r="359" spans="2:65" s="137" customFormat="1">
      <c r="B359" s="141"/>
      <c r="D359" s="105" t="s">
        <v>365</v>
      </c>
      <c r="E359" s="142" t="s">
        <v>1</v>
      </c>
      <c r="F359" s="143" t="s">
        <v>368</v>
      </c>
      <c r="H359" s="144">
        <v>70.801000000000002</v>
      </c>
      <c r="I359" s="148"/>
      <c r="L359" s="141"/>
      <c r="M359" s="149"/>
      <c r="T359" s="151"/>
      <c r="AT359" s="142" t="s">
        <v>365</v>
      </c>
      <c r="AU359" s="142" t="s">
        <v>87</v>
      </c>
      <c r="AV359" s="137" t="s">
        <v>218</v>
      </c>
      <c r="AW359" s="137" t="s">
        <v>33</v>
      </c>
      <c r="AX359" s="137" t="s">
        <v>85</v>
      </c>
      <c r="AY359" s="142" t="s">
        <v>211</v>
      </c>
    </row>
    <row r="360" spans="2:65" s="1" customFormat="1" ht="16.5" customHeight="1">
      <c r="B360" s="12"/>
      <c r="C360" s="71" t="s">
        <v>679</v>
      </c>
      <c r="D360" s="71" t="s">
        <v>214</v>
      </c>
      <c r="E360" s="72" t="s">
        <v>680</v>
      </c>
      <c r="F360" s="73" t="s">
        <v>681</v>
      </c>
      <c r="G360" s="74" t="s">
        <v>357</v>
      </c>
      <c r="H360" s="75">
        <v>84.412000000000006</v>
      </c>
      <c r="I360" s="90">
        <v>4730</v>
      </c>
      <c r="J360" s="91">
        <f>ROUND(I360*H360,2)</f>
        <v>399268.76</v>
      </c>
      <c r="K360" s="92"/>
      <c r="L360" s="12"/>
      <c r="M360" s="93" t="s">
        <v>1</v>
      </c>
      <c r="N360" s="94" t="s">
        <v>42</v>
      </c>
      <c r="P360" s="95">
        <f>O360*H360</f>
        <v>0</v>
      </c>
      <c r="Q360" s="95">
        <v>2.4533</v>
      </c>
      <c r="R360" s="95">
        <f>Q360*H360</f>
        <v>207.0879596</v>
      </c>
      <c r="S360" s="95">
        <v>0</v>
      </c>
      <c r="T360" s="99">
        <f>S360*H360</f>
        <v>0</v>
      </c>
      <c r="AR360" s="101" t="s">
        <v>218</v>
      </c>
      <c r="AT360" s="101" t="s">
        <v>214</v>
      </c>
      <c r="AU360" s="101" t="s">
        <v>87</v>
      </c>
      <c r="AY360" s="23" t="s">
        <v>211</v>
      </c>
      <c r="BE360" s="104">
        <f>IF(N360="základní",J360,0)</f>
        <v>399268.76</v>
      </c>
      <c r="BF360" s="104">
        <f>IF(N360="snížená",J360,0)</f>
        <v>0</v>
      </c>
      <c r="BG360" s="104">
        <f>IF(N360="zákl. přenesená",J360,0)</f>
        <v>0</v>
      </c>
      <c r="BH360" s="104">
        <f>IF(N360="sníž. přenesená",J360,0)</f>
        <v>0</v>
      </c>
      <c r="BI360" s="104">
        <f>IF(N360="nulová",J360,0)</f>
        <v>0</v>
      </c>
      <c r="BJ360" s="23" t="s">
        <v>85</v>
      </c>
      <c r="BK360" s="104">
        <f>ROUND(I360*H360,2)</f>
        <v>399268.76</v>
      </c>
      <c r="BL360" s="23" t="s">
        <v>218</v>
      </c>
      <c r="BM360" s="101" t="s">
        <v>682</v>
      </c>
    </row>
    <row r="361" spans="2:65" s="1" customFormat="1" ht="19.2">
      <c r="B361" s="12"/>
      <c r="D361" s="105" t="s">
        <v>227</v>
      </c>
      <c r="F361" s="106" t="s">
        <v>479</v>
      </c>
      <c r="I361" s="107"/>
      <c r="L361" s="12"/>
      <c r="M361" s="108"/>
      <c r="T361" s="111"/>
      <c r="AT361" s="23" t="s">
        <v>227</v>
      </c>
      <c r="AU361" s="23" t="s">
        <v>87</v>
      </c>
    </row>
    <row r="362" spans="2:65" s="113" customFormat="1">
      <c r="B362" s="119"/>
      <c r="D362" s="105" t="s">
        <v>365</v>
      </c>
      <c r="E362" s="135" t="s">
        <v>1</v>
      </c>
      <c r="F362" s="120" t="s">
        <v>683</v>
      </c>
      <c r="H362" s="121">
        <v>9.7940000000000005</v>
      </c>
      <c r="I362" s="128"/>
      <c r="L362" s="119"/>
      <c r="M362" s="129"/>
      <c r="T362" s="133"/>
      <c r="AT362" s="135" t="s">
        <v>365</v>
      </c>
      <c r="AU362" s="135" t="s">
        <v>87</v>
      </c>
      <c r="AV362" s="113" t="s">
        <v>87</v>
      </c>
      <c r="AW362" s="113" t="s">
        <v>33</v>
      </c>
      <c r="AX362" s="113" t="s">
        <v>77</v>
      </c>
      <c r="AY362" s="135" t="s">
        <v>211</v>
      </c>
    </row>
    <row r="363" spans="2:65" s="113" customFormat="1">
      <c r="B363" s="119"/>
      <c r="D363" s="105" t="s">
        <v>365</v>
      </c>
      <c r="E363" s="135" t="s">
        <v>1</v>
      </c>
      <c r="F363" s="120" t="s">
        <v>684</v>
      </c>
      <c r="H363" s="121">
        <v>5.306</v>
      </c>
      <c r="I363" s="128"/>
      <c r="L363" s="119"/>
      <c r="M363" s="129"/>
      <c r="T363" s="133"/>
      <c r="AT363" s="135" t="s">
        <v>365</v>
      </c>
      <c r="AU363" s="135" t="s">
        <v>87</v>
      </c>
      <c r="AV363" s="113" t="s">
        <v>87</v>
      </c>
      <c r="AW363" s="113" t="s">
        <v>33</v>
      </c>
      <c r="AX363" s="113" t="s">
        <v>77</v>
      </c>
      <c r="AY363" s="135" t="s">
        <v>211</v>
      </c>
    </row>
    <row r="364" spans="2:65" s="113" customFormat="1">
      <c r="B364" s="119"/>
      <c r="D364" s="105" t="s">
        <v>365</v>
      </c>
      <c r="E364" s="135" t="s">
        <v>1</v>
      </c>
      <c r="F364" s="120" t="s">
        <v>685</v>
      </c>
      <c r="H364" s="121">
        <v>8.8339999999999996</v>
      </c>
      <c r="I364" s="128"/>
      <c r="L364" s="119"/>
      <c r="M364" s="129"/>
      <c r="T364" s="133"/>
      <c r="AT364" s="135" t="s">
        <v>365</v>
      </c>
      <c r="AU364" s="135" t="s">
        <v>87</v>
      </c>
      <c r="AV364" s="113" t="s">
        <v>87</v>
      </c>
      <c r="AW364" s="113" t="s">
        <v>33</v>
      </c>
      <c r="AX364" s="113" t="s">
        <v>77</v>
      </c>
      <c r="AY364" s="135" t="s">
        <v>211</v>
      </c>
    </row>
    <row r="365" spans="2:65" s="113" customFormat="1">
      <c r="B365" s="119"/>
      <c r="D365" s="105" t="s">
        <v>365</v>
      </c>
      <c r="E365" s="135" t="s">
        <v>1</v>
      </c>
      <c r="F365" s="120" t="s">
        <v>686</v>
      </c>
      <c r="H365" s="121">
        <v>9.4139999999999997</v>
      </c>
      <c r="I365" s="128"/>
      <c r="L365" s="119"/>
      <c r="M365" s="129"/>
      <c r="T365" s="133"/>
      <c r="AT365" s="135" t="s">
        <v>365</v>
      </c>
      <c r="AU365" s="135" t="s">
        <v>87</v>
      </c>
      <c r="AV365" s="113" t="s">
        <v>87</v>
      </c>
      <c r="AW365" s="113" t="s">
        <v>33</v>
      </c>
      <c r="AX365" s="113" t="s">
        <v>77</v>
      </c>
      <c r="AY365" s="135" t="s">
        <v>211</v>
      </c>
    </row>
    <row r="366" spans="2:65" s="113" customFormat="1">
      <c r="B366" s="119"/>
      <c r="D366" s="105" t="s">
        <v>365</v>
      </c>
      <c r="E366" s="135" t="s">
        <v>1</v>
      </c>
      <c r="F366" s="120" t="s">
        <v>684</v>
      </c>
      <c r="H366" s="121">
        <v>5.306</v>
      </c>
      <c r="I366" s="128"/>
      <c r="L366" s="119"/>
      <c r="M366" s="129"/>
      <c r="T366" s="133"/>
      <c r="AT366" s="135" t="s">
        <v>365</v>
      </c>
      <c r="AU366" s="135" t="s">
        <v>87</v>
      </c>
      <c r="AV366" s="113" t="s">
        <v>87</v>
      </c>
      <c r="AW366" s="113" t="s">
        <v>33</v>
      </c>
      <c r="AX366" s="113" t="s">
        <v>77</v>
      </c>
      <c r="AY366" s="135" t="s">
        <v>211</v>
      </c>
    </row>
    <row r="367" spans="2:65" s="113" customFormat="1">
      <c r="B367" s="119"/>
      <c r="D367" s="105" t="s">
        <v>365</v>
      </c>
      <c r="E367" s="135" t="s">
        <v>1</v>
      </c>
      <c r="F367" s="120" t="s">
        <v>687</v>
      </c>
      <c r="H367" s="121">
        <v>5.9740000000000002</v>
      </c>
      <c r="I367" s="128"/>
      <c r="L367" s="119"/>
      <c r="M367" s="129"/>
      <c r="T367" s="133"/>
      <c r="AT367" s="135" t="s">
        <v>365</v>
      </c>
      <c r="AU367" s="135" t="s">
        <v>87</v>
      </c>
      <c r="AV367" s="113" t="s">
        <v>87</v>
      </c>
      <c r="AW367" s="113" t="s">
        <v>33</v>
      </c>
      <c r="AX367" s="113" t="s">
        <v>77</v>
      </c>
      <c r="AY367" s="135" t="s">
        <v>211</v>
      </c>
    </row>
    <row r="368" spans="2:65" s="113" customFormat="1">
      <c r="B368" s="119"/>
      <c r="D368" s="105" t="s">
        <v>365</v>
      </c>
      <c r="E368" s="135" t="s">
        <v>1</v>
      </c>
      <c r="F368" s="120" t="s">
        <v>688</v>
      </c>
      <c r="H368" s="121">
        <v>9.2460000000000004</v>
      </c>
      <c r="I368" s="128"/>
      <c r="L368" s="119"/>
      <c r="M368" s="129"/>
      <c r="T368" s="133"/>
      <c r="AT368" s="135" t="s">
        <v>365</v>
      </c>
      <c r="AU368" s="135" t="s">
        <v>87</v>
      </c>
      <c r="AV368" s="113" t="s">
        <v>87</v>
      </c>
      <c r="AW368" s="113" t="s">
        <v>33</v>
      </c>
      <c r="AX368" s="113" t="s">
        <v>77</v>
      </c>
      <c r="AY368" s="135" t="s">
        <v>211</v>
      </c>
    </row>
    <row r="369" spans="2:65" s="113" customFormat="1">
      <c r="B369" s="119"/>
      <c r="D369" s="105" t="s">
        <v>365</v>
      </c>
      <c r="E369" s="135" t="s">
        <v>1</v>
      </c>
      <c r="F369" s="120" t="s">
        <v>689</v>
      </c>
      <c r="H369" s="121">
        <v>5.2060000000000004</v>
      </c>
      <c r="I369" s="128"/>
      <c r="L369" s="119"/>
      <c r="M369" s="129"/>
      <c r="T369" s="133"/>
      <c r="AT369" s="135" t="s">
        <v>365</v>
      </c>
      <c r="AU369" s="135" t="s">
        <v>87</v>
      </c>
      <c r="AV369" s="113" t="s">
        <v>87</v>
      </c>
      <c r="AW369" s="113" t="s">
        <v>33</v>
      </c>
      <c r="AX369" s="113" t="s">
        <v>77</v>
      </c>
      <c r="AY369" s="135" t="s">
        <v>211</v>
      </c>
    </row>
    <row r="370" spans="2:65" s="113" customFormat="1">
      <c r="B370" s="119"/>
      <c r="D370" s="105" t="s">
        <v>365</v>
      </c>
      <c r="E370" s="135" t="s">
        <v>1</v>
      </c>
      <c r="F370" s="120" t="s">
        <v>690</v>
      </c>
      <c r="H370" s="121">
        <v>4.0640000000000001</v>
      </c>
      <c r="I370" s="128"/>
      <c r="L370" s="119"/>
      <c r="M370" s="129"/>
      <c r="T370" s="133"/>
      <c r="AT370" s="135" t="s">
        <v>365</v>
      </c>
      <c r="AU370" s="135" t="s">
        <v>87</v>
      </c>
      <c r="AV370" s="113" t="s">
        <v>87</v>
      </c>
      <c r="AW370" s="113" t="s">
        <v>33</v>
      </c>
      <c r="AX370" s="113" t="s">
        <v>77</v>
      </c>
      <c r="AY370" s="135" t="s">
        <v>211</v>
      </c>
    </row>
    <row r="371" spans="2:65" s="113" customFormat="1">
      <c r="B371" s="119"/>
      <c r="D371" s="105" t="s">
        <v>365</v>
      </c>
      <c r="E371" s="135" t="s">
        <v>1</v>
      </c>
      <c r="F371" s="120" t="s">
        <v>691</v>
      </c>
      <c r="H371" s="121">
        <v>9.8379999999999992</v>
      </c>
      <c r="I371" s="128"/>
      <c r="L371" s="119"/>
      <c r="M371" s="129"/>
      <c r="T371" s="133"/>
      <c r="AT371" s="135" t="s">
        <v>365</v>
      </c>
      <c r="AU371" s="135" t="s">
        <v>87</v>
      </c>
      <c r="AV371" s="113" t="s">
        <v>87</v>
      </c>
      <c r="AW371" s="113" t="s">
        <v>33</v>
      </c>
      <c r="AX371" s="113" t="s">
        <v>77</v>
      </c>
      <c r="AY371" s="135" t="s">
        <v>211</v>
      </c>
    </row>
    <row r="372" spans="2:65" s="113" customFormat="1">
      <c r="B372" s="119"/>
      <c r="D372" s="105" t="s">
        <v>365</v>
      </c>
      <c r="E372" s="135" t="s">
        <v>1</v>
      </c>
      <c r="F372" s="120" t="s">
        <v>692</v>
      </c>
      <c r="H372" s="121">
        <v>5.38</v>
      </c>
      <c r="I372" s="128"/>
      <c r="L372" s="119"/>
      <c r="M372" s="129"/>
      <c r="T372" s="133"/>
      <c r="AT372" s="135" t="s">
        <v>365</v>
      </c>
      <c r="AU372" s="135" t="s">
        <v>87</v>
      </c>
      <c r="AV372" s="113" t="s">
        <v>87</v>
      </c>
      <c r="AW372" s="113" t="s">
        <v>33</v>
      </c>
      <c r="AX372" s="113" t="s">
        <v>77</v>
      </c>
      <c r="AY372" s="135" t="s">
        <v>211</v>
      </c>
    </row>
    <row r="373" spans="2:65" s="113" customFormat="1">
      <c r="B373" s="119"/>
      <c r="D373" s="105" t="s">
        <v>365</v>
      </c>
      <c r="E373" s="135" t="s">
        <v>1</v>
      </c>
      <c r="F373" s="120" t="s">
        <v>693</v>
      </c>
      <c r="H373" s="121">
        <v>6.05</v>
      </c>
      <c r="I373" s="128"/>
      <c r="L373" s="119"/>
      <c r="M373" s="129"/>
      <c r="T373" s="133"/>
      <c r="AT373" s="135" t="s">
        <v>365</v>
      </c>
      <c r="AU373" s="135" t="s">
        <v>87</v>
      </c>
      <c r="AV373" s="113" t="s">
        <v>87</v>
      </c>
      <c r="AW373" s="113" t="s">
        <v>33</v>
      </c>
      <c r="AX373" s="113" t="s">
        <v>77</v>
      </c>
      <c r="AY373" s="135" t="s">
        <v>211</v>
      </c>
    </row>
    <row r="374" spans="2:65" s="137" customFormat="1">
      <c r="B374" s="141"/>
      <c r="D374" s="105" t="s">
        <v>365</v>
      </c>
      <c r="E374" s="142" t="s">
        <v>1</v>
      </c>
      <c r="F374" s="143" t="s">
        <v>368</v>
      </c>
      <c r="H374" s="144">
        <v>84.412000000000006</v>
      </c>
      <c r="I374" s="148"/>
      <c r="L374" s="141"/>
      <c r="M374" s="149"/>
      <c r="T374" s="151"/>
      <c r="AT374" s="142" t="s">
        <v>365</v>
      </c>
      <c r="AU374" s="142" t="s">
        <v>87</v>
      </c>
      <c r="AV374" s="137" t="s">
        <v>218</v>
      </c>
      <c r="AW374" s="137" t="s">
        <v>33</v>
      </c>
      <c r="AX374" s="137" t="s">
        <v>85</v>
      </c>
      <c r="AY374" s="142" t="s">
        <v>211</v>
      </c>
    </row>
    <row r="375" spans="2:65" s="1" customFormat="1" ht="16.5" customHeight="1">
      <c r="B375" s="12"/>
      <c r="C375" s="71" t="s">
        <v>694</v>
      </c>
      <c r="D375" s="71" t="s">
        <v>214</v>
      </c>
      <c r="E375" s="72" t="s">
        <v>695</v>
      </c>
      <c r="F375" s="73" t="s">
        <v>696</v>
      </c>
      <c r="G375" s="74" t="s">
        <v>357</v>
      </c>
      <c r="H375" s="75">
        <v>139.089</v>
      </c>
      <c r="I375" s="90">
        <v>4730</v>
      </c>
      <c r="J375" s="91">
        <f>ROUND(I375*H375,2)</f>
        <v>657890.97</v>
      </c>
      <c r="K375" s="92"/>
      <c r="L375" s="12"/>
      <c r="M375" s="93" t="s">
        <v>1</v>
      </c>
      <c r="N375" s="94" t="s">
        <v>42</v>
      </c>
      <c r="P375" s="95">
        <f>O375*H375</f>
        <v>0</v>
      </c>
      <c r="Q375" s="95">
        <v>2.4533</v>
      </c>
      <c r="R375" s="95">
        <f>Q375*H375</f>
        <v>341.22704370000002</v>
      </c>
      <c r="S375" s="95">
        <v>0</v>
      </c>
      <c r="T375" s="99">
        <f>S375*H375</f>
        <v>0</v>
      </c>
      <c r="AR375" s="101" t="s">
        <v>218</v>
      </c>
      <c r="AT375" s="101" t="s">
        <v>214</v>
      </c>
      <c r="AU375" s="101" t="s">
        <v>87</v>
      </c>
      <c r="AY375" s="23" t="s">
        <v>211</v>
      </c>
      <c r="BE375" s="104">
        <f>IF(N375="základní",J375,0)</f>
        <v>657890.97</v>
      </c>
      <c r="BF375" s="104">
        <f>IF(N375="snížená",J375,0)</f>
        <v>0</v>
      </c>
      <c r="BG375" s="104">
        <f>IF(N375="zákl. přenesená",J375,0)</f>
        <v>0</v>
      </c>
      <c r="BH375" s="104">
        <f>IF(N375="sníž. přenesená",J375,0)</f>
        <v>0</v>
      </c>
      <c r="BI375" s="104">
        <f>IF(N375="nulová",J375,0)</f>
        <v>0</v>
      </c>
      <c r="BJ375" s="23" t="s">
        <v>85</v>
      </c>
      <c r="BK375" s="104">
        <f>ROUND(I375*H375,2)</f>
        <v>657890.97</v>
      </c>
      <c r="BL375" s="23" t="s">
        <v>218</v>
      </c>
      <c r="BM375" s="101" t="s">
        <v>697</v>
      </c>
    </row>
    <row r="376" spans="2:65" s="1" customFormat="1" ht="19.2">
      <c r="B376" s="12"/>
      <c r="D376" s="105" t="s">
        <v>227</v>
      </c>
      <c r="F376" s="106" t="s">
        <v>479</v>
      </c>
      <c r="I376" s="107"/>
      <c r="L376" s="12"/>
      <c r="M376" s="108"/>
      <c r="T376" s="111"/>
      <c r="AT376" s="23" t="s">
        <v>227</v>
      </c>
      <c r="AU376" s="23" t="s">
        <v>87</v>
      </c>
    </row>
    <row r="377" spans="2:65" s="113" customFormat="1">
      <c r="B377" s="119"/>
      <c r="D377" s="105" t="s">
        <v>365</v>
      </c>
      <c r="E377" s="135" t="s">
        <v>1</v>
      </c>
      <c r="F377" s="120" t="s">
        <v>698</v>
      </c>
      <c r="H377" s="121">
        <v>28.033000000000001</v>
      </c>
      <c r="I377" s="128"/>
      <c r="L377" s="119"/>
      <c r="M377" s="129"/>
      <c r="T377" s="133"/>
      <c r="AT377" s="135" t="s">
        <v>365</v>
      </c>
      <c r="AU377" s="135" t="s">
        <v>87</v>
      </c>
      <c r="AV377" s="113" t="s">
        <v>87</v>
      </c>
      <c r="AW377" s="113" t="s">
        <v>33</v>
      </c>
      <c r="AX377" s="113" t="s">
        <v>77</v>
      </c>
      <c r="AY377" s="135" t="s">
        <v>211</v>
      </c>
    </row>
    <row r="378" spans="2:65" s="113" customFormat="1">
      <c r="B378" s="119"/>
      <c r="D378" s="105" t="s">
        <v>365</v>
      </c>
      <c r="E378" s="135" t="s">
        <v>1</v>
      </c>
      <c r="F378" s="120" t="s">
        <v>699</v>
      </c>
      <c r="H378" s="121">
        <v>4.5780000000000003</v>
      </c>
      <c r="I378" s="128"/>
      <c r="L378" s="119"/>
      <c r="M378" s="129"/>
      <c r="T378" s="133"/>
      <c r="AT378" s="135" t="s">
        <v>365</v>
      </c>
      <c r="AU378" s="135" t="s">
        <v>87</v>
      </c>
      <c r="AV378" s="113" t="s">
        <v>87</v>
      </c>
      <c r="AW378" s="113" t="s">
        <v>33</v>
      </c>
      <c r="AX378" s="113" t="s">
        <v>77</v>
      </c>
      <c r="AY378" s="135" t="s">
        <v>211</v>
      </c>
    </row>
    <row r="379" spans="2:65" s="113" customFormat="1">
      <c r="B379" s="119"/>
      <c r="D379" s="105" t="s">
        <v>365</v>
      </c>
      <c r="E379" s="135" t="s">
        <v>1</v>
      </c>
      <c r="F379" s="120" t="s">
        <v>700</v>
      </c>
      <c r="H379" s="121">
        <v>11.765000000000001</v>
      </c>
      <c r="I379" s="128"/>
      <c r="L379" s="119"/>
      <c r="M379" s="129"/>
      <c r="T379" s="133"/>
      <c r="AT379" s="135" t="s">
        <v>365</v>
      </c>
      <c r="AU379" s="135" t="s">
        <v>87</v>
      </c>
      <c r="AV379" s="113" t="s">
        <v>87</v>
      </c>
      <c r="AW379" s="113" t="s">
        <v>33</v>
      </c>
      <c r="AX379" s="113" t="s">
        <v>77</v>
      </c>
      <c r="AY379" s="135" t="s">
        <v>211</v>
      </c>
    </row>
    <row r="380" spans="2:65" s="113" customFormat="1">
      <c r="B380" s="119"/>
      <c r="D380" s="105" t="s">
        <v>365</v>
      </c>
      <c r="E380" s="135" t="s">
        <v>1</v>
      </c>
      <c r="F380" s="120" t="s">
        <v>701</v>
      </c>
      <c r="H380" s="121">
        <v>26.068000000000001</v>
      </c>
      <c r="I380" s="128"/>
      <c r="L380" s="119"/>
      <c r="M380" s="129"/>
      <c r="T380" s="133"/>
      <c r="AT380" s="135" t="s">
        <v>365</v>
      </c>
      <c r="AU380" s="135" t="s">
        <v>87</v>
      </c>
      <c r="AV380" s="113" t="s">
        <v>87</v>
      </c>
      <c r="AW380" s="113" t="s">
        <v>33</v>
      </c>
      <c r="AX380" s="113" t="s">
        <v>77</v>
      </c>
      <c r="AY380" s="135" t="s">
        <v>211</v>
      </c>
    </row>
    <row r="381" spans="2:65" s="113" customFormat="1">
      <c r="B381" s="119"/>
      <c r="D381" s="105" t="s">
        <v>365</v>
      </c>
      <c r="E381" s="135" t="s">
        <v>1</v>
      </c>
      <c r="F381" s="120" t="s">
        <v>702</v>
      </c>
      <c r="H381" s="121">
        <v>24.608000000000001</v>
      </c>
      <c r="I381" s="128"/>
      <c r="L381" s="119"/>
      <c r="M381" s="129"/>
      <c r="T381" s="133"/>
      <c r="AT381" s="135" t="s">
        <v>365</v>
      </c>
      <c r="AU381" s="135" t="s">
        <v>87</v>
      </c>
      <c r="AV381" s="113" t="s">
        <v>87</v>
      </c>
      <c r="AW381" s="113" t="s">
        <v>33</v>
      </c>
      <c r="AX381" s="113" t="s">
        <v>77</v>
      </c>
      <c r="AY381" s="135" t="s">
        <v>211</v>
      </c>
    </row>
    <row r="382" spans="2:65" s="113" customFormat="1">
      <c r="B382" s="119"/>
      <c r="D382" s="105" t="s">
        <v>365</v>
      </c>
      <c r="E382" s="135" t="s">
        <v>1</v>
      </c>
      <c r="F382" s="120" t="s">
        <v>703</v>
      </c>
      <c r="H382" s="121">
        <v>22.218</v>
      </c>
      <c r="I382" s="128"/>
      <c r="L382" s="119"/>
      <c r="M382" s="129"/>
      <c r="T382" s="133"/>
      <c r="AT382" s="135" t="s">
        <v>365</v>
      </c>
      <c r="AU382" s="135" t="s">
        <v>87</v>
      </c>
      <c r="AV382" s="113" t="s">
        <v>87</v>
      </c>
      <c r="AW382" s="113" t="s">
        <v>33</v>
      </c>
      <c r="AX382" s="113" t="s">
        <v>77</v>
      </c>
      <c r="AY382" s="135" t="s">
        <v>211</v>
      </c>
    </row>
    <row r="383" spans="2:65" s="113" customFormat="1">
      <c r="B383" s="119"/>
      <c r="D383" s="105" t="s">
        <v>365</v>
      </c>
      <c r="E383" s="135" t="s">
        <v>1</v>
      </c>
      <c r="F383" s="120" t="s">
        <v>704</v>
      </c>
      <c r="H383" s="121">
        <v>21.818999999999999</v>
      </c>
      <c r="I383" s="128"/>
      <c r="L383" s="119"/>
      <c r="M383" s="129"/>
      <c r="T383" s="133"/>
      <c r="AT383" s="135" t="s">
        <v>365</v>
      </c>
      <c r="AU383" s="135" t="s">
        <v>87</v>
      </c>
      <c r="AV383" s="113" t="s">
        <v>87</v>
      </c>
      <c r="AW383" s="113" t="s">
        <v>33</v>
      </c>
      <c r="AX383" s="113" t="s">
        <v>77</v>
      </c>
      <c r="AY383" s="135" t="s">
        <v>211</v>
      </c>
    </row>
    <row r="384" spans="2:65" s="137" customFormat="1">
      <c r="B384" s="141"/>
      <c r="D384" s="105" t="s">
        <v>365</v>
      </c>
      <c r="E384" s="142" t="s">
        <v>1</v>
      </c>
      <c r="F384" s="143" t="s">
        <v>368</v>
      </c>
      <c r="H384" s="144">
        <v>139.089</v>
      </c>
      <c r="I384" s="148"/>
      <c r="L384" s="141"/>
      <c r="M384" s="149"/>
      <c r="T384" s="151"/>
      <c r="AT384" s="142" t="s">
        <v>365</v>
      </c>
      <c r="AU384" s="142" t="s">
        <v>87</v>
      </c>
      <c r="AV384" s="137" t="s">
        <v>218</v>
      </c>
      <c r="AW384" s="137" t="s">
        <v>33</v>
      </c>
      <c r="AX384" s="137" t="s">
        <v>85</v>
      </c>
      <c r="AY384" s="142" t="s">
        <v>211</v>
      </c>
    </row>
    <row r="385" spans="2:65" s="1" customFormat="1" ht="16.5" customHeight="1">
      <c r="B385" s="12"/>
      <c r="C385" s="71" t="s">
        <v>705</v>
      </c>
      <c r="D385" s="71" t="s">
        <v>214</v>
      </c>
      <c r="E385" s="72" t="s">
        <v>706</v>
      </c>
      <c r="F385" s="73" t="s">
        <v>707</v>
      </c>
      <c r="G385" s="74" t="s">
        <v>357</v>
      </c>
      <c r="H385" s="75">
        <v>12.345000000000001</v>
      </c>
      <c r="I385" s="90">
        <v>4730</v>
      </c>
      <c r="J385" s="91">
        <f>ROUND(I385*H385,2)</f>
        <v>58391.85</v>
      </c>
      <c r="K385" s="92"/>
      <c r="L385" s="12"/>
      <c r="M385" s="93" t="s">
        <v>1</v>
      </c>
      <c r="N385" s="94" t="s">
        <v>42</v>
      </c>
      <c r="P385" s="95">
        <f>O385*H385</f>
        <v>0</v>
      </c>
      <c r="Q385" s="95">
        <v>2.4533999999999998</v>
      </c>
      <c r="R385" s="95">
        <f>Q385*H385</f>
        <v>30.287223000000001</v>
      </c>
      <c r="S385" s="95">
        <v>0</v>
      </c>
      <c r="T385" s="99">
        <f>S385*H385</f>
        <v>0</v>
      </c>
      <c r="AR385" s="101" t="s">
        <v>218</v>
      </c>
      <c r="AT385" s="101" t="s">
        <v>214</v>
      </c>
      <c r="AU385" s="101" t="s">
        <v>87</v>
      </c>
      <c r="AY385" s="23" t="s">
        <v>211</v>
      </c>
      <c r="BE385" s="104">
        <f>IF(N385="základní",J385,0)</f>
        <v>58391.85</v>
      </c>
      <c r="BF385" s="104">
        <f>IF(N385="snížená",J385,0)</f>
        <v>0</v>
      </c>
      <c r="BG385" s="104">
        <f>IF(N385="zákl. přenesená",J385,0)</f>
        <v>0</v>
      </c>
      <c r="BH385" s="104">
        <f>IF(N385="sníž. přenesená",J385,0)</f>
        <v>0</v>
      </c>
      <c r="BI385" s="104">
        <f>IF(N385="nulová",J385,0)</f>
        <v>0</v>
      </c>
      <c r="BJ385" s="23" t="s">
        <v>85</v>
      </c>
      <c r="BK385" s="104">
        <f>ROUND(I385*H385,2)</f>
        <v>58391.85</v>
      </c>
      <c r="BL385" s="23" t="s">
        <v>218</v>
      </c>
      <c r="BM385" s="101" t="s">
        <v>708</v>
      </c>
    </row>
    <row r="386" spans="2:65" s="1" customFormat="1" ht="19.2">
      <c r="B386" s="12"/>
      <c r="D386" s="105" t="s">
        <v>227</v>
      </c>
      <c r="F386" s="106" t="s">
        <v>479</v>
      </c>
      <c r="I386" s="107"/>
      <c r="L386" s="12"/>
      <c r="M386" s="108"/>
      <c r="T386" s="111"/>
      <c r="AT386" s="23" t="s">
        <v>227</v>
      </c>
      <c r="AU386" s="23" t="s">
        <v>87</v>
      </c>
    </row>
    <row r="387" spans="2:65" s="113" customFormat="1">
      <c r="B387" s="119"/>
      <c r="D387" s="105" t="s">
        <v>365</v>
      </c>
      <c r="E387" s="135" t="s">
        <v>1</v>
      </c>
      <c r="F387" s="120" t="s">
        <v>709</v>
      </c>
      <c r="H387" s="121">
        <v>3.3149999999999999</v>
      </c>
      <c r="I387" s="128"/>
      <c r="L387" s="119"/>
      <c r="M387" s="129"/>
      <c r="T387" s="133"/>
      <c r="AT387" s="135" t="s">
        <v>365</v>
      </c>
      <c r="AU387" s="135" t="s">
        <v>87</v>
      </c>
      <c r="AV387" s="113" t="s">
        <v>87</v>
      </c>
      <c r="AW387" s="113" t="s">
        <v>33</v>
      </c>
      <c r="AX387" s="113" t="s">
        <v>77</v>
      </c>
      <c r="AY387" s="135" t="s">
        <v>211</v>
      </c>
    </row>
    <row r="388" spans="2:65" s="113" customFormat="1">
      <c r="B388" s="119"/>
      <c r="D388" s="105" t="s">
        <v>365</v>
      </c>
      <c r="E388" s="135" t="s">
        <v>1</v>
      </c>
      <c r="F388" s="120" t="s">
        <v>710</v>
      </c>
      <c r="H388" s="121">
        <v>2.1480000000000001</v>
      </c>
      <c r="I388" s="128"/>
      <c r="L388" s="119"/>
      <c r="M388" s="129"/>
      <c r="T388" s="133"/>
      <c r="AT388" s="135" t="s">
        <v>365</v>
      </c>
      <c r="AU388" s="135" t="s">
        <v>87</v>
      </c>
      <c r="AV388" s="113" t="s">
        <v>87</v>
      </c>
      <c r="AW388" s="113" t="s">
        <v>33</v>
      </c>
      <c r="AX388" s="113" t="s">
        <v>77</v>
      </c>
      <c r="AY388" s="135" t="s">
        <v>211</v>
      </c>
    </row>
    <row r="389" spans="2:65" s="113" customFormat="1">
      <c r="B389" s="119"/>
      <c r="D389" s="105" t="s">
        <v>365</v>
      </c>
      <c r="E389" s="135" t="s">
        <v>1</v>
      </c>
      <c r="F389" s="120" t="s">
        <v>711</v>
      </c>
      <c r="H389" s="121">
        <v>2.8740000000000001</v>
      </c>
      <c r="I389" s="128"/>
      <c r="L389" s="119"/>
      <c r="M389" s="129"/>
      <c r="T389" s="133"/>
      <c r="AT389" s="135" t="s">
        <v>365</v>
      </c>
      <c r="AU389" s="135" t="s">
        <v>87</v>
      </c>
      <c r="AV389" s="113" t="s">
        <v>87</v>
      </c>
      <c r="AW389" s="113" t="s">
        <v>33</v>
      </c>
      <c r="AX389" s="113" t="s">
        <v>77</v>
      </c>
      <c r="AY389" s="135" t="s">
        <v>211</v>
      </c>
    </row>
    <row r="390" spans="2:65" s="113" customFormat="1">
      <c r="B390" s="119"/>
      <c r="D390" s="105" t="s">
        <v>365</v>
      </c>
      <c r="E390" s="135" t="s">
        <v>1</v>
      </c>
      <c r="F390" s="120" t="s">
        <v>712</v>
      </c>
      <c r="H390" s="121">
        <v>4.008</v>
      </c>
      <c r="I390" s="128"/>
      <c r="L390" s="119"/>
      <c r="M390" s="129"/>
      <c r="T390" s="133"/>
      <c r="AT390" s="135" t="s">
        <v>365</v>
      </c>
      <c r="AU390" s="135" t="s">
        <v>87</v>
      </c>
      <c r="AV390" s="113" t="s">
        <v>87</v>
      </c>
      <c r="AW390" s="113" t="s">
        <v>33</v>
      </c>
      <c r="AX390" s="113" t="s">
        <v>77</v>
      </c>
      <c r="AY390" s="135" t="s">
        <v>211</v>
      </c>
    </row>
    <row r="391" spans="2:65" s="137" customFormat="1">
      <c r="B391" s="141"/>
      <c r="D391" s="105" t="s">
        <v>365</v>
      </c>
      <c r="E391" s="142" t="s">
        <v>1</v>
      </c>
      <c r="F391" s="143" t="s">
        <v>368</v>
      </c>
      <c r="H391" s="144">
        <v>12.345000000000001</v>
      </c>
      <c r="I391" s="148"/>
      <c r="L391" s="141"/>
      <c r="M391" s="149"/>
      <c r="T391" s="151"/>
      <c r="AT391" s="142" t="s">
        <v>365</v>
      </c>
      <c r="AU391" s="142" t="s">
        <v>87</v>
      </c>
      <c r="AV391" s="137" t="s">
        <v>218</v>
      </c>
      <c r="AW391" s="137" t="s">
        <v>33</v>
      </c>
      <c r="AX391" s="137" t="s">
        <v>85</v>
      </c>
      <c r="AY391" s="142" t="s">
        <v>211</v>
      </c>
    </row>
    <row r="392" spans="2:65" s="1" customFormat="1" ht="16.5" customHeight="1">
      <c r="B392" s="12"/>
      <c r="C392" s="71" t="s">
        <v>713</v>
      </c>
      <c r="D392" s="71" t="s">
        <v>214</v>
      </c>
      <c r="E392" s="72" t="s">
        <v>714</v>
      </c>
      <c r="F392" s="73" t="s">
        <v>715</v>
      </c>
      <c r="G392" s="74" t="s">
        <v>357</v>
      </c>
      <c r="H392" s="75">
        <v>2.3069999999999999</v>
      </c>
      <c r="I392" s="90">
        <v>4730</v>
      </c>
      <c r="J392" s="91">
        <f>ROUND(I392*H392,2)</f>
        <v>10912.11</v>
      </c>
      <c r="K392" s="92"/>
      <c r="L392" s="12"/>
      <c r="M392" s="93" t="s">
        <v>1</v>
      </c>
      <c r="N392" s="94" t="s">
        <v>42</v>
      </c>
      <c r="P392" s="95">
        <f>O392*H392</f>
        <v>0</v>
      </c>
      <c r="Q392" s="95">
        <v>2.4533</v>
      </c>
      <c r="R392" s="95">
        <f>Q392*H392</f>
        <v>5.6597631000000002</v>
      </c>
      <c r="S392" s="95">
        <v>0</v>
      </c>
      <c r="T392" s="99">
        <f>S392*H392</f>
        <v>0</v>
      </c>
      <c r="AR392" s="101" t="s">
        <v>218</v>
      </c>
      <c r="AT392" s="101" t="s">
        <v>214</v>
      </c>
      <c r="AU392" s="101" t="s">
        <v>87</v>
      </c>
      <c r="AY392" s="23" t="s">
        <v>211</v>
      </c>
      <c r="BE392" s="104">
        <f>IF(N392="základní",J392,0)</f>
        <v>10912.11</v>
      </c>
      <c r="BF392" s="104">
        <f>IF(N392="snížená",J392,0)</f>
        <v>0</v>
      </c>
      <c r="BG392" s="104">
        <f>IF(N392="zákl. přenesená",J392,0)</f>
        <v>0</v>
      </c>
      <c r="BH392" s="104">
        <f>IF(N392="sníž. přenesená",J392,0)</f>
        <v>0</v>
      </c>
      <c r="BI392" s="104">
        <f>IF(N392="nulová",J392,0)</f>
        <v>0</v>
      </c>
      <c r="BJ392" s="23" t="s">
        <v>85</v>
      </c>
      <c r="BK392" s="104">
        <f>ROUND(I392*H392,2)</f>
        <v>10912.11</v>
      </c>
      <c r="BL392" s="23" t="s">
        <v>218</v>
      </c>
      <c r="BM392" s="101" t="s">
        <v>716</v>
      </c>
    </row>
    <row r="393" spans="2:65" s="1" customFormat="1" ht="19.2">
      <c r="B393" s="12"/>
      <c r="D393" s="105" t="s">
        <v>227</v>
      </c>
      <c r="F393" s="106" t="s">
        <v>479</v>
      </c>
      <c r="I393" s="107"/>
      <c r="L393" s="12"/>
      <c r="M393" s="108"/>
      <c r="T393" s="111"/>
      <c r="AT393" s="23" t="s">
        <v>227</v>
      </c>
      <c r="AU393" s="23" t="s">
        <v>87</v>
      </c>
    </row>
    <row r="394" spans="2:65" s="136" customFormat="1">
      <c r="B394" s="138"/>
      <c r="D394" s="105" t="s">
        <v>365</v>
      </c>
      <c r="E394" s="139" t="s">
        <v>1</v>
      </c>
      <c r="F394" s="140" t="s">
        <v>717</v>
      </c>
      <c r="H394" s="139" t="s">
        <v>1</v>
      </c>
      <c r="I394" s="146"/>
      <c r="L394" s="138"/>
      <c r="M394" s="147"/>
      <c r="T394" s="150"/>
      <c r="AT394" s="139" t="s">
        <v>365</v>
      </c>
      <c r="AU394" s="139" t="s">
        <v>87</v>
      </c>
      <c r="AV394" s="136" t="s">
        <v>85</v>
      </c>
      <c r="AW394" s="136" t="s">
        <v>33</v>
      </c>
      <c r="AX394" s="136" t="s">
        <v>77</v>
      </c>
      <c r="AY394" s="139" t="s">
        <v>211</v>
      </c>
    </row>
    <row r="395" spans="2:65" s="136" customFormat="1">
      <c r="B395" s="138"/>
      <c r="D395" s="105" t="s">
        <v>365</v>
      </c>
      <c r="E395" s="139" t="s">
        <v>1</v>
      </c>
      <c r="F395" s="140" t="s">
        <v>718</v>
      </c>
      <c r="H395" s="139" t="s">
        <v>1</v>
      </c>
      <c r="I395" s="146"/>
      <c r="L395" s="138"/>
      <c r="M395" s="147"/>
      <c r="T395" s="150"/>
      <c r="AT395" s="139" t="s">
        <v>365</v>
      </c>
      <c r="AU395" s="139" t="s">
        <v>87</v>
      </c>
      <c r="AV395" s="136" t="s">
        <v>85</v>
      </c>
      <c r="AW395" s="136" t="s">
        <v>33</v>
      </c>
      <c r="AX395" s="136" t="s">
        <v>77</v>
      </c>
      <c r="AY395" s="139" t="s">
        <v>211</v>
      </c>
    </row>
    <row r="396" spans="2:65" s="113" customFormat="1">
      <c r="B396" s="119"/>
      <c r="D396" s="105" t="s">
        <v>365</v>
      </c>
      <c r="E396" s="135" t="s">
        <v>1</v>
      </c>
      <c r="F396" s="120" t="s">
        <v>719</v>
      </c>
      <c r="H396" s="121">
        <v>1.1040000000000001</v>
      </c>
      <c r="I396" s="128"/>
      <c r="L396" s="119"/>
      <c r="M396" s="129"/>
      <c r="T396" s="133"/>
      <c r="AT396" s="135" t="s">
        <v>365</v>
      </c>
      <c r="AU396" s="135" t="s">
        <v>87</v>
      </c>
      <c r="AV396" s="113" t="s">
        <v>87</v>
      </c>
      <c r="AW396" s="113" t="s">
        <v>33</v>
      </c>
      <c r="AX396" s="113" t="s">
        <v>77</v>
      </c>
      <c r="AY396" s="135" t="s">
        <v>211</v>
      </c>
    </row>
    <row r="397" spans="2:65" s="113" customFormat="1">
      <c r="B397" s="119"/>
      <c r="D397" s="105" t="s">
        <v>365</v>
      </c>
      <c r="E397" s="135" t="s">
        <v>1</v>
      </c>
      <c r="F397" s="120" t="s">
        <v>720</v>
      </c>
      <c r="H397" s="121">
        <v>1.2030000000000001</v>
      </c>
      <c r="I397" s="128"/>
      <c r="L397" s="119"/>
      <c r="M397" s="129"/>
      <c r="T397" s="133"/>
      <c r="AT397" s="135" t="s">
        <v>365</v>
      </c>
      <c r="AU397" s="135" t="s">
        <v>87</v>
      </c>
      <c r="AV397" s="113" t="s">
        <v>87</v>
      </c>
      <c r="AW397" s="113" t="s">
        <v>33</v>
      </c>
      <c r="AX397" s="113" t="s">
        <v>77</v>
      </c>
      <c r="AY397" s="135" t="s">
        <v>211</v>
      </c>
    </row>
    <row r="398" spans="2:65" s="136" customFormat="1">
      <c r="B398" s="138"/>
      <c r="D398" s="105" t="s">
        <v>365</v>
      </c>
      <c r="E398" s="139" t="s">
        <v>1</v>
      </c>
      <c r="F398" s="140" t="s">
        <v>721</v>
      </c>
      <c r="H398" s="139" t="s">
        <v>1</v>
      </c>
      <c r="I398" s="146"/>
      <c r="L398" s="138"/>
      <c r="M398" s="147"/>
      <c r="T398" s="150"/>
      <c r="AT398" s="139" t="s">
        <v>365</v>
      </c>
      <c r="AU398" s="139" t="s">
        <v>87</v>
      </c>
      <c r="AV398" s="136" t="s">
        <v>85</v>
      </c>
      <c r="AW398" s="136" t="s">
        <v>33</v>
      </c>
      <c r="AX398" s="136" t="s">
        <v>77</v>
      </c>
      <c r="AY398" s="139" t="s">
        <v>211</v>
      </c>
    </row>
    <row r="399" spans="2:65" s="137" customFormat="1">
      <c r="B399" s="141"/>
      <c r="D399" s="105" t="s">
        <v>365</v>
      </c>
      <c r="E399" s="142" t="s">
        <v>1</v>
      </c>
      <c r="F399" s="143" t="s">
        <v>368</v>
      </c>
      <c r="H399" s="144">
        <v>2.3069999999999999</v>
      </c>
      <c r="I399" s="148"/>
      <c r="L399" s="141"/>
      <c r="M399" s="149"/>
      <c r="T399" s="151"/>
      <c r="AT399" s="142" t="s">
        <v>365</v>
      </c>
      <c r="AU399" s="142" t="s">
        <v>87</v>
      </c>
      <c r="AV399" s="137" t="s">
        <v>218</v>
      </c>
      <c r="AW399" s="137" t="s">
        <v>33</v>
      </c>
      <c r="AX399" s="137" t="s">
        <v>85</v>
      </c>
      <c r="AY399" s="142" t="s">
        <v>211</v>
      </c>
    </row>
    <row r="400" spans="2:65" s="1" customFormat="1" ht="24.15" customHeight="1">
      <c r="B400" s="12"/>
      <c r="C400" s="71" t="s">
        <v>722</v>
      </c>
      <c r="D400" s="71" t="s">
        <v>214</v>
      </c>
      <c r="E400" s="72" t="s">
        <v>723</v>
      </c>
      <c r="F400" s="73" t="s">
        <v>724</v>
      </c>
      <c r="G400" s="74" t="s">
        <v>357</v>
      </c>
      <c r="H400" s="75">
        <v>222.18</v>
      </c>
      <c r="I400" s="90">
        <v>4930</v>
      </c>
      <c r="J400" s="91">
        <f>ROUND(I400*H400,2)</f>
        <v>1095347.3999999999</v>
      </c>
      <c r="K400" s="92"/>
      <c r="L400" s="12"/>
      <c r="M400" s="93" t="s">
        <v>1</v>
      </c>
      <c r="N400" s="94" t="s">
        <v>42</v>
      </c>
      <c r="P400" s="95">
        <f>O400*H400</f>
        <v>0</v>
      </c>
      <c r="Q400" s="95">
        <v>2.4533</v>
      </c>
      <c r="R400" s="95">
        <f>Q400*H400</f>
        <v>545.07419400000003</v>
      </c>
      <c r="S400" s="95">
        <v>0</v>
      </c>
      <c r="T400" s="99">
        <f>S400*H400</f>
        <v>0</v>
      </c>
      <c r="AR400" s="101" t="s">
        <v>218</v>
      </c>
      <c r="AT400" s="101" t="s">
        <v>214</v>
      </c>
      <c r="AU400" s="101" t="s">
        <v>87</v>
      </c>
      <c r="AY400" s="23" t="s">
        <v>211</v>
      </c>
      <c r="BE400" s="104">
        <f>IF(N400="základní",J400,0)</f>
        <v>1095347.3999999999</v>
      </c>
      <c r="BF400" s="104">
        <f>IF(N400="snížená",J400,0)</f>
        <v>0</v>
      </c>
      <c r="BG400" s="104">
        <f>IF(N400="zákl. přenesená",J400,0)</f>
        <v>0</v>
      </c>
      <c r="BH400" s="104">
        <f>IF(N400="sníž. přenesená",J400,0)</f>
        <v>0</v>
      </c>
      <c r="BI400" s="104">
        <f>IF(N400="nulová",J400,0)</f>
        <v>0</v>
      </c>
      <c r="BJ400" s="23" t="s">
        <v>85</v>
      </c>
      <c r="BK400" s="104">
        <f>ROUND(I400*H400,2)</f>
        <v>1095347.3999999999</v>
      </c>
      <c r="BL400" s="23" t="s">
        <v>218</v>
      </c>
      <c r="BM400" s="101" t="s">
        <v>725</v>
      </c>
    </row>
    <row r="401" spans="2:65" s="1" customFormat="1" ht="19.2">
      <c r="B401" s="12"/>
      <c r="D401" s="105" t="s">
        <v>227</v>
      </c>
      <c r="F401" s="106" t="s">
        <v>479</v>
      </c>
      <c r="I401" s="107"/>
      <c r="L401" s="12"/>
      <c r="M401" s="108"/>
      <c r="T401" s="111"/>
      <c r="AT401" s="23" t="s">
        <v>227</v>
      </c>
      <c r="AU401" s="23" t="s">
        <v>87</v>
      </c>
    </row>
    <row r="402" spans="2:65" s="113" customFormat="1">
      <c r="B402" s="119"/>
      <c r="D402" s="105" t="s">
        <v>365</v>
      </c>
      <c r="E402" s="135" t="s">
        <v>1</v>
      </c>
      <c r="F402" s="120" t="s">
        <v>726</v>
      </c>
      <c r="H402" s="121">
        <v>222.18</v>
      </c>
      <c r="I402" s="128"/>
      <c r="L402" s="119"/>
      <c r="M402" s="129"/>
      <c r="T402" s="133"/>
      <c r="AT402" s="135" t="s">
        <v>365</v>
      </c>
      <c r="AU402" s="135" t="s">
        <v>87</v>
      </c>
      <c r="AV402" s="113" t="s">
        <v>87</v>
      </c>
      <c r="AW402" s="113" t="s">
        <v>33</v>
      </c>
      <c r="AX402" s="113" t="s">
        <v>85</v>
      </c>
      <c r="AY402" s="135" t="s">
        <v>211</v>
      </c>
    </row>
    <row r="403" spans="2:65" s="1" customFormat="1" ht="16.5" customHeight="1">
      <c r="B403" s="12"/>
      <c r="C403" s="71" t="s">
        <v>727</v>
      </c>
      <c r="D403" s="71" t="s">
        <v>214</v>
      </c>
      <c r="E403" s="72" t="s">
        <v>728</v>
      </c>
      <c r="F403" s="73" t="s">
        <v>729</v>
      </c>
      <c r="G403" s="74" t="s">
        <v>279</v>
      </c>
      <c r="H403" s="75">
        <v>7453.0649999999996</v>
      </c>
      <c r="I403" s="90">
        <v>1030</v>
      </c>
      <c r="J403" s="91">
        <f>ROUND(I403*H403,2)</f>
        <v>7676656.9500000002</v>
      </c>
      <c r="K403" s="92"/>
      <c r="L403" s="12"/>
      <c r="M403" s="93" t="s">
        <v>1</v>
      </c>
      <c r="N403" s="94" t="s">
        <v>42</v>
      </c>
      <c r="P403" s="95">
        <f>O403*H403</f>
        <v>0</v>
      </c>
      <c r="Q403" s="95">
        <v>2.7499999999999998E-3</v>
      </c>
      <c r="R403" s="95">
        <f>Q403*H403</f>
        <v>20.495928750000001</v>
      </c>
      <c r="S403" s="95">
        <v>0</v>
      </c>
      <c r="T403" s="99">
        <f>S403*H403</f>
        <v>0</v>
      </c>
      <c r="AR403" s="101" t="s">
        <v>218</v>
      </c>
      <c r="AT403" s="101" t="s">
        <v>214</v>
      </c>
      <c r="AU403" s="101" t="s">
        <v>87</v>
      </c>
      <c r="AY403" s="23" t="s">
        <v>211</v>
      </c>
      <c r="BE403" s="104">
        <f>IF(N403="základní",J403,0)</f>
        <v>7676656.9500000002</v>
      </c>
      <c r="BF403" s="104">
        <f>IF(N403="snížená",J403,0)</f>
        <v>0</v>
      </c>
      <c r="BG403" s="104">
        <f>IF(N403="zákl. přenesená",J403,0)</f>
        <v>0</v>
      </c>
      <c r="BH403" s="104">
        <f>IF(N403="sníž. přenesená",J403,0)</f>
        <v>0</v>
      </c>
      <c r="BI403" s="104">
        <f>IF(N403="nulová",J403,0)</f>
        <v>0</v>
      </c>
      <c r="BJ403" s="23" t="s">
        <v>85</v>
      </c>
      <c r="BK403" s="104">
        <f>ROUND(I403*H403,2)</f>
        <v>7676656.9500000002</v>
      </c>
      <c r="BL403" s="23" t="s">
        <v>218</v>
      </c>
      <c r="BM403" s="101" t="s">
        <v>730</v>
      </c>
    </row>
    <row r="404" spans="2:65" s="113" customFormat="1">
      <c r="B404" s="119"/>
      <c r="D404" s="105" t="s">
        <v>365</v>
      </c>
      <c r="E404" s="135" t="s">
        <v>1</v>
      </c>
      <c r="F404" s="120" t="s">
        <v>731</v>
      </c>
      <c r="H404" s="121">
        <v>232.24199999999999</v>
      </c>
      <c r="I404" s="128"/>
      <c r="L404" s="119"/>
      <c r="M404" s="129"/>
      <c r="T404" s="133"/>
      <c r="AT404" s="135" t="s">
        <v>365</v>
      </c>
      <c r="AU404" s="135" t="s">
        <v>87</v>
      </c>
      <c r="AV404" s="113" t="s">
        <v>87</v>
      </c>
      <c r="AW404" s="113" t="s">
        <v>33</v>
      </c>
      <c r="AX404" s="113" t="s">
        <v>77</v>
      </c>
      <c r="AY404" s="135" t="s">
        <v>211</v>
      </c>
    </row>
    <row r="405" spans="2:65" s="113" customFormat="1">
      <c r="B405" s="119"/>
      <c r="D405" s="105" t="s">
        <v>365</v>
      </c>
      <c r="E405" s="135" t="s">
        <v>1</v>
      </c>
      <c r="F405" s="120" t="s">
        <v>732</v>
      </c>
      <c r="H405" s="121">
        <v>355.34800000000001</v>
      </c>
      <c r="I405" s="128"/>
      <c r="L405" s="119"/>
      <c r="M405" s="129"/>
      <c r="T405" s="133"/>
      <c r="AT405" s="135" t="s">
        <v>365</v>
      </c>
      <c r="AU405" s="135" t="s">
        <v>87</v>
      </c>
      <c r="AV405" s="113" t="s">
        <v>87</v>
      </c>
      <c r="AW405" s="113" t="s">
        <v>33</v>
      </c>
      <c r="AX405" s="113" t="s">
        <v>77</v>
      </c>
      <c r="AY405" s="135" t="s">
        <v>211</v>
      </c>
    </row>
    <row r="406" spans="2:65" s="113" customFormat="1">
      <c r="B406" s="119"/>
      <c r="D406" s="105" t="s">
        <v>365</v>
      </c>
      <c r="E406" s="135" t="s">
        <v>1</v>
      </c>
      <c r="F406" s="120" t="s">
        <v>733</v>
      </c>
      <c r="H406" s="121">
        <v>128.66999999999999</v>
      </c>
      <c r="I406" s="128"/>
      <c r="L406" s="119"/>
      <c r="M406" s="129"/>
      <c r="T406" s="133"/>
      <c r="AT406" s="135" t="s">
        <v>365</v>
      </c>
      <c r="AU406" s="135" t="s">
        <v>87</v>
      </c>
      <c r="AV406" s="113" t="s">
        <v>87</v>
      </c>
      <c r="AW406" s="113" t="s">
        <v>33</v>
      </c>
      <c r="AX406" s="113" t="s">
        <v>77</v>
      </c>
      <c r="AY406" s="135" t="s">
        <v>211</v>
      </c>
    </row>
    <row r="407" spans="2:65" s="113" customFormat="1">
      <c r="B407" s="119"/>
      <c r="D407" s="105" t="s">
        <v>365</v>
      </c>
      <c r="E407" s="135" t="s">
        <v>1</v>
      </c>
      <c r="F407" s="120" t="s">
        <v>734</v>
      </c>
      <c r="H407" s="121">
        <v>229.084</v>
      </c>
      <c r="I407" s="128"/>
      <c r="L407" s="119"/>
      <c r="M407" s="129"/>
      <c r="T407" s="133"/>
      <c r="AT407" s="135" t="s">
        <v>365</v>
      </c>
      <c r="AU407" s="135" t="s">
        <v>87</v>
      </c>
      <c r="AV407" s="113" t="s">
        <v>87</v>
      </c>
      <c r="AW407" s="113" t="s">
        <v>33</v>
      </c>
      <c r="AX407" s="113" t="s">
        <v>77</v>
      </c>
      <c r="AY407" s="135" t="s">
        <v>211</v>
      </c>
    </row>
    <row r="408" spans="2:65" s="113" customFormat="1">
      <c r="B408" s="119"/>
      <c r="D408" s="105" t="s">
        <v>365</v>
      </c>
      <c r="E408" s="135" t="s">
        <v>1</v>
      </c>
      <c r="F408" s="120" t="s">
        <v>735</v>
      </c>
      <c r="H408" s="121">
        <v>83.262</v>
      </c>
      <c r="I408" s="128"/>
      <c r="L408" s="119"/>
      <c r="M408" s="129"/>
      <c r="T408" s="133"/>
      <c r="AT408" s="135" t="s">
        <v>365</v>
      </c>
      <c r="AU408" s="135" t="s">
        <v>87</v>
      </c>
      <c r="AV408" s="113" t="s">
        <v>87</v>
      </c>
      <c r="AW408" s="113" t="s">
        <v>33</v>
      </c>
      <c r="AX408" s="113" t="s">
        <v>77</v>
      </c>
      <c r="AY408" s="135" t="s">
        <v>211</v>
      </c>
    </row>
    <row r="409" spans="2:65" s="113" customFormat="1">
      <c r="B409" s="119"/>
      <c r="D409" s="105" t="s">
        <v>365</v>
      </c>
      <c r="E409" s="135" t="s">
        <v>1</v>
      </c>
      <c r="F409" s="120" t="s">
        <v>736</v>
      </c>
      <c r="H409" s="121">
        <v>1001.74</v>
      </c>
      <c r="I409" s="128"/>
      <c r="L409" s="119"/>
      <c r="M409" s="129"/>
      <c r="T409" s="133"/>
      <c r="AT409" s="135" t="s">
        <v>365</v>
      </c>
      <c r="AU409" s="135" t="s">
        <v>87</v>
      </c>
      <c r="AV409" s="113" t="s">
        <v>87</v>
      </c>
      <c r="AW409" s="113" t="s">
        <v>33</v>
      </c>
      <c r="AX409" s="113" t="s">
        <v>77</v>
      </c>
      <c r="AY409" s="135" t="s">
        <v>211</v>
      </c>
    </row>
    <row r="410" spans="2:65" s="113" customFormat="1">
      <c r="B410" s="119"/>
      <c r="D410" s="105" t="s">
        <v>365</v>
      </c>
      <c r="E410" s="135" t="s">
        <v>1</v>
      </c>
      <c r="F410" s="120" t="s">
        <v>737</v>
      </c>
      <c r="H410" s="121">
        <v>1.6779999999999999</v>
      </c>
      <c r="I410" s="128"/>
      <c r="L410" s="119"/>
      <c r="M410" s="129"/>
      <c r="T410" s="133"/>
      <c r="AT410" s="135" t="s">
        <v>365</v>
      </c>
      <c r="AU410" s="135" t="s">
        <v>87</v>
      </c>
      <c r="AV410" s="113" t="s">
        <v>87</v>
      </c>
      <c r="AW410" s="113" t="s">
        <v>33</v>
      </c>
      <c r="AX410" s="113" t="s">
        <v>77</v>
      </c>
      <c r="AY410" s="135" t="s">
        <v>211</v>
      </c>
    </row>
    <row r="411" spans="2:65" s="113" customFormat="1">
      <c r="B411" s="119"/>
      <c r="D411" s="105" t="s">
        <v>365</v>
      </c>
      <c r="E411" s="135" t="s">
        <v>1</v>
      </c>
      <c r="F411" s="120" t="s">
        <v>738</v>
      </c>
      <c r="H411" s="121">
        <v>23.013999999999999</v>
      </c>
      <c r="I411" s="128"/>
      <c r="L411" s="119"/>
      <c r="M411" s="129"/>
      <c r="T411" s="133"/>
      <c r="AT411" s="135" t="s">
        <v>365</v>
      </c>
      <c r="AU411" s="135" t="s">
        <v>87</v>
      </c>
      <c r="AV411" s="113" t="s">
        <v>87</v>
      </c>
      <c r="AW411" s="113" t="s">
        <v>33</v>
      </c>
      <c r="AX411" s="113" t="s">
        <v>77</v>
      </c>
      <c r="AY411" s="135" t="s">
        <v>211</v>
      </c>
    </row>
    <row r="412" spans="2:65" s="113" customFormat="1">
      <c r="B412" s="119"/>
      <c r="D412" s="105" t="s">
        <v>365</v>
      </c>
      <c r="E412" s="135" t="s">
        <v>1</v>
      </c>
      <c r="F412" s="120" t="s">
        <v>739</v>
      </c>
      <c r="H412" s="121">
        <v>751.51</v>
      </c>
      <c r="I412" s="128"/>
      <c r="L412" s="119"/>
      <c r="M412" s="129"/>
      <c r="T412" s="133"/>
      <c r="AT412" s="135" t="s">
        <v>365</v>
      </c>
      <c r="AU412" s="135" t="s">
        <v>87</v>
      </c>
      <c r="AV412" s="113" t="s">
        <v>87</v>
      </c>
      <c r="AW412" s="113" t="s">
        <v>33</v>
      </c>
      <c r="AX412" s="113" t="s">
        <v>77</v>
      </c>
      <c r="AY412" s="135" t="s">
        <v>211</v>
      </c>
    </row>
    <row r="413" spans="2:65" s="113" customFormat="1">
      <c r="B413" s="119"/>
      <c r="D413" s="105" t="s">
        <v>365</v>
      </c>
      <c r="E413" s="135" t="s">
        <v>1</v>
      </c>
      <c r="F413" s="120" t="s">
        <v>740</v>
      </c>
      <c r="H413" s="121">
        <v>344.10399999999998</v>
      </c>
      <c r="I413" s="128"/>
      <c r="L413" s="119"/>
      <c r="M413" s="129"/>
      <c r="T413" s="133"/>
      <c r="AT413" s="135" t="s">
        <v>365</v>
      </c>
      <c r="AU413" s="135" t="s">
        <v>87</v>
      </c>
      <c r="AV413" s="113" t="s">
        <v>87</v>
      </c>
      <c r="AW413" s="113" t="s">
        <v>33</v>
      </c>
      <c r="AX413" s="113" t="s">
        <v>77</v>
      </c>
      <c r="AY413" s="135" t="s">
        <v>211</v>
      </c>
    </row>
    <row r="414" spans="2:65" s="154" customFormat="1">
      <c r="B414" s="156"/>
      <c r="D414" s="105" t="s">
        <v>365</v>
      </c>
      <c r="E414" s="157" t="s">
        <v>1</v>
      </c>
      <c r="F414" s="158" t="s">
        <v>741</v>
      </c>
      <c r="H414" s="159">
        <v>3150.652</v>
      </c>
      <c r="I414" s="160"/>
      <c r="L414" s="156"/>
      <c r="M414" s="161"/>
      <c r="T414" s="162"/>
      <c r="AT414" s="157" t="s">
        <v>365</v>
      </c>
      <c r="AU414" s="157" t="s">
        <v>87</v>
      </c>
      <c r="AV414" s="154" t="s">
        <v>137</v>
      </c>
      <c r="AW414" s="154" t="s">
        <v>33</v>
      </c>
      <c r="AX414" s="154" t="s">
        <v>77</v>
      </c>
      <c r="AY414" s="157" t="s">
        <v>211</v>
      </c>
    </row>
    <row r="415" spans="2:65" s="113" customFormat="1">
      <c r="B415" s="119"/>
      <c r="D415" s="105" t="s">
        <v>365</v>
      </c>
      <c r="E415" s="135" t="s">
        <v>1</v>
      </c>
      <c r="F415" s="120" t="s">
        <v>742</v>
      </c>
      <c r="H415" s="121">
        <v>133.68</v>
      </c>
      <c r="I415" s="128"/>
      <c r="L415" s="119"/>
      <c r="M415" s="129"/>
      <c r="T415" s="133"/>
      <c r="AT415" s="135" t="s">
        <v>365</v>
      </c>
      <c r="AU415" s="135" t="s">
        <v>87</v>
      </c>
      <c r="AV415" s="113" t="s">
        <v>87</v>
      </c>
      <c r="AW415" s="113" t="s">
        <v>33</v>
      </c>
      <c r="AX415" s="113" t="s">
        <v>77</v>
      </c>
      <c r="AY415" s="135" t="s">
        <v>211</v>
      </c>
    </row>
    <row r="416" spans="2:65" s="113" customFormat="1">
      <c r="B416" s="119"/>
      <c r="D416" s="105" t="s">
        <v>365</v>
      </c>
      <c r="E416" s="135" t="s">
        <v>1</v>
      </c>
      <c r="F416" s="120" t="s">
        <v>743</v>
      </c>
      <c r="H416" s="121">
        <v>133.68</v>
      </c>
      <c r="I416" s="128"/>
      <c r="L416" s="119"/>
      <c r="M416" s="129"/>
      <c r="T416" s="133"/>
      <c r="AT416" s="135" t="s">
        <v>365</v>
      </c>
      <c r="AU416" s="135" t="s">
        <v>87</v>
      </c>
      <c r="AV416" s="113" t="s">
        <v>87</v>
      </c>
      <c r="AW416" s="113" t="s">
        <v>33</v>
      </c>
      <c r="AX416" s="113" t="s">
        <v>77</v>
      </c>
      <c r="AY416" s="135" t="s">
        <v>211</v>
      </c>
    </row>
    <row r="417" spans="2:51" s="113" customFormat="1">
      <c r="B417" s="119"/>
      <c r="D417" s="105" t="s">
        <v>365</v>
      </c>
      <c r="E417" s="135" t="s">
        <v>1</v>
      </c>
      <c r="F417" s="120" t="s">
        <v>744</v>
      </c>
      <c r="H417" s="121">
        <v>132.96799999999999</v>
      </c>
      <c r="I417" s="128"/>
      <c r="L417" s="119"/>
      <c r="M417" s="129"/>
      <c r="T417" s="133"/>
      <c r="AT417" s="135" t="s">
        <v>365</v>
      </c>
      <c r="AU417" s="135" t="s">
        <v>87</v>
      </c>
      <c r="AV417" s="113" t="s">
        <v>87</v>
      </c>
      <c r="AW417" s="113" t="s">
        <v>33</v>
      </c>
      <c r="AX417" s="113" t="s">
        <v>77</v>
      </c>
      <c r="AY417" s="135" t="s">
        <v>211</v>
      </c>
    </row>
    <row r="418" spans="2:51" s="113" customFormat="1">
      <c r="B418" s="119"/>
      <c r="D418" s="105" t="s">
        <v>365</v>
      </c>
      <c r="E418" s="135" t="s">
        <v>1</v>
      </c>
      <c r="F418" s="120" t="s">
        <v>745</v>
      </c>
      <c r="H418" s="121">
        <v>141.29499999999999</v>
      </c>
      <c r="I418" s="128"/>
      <c r="L418" s="119"/>
      <c r="M418" s="129"/>
      <c r="T418" s="133"/>
      <c r="AT418" s="135" t="s">
        <v>365</v>
      </c>
      <c r="AU418" s="135" t="s">
        <v>87</v>
      </c>
      <c r="AV418" s="113" t="s">
        <v>87</v>
      </c>
      <c r="AW418" s="113" t="s">
        <v>33</v>
      </c>
      <c r="AX418" s="113" t="s">
        <v>77</v>
      </c>
      <c r="AY418" s="135" t="s">
        <v>211</v>
      </c>
    </row>
    <row r="419" spans="2:51" s="154" customFormat="1">
      <c r="B419" s="156"/>
      <c r="D419" s="105" t="s">
        <v>365</v>
      </c>
      <c r="E419" s="157" t="s">
        <v>1</v>
      </c>
      <c r="F419" s="158" t="s">
        <v>741</v>
      </c>
      <c r="H419" s="159">
        <v>541.62300000000005</v>
      </c>
      <c r="I419" s="160"/>
      <c r="L419" s="156"/>
      <c r="M419" s="161"/>
      <c r="T419" s="162"/>
      <c r="AT419" s="157" t="s">
        <v>365</v>
      </c>
      <c r="AU419" s="157" t="s">
        <v>87</v>
      </c>
      <c r="AV419" s="154" t="s">
        <v>137</v>
      </c>
      <c r="AW419" s="154" t="s">
        <v>33</v>
      </c>
      <c r="AX419" s="154" t="s">
        <v>77</v>
      </c>
      <c r="AY419" s="157" t="s">
        <v>211</v>
      </c>
    </row>
    <row r="420" spans="2:51" s="113" customFormat="1">
      <c r="B420" s="119"/>
      <c r="D420" s="105" t="s">
        <v>365</v>
      </c>
      <c r="E420" s="135" t="s">
        <v>1</v>
      </c>
      <c r="F420" s="120" t="s">
        <v>746</v>
      </c>
      <c r="H420" s="121">
        <v>207.07300000000001</v>
      </c>
      <c r="I420" s="128"/>
      <c r="L420" s="119"/>
      <c r="M420" s="129"/>
      <c r="T420" s="133"/>
      <c r="AT420" s="135" t="s">
        <v>365</v>
      </c>
      <c r="AU420" s="135" t="s">
        <v>87</v>
      </c>
      <c r="AV420" s="113" t="s">
        <v>87</v>
      </c>
      <c r="AW420" s="113" t="s">
        <v>33</v>
      </c>
      <c r="AX420" s="113" t="s">
        <v>77</v>
      </c>
      <c r="AY420" s="135" t="s">
        <v>211</v>
      </c>
    </row>
    <row r="421" spans="2:51" s="113" customFormat="1">
      <c r="B421" s="119"/>
      <c r="D421" s="105" t="s">
        <v>365</v>
      </c>
      <c r="E421" s="135" t="s">
        <v>1</v>
      </c>
      <c r="F421" s="120" t="s">
        <v>747</v>
      </c>
      <c r="H421" s="121">
        <v>207.07300000000001</v>
      </c>
      <c r="I421" s="128"/>
      <c r="L421" s="119"/>
      <c r="M421" s="129"/>
      <c r="T421" s="133"/>
      <c r="AT421" s="135" t="s">
        <v>365</v>
      </c>
      <c r="AU421" s="135" t="s">
        <v>87</v>
      </c>
      <c r="AV421" s="113" t="s">
        <v>87</v>
      </c>
      <c r="AW421" s="113" t="s">
        <v>33</v>
      </c>
      <c r="AX421" s="113" t="s">
        <v>77</v>
      </c>
      <c r="AY421" s="135" t="s">
        <v>211</v>
      </c>
    </row>
    <row r="422" spans="2:51" s="113" customFormat="1">
      <c r="B422" s="119"/>
      <c r="D422" s="105" t="s">
        <v>365</v>
      </c>
      <c r="E422" s="135" t="s">
        <v>1</v>
      </c>
      <c r="F422" s="120" t="s">
        <v>748</v>
      </c>
      <c r="H422" s="121">
        <v>185.184</v>
      </c>
      <c r="I422" s="128"/>
      <c r="L422" s="119"/>
      <c r="M422" s="129"/>
      <c r="T422" s="133"/>
      <c r="AT422" s="135" t="s">
        <v>365</v>
      </c>
      <c r="AU422" s="135" t="s">
        <v>87</v>
      </c>
      <c r="AV422" s="113" t="s">
        <v>87</v>
      </c>
      <c r="AW422" s="113" t="s">
        <v>33</v>
      </c>
      <c r="AX422" s="113" t="s">
        <v>77</v>
      </c>
      <c r="AY422" s="135" t="s">
        <v>211</v>
      </c>
    </row>
    <row r="423" spans="2:51" s="113" customFormat="1">
      <c r="B423" s="119"/>
      <c r="D423" s="105" t="s">
        <v>365</v>
      </c>
      <c r="E423" s="135" t="s">
        <v>1</v>
      </c>
      <c r="F423" s="120" t="s">
        <v>749</v>
      </c>
      <c r="H423" s="121">
        <v>213.053</v>
      </c>
      <c r="I423" s="128"/>
      <c r="L423" s="119"/>
      <c r="M423" s="129"/>
      <c r="T423" s="133"/>
      <c r="AT423" s="135" t="s">
        <v>365</v>
      </c>
      <c r="AU423" s="135" t="s">
        <v>87</v>
      </c>
      <c r="AV423" s="113" t="s">
        <v>87</v>
      </c>
      <c r="AW423" s="113" t="s">
        <v>33</v>
      </c>
      <c r="AX423" s="113" t="s">
        <v>77</v>
      </c>
      <c r="AY423" s="135" t="s">
        <v>211</v>
      </c>
    </row>
    <row r="424" spans="2:51" s="154" customFormat="1">
      <c r="B424" s="156"/>
      <c r="D424" s="105" t="s">
        <v>365</v>
      </c>
      <c r="E424" s="157" t="s">
        <v>1</v>
      </c>
      <c r="F424" s="158" t="s">
        <v>741</v>
      </c>
      <c r="H424" s="159">
        <v>812.38300000000004</v>
      </c>
      <c r="I424" s="160"/>
      <c r="L424" s="156"/>
      <c r="M424" s="161"/>
      <c r="T424" s="162"/>
      <c r="AT424" s="157" t="s">
        <v>365</v>
      </c>
      <c r="AU424" s="157" t="s">
        <v>87</v>
      </c>
      <c r="AV424" s="154" t="s">
        <v>137</v>
      </c>
      <c r="AW424" s="154" t="s">
        <v>33</v>
      </c>
      <c r="AX424" s="154" t="s">
        <v>77</v>
      </c>
      <c r="AY424" s="157" t="s">
        <v>211</v>
      </c>
    </row>
    <row r="425" spans="2:51" s="113" customFormat="1">
      <c r="B425" s="119"/>
      <c r="D425" s="105" t="s">
        <v>365</v>
      </c>
      <c r="E425" s="135" t="s">
        <v>1</v>
      </c>
      <c r="F425" s="120" t="s">
        <v>750</v>
      </c>
      <c r="H425" s="121">
        <v>302.67099999999999</v>
      </c>
      <c r="I425" s="128"/>
      <c r="L425" s="119"/>
      <c r="M425" s="129"/>
      <c r="T425" s="133"/>
      <c r="AT425" s="135" t="s">
        <v>365</v>
      </c>
      <c r="AU425" s="135" t="s">
        <v>87</v>
      </c>
      <c r="AV425" s="113" t="s">
        <v>87</v>
      </c>
      <c r="AW425" s="113" t="s">
        <v>33</v>
      </c>
      <c r="AX425" s="113" t="s">
        <v>77</v>
      </c>
      <c r="AY425" s="135" t="s">
        <v>211</v>
      </c>
    </row>
    <row r="426" spans="2:51" s="113" customFormat="1">
      <c r="B426" s="119"/>
      <c r="D426" s="105" t="s">
        <v>365</v>
      </c>
      <c r="E426" s="135" t="s">
        <v>1</v>
      </c>
      <c r="F426" s="120" t="s">
        <v>751</v>
      </c>
      <c r="H426" s="121">
        <v>302.67099999999999</v>
      </c>
      <c r="I426" s="128"/>
      <c r="L426" s="119"/>
      <c r="M426" s="129"/>
      <c r="T426" s="133"/>
      <c r="AT426" s="135" t="s">
        <v>365</v>
      </c>
      <c r="AU426" s="135" t="s">
        <v>87</v>
      </c>
      <c r="AV426" s="113" t="s">
        <v>87</v>
      </c>
      <c r="AW426" s="113" t="s">
        <v>33</v>
      </c>
      <c r="AX426" s="113" t="s">
        <v>77</v>
      </c>
      <c r="AY426" s="135" t="s">
        <v>211</v>
      </c>
    </row>
    <row r="427" spans="2:51" s="113" customFormat="1">
      <c r="B427" s="119"/>
      <c r="D427" s="105" t="s">
        <v>365</v>
      </c>
      <c r="E427" s="135" t="s">
        <v>1</v>
      </c>
      <c r="F427" s="120" t="s">
        <v>752</v>
      </c>
      <c r="H427" s="121">
        <v>374.59300000000002</v>
      </c>
      <c r="I427" s="128"/>
      <c r="L427" s="119"/>
      <c r="M427" s="129"/>
      <c r="T427" s="133"/>
      <c r="AT427" s="135" t="s">
        <v>365</v>
      </c>
      <c r="AU427" s="135" t="s">
        <v>87</v>
      </c>
      <c r="AV427" s="113" t="s">
        <v>87</v>
      </c>
      <c r="AW427" s="113" t="s">
        <v>33</v>
      </c>
      <c r="AX427" s="113" t="s">
        <v>77</v>
      </c>
      <c r="AY427" s="135" t="s">
        <v>211</v>
      </c>
    </row>
    <row r="428" spans="2:51" s="113" customFormat="1">
      <c r="B428" s="119"/>
      <c r="D428" s="105" t="s">
        <v>365</v>
      </c>
      <c r="E428" s="135" t="s">
        <v>1</v>
      </c>
      <c r="F428" s="120" t="s">
        <v>753</v>
      </c>
      <c r="H428" s="121">
        <v>174.554</v>
      </c>
      <c r="I428" s="128"/>
      <c r="L428" s="119"/>
      <c r="M428" s="129"/>
      <c r="T428" s="133"/>
      <c r="AT428" s="135" t="s">
        <v>365</v>
      </c>
      <c r="AU428" s="135" t="s">
        <v>87</v>
      </c>
      <c r="AV428" s="113" t="s">
        <v>87</v>
      </c>
      <c r="AW428" s="113" t="s">
        <v>33</v>
      </c>
      <c r="AX428" s="113" t="s">
        <v>77</v>
      </c>
      <c r="AY428" s="135" t="s">
        <v>211</v>
      </c>
    </row>
    <row r="429" spans="2:51" s="154" customFormat="1">
      <c r="B429" s="156"/>
      <c r="D429" s="105" t="s">
        <v>365</v>
      </c>
      <c r="E429" s="157" t="s">
        <v>1</v>
      </c>
      <c r="F429" s="158" t="s">
        <v>741</v>
      </c>
      <c r="H429" s="159">
        <v>1154.489</v>
      </c>
      <c r="I429" s="160"/>
      <c r="L429" s="156"/>
      <c r="M429" s="161"/>
      <c r="T429" s="162"/>
      <c r="AT429" s="157" t="s">
        <v>365</v>
      </c>
      <c r="AU429" s="157" t="s">
        <v>87</v>
      </c>
      <c r="AV429" s="154" t="s">
        <v>137</v>
      </c>
      <c r="AW429" s="154" t="s">
        <v>33</v>
      </c>
      <c r="AX429" s="154" t="s">
        <v>77</v>
      </c>
      <c r="AY429" s="157" t="s">
        <v>211</v>
      </c>
    </row>
    <row r="430" spans="2:51" s="136" customFormat="1">
      <c r="B430" s="138"/>
      <c r="D430" s="105" t="s">
        <v>365</v>
      </c>
      <c r="E430" s="139" t="s">
        <v>1</v>
      </c>
      <c r="F430" s="140" t="s">
        <v>717</v>
      </c>
      <c r="H430" s="139" t="s">
        <v>1</v>
      </c>
      <c r="I430" s="146"/>
      <c r="L430" s="138"/>
      <c r="M430" s="147"/>
      <c r="T430" s="150"/>
      <c r="AT430" s="139" t="s">
        <v>365</v>
      </c>
      <c r="AU430" s="139" t="s">
        <v>87</v>
      </c>
      <c r="AV430" s="136" t="s">
        <v>85</v>
      </c>
      <c r="AW430" s="136" t="s">
        <v>33</v>
      </c>
      <c r="AX430" s="136" t="s">
        <v>77</v>
      </c>
      <c r="AY430" s="139" t="s">
        <v>211</v>
      </c>
    </row>
    <row r="431" spans="2:51" s="136" customFormat="1">
      <c r="B431" s="138"/>
      <c r="D431" s="105" t="s">
        <v>365</v>
      </c>
      <c r="E431" s="139" t="s">
        <v>1</v>
      </c>
      <c r="F431" s="140" t="s">
        <v>718</v>
      </c>
      <c r="H431" s="139" t="s">
        <v>1</v>
      </c>
      <c r="I431" s="146"/>
      <c r="L431" s="138"/>
      <c r="M431" s="147"/>
      <c r="T431" s="150"/>
      <c r="AT431" s="139" t="s">
        <v>365</v>
      </c>
      <c r="AU431" s="139" t="s">
        <v>87</v>
      </c>
      <c r="AV431" s="136" t="s">
        <v>85</v>
      </c>
      <c r="AW431" s="136" t="s">
        <v>33</v>
      </c>
      <c r="AX431" s="136" t="s">
        <v>77</v>
      </c>
      <c r="AY431" s="139" t="s">
        <v>211</v>
      </c>
    </row>
    <row r="432" spans="2:51" s="113" customFormat="1">
      <c r="B432" s="119"/>
      <c r="D432" s="105" t="s">
        <v>365</v>
      </c>
      <c r="E432" s="135" t="s">
        <v>1</v>
      </c>
      <c r="F432" s="120" t="s">
        <v>754</v>
      </c>
      <c r="H432" s="121">
        <v>16.478000000000002</v>
      </c>
      <c r="I432" s="128"/>
      <c r="L432" s="119"/>
      <c r="M432" s="129"/>
      <c r="T432" s="133"/>
      <c r="AT432" s="135" t="s">
        <v>365</v>
      </c>
      <c r="AU432" s="135" t="s">
        <v>87</v>
      </c>
      <c r="AV432" s="113" t="s">
        <v>87</v>
      </c>
      <c r="AW432" s="113" t="s">
        <v>33</v>
      </c>
      <c r="AX432" s="113" t="s">
        <v>77</v>
      </c>
      <c r="AY432" s="135" t="s">
        <v>211</v>
      </c>
    </row>
    <row r="433" spans="2:65" s="136" customFormat="1">
      <c r="B433" s="138"/>
      <c r="D433" s="105" t="s">
        <v>365</v>
      </c>
      <c r="E433" s="139" t="s">
        <v>1</v>
      </c>
      <c r="F433" s="140" t="s">
        <v>721</v>
      </c>
      <c r="H433" s="139" t="s">
        <v>1</v>
      </c>
      <c r="I433" s="146"/>
      <c r="L433" s="138"/>
      <c r="M433" s="147"/>
      <c r="T433" s="150"/>
      <c r="AT433" s="139" t="s">
        <v>365</v>
      </c>
      <c r="AU433" s="139" t="s">
        <v>87</v>
      </c>
      <c r="AV433" s="136" t="s">
        <v>85</v>
      </c>
      <c r="AW433" s="136" t="s">
        <v>33</v>
      </c>
      <c r="AX433" s="136" t="s">
        <v>77</v>
      </c>
      <c r="AY433" s="139" t="s">
        <v>211</v>
      </c>
    </row>
    <row r="434" spans="2:65" s="154" customFormat="1">
      <c r="B434" s="156"/>
      <c r="D434" s="105" t="s">
        <v>365</v>
      </c>
      <c r="E434" s="157" t="s">
        <v>1</v>
      </c>
      <c r="F434" s="158" t="s">
        <v>741</v>
      </c>
      <c r="H434" s="159">
        <v>16.478000000000002</v>
      </c>
      <c r="I434" s="160"/>
      <c r="L434" s="156"/>
      <c r="M434" s="161"/>
      <c r="T434" s="162"/>
      <c r="AT434" s="157" t="s">
        <v>365</v>
      </c>
      <c r="AU434" s="157" t="s">
        <v>87</v>
      </c>
      <c r="AV434" s="154" t="s">
        <v>137</v>
      </c>
      <c r="AW434" s="154" t="s">
        <v>33</v>
      </c>
      <c r="AX434" s="154" t="s">
        <v>77</v>
      </c>
      <c r="AY434" s="157" t="s">
        <v>211</v>
      </c>
    </row>
    <row r="435" spans="2:65" s="113" customFormat="1">
      <c r="B435" s="119"/>
      <c r="D435" s="105" t="s">
        <v>365</v>
      </c>
      <c r="E435" s="135" t="s">
        <v>1</v>
      </c>
      <c r="F435" s="120" t="s">
        <v>755</v>
      </c>
      <c r="H435" s="121">
        <v>1777.44</v>
      </c>
      <c r="I435" s="128"/>
      <c r="L435" s="119"/>
      <c r="M435" s="129"/>
      <c r="T435" s="133"/>
      <c r="AT435" s="135" t="s">
        <v>365</v>
      </c>
      <c r="AU435" s="135" t="s">
        <v>87</v>
      </c>
      <c r="AV435" s="113" t="s">
        <v>87</v>
      </c>
      <c r="AW435" s="113" t="s">
        <v>33</v>
      </c>
      <c r="AX435" s="113" t="s">
        <v>77</v>
      </c>
      <c r="AY435" s="135" t="s">
        <v>211</v>
      </c>
    </row>
    <row r="436" spans="2:65" s="137" customFormat="1">
      <c r="B436" s="141"/>
      <c r="D436" s="105" t="s">
        <v>365</v>
      </c>
      <c r="E436" s="142" t="s">
        <v>1</v>
      </c>
      <c r="F436" s="143" t="s">
        <v>368</v>
      </c>
      <c r="H436" s="144">
        <v>7453.0649999999996</v>
      </c>
      <c r="I436" s="148"/>
      <c r="L436" s="141"/>
      <c r="M436" s="149"/>
      <c r="T436" s="151"/>
      <c r="AT436" s="142" t="s">
        <v>365</v>
      </c>
      <c r="AU436" s="142" t="s">
        <v>87</v>
      </c>
      <c r="AV436" s="137" t="s">
        <v>218</v>
      </c>
      <c r="AW436" s="137" t="s">
        <v>33</v>
      </c>
      <c r="AX436" s="137" t="s">
        <v>85</v>
      </c>
      <c r="AY436" s="142" t="s">
        <v>211</v>
      </c>
    </row>
    <row r="437" spans="2:65" s="1" customFormat="1" ht="16.5" customHeight="1">
      <c r="B437" s="12"/>
      <c r="C437" s="71" t="s">
        <v>756</v>
      </c>
      <c r="D437" s="71" t="s">
        <v>214</v>
      </c>
      <c r="E437" s="72" t="s">
        <v>757</v>
      </c>
      <c r="F437" s="73" t="s">
        <v>758</v>
      </c>
      <c r="G437" s="74" t="s">
        <v>279</v>
      </c>
      <c r="H437" s="75">
        <v>7453.0649999999996</v>
      </c>
      <c r="I437" s="90">
        <v>310</v>
      </c>
      <c r="J437" s="91">
        <f>ROUND(I437*H437,2)</f>
        <v>2310450.15</v>
      </c>
      <c r="K437" s="92"/>
      <c r="L437" s="12"/>
      <c r="M437" s="93" t="s">
        <v>1</v>
      </c>
      <c r="N437" s="94" t="s">
        <v>42</v>
      </c>
      <c r="P437" s="95">
        <f>O437*H437</f>
        <v>0</v>
      </c>
      <c r="Q437" s="95">
        <v>0</v>
      </c>
      <c r="R437" s="95">
        <f>Q437*H437</f>
        <v>0</v>
      </c>
      <c r="S437" s="95">
        <v>0</v>
      </c>
      <c r="T437" s="99">
        <f>S437*H437</f>
        <v>0</v>
      </c>
      <c r="AR437" s="101" t="s">
        <v>218</v>
      </c>
      <c r="AT437" s="101" t="s">
        <v>214</v>
      </c>
      <c r="AU437" s="101" t="s">
        <v>87</v>
      </c>
      <c r="AY437" s="23" t="s">
        <v>211</v>
      </c>
      <c r="BE437" s="104">
        <f>IF(N437="základní",J437,0)</f>
        <v>2310450.15</v>
      </c>
      <c r="BF437" s="104">
        <f>IF(N437="snížená",J437,0)</f>
        <v>0</v>
      </c>
      <c r="BG437" s="104">
        <f>IF(N437="zákl. přenesená",J437,0)</f>
        <v>0</v>
      </c>
      <c r="BH437" s="104">
        <f>IF(N437="sníž. přenesená",J437,0)</f>
        <v>0</v>
      </c>
      <c r="BI437" s="104">
        <f>IF(N437="nulová",J437,0)</f>
        <v>0</v>
      </c>
      <c r="BJ437" s="23" t="s">
        <v>85</v>
      </c>
      <c r="BK437" s="104">
        <f>ROUND(I437*H437,2)</f>
        <v>2310450.15</v>
      </c>
      <c r="BL437" s="23" t="s">
        <v>218</v>
      </c>
      <c r="BM437" s="101" t="s">
        <v>759</v>
      </c>
    </row>
    <row r="438" spans="2:65" s="113" customFormat="1">
      <c r="B438" s="119"/>
      <c r="D438" s="105" t="s">
        <v>365</v>
      </c>
      <c r="E438" s="135" t="s">
        <v>1</v>
      </c>
      <c r="F438" s="120" t="s">
        <v>731</v>
      </c>
      <c r="H438" s="121">
        <v>232.24199999999999</v>
      </c>
      <c r="I438" s="128"/>
      <c r="L438" s="119"/>
      <c r="M438" s="129"/>
      <c r="T438" s="133"/>
      <c r="AT438" s="135" t="s">
        <v>365</v>
      </c>
      <c r="AU438" s="135" t="s">
        <v>87</v>
      </c>
      <c r="AV438" s="113" t="s">
        <v>87</v>
      </c>
      <c r="AW438" s="113" t="s">
        <v>33</v>
      </c>
      <c r="AX438" s="113" t="s">
        <v>77</v>
      </c>
      <c r="AY438" s="135" t="s">
        <v>211</v>
      </c>
    </row>
    <row r="439" spans="2:65" s="113" customFormat="1">
      <c r="B439" s="119"/>
      <c r="D439" s="105" t="s">
        <v>365</v>
      </c>
      <c r="E439" s="135" t="s">
        <v>1</v>
      </c>
      <c r="F439" s="120" t="s">
        <v>732</v>
      </c>
      <c r="H439" s="121">
        <v>355.34800000000001</v>
      </c>
      <c r="I439" s="128"/>
      <c r="L439" s="119"/>
      <c r="M439" s="129"/>
      <c r="T439" s="133"/>
      <c r="AT439" s="135" t="s">
        <v>365</v>
      </c>
      <c r="AU439" s="135" t="s">
        <v>87</v>
      </c>
      <c r="AV439" s="113" t="s">
        <v>87</v>
      </c>
      <c r="AW439" s="113" t="s">
        <v>33</v>
      </c>
      <c r="AX439" s="113" t="s">
        <v>77</v>
      </c>
      <c r="AY439" s="135" t="s">
        <v>211</v>
      </c>
    </row>
    <row r="440" spans="2:65" s="113" customFormat="1">
      <c r="B440" s="119"/>
      <c r="D440" s="105" t="s">
        <v>365</v>
      </c>
      <c r="E440" s="135" t="s">
        <v>1</v>
      </c>
      <c r="F440" s="120" t="s">
        <v>733</v>
      </c>
      <c r="H440" s="121">
        <v>128.66999999999999</v>
      </c>
      <c r="I440" s="128"/>
      <c r="L440" s="119"/>
      <c r="M440" s="129"/>
      <c r="T440" s="133"/>
      <c r="AT440" s="135" t="s">
        <v>365</v>
      </c>
      <c r="AU440" s="135" t="s">
        <v>87</v>
      </c>
      <c r="AV440" s="113" t="s">
        <v>87</v>
      </c>
      <c r="AW440" s="113" t="s">
        <v>33</v>
      </c>
      <c r="AX440" s="113" t="s">
        <v>77</v>
      </c>
      <c r="AY440" s="135" t="s">
        <v>211</v>
      </c>
    </row>
    <row r="441" spans="2:65" s="113" customFormat="1">
      <c r="B441" s="119"/>
      <c r="D441" s="105" t="s">
        <v>365</v>
      </c>
      <c r="E441" s="135" t="s">
        <v>1</v>
      </c>
      <c r="F441" s="120" t="s">
        <v>734</v>
      </c>
      <c r="H441" s="121">
        <v>229.084</v>
      </c>
      <c r="I441" s="128"/>
      <c r="L441" s="119"/>
      <c r="M441" s="129"/>
      <c r="T441" s="133"/>
      <c r="AT441" s="135" t="s">
        <v>365</v>
      </c>
      <c r="AU441" s="135" t="s">
        <v>87</v>
      </c>
      <c r="AV441" s="113" t="s">
        <v>87</v>
      </c>
      <c r="AW441" s="113" t="s">
        <v>33</v>
      </c>
      <c r="AX441" s="113" t="s">
        <v>77</v>
      </c>
      <c r="AY441" s="135" t="s">
        <v>211</v>
      </c>
    </row>
    <row r="442" spans="2:65" s="113" customFormat="1">
      <c r="B442" s="119"/>
      <c r="D442" s="105" t="s">
        <v>365</v>
      </c>
      <c r="E442" s="135" t="s">
        <v>1</v>
      </c>
      <c r="F442" s="120" t="s">
        <v>735</v>
      </c>
      <c r="H442" s="121">
        <v>83.262</v>
      </c>
      <c r="I442" s="128"/>
      <c r="L442" s="119"/>
      <c r="M442" s="129"/>
      <c r="T442" s="133"/>
      <c r="AT442" s="135" t="s">
        <v>365</v>
      </c>
      <c r="AU442" s="135" t="s">
        <v>87</v>
      </c>
      <c r="AV442" s="113" t="s">
        <v>87</v>
      </c>
      <c r="AW442" s="113" t="s">
        <v>33</v>
      </c>
      <c r="AX442" s="113" t="s">
        <v>77</v>
      </c>
      <c r="AY442" s="135" t="s">
        <v>211</v>
      </c>
    </row>
    <row r="443" spans="2:65" s="113" customFormat="1">
      <c r="B443" s="119"/>
      <c r="D443" s="105" t="s">
        <v>365</v>
      </c>
      <c r="E443" s="135" t="s">
        <v>1</v>
      </c>
      <c r="F443" s="120" t="s">
        <v>736</v>
      </c>
      <c r="H443" s="121">
        <v>1001.74</v>
      </c>
      <c r="I443" s="128"/>
      <c r="L443" s="119"/>
      <c r="M443" s="129"/>
      <c r="T443" s="133"/>
      <c r="AT443" s="135" t="s">
        <v>365</v>
      </c>
      <c r="AU443" s="135" t="s">
        <v>87</v>
      </c>
      <c r="AV443" s="113" t="s">
        <v>87</v>
      </c>
      <c r="AW443" s="113" t="s">
        <v>33</v>
      </c>
      <c r="AX443" s="113" t="s">
        <v>77</v>
      </c>
      <c r="AY443" s="135" t="s">
        <v>211</v>
      </c>
    </row>
    <row r="444" spans="2:65" s="113" customFormat="1">
      <c r="B444" s="119"/>
      <c r="D444" s="105" t="s">
        <v>365</v>
      </c>
      <c r="E444" s="135" t="s">
        <v>1</v>
      </c>
      <c r="F444" s="120" t="s">
        <v>737</v>
      </c>
      <c r="H444" s="121">
        <v>1.6779999999999999</v>
      </c>
      <c r="I444" s="128"/>
      <c r="L444" s="119"/>
      <c r="M444" s="129"/>
      <c r="T444" s="133"/>
      <c r="AT444" s="135" t="s">
        <v>365</v>
      </c>
      <c r="AU444" s="135" t="s">
        <v>87</v>
      </c>
      <c r="AV444" s="113" t="s">
        <v>87</v>
      </c>
      <c r="AW444" s="113" t="s">
        <v>33</v>
      </c>
      <c r="AX444" s="113" t="s">
        <v>77</v>
      </c>
      <c r="AY444" s="135" t="s">
        <v>211</v>
      </c>
    </row>
    <row r="445" spans="2:65" s="113" customFormat="1">
      <c r="B445" s="119"/>
      <c r="D445" s="105" t="s">
        <v>365</v>
      </c>
      <c r="E445" s="135" t="s">
        <v>1</v>
      </c>
      <c r="F445" s="120" t="s">
        <v>738</v>
      </c>
      <c r="H445" s="121">
        <v>23.013999999999999</v>
      </c>
      <c r="I445" s="128"/>
      <c r="L445" s="119"/>
      <c r="M445" s="129"/>
      <c r="T445" s="133"/>
      <c r="AT445" s="135" t="s">
        <v>365</v>
      </c>
      <c r="AU445" s="135" t="s">
        <v>87</v>
      </c>
      <c r="AV445" s="113" t="s">
        <v>87</v>
      </c>
      <c r="AW445" s="113" t="s">
        <v>33</v>
      </c>
      <c r="AX445" s="113" t="s">
        <v>77</v>
      </c>
      <c r="AY445" s="135" t="s">
        <v>211</v>
      </c>
    </row>
    <row r="446" spans="2:65" s="113" customFormat="1">
      <c r="B446" s="119"/>
      <c r="D446" s="105" t="s">
        <v>365</v>
      </c>
      <c r="E446" s="135" t="s">
        <v>1</v>
      </c>
      <c r="F446" s="120" t="s">
        <v>739</v>
      </c>
      <c r="H446" s="121">
        <v>751.51</v>
      </c>
      <c r="I446" s="128"/>
      <c r="L446" s="119"/>
      <c r="M446" s="129"/>
      <c r="T446" s="133"/>
      <c r="AT446" s="135" t="s">
        <v>365</v>
      </c>
      <c r="AU446" s="135" t="s">
        <v>87</v>
      </c>
      <c r="AV446" s="113" t="s">
        <v>87</v>
      </c>
      <c r="AW446" s="113" t="s">
        <v>33</v>
      </c>
      <c r="AX446" s="113" t="s">
        <v>77</v>
      </c>
      <c r="AY446" s="135" t="s">
        <v>211</v>
      </c>
    </row>
    <row r="447" spans="2:65" s="113" customFormat="1">
      <c r="B447" s="119"/>
      <c r="D447" s="105" t="s">
        <v>365</v>
      </c>
      <c r="E447" s="135" t="s">
        <v>1</v>
      </c>
      <c r="F447" s="120" t="s">
        <v>740</v>
      </c>
      <c r="H447" s="121">
        <v>344.10399999999998</v>
      </c>
      <c r="I447" s="128"/>
      <c r="L447" s="119"/>
      <c r="M447" s="129"/>
      <c r="T447" s="133"/>
      <c r="AT447" s="135" t="s">
        <v>365</v>
      </c>
      <c r="AU447" s="135" t="s">
        <v>87</v>
      </c>
      <c r="AV447" s="113" t="s">
        <v>87</v>
      </c>
      <c r="AW447" s="113" t="s">
        <v>33</v>
      </c>
      <c r="AX447" s="113" t="s">
        <v>77</v>
      </c>
      <c r="AY447" s="135" t="s">
        <v>211</v>
      </c>
    </row>
    <row r="448" spans="2:65" s="154" customFormat="1">
      <c r="B448" s="156"/>
      <c r="D448" s="105" t="s">
        <v>365</v>
      </c>
      <c r="E448" s="157" t="s">
        <v>1</v>
      </c>
      <c r="F448" s="158" t="s">
        <v>741</v>
      </c>
      <c r="H448" s="159">
        <v>3150.652</v>
      </c>
      <c r="I448" s="160"/>
      <c r="L448" s="156"/>
      <c r="M448" s="161"/>
      <c r="T448" s="162"/>
      <c r="AT448" s="157" t="s">
        <v>365</v>
      </c>
      <c r="AU448" s="157" t="s">
        <v>87</v>
      </c>
      <c r="AV448" s="154" t="s">
        <v>137</v>
      </c>
      <c r="AW448" s="154" t="s">
        <v>33</v>
      </c>
      <c r="AX448" s="154" t="s">
        <v>77</v>
      </c>
      <c r="AY448" s="157" t="s">
        <v>211</v>
      </c>
    </row>
    <row r="449" spans="2:51" s="113" customFormat="1">
      <c r="B449" s="119"/>
      <c r="D449" s="105" t="s">
        <v>365</v>
      </c>
      <c r="E449" s="135" t="s">
        <v>1</v>
      </c>
      <c r="F449" s="120" t="s">
        <v>742</v>
      </c>
      <c r="H449" s="121">
        <v>133.68</v>
      </c>
      <c r="I449" s="128"/>
      <c r="L449" s="119"/>
      <c r="M449" s="129"/>
      <c r="T449" s="133"/>
      <c r="AT449" s="135" t="s">
        <v>365</v>
      </c>
      <c r="AU449" s="135" t="s">
        <v>87</v>
      </c>
      <c r="AV449" s="113" t="s">
        <v>87</v>
      </c>
      <c r="AW449" s="113" t="s">
        <v>33</v>
      </c>
      <c r="AX449" s="113" t="s">
        <v>77</v>
      </c>
      <c r="AY449" s="135" t="s">
        <v>211</v>
      </c>
    </row>
    <row r="450" spans="2:51" s="113" customFormat="1">
      <c r="B450" s="119"/>
      <c r="D450" s="105" t="s">
        <v>365</v>
      </c>
      <c r="E450" s="135" t="s">
        <v>1</v>
      </c>
      <c r="F450" s="120" t="s">
        <v>743</v>
      </c>
      <c r="H450" s="121">
        <v>133.68</v>
      </c>
      <c r="I450" s="128"/>
      <c r="L450" s="119"/>
      <c r="M450" s="129"/>
      <c r="T450" s="133"/>
      <c r="AT450" s="135" t="s">
        <v>365</v>
      </c>
      <c r="AU450" s="135" t="s">
        <v>87</v>
      </c>
      <c r="AV450" s="113" t="s">
        <v>87</v>
      </c>
      <c r="AW450" s="113" t="s">
        <v>33</v>
      </c>
      <c r="AX450" s="113" t="s">
        <v>77</v>
      </c>
      <c r="AY450" s="135" t="s">
        <v>211</v>
      </c>
    </row>
    <row r="451" spans="2:51" s="113" customFormat="1">
      <c r="B451" s="119"/>
      <c r="D451" s="105" t="s">
        <v>365</v>
      </c>
      <c r="E451" s="135" t="s">
        <v>1</v>
      </c>
      <c r="F451" s="120" t="s">
        <v>744</v>
      </c>
      <c r="H451" s="121">
        <v>132.96799999999999</v>
      </c>
      <c r="I451" s="128"/>
      <c r="L451" s="119"/>
      <c r="M451" s="129"/>
      <c r="T451" s="133"/>
      <c r="AT451" s="135" t="s">
        <v>365</v>
      </c>
      <c r="AU451" s="135" t="s">
        <v>87</v>
      </c>
      <c r="AV451" s="113" t="s">
        <v>87</v>
      </c>
      <c r="AW451" s="113" t="s">
        <v>33</v>
      </c>
      <c r="AX451" s="113" t="s">
        <v>77</v>
      </c>
      <c r="AY451" s="135" t="s">
        <v>211</v>
      </c>
    </row>
    <row r="452" spans="2:51" s="113" customFormat="1">
      <c r="B452" s="119"/>
      <c r="D452" s="105" t="s">
        <v>365</v>
      </c>
      <c r="E452" s="135" t="s">
        <v>1</v>
      </c>
      <c r="F452" s="120" t="s">
        <v>745</v>
      </c>
      <c r="H452" s="121">
        <v>141.29499999999999</v>
      </c>
      <c r="I452" s="128"/>
      <c r="L452" s="119"/>
      <c r="M452" s="129"/>
      <c r="T452" s="133"/>
      <c r="AT452" s="135" t="s">
        <v>365</v>
      </c>
      <c r="AU452" s="135" t="s">
        <v>87</v>
      </c>
      <c r="AV452" s="113" t="s">
        <v>87</v>
      </c>
      <c r="AW452" s="113" t="s">
        <v>33</v>
      </c>
      <c r="AX452" s="113" t="s">
        <v>77</v>
      </c>
      <c r="AY452" s="135" t="s">
        <v>211</v>
      </c>
    </row>
    <row r="453" spans="2:51" s="154" customFormat="1">
      <c r="B453" s="156"/>
      <c r="D453" s="105" t="s">
        <v>365</v>
      </c>
      <c r="E453" s="157" t="s">
        <v>1</v>
      </c>
      <c r="F453" s="158" t="s">
        <v>741</v>
      </c>
      <c r="H453" s="159">
        <v>541.62300000000005</v>
      </c>
      <c r="I453" s="160"/>
      <c r="L453" s="156"/>
      <c r="M453" s="161"/>
      <c r="T453" s="162"/>
      <c r="AT453" s="157" t="s">
        <v>365</v>
      </c>
      <c r="AU453" s="157" t="s">
        <v>87</v>
      </c>
      <c r="AV453" s="154" t="s">
        <v>137</v>
      </c>
      <c r="AW453" s="154" t="s">
        <v>33</v>
      </c>
      <c r="AX453" s="154" t="s">
        <v>77</v>
      </c>
      <c r="AY453" s="157" t="s">
        <v>211</v>
      </c>
    </row>
    <row r="454" spans="2:51" s="113" customFormat="1">
      <c r="B454" s="119"/>
      <c r="D454" s="105" t="s">
        <v>365</v>
      </c>
      <c r="E454" s="135" t="s">
        <v>1</v>
      </c>
      <c r="F454" s="120" t="s">
        <v>746</v>
      </c>
      <c r="H454" s="121">
        <v>207.07300000000001</v>
      </c>
      <c r="I454" s="128"/>
      <c r="L454" s="119"/>
      <c r="M454" s="129"/>
      <c r="T454" s="133"/>
      <c r="AT454" s="135" t="s">
        <v>365</v>
      </c>
      <c r="AU454" s="135" t="s">
        <v>87</v>
      </c>
      <c r="AV454" s="113" t="s">
        <v>87</v>
      </c>
      <c r="AW454" s="113" t="s">
        <v>33</v>
      </c>
      <c r="AX454" s="113" t="s">
        <v>77</v>
      </c>
      <c r="AY454" s="135" t="s">
        <v>211</v>
      </c>
    </row>
    <row r="455" spans="2:51" s="113" customFormat="1">
      <c r="B455" s="119"/>
      <c r="D455" s="105" t="s">
        <v>365</v>
      </c>
      <c r="E455" s="135" t="s">
        <v>1</v>
      </c>
      <c r="F455" s="120" t="s">
        <v>747</v>
      </c>
      <c r="H455" s="121">
        <v>207.07300000000001</v>
      </c>
      <c r="I455" s="128"/>
      <c r="L455" s="119"/>
      <c r="M455" s="129"/>
      <c r="T455" s="133"/>
      <c r="AT455" s="135" t="s">
        <v>365</v>
      </c>
      <c r="AU455" s="135" t="s">
        <v>87</v>
      </c>
      <c r="AV455" s="113" t="s">
        <v>87</v>
      </c>
      <c r="AW455" s="113" t="s">
        <v>33</v>
      </c>
      <c r="AX455" s="113" t="s">
        <v>77</v>
      </c>
      <c r="AY455" s="135" t="s">
        <v>211</v>
      </c>
    </row>
    <row r="456" spans="2:51" s="113" customFormat="1">
      <c r="B456" s="119"/>
      <c r="D456" s="105" t="s">
        <v>365</v>
      </c>
      <c r="E456" s="135" t="s">
        <v>1</v>
      </c>
      <c r="F456" s="120" t="s">
        <v>748</v>
      </c>
      <c r="H456" s="121">
        <v>185.184</v>
      </c>
      <c r="I456" s="128"/>
      <c r="L456" s="119"/>
      <c r="M456" s="129"/>
      <c r="T456" s="133"/>
      <c r="AT456" s="135" t="s">
        <v>365</v>
      </c>
      <c r="AU456" s="135" t="s">
        <v>87</v>
      </c>
      <c r="AV456" s="113" t="s">
        <v>87</v>
      </c>
      <c r="AW456" s="113" t="s">
        <v>33</v>
      </c>
      <c r="AX456" s="113" t="s">
        <v>77</v>
      </c>
      <c r="AY456" s="135" t="s">
        <v>211</v>
      </c>
    </row>
    <row r="457" spans="2:51" s="113" customFormat="1">
      <c r="B457" s="119"/>
      <c r="D457" s="105" t="s">
        <v>365</v>
      </c>
      <c r="E457" s="135" t="s">
        <v>1</v>
      </c>
      <c r="F457" s="120" t="s">
        <v>749</v>
      </c>
      <c r="H457" s="121">
        <v>213.053</v>
      </c>
      <c r="I457" s="128"/>
      <c r="L457" s="119"/>
      <c r="M457" s="129"/>
      <c r="T457" s="133"/>
      <c r="AT457" s="135" t="s">
        <v>365</v>
      </c>
      <c r="AU457" s="135" t="s">
        <v>87</v>
      </c>
      <c r="AV457" s="113" t="s">
        <v>87</v>
      </c>
      <c r="AW457" s="113" t="s">
        <v>33</v>
      </c>
      <c r="AX457" s="113" t="s">
        <v>77</v>
      </c>
      <c r="AY457" s="135" t="s">
        <v>211</v>
      </c>
    </row>
    <row r="458" spans="2:51" s="154" customFormat="1">
      <c r="B458" s="156"/>
      <c r="D458" s="105" t="s">
        <v>365</v>
      </c>
      <c r="E458" s="157" t="s">
        <v>1</v>
      </c>
      <c r="F458" s="158" t="s">
        <v>741</v>
      </c>
      <c r="H458" s="159">
        <v>812.38300000000004</v>
      </c>
      <c r="I458" s="160"/>
      <c r="L458" s="156"/>
      <c r="M458" s="161"/>
      <c r="T458" s="162"/>
      <c r="AT458" s="157" t="s">
        <v>365</v>
      </c>
      <c r="AU458" s="157" t="s">
        <v>87</v>
      </c>
      <c r="AV458" s="154" t="s">
        <v>137</v>
      </c>
      <c r="AW458" s="154" t="s">
        <v>33</v>
      </c>
      <c r="AX458" s="154" t="s">
        <v>77</v>
      </c>
      <c r="AY458" s="157" t="s">
        <v>211</v>
      </c>
    </row>
    <row r="459" spans="2:51" s="113" customFormat="1">
      <c r="B459" s="119"/>
      <c r="D459" s="105" t="s">
        <v>365</v>
      </c>
      <c r="E459" s="135" t="s">
        <v>1</v>
      </c>
      <c r="F459" s="120" t="s">
        <v>750</v>
      </c>
      <c r="H459" s="121">
        <v>302.67099999999999</v>
      </c>
      <c r="I459" s="128"/>
      <c r="L459" s="119"/>
      <c r="M459" s="129"/>
      <c r="T459" s="133"/>
      <c r="AT459" s="135" t="s">
        <v>365</v>
      </c>
      <c r="AU459" s="135" t="s">
        <v>87</v>
      </c>
      <c r="AV459" s="113" t="s">
        <v>87</v>
      </c>
      <c r="AW459" s="113" t="s">
        <v>33</v>
      </c>
      <c r="AX459" s="113" t="s">
        <v>77</v>
      </c>
      <c r="AY459" s="135" t="s">
        <v>211</v>
      </c>
    </row>
    <row r="460" spans="2:51" s="113" customFormat="1">
      <c r="B460" s="119"/>
      <c r="D460" s="105" t="s">
        <v>365</v>
      </c>
      <c r="E460" s="135" t="s">
        <v>1</v>
      </c>
      <c r="F460" s="120" t="s">
        <v>751</v>
      </c>
      <c r="H460" s="121">
        <v>302.67099999999999</v>
      </c>
      <c r="I460" s="128"/>
      <c r="L460" s="119"/>
      <c r="M460" s="129"/>
      <c r="T460" s="133"/>
      <c r="AT460" s="135" t="s">
        <v>365</v>
      </c>
      <c r="AU460" s="135" t="s">
        <v>87</v>
      </c>
      <c r="AV460" s="113" t="s">
        <v>87</v>
      </c>
      <c r="AW460" s="113" t="s">
        <v>33</v>
      </c>
      <c r="AX460" s="113" t="s">
        <v>77</v>
      </c>
      <c r="AY460" s="135" t="s">
        <v>211</v>
      </c>
    </row>
    <row r="461" spans="2:51" s="113" customFormat="1">
      <c r="B461" s="119"/>
      <c r="D461" s="105" t="s">
        <v>365</v>
      </c>
      <c r="E461" s="135" t="s">
        <v>1</v>
      </c>
      <c r="F461" s="120" t="s">
        <v>752</v>
      </c>
      <c r="H461" s="121">
        <v>374.59300000000002</v>
      </c>
      <c r="I461" s="128"/>
      <c r="L461" s="119"/>
      <c r="M461" s="129"/>
      <c r="T461" s="133"/>
      <c r="AT461" s="135" t="s">
        <v>365</v>
      </c>
      <c r="AU461" s="135" t="s">
        <v>87</v>
      </c>
      <c r="AV461" s="113" t="s">
        <v>87</v>
      </c>
      <c r="AW461" s="113" t="s">
        <v>33</v>
      </c>
      <c r="AX461" s="113" t="s">
        <v>77</v>
      </c>
      <c r="AY461" s="135" t="s">
        <v>211</v>
      </c>
    </row>
    <row r="462" spans="2:51" s="113" customFormat="1">
      <c r="B462" s="119"/>
      <c r="D462" s="105" t="s">
        <v>365</v>
      </c>
      <c r="E462" s="135" t="s">
        <v>1</v>
      </c>
      <c r="F462" s="120" t="s">
        <v>753</v>
      </c>
      <c r="H462" s="121">
        <v>174.554</v>
      </c>
      <c r="I462" s="128"/>
      <c r="L462" s="119"/>
      <c r="M462" s="129"/>
      <c r="T462" s="133"/>
      <c r="AT462" s="135" t="s">
        <v>365</v>
      </c>
      <c r="AU462" s="135" t="s">
        <v>87</v>
      </c>
      <c r="AV462" s="113" t="s">
        <v>87</v>
      </c>
      <c r="AW462" s="113" t="s">
        <v>33</v>
      </c>
      <c r="AX462" s="113" t="s">
        <v>77</v>
      </c>
      <c r="AY462" s="135" t="s">
        <v>211</v>
      </c>
    </row>
    <row r="463" spans="2:51" s="154" customFormat="1">
      <c r="B463" s="156"/>
      <c r="D463" s="105" t="s">
        <v>365</v>
      </c>
      <c r="E463" s="157" t="s">
        <v>1</v>
      </c>
      <c r="F463" s="158" t="s">
        <v>741</v>
      </c>
      <c r="H463" s="159">
        <v>1154.489</v>
      </c>
      <c r="I463" s="160"/>
      <c r="L463" s="156"/>
      <c r="M463" s="161"/>
      <c r="T463" s="162"/>
      <c r="AT463" s="157" t="s">
        <v>365</v>
      </c>
      <c r="AU463" s="157" t="s">
        <v>87</v>
      </c>
      <c r="AV463" s="154" t="s">
        <v>137</v>
      </c>
      <c r="AW463" s="154" t="s">
        <v>33</v>
      </c>
      <c r="AX463" s="154" t="s">
        <v>77</v>
      </c>
      <c r="AY463" s="157" t="s">
        <v>211</v>
      </c>
    </row>
    <row r="464" spans="2:51" s="136" customFormat="1">
      <c r="B464" s="138"/>
      <c r="D464" s="105" t="s">
        <v>365</v>
      </c>
      <c r="E464" s="139" t="s">
        <v>1</v>
      </c>
      <c r="F464" s="140" t="s">
        <v>717</v>
      </c>
      <c r="H464" s="139" t="s">
        <v>1</v>
      </c>
      <c r="I464" s="146"/>
      <c r="L464" s="138"/>
      <c r="M464" s="147"/>
      <c r="T464" s="150"/>
      <c r="AT464" s="139" t="s">
        <v>365</v>
      </c>
      <c r="AU464" s="139" t="s">
        <v>87</v>
      </c>
      <c r="AV464" s="136" t="s">
        <v>85</v>
      </c>
      <c r="AW464" s="136" t="s">
        <v>33</v>
      </c>
      <c r="AX464" s="136" t="s">
        <v>77</v>
      </c>
      <c r="AY464" s="139" t="s">
        <v>211</v>
      </c>
    </row>
    <row r="465" spans="2:65" s="136" customFormat="1">
      <c r="B465" s="138"/>
      <c r="D465" s="105" t="s">
        <v>365</v>
      </c>
      <c r="E465" s="139" t="s">
        <v>1</v>
      </c>
      <c r="F465" s="140" t="s">
        <v>718</v>
      </c>
      <c r="H465" s="139" t="s">
        <v>1</v>
      </c>
      <c r="I465" s="146"/>
      <c r="L465" s="138"/>
      <c r="M465" s="147"/>
      <c r="T465" s="150"/>
      <c r="AT465" s="139" t="s">
        <v>365</v>
      </c>
      <c r="AU465" s="139" t="s">
        <v>87</v>
      </c>
      <c r="AV465" s="136" t="s">
        <v>85</v>
      </c>
      <c r="AW465" s="136" t="s">
        <v>33</v>
      </c>
      <c r="AX465" s="136" t="s">
        <v>77</v>
      </c>
      <c r="AY465" s="139" t="s">
        <v>211</v>
      </c>
    </row>
    <row r="466" spans="2:65" s="113" customFormat="1">
      <c r="B466" s="119"/>
      <c r="D466" s="105" t="s">
        <v>365</v>
      </c>
      <c r="E466" s="135" t="s">
        <v>1</v>
      </c>
      <c r="F466" s="120" t="s">
        <v>754</v>
      </c>
      <c r="H466" s="121">
        <v>16.478000000000002</v>
      </c>
      <c r="I466" s="128"/>
      <c r="L466" s="119"/>
      <c r="M466" s="129"/>
      <c r="T466" s="133"/>
      <c r="AT466" s="135" t="s">
        <v>365</v>
      </c>
      <c r="AU466" s="135" t="s">
        <v>87</v>
      </c>
      <c r="AV466" s="113" t="s">
        <v>87</v>
      </c>
      <c r="AW466" s="113" t="s">
        <v>33</v>
      </c>
      <c r="AX466" s="113" t="s">
        <v>77</v>
      </c>
      <c r="AY466" s="135" t="s">
        <v>211</v>
      </c>
    </row>
    <row r="467" spans="2:65" s="136" customFormat="1">
      <c r="B467" s="138"/>
      <c r="D467" s="105" t="s">
        <v>365</v>
      </c>
      <c r="E467" s="139" t="s">
        <v>1</v>
      </c>
      <c r="F467" s="140" t="s">
        <v>721</v>
      </c>
      <c r="H467" s="139" t="s">
        <v>1</v>
      </c>
      <c r="I467" s="146"/>
      <c r="L467" s="138"/>
      <c r="M467" s="147"/>
      <c r="T467" s="150"/>
      <c r="AT467" s="139" t="s">
        <v>365</v>
      </c>
      <c r="AU467" s="139" t="s">
        <v>87</v>
      </c>
      <c r="AV467" s="136" t="s">
        <v>85</v>
      </c>
      <c r="AW467" s="136" t="s">
        <v>33</v>
      </c>
      <c r="AX467" s="136" t="s">
        <v>77</v>
      </c>
      <c r="AY467" s="139" t="s">
        <v>211</v>
      </c>
    </row>
    <row r="468" spans="2:65" s="154" customFormat="1">
      <c r="B468" s="156"/>
      <c r="D468" s="105" t="s">
        <v>365</v>
      </c>
      <c r="E468" s="157" t="s">
        <v>1</v>
      </c>
      <c r="F468" s="158" t="s">
        <v>741</v>
      </c>
      <c r="H468" s="159">
        <v>16.478000000000002</v>
      </c>
      <c r="I468" s="160"/>
      <c r="L468" s="156"/>
      <c r="M468" s="161"/>
      <c r="T468" s="162"/>
      <c r="AT468" s="157" t="s">
        <v>365</v>
      </c>
      <c r="AU468" s="157" t="s">
        <v>87</v>
      </c>
      <c r="AV468" s="154" t="s">
        <v>137</v>
      </c>
      <c r="AW468" s="154" t="s">
        <v>33</v>
      </c>
      <c r="AX468" s="154" t="s">
        <v>77</v>
      </c>
      <c r="AY468" s="157" t="s">
        <v>211</v>
      </c>
    </row>
    <row r="469" spans="2:65" s="113" customFormat="1">
      <c r="B469" s="119"/>
      <c r="D469" s="105" t="s">
        <v>365</v>
      </c>
      <c r="E469" s="135" t="s">
        <v>1</v>
      </c>
      <c r="F469" s="120" t="s">
        <v>755</v>
      </c>
      <c r="H469" s="121">
        <v>1777.44</v>
      </c>
      <c r="I469" s="128"/>
      <c r="L469" s="119"/>
      <c r="M469" s="129"/>
      <c r="T469" s="133"/>
      <c r="AT469" s="135" t="s">
        <v>365</v>
      </c>
      <c r="AU469" s="135" t="s">
        <v>87</v>
      </c>
      <c r="AV469" s="113" t="s">
        <v>87</v>
      </c>
      <c r="AW469" s="113" t="s">
        <v>33</v>
      </c>
      <c r="AX469" s="113" t="s">
        <v>77</v>
      </c>
      <c r="AY469" s="135" t="s">
        <v>211</v>
      </c>
    </row>
    <row r="470" spans="2:65" s="137" customFormat="1">
      <c r="B470" s="141"/>
      <c r="D470" s="105" t="s">
        <v>365</v>
      </c>
      <c r="E470" s="142" t="s">
        <v>1</v>
      </c>
      <c r="F470" s="143" t="s">
        <v>368</v>
      </c>
      <c r="H470" s="144">
        <v>7453.0649999999996</v>
      </c>
      <c r="I470" s="148"/>
      <c r="L470" s="141"/>
      <c r="M470" s="149"/>
      <c r="T470" s="151"/>
      <c r="AT470" s="142" t="s">
        <v>365</v>
      </c>
      <c r="AU470" s="142" t="s">
        <v>87</v>
      </c>
      <c r="AV470" s="137" t="s">
        <v>218</v>
      </c>
      <c r="AW470" s="137" t="s">
        <v>33</v>
      </c>
      <c r="AX470" s="137" t="s">
        <v>85</v>
      </c>
      <c r="AY470" s="142" t="s">
        <v>211</v>
      </c>
    </row>
    <row r="471" spans="2:65" s="1" customFormat="1" ht="16.5" customHeight="1">
      <c r="B471" s="12"/>
      <c r="C471" s="71" t="s">
        <v>760</v>
      </c>
      <c r="D471" s="71" t="s">
        <v>214</v>
      </c>
      <c r="E471" s="72" t="s">
        <v>761</v>
      </c>
      <c r="F471" s="73" t="s">
        <v>762</v>
      </c>
      <c r="G471" s="74" t="s">
        <v>394</v>
      </c>
      <c r="H471" s="75">
        <v>118.241</v>
      </c>
      <c r="I471" s="90">
        <v>48500</v>
      </c>
      <c r="J471" s="91">
        <f>ROUND(I471*H471,2)</f>
        <v>5734688.5</v>
      </c>
      <c r="K471" s="92"/>
      <c r="L471" s="12"/>
      <c r="M471" s="93" t="s">
        <v>1</v>
      </c>
      <c r="N471" s="94" t="s">
        <v>42</v>
      </c>
      <c r="P471" s="95">
        <f>O471*H471</f>
        <v>0</v>
      </c>
      <c r="Q471" s="95">
        <v>1.0463199999999999</v>
      </c>
      <c r="R471" s="95">
        <f>Q471*H471</f>
        <v>123.71792311999999</v>
      </c>
      <c r="S471" s="95">
        <v>0</v>
      </c>
      <c r="T471" s="99">
        <f>S471*H471</f>
        <v>0</v>
      </c>
      <c r="AR471" s="101" t="s">
        <v>218</v>
      </c>
      <c r="AT471" s="101" t="s">
        <v>214</v>
      </c>
      <c r="AU471" s="101" t="s">
        <v>87</v>
      </c>
      <c r="AY471" s="23" t="s">
        <v>211</v>
      </c>
      <c r="BE471" s="104">
        <f>IF(N471="základní",J471,0)</f>
        <v>5734688.5</v>
      </c>
      <c r="BF471" s="104">
        <f>IF(N471="snížená",J471,0)</f>
        <v>0</v>
      </c>
      <c r="BG471" s="104">
        <f>IF(N471="zákl. přenesená",J471,0)</f>
        <v>0</v>
      </c>
      <c r="BH471" s="104">
        <f>IF(N471="sníž. přenesená",J471,0)</f>
        <v>0</v>
      </c>
      <c r="BI471" s="104">
        <f>IF(N471="nulová",J471,0)</f>
        <v>0</v>
      </c>
      <c r="BJ471" s="23" t="s">
        <v>85</v>
      </c>
      <c r="BK471" s="104">
        <f>ROUND(I471*H471,2)</f>
        <v>5734688.5</v>
      </c>
      <c r="BL471" s="23" t="s">
        <v>218</v>
      </c>
      <c r="BM471" s="101" t="s">
        <v>763</v>
      </c>
    </row>
    <row r="472" spans="2:65" s="113" customFormat="1">
      <c r="B472" s="119"/>
      <c r="D472" s="105" t="s">
        <v>365</v>
      </c>
      <c r="E472" s="135" t="s">
        <v>1</v>
      </c>
      <c r="F472" s="120" t="s">
        <v>764</v>
      </c>
      <c r="H472" s="121">
        <v>6.3410000000000002</v>
      </c>
      <c r="I472" s="128"/>
      <c r="L472" s="119"/>
      <c r="M472" s="129"/>
      <c r="T472" s="133"/>
      <c r="AT472" s="135" t="s">
        <v>365</v>
      </c>
      <c r="AU472" s="135" t="s">
        <v>87</v>
      </c>
      <c r="AV472" s="113" t="s">
        <v>87</v>
      </c>
      <c r="AW472" s="113" t="s">
        <v>33</v>
      </c>
      <c r="AX472" s="113" t="s">
        <v>77</v>
      </c>
      <c r="AY472" s="135" t="s">
        <v>211</v>
      </c>
    </row>
    <row r="473" spans="2:65" s="113" customFormat="1">
      <c r="B473" s="119"/>
      <c r="D473" s="105" t="s">
        <v>365</v>
      </c>
      <c r="E473" s="135" t="s">
        <v>1</v>
      </c>
      <c r="F473" s="120" t="s">
        <v>765</v>
      </c>
      <c r="H473" s="121">
        <v>11</v>
      </c>
      <c r="I473" s="128"/>
      <c r="L473" s="119"/>
      <c r="M473" s="129"/>
      <c r="T473" s="133"/>
      <c r="AT473" s="135" t="s">
        <v>365</v>
      </c>
      <c r="AU473" s="135" t="s">
        <v>87</v>
      </c>
      <c r="AV473" s="113" t="s">
        <v>87</v>
      </c>
      <c r="AW473" s="113" t="s">
        <v>33</v>
      </c>
      <c r="AX473" s="113" t="s">
        <v>77</v>
      </c>
      <c r="AY473" s="135" t="s">
        <v>211</v>
      </c>
    </row>
    <row r="474" spans="2:65" s="113" customFormat="1">
      <c r="B474" s="119"/>
      <c r="D474" s="105" t="s">
        <v>365</v>
      </c>
      <c r="E474" s="135" t="s">
        <v>1</v>
      </c>
      <c r="F474" s="120" t="s">
        <v>766</v>
      </c>
      <c r="H474" s="121">
        <v>0.218</v>
      </c>
      <c r="I474" s="128"/>
      <c r="L474" s="119"/>
      <c r="M474" s="129"/>
      <c r="T474" s="133"/>
      <c r="AT474" s="135" t="s">
        <v>365</v>
      </c>
      <c r="AU474" s="135" t="s">
        <v>87</v>
      </c>
      <c r="AV474" s="113" t="s">
        <v>87</v>
      </c>
      <c r="AW474" s="113" t="s">
        <v>33</v>
      </c>
      <c r="AX474" s="113" t="s">
        <v>77</v>
      </c>
      <c r="AY474" s="135" t="s">
        <v>211</v>
      </c>
    </row>
    <row r="475" spans="2:65" s="113" customFormat="1">
      <c r="B475" s="119"/>
      <c r="D475" s="105" t="s">
        <v>365</v>
      </c>
      <c r="E475" s="135" t="s">
        <v>1</v>
      </c>
      <c r="F475" s="120" t="s">
        <v>767</v>
      </c>
      <c r="H475" s="121">
        <v>0.20499999999999999</v>
      </c>
      <c r="I475" s="128"/>
      <c r="L475" s="119"/>
      <c r="M475" s="129"/>
      <c r="T475" s="133"/>
      <c r="AT475" s="135" t="s">
        <v>365</v>
      </c>
      <c r="AU475" s="135" t="s">
        <v>87</v>
      </c>
      <c r="AV475" s="113" t="s">
        <v>87</v>
      </c>
      <c r="AW475" s="113" t="s">
        <v>33</v>
      </c>
      <c r="AX475" s="113" t="s">
        <v>77</v>
      </c>
      <c r="AY475" s="135" t="s">
        <v>211</v>
      </c>
    </row>
    <row r="476" spans="2:65" s="113" customFormat="1">
      <c r="B476" s="119"/>
      <c r="D476" s="105" t="s">
        <v>365</v>
      </c>
      <c r="E476" s="135" t="s">
        <v>1</v>
      </c>
      <c r="F476" s="120" t="s">
        <v>768</v>
      </c>
      <c r="H476" s="121">
        <v>4.2640000000000002</v>
      </c>
      <c r="I476" s="128"/>
      <c r="L476" s="119"/>
      <c r="M476" s="129"/>
      <c r="T476" s="133"/>
      <c r="AT476" s="135" t="s">
        <v>365</v>
      </c>
      <c r="AU476" s="135" t="s">
        <v>87</v>
      </c>
      <c r="AV476" s="113" t="s">
        <v>87</v>
      </c>
      <c r="AW476" s="113" t="s">
        <v>33</v>
      </c>
      <c r="AX476" s="113" t="s">
        <v>77</v>
      </c>
      <c r="AY476" s="135" t="s">
        <v>211</v>
      </c>
    </row>
    <row r="477" spans="2:65" s="113" customFormat="1">
      <c r="B477" s="119"/>
      <c r="D477" s="105" t="s">
        <v>365</v>
      </c>
      <c r="E477" s="135" t="s">
        <v>1</v>
      </c>
      <c r="F477" s="120" t="s">
        <v>769</v>
      </c>
      <c r="H477" s="121">
        <v>1.93</v>
      </c>
      <c r="I477" s="128"/>
      <c r="L477" s="119"/>
      <c r="M477" s="129"/>
      <c r="T477" s="133"/>
      <c r="AT477" s="135" t="s">
        <v>365</v>
      </c>
      <c r="AU477" s="135" t="s">
        <v>87</v>
      </c>
      <c r="AV477" s="113" t="s">
        <v>87</v>
      </c>
      <c r="AW477" s="113" t="s">
        <v>33</v>
      </c>
      <c r="AX477" s="113" t="s">
        <v>77</v>
      </c>
      <c r="AY477" s="135" t="s">
        <v>211</v>
      </c>
    </row>
    <row r="478" spans="2:65" s="113" customFormat="1">
      <c r="B478" s="119"/>
      <c r="D478" s="105" t="s">
        <v>365</v>
      </c>
      <c r="E478" s="135" t="s">
        <v>1</v>
      </c>
      <c r="F478" s="120" t="s">
        <v>770</v>
      </c>
      <c r="H478" s="121">
        <v>1.3380000000000001</v>
      </c>
      <c r="I478" s="128"/>
      <c r="L478" s="119"/>
      <c r="M478" s="129"/>
      <c r="T478" s="133"/>
      <c r="AT478" s="135" t="s">
        <v>365</v>
      </c>
      <c r="AU478" s="135" t="s">
        <v>87</v>
      </c>
      <c r="AV478" s="113" t="s">
        <v>87</v>
      </c>
      <c r="AW478" s="113" t="s">
        <v>33</v>
      </c>
      <c r="AX478" s="113" t="s">
        <v>77</v>
      </c>
      <c r="AY478" s="135" t="s">
        <v>211</v>
      </c>
    </row>
    <row r="479" spans="2:65" s="113" customFormat="1">
      <c r="B479" s="119"/>
      <c r="D479" s="105" t="s">
        <v>365</v>
      </c>
      <c r="E479" s="135" t="s">
        <v>1</v>
      </c>
      <c r="F479" s="120" t="s">
        <v>771</v>
      </c>
      <c r="H479" s="121">
        <v>3.3000000000000002E-2</v>
      </c>
      <c r="I479" s="128"/>
      <c r="L479" s="119"/>
      <c r="M479" s="129"/>
      <c r="T479" s="133"/>
      <c r="AT479" s="135" t="s">
        <v>365</v>
      </c>
      <c r="AU479" s="135" t="s">
        <v>87</v>
      </c>
      <c r="AV479" s="113" t="s">
        <v>87</v>
      </c>
      <c r="AW479" s="113" t="s">
        <v>33</v>
      </c>
      <c r="AX479" s="113" t="s">
        <v>77</v>
      </c>
      <c r="AY479" s="135" t="s">
        <v>211</v>
      </c>
    </row>
    <row r="480" spans="2:65" s="113" customFormat="1">
      <c r="B480" s="119"/>
      <c r="D480" s="105" t="s">
        <v>365</v>
      </c>
      <c r="E480" s="135" t="s">
        <v>1</v>
      </c>
      <c r="F480" s="120" t="s">
        <v>772</v>
      </c>
      <c r="H480" s="121">
        <v>22.539000000000001</v>
      </c>
      <c r="I480" s="128"/>
      <c r="L480" s="119"/>
      <c r="M480" s="129"/>
      <c r="T480" s="133"/>
      <c r="AT480" s="135" t="s">
        <v>365</v>
      </c>
      <c r="AU480" s="135" t="s">
        <v>87</v>
      </c>
      <c r="AV480" s="113" t="s">
        <v>87</v>
      </c>
      <c r="AW480" s="113" t="s">
        <v>33</v>
      </c>
      <c r="AX480" s="113" t="s">
        <v>77</v>
      </c>
      <c r="AY480" s="135" t="s">
        <v>211</v>
      </c>
    </row>
    <row r="481" spans="2:51" s="113" customFormat="1">
      <c r="B481" s="119"/>
      <c r="D481" s="105" t="s">
        <v>365</v>
      </c>
      <c r="E481" s="135" t="s">
        <v>1</v>
      </c>
      <c r="F481" s="120" t="s">
        <v>773</v>
      </c>
      <c r="H481" s="121">
        <v>4.2949999999999999</v>
      </c>
      <c r="I481" s="128"/>
      <c r="L481" s="119"/>
      <c r="M481" s="129"/>
      <c r="T481" s="133"/>
      <c r="AT481" s="135" t="s">
        <v>365</v>
      </c>
      <c r="AU481" s="135" t="s">
        <v>87</v>
      </c>
      <c r="AV481" s="113" t="s">
        <v>87</v>
      </c>
      <c r="AW481" s="113" t="s">
        <v>33</v>
      </c>
      <c r="AX481" s="113" t="s">
        <v>77</v>
      </c>
      <c r="AY481" s="135" t="s">
        <v>211</v>
      </c>
    </row>
    <row r="482" spans="2:51" s="113" customFormat="1">
      <c r="B482" s="119"/>
      <c r="D482" s="105" t="s">
        <v>365</v>
      </c>
      <c r="E482" s="135" t="s">
        <v>1</v>
      </c>
      <c r="F482" s="120" t="s">
        <v>774</v>
      </c>
      <c r="H482" s="121">
        <v>0.94899999999999995</v>
      </c>
      <c r="I482" s="128"/>
      <c r="L482" s="119"/>
      <c r="M482" s="129"/>
      <c r="T482" s="133"/>
      <c r="AT482" s="135" t="s">
        <v>365</v>
      </c>
      <c r="AU482" s="135" t="s">
        <v>87</v>
      </c>
      <c r="AV482" s="113" t="s">
        <v>87</v>
      </c>
      <c r="AW482" s="113" t="s">
        <v>33</v>
      </c>
      <c r="AX482" s="113" t="s">
        <v>77</v>
      </c>
      <c r="AY482" s="135" t="s">
        <v>211</v>
      </c>
    </row>
    <row r="483" spans="2:51" s="154" customFormat="1">
      <c r="B483" s="156"/>
      <c r="D483" s="105" t="s">
        <v>365</v>
      </c>
      <c r="E483" s="157" t="s">
        <v>1</v>
      </c>
      <c r="F483" s="158" t="s">
        <v>741</v>
      </c>
      <c r="H483" s="159">
        <v>53.112000000000002</v>
      </c>
      <c r="I483" s="160"/>
      <c r="L483" s="156"/>
      <c r="M483" s="161"/>
      <c r="T483" s="162"/>
      <c r="AT483" s="157" t="s">
        <v>365</v>
      </c>
      <c r="AU483" s="157" t="s">
        <v>87</v>
      </c>
      <c r="AV483" s="154" t="s">
        <v>137</v>
      </c>
      <c r="AW483" s="154" t="s">
        <v>33</v>
      </c>
      <c r="AX483" s="154" t="s">
        <v>77</v>
      </c>
      <c r="AY483" s="157" t="s">
        <v>211</v>
      </c>
    </row>
    <row r="484" spans="2:51" s="113" customFormat="1">
      <c r="B484" s="119"/>
      <c r="D484" s="105" t="s">
        <v>365</v>
      </c>
      <c r="E484" s="135" t="s">
        <v>1</v>
      </c>
      <c r="F484" s="120" t="s">
        <v>775</v>
      </c>
      <c r="H484" s="121">
        <v>3.1349999999999998</v>
      </c>
      <c r="I484" s="128"/>
      <c r="L484" s="119"/>
      <c r="M484" s="129"/>
      <c r="T484" s="133"/>
      <c r="AT484" s="135" t="s">
        <v>365</v>
      </c>
      <c r="AU484" s="135" t="s">
        <v>87</v>
      </c>
      <c r="AV484" s="113" t="s">
        <v>87</v>
      </c>
      <c r="AW484" s="113" t="s">
        <v>33</v>
      </c>
      <c r="AX484" s="113" t="s">
        <v>77</v>
      </c>
      <c r="AY484" s="135" t="s">
        <v>211</v>
      </c>
    </row>
    <row r="485" spans="2:51" s="113" customFormat="1">
      <c r="B485" s="119"/>
      <c r="D485" s="105" t="s">
        <v>365</v>
      </c>
      <c r="E485" s="135" t="s">
        <v>1</v>
      </c>
      <c r="F485" s="120" t="s">
        <v>776</v>
      </c>
      <c r="H485" s="121">
        <v>0.88800000000000001</v>
      </c>
      <c r="I485" s="128"/>
      <c r="L485" s="119"/>
      <c r="M485" s="129"/>
      <c r="T485" s="133"/>
      <c r="AT485" s="135" t="s">
        <v>365</v>
      </c>
      <c r="AU485" s="135" t="s">
        <v>87</v>
      </c>
      <c r="AV485" s="113" t="s">
        <v>87</v>
      </c>
      <c r="AW485" s="113" t="s">
        <v>33</v>
      </c>
      <c r="AX485" s="113" t="s">
        <v>77</v>
      </c>
      <c r="AY485" s="135" t="s">
        <v>211</v>
      </c>
    </row>
    <row r="486" spans="2:51" s="113" customFormat="1">
      <c r="B486" s="119"/>
      <c r="D486" s="105" t="s">
        <v>365</v>
      </c>
      <c r="E486" s="135" t="s">
        <v>1</v>
      </c>
      <c r="F486" s="120" t="s">
        <v>777</v>
      </c>
      <c r="H486" s="121">
        <v>0.81799999999999995</v>
      </c>
      <c r="I486" s="128"/>
      <c r="L486" s="119"/>
      <c r="M486" s="129"/>
      <c r="T486" s="133"/>
      <c r="AT486" s="135" t="s">
        <v>365</v>
      </c>
      <c r="AU486" s="135" t="s">
        <v>87</v>
      </c>
      <c r="AV486" s="113" t="s">
        <v>87</v>
      </c>
      <c r="AW486" s="113" t="s">
        <v>33</v>
      </c>
      <c r="AX486" s="113" t="s">
        <v>77</v>
      </c>
      <c r="AY486" s="135" t="s">
        <v>211</v>
      </c>
    </row>
    <row r="487" spans="2:51" s="113" customFormat="1">
      <c r="B487" s="119"/>
      <c r="D487" s="105" t="s">
        <v>365</v>
      </c>
      <c r="E487" s="135" t="s">
        <v>1</v>
      </c>
      <c r="F487" s="120" t="s">
        <v>778</v>
      </c>
      <c r="H487" s="121">
        <v>0.88500000000000001</v>
      </c>
      <c r="I487" s="128"/>
      <c r="L487" s="119"/>
      <c r="M487" s="129"/>
      <c r="T487" s="133"/>
      <c r="AT487" s="135" t="s">
        <v>365</v>
      </c>
      <c r="AU487" s="135" t="s">
        <v>87</v>
      </c>
      <c r="AV487" s="113" t="s">
        <v>87</v>
      </c>
      <c r="AW487" s="113" t="s">
        <v>33</v>
      </c>
      <c r="AX487" s="113" t="s">
        <v>77</v>
      </c>
      <c r="AY487" s="135" t="s">
        <v>211</v>
      </c>
    </row>
    <row r="488" spans="2:51" s="113" customFormat="1">
      <c r="B488" s="119"/>
      <c r="D488" s="105" t="s">
        <v>365</v>
      </c>
      <c r="E488" s="135" t="s">
        <v>1</v>
      </c>
      <c r="F488" s="120" t="s">
        <v>779</v>
      </c>
      <c r="H488" s="121">
        <v>0.63800000000000001</v>
      </c>
      <c r="I488" s="128"/>
      <c r="L488" s="119"/>
      <c r="M488" s="129"/>
      <c r="T488" s="133"/>
      <c r="AT488" s="135" t="s">
        <v>365</v>
      </c>
      <c r="AU488" s="135" t="s">
        <v>87</v>
      </c>
      <c r="AV488" s="113" t="s">
        <v>87</v>
      </c>
      <c r="AW488" s="113" t="s">
        <v>33</v>
      </c>
      <c r="AX488" s="113" t="s">
        <v>77</v>
      </c>
      <c r="AY488" s="135" t="s">
        <v>211</v>
      </c>
    </row>
    <row r="489" spans="2:51" s="113" customFormat="1">
      <c r="B489" s="119"/>
      <c r="D489" s="105" t="s">
        <v>365</v>
      </c>
      <c r="E489" s="135" t="s">
        <v>1</v>
      </c>
      <c r="F489" s="120" t="s">
        <v>780</v>
      </c>
      <c r="H489" s="121">
        <v>0.88500000000000001</v>
      </c>
      <c r="I489" s="128"/>
      <c r="L489" s="119"/>
      <c r="M489" s="129"/>
      <c r="T489" s="133"/>
      <c r="AT489" s="135" t="s">
        <v>365</v>
      </c>
      <c r="AU489" s="135" t="s">
        <v>87</v>
      </c>
      <c r="AV489" s="113" t="s">
        <v>87</v>
      </c>
      <c r="AW489" s="113" t="s">
        <v>33</v>
      </c>
      <c r="AX489" s="113" t="s">
        <v>77</v>
      </c>
      <c r="AY489" s="135" t="s">
        <v>211</v>
      </c>
    </row>
    <row r="490" spans="2:51" s="113" customFormat="1">
      <c r="B490" s="119"/>
      <c r="D490" s="105" t="s">
        <v>365</v>
      </c>
      <c r="E490" s="135" t="s">
        <v>1</v>
      </c>
      <c r="F490" s="120" t="s">
        <v>781</v>
      </c>
      <c r="H490" s="121">
        <v>0.627</v>
      </c>
      <c r="I490" s="128"/>
      <c r="L490" s="119"/>
      <c r="M490" s="129"/>
      <c r="T490" s="133"/>
      <c r="AT490" s="135" t="s">
        <v>365</v>
      </c>
      <c r="AU490" s="135" t="s">
        <v>87</v>
      </c>
      <c r="AV490" s="113" t="s">
        <v>87</v>
      </c>
      <c r="AW490" s="113" t="s">
        <v>33</v>
      </c>
      <c r="AX490" s="113" t="s">
        <v>77</v>
      </c>
      <c r="AY490" s="135" t="s">
        <v>211</v>
      </c>
    </row>
    <row r="491" spans="2:51" s="113" customFormat="1">
      <c r="B491" s="119"/>
      <c r="D491" s="105" t="s">
        <v>365</v>
      </c>
      <c r="E491" s="135" t="s">
        <v>1</v>
      </c>
      <c r="F491" s="120" t="s">
        <v>782</v>
      </c>
      <c r="H491" s="121">
        <v>0.96499999999999997</v>
      </c>
      <c r="I491" s="128"/>
      <c r="L491" s="119"/>
      <c r="M491" s="129"/>
      <c r="T491" s="133"/>
      <c r="AT491" s="135" t="s">
        <v>365</v>
      </c>
      <c r="AU491" s="135" t="s">
        <v>87</v>
      </c>
      <c r="AV491" s="113" t="s">
        <v>87</v>
      </c>
      <c r="AW491" s="113" t="s">
        <v>33</v>
      </c>
      <c r="AX491" s="113" t="s">
        <v>77</v>
      </c>
      <c r="AY491" s="135" t="s">
        <v>211</v>
      </c>
    </row>
    <row r="492" spans="2:51" s="113" customFormat="1">
      <c r="B492" s="119"/>
      <c r="D492" s="105" t="s">
        <v>365</v>
      </c>
      <c r="E492" s="135" t="s">
        <v>1</v>
      </c>
      <c r="F492" s="120" t="s">
        <v>783</v>
      </c>
      <c r="H492" s="121">
        <v>0.63</v>
      </c>
      <c r="I492" s="128"/>
      <c r="L492" s="119"/>
      <c r="M492" s="129"/>
      <c r="T492" s="133"/>
      <c r="AT492" s="135" t="s">
        <v>365</v>
      </c>
      <c r="AU492" s="135" t="s">
        <v>87</v>
      </c>
      <c r="AV492" s="113" t="s">
        <v>87</v>
      </c>
      <c r="AW492" s="113" t="s">
        <v>33</v>
      </c>
      <c r="AX492" s="113" t="s">
        <v>77</v>
      </c>
      <c r="AY492" s="135" t="s">
        <v>211</v>
      </c>
    </row>
    <row r="493" spans="2:51" s="154" customFormat="1">
      <c r="B493" s="156"/>
      <c r="D493" s="105" t="s">
        <v>365</v>
      </c>
      <c r="E493" s="157" t="s">
        <v>1</v>
      </c>
      <c r="F493" s="158" t="s">
        <v>741</v>
      </c>
      <c r="H493" s="159">
        <v>9.4710000000000001</v>
      </c>
      <c r="I493" s="160"/>
      <c r="L493" s="156"/>
      <c r="M493" s="161"/>
      <c r="T493" s="162"/>
      <c r="AT493" s="157" t="s">
        <v>365</v>
      </c>
      <c r="AU493" s="157" t="s">
        <v>87</v>
      </c>
      <c r="AV493" s="154" t="s">
        <v>137</v>
      </c>
      <c r="AW493" s="154" t="s">
        <v>33</v>
      </c>
      <c r="AX493" s="154" t="s">
        <v>77</v>
      </c>
      <c r="AY493" s="157" t="s">
        <v>211</v>
      </c>
    </row>
    <row r="494" spans="2:51" s="113" customFormat="1">
      <c r="B494" s="119"/>
      <c r="D494" s="105" t="s">
        <v>365</v>
      </c>
      <c r="E494" s="135" t="s">
        <v>1</v>
      </c>
      <c r="F494" s="120" t="s">
        <v>784</v>
      </c>
      <c r="H494" s="121">
        <v>1.077</v>
      </c>
      <c r="I494" s="128"/>
      <c r="L494" s="119"/>
      <c r="M494" s="129"/>
      <c r="T494" s="133"/>
      <c r="AT494" s="135" t="s">
        <v>365</v>
      </c>
      <c r="AU494" s="135" t="s">
        <v>87</v>
      </c>
      <c r="AV494" s="113" t="s">
        <v>87</v>
      </c>
      <c r="AW494" s="113" t="s">
        <v>33</v>
      </c>
      <c r="AX494" s="113" t="s">
        <v>77</v>
      </c>
      <c r="AY494" s="135" t="s">
        <v>211</v>
      </c>
    </row>
    <row r="495" spans="2:51" s="113" customFormat="1">
      <c r="B495" s="119"/>
      <c r="D495" s="105" t="s">
        <v>365</v>
      </c>
      <c r="E495" s="135" t="s">
        <v>1</v>
      </c>
      <c r="F495" s="120" t="s">
        <v>785</v>
      </c>
      <c r="H495" s="121">
        <v>0.63700000000000001</v>
      </c>
      <c r="I495" s="128"/>
      <c r="L495" s="119"/>
      <c r="M495" s="129"/>
      <c r="T495" s="133"/>
      <c r="AT495" s="135" t="s">
        <v>365</v>
      </c>
      <c r="AU495" s="135" t="s">
        <v>87</v>
      </c>
      <c r="AV495" s="113" t="s">
        <v>87</v>
      </c>
      <c r="AW495" s="113" t="s">
        <v>33</v>
      </c>
      <c r="AX495" s="113" t="s">
        <v>77</v>
      </c>
      <c r="AY495" s="135" t="s">
        <v>211</v>
      </c>
    </row>
    <row r="496" spans="2:51" s="113" customFormat="1">
      <c r="B496" s="119"/>
      <c r="D496" s="105" t="s">
        <v>365</v>
      </c>
      <c r="E496" s="135" t="s">
        <v>1</v>
      </c>
      <c r="F496" s="120" t="s">
        <v>786</v>
      </c>
      <c r="H496" s="121">
        <v>1.413</v>
      </c>
      <c r="I496" s="128"/>
      <c r="L496" s="119"/>
      <c r="M496" s="129"/>
      <c r="T496" s="133"/>
      <c r="AT496" s="135" t="s">
        <v>365</v>
      </c>
      <c r="AU496" s="135" t="s">
        <v>87</v>
      </c>
      <c r="AV496" s="113" t="s">
        <v>87</v>
      </c>
      <c r="AW496" s="113" t="s">
        <v>33</v>
      </c>
      <c r="AX496" s="113" t="s">
        <v>77</v>
      </c>
      <c r="AY496" s="135" t="s">
        <v>211</v>
      </c>
    </row>
    <row r="497" spans="2:51" s="113" customFormat="1">
      <c r="B497" s="119"/>
      <c r="D497" s="105" t="s">
        <v>365</v>
      </c>
      <c r="E497" s="135" t="s">
        <v>1</v>
      </c>
      <c r="F497" s="120" t="s">
        <v>787</v>
      </c>
      <c r="H497" s="121">
        <v>1.036</v>
      </c>
      <c r="I497" s="128"/>
      <c r="L497" s="119"/>
      <c r="M497" s="129"/>
      <c r="T497" s="133"/>
      <c r="AT497" s="135" t="s">
        <v>365</v>
      </c>
      <c r="AU497" s="135" t="s">
        <v>87</v>
      </c>
      <c r="AV497" s="113" t="s">
        <v>87</v>
      </c>
      <c r="AW497" s="113" t="s">
        <v>33</v>
      </c>
      <c r="AX497" s="113" t="s">
        <v>77</v>
      </c>
      <c r="AY497" s="135" t="s">
        <v>211</v>
      </c>
    </row>
    <row r="498" spans="2:51" s="113" customFormat="1">
      <c r="B498" s="119"/>
      <c r="D498" s="105" t="s">
        <v>365</v>
      </c>
      <c r="E498" s="135" t="s">
        <v>1</v>
      </c>
      <c r="F498" s="120" t="s">
        <v>785</v>
      </c>
      <c r="H498" s="121">
        <v>0.63700000000000001</v>
      </c>
      <c r="I498" s="128"/>
      <c r="L498" s="119"/>
      <c r="M498" s="129"/>
      <c r="T498" s="133"/>
      <c r="AT498" s="135" t="s">
        <v>365</v>
      </c>
      <c r="AU498" s="135" t="s">
        <v>87</v>
      </c>
      <c r="AV498" s="113" t="s">
        <v>87</v>
      </c>
      <c r="AW498" s="113" t="s">
        <v>33</v>
      </c>
      <c r="AX498" s="113" t="s">
        <v>77</v>
      </c>
      <c r="AY498" s="135" t="s">
        <v>211</v>
      </c>
    </row>
    <row r="499" spans="2:51" s="113" customFormat="1">
      <c r="B499" s="119"/>
      <c r="D499" s="105" t="s">
        <v>365</v>
      </c>
      <c r="E499" s="135" t="s">
        <v>1</v>
      </c>
      <c r="F499" s="120" t="s">
        <v>788</v>
      </c>
      <c r="H499" s="121">
        <v>0.95599999999999996</v>
      </c>
      <c r="I499" s="128"/>
      <c r="L499" s="119"/>
      <c r="M499" s="129"/>
      <c r="T499" s="133"/>
      <c r="AT499" s="135" t="s">
        <v>365</v>
      </c>
      <c r="AU499" s="135" t="s">
        <v>87</v>
      </c>
      <c r="AV499" s="113" t="s">
        <v>87</v>
      </c>
      <c r="AW499" s="113" t="s">
        <v>33</v>
      </c>
      <c r="AX499" s="113" t="s">
        <v>77</v>
      </c>
      <c r="AY499" s="135" t="s">
        <v>211</v>
      </c>
    </row>
    <row r="500" spans="2:51" s="113" customFormat="1">
      <c r="B500" s="119"/>
      <c r="D500" s="105" t="s">
        <v>365</v>
      </c>
      <c r="E500" s="135" t="s">
        <v>1</v>
      </c>
      <c r="F500" s="120" t="s">
        <v>789</v>
      </c>
      <c r="H500" s="121">
        <v>1.0169999999999999</v>
      </c>
      <c r="I500" s="128"/>
      <c r="L500" s="119"/>
      <c r="M500" s="129"/>
      <c r="T500" s="133"/>
      <c r="AT500" s="135" t="s">
        <v>365</v>
      </c>
      <c r="AU500" s="135" t="s">
        <v>87</v>
      </c>
      <c r="AV500" s="113" t="s">
        <v>87</v>
      </c>
      <c r="AW500" s="113" t="s">
        <v>33</v>
      </c>
      <c r="AX500" s="113" t="s">
        <v>77</v>
      </c>
      <c r="AY500" s="135" t="s">
        <v>211</v>
      </c>
    </row>
    <row r="501" spans="2:51" s="113" customFormat="1">
      <c r="B501" s="119"/>
      <c r="D501" s="105" t="s">
        <v>365</v>
      </c>
      <c r="E501" s="135" t="s">
        <v>1</v>
      </c>
      <c r="F501" s="120" t="s">
        <v>790</v>
      </c>
      <c r="H501" s="121">
        <v>0.625</v>
      </c>
      <c r="I501" s="128"/>
      <c r="L501" s="119"/>
      <c r="M501" s="129"/>
      <c r="T501" s="133"/>
      <c r="AT501" s="135" t="s">
        <v>365</v>
      </c>
      <c r="AU501" s="135" t="s">
        <v>87</v>
      </c>
      <c r="AV501" s="113" t="s">
        <v>87</v>
      </c>
      <c r="AW501" s="113" t="s">
        <v>33</v>
      </c>
      <c r="AX501" s="113" t="s">
        <v>77</v>
      </c>
      <c r="AY501" s="135" t="s">
        <v>211</v>
      </c>
    </row>
    <row r="502" spans="2:51" s="113" customFormat="1">
      <c r="B502" s="119"/>
      <c r="D502" s="105" t="s">
        <v>365</v>
      </c>
      <c r="E502" s="135" t="s">
        <v>1</v>
      </c>
      <c r="F502" s="120" t="s">
        <v>791</v>
      </c>
      <c r="H502" s="121">
        <v>0.65</v>
      </c>
      <c r="I502" s="128"/>
      <c r="L502" s="119"/>
      <c r="M502" s="129"/>
      <c r="T502" s="133"/>
      <c r="AT502" s="135" t="s">
        <v>365</v>
      </c>
      <c r="AU502" s="135" t="s">
        <v>87</v>
      </c>
      <c r="AV502" s="113" t="s">
        <v>87</v>
      </c>
      <c r="AW502" s="113" t="s">
        <v>33</v>
      </c>
      <c r="AX502" s="113" t="s">
        <v>77</v>
      </c>
      <c r="AY502" s="135" t="s">
        <v>211</v>
      </c>
    </row>
    <row r="503" spans="2:51" s="113" customFormat="1">
      <c r="B503" s="119"/>
      <c r="D503" s="105" t="s">
        <v>365</v>
      </c>
      <c r="E503" s="135" t="s">
        <v>1</v>
      </c>
      <c r="F503" s="120" t="s">
        <v>792</v>
      </c>
      <c r="H503" s="121">
        <v>1.0820000000000001</v>
      </c>
      <c r="I503" s="128"/>
      <c r="L503" s="119"/>
      <c r="M503" s="129"/>
      <c r="T503" s="133"/>
      <c r="AT503" s="135" t="s">
        <v>365</v>
      </c>
      <c r="AU503" s="135" t="s">
        <v>87</v>
      </c>
      <c r="AV503" s="113" t="s">
        <v>87</v>
      </c>
      <c r="AW503" s="113" t="s">
        <v>33</v>
      </c>
      <c r="AX503" s="113" t="s">
        <v>77</v>
      </c>
      <c r="AY503" s="135" t="s">
        <v>211</v>
      </c>
    </row>
    <row r="504" spans="2:51" s="113" customFormat="1">
      <c r="B504" s="119"/>
      <c r="D504" s="105" t="s">
        <v>365</v>
      </c>
      <c r="E504" s="135" t="s">
        <v>1</v>
      </c>
      <c r="F504" s="120" t="s">
        <v>793</v>
      </c>
      <c r="H504" s="121">
        <v>0.64600000000000002</v>
      </c>
      <c r="I504" s="128"/>
      <c r="L504" s="119"/>
      <c r="M504" s="129"/>
      <c r="T504" s="133"/>
      <c r="AT504" s="135" t="s">
        <v>365</v>
      </c>
      <c r="AU504" s="135" t="s">
        <v>87</v>
      </c>
      <c r="AV504" s="113" t="s">
        <v>87</v>
      </c>
      <c r="AW504" s="113" t="s">
        <v>33</v>
      </c>
      <c r="AX504" s="113" t="s">
        <v>77</v>
      </c>
      <c r="AY504" s="135" t="s">
        <v>211</v>
      </c>
    </row>
    <row r="505" spans="2:51" s="113" customFormat="1">
      <c r="B505" s="119"/>
      <c r="D505" s="105" t="s">
        <v>365</v>
      </c>
      <c r="E505" s="135" t="s">
        <v>1</v>
      </c>
      <c r="F505" s="120" t="s">
        <v>794</v>
      </c>
      <c r="H505" s="121">
        <v>0.96799999999999997</v>
      </c>
      <c r="I505" s="128"/>
      <c r="L505" s="119"/>
      <c r="M505" s="129"/>
      <c r="T505" s="133"/>
      <c r="AT505" s="135" t="s">
        <v>365</v>
      </c>
      <c r="AU505" s="135" t="s">
        <v>87</v>
      </c>
      <c r="AV505" s="113" t="s">
        <v>87</v>
      </c>
      <c r="AW505" s="113" t="s">
        <v>33</v>
      </c>
      <c r="AX505" s="113" t="s">
        <v>77</v>
      </c>
      <c r="AY505" s="135" t="s">
        <v>211</v>
      </c>
    </row>
    <row r="506" spans="2:51" s="154" customFormat="1">
      <c r="B506" s="156"/>
      <c r="D506" s="105" t="s">
        <v>365</v>
      </c>
      <c r="E506" s="157" t="s">
        <v>1</v>
      </c>
      <c r="F506" s="158" t="s">
        <v>741</v>
      </c>
      <c r="H506" s="159">
        <v>10.744</v>
      </c>
      <c r="I506" s="160"/>
      <c r="L506" s="156"/>
      <c r="M506" s="161"/>
      <c r="T506" s="162"/>
      <c r="AT506" s="157" t="s">
        <v>365</v>
      </c>
      <c r="AU506" s="157" t="s">
        <v>87</v>
      </c>
      <c r="AV506" s="154" t="s">
        <v>137</v>
      </c>
      <c r="AW506" s="154" t="s">
        <v>33</v>
      </c>
      <c r="AX506" s="154" t="s">
        <v>77</v>
      </c>
      <c r="AY506" s="157" t="s">
        <v>211</v>
      </c>
    </row>
    <row r="507" spans="2:51" s="113" customFormat="1">
      <c r="B507" s="119"/>
      <c r="D507" s="105" t="s">
        <v>365</v>
      </c>
      <c r="E507" s="135" t="s">
        <v>1</v>
      </c>
      <c r="F507" s="120" t="s">
        <v>795</v>
      </c>
      <c r="H507" s="121">
        <v>3.0840000000000001</v>
      </c>
      <c r="I507" s="128"/>
      <c r="L507" s="119"/>
      <c r="M507" s="129"/>
      <c r="T507" s="133"/>
      <c r="AT507" s="135" t="s">
        <v>365</v>
      </c>
      <c r="AU507" s="135" t="s">
        <v>87</v>
      </c>
      <c r="AV507" s="113" t="s">
        <v>87</v>
      </c>
      <c r="AW507" s="113" t="s">
        <v>33</v>
      </c>
      <c r="AX507" s="113" t="s">
        <v>77</v>
      </c>
      <c r="AY507" s="135" t="s">
        <v>211</v>
      </c>
    </row>
    <row r="508" spans="2:51" s="113" customFormat="1">
      <c r="B508" s="119"/>
      <c r="D508" s="105" t="s">
        <v>365</v>
      </c>
      <c r="E508" s="135" t="s">
        <v>1</v>
      </c>
      <c r="F508" s="120" t="s">
        <v>796</v>
      </c>
      <c r="H508" s="121">
        <v>0.73199999999999998</v>
      </c>
      <c r="I508" s="128"/>
      <c r="L508" s="119"/>
      <c r="M508" s="129"/>
      <c r="T508" s="133"/>
      <c r="AT508" s="135" t="s">
        <v>365</v>
      </c>
      <c r="AU508" s="135" t="s">
        <v>87</v>
      </c>
      <c r="AV508" s="113" t="s">
        <v>87</v>
      </c>
      <c r="AW508" s="113" t="s">
        <v>33</v>
      </c>
      <c r="AX508" s="113" t="s">
        <v>77</v>
      </c>
      <c r="AY508" s="135" t="s">
        <v>211</v>
      </c>
    </row>
    <row r="509" spans="2:51" s="113" customFormat="1">
      <c r="B509" s="119"/>
      <c r="D509" s="105" t="s">
        <v>365</v>
      </c>
      <c r="E509" s="135" t="s">
        <v>1</v>
      </c>
      <c r="F509" s="120" t="s">
        <v>797</v>
      </c>
      <c r="H509" s="121">
        <v>1.294</v>
      </c>
      <c r="I509" s="128"/>
      <c r="L509" s="119"/>
      <c r="M509" s="129"/>
      <c r="T509" s="133"/>
      <c r="AT509" s="135" t="s">
        <v>365</v>
      </c>
      <c r="AU509" s="135" t="s">
        <v>87</v>
      </c>
      <c r="AV509" s="113" t="s">
        <v>87</v>
      </c>
      <c r="AW509" s="113" t="s">
        <v>33</v>
      </c>
      <c r="AX509" s="113" t="s">
        <v>77</v>
      </c>
      <c r="AY509" s="135" t="s">
        <v>211</v>
      </c>
    </row>
    <row r="510" spans="2:51" s="113" customFormat="1">
      <c r="B510" s="119"/>
      <c r="D510" s="105" t="s">
        <v>365</v>
      </c>
      <c r="E510" s="135" t="s">
        <v>1</v>
      </c>
      <c r="F510" s="120" t="s">
        <v>798</v>
      </c>
      <c r="H510" s="121">
        <v>4.1710000000000003</v>
      </c>
      <c r="I510" s="128"/>
      <c r="L510" s="119"/>
      <c r="M510" s="129"/>
      <c r="T510" s="133"/>
      <c r="AT510" s="135" t="s">
        <v>365</v>
      </c>
      <c r="AU510" s="135" t="s">
        <v>87</v>
      </c>
      <c r="AV510" s="113" t="s">
        <v>87</v>
      </c>
      <c r="AW510" s="113" t="s">
        <v>33</v>
      </c>
      <c r="AX510" s="113" t="s">
        <v>77</v>
      </c>
      <c r="AY510" s="135" t="s">
        <v>211</v>
      </c>
    </row>
    <row r="511" spans="2:51" s="113" customFormat="1">
      <c r="B511" s="119"/>
      <c r="D511" s="105" t="s">
        <v>365</v>
      </c>
      <c r="E511" s="135" t="s">
        <v>1</v>
      </c>
      <c r="F511" s="120" t="s">
        <v>799</v>
      </c>
      <c r="H511" s="121">
        <v>2.7069999999999999</v>
      </c>
      <c r="I511" s="128"/>
      <c r="L511" s="119"/>
      <c r="M511" s="129"/>
      <c r="T511" s="133"/>
      <c r="AT511" s="135" t="s">
        <v>365</v>
      </c>
      <c r="AU511" s="135" t="s">
        <v>87</v>
      </c>
      <c r="AV511" s="113" t="s">
        <v>87</v>
      </c>
      <c r="AW511" s="113" t="s">
        <v>33</v>
      </c>
      <c r="AX511" s="113" t="s">
        <v>77</v>
      </c>
      <c r="AY511" s="135" t="s">
        <v>211</v>
      </c>
    </row>
    <row r="512" spans="2:51" s="113" customFormat="1">
      <c r="B512" s="119"/>
      <c r="D512" s="105" t="s">
        <v>365</v>
      </c>
      <c r="E512" s="135" t="s">
        <v>1</v>
      </c>
      <c r="F512" s="120" t="s">
        <v>800</v>
      </c>
      <c r="H512" s="121">
        <v>3.5550000000000002</v>
      </c>
      <c r="I512" s="128"/>
      <c r="L512" s="119"/>
      <c r="M512" s="129"/>
      <c r="T512" s="133"/>
      <c r="AT512" s="135" t="s">
        <v>365</v>
      </c>
      <c r="AU512" s="135" t="s">
        <v>87</v>
      </c>
      <c r="AV512" s="113" t="s">
        <v>87</v>
      </c>
      <c r="AW512" s="113" t="s">
        <v>33</v>
      </c>
      <c r="AX512" s="113" t="s">
        <v>77</v>
      </c>
      <c r="AY512" s="135" t="s">
        <v>211</v>
      </c>
    </row>
    <row r="513" spans="2:65" s="113" customFormat="1">
      <c r="B513" s="119"/>
      <c r="D513" s="105" t="s">
        <v>365</v>
      </c>
      <c r="E513" s="135" t="s">
        <v>1</v>
      </c>
      <c r="F513" s="120" t="s">
        <v>801</v>
      </c>
      <c r="H513" s="121">
        <v>2.4</v>
      </c>
      <c r="I513" s="128"/>
      <c r="L513" s="119"/>
      <c r="M513" s="129"/>
      <c r="T513" s="133"/>
      <c r="AT513" s="135" t="s">
        <v>365</v>
      </c>
      <c r="AU513" s="135" t="s">
        <v>87</v>
      </c>
      <c r="AV513" s="113" t="s">
        <v>87</v>
      </c>
      <c r="AW513" s="113" t="s">
        <v>33</v>
      </c>
      <c r="AX513" s="113" t="s">
        <v>77</v>
      </c>
      <c r="AY513" s="135" t="s">
        <v>211</v>
      </c>
    </row>
    <row r="514" spans="2:65" s="154" customFormat="1">
      <c r="B514" s="156"/>
      <c r="D514" s="105" t="s">
        <v>365</v>
      </c>
      <c r="E514" s="157" t="s">
        <v>1</v>
      </c>
      <c r="F514" s="158" t="s">
        <v>741</v>
      </c>
      <c r="H514" s="159">
        <v>17.943000000000001</v>
      </c>
      <c r="I514" s="160"/>
      <c r="L514" s="156"/>
      <c r="M514" s="161"/>
      <c r="T514" s="162"/>
      <c r="AT514" s="157" t="s">
        <v>365</v>
      </c>
      <c r="AU514" s="157" t="s">
        <v>87</v>
      </c>
      <c r="AV514" s="154" t="s">
        <v>137</v>
      </c>
      <c r="AW514" s="154" t="s">
        <v>33</v>
      </c>
      <c r="AX514" s="154" t="s">
        <v>77</v>
      </c>
      <c r="AY514" s="157" t="s">
        <v>211</v>
      </c>
    </row>
    <row r="515" spans="2:65" s="113" customFormat="1">
      <c r="B515" s="119"/>
      <c r="D515" s="105" t="s">
        <v>365</v>
      </c>
      <c r="E515" s="135" t="s">
        <v>1</v>
      </c>
      <c r="F515" s="120" t="s">
        <v>802</v>
      </c>
      <c r="H515" s="121">
        <v>0.17699999999999999</v>
      </c>
      <c r="I515" s="128"/>
      <c r="L515" s="119"/>
      <c r="M515" s="129"/>
      <c r="T515" s="133"/>
      <c r="AT515" s="135" t="s">
        <v>365</v>
      </c>
      <c r="AU515" s="135" t="s">
        <v>87</v>
      </c>
      <c r="AV515" s="113" t="s">
        <v>87</v>
      </c>
      <c r="AW515" s="113" t="s">
        <v>33</v>
      </c>
      <c r="AX515" s="113" t="s">
        <v>77</v>
      </c>
      <c r="AY515" s="135" t="s">
        <v>211</v>
      </c>
    </row>
    <row r="516" spans="2:65" s="113" customFormat="1">
      <c r="B516" s="119"/>
      <c r="D516" s="105" t="s">
        <v>365</v>
      </c>
      <c r="E516" s="135" t="s">
        <v>1</v>
      </c>
      <c r="F516" s="120" t="s">
        <v>803</v>
      </c>
      <c r="H516" s="121">
        <v>0.13200000000000001</v>
      </c>
      <c r="I516" s="128"/>
      <c r="L516" s="119"/>
      <c r="M516" s="129"/>
      <c r="T516" s="133"/>
      <c r="AT516" s="135" t="s">
        <v>365</v>
      </c>
      <c r="AU516" s="135" t="s">
        <v>87</v>
      </c>
      <c r="AV516" s="113" t="s">
        <v>87</v>
      </c>
      <c r="AW516" s="113" t="s">
        <v>33</v>
      </c>
      <c r="AX516" s="113" t="s">
        <v>77</v>
      </c>
      <c r="AY516" s="135" t="s">
        <v>211</v>
      </c>
    </row>
    <row r="517" spans="2:65" s="154" customFormat="1">
      <c r="B517" s="156"/>
      <c r="D517" s="105" t="s">
        <v>365</v>
      </c>
      <c r="E517" s="157" t="s">
        <v>1</v>
      </c>
      <c r="F517" s="158" t="s">
        <v>741</v>
      </c>
      <c r="H517" s="159">
        <v>0.309</v>
      </c>
      <c r="I517" s="160"/>
      <c r="L517" s="156"/>
      <c r="M517" s="161"/>
      <c r="T517" s="162"/>
      <c r="AT517" s="157" t="s">
        <v>365</v>
      </c>
      <c r="AU517" s="157" t="s">
        <v>87</v>
      </c>
      <c r="AV517" s="154" t="s">
        <v>137</v>
      </c>
      <c r="AW517" s="154" t="s">
        <v>33</v>
      </c>
      <c r="AX517" s="154" t="s">
        <v>77</v>
      </c>
      <c r="AY517" s="157" t="s">
        <v>211</v>
      </c>
    </row>
    <row r="518" spans="2:65" s="113" customFormat="1">
      <c r="B518" s="119"/>
      <c r="D518" s="105" t="s">
        <v>365</v>
      </c>
      <c r="E518" s="135" t="s">
        <v>1</v>
      </c>
      <c r="F518" s="120" t="s">
        <v>804</v>
      </c>
      <c r="H518" s="121">
        <v>26.661999999999999</v>
      </c>
      <c r="I518" s="128"/>
      <c r="L518" s="119"/>
      <c r="M518" s="129"/>
      <c r="T518" s="133"/>
      <c r="AT518" s="135" t="s">
        <v>365</v>
      </c>
      <c r="AU518" s="135" t="s">
        <v>87</v>
      </c>
      <c r="AV518" s="113" t="s">
        <v>87</v>
      </c>
      <c r="AW518" s="113" t="s">
        <v>33</v>
      </c>
      <c r="AX518" s="113" t="s">
        <v>77</v>
      </c>
      <c r="AY518" s="135" t="s">
        <v>211</v>
      </c>
    </row>
    <row r="519" spans="2:65" s="137" customFormat="1">
      <c r="B519" s="141"/>
      <c r="D519" s="105" t="s">
        <v>365</v>
      </c>
      <c r="E519" s="142" t="s">
        <v>1</v>
      </c>
      <c r="F519" s="143" t="s">
        <v>368</v>
      </c>
      <c r="H519" s="144">
        <v>118.241</v>
      </c>
      <c r="I519" s="148"/>
      <c r="L519" s="141"/>
      <c r="M519" s="149"/>
      <c r="T519" s="151"/>
      <c r="AT519" s="142" t="s">
        <v>365</v>
      </c>
      <c r="AU519" s="142" t="s">
        <v>87</v>
      </c>
      <c r="AV519" s="137" t="s">
        <v>218</v>
      </c>
      <c r="AW519" s="137" t="s">
        <v>33</v>
      </c>
      <c r="AX519" s="137" t="s">
        <v>85</v>
      </c>
      <c r="AY519" s="142" t="s">
        <v>211</v>
      </c>
    </row>
    <row r="520" spans="2:65" s="1" customFormat="1" ht="21.75" customHeight="1">
      <c r="B520" s="12"/>
      <c r="C520" s="71" t="s">
        <v>805</v>
      </c>
      <c r="D520" s="71" t="s">
        <v>214</v>
      </c>
      <c r="E520" s="72" t="s">
        <v>806</v>
      </c>
      <c r="F520" s="73" t="s">
        <v>807</v>
      </c>
      <c r="G520" s="74" t="s">
        <v>808</v>
      </c>
      <c r="H520" s="75">
        <v>102</v>
      </c>
      <c r="I520" s="90">
        <v>210</v>
      </c>
      <c r="J520" s="91">
        <f t="shared" ref="J520:J534" si="10">ROUND(I520*H520,2)</f>
        <v>21420</v>
      </c>
      <c r="K520" s="92"/>
      <c r="L520" s="12"/>
      <c r="M520" s="93" t="s">
        <v>1</v>
      </c>
      <c r="N520" s="94" t="s">
        <v>42</v>
      </c>
      <c r="P520" s="95">
        <f t="shared" ref="P520:P534" si="11">O520*H520</f>
        <v>0</v>
      </c>
      <c r="Q520" s="95">
        <v>1.7940000000000001E-2</v>
      </c>
      <c r="R520" s="95">
        <f t="shared" ref="R520:R534" si="12">Q520*H520</f>
        <v>1.82988</v>
      </c>
      <c r="S520" s="95">
        <v>0</v>
      </c>
      <c r="T520" s="99">
        <f t="shared" ref="T520:T534" si="13">S520*H520</f>
        <v>0</v>
      </c>
      <c r="AR520" s="101" t="s">
        <v>218</v>
      </c>
      <c r="AT520" s="101" t="s">
        <v>214</v>
      </c>
      <c r="AU520" s="101" t="s">
        <v>87</v>
      </c>
      <c r="AY520" s="23" t="s">
        <v>211</v>
      </c>
      <c r="BE520" s="104">
        <f t="shared" ref="BE520:BE534" si="14">IF(N520="základní",J520,0)</f>
        <v>21420</v>
      </c>
      <c r="BF520" s="104">
        <f t="shared" ref="BF520:BF534" si="15">IF(N520="snížená",J520,0)</f>
        <v>0</v>
      </c>
      <c r="BG520" s="104">
        <f t="shared" ref="BG520:BG534" si="16">IF(N520="zákl. přenesená",J520,0)</f>
        <v>0</v>
      </c>
      <c r="BH520" s="104">
        <f t="shared" ref="BH520:BH534" si="17">IF(N520="sníž. přenesená",J520,0)</f>
        <v>0</v>
      </c>
      <c r="BI520" s="104">
        <f t="shared" ref="BI520:BI534" si="18">IF(N520="nulová",J520,0)</f>
        <v>0</v>
      </c>
      <c r="BJ520" s="23" t="s">
        <v>85</v>
      </c>
      <c r="BK520" s="104">
        <f t="shared" ref="BK520:BK534" si="19">ROUND(I520*H520,2)</f>
        <v>21420</v>
      </c>
      <c r="BL520" s="23" t="s">
        <v>218</v>
      </c>
      <c r="BM520" s="101" t="s">
        <v>809</v>
      </c>
    </row>
    <row r="521" spans="2:65" s="1" customFormat="1" ht="21.75" customHeight="1">
      <c r="B521" s="12"/>
      <c r="C521" s="71" t="s">
        <v>810</v>
      </c>
      <c r="D521" s="71" t="s">
        <v>214</v>
      </c>
      <c r="E521" s="72" t="s">
        <v>811</v>
      </c>
      <c r="F521" s="73" t="s">
        <v>812</v>
      </c>
      <c r="G521" s="74" t="s">
        <v>808</v>
      </c>
      <c r="H521" s="75">
        <v>115</v>
      </c>
      <c r="I521" s="90">
        <v>250</v>
      </c>
      <c r="J521" s="91">
        <f t="shared" si="10"/>
        <v>28750</v>
      </c>
      <c r="K521" s="92"/>
      <c r="L521" s="12"/>
      <c r="M521" s="93" t="s">
        <v>1</v>
      </c>
      <c r="N521" s="94" t="s">
        <v>42</v>
      </c>
      <c r="P521" s="95">
        <f t="shared" si="11"/>
        <v>0</v>
      </c>
      <c r="Q521" s="95">
        <v>2.2780000000000002E-2</v>
      </c>
      <c r="R521" s="95">
        <f t="shared" si="12"/>
        <v>2.6196999999999999</v>
      </c>
      <c r="S521" s="95">
        <v>0</v>
      </c>
      <c r="T521" s="99">
        <f t="shared" si="13"/>
        <v>0</v>
      </c>
      <c r="AR521" s="101" t="s">
        <v>218</v>
      </c>
      <c r="AT521" s="101" t="s">
        <v>214</v>
      </c>
      <c r="AU521" s="101" t="s">
        <v>87</v>
      </c>
      <c r="AY521" s="23" t="s">
        <v>211</v>
      </c>
      <c r="BE521" s="104">
        <f t="shared" si="14"/>
        <v>28750</v>
      </c>
      <c r="BF521" s="104">
        <f t="shared" si="15"/>
        <v>0</v>
      </c>
      <c r="BG521" s="104">
        <f t="shared" si="16"/>
        <v>0</v>
      </c>
      <c r="BH521" s="104">
        <f t="shared" si="17"/>
        <v>0</v>
      </c>
      <c r="BI521" s="104">
        <f t="shared" si="18"/>
        <v>0</v>
      </c>
      <c r="BJ521" s="23" t="s">
        <v>85</v>
      </c>
      <c r="BK521" s="104">
        <f t="shared" si="19"/>
        <v>28750</v>
      </c>
      <c r="BL521" s="23" t="s">
        <v>218</v>
      </c>
      <c r="BM521" s="101" t="s">
        <v>813</v>
      </c>
    </row>
    <row r="522" spans="2:65" s="1" customFormat="1" ht="21.75" customHeight="1">
      <c r="B522" s="12"/>
      <c r="C522" s="71" t="s">
        <v>814</v>
      </c>
      <c r="D522" s="71" t="s">
        <v>214</v>
      </c>
      <c r="E522" s="72" t="s">
        <v>815</v>
      </c>
      <c r="F522" s="73" t="s">
        <v>816</v>
      </c>
      <c r="G522" s="74" t="s">
        <v>808</v>
      </c>
      <c r="H522" s="75">
        <v>31</v>
      </c>
      <c r="I522" s="90">
        <v>290</v>
      </c>
      <c r="J522" s="91">
        <f t="shared" si="10"/>
        <v>8990</v>
      </c>
      <c r="K522" s="92"/>
      <c r="L522" s="12"/>
      <c r="M522" s="93" t="s">
        <v>1</v>
      </c>
      <c r="N522" s="94" t="s">
        <v>42</v>
      </c>
      <c r="P522" s="95">
        <f t="shared" si="11"/>
        <v>0</v>
      </c>
      <c r="Q522" s="95">
        <v>2.7109999999999999E-2</v>
      </c>
      <c r="R522" s="95">
        <f t="shared" si="12"/>
        <v>0.84040999999999999</v>
      </c>
      <c r="S522" s="95">
        <v>0</v>
      </c>
      <c r="T522" s="99">
        <f t="shared" si="13"/>
        <v>0</v>
      </c>
      <c r="AR522" s="101" t="s">
        <v>218</v>
      </c>
      <c r="AT522" s="101" t="s">
        <v>214</v>
      </c>
      <c r="AU522" s="101" t="s">
        <v>87</v>
      </c>
      <c r="AY522" s="23" t="s">
        <v>211</v>
      </c>
      <c r="BE522" s="104">
        <f t="shared" si="14"/>
        <v>8990</v>
      </c>
      <c r="BF522" s="104">
        <f t="shared" si="15"/>
        <v>0</v>
      </c>
      <c r="BG522" s="104">
        <f t="shared" si="16"/>
        <v>0</v>
      </c>
      <c r="BH522" s="104">
        <f t="shared" si="17"/>
        <v>0</v>
      </c>
      <c r="BI522" s="104">
        <f t="shared" si="18"/>
        <v>0</v>
      </c>
      <c r="BJ522" s="23" t="s">
        <v>85</v>
      </c>
      <c r="BK522" s="104">
        <f t="shared" si="19"/>
        <v>8990</v>
      </c>
      <c r="BL522" s="23" t="s">
        <v>218</v>
      </c>
      <c r="BM522" s="101" t="s">
        <v>817</v>
      </c>
    </row>
    <row r="523" spans="2:65" s="1" customFormat="1" ht="21.75" customHeight="1">
      <c r="B523" s="12"/>
      <c r="C523" s="71" t="s">
        <v>818</v>
      </c>
      <c r="D523" s="71" t="s">
        <v>214</v>
      </c>
      <c r="E523" s="72" t="s">
        <v>819</v>
      </c>
      <c r="F523" s="73" t="s">
        <v>820</v>
      </c>
      <c r="G523" s="74" t="s">
        <v>808</v>
      </c>
      <c r="H523" s="75">
        <v>12</v>
      </c>
      <c r="I523" s="90">
        <v>320</v>
      </c>
      <c r="J523" s="91">
        <f t="shared" si="10"/>
        <v>3840</v>
      </c>
      <c r="K523" s="92"/>
      <c r="L523" s="12"/>
      <c r="M523" s="93" t="s">
        <v>1</v>
      </c>
      <c r="N523" s="94" t="s">
        <v>42</v>
      </c>
      <c r="P523" s="95">
        <f t="shared" si="11"/>
        <v>0</v>
      </c>
      <c r="Q523" s="95">
        <v>3.1320000000000001E-2</v>
      </c>
      <c r="R523" s="95">
        <f t="shared" si="12"/>
        <v>0.37584000000000001</v>
      </c>
      <c r="S523" s="95">
        <v>0</v>
      </c>
      <c r="T523" s="99">
        <f t="shared" si="13"/>
        <v>0</v>
      </c>
      <c r="AR523" s="101" t="s">
        <v>218</v>
      </c>
      <c r="AT523" s="101" t="s">
        <v>214</v>
      </c>
      <c r="AU523" s="101" t="s">
        <v>87</v>
      </c>
      <c r="AY523" s="23" t="s">
        <v>211</v>
      </c>
      <c r="BE523" s="104">
        <f t="shared" si="14"/>
        <v>3840</v>
      </c>
      <c r="BF523" s="104">
        <f t="shared" si="15"/>
        <v>0</v>
      </c>
      <c r="BG523" s="104">
        <f t="shared" si="16"/>
        <v>0</v>
      </c>
      <c r="BH523" s="104">
        <f t="shared" si="17"/>
        <v>0</v>
      </c>
      <c r="BI523" s="104">
        <f t="shared" si="18"/>
        <v>0</v>
      </c>
      <c r="BJ523" s="23" t="s">
        <v>85</v>
      </c>
      <c r="BK523" s="104">
        <f t="shared" si="19"/>
        <v>3840</v>
      </c>
      <c r="BL523" s="23" t="s">
        <v>218</v>
      </c>
      <c r="BM523" s="101" t="s">
        <v>821</v>
      </c>
    </row>
    <row r="524" spans="2:65" s="1" customFormat="1" ht="21.75" customHeight="1">
      <c r="B524" s="12"/>
      <c r="C524" s="71" t="s">
        <v>822</v>
      </c>
      <c r="D524" s="71" t="s">
        <v>214</v>
      </c>
      <c r="E524" s="72" t="s">
        <v>823</v>
      </c>
      <c r="F524" s="73" t="s">
        <v>824</v>
      </c>
      <c r="G524" s="74" t="s">
        <v>808</v>
      </c>
      <c r="H524" s="75">
        <v>5</v>
      </c>
      <c r="I524" s="90">
        <v>360</v>
      </c>
      <c r="J524" s="91">
        <f t="shared" si="10"/>
        <v>1800</v>
      </c>
      <c r="K524" s="92"/>
      <c r="L524" s="12"/>
      <c r="M524" s="93" t="s">
        <v>1</v>
      </c>
      <c r="N524" s="94" t="s">
        <v>42</v>
      </c>
      <c r="P524" s="95">
        <f t="shared" si="11"/>
        <v>0</v>
      </c>
      <c r="Q524" s="95">
        <v>3.5639999999999998E-2</v>
      </c>
      <c r="R524" s="95">
        <f t="shared" si="12"/>
        <v>0.1782</v>
      </c>
      <c r="S524" s="95">
        <v>0</v>
      </c>
      <c r="T524" s="99">
        <f t="shared" si="13"/>
        <v>0</v>
      </c>
      <c r="AR524" s="101" t="s">
        <v>218</v>
      </c>
      <c r="AT524" s="101" t="s">
        <v>214</v>
      </c>
      <c r="AU524" s="101" t="s">
        <v>87</v>
      </c>
      <c r="AY524" s="23" t="s">
        <v>211</v>
      </c>
      <c r="BE524" s="104">
        <f t="shared" si="14"/>
        <v>1800</v>
      </c>
      <c r="BF524" s="104">
        <f t="shared" si="15"/>
        <v>0</v>
      </c>
      <c r="BG524" s="104">
        <f t="shared" si="16"/>
        <v>0</v>
      </c>
      <c r="BH524" s="104">
        <f t="shared" si="17"/>
        <v>0</v>
      </c>
      <c r="BI524" s="104">
        <f t="shared" si="18"/>
        <v>0</v>
      </c>
      <c r="BJ524" s="23" t="s">
        <v>85</v>
      </c>
      <c r="BK524" s="104">
        <f t="shared" si="19"/>
        <v>1800</v>
      </c>
      <c r="BL524" s="23" t="s">
        <v>218</v>
      </c>
      <c r="BM524" s="101" t="s">
        <v>825</v>
      </c>
    </row>
    <row r="525" spans="2:65" s="1" customFormat="1" ht="21.75" customHeight="1">
      <c r="B525" s="12"/>
      <c r="C525" s="71" t="s">
        <v>826</v>
      </c>
      <c r="D525" s="71" t="s">
        <v>214</v>
      </c>
      <c r="E525" s="72" t="s">
        <v>827</v>
      </c>
      <c r="F525" s="73" t="s">
        <v>828</v>
      </c>
      <c r="G525" s="74" t="s">
        <v>808</v>
      </c>
      <c r="H525" s="75">
        <v>1</v>
      </c>
      <c r="I525" s="90">
        <v>230</v>
      </c>
      <c r="J525" s="91">
        <f t="shared" si="10"/>
        <v>230</v>
      </c>
      <c r="K525" s="92"/>
      <c r="L525" s="12"/>
      <c r="M525" s="93" t="s">
        <v>1</v>
      </c>
      <c r="N525" s="94" t="s">
        <v>42</v>
      </c>
      <c r="P525" s="95">
        <f t="shared" si="11"/>
        <v>0</v>
      </c>
      <c r="Q525" s="95">
        <v>3.5639999999999998E-2</v>
      </c>
      <c r="R525" s="95">
        <f t="shared" si="12"/>
        <v>3.5639999999999998E-2</v>
      </c>
      <c r="S525" s="95">
        <v>0</v>
      </c>
      <c r="T525" s="99">
        <f t="shared" si="13"/>
        <v>0</v>
      </c>
      <c r="AR525" s="101" t="s">
        <v>218</v>
      </c>
      <c r="AT525" s="101" t="s">
        <v>214</v>
      </c>
      <c r="AU525" s="101" t="s">
        <v>87</v>
      </c>
      <c r="AY525" s="23" t="s">
        <v>211</v>
      </c>
      <c r="BE525" s="104">
        <f t="shared" si="14"/>
        <v>230</v>
      </c>
      <c r="BF525" s="104">
        <f t="shared" si="15"/>
        <v>0</v>
      </c>
      <c r="BG525" s="104">
        <f t="shared" si="16"/>
        <v>0</v>
      </c>
      <c r="BH525" s="104">
        <f t="shared" si="17"/>
        <v>0</v>
      </c>
      <c r="BI525" s="104">
        <f t="shared" si="18"/>
        <v>0</v>
      </c>
      <c r="BJ525" s="23" t="s">
        <v>85</v>
      </c>
      <c r="BK525" s="104">
        <f t="shared" si="19"/>
        <v>230</v>
      </c>
      <c r="BL525" s="23" t="s">
        <v>218</v>
      </c>
      <c r="BM525" s="101" t="s">
        <v>829</v>
      </c>
    </row>
    <row r="526" spans="2:65" s="1" customFormat="1" ht="21.75" customHeight="1">
      <c r="B526" s="12"/>
      <c r="C526" s="71" t="s">
        <v>830</v>
      </c>
      <c r="D526" s="71" t="s">
        <v>214</v>
      </c>
      <c r="E526" s="72" t="s">
        <v>831</v>
      </c>
      <c r="F526" s="73" t="s">
        <v>832</v>
      </c>
      <c r="G526" s="74" t="s">
        <v>808</v>
      </c>
      <c r="H526" s="75">
        <v>99</v>
      </c>
      <c r="I526" s="90">
        <v>280</v>
      </c>
      <c r="J526" s="91">
        <f t="shared" si="10"/>
        <v>27720</v>
      </c>
      <c r="K526" s="92"/>
      <c r="L526" s="12"/>
      <c r="M526" s="93" t="s">
        <v>1</v>
      </c>
      <c r="N526" s="94" t="s">
        <v>42</v>
      </c>
      <c r="P526" s="95">
        <f t="shared" si="11"/>
        <v>0</v>
      </c>
      <c r="Q526" s="95">
        <v>3.6549999999999999E-2</v>
      </c>
      <c r="R526" s="95">
        <f t="shared" si="12"/>
        <v>3.6184500000000002</v>
      </c>
      <c r="S526" s="95">
        <v>0</v>
      </c>
      <c r="T526" s="99">
        <f t="shared" si="13"/>
        <v>0</v>
      </c>
      <c r="AR526" s="101" t="s">
        <v>218</v>
      </c>
      <c r="AT526" s="101" t="s">
        <v>214</v>
      </c>
      <c r="AU526" s="101" t="s">
        <v>87</v>
      </c>
      <c r="AY526" s="23" t="s">
        <v>211</v>
      </c>
      <c r="BE526" s="104">
        <f t="shared" si="14"/>
        <v>27720</v>
      </c>
      <c r="BF526" s="104">
        <f t="shared" si="15"/>
        <v>0</v>
      </c>
      <c r="BG526" s="104">
        <f t="shared" si="16"/>
        <v>0</v>
      </c>
      <c r="BH526" s="104">
        <f t="shared" si="17"/>
        <v>0</v>
      </c>
      <c r="BI526" s="104">
        <f t="shared" si="18"/>
        <v>0</v>
      </c>
      <c r="BJ526" s="23" t="s">
        <v>85</v>
      </c>
      <c r="BK526" s="104">
        <f t="shared" si="19"/>
        <v>27720</v>
      </c>
      <c r="BL526" s="23" t="s">
        <v>218</v>
      </c>
      <c r="BM526" s="101" t="s">
        <v>833</v>
      </c>
    </row>
    <row r="527" spans="2:65" s="1" customFormat="1" ht="21.75" customHeight="1">
      <c r="B527" s="12"/>
      <c r="C527" s="71" t="s">
        <v>834</v>
      </c>
      <c r="D527" s="71" t="s">
        <v>214</v>
      </c>
      <c r="E527" s="72" t="s">
        <v>835</v>
      </c>
      <c r="F527" s="73" t="s">
        <v>836</v>
      </c>
      <c r="G527" s="74" t="s">
        <v>808</v>
      </c>
      <c r="H527" s="75">
        <v>180</v>
      </c>
      <c r="I527" s="90">
        <v>360</v>
      </c>
      <c r="J527" s="91">
        <f t="shared" si="10"/>
        <v>64800</v>
      </c>
      <c r="K527" s="92"/>
      <c r="L527" s="12"/>
      <c r="M527" s="93" t="s">
        <v>1</v>
      </c>
      <c r="N527" s="94" t="s">
        <v>42</v>
      </c>
      <c r="P527" s="95">
        <f t="shared" si="11"/>
        <v>0</v>
      </c>
      <c r="Q527" s="95">
        <v>4.555E-2</v>
      </c>
      <c r="R527" s="95">
        <f t="shared" si="12"/>
        <v>8.1989999999999998</v>
      </c>
      <c r="S527" s="95">
        <v>0</v>
      </c>
      <c r="T527" s="99">
        <f t="shared" si="13"/>
        <v>0</v>
      </c>
      <c r="AR527" s="101" t="s">
        <v>218</v>
      </c>
      <c r="AT527" s="101" t="s">
        <v>214</v>
      </c>
      <c r="AU527" s="101" t="s">
        <v>87</v>
      </c>
      <c r="AY527" s="23" t="s">
        <v>211</v>
      </c>
      <c r="BE527" s="104">
        <f t="shared" si="14"/>
        <v>64800</v>
      </c>
      <c r="BF527" s="104">
        <f t="shared" si="15"/>
        <v>0</v>
      </c>
      <c r="BG527" s="104">
        <f t="shared" si="16"/>
        <v>0</v>
      </c>
      <c r="BH527" s="104">
        <f t="shared" si="17"/>
        <v>0</v>
      </c>
      <c r="BI527" s="104">
        <f t="shared" si="18"/>
        <v>0</v>
      </c>
      <c r="BJ527" s="23" t="s">
        <v>85</v>
      </c>
      <c r="BK527" s="104">
        <f t="shared" si="19"/>
        <v>64800</v>
      </c>
      <c r="BL527" s="23" t="s">
        <v>218</v>
      </c>
      <c r="BM527" s="101" t="s">
        <v>837</v>
      </c>
    </row>
    <row r="528" spans="2:65" s="1" customFormat="1" ht="21.75" customHeight="1">
      <c r="B528" s="12"/>
      <c r="C528" s="71" t="s">
        <v>838</v>
      </c>
      <c r="D528" s="71" t="s">
        <v>214</v>
      </c>
      <c r="E528" s="72" t="s">
        <v>839</v>
      </c>
      <c r="F528" s="73" t="s">
        <v>840</v>
      </c>
      <c r="G528" s="74" t="s">
        <v>808</v>
      </c>
      <c r="H528" s="75">
        <v>9</v>
      </c>
      <c r="I528" s="90">
        <v>490</v>
      </c>
      <c r="J528" s="91">
        <f t="shared" si="10"/>
        <v>4410</v>
      </c>
      <c r="K528" s="92"/>
      <c r="L528" s="12"/>
      <c r="M528" s="93" t="s">
        <v>1</v>
      </c>
      <c r="N528" s="94" t="s">
        <v>42</v>
      </c>
      <c r="P528" s="95">
        <f t="shared" si="11"/>
        <v>0</v>
      </c>
      <c r="Q528" s="95">
        <v>6.3549999999999995E-2</v>
      </c>
      <c r="R528" s="95">
        <f t="shared" si="12"/>
        <v>0.57194999999999996</v>
      </c>
      <c r="S528" s="95">
        <v>0</v>
      </c>
      <c r="T528" s="99">
        <f t="shared" si="13"/>
        <v>0</v>
      </c>
      <c r="AR528" s="101" t="s">
        <v>218</v>
      </c>
      <c r="AT528" s="101" t="s">
        <v>214</v>
      </c>
      <c r="AU528" s="101" t="s">
        <v>87</v>
      </c>
      <c r="AY528" s="23" t="s">
        <v>211</v>
      </c>
      <c r="BE528" s="104">
        <f t="shared" si="14"/>
        <v>4410</v>
      </c>
      <c r="BF528" s="104">
        <f t="shared" si="15"/>
        <v>0</v>
      </c>
      <c r="BG528" s="104">
        <f t="shared" si="16"/>
        <v>0</v>
      </c>
      <c r="BH528" s="104">
        <f t="shared" si="17"/>
        <v>0</v>
      </c>
      <c r="BI528" s="104">
        <f t="shared" si="18"/>
        <v>0</v>
      </c>
      <c r="BJ528" s="23" t="s">
        <v>85</v>
      </c>
      <c r="BK528" s="104">
        <f t="shared" si="19"/>
        <v>4410</v>
      </c>
      <c r="BL528" s="23" t="s">
        <v>218</v>
      </c>
      <c r="BM528" s="101" t="s">
        <v>841</v>
      </c>
    </row>
    <row r="529" spans="2:65" s="1" customFormat="1" ht="21.75" customHeight="1">
      <c r="B529" s="12"/>
      <c r="C529" s="71" t="s">
        <v>842</v>
      </c>
      <c r="D529" s="71" t="s">
        <v>214</v>
      </c>
      <c r="E529" s="72" t="s">
        <v>843</v>
      </c>
      <c r="F529" s="73" t="s">
        <v>844</v>
      </c>
      <c r="G529" s="74" t="s">
        <v>808</v>
      </c>
      <c r="H529" s="75">
        <v>20</v>
      </c>
      <c r="I529" s="90">
        <v>690</v>
      </c>
      <c r="J529" s="91">
        <f t="shared" si="10"/>
        <v>13800</v>
      </c>
      <c r="K529" s="92"/>
      <c r="L529" s="12"/>
      <c r="M529" s="93" t="s">
        <v>1</v>
      </c>
      <c r="N529" s="94" t="s">
        <v>42</v>
      </c>
      <c r="P529" s="95">
        <f t="shared" si="11"/>
        <v>0</v>
      </c>
      <c r="Q529" s="95">
        <v>8.1850000000000006E-2</v>
      </c>
      <c r="R529" s="95">
        <f t="shared" si="12"/>
        <v>1.637</v>
      </c>
      <c r="S529" s="95">
        <v>0</v>
      </c>
      <c r="T529" s="99">
        <f t="shared" si="13"/>
        <v>0</v>
      </c>
      <c r="AR529" s="101" t="s">
        <v>218</v>
      </c>
      <c r="AT529" s="101" t="s">
        <v>214</v>
      </c>
      <c r="AU529" s="101" t="s">
        <v>87</v>
      </c>
      <c r="AY529" s="23" t="s">
        <v>211</v>
      </c>
      <c r="BE529" s="104">
        <f t="shared" si="14"/>
        <v>13800</v>
      </c>
      <c r="BF529" s="104">
        <f t="shared" si="15"/>
        <v>0</v>
      </c>
      <c r="BG529" s="104">
        <f t="shared" si="16"/>
        <v>0</v>
      </c>
      <c r="BH529" s="104">
        <f t="shared" si="17"/>
        <v>0</v>
      </c>
      <c r="BI529" s="104">
        <f t="shared" si="18"/>
        <v>0</v>
      </c>
      <c r="BJ529" s="23" t="s">
        <v>85</v>
      </c>
      <c r="BK529" s="104">
        <f t="shared" si="19"/>
        <v>13800</v>
      </c>
      <c r="BL529" s="23" t="s">
        <v>218</v>
      </c>
      <c r="BM529" s="101" t="s">
        <v>845</v>
      </c>
    </row>
    <row r="530" spans="2:65" s="1" customFormat="1" ht="21.75" customHeight="1">
      <c r="B530" s="12"/>
      <c r="C530" s="71" t="s">
        <v>846</v>
      </c>
      <c r="D530" s="71" t="s">
        <v>214</v>
      </c>
      <c r="E530" s="72" t="s">
        <v>847</v>
      </c>
      <c r="F530" s="73" t="s">
        <v>848</v>
      </c>
      <c r="G530" s="74" t="s">
        <v>808</v>
      </c>
      <c r="H530" s="75">
        <v>11</v>
      </c>
      <c r="I530" s="90">
        <v>850</v>
      </c>
      <c r="J530" s="91">
        <f t="shared" si="10"/>
        <v>9350</v>
      </c>
      <c r="K530" s="92"/>
      <c r="L530" s="12"/>
      <c r="M530" s="93" t="s">
        <v>1</v>
      </c>
      <c r="N530" s="94" t="s">
        <v>42</v>
      </c>
      <c r="P530" s="95">
        <f t="shared" si="11"/>
        <v>0</v>
      </c>
      <c r="Q530" s="95">
        <v>9.1050000000000006E-2</v>
      </c>
      <c r="R530" s="95">
        <f t="shared" si="12"/>
        <v>1.0015499999999999</v>
      </c>
      <c r="S530" s="95">
        <v>0</v>
      </c>
      <c r="T530" s="99">
        <f t="shared" si="13"/>
        <v>0</v>
      </c>
      <c r="AR530" s="101" t="s">
        <v>218</v>
      </c>
      <c r="AT530" s="101" t="s">
        <v>214</v>
      </c>
      <c r="AU530" s="101" t="s">
        <v>87</v>
      </c>
      <c r="AY530" s="23" t="s">
        <v>211</v>
      </c>
      <c r="BE530" s="104">
        <f t="shared" si="14"/>
        <v>9350</v>
      </c>
      <c r="BF530" s="104">
        <f t="shared" si="15"/>
        <v>0</v>
      </c>
      <c r="BG530" s="104">
        <f t="shared" si="16"/>
        <v>0</v>
      </c>
      <c r="BH530" s="104">
        <f t="shared" si="17"/>
        <v>0</v>
      </c>
      <c r="BI530" s="104">
        <f t="shared" si="18"/>
        <v>0</v>
      </c>
      <c r="BJ530" s="23" t="s">
        <v>85</v>
      </c>
      <c r="BK530" s="104">
        <f t="shared" si="19"/>
        <v>9350</v>
      </c>
      <c r="BL530" s="23" t="s">
        <v>218</v>
      </c>
      <c r="BM530" s="101" t="s">
        <v>849</v>
      </c>
    </row>
    <row r="531" spans="2:65" s="1" customFormat="1" ht="33" customHeight="1">
      <c r="B531" s="12"/>
      <c r="C531" s="71" t="s">
        <v>850</v>
      </c>
      <c r="D531" s="71" t="s">
        <v>214</v>
      </c>
      <c r="E531" s="72" t="s">
        <v>851</v>
      </c>
      <c r="F531" s="73" t="s">
        <v>852</v>
      </c>
      <c r="G531" s="74" t="s">
        <v>808</v>
      </c>
      <c r="H531" s="75">
        <v>51</v>
      </c>
      <c r="I531" s="90">
        <v>4900</v>
      </c>
      <c r="J531" s="91">
        <f t="shared" si="10"/>
        <v>249900</v>
      </c>
      <c r="K531" s="92"/>
      <c r="L531" s="12"/>
      <c r="M531" s="93" t="s">
        <v>1</v>
      </c>
      <c r="N531" s="94" t="s">
        <v>42</v>
      </c>
      <c r="P531" s="95">
        <f t="shared" si="11"/>
        <v>0</v>
      </c>
      <c r="Q531" s="95">
        <v>7.9269999999999993E-2</v>
      </c>
      <c r="R531" s="95">
        <f t="shared" si="12"/>
        <v>4.04277</v>
      </c>
      <c r="S531" s="95">
        <v>0</v>
      </c>
      <c r="T531" s="99">
        <f t="shared" si="13"/>
        <v>0</v>
      </c>
      <c r="AR531" s="101" t="s">
        <v>218</v>
      </c>
      <c r="AT531" s="101" t="s">
        <v>214</v>
      </c>
      <c r="AU531" s="101" t="s">
        <v>87</v>
      </c>
      <c r="AY531" s="23" t="s">
        <v>211</v>
      </c>
      <c r="BE531" s="104">
        <f t="shared" si="14"/>
        <v>249900</v>
      </c>
      <c r="BF531" s="104">
        <f t="shared" si="15"/>
        <v>0</v>
      </c>
      <c r="BG531" s="104">
        <f t="shared" si="16"/>
        <v>0</v>
      </c>
      <c r="BH531" s="104">
        <f t="shared" si="17"/>
        <v>0</v>
      </c>
      <c r="BI531" s="104">
        <f t="shared" si="18"/>
        <v>0</v>
      </c>
      <c r="BJ531" s="23" t="s">
        <v>85</v>
      </c>
      <c r="BK531" s="104">
        <f t="shared" si="19"/>
        <v>249900</v>
      </c>
      <c r="BL531" s="23" t="s">
        <v>218</v>
      </c>
      <c r="BM531" s="101" t="s">
        <v>853</v>
      </c>
    </row>
    <row r="532" spans="2:65" s="1" customFormat="1" ht="33" customHeight="1">
      <c r="B532" s="12"/>
      <c r="C532" s="71" t="s">
        <v>854</v>
      </c>
      <c r="D532" s="71" t="s">
        <v>214</v>
      </c>
      <c r="E532" s="72" t="s">
        <v>855</v>
      </c>
      <c r="F532" s="73" t="s">
        <v>856</v>
      </c>
      <c r="G532" s="74" t="s">
        <v>808</v>
      </c>
      <c r="H532" s="75">
        <v>2</v>
      </c>
      <c r="I532" s="90">
        <v>5600</v>
      </c>
      <c r="J532" s="91">
        <f t="shared" si="10"/>
        <v>11200</v>
      </c>
      <c r="K532" s="92"/>
      <c r="L532" s="12"/>
      <c r="M532" s="93" t="s">
        <v>1</v>
      </c>
      <c r="N532" s="94" t="s">
        <v>42</v>
      </c>
      <c r="P532" s="95">
        <f t="shared" si="11"/>
        <v>0</v>
      </c>
      <c r="Q532" s="95">
        <v>9.5229999999999995E-2</v>
      </c>
      <c r="R532" s="95">
        <f t="shared" si="12"/>
        <v>0.19045999999999999</v>
      </c>
      <c r="S532" s="95">
        <v>0</v>
      </c>
      <c r="T532" s="99">
        <f t="shared" si="13"/>
        <v>0</v>
      </c>
      <c r="AR532" s="101" t="s">
        <v>218</v>
      </c>
      <c r="AT532" s="101" t="s">
        <v>214</v>
      </c>
      <c r="AU532" s="101" t="s">
        <v>87</v>
      </c>
      <c r="AY532" s="23" t="s">
        <v>211</v>
      </c>
      <c r="BE532" s="104">
        <f t="shared" si="14"/>
        <v>11200</v>
      </c>
      <c r="BF532" s="104">
        <f t="shared" si="15"/>
        <v>0</v>
      </c>
      <c r="BG532" s="104">
        <f t="shared" si="16"/>
        <v>0</v>
      </c>
      <c r="BH532" s="104">
        <f t="shared" si="17"/>
        <v>0</v>
      </c>
      <c r="BI532" s="104">
        <f t="shared" si="18"/>
        <v>0</v>
      </c>
      <c r="BJ532" s="23" t="s">
        <v>85</v>
      </c>
      <c r="BK532" s="104">
        <f t="shared" si="19"/>
        <v>11200</v>
      </c>
      <c r="BL532" s="23" t="s">
        <v>218</v>
      </c>
      <c r="BM532" s="101" t="s">
        <v>857</v>
      </c>
    </row>
    <row r="533" spans="2:65" s="1" customFormat="1" ht="38.1" customHeight="1">
      <c r="B533" s="12"/>
      <c r="C533" s="71" t="s">
        <v>858</v>
      </c>
      <c r="D533" s="71" t="s">
        <v>214</v>
      </c>
      <c r="E533" s="72" t="s">
        <v>859</v>
      </c>
      <c r="F533" s="73" t="s">
        <v>860</v>
      </c>
      <c r="G533" s="74" t="s">
        <v>808</v>
      </c>
      <c r="H533" s="75">
        <v>19</v>
      </c>
      <c r="I533" s="90">
        <v>9800</v>
      </c>
      <c r="J533" s="91">
        <f t="shared" si="10"/>
        <v>186200</v>
      </c>
      <c r="K533" s="92"/>
      <c r="L533" s="12"/>
      <c r="M533" s="93" t="s">
        <v>1</v>
      </c>
      <c r="N533" s="94" t="s">
        <v>42</v>
      </c>
      <c r="P533" s="95">
        <f t="shared" si="11"/>
        <v>0</v>
      </c>
      <c r="Q533" s="95">
        <v>0.22298000000000001</v>
      </c>
      <c r="R533" s="95">
        <f t="shared" si="12"/>
        <v>4.2366200000000003</v>
      </c>
      <c r="S533" s="95">
        <v>0</v>
      </c>
      <c r="T533" s="99">
        <f t="shared" si="13"/>
        <v>0</v>
      </c>
      <c r="AR533" s="101" t="s">
        <v>218</v>
      </c>
      <c r="AT533" s="101" t="s">
        <v>214</v>
      </c>
      <c r="AU533" s="101" t="s">
        <v>87</v>
      </c>
      <c r="AY533" s="23" t="s">
        <v>211</v>
      </c>
      <c r="BE533" s="104">
        <f t="shared" si="14"/>
        <v>186200</v>
      </c>
      <c r="BF533" s="104">
        <f t="shared" si="15"/>
        <v>0</v>
      </c>
      <c r="BG533" s="104">
        <f t="shared" si="16"/>
        <v>0</v>
      </c>
      <c r="BH533" s="104">
        <f t="shared" si="17"/>
        <v>0</v>
      </c>
      <c r="BI533" s="104">
        <f t="shared" si="18"/>
        <v>0</v>
      </c>
      <c r="BJ533" s="23" t="s">
        <v>85</v>
      </c>
      <c r="BK533" s="104">
        <f t="shared" si="19"/>
        <v>186200</v>
      </c>
      <c r="BL533" s="23" t="s">
        <v>218</v>
      </c>
      <c r="BM533" s="101" t="s">
        <v>861</v>
      </c>
    </row>
    <row r="534" spans="2:65" s="1" customFormat="1" ht="38.1" customHeight="1">
      <c r="B534" s="12"/>
      <c r="C534" s="71" t="s">
        <v>862</v>
      </c>
      <c r="D534" s="71" t="s">
        <v>214</v>
      </c>
      <c r="E534" s="72" t="s">
        <v>863</v>
      </c>
      <c r="F534" s="73" t="s">
        <v>864</v>
      </c>
      <c r="G534" s="74" t="s">
        <v>279</v>
      </c>
      <c r="H534" s="75">
        <v>1645.73</v>
      </c>
      <c r="I534" s="90">
        <v>4316</v>
      </c>
      <c r="J534" s="91">
        <f t="shared" si="10"/>
        <v>7102970.6799999997</v>
      </c>
      <c r="K534" s="92"/>
      <c r="L534" s="12"/>
      <c r="M534" s="93" t="s">
        <v>1</v>
      </c>
      <c r="N534" s="94" t="s">
        <v>42</v>
      </c>
      <c r="P534" s="95">
        <f t="shared" si="11"/>
        <v>0</v>
      </c>
      <c r="Q534" s="95">
        <v>0.29424</v>
      </c>
      <c r="R534" s="95">
        <f t="shared" si="12"/>
        <v>484.2395952</v>
      </c>
      <c r="S534" s="95">
        <v>0</v>
      </c>
      <c r="T534" s="99">
        <f t="shared" si="13"/>
        <v>0</v>
      </c>
      <c r="AR534" s="101" t="s">
        <v>218</v>
      </c>
      <c r="AT534" s="101" t="s">
        <v>214</v>
      </c>
      <c r="AU534" s="101" t="s">
        <v>87</v>
      </c>
      <c r="AY534" s="23" t="s">
        <v>211</v>
      </c>
      <c r="BE534" s="104">
        <f t="shared" si="14"/>
        <v>7102970.6799999997</v>
      </c>
      <c r="BF534" s="104">
        <f t="shared" si="15"/>
        <v>0</v>
      </c>
      <c r="BG534" s="104">
        <f t="shared" si="16"/>
        <v>0</v>
      </c>
      <c r="BH534" s="104">
        <f t="shared" si="17"/>
        <v>0</v>
      </c>
      <c r="BI534" s="104">
        <f t="shared" si="18"/>
        <v>0</v>
      </c>
      <c r="BJ534" s="23" t="s">
        <v>85</v>
      </c>
      <c r="BK534" s="104">
        <f t="shared" si="19"/>
        <v>7102970.6799999997</v>
      </c>
      <c r="BL534" s="23" t="s">
        <v>218</v>
      </c>
      <c r="BM534" s="101" t="s">
        <v>865</v>
      </c>
    </row>
    <row r="535" spans="2:65" s="136" customFormat="1">
      <c r="B535" s="138"/>
      <c r="D535" s="105" t="s">
        <v>365</v>
      </c>
      <c r="E535" s="139" t="s">
        <v>1</v>
      </c>
      <c r="F535" s="140" t="s">
        <v>866</v>
      </c>
      <c r="H535" s="139" t="s">
        <v>1</v>
      </c>
      <c r="I535" s="146"/>
      <c r="L535" s="138"/>
      <c r="M535" s="147"/>
      <c r="T535" s="150"/>
      <c r="AT535" s="139" t="s">
        <v>365</v>
      </c>
      <c r="AU535" s="139" t="s">
        <v>87</v>
      </c>
      <c r="AV535" s="136" t="s">
        <v>85</v>
      </c>
      <c r="AW535" s="136" t="s">
        <v>33</v>
      </c>
      <c r="AX535" s="136" t="s">
        <v>77</v>
      </c>
      <c r="AY535" s="139" t="s">
        <v>211</v>
      </c>
    </row>
    <row r="536" spans="2:65" s="113" customFormat="1">
      <c r="B536" s="119"/>
      <c r="D536" s="105" t="s">
        <v>365</v>
      </c>
      <c r="E536" s="135" t="s">
        <v>1</v>
      </c>
      <c r="F536" s="120" t="s">
        <v>867</v>
      </c>
      <c r="H536" s="121">
        <v>403.58</v>
      </c>
      <c r="I536" s="128"/>
      <c r="L536" s="119"/>
      <c r="M536" s="129"/>
      <c r="T536" s="133"/>
      <c r="AT536" s="135" t="s">
        <v>365</v>
      </c>
      <c r="AU536" s="135" t="s">
        <v>87</v>
      </c>
      <c r="AV536" s="113" t="s">
        <v>87</v>
      </c>
      <c r="AW536" s="113" t="s">
        <v>33</v>
      </c>
      <c r="AX536" s="113" t="s">
        <v>77</v>
      </c>
      <c r="AY536" s="135" t="s">
        <v>211</v>
      </c>
    </row>
    <row r="537" spans="2:65" s="136" customFormat="1">
      <c r="B537" s="138"/>
      <c r="D537" s="105" t="s">
        <v>365</v>
      </c>
      <c r="E537" s="139" t="s">
        <v>1</v>
      </c>
      <c r="F537" s="140" t="s">
        <v>868</v>
      </c>
      <c r="H537" s="139" t="s">
        <v>1</v>
      </c>
      <c r="I537" s="146"/>
      <c r="L537" s="138"/>
      <c r="M537" s="147"/>
      <c r="T537" s="150"/>
      <c r="AT537" s="139" t="s">
        <v>365</v>
      </c>
      <c r="AU537" s="139" t="s">
        <v>87</v>
      </c>
      <c r="AV537" s="136" t="s">
        <v>85</v>
      </c>
      <c r="AW537" s="136" t="s">
        <v>33</v>
      </c>
      <c r="AX537" s="136" t="s">
        <v>77</v>
      </c>
      <c r="AY537" s="139" t="s">
        <v>211</v>
      </c>
    </row>
    <row r="538" spans="2:65" s="113" customFormat="1">
      <c r="B538" s="119"/>
      <c r="D538" s="105" t="s">
        <v>365</v>
      </c>
      <c r="E538" s="135" t="s">
        <v>1</v>
      </c>
      <c r="F538" s="120" t="s">
        <v>869</v>
      </c>
      <c r="H538" s="121">
        <v>483.18</v>
      </c>
      <c r="I538" s="128"/>
      <c r="L538" s="119"/>
      <c r="M538" s="129"/>
      <c r="T538" s="133"/>
      <c r="AT538" s="135" t="s">
        <v>365</v>
      </c>
      <c r="AU538" s="135" t="s">
        <v>87</v>
      </c>
      <c r="AV538" s="113" t="s">
        <v>87</v>
      </c>
      <c r="AW538" s="113" t="s">
        <v>33</v>
      </c>
      <c r="AX538" s="113" t="s">
        <v>77</v>
      </c>
      <c r="AY538" s="135" t="s">
        <v>211</v>
      </c>
    </row>
    <row r="539" spans="2:65" s="136" customFormat="1">
      <c r="B539" s="138"/>
      <c r="D539" s="105" t="s">
        <v>365</v>
      </c>
      <c r="E539" s="139" t="s">
        <v>1</v>
      </c>
      <c r="F539" s="140" t="s">
        <v>870</v>
      </c>
      <c r="H539" s="139" t="s">
        <v>1</v>
      </c>
      <c r="I539" s="146"/>
      <c r="L539" s="138"/>
      <c r="M539" s="147"/>
      <c r="T539" s="150"/>
      <c r="AT539" s="139" t="s">
        <v>365</v>
      </c>
      <c r="AU539" s="139" t="s">
        <v>87</v>
      </c>
      <c r="AV539" s="136" t="s">
        <v>85</v>
      </c>
      <c r="AW539" s="136" t="s">
        <v>33</v>
      </c>
      <c r="AX539" s="136" t="s">
        <v>77</v>
      </c>
      <c r="AY539" s="139" t="s">
        <v>211</v>
      </c>
    </row>
    <row r="540" spans="2:65" s="113" customFormat="1">
      <c r="B540" s="119"/>
      <c r="D540" s="105" t="s">
        <v>365</v>
      </c>
      <c r="E540" s="135" t="s">
        <v>1</v>
      </c>
      <c r="F540" s="120" t="s">
        <v>871</v>
      </c>
      <c r="H540" s="121">
        <v>367.15</v>
      </c>
      <c r="I540" s="128"/>
      <c r="L540" s="119"/>
      <c r="M540" s="129"/>
      <c r="T540" s="133"/>
      <c r="AT540" s="135" t="s">
        <v>365</v>
      </c>
      <c r="AU540" s="135" t="s">
        <v>87</v>
      </c>
      <c r="AV540" s="113" t="s">
        <v>87</v>
      </c>
      <c r="AW540" s="113" t="s">
        <v>33</v>
      </c>
      <c r="AX540" s="113" t="s">
        <v>77</v>
      </c>
      <c r="AY540" s="135" t="s">
        <v>211</v>
      </c>
    </row>
    <row r="541" spans="2:65" s="136" customFormat="1">
      <c r="B541" s="138"/>
      <c r="D541" s="105" t="s">
        <v>365</v>
      </c>
      <c r="E541" s="139" t="s">
        <v>1</v>
      </c>
      <c r="F541" s="140" t="s">
        <v>872</v>
      </c>
      <c r="H541" s="139" t="s">
        <v>1</v>
      </c>
      <c r="I541" s="146"/>
      <c r="L541" s="138"/>
      <c r="M541" s="147"/>
      <c r="T541" s="150"/>
      <c r="AT541" s="139" t="s">
        <v>365</v>
      </c>
      <c r="AU541" s="139" t="s">
        <v>87</v>
      </c>
      <c r="AV541" s="136" t="s">
        <v>85</v>
      </c>
      <c r="AW541" s="136" t="s">
        <v>33</v>
      </c>
      <c r="AX541" s="136" t="s">
        <v>77</v>
      </c>
      <c r="AY541" s="139" t="s">
        <v>211</v>
      </c>
    </row>
    <row r="542" spans="2:65" s="113" customFormat="1">
      <c r="B542" s="119"/>
      <c r="D542" s="105" t="s">
        <v>365</v>
      </c>
      <c r="E542" s="135" t="s">
        <v>1</v>
      </c>
      <c r="F542" s="120" t="s">
        <v>873</v>
      </c>
      <c r="H542" s="121">
        <v>391.82</v>
      </c>
      <c r="I542" s="128"/>
      <c r="L542" s="119"/>
      <c r="M542" s="129"/>
      <c r="T542" s="133"/>
      <c r="AT542" s="135" t="s">
        <v>365</v>
      </c>
      <c r="AU542" s="135" t="s">
        <v>87</v>
      </c>
      <c r="AV542" s="113" t="s">
        <v>87</v>
      </c>
      <c r="AW542" s="113" t="s">
        <v>33</v>
      </c>
      <c r="AX542" s="113" t="s">
        <v>77</v>
      </c>
      <c r="AY542" s="135" t="s">
        <v>211</v>
      </c>
    </row>
    <row r="543" spans="2:65" s="137" customFormat="1">
      <c r="B543" s="141"/>
      <c r="D543" s="105" t="s">
        <v>365</v>
      </c>
      <c r="E543" s="142" t="s">
        <v>1</v>
      </c>
      <c r="F543" s="143" t="s">
        <v>368</v>
      </c>
      <c r="H543" s="144">
        <v>1645.73</v>
      </c>
      <c r="I543" s="148"/>
      <c r="L543" s="141"/>
      <c r="M543" s="149"/>
      <c r="T543" s="151"/>
      <c r="AT543" s="142" t="s">
        <v>365</v>
      </c>
      <c r="AU543" s="142" t="s">
        <v>87</v>
      </c>
      <c r="AV543" s="137" t="s">
        <v>218</v>
      </c>
      <c r="AW543" s="137" t="s">
        <v>33</v>
      </c>
      <c r="AX543" s="137" t="s">
        <v>85</v>
      </c>
      <c r="AY543" s="142" t="s">
        <v>211</v>
      </c>
    </row>
    <row r="544" spans="2:65" s="1" customFormat="1" ht="44.25" customHeight="1">
      <c r="B544" s="12"/>
      <c r="C544" s="71" t="s">
        <v>874</v>
      </c>
      <c r="D544" s="71" t="s">
        <v>214</v>
      </c>
      <c r="E544" s="72" t="s">
        <v>875</v>
      </c>
      <c r="F544" s="73" t="s">
        <v>876</v>
      </c>
      <c r="G544" s="74" t="s">
        <v>279</v>
      </c>
      <c r="H544" s="75">
        <v>84.525000000000006</v>
      </c>
      <c r="I544" s="90">
        <v>3730</v>
      </c>
      <c r="J544" s="91">
        <f>ROUND(I544*H544,2)</f>
        <v>315278.25</v>
      </c>
      <c r="K544" s="92"/>
      <c r="L544" s="12"/>
      <c r="M544" s="93" t="s">
        <v>1</v>
      </c>
      <c r="N544" s="94" t="s">
        <v>42</v>
      </c>
      <c r="P544" s="95">
        <f>O544*H544</f>
        <v>0</v>
      </c>
      <c r="Q544" s="95">
        <v>0.28722999999999999</v>
      </c>
      <c r="R544" s="95">
        <f>Q544*H544</f>
        <v>24.278115750000001</v>
      </c>
      <c r="S544" s="95">
        <v>0</v>
      </c>
      <c r="T544" s="99">
        <f>S544*H544</f>
        <v>0</v>
      </c>
      <c r="AR544" s="101" t="s">
        <v>218</v>
      </c>
      <c r="AT544" s="101" t="s">
        <v>214</v>
      </c>
      <c r="AU544" s="101" t="s">
        <v>87</v>
      </c>
      <c r="AY544" s="23" t="s">
        <v>211</v>
      </c>
      <c r="BE544" s="104">
        <f>IF(N544="základní",J544,0)</f>
        <v>315278.25</v>
      </c>
      <c r="BF544" s="104">
        <f>IF(N544="snížená",J544,0)</f>
        <v>0</v>
      </c>
      <c r="BG544" s="104">
        <f>IF(N544="zákl. přenesená",J544,0)</f>
        <v>0</v>
      </c>
      <c r="BH544" s="104">
        <f>IF(N544="sníž. přenesená",J544,0)</f>
        <v>0</v>
      </c>
      <c r="BI544" s="104">
        <f>IF(N544="nulová",J544,0)</f>
        <v>0</v>
      </c>
      <c r="BJ544" s="23" t="s">
        <v>85</v>
      </c>
      <c r="BK544" s="104">
        <f>ROUND(I544*H544,2)</f>
        <v>315278.25</v>
      </c>
      <c r="BL544" s="23" t="s">
        <v>218</v>
      </c>
      <c r="BM544" s="101" t="s">
        <v>877</v>
      </c>
    </row>
    <row r="545" spans="2:65" s="136" customFormat="1">
      <c r="B545" s="138"/>
      <c r="D545" s="105" t="s">
        <v>365</v>
      </c>
      <c r="E545" s="139" t="s">
        <v>1</v>
      </c>
      <c r="F545" s="140" t="s">
        <v>878</v>
      </c>
      <c r="H545" s="139" t="s">
        <v>1</v>
      </c>
      <c r="I545" s="146"/>
      <c r="L545" s="138"/>
      <c r="M545" s="147"/>
      <c r="T545" s="150"/>
      <c r="AT545" s="139" t="s">
        <v>365</v>
      </c>
      <c r="AU545" s="139" t="s">
        <v>87</v>
      </c>
      <c r="AV545" s="136" t="s">
        <v>85</v>
      </c>
      <c r="AW545" s="136" t="s">
        <v>33</v>
      </c>
      <c r="AX545" s="136" t="s">
        <v>77</v>
      </c>
      <c r="AY545" s="139" t="s">
        <v>211</v>
      </c>
    </row>
    <row r="546" spans="2:65" s="113" customFormat="1">
      <c r="B546" s="119"/>
      <c r="D546" s="105" t="s">
        <v>365</v>
      </c>
      <c r="E546" s="135" t="s">
        <v>1</v>
      </c>
      <c r="F546" s="120" t="s">
        <v>879</v>
      </c>
      <c r="H546" s="121">
        <v>28.047000000000001</v>
      </c>
      <c r="I546" s="128"/>
      <c r="L546" s="119"/>
      <c r="M546" s="129"/>
      <c r="T546" s="133"/>
      <c r="AT546" s="135" t="s">
        <v>365</v>
      </c>
      <c r="AU546" s="135" t="s">
        <v>87</v>
      </c>
      <c r="AV546" s="113" t="s">
        <v>87</v>
      </c>
      <c r="AW546" s="113" t="s">
        <v>33</v>
      </c>
      <c r="AX546" s="113" t="s">
        <v>77</v>
      </c>
      <c r="AY546" s="135" t="s">
        <v>211</v>
      </c>
    </row>
    <row r="547" spans="2:65" s="113" customFormat="1">
      <c r="B547" s="119"/>
      <c r="D547" s="105" t="s">
        <v>365</v>
      </c>
      <c r="E547" s="135" t="s">
        <v>1</v>
      </c>
      <c r="F547" s="120" t="s">
        <v>880</v>
      </c>
      <c r="H547" s="121">
        <v>25.114999999999998</v>
      </c>
      <c r="I547" s="128"/>
      <c r="L547" s="119"/>
      <c r="M547" s="129"/>
      <c r="T547" s="133"/>
      <c r="AT547" s="135" t="s">
        <v>365</v>
      </c>
      <c r="AU547" s="135" t="s">
        <v>87</v>
      </c>
      <c r="AV547" s="113" t="s">
        <v>87</v>
      </c>
      <c r="AW547" s="113" t="s">
        <v>33</v>
      </c>
      <c r="AX547" s="113" t="s">
        <v>77</v>
      </c>
      <c r="AY547" s="135" t="s">
        <v>211</v>
      </c>
    </row>
    <row r="548" spans="2:65" s="113" customFormat="1">
      <c r="B548" s="119"/>
      <c r="D548" s="105" t="s">
        <v>365</v>
      </c>
      <c r="E548" s="135" t="s">
        <v>1</v>
      </c>
      <c r="F548" s="120" t="s">
        <v>881</v>
      </c>
      <c r="H548" s="121">
        <v>7.3529999999999998</v>
      </c>
      <c r="I548" s="128"/>
      <c r="L548" s="119"/>
      <c r="M548" s="129"/>
      <c r="T548" s="133"/>
      <c r="AT548" s="135" t="s">
        <v>365</v>
      </c>
      <c r="AU548" s="135" t="s">
        <v>87</v>
      </c>
      <c r="AV548" s="113" t="s">
        <v>87</v>
      </c>
      <c r="AW548" s="113" t="s">
        <v>33</v>
      </c>
      <c r="AX548" s="113" t="s">
        <v>77</v>
      </c>
      <c r="AY548" s="135" t="s">
        <v>211</v>
      </c>
    </row>
    <row r="549" spans="2:65" s="113" customFormat="1">
      <c r="B549" s="119"/>
      <c r="D549" s="105" t="s">
        <v>365</v>
      </c>
      <c r="E549" s="135" t="s">
        <v>1</v>
      </c>
      <c r="F549" s="120" t="s">
        <v>882</v>
      </c>
      <c r="H549" s="121">
        <v>24.01</v>
      </c>
      <c r="I549" s="128"/>
      <c r="L549" s="119"/>
      <c r="M549" s="129"/>
      <c r="T549" s="133"/>
      <c r="AT549" s="135" t="s">
        <v>365</v>
      </c>
      <c r="AU549" s="135" t="s">
        <v>87</v>
      </c>
      <c r="AV549" s="113" t="s">
        <v>87</v>
      </c>
      <c r="AW549" s="113" t="s">
        <v>33</v>
      </c>
      <c r="AX549" s="113" t="s">
        <v>77</v>
      </c>
      <c r="AY549" s="135" t="s">
        <v>211</v>
      </c>
    </row>
    <row r="550" spans="2:65" s="154" customFormat="1">
      <c r="B550" s="156"/>
      <c r="D550" s="105" t="s">
        <v>365</v>
      </c>
      <c r="E550" s="157" t="s">
        <v>314</v>
      </c>
      <c r="F550" s="158" t="s">
        <v>741</v>
      </c>
      <c r="H550" s="159">
        <v>84.525000000000006</v>
      </c>
      <c r="I550" s="160"/>
      <c r="L550" s="156"/>
      <c r="M550" s="161"/>
      <c r="T550" s="162"/>
      <c r="AT550" s="157" t="s">
        <v>365</v>
      </c>
      <c r="AU550" s="157" t="s">
        <v>87</v>
      </c>
      <c r="AV550" s="154" t="s">
        <v>137</v>
      </c>
      <c r="AW550" s="154" t="s">
        <v>33</v>
      </c>
      <c r="AX550" s="154" t="s">
        <v>77</v>
      </c>
      <c r="AY550" s="157" t="s">
        <v>211</v>
      </c>
    </row>
    <row r="551" spans="2:65" s="137" customFormat="1">
      <c r="B551" s="141"/>
      <c r="D551" s="105" t="s">
        <v>365</v>
      </c>
      <c r="E551" s="142" t="s">
        <v>1</v>
      </c>
      <c r="F551" s="143" t="s">
        <v>368</v>
      </c>
      <c r="H551" s="144">
        <v>84.525000000000006</v>
      </c>
      <c r="I551" s="148"/>
      <c r="L551" s="141"/>
      <c r="M551" s="149"/>
      <c r="T551" s="151"/>
      <c r="AT551" s="142" t="s">
        <v>365</v>
      </c>
      <c r="AU551" s="142" t="s">
        <v>87</v>
      </c>
      <c r="AV551" s="137" t="s">
        <v>218</v>
      </c>
      <c r="AW551" s="137" t="s">
        <v>33</v>
      </c>
      <c r="AX551" s="137" t="s">
        <v>85</v>
      </c>
      <c r="AY551" s="142" t="s">
        <v>211</v>
      </c>
    </row>
    <row r="552" spans="2:65" s="1" customFormat="1" ht="33" customHeight="1">
      <c r="B552" s="12"/>
      <c r="C552" s="71" t="s">
        <v>883</v>
      </c>
      <c r="D552" s="71" t="s">
        <v>214</v>
      </c>
      <c r="E552" s="72" t="s">
        <v>884</v>
      </c>
      <c r="F552" s="73" t="s">
        <v>885</v>
      </c>
      <c r="G552" s="74" t="s">
        <v>279</v>
      </c>
      <c r="H552" s="75">
        <v>997.83</v>
      </c>
      <c r="I552" s="90">
        <v>3378</v>
      </c>
      <c r="J552" s="91">
        <f>ROUND(I552*H552,2)</f>
        <v>3370669.74</v>
      </c>
      <c r="K552" s="92"/>
      <c r="L552" s="12"/>
      <c r="M552" s="93" t="s">
        <v>1</v>
      </c>
      <c r="N552" s="94" t="s">
        <v>42</v>
      </c>
      <c r="P552" s="95">
        <f>O552*H552</f>
        <v>0</v>
      </c>
      <c r="Q552" s="95">
        <v>0.27533000000000002</v>
      </c>
      <c r="R552" s="95">
        <f>Q552*H552</f>
        <v>274.73253390000002</v>
      </c>
      <c r="S552" s="95">
        <v>0</v>
      </c>
      <c r="T552" s="99">
        <f>S552*H552</f>
        <v>0</v>
      </c>
      <c r="AR552" s="101" t="s">
        <v>218</v>
      </c>
      <c r="AT552" s="101" t="s">
        <v>214</v>
      </c>
      <c r="AU552" s="101" t="s">
        <v>87</v>
      </c>
      <c r="AY552" s="23" t="s">
        <v>211</v>
      </c>
      <c r="BE552" s="104">
        <f>IF(N552="základní",J552,0)</f>
        <v>3370669.74</v>
      </c>
      <c r="BF552" s="104">
        <f>IF(N552="snížená",J552,0)</f>
        <v>0</v>
      </c>
      <c r="BG552" s="104">
        <f>IF(N552="zákl. přenesená",J552,0)</f>
        <v>0</v>
      </c>
      <c r="BH552" s="104">
        <f>IF(N552="sníž. přenesená",J552,0)</f>
        <v>0</v>
      </c>
      <c r="BI552" s="104">
        <f>IF(N552="nulová",J552,0)</f>
        <v>0</v>
      </c>
      <c r="BJ552" s="23" t="s">
        <v>85</v>
      </c>
      <c r="BK552" s="104">
        <f>ROUND(I552*H552,2)</f>
        <v>3370669.74</v>
      </c>
      <c r="BL552" s="23" t="s">
        <v>218</v>
      </c>
      <c r="BM552" s="101" t="s">
        <v>886</v>
      </c>
    </row>
    <row r="553" spans="2:65" s="136" customFormat="1">
      <c r="B553" s="138"/>
      <c r="D553" s="105" t="s">
        <v>365</v>
      </c>
      <c r="E553" s="139" t="s">
        <v>1</v>
      </c>
      <c r="F553" s="140" t="s">
        <v>887</v>
      </c>
      <c r="H553" s="139" t="s">
        <v>1</v>
      </c>
      <c r="I553" s="146"/>
      <c r="L553" s="138"/>
      <c r="M553" s="147"/>
      <c r="T553" s="150"/>
      <c r="AT553" s="139" t="s">
        <v>365</v>
      </c>
      <c r="AU553" s="139" t="s">
        <v>87</v>
      </c>
      <c r="AV553" s="136" t="s">
        <v>85</v>
      </c>
      <c r="AW553" s="136" t="s">
        <v>33</v>
      </c>
      <c r="AX553" s="136" t="s">
        <v>77</v>
      </c>
      <c r="AY553" s="139" t="s">
        <v>211</v>
      </c>
    </row>
    <row r="554" spans="2:65" s="136" customFormat="1">
      <c r="B554" s="138"/>
      <c r="D554" s="105" t="s">
        <v>365</v>
      </c>
      <c r="E554" s="139" t="s">
        <v>1</v>
      </c>
      <c r="F554" s="140" t="s">
        <v>866</v>
      </c>
      <c r="H554" s="139" t="s">
        <v>1</v>
      </c>
      <c r="I554" s="146"/>
      <c r="L554" s="138"/>
      <c r="M554" s="147"/>
      <c r="T554" s="150"/>
      <c r="AT554" s="139" t="s">
        <v>365</v>
      </c>
      <c r="AU554" s="139" t="s">
        <v>87</v>
      </c>
      <c r="AV554" s="136" t="s">
        <v>85</v>
      </c>
      <c r="AW554" s="136" t="s">
        <v>33</v>
      </c>
      <c r="AX554" s="136" t="s">
        <v>77</v>
      </c>
      <c r="AY554" s="139" t="s">
        <v>211</v>
      </c>
    </row>
    <row r="555" spans="2:65" s="113" customFormat="1">
      <c r="B555" s="119"/>
      <c r="D555" s="105" t="s">
        <v>365</v>
      </c>
      <c r="E555" s="135" t="s">
        <v>1</v>
      </c>
      <c r="F555" s="120" t="s">
        <v>888</v>
      </c>
      <c r="H555" s="121">
        <v>271.14999999999998</v>
      </c>
      <c r="I555" s="128"/>
      <c r="L555" s="119"/>
      <c r="M555" s="129"/>
      <c r="T555" s="133"/>
      <c r="AT555" s="135" t="s">
        <v>365</v>
      </c>
      <c r="AU555" s="135" t="s">
        <v>87</v>
      </c>
      <c r="AV555" s="113" t="s">
        <v>87</v>
      </c>
      <c r="AW555" s="113" t="s">
        <v>33</v>
      </c>
      <c r="AX555" s="113" t="s">
        <v>77</v>
      </c>
      <c r="AY555" s="135" t="s">
        <v>211</v>
      </c>
    </row>
    <row r="556" spans="2:65" s="113" customFormat="1">
      <c r="B556" s="119"/>
      <c r="D556" s="105" t="s">
        <v>365</v>
      </c>
      <c r="E556" s="135" t="s">
        <v>1</v>
      </c>
      <c r="F556" s="120" t="s">
        <v>889</v>
      </c>
      <c r="H556" s="121">
        <v>7.59</v>
      </c>
      <c r="I556" s="128"/>
      <c r="L556" s="119"/>
      <c r="M556" s="129"/>
      <c r="T556" s="133"/>
      <c r="AT556" s="135" t="s">
        <v>365</v>
      </c>
      <c r="AU556" s="135" t="s">
        <v>87</v>
      </c>
      <c r="AV556" s="113" t="s">
        <v>87</v>
      </c>
      <c r="AW556" s="113" t="s">
        <v>33</v>
      </c>
      <c r="AX556" s="113" t="s">
        <v>77</v>
      </c>
      <c r="AY556" s="135" t="s">
        <v>211</v>
      </c>
    </row>
    <row r="557" spans="2:65" s="136" customFormat="1">
      <c r="B557" s="138"/>
      <c r="D557" s="105" t="s">
        <v>365</v>
      </c>
      <c r="E557" s="139" t="s">
        <v>1</v>
      </c>
      <c r="F557" s="140" t="s">
        <v>868</v>
      </c>
      <c r="H557" s="139" t="s">
        <v>1</v>
      </c>
      <c r="I557" s="146"/>
      <c r="L557" s="138"/>
      <c r="M557" s="147"/>
      <c r="T557" s="150"/>
      <c r="AT557" s="139" t="s">
        <v>365</v>
      </c>
      <c r="AU557" s="139" t="s">
        <v>87</v>
      </c>
      <c r="AV557" s="136" t="s">
        <v>85</v>
      </c>
      <c r="AW557" s="136" t="s">
        <v>33</v>
      </c>
      <c r="AX557" s="136" t="s">
        <v>77</v>
      </c>
      <c r="AY557" s="139" t="s">
        <v>211</v>
      </c>
    </row>
    <row r="558" spans="2:65" s="113" customFormat="1">
      <c r="B558" s="119"/>
      <c r="D558" s="105" t="s">
        <v>365</v>
      </c>
      <c r="E558" s="135" t="s">
        <v>1</v>
      </c>
      <c r="F558" s="120" t="s">
        <v>890</v>
      </c>
      <c r="H558" s="121">
        <v>181.58</v>
      </c>
      <c r="I558" s="128"/>
      <c r="L558" s="119"/>
      <c r="M558" s="129"/>
      <c r="T558" s="133"/>
      <c r="AT558" s="135" t="s">
        <v>365</v>
      </c>
      <c r="AU558" s="135" t="s">
        <v>87</v>
      </c>
      <c r="AV558" s="113" t="s">
        <v>87</v>
      </c>
      <c r="AW558" s="113" t="s">
        <v>33</v>
      </c>
      <c r="AX558" s="113" t="s">
        <v>77</v>
      </c>
      <c r="AY558" s="135" t="s">
        <v>211</v>
      </c>
    </row>
    <row r="559" spans="2:65" s="136" customFormat="1">
      <c r="B559" s="138"/>
      <c r="D559" s="105" t="s">
        <v>365</v>
      </c>
      <c r="E559" s="139" t="s">
        <v>1</v>
      </c>
      <c r="F559" s="140" t="s">
        <v>870</v>
      </c>
      <c r="H559" s="139" t="s">
        <v>1</v>
      </c>
      <c r="I559" s="146"/>
      <c r="L559" s="138"/>
      <c r="M559" s="147"/>
      <c r="T559" s="150"/>
      <c r="AT559" s="139" t="s">
        <v>365</v>
      </c>
      <c r="AU559" s="139" t="s">
        <v>87</v>
      </c>
      <c r="AV559" s="136" t="s">
        <v>85</v>
      </c>
      <c r="AW559" s="136" t="s">
        <v>33</v>
      </c>
      <c r="AX559" s="136" t="s">
        <v>77</v>
      </c>
      <c r="AY559" s="139" t="s">
        <v>211</v>
      </c>
    </row>
    <row r="560" spans="2:65" s="113" customFormat="1">
      <c r="B560" s="119"/>
      <c r="D560" s="105" t="s">
        <v>365</v>
      </c>
      <c r="E560" s="135" t="s">
        <v>1</v>
      </c>
      <c r="F560" s="120" t="s">
        <v>891</v>
      </c>
      <c r="H560" s="121">
        <v>190.31</v>
      </c>
      <c r="I560" s="128"/>
      <c r="L560" s="119"/>
      <c r="M560" s="129"/>
      <c r="T560" s="133"/>
      <c r="AT560" s="135" t="s">
        <v>365</v>
      </c>
      <c r="AU560" s="135" t="s">
        <v>87</v>
      </c>
      <c r="AV560" s="113" t="s">
        <v>87</v>
      </c>
      <c r="AW560" s="113" t="s">
        <v>33</v>
      </c>
      <c r="AX560" s="113" t="s">
        <v>77</v>
      </c>
      <c r="AY560" s="135" t="s">
        <v>211</v>
      </c>
    </row>
    <row r="561" spans="2:65" s="136" customFormat="1">
      <c r="B561" s="138"/>
      <c r="D561" s="105" t="s">
        <v>365</v>
      </c>
      <c r="E561" s="139" t="s">
        <v>1</v>
      </c>
      <c r="F561" s="140" t="s">
        <v>872</v>
      </c>
      <c r="H561" s="139" t="s">
        <v>1</v>
      </c>
      <c r="I561" s="146"/>
      <c r="L561" s="138"/>
      <c r="M561" s="147"/>
      <c r="T561" s="150"/>
      <c r="AT561" s="139" t="s">
        <v>365</v>
      </c>
      <c r="AU561" s="139" t="s">
        <v>87</v>
      </c>
      <c r="AV561" s="136" t="s">
        <v>85</v>
      </c>
      <c r="AW561" s="136" t="s">
        <v>33</v>
      </c>
      <c r="AX561" s="136" t="s">
        <v>77</v>
      </c>
      <c r="AY561" s="139" t="s">
        <v>211</v>
      </c>
    </row>
    <row r="562" spans="2:65" s="113" customFormat="1">
      <c r="B562" s="119"/>
      <c r="D562" s="105" t="s">
        <v>365</v>
      </c>
      <c r="E562" s="135" t="s">
        <v>1</v>
      </c>
      <c r="F562" s="120" t="s">
        <v>892</v>
      </c>
      <c r="H562" s="121">
        <v>286.83</v>
      </c>
      <c r="I562" s="128"/>
      <c r="L562" s="119"/>
      <c r="M562" s="129"/>
      <c r="T562" s="133"/>
      <c r="AT562" s="135" t="s">
        <v>365</v>
      </c>
      <c r="AU562" s="135" t="s">
        <v>87</v>
      </c>
      <c r="AV562" s="113" t="s">
        <v>87</v>
      </c>
      <c r="AW562" s="113" t="s">
        <v>33</v>
      </c>
      <c r="AX562" s="113" t="s">
        <v>77</v>
      </c>
      <c r="AY562" s="135" t="s">
        <v>211</v>
      </c>
    </row>
    <row r="563" spans="2:65" s="154" customFormat="1">
      <c r="B563" s="156"/>
      <c r="D563" s="105" t="s">
        <v>365</v>
      </c>
      <c r="E563" s="157" t="s">
        <v>1</v>
      </c>
      <c r="F563" s="158" t="s">
        <v>741</v>
      </c>
      <c r="H563" s="159">
        <v>937.46</v>
      </c>
      <c r="I563" s="160"/>
      <c r="L563" s="156"/>
      <c r="M563" s="161"/>
      <c r="T563" s="162"/>
      <c r="AT563" s="157" t="s">
        <v>365</v>
      </c>
      <c r="AU563" s="157" t="s">
        <v>87</v>
      </c>
      <c r="AV563" s="154" t="s">
        <v>137</v>
      </c>
      <c r="AW563" s="154" t="s">
        <v>33</v>
      </c>
      <c r="AX563" s="154" t="s">
        <v>77</v>
      </c>
      <c r="AY563" s="157" t="s">
        <v>211</v>
      </c>
    </row>
    <row r="564" spans="2:65" s="113" customFormat="1">
      <c r="B564" s="119"/>
      <c r="D564" s="105" t="s">
        <v>365</v>
      </c>
      <c r="E564" s="135" t="s">
        <v>1</v>
      </c>
      <c r="F564" s="120" t="s">
        <v>893</v>
      </c>
      <c r="H564" s="121">
        <v>4.37</v>
      </c>
      <c r="I564" s="128"/>
      <c r="L564" s="119"/>
      <c r="M564" s="129"/>
      <c r="T564" s="133"/>
      <c r="AT564" s="135" t="s">
        <v>365</v>
      </c>
      <c r="AU564" s="135" t="s">
        <v>87</v>
      </c>
      <c r="AV564" s="113" t="s">
        <v>87</v>
      </c>
      <c r="AW564" s="113" t="s">
        <v>33</v>
      </c>
      <c r="AX564" s="113" t="s">
        <v>77</v>
      </c>
      <c r="AY564" s="135" t="s">
        <v>211</v>
      </c>
    </row>
    <row r="565" spans="2:65" s="113" customFormat="1">
      <c r="B565" s="119"/>
      <c r="D565" s="105" t="s">
        <v>365</v>
      </c>
      <c r="E565" s="135" t="s">
        <v>1</v>
      </c>
      <c r="F565" s="120" t="s">
        <v>894</v>
      </c>
      <c r="H565" s="121">
        <v>56</v>
      </c>
      <c r="I565" s="128"/>
      <c r="L565" s="119"/>
      <c r="M565" s="129"/>
      <c r="T565" s="133"/>
      <c r="AT565" s="135" t="s">
        <v>365</v>
      </c>
      <c r="AU565" s="135" t="s">
        <v>87</v>
      </c>
      <c r="AV565" s="113" t="s">
        <v>87</v>
      </c>
      <c r="AW565" s="113" t="s">
        <v>33</v>
      </c>
      <c r="AX565" s="113" t="s">
        <v>77</v>
      </c>
      <c r="AY565" s="135" t="s">
        <v>211</v>
      </c>
    </row>
    <row r="566" spans="2:65" s="137" customFormat="1">
      <c r="B566" s="141"/>
      <c r="D566" s="105" t="s">
        <v>365</v>
      </c>
      <c r="E566" s="142" t="s">
        <v>1</v>
      </c>
      <c r="F566" s="143" t="s">
        <v>368</v>
      </c>
      <c r="H566" s="144">
        <v>997.83</v>
      </c>
      <c r="I566" s="148"/>
      <c r="L566" s="141"/>
      <c r="M566" s="149"/>
      <c r="T566" s="151"/>
      <c r="AT566" s="142" t="s">
        <v>365</v>
      </c>
      <c r="AU566" s="142" t="s">
        <v>87</v>
      </c>
      <c r="AV566" s="137" t="s">
        <v>218</v>
      </c>
      <c r="AW566" s="137" t="s">
        <v>33</v>
      </c>
      <c r="AX566" s="137" t="s">
        <v>85</v>
      </c>
      <c r="AY566" s="142" t="s">
        <v>211</v>
      </c>
    </row>
    <row r="567" spans="2:65" s="1" customFormat="1" ht="24.15" customHeight="1">
      <c r="B567" s="12"/>
      <c r="C567" s="71" t="s">
        <v>895</v>
      </c>
      <c r="D567" s="71" t="s">
        <v>214</v>
      </c>
      <c r="E567" s="72" t="s">
        <v>896</v>
      </c>
      <c r="F567" s="73" t="s">
        <v>897</v>
      </c>
      <c r="G567" s="74" t="s">
        <v>279</v>
      </c>
      <c r="H567" s="75">
        <v>3463.98</v>
      </c>
      <c r="I567" s="90">
        <v>1790</v>
      </c>
      <c r="J567" s="91">
        <f>ROUND(I567*H567,2)</f>
        <v>6200524.2000000002</v>
      </c>
      <c r="K567" s="92"/>
      <c r="L567" s="12"/>
      <c r="M567" s="93" t="s">
        <v>1</v>
      </c>
      <c r="N567" s="94" t="s">
        <v>42</v>
      </c>
      <c r="P567" s="95">
        <f>O567*H567</f>
        <v>0</v>
      </c>
      <c r="Q567" s="95">
        <v>0.12315</v>
      </c>
      <c r="R567" s="95">
        <f>Q567*H567</f>
        <v>426.58913699999999</v>
      </c>
      <c r="S567" s="95">
        <v>0</v>
      </c>
      <c r="T567" s="99">
        <f>S567*H567</f>
        <v>0</v>
      </c>
      <c r="AR567" s="101" t="s">
        <v>218</v>
      </c>
      <c r="AT567" s="101" t="s">
        <v>214</v>
      </c>
      <c r="AU567" s="101" t="s">
        <v>87</v>
      </c>
      <c r="AY567" s="23" t="s">
        <v>211</v>
      </c>
      <c r="BE567" s="104">
        <f>IF(N567="základní",J567,0)</f>
        <v>6200524.2000000002</v>
      </c>
      <c r="BF567" s="104">
        <f>IF(N567="snížená",J567,0)</f>
        <v>0</v>
      </c>
      <c r="BG567" s="104">
        <f>IF(N567="zákl. přenesená",J567,0)</f>
        <v>0</v>
      </c>
      <c r="BH567" s="104">
        <f>IF(N567="sníž. přenesená",J567,0)</f>
        <v>0</v>
      </c>
      <c r="BI567" s="104">
        <f>IF(N567="nulová",J567,0)</f>
        <v>0</v>
      </c>
      <c r="BJ567" s="23" t="s">
        <v>85</v>
      </c>
      <c r="BK567" s="104">
        <f>ROUND(I567*H567,2)</f>
        <v>6200524.2000000002</v>
      </c>
      <c r="BL567" s="23" t="s">
        <v>218</v>
      </c>
      <c r="BM567" s="101" t="s">
        <v>898</v>
      </c>
    </row>
    <row r="568" spans="2:65" s="136" customFormat="1">
      <c r="B568" s="138"/>
      <c r="D568" s="105" t="s">
        <v>365</v>
      </c>
      <c r="E568" s="139" t="s">
        <v>1</v>
      </c>
      <c r="F568" s="140" t="s">
        <v>899</v>
      </c>
      <c r="H568" s="139" t="s">
        <v>1</v>
      </c>
      <c r="I568" s="146"/>
      <c r="L568" s="138"/>
      <c r="M568" s="147"/>
      <c r="T568" s="150"/>
      <c r="AT568" s="139" t="s">
        <v>365</v>
      </c>
      <c r="AU568" s="139" t="s">
        <v>87</v>
      </c>
      <c r="AV568" s="136" t="s">
        <v>85</v>
      </c>
      <c r="AW568" s="136" t="s">
        <v>33</v>
      </c>
      <c r="AX568" s="136" t="s">
        <v>77</v>
      </c>
      <c r="AY568" s="139" t="s">
        <v>211</v>
      </c>
    </row>
    <row r="569" spans="2:65" s="136" customFormat="1">
      <c r="B569" s="138"/>
      <c r="D569" s="105" t="s">
        <v>365</v>
      </c>
      <c r="E569" s="139" t="s">
        <v>1</v>
      </c>
      <c r="F569" s="140" t="s">
        <v>669</v>
      </c>
      <c r="H569" s="139" t="s">
        <v>1</v>
      </c>
      <c r="I569" s="146"/>
      <c r="L569" s="138"/>
      <c r="M569" s="147"/>
      <c r="T569" s="150"/>
      <c r="AT569" s="139" t="s">
        <v>365</v>
      </c>
      <c r="AU569" s="139" t="s">
        <v>87</v>
      </c>
      <c r="AV569" s="136" t="s">
        <v>85</v>
      </c>
      <c r="AW569" s="136" t="s">
        <v>33</v>
      </c>
      <c r="AX569" s="136" t="s">
        <v>77</v>
      </c>
      <c r="AY569" s="139" t="s">
        <v>211</v>
      </c>
    </row>
    <row r="570" spans="2:65" s="113" customFormat="1">
      <c r="B570" s="119"/>
      <c r="D570" s="105" t="s">
        <v>365</v>
      </c>
      <c r="E570" s="135" t="s">
        <v>1</v>
      </c>
      <c r="F570" s="120" t="s">
        <v>900</v>
      </c>
      <c r="H570" s="121">
        <v>664</v>
      </c>
      <c r="I570" s="128"/>
      <c r="L570" s="119"/>
      <c r="M570" s="129"/>
      <c r="T570" s="133"/>
      <c r="AT570" s="135" t="s">
        <v>365</v>
      </c>
      <c r="AU570" s="135" t="s">
        <v>87</v>
      </c>
      <c r="AV570" s="113" t="s">
        <v>87</v>
      </c>
      <c r="AW570" s="113" t="s">
        <v>33</v>
      </c>
      <c r="AX570" s="113" t="s">
        <v>77</v>
      </c>
      <c r="AY570" s="135" t="s">
        <v>211</v>
      </c>
    </row>
    <row r="571" spans="2:65" s="136" customFormat="1">
      <c r="B571" s="138"/>
      <c r="D571" s="105" t="s">
        <v>365</v>
      </c>
      <c r="E571" s="139" t="s">
        <v>1</v>
      </c>
      <c r="F571" s="140" t="s">
        <v>866</v>
      </c>
      <c r="H571" s="139" t="s">
        <v>1</v>
      </c>
      <c r="I571" s="146"/>
      <c r="L571" s="138"/>
      <c r="M571" s="147"/>
      <c r="T571" s="150"/>
      <c r="AT571" s="139" t="s">
        <v>365</v>
      </c>
      <c r="AU571" s="139" t="s">
        <v>87</v>
      </c>
      <c r="AV571" s="136" t="s">
        <v>85</v>
      </c>
      <c r="AW571" s="136" t="s">
        <v>33</v>
      </c>
      <c r="AX571" s="136" t="s">
        <v>77</v>
      </c>
      <c r="AY571" s="139" t="s">
        <v>211</v>
      </c>
    </row>
    <row r="572" spans="2:65" s="113" customFormat="1">
      <c r="B572" s="119"/>
      <c r="D572" s="105" t="s">
        <v>365</v>
      </c>
      <c r="E572" s="135" t="s">
        <v>1</v>
      </c>
      <c r="F572" s="120" t="s">
        <v>901</v>
      </c>
      <c r="H572" s="121">
        <v>631.98</v>
      </c>
      <c r="I572" s="128"/>
      <c r="L572" s="119"/>
      <c r="M572" s="129"/>
      <c r="T572" s="133"/>
      <c r="AT572" s="135" t="s">
        <v>365</v>
      </c>
      <c r="AU572" s="135" t="s">
        <v>87</v>
      </c>
      <c r="AV572" s="113" t="s">
        <v>87</v>
      </c>
      <c r="AW572" s="113" t="s">
        <v>33</v>
      </c>
      <c r="AX572" s="113" t="s">
        <v>77</v>
      </c>
      <c r="AY572" s="135" t="s">
        <v>211</v>
      </c>
    </row>
    <row r="573" spans="2:65" s="136" customFormat="1">
      <c r="B573" s="138"/>
      <c r="D573" s="105" t="s">
        <v>365</v>
      </c>
      <c r="E573" s="139" t="s">
        <v>1</v>
      </c>
      <c r="F573" s="140" t="s">
        <v>868</v>
      </c>
      <c r="H573" s="139" t="s">
        <v>1</v>
      </c>
      <c r="I573" s="146"/>
      <c r="L573" s="138"/>
      <c r="M573" s="147"/>
      <c r="T573" s="150"/>
      <c r="AT573" s="139" t="s">
        <v>365</v>
      </c>
      <c r="AU573" s="139" t="s">
        <v>87</v>
      </c>
      <c r="AV573" s="136" t="s">
        <v>85</v>
      </c>
      <c r="AW573" s="136" t="s">
        <v>33</v>
      </c>
      <c r="AX573" s="136" t="s">
        <v>77</v>
      </c>
      <c r="AY573" s="139" t="s">
        <v>211</v>
      </c>
    </row>
    <row r="574" spans="2:65" s="113" customFormat="1">
      <c r="B574" s="119"/>
      <c r="D574" s="105" t="s">
        <v>365</v>
      </c>
      <c r="E574" s="135" t="s">
        <v>1</v>
      </c>
      <c r="F574" s="120" t="s">
        <v>902</v>
      </c>
      <c r="H574" s="121">
        <v>716.88</v>
      </c>
      <c r="I574" s="128"/>
      <c r="L574" s="119"/>
      <c r="M574" s="129"/>
      <c r="T574" s="133"/>
      <c r="AT574" s="135" t="s">
        <v>365</v>
      </c>
      <c r="AU574" s="135" t="s">
        <v>87</v>
      </c>
      <c r="AV574" s="113" t="s">
        <v>87</v>
      </c>
      <c r="AW574" s="113" t="s">
        <v>33</v>
      </c>
      <c r="AX574" s="113" t="s">
        <v>77</v>
      </c>
      <c r="AY574" s="135" t="s">
        <v>211</v>
      </c>
    </row>
    <row r="575" spans="2:65" s="136" customFormat="1">
      <c r="B575" s="138"/>
      <c r="D575" s="105" t="s">
        <v>365</v>
      </c>
      <c r="E575" s="139" t="s">
        <v>1</v>
      </c>
      <c r="F575" s="140" t="s">
        <v>870</v>
      </c>
      <c r="H575" s="139" t="s">
        <v>1</v>
      </c>
      <c r="I575" s="146"/>
      <c r="L575" s="138"/>
      <c r="M575" s="147"/>
      <c r="T575" s="150"/>
      <c r="AT575" s="139" t="s">
        <v>365</v>
      </c>
      <c r="AU575" s="139" t="s">
        <v>87</v>
      </c>
      <c r="AV575" s="136" t="s">
        <v>85</v>
      </c>
      <c r="AW575" s="136" t="s">
        <v>33</v>
      </c>
      <c r="AX575" s="136" t="s">
        <v>77</v>
      </c>
      <c r="AY575" s="139" t="s">
        <v>211</v>
      </c>
    </row>
    <row r="576" spans="2:65" s="113" customFormat="1">
      <c r="B576" s="119"/>
      <c r="D576" s="105" t="s">
        <v>365</v>
      </c>
      <c r="E576" s="135" t="s">
        <v>1</v>
      </c>
      <c r="F576" s="120" t="s">
        <v>903</v>
      </c>
      <c r="H576" s="121">
        <v>629.99</v>
      </c>
      <c r="I576" s="128"/>
      <c r="L576" s="119"/>
      <c r="M576" s="129"/>
      <c r="T576" s="133"/>
      <c r="AT576" s="135" t="s">
        <v>365</v>
      </c>
      <c r="AU576" s="135" t="s">
        <v>87</v>
      </c>
      <c r="AV576" s="113" t="s">
        <v>87</v>
      </c>
      <c r="AW576" s="113" t="s">
        <v>33</v>
      </c>
      <c r="AX576" s="113" t="s">
        <v>77</v>
      </c>
      <c r="AY576" s="135" t="s">
        <v>211</v>
      </c>
    </row>
    <row r="577" spans="2:65" s="136" customFormat="1">
      <c r="B577" s="138"/>
      <c r="D577" s="105" t="s">
        <v>365</v>
      </c>
      <c r="E577" s="139" t="s">
        <v>1</v>
      </c>
      <c r="F577" s="140" t="s">
        <v>872</v>
      </c>
      <c r="H577" s="139" t="s">
        <v>1</v>
      </c>
      <c r="I577" s="146"/>
      <c r="L577" s="138"/>
      <c r="M577" s="147"/>
      <c r="T577" s="150"/>
      <c r="AT577" s="139" t="s">
        <v>365</v>
      </c>
      <c r="AU577" s="139" t="s">
        <v>87</v>
      </c>
      <c r="AV577" s="136" t="s">
        <v>85</v>
      </c>
      <c r="AW577" s="136" t="s">
        <v>33</v>
      </c>
      <c r="AX577" s="136" t="s">
        <v>77</v>
      </c>
      <c r="AY577" s="139" t="s">
        <v>211</v>
      </c>
    </row>
    <row r="578" spans="2:65" s="113" customFormat="1">
      <c r="B578" s="119"/>
      <c r="D578" s="105" t="s">
        <v>365</v>
      </c>
      <c r="E578" s="135" t="s">
        <v>1</v>
      </c>
      <c r="F578" s="120" t="s">
        <v>904</v>
      </c>
      <c r="H578" s="121">
        <v>821.13</v>
      </c>
      <c r="I578" s="128"/>
      <c r="L578" s="119"/>
      <c r="M578" s="129"/>
      <c r="T578" s="133"/>
      <c r="AT578" s="135" t="s">
        <v>365</v>
      </c>
      <c r="AU578" s="135" t="s">
        <v>87</v>
      </c>
      <c r="AV578" s="113" t="s">
        <v>87</v>
      </c>
      <c r="AW578" s="113" t="s">
        <v>33</v>
      </c>
      <c r="AX578" s="113" t="s">
        <v>77</v>
      </c>
      <c r="AY578" s="135" t="s">
        <v>211</v>
      </c>
    </row>
    <row r="579" spans="2:65" s="137" customFormat="1">
      <c r="B579" s="141"/>
      <c r="D579" s="105" t="s">
        <v>365</v>
      </c>
      <c r="E579" s="142" t="s">
        <v>1</v>
      </c>
      <c r="F579" s="143" t="s">
        <v>368</v>
      </c>
      <c r="H579" s="144">
        <v>3463.98</v>
      </c>
      <c r="I579" s="148"/>
      <c r="L579" s="141"/>
      <c r="M579" s="149"/>
      <c r="T579" s="151"/>
      <c r="AT579" s="142" t="s">
        <v>365</v>
      </c>
      <c r="AU579" s="142" t="s">
        <v>87</v>
      </c>
      <c r="AV579" s="137" t="s">
        <v>218</v>
      </c>
      <c r="AW579" s="137" t="s">
        <v>33</v>
      </c>
      <c r="AX579" s="137" t="s">
        <v>85</v>
      </c>
      <c r="AY579" s="142" t="s">
        <v>211</v>
      </c>
    </row>
    <row r="580" spans="2:65" s="1" customFormat="1" ht="16.5" customHeight="1">
      <c r="B580" s="12"/>
      <c r="C580" s="71" t="s">
        <v>905</v>
      </c>
      <c r="D580" s="71" t="s">
        <v>214</v>
      </c>
      <c r="E580" s="72" t="s">
        <v>906</v>
      </c>
      <c r="F580" s="73" t="s">
        <v>907</v>
      </c>
      <c r="G580" s="74" t="s">
        <v>279</v>
      </c>
      <c r="H580" s="75">
        <v>45.51</v>
      </c>
      <c r="I580" s="90">
        <v>730</v>
      </c>
      <c r="J580" s="91">
        <f>ROUND(I580*H580,2)</f>
        <v>33222.300000000003</v>
      </c>
      <c r="K580" s="92"/>
      <c r="L580" s="12"/>
      <c r="M580" s="93" t="s">
        <v>1</v>
      </c>
      <c r="N580" s="94" t="s">
        <v>42</v>
      </c>
      <c r="P580" s="95">
        <f>O580*H580</f>
        <v>0</v>
      </c>
      <c r="Q580" s="95">
        <v>6.1769999999999999E-2</v>
      </c>
      <c r="R580" s="95">
        <f>Q580*H580</f>
        <v>2.8111527000000001</v>
      </c>
      <c r="S580" s="95">
        <v>0</v>
      </c>
      <c r="T580" s="99">
        <f>S580*H580</f>
        <v>0</v>
      </c>
      <c r="AR580" s="101" t="s">
        <v>218</v>
      </c>
      <c r="AT580" s="101" t="s">
        <v>214</v>
      </c>
      <c r="AU580" s="101" t="s">
        <v>87</v>
      </c>
      <c r="AY580" s="23" t="s">
        <v>211</v>
      </c>
      <c r="BE580" s="104">
        <f>IF(N580="základní",J580,0)</f>
        <v>33222.300000000003</v>
      </c>
      <c r="BF580" s="104">
        <f>IF(N580="snížená",J580,0)</f>
        <v>0</v>
      </c>
      <c r="BG580" s="104">
        <f>IF(N580="zákl. přenesená",J580,0)</f>
        <v>0</v>
      </c>
      <c r="BH580" s="104">
        <f>IF(N580="sníž. přenesená",J580,0)</f>
        <v>0</v>
      </c>
      <c r="BI580" s="104">
        <f>IF(N580="nulová",J580,0)</f>
        <v>0</v>
      </c>
      <c r="BJ580" s="23" t="s">
        <v>85</v>
      </c>
      <c r="BK580" s="104">
        <f>ROUND(I580*H580,2)</f>
        <v>33222.300000000003</v>
      </c>
      <c r="BL580" s="23" t="s">
        <v>218</v>
      </c>
      <c r="BM580" s="101" t="s">
        <v>908</v>
      </c>
    </row>
    <row r="581" spans="2:65" s="113" customFormat="1">
      <c r="B581" s="119"/>
      <c r="D581" s="105" t="s">
        <v>365</v>
      </c>
      <c r="E581" s="135" t="s">
        <v>1</v>
      </c>
      <c r="F581" s="120" t="s">
        <v>909</v>
      </c>
      <c r="H581" s="121">
        <v>8.1</v>
      </c>
      <c r="I581" s="128"/>
      <c r="L581" s="119"/>
      <c r="M581" s="129"/>
      <c r="T581" s="133"/>
      <c r="AT581" s="135" t="s">
        <v>365</v>
      </c>
      <c r="AU581" s="135" t="s">
        <v>87</v>
      </c>
      <c r="AV581" s="113" t="s">
        <v>87</v>
      </c>
      <c r="AW581" s="113" t="s">
        <v>33</v>
      </c>
      <c r="AX581" s="113" t="s">
        <v>77</v>
      </c>
      <c r="AY581" s="135" t="s">
        <v>211</v>
      </c>
    </row>
    <row r="582" spans="2:65" s="113" customFormat="1">
      <c r="B582" s="119"/>
      <c r="D582" s="105" t="s">
        <v>365</v>
      </c>
      <c r="E582" s="135" t="s">
        <v>1</v>
      </c>
      <c r="F582" s="120" t="s">
        <v>910</v>
      </c>
      <c r="H582" s="121">
        <v>12.92</v>
      </c>
      <c r="I582" s="128"/>
      <c r="L582" s="119"/>
      <c r="M582" s="129"/>
      <c r="T582" s="133"/>
      <c r="AT582" s="135" t="s">
        <v>365</v>
      </c>
      <c r="AU582" s="135" t="s">
        <v>87</v>
      </c>
      <c r="AV582" s="113" t="s">
        <v>87</v>
      </c>
      <c r="AW582" s="113" t="s">
        <v>33</v>
      </c>
      <c r="AX582" s="113" t="s">
        <v>77</v>
      </c>
      <c r="AY582" s="135" t="s">
        <v>211</v>
      </c>
    </row>
    <row r="583" spans="2:65" s="113" customFormat="1">
      <c r="B583" s="119"/>
      <c r="D583" s="105" t="s">
        <v>365</v>
      </c>
      <c r="E583" s="135" t="s">
        <v>1</v>
      </c>
      <c r="F583" s="120" t="s">
        <v>911</v>
      </c>
      <c r="H583" s="121">
        <v>9.23</v>
      </c>
      <c r="I583" s="128"/>
      <c r="L583" s="119"/>
      <c r="M583" s="129"/>
      <c r="T583" s="133"/>
      <c r="AT583" s="135" t="s">
        <v>365</v>
      </c>
      <c r="AU583" s="135" t="s">
        <v>87</v>
      </c>
      <c r="AV583" s="113" t="s">
        <v>87</v>
      </c>
      <c r="AW583" s="113" t="s">
        <v>33</v>
      </c>
      <c r="AX583" s="113" t="s">
        <v>77</v>
      </c>
      <c r="AY583" s="135" t="s">
        <v>211</v>
      </c>
    </row>
    <row r="584" spans="2:65" s="113" customFormat="1">
      <c r="B584" s="119"/>
      <c r="D584" s="105" t="s">
        <v>365</v>
      </c>
      <c r="E584" s="135" t="s">
        <v>1</v>
      </c>
      <c r="F584" s="120" t="s">
        <v>912</v>
      </c>
      <c r="H584" s="121">
        <v>15.26</v>
      </c>
      <c r="I584" s="128"/>
      <c r="L584" s="119"/>
      <c r="M584" s="129"/>
      <c r="T584" s="133"/>
      <c r="AT584" s="135" t="s">
        <v>365</v>
      </c>
      <c r="AU584" s="135" t="s">
        <v>87</v>
      </c>
      <c r="AV584" s="113" t="s">
        <v>87</v>
      </c>
      <c r="AW584" s="113" t="s">
        <v>33</v>
      </c>
      <c r="AX584" s="113" t="s">
        <v>77</v>
      </c>
      <c r="AY584" s="135" t="s">
        <v>211</v>
      </c>
    </row>
    <row r="585" spans="2:65" s="137" customFormat="1">
      <c r="B585" s="141"/>
      <c r="D585" s="105" t="s">
        <v>365</v>
      </c>
      <c r="E585" s="142" t="s">
        <v>1</v>
      </c>
      <c r="F585" s="143" t="s">
        <v>368</v>
      </c>
      <c r="H585" s="144">
        <v>45.51</v>
      </c>
      <c r="I585" s="148"/>
      <c r="L585" s="141"/>
      <c r="M585" s="149"/>
      <c r="T585" s="151"/>
      <c r="AT585" s="142" t="s">
        <v>365</v>
      </c>
      <c r="AU585" s="142" t="s">
        <v>87</v>
      </c>
      <c r="AV585" s="137" t="s">
        <v>218</v>
      </c>
      <c r="AW585" s="137" t="s">
        <v>33</v>
      </c>
      <c r="AX585" s="137" t="s">
        <v>85</v>
      </c>
      <c r="AY585" s="142" t="s">
        <v>211</v>
      </c>
    </row>
    <row r="586" spans="2:65" s="1" customFormat="1" ht="33" customHeight="1">
      <c r="B586" s="12"/>
      <c r="C586" s="71" t="s">
        <v>913</v>
      </c>
      <c r="D586" s="71" t="s">
        <v>214</v>
      </c>
      <c r="E586" s="72" t="s">
        <v>914</v>
      </c>
      <c r="F586" s="73" t="s">
        <v>915</v>
      </c>
      <c r="G586" s="74" t="s">
        <v>279</v>
      </c>
      <c r="H586" s="75">
        <v>0.9</v>
      </c>
      <c r="I586" s="90">
        <v>1600</v>
      </c>
      <c r="J586" s="91">
        <f>ROUND(I586*H586,2)</f>
        <v>1440</v>
      </c>
      <c r="K586" s="92"/>
      <c r="L586" s="12"/>
      <c r="M586" s="93" t="s">
        <v>1</v>
      </c>
      <c r="N586" s="94" t="s">
        <v>42</v>
      </c>
      <c r="P586" s="95">
        <f>O586*H586</f>
        <v>0</v>
      </c>
      <c r="Q586" s="95">
        <v>0.15301000000000001</v>
      </c>
      <c r="R586" s="95">
        <f>Q586*H586</f>
        <v>0.137709</v>
      </c>
      <c r="S586" s="95">
        <v>0</v>
      </c>
      <c r="T586" s="99">
        <f>S586*H586</f>
        <v>0</v>
      </c>
      <c r="AR586" s="101" t="s">
        <v>218</v>
      </c>
      <c r="AT586" s="101" t="s">
        <v>214</v>
      </c>
      <c r="AU586" s="101" t="s">
        <v>87</v>
      </c>
      <c r="AY586" s="23" t="s">
        <v>211</v>
      </c>
      <c r="BE586" s="104">
        <f>IF(N586="základní",J586,0)</f>
        <v>1440</v>
      </c>
      <c r="BF586" s="104">
        <f>IF(N586="snížená",J586,0)</f>
        <v>0</v>
      </c>
      <c r="BG586" s="104">
        <f>IF(N586="zákl. přenesená",J586,0)</f>
        <v>0</v>
      </c>
      <c r="BH586" s="104">
        <f>IF(N586="sníž. přenesená",J586,0)</f>
        <v>0</v>
      </c>
      <c r="BI586" s="104">
        <f>IF(N586="nulová",J586,0)</f>
        <v>0</v>
      </c>
      <c r="BJ586" s="23" t="s">
        <v>85</v>
      </c>
      <c r="BK586" s="104">
        <f>ROUND(I586*H586,2)</f>
        <v>1440</v>
      </c>
      <c r="BL586" s="23" t="s">
        <v>218</v>
      </c>
      <c r="BM586" s="101" t="s">
        <v>916</v>
      </c>
    </row>
    <row r="587" spans="2:65" s="113" customFormat="1">
      <c r="B587" s="119"/>
      <c r="D587" s="105" t="s">
        <v>365</v>
      </c>
      <c r="E587" s="135" t="s">
        <v>1</v>
      </c>
      <c r="F587" s="120" t="s">
        <v>917</v>
      </c>
      <c r="H587" s="121">
        <v>0.9</v>
      </c>
      <c r="I587" s="128"/>
      <c r="L587" s="119"/>
      <c r="M587" s="129"/>
      <c r="T587" s="133"/>
      <c r="AT587" s="135" t="s">
        <v>365</v>
      </c>
      <c r="AU587" s="135" t="s">
        <v>87</v>
      </c>
      <c r="AV587" s="113" t="s">
        <v>87</v>
      </c>
      <c r="AW587" s="113" t="s">
        <v>33</v>
      </c>
      <c r="AX587" s="113" t="s">
        <v>85</v>
      </c>
      <c r="AY587" s="135" t="s">
        <v>211</v>
      </c>
    </row>
    <row r="588" spans="2:65" s="31" customFormat="1" ht="23.1" customHeight="1">
      <c r="B588" s="67"/>
      <c r="D588" s="68" t="s">
        <v>76</v>
      </c>
      <c r="E588" s="70" t="s">
        <v>218</v>
      </c>
      <c r="F588" s="70" t="s">
        <v>918</v>
      </c>
      <c r="I588" s="85"/>
      <c r="J588" s="89">
        <f>BK588</f>
        <v>43097305.880000003</v>
      </c>
      <c r="L588" s="67"/>
      <c r="M588" s="87"/>
      <c r="P588" s="88">
        <f>SUM(P589:P933)</f>
        <v>0</v>
      </c>
      <c r="R588" s="88">
        <f>SUM(R589:R933)</f>
        <v>3040.7633079100001</v>
      </c>
      <c r="T588" s="98">
        <f>SUM(T589:T933)</f>
        <v>0</v>
      </c>
      <c r="AR588" s="68" t="s">
        <v>85</v>
      </c>
      <c r="AT588" s="100" t="s">
        <v>76</v>
      </c>
      <c r="AU588" s="100" t="s">
        <v>85</v>
      </c>
      <c r="AY588" s="68" t="s">
        <v>211</v>
      </c>
      <c r="BK588" s="103">
        <f>SUM(BK589:BK933)</f>
        <v>43097305.880000003</v>
      </c>
    </row>
    <row r="589" spans="2:65" s="1" customFormat="1" ht="16.5" customHeight="1">
      <c r="B589" s="12"/>
      <c r="C589" s="71" t="s">
        <v>919</v>
      </c>
      <c r="D589" s="71" t="s">
        <v>214</v>
      </c>
      <c r="E589" s="72" t="s">
        <v>920</v>
      </c>
      <c r="F589" s="73" t="s">
        <v>921</v>
      </c>
      <c r="G589" s="74" t="s">
        <v>357</v>
      </c>
      <c r="H589" s="75">
        <v>245.06200000000001</v>
      </c>
      <c r="I589" s="90">
        <v>4610</v>
      </c>
      <c r="J589" s="91">
        <f>ROUND(I589*H589,2)</f>
        <v>1129735.82</v>
      </c>
      <c r="K589" s="92"/>
      <c r="L589" s="12"/>
      <c r="M589" s="93" t="s">
        <v>1</v>
      </c>
      <c r="N589" s="94" t="s">
        <v>42</v>
      </c>
      <c r="P589" s="95">
        <f>O589*H589</f>
        <v>0</v>
      </c>
      <c r="Q589" s="95">
        <v>2.45343</v>
      </c>
      <c r="R589" s="95">
        <f>Q589*H589</f>
        <v>601.24246266</v>
      </c>
      <c r="S589" s="95">
        <v>0</v>
      </c>
      <c r="T589" s="99">
        <f>S589*H589</f>
        <v>0</v>
      </c>
      <c r="AR589" s="101" t="s">
        <v>218</v>
      </c>
      <c r="AT589" s="101" t="s">
        <v>214</v>
      </c>
      <c r="AU589" s="101" t="s">
        <v>87</v>
      </c>
      <c r="AY589" s="23" t="s">
        <v>211</v>
      </c>
      <c r="BE589" s="104">
        <f>IF(N589="základní",J589,0)</f>
        <v>1129735.82</v>
      </c>
      <c r="BF589" s="104">
        <f>IF(N589="snížená",J589,0)</f>
        <v>0</v>
      </c>
      <c r="BG589" s="104">
        <f>IF(N589="zákl. přenesená",J589,0)</f>
        <v>0</v>
      </c>
      <c r="BH589" s="104">
        <f>IF(N589="sníž. přenesená",J589,0)</f>
        <v>0</v>
      </c>
      <c r="BI589" s="104">
        <f>IF(N589="nulová",J589,0)</f>
        <v>0</v>
      </c>
      <c r="BJ589" s="23" t="s">
        <v>85</v>
      </c>
      <c r="BK589" s="104">
        <f>ROUND(I589*H589,2)</f>
        <v>1129735.82</v>
      </c>
      <c r="BL589" s="23" t="s">
        <v>218</v>
      </c>
      <c r="BM589" s="101" t="s">
        <v>922</v>
      </c>
    </row>
    <row r="590" spans="2:65" s="1" customFormat="1" ht="19.2">
      <c r="B590" s="12"/>
      <c r="D590" s="105" t="s">
        <v>227</v>
      </c>
      <c r="F590" s="106" t="s">
        <v>479</v>
      </c>
      <c r="I590" s="107"/>
      <c r="L590" s="12"/>
      <c r="M590" s="108"/>
      <c r="T590" s="111"/>
      <c r="AT590" s="23" t="s">
        <v>227</v>
      </c>
      <c r="AU590" s="23" t="s">
        <v>87</v>
      </c>
    </row>
    <row r="591" spans="2:65" s="113" customFormat="1">
      <c r="B591" s="119"/>
      <c r="D591" s="105" t="s">
        <v>365</v>
      </c>
      <c r="E591" s="135" t="s">
        <v>1</v>
      </c>
      <c r="F591" s="120" t="s">
        <v>923</v>
      </c>
      <c r="H591" s="121">
        <v>57.16</v>
      </c>
      <c r="I591" s="128"/>
      <c r="L591" s="119"/>
      <c r="M591" s="129"/>
      <c r="T591" s="133"/>
      <c r="AT591" s="135" t="s">
        <v>365</v>
      </c>
      <c r="AU591" s="135" t="s">
        <v>87</v>
      </c>
      <c r="AV591" s="113" t="s">
        <v>87</v>
      </c>
      <c r="AW591" s="113" t="s">
        <v>33</v>
      </c>
      <c r="AX591" s="113" t="s">
        <v>77</v>
      </c>
      <c r="AY591" s="135" t="s">
        <v>211</v>
      </c>
    </row>
    <row r="592" spans="2:65" s="113" customFormat="1">
      <c r="B592" s="119"/>
      <c r="D592" s="105" t="s">
        <v>365</v>
      </c>
      <c r="E592" s="135" t="s">
        <v>1</v>
      </c>
      <c r="F592" s="120" t="s">
        <v>924</v>
      </c>
      <c r="H592" s="121">
        <v>66.427999999999997</v>
      </c>
      <c r="I592" s="128"/>
      <c r="L592" s="119"/>
      <c r="M592" s="129"/>
      <c r="T592" s="133"/>
      <c r="AT592" s="135" t="s">
        <v>365</v>
      </c>
      <c r="AU592" s="135" t="s">
        <v>87</v>
      </c>
      <c r="AV592" s="113" t="s">
        <v>87</v>
      </c>
      <c r="AW592" s="113" t="s">
        <v>33</v>
      </c>
      <c r="AX592" s="113" t="s">
        <v>77</v>
      </c>
      <c r="AY592" s="135" t="s">
        <v>211</v>
      </c>
    </row>
    <row r="593" spans="2:65" s="113" customFormat="1">
      <c r="B593" s="119"/>
      <c r="D593" s="105" t="s">
        <v>365</v>
      </c>
      <c r="E593" s="135" t="s">
        <v>1</v>
      </c>
      <c r="F593" s="120" t="s">
        <v>925</v>
      </c>
      <c r="H593" s="121">
        <v>54.44</v>
      </c>
      <c r="I593" s="128"/>
      <c r="L593" s="119"/>
      <c r="M593" s="129"/>
      <c r="T593" s="133"/>
      <c r="AT593" s="135" t="s">
        <v>365</v>
      </c>
      <c r="AU593" s="135" t="s">
        <v>87</v>
      </c>
      <c r="AV593" s="113" t="s">
        <v>87</v>
      </c>
      <c r="AW593" s="113" t="s">
        <v>33</v>
      </c>
      <c r="AX593" s="113" t="s">
        <v>77</v>
      </c>
      <c r="AY593" s="135" t="s">
        <v>211</v>
      </c>
    </row>
    <row r="594" spans="2:65" s="113" customFormat="1">
      <c r="B594" s="119"/>
      <c r="D594" s="105" t="s">
        <v>365</v>
      </c>
      <c r="E594" s="135" t="s">
        <v>1</v>
      </c>
      <c r="F594" s="120" t="s">
        <v>926</v>
      </c>
      <c r="H594" s="121">
        <v>67.034000000000006</v>
      </c>
      <c r="I594" s="128"/>
      <c r="L594" s="119"/>
      <c r="M594" s="129"/>
      <c r="T594" s="133"/>
      <c r="AT594" s="135" t="s">
        <v>365</v>
      </c>
      <c r="AU594" s="135" t="s">
        <v>87</v>
      </c>
      <c r="AV594" s="113" t="s">
        <v>87</v>
      </c>
      <c r="AW594" s="113" t="s">
        <v>33</v>
      </c>
      <c r="AX594" s="113" t="s">
        <v>77</v>
      </c>
      <c r="AY594" s="135" t="s">
        <v>211</v>
      </c>
    </row>
    <row r="595" spans="2:65" s="137" customFormat="1">
      <c r="B595" s="141"/>
      <c r="D595" s="105" t="s">
        <v>365</v>
      </c>
      <c r="E595" s="142" t="s">
        <v>1</v>
      </c>
      <c r="F595" s="143" t="s">
        <v>368</v>
      </c>
      <c r="H595" s="144">
        <v>245.06200000000001</v>
      </c>
      <c r="I595" s="148"/>
      <c r="L595" s="141"/>
      <c r="M595" s="149"/>
      <c r="T595" s="151"/>
      <c r="AT595" s="142" t="s">
        <v>365</v>
      </c>
      <c r="AU595" s="142" t="s">
        <v>87</v>
      </c>
      <c r="AV595" s="137" t="s">
        <v>218</v>
      </c>
      <c r="AW595" s="137" t="s">
        <v>33</v>
      </c>
      <c r="AX595" s="137" t="s">
        <v>85</v>
      </c>
      <c r="AY595" s="142" t="s">
        <v>211</v>
      </c>
    </row>
    <row r="596" spans="2:65" s="1" customFormat="1" ht="16.5" customHeight="1">
      <c r="B596" s="12"/>
      <c r="C596" s="71" t="s">
        <v>927</v>
      </c>
      <c r="D596" s="71" t="s">
        <v>214</v>
      </c>
      <c r="E596" s="72" t="s">
        <v>928</v>
      </c>
      <c r="F596" s="73" t="s">
        <v>929</v>
      </c>
      <c r="G596" s="74" t="s">
        <v>357</v>
      </c>
      <c r="H596" s="75">
        <v>436.89600000000002</v>
      </c>
      <c r="I596" s="90">
        <v>4610</v>
      </c>
      <c r="J596" s="91">
        <f>ROUND(I596*H596,2)</f>
        <v>2014090.56</v>
      </c>
      <c r="K596" s="92"/>
      <c r="L596" s="12"/>
      <c r="M596" s="93" t="s">
        <v>1</v>
      </c>
      <c r="N596" s="94" t="s">
        <v>42</v>
      </c>
      <c r="P596" s="95">
        <f>O596*H596</f>
        <v>0</v>
      </c>
      <c r="Q596" s="95">
        <v>2.45343</v>
      </c>
      <c r="R596" s="95">
        <f>Q596*H596</f>
        <v>1071.8937532800001</v>
      </c>
      <c r="S596" s="95">
        <v>0</v>
      </c>
      <c r="T596" s="99">
        <f>S596*H596</f>
        <v>0</v>
      </c>
      <c r="AR596" s="101" t="s">
        <v>218</v>
      </c>
      <c r="AT596" s="101" t="s">
        <v>214</v>
      </c>
      <c r="AU596" s="101" t="s">
        <v>87</v>
      </c>
      <c r="AY596" s="23" t="s">
        <v>211</v>
      </c>
      <c r="BE596" s="104">
        <f>IF(N596="základní",J596,0)</f>
        <v>2014090.56</v>
      </c>
      <c r="BF596" s="104">
        <f>IF(N596="snížená",J596,0)</f>
        <v>0</v>
      </c>
      <c r="BG596" s="104">
        <f>IF(N596="zákl. přenesená",J596,0)</f>
        <v>0</v>
      </c>
      <c r="BH596" s="104">
        <f>IF(N596="sníž. přenesená",J596,0)</f>
        <v>0</v>
      </c>
      <c r="BI596" s="104">
        <f>IF(N596="nulová",J596,0)</f>
        <v>0</v>
      </c>
      <c r="BJ596" s="23" t="s">
        <v>85</v>
      </c>
      <c r="BK596" s="104">
        <f>ROUND(I596*H596,2)</f>
        <v>2014090.56</v>
      </c>
      <c r="BL596" s="23" t="s">
        <v>218</v>
      </c>
      <c r="BM596" s="101" t="s">
        <v>930</v>
      </c>
    </row>
    <row r="597" spans="2:65" s="1" customFormat="1" ht="19.2">
      <c r="B597" s="12"/>
      <c r="D597" s="105" t="s">
        <v>227</v>
      </c>
      <c r="F597" s="106" t="s">
        <v>479</v>
      </c>
      <c r="I597" s="107"/>
      <c r="L597" s="12"/>
      <c r="M597" s="108"/>
      <c r="T597" s="111"/>
      <c r="AT597" s="23" t="s">
        <v>227</v>
      </c>
      <c r="AU597" s="23" t="s">
        <v>87</v>
      </c>
    </row>
    <row r="598" spans="2:65" s="113" customFormat="1">
      <c r="B598" s="119"/>
      <c r="D598" s="105" t="s">
        <v>365</v>
      </c>
      <c r="E598" s="135" t="s">
        <v>1</v>
      </c>
      <c r="F598" s="120" t="s">
        <v>931</v>
      </c>
      <c r="H598" s="121">
        <v>112.774</v>
      </c>
      <c r="I598" s="128"/>
      <c r="L598" s="119"/>
      <c r="M598" s="129"/>
      <c r="T598" s="133"/>
      <c r="AT598" s="135" t="s">
        <v>365</v>
      </c>
      <c r="AU598" s="135" t="s">
        <v>87</v>
      </c>
      <c r="AV598" s="113" t="s">
        <v>87</v>
      </c>
      <c r="AW598" s="113" t="s">
        <v>33</v>
      </c>
      <c r="AX598" s="113" t="s">
        <v>77</v>
      </c>
      <c r="AY598" s="135" t="s">
        <v>211</v>
      </c>
    </row>
    <row r="599" spans="2:65" s="113" customFormat="1">
      <c r="B599" s="119"/>
      <c r="D599" s="105" t="s">
        <v>365</v>
      </c>
      <c r="E599" s="135" t="s">
        <v>1</v>
      </c>
      <c r="F599" s="120" t="s">
        <v>932</v>
      </c>
      <c r="H599" s="121">
        <v>114.455</v>
      </c>
      <c r="I599" s="128"/>
      <c r="L599" s="119"/>
      <c r="M599" s="129"/>
      <c r="T599" s="133"/>
      <c r="AT599" s="135" t="s">
        <v>365</v>
      </c>
      <c r="AU599" s="135" t="s">
        <v>87</v>
      </c>
      <c r="AV599" s="113" t="s">
        <v>87</v>
      </c>
      <c r="AW599" s="113" t="s">
        <v>33</v>
      </c>
      <c r="AX599" s="113" t="s">
        <v>77</v>
      </c>
      <c r="AY599" s="135" t="s">
        <v>211</v>
      </c>
    </row>
    <row r="600" spans="2:65" s="113" customFormat="1">
      <c r="B600" s="119"/>
      <c r="D600" s="105" t="s">
        <v>365</v>
      </c>
      <c r="E600" s="135" t="s">
        <v>1</v>
      </c>
      <c r="F600" s="120" t="s">
        <v>933</v>
      </c>
      <c r="H600" s="121">
        <v>93.85</v>
      </c>
      <c r="I600" s="128"/>
      <c r="L600" s="119"/>
      <c r="M600" s="129"/>
      <c r="T600" s="133"/>
      <c r="AT600" s="135" t="s">
        <v>365</v>
      </c>
      <c r="AU600" s="135" t="s">
        <v>87</v>
      </c>
      <c r="AV600" s="113" t="s">
        <v>87</v>
      </c>
      <c r="AW600" s="113" t="s">
        <v>33</v>
      </c>
      <c r="AX600" s="113" t="s">
        <v>77</v>
      </c>
      <c r="AY600" s="135" t="s">
        <v>211</v>
      </c>
    </row>
    <row r="601" spans="2:65" s="113" customFormat="1">
      <c r="B601" s="119"/>
      <c r="D601" s="105" t="s">
        <v>365</v>
      </c>
      <c r="E601" s="135" t="s">
        <v>1</v>
      </c>
      <c r="F601" s="120" t="s">
        <v>934</v>
      </c>
      <c r="H601" s="121">
        <v>115.81699999999999</v>
      </c>
      <c r="I601" s="128"/>
      <c r="L601" s="119"/>
      <c r="M601" s="129"/>
      <c r="T601" s="133"/>
      <c r="AT601" s="135" t="s">
        <v>365</v>
      </c>
      <c r="AU601" s="135" t="s">
        <v>87</v>
      </c>
      <c r="AV601" s="113" t="s">
        <v>87</v>
      </c>
      <c r="AW601" s="113" t="s">
        <v>33</v>
      </c>
      <c r="AX601" s="113" t="s">
        <v>77</v>
      </c>
      <c r="AY601" s="135" t="s">
        <v>211</v>
      </c>
    </row>
    <row r="602" spans="2:65" s="137" customFormat="1">
      <c r="B602" s="141"/>
      <c r="D602" s="105" t="s">
        <v>365</v>
      </c>
      <c r="E602" s="142" t="s">
        <v>1</v>
      </c>
      <c r="F602" s="143" t="s">
        <v>368</v>
      </c>
      <c r="H602" s="144">
        <v>436.89600000000002</v>
      </c>
      <c r="I602" s="148"/>
      <c r="L602" s="141"/>
      <c r="M602" s="149"/>
      <c r="T602" s="151"/>
      <c r="AT602" s="142" t="s">
        <v>365</v>
      </c>
      <c r="AU602" s="142" t="s">
        <v>87</v>
      </c>
      <c r="AV602" s="137" t="s">
        <v>218</v>
      </c>
      <c r="AW602" s="137" t="s">
        <v>33</v>
      </c>
      <c r="AX602" s="137" t="s">
        <v>85</v>
      </c>
      <c r="AY602" s="142" t="s">
        <v>211</v>
      </c>
    </row>
    <row r="603" spans="2:65" s="1" customFormat="1" ht="16.5" customHeight="1">
      <c r="B603" s="12"/>
      <c r="C603" s="71" t="s">
        <v>935</v>
      </c>
      <c r="D603" s="71" t="s">
        <v>214</v>
      </c>
      <c r="E603" s="72" t="s">
        <v>936</v>
      </c>
      <c r="F603" s="73" t="s">
        <v>937</v>
      </c>
      <c r="G603" s="74" t="s">
        <v>357</v>
      </c>
      <c r="H603" s="75">
        <v>72.522999999999996</v>
      </c>
      <c r="I603" s="90">
        <v>4610</v>
      </c>
      <c r="J603" s="91">
        <f>ROUND(I603*H603,2)</f>
        <v>334331.03000000003</v>
      </c>
      <c r="K603" s="92"/>
      <c r="L603" s="12"/>
      <c r="M603" s="93" t="s">
        <v>1</v>
      </c>
      <c r="N603" s="94" t="s">
        <v>42</v>
      </c>
      <c r="P603" s="95">
        <f>O603*H603</f>
        <v>0</v>
      </c>
      <c r="Q603" s="95">
        <v>2.45343</v>
      </c>
      <c r="R603" s="95">
        <f>Q603*H603</f>
        <v>177.93010389</v>
      </c>
      <c r="S603" s="95">
        <v>0</v>
      </c>
      <c r="T603" s="99">
        <f>S603*H603</f>
        <v>0</v>
      </c>
      <c r="AR603" s="101" t="s">
        <v>218</v>
      </c>
      <c r="AT603" s="101" t="s">
        <v>214</v>
      </c>
      <c r="AU603" s="101" t="s">
        <v>87</v>
      </c>
      <c r="AY603" s="23" t="s">
        <v>211</v>
      </c>
      <c r="BE603" s="104">
        <f>IF(N603="základní",J603,0)</f>
        <v>334331.03000000003</v>
      </c>
      <c r="BF603" s="104">
        <f>IF(N603="snížená",J603,0)</f>
        <v>0</v>
      </c>
      <c r="BG603" s="104">
        <f>IF(N603="zákl. přenesená",J603,0)</f>
        <v>0</v>
      </c>
      <c r="BH603" s="104">
        <f>IF(N603="sníž. přenesená",J603,0)</f>
        <v>0</v>
      </c>
      <c r="BI603" s="104">
        <f>IF(N603="nulová",J603,0)</f>
        <v>0</v>
      </c>
      <c r="BJ603" s="23" t="s">
        <v>85</v>
      </c>
      <c r="BK603" s="104">
        <f>ROUND(I603*H603,2)</f>
        <v>334331.03000000003</v>
      </c>
      <c r="BL603" s="23" t="s">
        <v>218</v>
      </c>
      <c r="BM603" s="101" t="s">
        <v>938</v>
      </c>
    </row>
    <row r="604" spans="2:65" s="1" customFormat="1" ht="19.2">
      <c r="B604" s="12"/>
      <c r="D604" s="105" t="s">
        <v>227</v>
      </c>
      <c r="F604" s="106" t="s">
        <v>479</v>
      </c>
      <c r="I604" s="107"/>
      <c r="L604" s="12"/>
      <c r="M604" s="108"/>
      <c r="T604" s="111"/>
      <c r="AT604" s="23" t="s">
        <v>227</v>
      </c>
      <c r="AU604" s="23" t="s">
        <v>87</v>
      </c>
    </row>
    <row r="605" spans="2:65" s="136" customFormat="1">
      <c r="B605" s="138"/>
      <c r="D605" s="105" t="s">
        <v>365</v>
      </c>
      <c r="E605" s="139" t="s">
        <v>1</v>
      </c>
      <c r="F605" s="140" t="s">
        <v>866</v>
      </c>
      <c r="H605" s="139" t="s">
        <v>1</v>
      </c>
      <c r="I605" s="146"/>
      <c r="L605" s="138"/>
      <c r="M605" s="147"/>
      <c r="T605" s="150"/>
      <c r="AT605" s="139" t="s">
        <v>365</v>
      </c>
      <c r="AU605" s="139" t="s">
        <v>87</v>
      </c>
      <c r="AV605" s="136" t="s">
        <v>85</v>
      </c>
      <c r="AW605" s="136" t="s">
        <v>33</v>
      </c>
      <c r="AX605" s="136" t="s">
        <v>77</v>
      </c>
      <c r="AY605" s="139" t="s">
        <v>211</v>
      </c>
    </row>
    <row r="606" spans="2:65" s="113" customFormat="1">
      <c r="B606" s="119"/>
      <c r="D606" s="105" t="s">
        <v>365</v>
      </c>
      <c r="E606" s="135" t="s">
        <v>1</v>
      </c>
      <c r="F606" s="120" t="s">
        <v>939</v>
      </c>
      <c r="H606" s="121">
        <v>25.95</v>
      </c>
      <c r="I606" s="128"/>
      <c r="L606" s="119"/>
      <c r="M606" s="129"/>
      <c r="T606" s="133"/>
      <c r="AT606" s="135" t="s">
        <v>365</v>
      </c>
      <c r="AU606" s="135" t="s">
        <v>87</v>
      </c>
      <c r="AV606" s="113" t="s">
        <v>87</v>
      </c>
      <c r="AW606" s="113" t="s">
        <v>33</v>
      </c>
      <c r="AX606" s="113" t="s">
        <v>77</v>
      </c>
      <c r="AY606" s="135" t="s">
        <v>211</v>
      </c>
    </row>
    <row r="607" spans="2:65" s="113" customFormat="1">
      <c r="B607" s="119"/>
      <c r="D607" s="105" t="s">
        <v>365</v>
      </c>
      <c r="E607" s="135" t="s">
        <v>1</v>
      </c>
      <c r="F607" s="120" t="s">
        <v>940</v>
      </c>
      <c r="H607" s="121">
        <v>22.097999999999999</v>
      </c>
      <c r="I607" s="128"/>
      <c r="L607" s="119"/>
      <c r="M607" s="129"/>
      <c r="T607" s="133"/>
      <c r="AT607" s="135" t="s">
        <v>365</v>
      </c>
      <c r="AU607" s="135" t="s">
        <v>87</v>
      </c>
      <c r="AV607" s="113" t="s">
        <v>87</v>
      </c>
      <c r="AW607" s="113" t="s">
        <v>33</v>
      </c>
      <c r="AX607" s="113" t="s">
        <v>77</v>
      </c>
      <c r="AY607" s="135" t="s">
        <v>211</v>
      </c>
    </row>
    <row r="608" spans="2:65" s="113" customFormat="1">
      <c r="B608" s="119"/>
      <c r="D608" s="105" t="s">
        <v>365</v>
      </c>
      <c r="E608" s="135" t="s">
        <v>1</v>
      </c>
      <c r="F608" s="120" t="s">
        <v>941</v>
      </c>
      <c r="H608" s="121">
        <v>24.475000000000001</v>
      </c>
      <c r="I608" s="128"/>
      <c r="L608" s="119"/>
      <c r="M608" s="129"/>
      <c r="T608" s="133"/>
      <c r="AT608" s="135" t="s">
        <v>365</v>
      </c>
      <c r="AU608" s="135" t="s">
        <v>87</v>
      </c>
      <c r="AV608" s="113" t="s">
        <v>87</v>
      </c>
      <c r="AW608" s="113" t="s">
        <v>33</v>
      </c>
      <c r="AX608" s="113" t="s">
        <v>77</v>
      </c>
      <c r="AY608" s="135" t="s">
        <v>211</v>
      </c>
    </row>
    <row r="609" spans="2:65" s="137" customFormat="1">
      <c r="B609" s="141"/>
      <c r="D609" s="105" t="s">
        <v>365</v>
      </c>
      <c r="E609" s="142" t="s">
        <v>1</v>
      </c>
      <c r="F609" s="143" t="s">
        <v>368</v>
      </c>
      <c r="H609" s="144">
        <v>72.522999999999996</v>
      </c>
      <c r="I609" s="148"/>
      <c r="L609" s="141"/>
      <c r="M609" s="149"/>
      <c r="T609" s="151"/>
      <c r="AT609" s="142" t="s">
        <v>365</v>
      </c>
      <c r="AU609" s="142" t="s">
        <v>87</v>
      </c>
      <c r="AV609" s="137" t="s">
        <v>218</v>
      </c>
      <c r="AW609" s="137" t="s">
        <v>33</v>
      </c>
      <c r="AX609" s="137" t="s">
        <v>85</v>
      </c>
      <c r="AY609" s="142" t="s">
        <v>211</v>
      </c>
    </row>
    <row r="610" spans="2:65" s="1" customFormat="1" ht="24.15" customHeight="1">
      <c r="B610" s="12"/>
      <c r="C610" s="71" t="s">
        <v>942</v>
      </c>
      <c r="D610" s="71" t="s">
        <v>214</v>
      </c>
      <c r="E610" s="72" t="s">
        <v>943</v>
      </c>
      <c r="F610" s="73" t="s">
        <v>944</v>
      </c>
      <c r="G610" s="74" t="s">
        <v>357</v>
      </c>
      <c r="H610" s="75">
        <v>19.641999999999999</v>
      </c>
      <c r="I610" s="90">
        <v>4610</v>
      </c>
      <c r="J610" s="91">
        <f>ROUND(I610*H610,2)</f>
        <v>90549.62</v>
      </c>
      <c r="K610" s="92"/>
      <c r="L610" s="12"/>
      <c r="M610" s="93" t="s">
        <v>1</v>
      </c>
      <c r="N610" s="94" t="s">
        <v>42</v>
      </c>
      <c r="P610" s="95">
        <f>O610*H610</f>
        <v>0</v>
      </c>
      <c r="Q610" s="95">
        <v>2.45343</v>
      </c>
      <c r="R610" s="95">
        <f>Q610*H610</f>
        <v>48.190272059999998</v>
      </c>
      <c r="S610" s="95">
        <v>0</v>
      </c>
      <c r="T610" s="99">
        <f>S610*H610</f>
        <v>0</v>
      </c>
      <c r="AR610" s="101" t="s">
        <v>218</v>
      </c>
      <c r="AT610" s="101" t="s">
        <v>214</v>
      </c>
      <c r="AU610" s="101" t="s">
        <v>87</v>
      </c>
      <c r="AY610" s="23" t="s">
        <v>211</v>
      </c>
      <c r="BE610" s="104">
        <f>IF(N610="základní",J610,0)</f>
        <v>90549.62</v>
      </c>
      <c r="BF610" s="104">
        <f>IF(N610="snížená",J610,0)</f>
        <v>0</v>
      </c>
      <c r="BG610" s="104">
        <f>IF(N610="zákl. přenesená",J610,0)</f>
        <v>0</v>
      </c>
      <c r="BH610" s="104">
        <f>IF(N610="sníž. přenesená",J610,0)</f>
        <v>0</v>
      </c>
      <c r="BI610" s="104">
        <f>IF(N610="nulová",J610,0)</f>
        <v>0</v>
      </c>
      <c r="BJ610" s="23" t="s">
        <v>85</v>
      </c>
      <c r="BK610" s="104">
        <f>ROUND(I610*H610,2)</f>
        <v>90549.62</v>
      </c>
      <c r="BL610" s="23" t="s">
        <v>218</v>
      </c>
      <c r="BM610" s="101" t="s">
        <v>945</v>
      </c>
    </row>
    <row r="611" spans="2:65" s="1" customFormat="1" ht="19.2">
      <c r="B611" s="12"/>
      <c r="D611" s="105" t="s">
        <v>227</v>
      </c>
      <c r="F611" s="106" t="s">
        <v>479</v>
      </c>
      <c r="I611" s="107"/>
      <c r="L611" s="12"/>
      <c r="M611" s="108"/>
      <c r="T611" s="111"/>
      <c r="AT611" s="23" t="s">
        <v>227</v>
      </c>
      <c r="AU611" s="23" t="s">
        <v>87</v>
      </c>
    </row>
    <row r="612" spans="2:65" s="113" customFormat="1">
      <c r="B612" s="119"/>
      <c r="D612" s="105" t="s">
        <v>365</v>
      </c>
      <c r="E612" s="135" t="s">
        <v>1</v>
      </c>
      <c r="F612" s="120" t="s">
        <v>946</v>
      </c>
      <c r="H612" s="121">
        <v>6.0549999999999997</v>
      </c>
      <c r="I612" s="128"/>
      <c r="L612" s="119"/>
      <c r="M612" s="129"/>
      <c r="T612" s="133"/>
      <c r="AT612" s="135" t="s">
        <v>365</v>
      </c>
      <c r="AU612" s="135" t="s">
        <v>87</v>
      </c>
      <c r="AV612" s="113" t="s">
        <v>87</v>
      </c>
      <c r="AW612" s="113" t="s">
        <v>33</v>
      </c>
      <c r="AX612" s="113" t="s">
        <v>77</v>
      </c>
      <c r="AY612" s="135" t="s">
        <v>211</v>
      </c>
    </row>
    <row r="613" spans="2:65" s="113" customFormat="1">
      <c r="B613" s="119"/>
      <c r="D613" s="105" t="s">
        <v>365</v>
      </c>
      <c r="E613" s="135" t="s">
        <v>1</v>
      </c>
      <c r="F613" s="120" t="s">
        <v>947</v>
      </c>
      <c r="H613" s="121">
        <v>3.1120000000000001</v>
      </c>
      <c r="I613" s="128"/>
      <c r="L613" s="119"/>
      <c r="M613" s="129"/>
      <c r="T613" s="133"/>
      <c r="AT613" s="135" t="s">
        <v>365</v>
      </c>
      <c r="AU613" s="135" t="s">
        <v>87</v>
      </c>
      <c r="AV613" s="113" t="s">
        <v>87</v>
      </c>
      <c r="AW613" s="113" t="s">
        <v>33</v>
      </c>
      <c r="AX613" s="113" t="s">
        <v>77</v>
      </c>
      <c r="AY613" s="135" t="s">
        <v>211</v>
      </c>
    </row>
    <row r="614" spans="2:65" s="113" customFormat="1">
      <c r="B614" s="119"/>
      <c r="D614" s="105" t="s">
        <v>365</v>
      </c>
      <c r="E614" s="135" t="s">
        <v>1</v>
      </c>
      <c r="F614" s="120" t="s">
        <v>948</v>
      </c>
      <c r="H614" s="121">
        <v>5.1219999999999999</v>
      </c>
      <c r="I614" s="128"/>
      <c r="L614" s="119"/>
      <c r="M614" s="129"/>
      <c r="T614" s="133"/>
      <c r="AT614" s="135" t="s">
        <v>365</v>
      </c>
      <c r="AU614" s="135" t="s">
        <v>87</v>
      </c>
      <c r="AV614" s="113" t="s">
        <v>87</v>
      </c>
      <c r="AW614" s="113" t="s">
        <v>33</v>
      </c>
      <c r="AX614" s="113" t="s">
        <v>77</v>
      </c>
      <c r="AY614" s="135" t="s">
        <v>211</v>
      </c>
    </row>
    <row r="615" spans="2:65" s="113" customFormat="1">
      <c r="B615" s="119"/>
      <c r="D615" s="105" t="s">
        <v>365</v>
      </c>
      <c r="E615" s="135" t="s">
        <v>1</v>
      </c>
      <c r="F615" s="120" t="s">
        <v>949</v>
      </c>
      <c r="H615" s="121">
        <v>5.3529999999999998</v>
      </c>
      <c r="I615" s="128"/>
      <c r="L615" s="119"/>
      <c r="M615" s="129"/>
      <c r="T615" s="133"/>
      <c r="AT615" s="135" t="s">
        <v>365</v>
      </c>
      <c r="AU615" s="135" t="s">
        <v>87</v>
      </c>
      <c r="AV615" s="113" t="s">
        <v>87</v>
      </c>
      <c r="AW615" s="113" t="s">
        <v>33</v>
      </c>
      <c r="AX615" s="113" t="s">
        <v>77</v>
      </c>
      <c r="AY615" s="135" t="s">
        <v>211</v>
      </c>
    </row>
    <row r="616" spans="2:65" s="137" customFormat="1">
      <c r="B616" s="141"/>
      <c r="D616" s="105" t="s">
        <v>365</v>
      </c>
      <c r="E616" s="142" t="s">
        <v>1</v>
      </c>
      <c r="F616" s="143" t="s">
        <v>368</v>
      </c>
      <c r="H616" s="144">
        <v>19.641999999999999</v>
      </c>
      <c r="I616" s="148"/>
      <c r="L616" s="141"/>
      <c r="M616" s="149"/>
      <c r="T616" s="151"/>
      <c r="AT616" s="142" t="s">
        <v>365</v>
      </c>
      <c r="AU616" s="142" t="s">
        <v>87</v>
      </c>
      <c r="AV616" s="137" t="s">
        <v>218</v>
      </c>
      <c r="AW616" s="137" t="s">
        <v>33</v>
      </c>
      <c r="AX616" s="137" t="s">
        <v>85</v>
      </c>
      <c r="AY616" s="142" t="s">
        <v>211</v>
      </c>
    </row>
    <row r="617" spans="2:65" s="1" customFormat="1" ht="24.15" customHeight="1">
      <c r="B617" s="12"/>
      <c r="C617" s="71" t="s">
        <v>950</v>
      </c>
      <c r="D617" s="71" t="s">
        <v>214</v>
      </c>
      <c r="E617" s="72" t="s">
        <v>951</v>
      </c>
      <c r="F617" s="73" t="s">
        <v>952</v>
      </c>
      <c r="G617" s="74" t="s">
        <v>357</v>
      </c>
      <c r="H617" s="75">
        <v>12.191000000000001</v>
      </c>
      <c r="I617" s="90">
        <v>8000</v>
      </c>
      <c r="J617" s="91">
        <f>ROUND(I617*H617,2)</f>
        <v>97528</v>
      </c>
      <c r="K617" s="92"/>
      <c r="L617" s="12"/>
      <c r="M617" s="93" t="s">
        <v>1</v>
      </c>
      <c r="N617" s="94" t="s">
        <v>42</v>
      </c>
      <c r="P617" s="95">
        <f>O617*H617</f>
        <v>0</v>
      </c>
      <c r="Q617" s="95">
        <v>2.45329</v>
      </c>
      <c r="R617" s="95">
        <f>Q617*H617</f>
        <v>29.908058390000001</v>
      </c>
      <c r="S617" s="95">
        <v>0</v>
      </c>
      <c r="T617" s="99">
        <f>S617*H617</f>
        <v>0</v>
      </c>
      <c r="AR617" s="101" t="s">
        <v>218</v>
      </c>
      <c r="AT617" s="101" t="s">
        <v>214</v>
      </c>
      <c r="AU617" s="101" t="s">
        <v>87</v>
      </c>
      <c r="AY617" s="23" t="s">
        <v>211</v>
      </c>
      <c r="BE617" s="104">
        <f>IF(N617="základní",J617,0)</f>
        <v>97528</v>
      </c>
      <c r="BF617" s="104">
        <f>IF(N617="snížená",J617,0)</f>
        <v>0</v>
      </c>
      <c r="BG617" s="104">
        <f>IF(N617="zákl. přenesená",J617,0)</f>
        <v>0</v>
      </c>
      <c r="BH617" s="104">
        <f>IF(N617="sníž. přenesená",J617,0)</f>
        <v>0</v>
      </c>
      <c r="BI617" s="104">
        <f>IF(N617="nulová",J617,0)</f>
        <v>0</v>
      </c>
      <c r="BJ617" s="23" t="s">
        <v>85</v>
      </c>
      <c r="BK617" s="104">
        <f>ROUND(I617*H617,2)</f>
        <v>97528</v>
      </c>
      <c r="BL617" s="23" t="s">
        <v>218</v>
      </c>
      <c r="BM617" s="101" t="s">
        <v>953</v>
      </c>
    </row>
    <row r="618" spans="2:65" s="113" customFormat="1">
      <c r="B618" s="119"/>
      <c r="D618" s="105" t="s">
        <v>365</v>
      </c>
      <c r="E618" s="135" t="s">
        <v>1</v>
      </c>
      <c r="F618" s="120" t="s">
        <v>954</v>
      </c>
      <c r="H618" s="121">
        <v>3.2850000000000001</v>
      </c>
      <c r="I618" s="128"/>
      <c r="L618" s="119"/>
      <c r="M618" s="129"/>
      <c r="T618" s="133"/>
      <c r="AT618" s="135" t="s">
        <v>365</v>
      </c>
      <c r="AU618" s="135" t="s">
        <v>87</v>
      </c>
      <c r="AV618" s="113" t="s">
        <v>87</v>
      </c>
      <c r="AW618" s="113" t="s">
        <v>33</v>
      </c>
      <c r="AX618" s="113" t="s">
        <v>77</v>
      </c>
      <c r="AY618" s="135" t="s">
        <v>211</v>
      </c>
    </row>
    <row r="619" spans="2:65" s="113" customFormat="1">
      <c r="B619" s="119"/>
      <c r="D619" s="105" t="s">
        <v>365</v>
      </c>
      <c r="E619" s="135" t="s">
        <v>1</v>
      </c>
      <c r="F619" s="120" t="s">
        <v>955</v>
      </c>
      <c r="H619" s="121">
        <v>2.7789999999999999</v>
      </c>
      <c r="I619" s="128"/>
      <c r="L619" s="119"/>
      <c r="M619" s="129"/>
      <c r="T619" s="133"/>
      <c r="AT619" s="135" t="s">
        <v>365</v>
      </c>
      <c r="AU619" s="135" t="s">
        <v>87</v>
      </c>
      <c r="AV619" s="113" t="s">
        <v>87</v>
      </c>
      <c r="AW619" s="113" t="s">
        <v>33</v>
      </c>
      <c r="AX619" s="113" t="s">
        <v>77</v>
      </c>
      <c r="AY619" s="135" t="s">
        <v>211</v>
      </c>
    </row>
    <row r="620" spans="2:65" s="113" customFormat="1">
      <c r="B620" s="119"/>
      <c r="D620" s="105" t="s">
        <v>365</v>
      </c>
      <c r="E620" s="135" t="s">
        <v>1</v>
      </c>
      <c r="F620" s="120" t="s">
        <v>956</v>
      </c>
      <c r="H620" s="121">
        <v>2.7349999999999999</v>
      </c>
      <c r="I620" s="128"/>
      <c r="L620" s="119"/>
      <c r="M620" s="129"/>
      <c r="T620" s="133"/>
      <c r="AT620" s="135" t="s">
        <v>365</v>
      </c>
      <c r="AU620" s="135" t="s">
        <v>87</v>
      </c>
      <c r="AV620" s="113" t="s">
        <v>87</v>
      </c>
      <c r="AW620" s="113" t="s">
        <v>33</v>
      </c>
      <c r="AX620" s="113" t="s">
        <v>77</v>
      </c>
      <c r="AY620" s="135" t="s">
        <v>211</v>
      </c>
    </row>
    <row r="621" spans="2:65" s="113" customFormat="1">
      <c r="B621" s="119"/>
      <c r="D621" s="105" t="s">
        <v>365</v>
      </c>
      <c r="E621" s="135" t="s">
        <v>1</v>
      </c>
      <c r="F621" s="120" t="s">
        <v>957</v>
      </c>
      <c r="H621" s="121">
        <v>3.3919999999999999</v>
      </c>
      <c r="I621" s="128"/>
      <c r="L621" s="119"/>
      <c r="M621" s="129"/>
      <c r="T621" s="133"/>
      <c r="AT621" s="135" t="s">
        <v>365</v>
      </c>
      <c r="AU621" s="135" t="s">
        <v>87</v>
      </c>
      <c r="AV621" s="113" t="s">
        <v>87</v>
      </c>
      <c r="AW621" s="113" t="s">
        <v>33</v>
      </c>
      <c r="AX621" s="113" t="s">
        <v>77</v>
      </c>
      <c r="AY621" s="135" t="s">
        <v>211</v>
      </c>
    </row>
    <row r="622" spans="2:65" s="137" customFormat="1">
      <c r="B622" s="141"/>
      <c r="D622" s="105" t="s">
        <v>365</v>
      </c>
      <c r="E622" s="142" t="s">
        <v>1</v>
      </c>
      <c r="F622" s="143" t="s">
        <v>368</v>
      </c>
      <c r="H622" s="144">
        <v>12.191000000000001</v>
      </c>
      <c r="I622" s="148"/>
      <c r="L622" s="141"/>
      <c r="M622" s="149"/>
      <c r="T622" s="151"/>
      <c r="AT622" s="142" t="s">
        <v>365</v>
      </c>
      <c r="AU622" s="142" t="s">
        <v>87</v>
      </c>
      <c r="AV622" s="137" t="s">
        <v>218</v>
      </c>
      <c r="AW622" s="137" t="s">
        <v>33</v>
      </c>
      <c r="AX622" s="137" t="s">
        <v>85</v>
      </c>
      <c r="AY622" s="142" t="s">
        <v>211</v>
      </c>
    </row>
    <row r="623" spans="2:65" s="1" customFormat="1" ht="16.5" customHeight="1">
      <c r="B623" s="12"/>
      <c r="C623" s="71" t="s">
        <v>958</v>
      </c>
      <c r="D623" s="71" t="s">
        <v>214</v>
      </c>
      <c r="E623" s="72" t="s">
        <v>959</v>
      </c>
      <c r="F623" s="73" t="s">
        <v>960</v>
      </c>
      <c r="G623" s="74" t="s">
        <v>357</v>
      </c>
      <c r="H623" s="75">
        <v>105.435</v>
      </c>
      <c r="I623" s="90">
        <v>4890</v>
      </c>
      <c r="J623" s="91">
        <f>ROUND(I623*H623,2)</f>
        <v>515577.15</v>
      </c>
      <c r="K623" s="92"/>
      <c r="L623" s="12"/>
      <c r="M623" s="93" t="s">
        <v>1</v>
      </c>
      <c r="N623" s="94" t="s">
        <v>42</v>
      </c>
      <c r="P623" s="95">
        <f>O623*H623</f>
        <v>0</v>
      </c>
      <c r="Q623" s="95">
        <v>2.45343</v>
      </c>
      <c r="R623" s="95">
        <f>Q623*H623</f>
        <v>258.67739204999998</v>
      </c>
      <c r="S623" s="95">
        <v>0</v>
      </c>
      <c r="T623" s="99">
        <f>S623*H623</f>
        <v>0</v>
      </c>
      <c r="AR623" s="101" t="s">
        <v>218</v>
      </c>
      <c r="AT623" s="101" t="s">
        <v>214</v>
      </c>
      <c r="AU623" s="101" t="s">
        <v>87</v>
      </c>
      <c r="AY623" s="23" t="s">
        <v>211</v>
      </c>
      <c r="BE623" s="104">
        <f>IF(N623="základní",J623,0)</f>
        <v>515577.15</v>
      </c>
      <c r="BF623" s="104">
        <f>IF(N623="snížená",J623,0)</f>
        <v>0</v>
      </c>
      <c r="BG623" s="104">
        <f>IF(N623="zákl. přenesená",J623,0)</f>
        <v>0</v>
      </c>
      <c r="BH623" s="104">
        <f>IF(N623="sníž. přenesená",J623,0)</f>
        <v>0</v>
      </c>
      <c r="BI623" s="104">
        <f>IF(N623="nulová",J623,0)</f>
        <v>0</v>
      </c>
      <c r="BJ623" s="23" t="s">
        <v>85</v>
      </c>
      <c r="BK623" s="104">
        <f>ROUND(I623*H623,2)</f>
        <v>515577.15</v>
      </c>
      <c r="BL623" s="23" t="s">
        <v>218</v>
      </c>
      <c r="BM623" s="101" t="s">
        <v>961</v>
      </c>
    </row>
    <row r="624" spans="2:65" s="1" customFormat="1" ht="19.2">
      <c r="B624" s="12"/>
      <c r="D624" s="105" t="s">
        <v>227</v>
      </c>
      <c r="F624" s="106" t="s">
        <v>479</v>
      </c>
      <c r="I624" s="107"/>
      <c r="L624" s="12"/>
      <c r="M624" s="108"/>
      <c r="T624" s="111"/>
      <c r="AT624" s="23" t="s">
        <v>227</v>
      </c>
      <c r="AU624" s="23" t="s">
        <v>87</v>
      </c>
    </row>
    <row r="625" spans="2:65" s="113" customFormat="1">
      <c r="B625" s="119"/>
      <c r="D625" s="105" t="s">
        <v>365</v>
      </c>
      <c r="E625" s="135" t="s">
        <v>1</v>
      </c>
      <c r="F625" s="120" t="s">
        <v>962</v>
      </c>
      <c r="H625" s="121">
        <v>105.435</v>
      </c>
      <c r="I625" s="128"/>
      <c r="L625" s="119"/>
      <c r="M625" s="129"/>
      <c r="T625" s="133"/>
      <c r="AT625" s="135" t="s">
        <v>365</v>
      </c>
      <c r="AU625" s="135" t="s">
        <v>87</v>
      </c>
      <c r="AV625" s="113" t="s">
        <v>87</v>
      </c>
      <c r="AW625" s="113" t="s">
        <v>33</v>
      </c>
      <c r="AX625" s="113" t="s">
        <v>85</v>
      </c>
      <c r="AY625" s="135" t="s">
        <v>211</v>
      </c>
    </row>
    <row r="626" spans="2:65" s="1" customFormat="1" ht="16.5" customHeight="1">
      <c r="B626" s="12"/>
      <c r="C626" s="71" t="s">
        <v>963</v>
      </c>
      <c r="D626" s="71" t="s">
        <v>214</v>
      </c>
      <c r="E626" s="72" t="s">
        <v>964</v>
      </c>
      <c r="F626" s="73" t="s">
        <v>965</v>
      </c>
      <c r="G626" s="74" t="s">
        <v>357</v>
      </c>
      <c r="H626" s="75">
        <v>98.572999999999993</v>
      </c>
      <c r="I626" s="90">
        <v>4890</v>
      </c>
      <c r="J626" s="91">
        <f>ROUND(I626*H626,2)</f>
        <v>482021.97</v>
      </c>
      <c r="K626" s="92"/>
      <c r="L626" s="12"/>
      <c r="M626" s="93" t="s">
        <v>1</v>
      </c>
      <c r="N626" s="94" t="s">
        <v>42</v>
      </c>
      <c r="P626" s="95">
        <f>O626*H626</f>
        <v>0</v>
      </c>
      <c r="Q626" s="95">
        <v>2.45343</v>
      </c>
      <c r="R626" s="95">
        <f>Q626*H626</f>
        <v>241.84195539000001</v>
      </c>
      <c r="S626" s="95">
        <v>0</v>
      </c>
      <c r="T626" s="99">
        <f>S626*H626</f>
        <v>0</v>
      </c>
      <c r="AR626" s="101" t="s">
        <v>218</v>
      </c>
      <c r="AT626" s="101" t="s">
        <v>214</v>
      </c>
      <c r="AU626" s="101" t="s">
        <v>87</v>
      </c>
      <c r="AY626" s="23" t="s">
        <v>211</v>
      </c>
      <c r="BE626" s="104">
        <f>IF(N626="základní",J626,0)</f>
        <v>482021.97</v>
      </c>
      <c r="BF626" s="104">
        <f>IF(N626="snížená",J626,0)</f>
        <v>0</v>
      </c>
      <c r="BG626" s="104">
        <f>IF(N626="zákl. přenesená",J626,0)</f>
        <v>0</v>
      </c>
      <c r="BH626" s="104">
        <f>IF(N626="sníž. přenesená",J626,0)</f>
        <v>0</v>
      </c>
      <c r="BI626" s="104">
        <f>IF(N626="nulová",J626,0)</f>
        <v>0</v>
      </c>
      <c r="BJ626" s="23" t="s">
        <v>85</v>
      </c>
      <c r="BK626" s="104">
        <f>ROUND(I626*H626,2)</f>
        <v>482021.97</v>
      </c>
      <c r="BL626" s="23" t="s">
        <v>218</v>
      </c>
      <c r="BM626" s="101" t="s">
        <v>966</v>
      </c>
    </row>
    <row r="627" spans="2:65" s="1" customFormat="1" ht="19.2">
      <c r="B627" s="12"/>
      <c r="D627" s="105" t="s">
        <v>227</v>
      </c>
      <c r="F627" s="106" t="s">
        <v>479</v>
      </c>
      <c r="I627" s="107"/>
      <c r="L627" s="12"/>
      <c r="M627" s="108"/>
      <c r="T627" s="111"/>
      <c r="AT627" s="23" t="s">
        <v>227</v>
      </c>
      <c r="AU627" s="23" t="s">
        <v>87</v>
      </c>
    </row>
    <row r="628" spans="2:65" s="113" customFormat="1">
      <c r="B628" s="119"/>
      <c r="D628" s="105" t="s">
        <v>365</v>
      </c>
      <c r="E628" s="135" t="s">
        <v>1</v>
      </c>
      <c r="F628" s="120" t="s">
        <v>967</v>
      </c>
      <c r="H628" s="121">
        <v>98.572999999999993</v>
      </c>
      <c r="I628" s="128"/>
      <c r="L628" s="119"/>
      <c r="M628" s="129"/>
      <c r="T628" s="133"/>
      <c r="AT628" s="135" t="s">
        <v>365</v>
      </c>
      <c r="AU628" s="135" t="s">
        <v>87</v>
      </c>
      <c r="AV628" s="113" t="s">
        <v>87</v>
      </c>
      <c r="AW628" s="113" t="s">
        <v>33</v>
      </c>
      <c r="AX628" s="113" t="s">
        <v>85</v>
      </c>
      <c r="AY628" s="135" t="s">
        <v>211</v>
      </c>
    </row>
    <row r="629" spans="2:65" s="1" customFormat="1" ht="24.15" customHeight="1">
      <c r="B629" s="12"/>
      <c r="C629" s="71" t="s">
        <v>968</v>
      </c>
      <c r="D629" s="71" t="s">
        <v>214</v>
      </c>
      <c r="E629" s="72" t="s">
        <v>969</v>
      </c>
      <c r="F629" s="73" t="s">
        <v>970</v>
      </c>
      <c r="G629" s="74" t="s">
        <v>279</v>
      </c>
      <c r="H629" s="75">
        <v>4577.1530000000002</v>
      </c>
      <c r="I629" s="90">
        <v>780</v>
      </c>
      <c r="J629" s="91">
        <f>ROUND(I629*H629,2)</f>
        <v>3570179.34</v>
      </c>
      <c r="K629" s="92"/>
      <c r="L629" s="12"/>
      <c r="M629" s="93" t="s">
        <v>1</v>
      </c>
      <c r="N629" s="94" t="s">
        <v>42</v>
      </c>
      <c r="P629" s="95">
        <f>O629*H629</f>
        <v>0</v>
      </c>
      <c r="Q629" s="95">
        <v>5.3299999999999997E-3</v>
      </c>
      <c r="R629" s="95">
        <f>Q629*H629</f>
        <v>24.396225489999999</v>
      </c>
      <c r="S629" s="95">
        <v>0</v>
      </c>
      <c r="T629" s="99">
        <f>S629*H629</f>
        <v>0</v>
      </c>
      <c r="AR629" s="101" t="s">
        <v>218</v>
      </c>
      <c r="AT629" s="101" t="s">
        <v>214</v>
      </c>
      <c r="AU629" s="101" t="s">
        <v>87</v>
      </c>
      <c r="AY629" s="23" t="s">
        <v>211</v>
      </c>
      <c r="BE629" s="104">
        <f>IF(N629="základní",J629,0)</f>
        <v>3570179.34</v>
      </c>
      <c r="BF629" s="104">
        <f>IF(N629="snížená",J629,0)</f>
        <v>0</v>
      </c>
      <c r="BG629" s="104">
        <f>IF(N629="zákl. přenesená",J629,0)</f>
        <v>0</v>
      </c>
      <c r="BH629" s="104">
        <f>IF(N629="sníž. přenesená",J629,0)</f>
        <v>0</v>
      </c>
      <c r="BI629" s="104">
        <f>IF(N629="nulová",J629,0)</f>
        <v>0</v>
      </c>
      <c r="BJ629" s="23" t="s">
        <v>85</v>
      </c>
      <c r="BK629" s="104">
        <f>ROUND(I629*H629,2)</f>
        <v>3570179.34</v>
      </c>
      <c r="BL629" s="23" t="s">
        <v>218</v>
      </c>
      <c r="BM629" s="101" t="s">
        <v>971</v>
      </c>
    </row>
    <row r="630" spans="2:65" s="136" customFormat="1">
      <c r="B630" s="138"/>
      <c r="D630" s="105" t="s">
        <v>365</v>
      </c>
      <c r="E630" s="139" t="s">
        <v>1</v>
      </c>
      <c r="F630" s="140" t="s">
        <v>972</v>
      </c>
      <c r="H630" s="139" t="s">
        <v>1</v>
      </c>
      <c r="I630" s="146"/>
      <c r="L630" s="138"/>
      <c r="M630" s="147"/>
      <c r="T630" s="150"/>
      <c r="AT630" s="139" t="s">
        <v>365</v>
      </c>
      <c r="AU630" s="139" t="s">
        <v>87</v>
      </c>
      <c r="AV630" s="136" t="s">
        <v>85</v>
      </c>
      <c r="AW630" s="136" t="s">
        <v>33</v>
      </c>
      <c r="AX630" s="136" t="s">
        <v>77</v>
      </c>
      <c r="AY630" s="139" t="s">
        <v>211</v>
      </c>
    </row>
    <row r="631" spans="2:65" s="113" customFormat="1">
      <c r="B631" s="119"/>
      <c r="D631" s="105" t="s">
        <v>365</v>
      </c>
      <c r="E631" s="135" t="s">
        <v>1</v>
      </c>
      <c r="F631" s="120" t="s">
        <v>973</v>
      </c>
      <c r="H631" s="121">
        <v>334.94400000000002</v>
      </c>
      <c r="I631" s="128"/>
      <c r="L631" s="119"/>
      <c r="M631" s="129"/>
      <c r="T631" s="133"/>
      <c r="AT631" s="135" t="s">
        <v>365</v>
      </c>
      <c r="AU631" s="135" t="s">
        <v>87</v>
      </c>
      <c r="AV631" s="113" t="s">
        <v>87</v>
      </c>
      <c r="AW631" s="113" t="s">
        <v>33</v>
      </c>
      <c r="AX631" s="113" t="s">
        <v>77</v>
      </c>
      <c r="AY631" s="135" t="s">
        <v>211</v>
      </c>
    </row>
    <row r="632" spans="2:65" s="113" customFormat="1">
      <c r="B632" s="119"/>
      <c r="D632" s="105" t="s">
        <v>365</v>
      </c>
      <c r="E632" s="135" t="s">
        <v>1</v>
      </c>
      <c r="F632" s="120" t="s">
        <v>974</v>
      </c>
      <c r="H632" s="121">
        <v>334.94400000000002</v>
      </c>
      <c r="I632" s="128"/>
      <c r="L632" s="119"/>
      <c r="M632" s="129"/>
      <c r="T632" s="133"/>
      <c r="AT632" s="135" t="s">
        <v>365</v>
      </c>
      <c r="AU632" s="135" t="s">
        <v>87</v>
      </c>
      <c r="AV632" s="113" t="s">
        <v>87</v>
      </c>
      <c r="AW632" s="113" t="s">
        <v>33</v>
      </c>
      <c r="AX632" s="113" t="s">
        <v>77</v>
      </c>
      <c r="AY632" s="135" t="s">
        <v>211</v>
      </c>
    </row>
    <row r="633" spans="2:65" s="113" customFormat="1">
      <c r="B633" s="119"/>
      <c r="D633" s="105" t="s">
        <v>365</v>
      </c>
      <c r="E633" s="135" t="s">
        <v>1</v>
      </c>
      <c r="F633" s="120" t="s">
        <v>975</v>
      </c>
      <c r="H633" s="121">
        <v>274.40600000000001</v>
      </c>
      <c r="I633" s="128"/>
      <c r="L633" s="119"/>
      <c r="M633" s="129"/>
      <c r="T633" s="133"/>
      <c r="AT633" s="135" t="s">
        <v>365</v>
      </c>
      <c r="AU633" s="135" t="s">
        <v>87</v>
      </c>
      <c r="AV633" s="113" t="s">
        <v>87</v>
      </c>
      <c r="AW633" s="113" t="s">
        <v>33</v>
      </c>
      <c r="AX633" s="113" t="s">
        <v>77</v>
      </c>
      <c r="AY633" s="135" t="s">
        <v>211</v>
      </c>
    </row>
    <row r="634" spans="2:65" s="113" customFormat="1">
      <c r="B634" s="119"/>
      <c r="D634" s="105" t="s">
        <v>365</v>
      </c>
      <c r="E634" s="135" t="s">
        <v>1</v>
      </c>
      <c r="F634" s="120" t="s">
        <v>976</v>
      </c>
      <c r="H634" s="121">
        <v>337.75599999999997</v>
      </c>
      <c r="I634" s="128"/>
      <c r="L634" s="119"/>
      <c r="M634" s="129"/>
      <c r="T634" s="133"/>
      <c r="AT634" s="135" t="s">
        <v>365</v>
      </c>
      <c r="AU634" s="135" t="s">
        <v>87</v>
      </c>
      <c r="AV634" s="113" t="s">
        <v>87</v>
      </c>
      <c r="AW634" s="113" t="s">
        <v>33</v>
      </c>
      <c r="AX634" s="113" t="s">
        <v>77</v>
      </c>
      <c r="AY634" s="135" t="s">
        <v>211</v>
      </c>
    </row>
    <row r="635" spans="2:65" s="154" customFormat="1">
      <c r="B635" s="156"/>
      <c r="D635" s="105" t="s">
        <v>365</v>
      </c>
      <c r="E635" s="157" t="s">
        <v>1</v>
      </c>
      <c r="F635" s="158" t="s">
        <v>741</v>
      </c>
      <c r="H635" s="159">
        <v>1282.05</v>
      </c>
      <c r="I635" s="160"/>
      <c r="L635" s="156"/>
      <c r="M635" s="161"/>
      <c r="T635" s="162"/>
      <c r="AT635" s="157" t="s">
        <v>365</v>
      </c>
      <c r="AU635" s="157" t="s">
        <v>87</v>
      </c>
      <c r="AV635" s="154" t="s">
        <v>137</v>
      </c>
      <c r="AW635" s="154" t="s">
        <v>33</v>
      </c>
      <c r="AX635" s="154" t="s">
        <v>77</v>
      </c>
      <c r="AY635" s="157" t="s">
        <v>211</v>
      </c>
    </row>
    <row r="636" spans="2:65" s="136" customFormat="1">
      <c r="B636" s="138"/>
      <c r="D636" s="105" t="s">
        <v>365</v>
      </c>
      <c r="E636" s="139" t="s">
        <v>1</v>
      </c>
      <c r="F636" s="140" t="s">
        <v>977</v>
      </c>
      <c r="H636" s="139" t="s">
        <v>1</v>
      </c>
      <c r="I636" s="146"/>
      <c r="L636" s="138"/>
      <c r="M636" s="147"/>
      <c r="T636" s="150"/>
      <c r="AT636" s="139" t="s">
        <v>365</v>
      </c>
      <c r="AU636" s="139" t="s">
        <v>87</v>
      </c>
      <c r="AV636" s="136" t="s">
        <v>85</v>
      </c>
      <c r="AW636" s="136" t="s">
        <v>33</v>
      </c>
      <c r="AX636" s="136" t="s">
        <v>77</v>
      </c>
      <c r="AY636" s="139" t="s">
        <v>211</v>
      </c>
    </row>
    <row r="637" spans="2:65" s="113" customFormat="1">
      <c r="B637" s="119"/>
      <c r="D637" s="105" t="s">
        <v>365</v>
      </c>
      <c r="E637" s="135" t="s">
        <v>1</v>
      </c>
      <c r="F637" s="120" t="s">
        <v>978</v>
      </c>
      <c r="H637" s="121">
        <v>520.46699999999998</v>
      </c>
      <c r="I637" s="128"/>
      <c r="L637" s="119"/>
      <c r="M637" s="129"/>
      <c r="T637" s="133"/>
      <c r="AT637" s="135" t="s">
        <v>365</v>
      </c>
      <c r="AU637" s="135" t="s">
        <v>87</v>
      </c>
      <c r="AV637" s="113" t="s">
        <v>87</v>
      </c>
      <c r="AW637" s="113" t="s">
        <v>33</v>
      </c>
      <c r="AX637" s="113" t="s">
        <v>77</v>
      </c>
      <c r="AY637" s="135" t="s">
        <v>211</v>
      </c>
    </row>
    <row r="638" spans="2:65" s="113" customFormat="1">
      <c r="B638" s="119"/>
      <c r="D638" s="105" t="s">
        <v>365</v>
      </c>
      <c r="E638" s="135" t="s">
        <v>1</v>
      </c>
      <c r="F638" s="120" t="s">
        <v>979</v>
      </c>
      <c r="H638" s="121">
        <v>520.46699999999998</v>
      </c>
      <c r="I638" s="128"/>
      <c r="L638" s="119"/>
      <c r="M638" s="129"/>
      <c r="T638" s="133"/>
      <c r="AT638" s="135" t="s">
        <v>365</v>
      </c>
      <c r="AU638" s="135" t="s">
        <v>87</v>
      </c>
      <c r="AV638" s="113" t="s">
        <v>87</v>
      </c>
      <c r="AW638" s="113" t="s">
        <v>33</v>
      </c>
      <c r="AX638" s="113" t="s">
        <v>77</v>
      </c>
      <c r="AY638" s="135" t="s">
        <v>211</v>
      </c>
    </row>
    <row r="639" spans="2:65" s="113" customFormat="1">
      <c r="B639" s="119"/>
      <c r="D639" s="105" t="s">
        <v>365</v>
      </c>
      <c r="E639" s="135" t="s">
        <v>1</v>
      </c>
      <c r="F639" s="120" t="s">
        <v>980</v>
      </c>
      <c r="H639" s="121">
        <v>429.024</v>
      </c>
      <c r="I639" s="128"/>
      <c r="L639" s="119"/>
      <c r="M639" s="129"/>
      <c r="T639" s="133"/>
      <c r="AT639" s="135" t="s">
        <v>365</v>
      </c>
      <c r="AU639" s="135" t="s">
        <v>87</v>
      </c>
      <c r="AV639" s="113" t="s">
        <v>87</v>
      </c>
      <c r="AW639" s="113" t="s">
        <v>33</v>
      </c>
      <c r="AX639" s="113" t="s">
        <v>77</v>
      </c>
      <c r="AY639" s="135" t="s">
        <v>211</v>
      </c>
    </row>
    <row r="640" spans="2:65" s="113" customFormat="1">
      <c r="B640" s="119"/>
      <c r="D640" s="105" t="s">
        <v>365</v>
      </c>
      <c r="E640" s="135" t="s">
        <v>1</v>
      </c>
      <c r="F640" s="120" t="s">
        <v>981</v>
      </c>
      <c r="H640" s="121">
        <v>527.37800000000004</v>
      </c>
      <c r="I640" s="128"/>
      <c r="L640" s="119"/>
      <c r="M640" s="129"/>
      <c r="T640" s="133"/>
      <c r="AT640" s="135" t="s">
        <v>365</v>
      </c>
      <c r="AU640" s="135" t="s">
        <v>87</v>
      </c>
      <c r="AV640" s="113" t="s">
        <v>87</v>
      </c>
      <c r="AW640" s="113" t="s">
        <v>33</v>
      </c>
      <c r="AX640" s="113" t="s">
        <v>77</v>
      </c>
      <c r="AY640" s="135" t="s">
        <v>211</v>
      </c>
    </row>
    <row r="641" spans="2:51" s="154" customFormat="1">
      <c r="B641" s="156"/>
      <c r="D641" s="105" t="s">
        <v>365</v>
      </c>
      <c r="E641" s="157" t="s">
        <v>1</v>
      </c>
      <c r="F641" s="158" t="s">
        <v>741</v>
      </c>
      <c r="H641" s="159">
        <v>1997.336</v>
      </c>
      <c r="I641" s="160"/>
      <c r="L641" s="156"/>
      <c r="M641" s="161"/>
      <c r="T641" s="162"/>
      <c r="AT641" s="157" t="s">
        <v>365</v>
      </c>
      <c r="AU641" s="157" t="s">
        <v>87</v>
      </c>
      <c r="AV641" s="154" t="s">
        <v>137</v>
      </c>
      <c r="AW641" s="154" t="s">
        <v>33</v>
      </c>
      <c r="AX641" s="154" t="s">
        <v>77</v>
      </c>
      <c r="AY641" s="157" t="s">
        <v>211</v>
      </c>
    </row>
    <row r="642" spans="2:51" s="136" customFormat="1">
      <c r="B642" s="138"/>
      <c r="D642" s="105" t="s">
        <v>365</v>
      </c>
      <c r="E642" s="139" t="s">
        <v>1</v>
      </c>
      <c r="F642" s="140" t="s">
        <v>982</v>
      </c>
      <c r="H642" s="139" t="s">
        <v>1</v>
      </c>
      <c r="I642" s="146"/>
      <c r="L642" s="138"/>
      <c r="M642" s="147"/>
      <c r="T642" s="150"/>
      <c r="AT642" s="139" t="s">
        <v>365</v>
      </c>
      <c r="AU642" s="139" t="s">
        <v>87</v>
      </c>
      <c r="AV642" s="136" t="s">
        <v>85</v>
      </c>
      <c r="AW642" s="136" t="s">
        <v>33</v>
      </c>
      <c r="AX642" s="136" t="s">
        <v>77</v>
      </c>
      <c r="AY642" s="139" t="s">
        <v>211</v>
      </c>
    </row>
    <row r="643" spans="2:51" s="113" customFormat="1">
      <c r="B643" s="119"/>
      <c r="D643" s="105" t="s">
        <v>365</v>
      </c>
      <c r="E643" s="135" t="s">
        <v>1</v>
      </c>
      <c r="F643" s="120" t="s">
        <v>983</v>
      </c>
      <c r="H643" s="121">
        <v>103.878</v>
      </c>
      <c r="I643" s="128"/>
      <c r="L643" s="119"/>
      <c r="M643" s="129"/>
      <c r="T643" s="133"/>
      <c r="AT643" s="135" t="s">
        <v>365</v>
      </c>
      <c r="AU643" s="135" t="s">
        <v>87</v>
      </c>
      <c r="AV643" s="113" t="s">
        <v>87</v>
      </c>
      <c r="AW643" s="113" t="s">
        <v>33</v>
      </c>
      <c r="AX643" s="113" t="s">
        <v>77</v>
      </c>
      <c r="AY643" s="135" t="s">
        <v>211</v>
      </c>
    </row>
    <row r="644" spans="2:51" s="113" customFormat="1">
      <c r="B644" s="119"/>
      <c r="D644" s="105" t="s">
        <v>365</v>
      </c>
      <c r="E644" s="135" t="s">
        <v>1</v>
      </c>
      <c r="F644" s="120" t="s">
        <v>984</v>
      </c>
      <c r="H644" s="121">
        <v>103.878</v>
      </c>
      <c r="I644" s="128"/>
      <c r="L644" s="119"/>
      <c r="M644" s="129"/>
      <c r="T644" s="133"/>
      <c r="AT644" s="135" t="s">
        <v>365</v>
      </c>
      <c r="AU644" s="135" t="s">
        <v>87</v>
      </c>
      <c r="AV644" s="113" t="s">
        <v>87</v>
      </c>
      <c r="AW644" s="113" t="s">
        <v>33</v>
      </c>
      <c r="AX644" s="113" t="s">
        <v>77</v>
      </c>
      <c r="AY644" s="135" t="s">
        <v>211</v>
      </c>
    </row>
    <row r="645" spans="2:51" s="113" customFormat="1">
      <c r="B645" s="119"/>
      <c r="D645" s="105" t="s">
        <v>365</v>
      </c>
      <c r="E645" s="135" t="s">
        <v>1</v>
      </c>
      <c r="F645" s="120" t="s">
        <v>985</v>
      </c>
      <c r="H645" s="121">
        <v>89.201999999999998</v>
      </c>
      <c r="I645" s="128"/>
      <c r="L645" s="119"/>
      <c r="M645" s="129"/>
      <c r="T645" s="133"/>
      <c r="AT645" s="135" t="s">
        <v>365</v>
      </c>
      <c r="AU645" s="135" t="s">
        <v>87</v>
      </c>
      <c r="AV645" s="113" t="s">
        <v>87</v>
      </c>
      <c r="AW645" s="113" t="s">
        <v>33</v>
      </c>
      <c r="AX645" s="113" t="s">
        <v>77</v>
      </c>
      <c r="AY645" s="135" t="s">
        <v>211</v>
      </c>
    </row>
    <row r="646" spans="2:51" s="113" customFormat="1">
      <c r="B646" s="119"/>
      <c r="D646" s="105" t="s">
        <v>365</v>
      </c>
      <c r="E646" s="135" t="s">
        <v>1</v>
      </c>
      <c r="F646" s="120" t="s">
        <v>986</v>
      </c>
      <c r="H646" s="121">
        <v>98.376000000000005</v>
      </c>
      <c r="I646" s="128"/>
      <c r="L646" s="119"/>
      <c r="M646" s="129"/>
      <c r="T646" s="133"/>
      <c r="AT646" s="135" t="s">
        <v>365</v>
      </c>
      <c r="AU646" s="135" t="s">
        <v>87</v>
      </c>
      <c r="AV646" s="113" t="s">
        <v>87</v>
      </c>
      <c r="AW646" s="113" t="s">
        <v>33</v>
      </c>
      <c r="AX646" s="113" t="s">
        <v>77</v>
      </c>
      <c r="AY646" s="135" t="s">
        <v>211</v>
      </c>
    </row>
    <row r="647" spans="2:51" s="154" customFormat="1">
      <c r="B647" s="156"/>
      <c r="D647" s="105" t="s">
        <v>365</v>
      </c>
      <c r="E647" s="157" t="s">
        <v>1</v>
      </c>
      <c r="F647" s="158" t="s">
        <v>741</v>
      </c>
      <c r="H647" s="159">
        <v>395.334</v>
      </c>
      <c r="I647" s="160"/>
      <c r="L647" s="156"/>
      <c r="M647" s="161"/>
      <c r="T647" s="162"/>
      <c r="AT647" s="157" t="s">
        <v>365</v>
      </c>
      <c r="AU647" s="157" t="s">
        <v>87</v>
      </c>
      <c r="AV647" s="154" t="s">
        <v>137</v>
      </c>
      <c r="AW647" s="154" t="s">
        <v>33</v>
      </c>
      <c r="AX647" s="154" t="s">
        <v>77</v>
      </c>
      <c r="AY647" s="157" t="s">
        <v>211</v>
      </c>
    </row>
    <row r="648" spans="2:51" s="136" customFormat="1">
      <c r="B648" s="138"/>
      <c r="D648" s="105" t="s">
        <v>365</v>
      </c>
      <c r="E648" s="139" t="s">
        <v>1</v>
      </c>
      <c r="F648" s="140" t="s">
        <v>982</v>
      </c>
      <c r="H648" s="139" t="s">
        <v>1</v>
      </c>
      <c r="I648" s="146"/>
      <c r="L648" s="138"/>
      <c r="M648" s="147"/>
      <c r="T648" s="150"/>
      <c r="AT648" s="139" t="s">
        <v>365</v>
      </c>
      <c r="AU648" s="139" t="s">
        <v>87</v>
      </c>
      <c r="AV648" s="136" t="s">
        <v>85</v>
      </c>
      <c r="AW648" s="136" t="s">
        <v>33</v>
      </c>
      <c r="AX648" s="136" t="s">
        <v>77</v>
      </c>
      <c r="AY648" s="139" t="s">
        <v>211</v>
      </c>
    </row>
    <row r="649" spans="2:51" s="136" customFormat="1">
      <c r="B649" s="138"/>
      <c r="D649" s="105" t="s">
        <v>365</v>
      </c>
      <c r="E649" s="139" t="s">
        <v>1</v>
      </c>
      <c r="F649" s="140" t="s">
        <v>987</v>
      </c>
      <c r="H649" s="139" t="s">
        <v>1</v>
      </c>
      <c r="I649" s="146"/>
      <c r="L649" s="138"/>
      <c r="M649" s="147"/>
      <c r="T649" s="150"/>
      <c r="AT649" s="139" t="s">
        <v>365</v>
      </c>
      <c r="AU649" s="139" t="s">
        <v>87</v>
      </c>
      <c r="AV649" s="136" t="s">
        <v>85</v>
      </c>
      <c r="AW649" s="136" t="s">
        <v>33</v>
      </c>
      <c r="AX649" s="136" t="s">
        <v>77</v>
      </c>
      <c r="AY649" s="139" t="s">
        <v>211</v>
      </c>
    </row>
    <row r="650" spans="2:51" s="113" customFormat="1">
      <c r="B650" s="119"/>
      <c r="D650" s="105" t="s">
        <v>365</v>
      </c>
      <c r="E650" s="135" t="s">
        <v>1</v>
      </c>
      <c r="F650" s="120" t="s">
        <v>988</v>
      </c>
      <c r="H650" s="121">
        <v>39.171999999999997</v>
      </c>
      <c r="I650" s="128"/>
      <c r="L650" s="119"/>
      <c r="M650" s="129"/>
      <c r="T650" s="133"/>
      <c r="AT650" s="135" t="s">
        <v>365</v>
      </c>
      <c r="AU650" s="135" t="s">
        <v>87</v>
      </c>
      <c r="AV650" s="113" t="s">
        <v>87</v>
      </c>
      <c r="AW650" s="113" t="s">
        <v>33</v>
      </c>
      <c r="AX650" s="113" t="s">
        <v>77</v>
      </c>
      <c r="AY650" s="135" t="s">
        <v>211</v>
      </c>
    </row>
    <row r="651" spans="2:51" s="113" customFormat="1">
      <c r="B651" s="119"/>
      <c r="D651" s="105" t="s">
        <v>365</v>
      </c>
      <c r="E651" s="135" t="s">
        <v>1</v>
      </c>
      <c r="F651" s="120" t="s">
        <v>989</v>
      </c>
      <c r="H651" s="121">
        <v>39.171999999999997</v>
      </c>
      <c r="I651" s="128"/>
      <c r="L651" s="119"/>
      <c r="M651" s="129"/>
      <c r="T651" s="133"/>
      <c r="AT651" s="135" t="s">
        <v>365</v>
      </c>
      <c r="AU651" s="135" t="s">
        <v>87</v>
      </c>
      <c r="AV651" s="113" t="s">
        <v>87</v>
      </c>
      <c r="AW651" s="113" t="s">
        <v>33</v>
      </c>
      <c r="AX651" s="113" t="s">
        <v>77</v>
      </c>
      <c r="AY651" s="135" t="s">
        <v>211</v>
      </c>
    </row>
    <row r="652" spans="2:51" s="136" customFormat="1">
      <c r="B652" s="138"/>
      <c r="D652" s="105" t="s">
        <v>365</v>
      </c>
      <c r="E652" s="139" t="s">
        <v>1</v>
      </c>
      <c r="F652" s="140" t="s">
        <v>990</v>
      </c>
      <c r="H652" s="139" t="s">
        <v>1</v>
      </c>
      <c r="I652" s="146"/>
      <c r="L652" s="138"/>
      <c r="M652" s="147"/>
      <c r="T652" s="150"/>
      <c r="AT652" s="139" t="s">
        <v>365</v>
      </c>
      <c r="AU652" s="139" t="s">
        <v>87</v>
      </c>
      <c r="AV652" s="136" t="s">
        <v>85</v>
      </c>
      <c r="AW652" s="136" t="s">
        <v>33</v>
      </c>
      <c r="AX652" s="136" t="s">
        <v>77</v>
      </c>
      <c r="AY652" s="139" t="s">
        <v>211</v>
      </c>
    </row>
    <row r="653" spans="2:51" s="136" customFormat="1">
      <c r="B653" s="138"/>
      <c r="D653" s="105" t="s">
        <v>365</v>
      </c>
      <c r="E653" s="139" t="s">
        <v>1</v>
      </c>
      <c r="F653" s="140" t="s">
        <v>721</v>
      </c>
      <c r="H653" s="139" t="s">
        <v>1</v>
      </c>
      <c r="I653" s="146"/>
      <c r="L653" s="138"/>
      <c r="M653" s="147"/>
      <c r="T653" s="150"/>
      <c r="AT653" s="139" t="s">
        <v>365</v>
      </c>
      <c r="AU653" s="139" t="s">
        <v>87</v>
      </c>
      <c r="AV653" s="136" t="s">
        <v>85</v>
      </c>
      <c r="AW653" s="136" t="s">
        <v>33</v>
      </c>
      <c r="AX653" s="136" t="s">
        <v>77</v>
      </c>
      <c r="AY653" s="139" t="s">
        <v>211</v>
      </c>
    </row>
    <row r="654" spans="2:51" s="154" customFormat="1">
      <c r="B654" s="156"/>
      <c r="D654" s="105" t="s">
        <v>365</v>
      </c>
      <c r="E654" s="157" t="s">
        <v>1</v>
      </c>
      <c r="F654" s="158" t="s">
        <v>741</v>
      </c>
      <c r="H654" s="159">
        <v>78.343999999999994</v>
      </c>
      <c r="I654" s="160"/>
      <c r="L654" s="156"/>
      <c r="M654" s="161"/>
      <c r="T654" s="162"/>
      <c r="AT654" s="157" t="s">
        <v>365</v>
      </c>
      <c r="AU654" s="157" t="s">
        <v>87</v>
      </c>
      <c r="AV654" s="154" t="s">
        <v>137</v>
      </c>
      <c r="AW654" s="154" t="s">
        <v>33</v>
      </c>
      <c r="AX654" s="154" t="s">
        <v>77</v>
      </c>
      <c r="AY654" s="157" t="s">
        <v>211</v>
      </c>
    </row>
    <row r="655" spans="2:51" s="113" customFormat="1">
      <c r="B655" s="119"/>
      <c r="D655" s="105" t="s">
        <v>365</v>
      </c>
      <c r="E655" s="135" t="s">
        <v>1</v>
      </c>
      <c r="F655" s="120" t="s">
        <v>991</v>
      </c>
      <c r="H655" s="121">
        <v>16.806999999999999</v>
      </c>
      <c r="I655" s="128"/>
      <c r="L655" s="119"/>
      <c r="M655" s="129"/>
      <c r="T655" s="133"/>
      <c r="AT655" s="135" t="s">
        <v>365</v>
      </c>
      <c r="AU655" s="135" t="s">
        <v>87</v>
      </c>
      <c r="AV655" s="113" t="s">
        <v>87</v>
      </c>
      <c r="AW655" s="113" t="s">
        <v>33</v>
      </c>
      <c r="AX655" s="113" t="s">
        <v>77</v>
      </c>
      <c r="AY655" s="135" t="s">
        <v>211</v>
      </c>
    </row>
    <row r="656" spans="2:51" s="154" customFormat="1">
      <c r="B656" s="156"/>
      <c r="D656" s="105" t="s">
        <v>365</v>
      </c>
      <c r="E656" s="157" t="s">
        <v>1</v>
      </c>
      <c r="F656" s="158" t="s">
        <v>741</v>
      </c>
      <c r="H656" s="159">
        <v>16.806999999999999</v>
      </c>
      <c r="I656" s="160"/>
      <c r="L656" s="156"/>
      <c r="M656" s="161"/>
      <c r="T656" s="162"/>
      <c r="AT656" s="157" t="s">
        <v>365</v>
      </c>
      <c r="AU656" s="157" t="s">
        <v>87</v>
      </c>
      <c r="AV656" s="154" t="s">
        <v>137</v>
      </c>
      <c r="AW656" s="154" t="s">
        <v>33</v>
      </c>
      <c r="AX656" s="154" t="s">
        <v>77</v>
      </c>
      <c r="AY656" s="157" t="s">
        <v>211</v>
      </c>
    </row>
    <row r="657" spans="2:65" s="113" customFormat="1">
      <c r="B657" s="119"/>
      <c r="D657" s="105" t="s">
        <v>365</v>
      </c>
      <c r="E657" s="135" t="s">
        <v>1</v>
      </c>
      <c r="F657" s="120" t="s">
        <v>992</v>
      </c>
      <c r="H657" s="121">
        <v>807.28200000000004</v>
      </c>
      <c r="I657" s="128"/>
      <c r="L657" s="119"/>
      <c r="M657" s="129"/>
      <c r="T657" s="133"/>
      <c r="AT657" s="135" t="s">
        <v>365</v>
      </c>
      <c r="AU657" s="135" t="s">
        <v>87</v>
      </c>
      <c r="AV657" s="113" t="s">
        <v>87</v>
      </c>
      <c r="AW657" s="113" t="s">
        <v>33</v>
      </c>
      <c r="AX657" s="113" t="s">
        <v>77</v>
      </c>
      <c r="AY657" s="135" t="s">
        <v>211</v>
      </c>
    </row>
    <row r="658" spans="2:65" s="137" customFormat="1">
      <c r="B658" s="141"/>
      <c r="D658" s="105" t="s">
        <v>365</v>
      </c>
      <c r="E658" s="142" t="s">
        <v>1</v>
      </c>
      <c r="F658" s="143" t="s">
        <v>368</v>
      </c>
      <c r="H658" s="144">
        <v>4577.1530000000002</v>
      </c>
      <c r="I658" s="148"/>
      <c r="L658" s="141"/>
      <c r="M658" s="149"/>
      <c r="T658" s="151"/>
      <c r="AT658" s="142" t="s">
        <v>365</v>
      </c>
      <c r="AU658" s="142" t="s">
        <v>87</v>
      </c>
      <c r="AV658" s="137" t="s">
        <v>218</v>
      </c>
      <c r="AW658" s="137" t="s">
        <v>33</v>
      </c>
      <c r="AX658" s="137" t="s">
        <v>85</v>
      </c>
      <c r="AY658" s="142" t="s">
        <v>211</v>
      </c>
    </row>
    <row r="659" spans="2:65" s="1" customFormat="1" ht="24.15" customHeight="1">
      <c r="B659" s="12"/>
      <c r="C659" s="71" t="s">
        <v>993</v>
      </c>
      <c r="D659" s="71" t="s">
        <v>214</v>
      </c>
      <c r="E659" s="72" t="s">
        <v>994</v>
      </c>
      <c r="F659" s="73" t="s">
        <v>995</v>
      </c>
      <c r="G659" s="74" t="s">
        <v>279</v>
      </c>
      <c r="H659" s="75">
        <v>4577.1530000000002</v>
      </c>
      <c r="I659" s="90">
        <v>290</v>
      </c>
      <c r="J659" s="91">
        <f>ROUND(I659*H659,2)</f>
        <v>1327374.3700000001</v>
      </c>
      <c r="K659" s="92"/>
      <c r="L659" s="12"/>
      <c r="M659" s="93" t="s">
        <v>1</v>
      </c>
      <c r="N659" s="94" t="s">
        <v>42</v>
      </c>
      <c r="P659" s="95">
        <f>O659*H659</f>
        <v>0</v>
      </c>
      <c r="Q659" s="95">
        <v>0</v>
      </c>
      <c r="R659" s="95">
        <f>Q659*H659</f>
        <v>0</v>
      </c>
      <c r="S659" s="95">
        <v>0</v>
      </c>
      <c r="T659" s="99">
        <f>S659*H659</f>
        <v>0</v>
      </c>
      <c r="AR659" s="101" t="s">
        <v>218</v>
      </c>
      <c r="AT659" s="101" t="s">
        <v>214</v>
      </c>
      <c r="AU659" s="101" t="s">
        <v>87</v>
      </c>
      <c r="AY659" s="23" t="s">
        <v>211</v>
      </c>
      <c r="BE659" s="104">
        <f>IF(N659="základní",J659,0)</f>
        <v>1327374.3700000001</v>
      </c>
      <c r="BF659" s="104">
        <f>IF(N659="snížená",J659,0)</f>
        <v>0</v>
      </c>
      <c r="BG659" s="104">
        <f>IF(N659="zákl. přenesená",J659,0)</f>
        <v>0</v>
      </c>
      <c r="BH659" s="104">
        <f>IF(N659="sníž. přenesená",J659,0)</f>
        <v>0</v>
      </c>
      <c r="BI659" s="104">
        <f>IF(N659="nulová",J659,0)</f>
        <v>0</v>
      </c>
      <c r="BJ659" s="23" t="s">
        <v>85</v>
      </c>
      <c r="BK659" s="104">
        <f>ROUND(I659*H659,2)</f>
        <v>1327374.3700000001</v>
      </c>
      <c r="BL659" s="23" t="s">
        <v>218</v>
      </c>
      <c r="BM659" s="101" t="s">
        <v>996</v>
      </c>
    </row>
    <row r="660" spans="2:65" s="136" customFormat="1">
      <c r="B660" s="138"/>
      <c r="D660" s="105" t="s">
        <v>365</v>
      </c>
      <c r="E660" s="139" t="s">
        <v>1</v>
      </c>
      <c r="F660" s="140" t="s">
        <v>972</v>
      </c>
      <c r="H660" s="139" t="s">
        <v>1</v>
      </c>
      <c r="I660" s="146"/>
      <c r="L660" s="138"/>
      <c r="M660" s="147"/>
      <c r="T660" s="150"/>
      <c r="AT660" s="139" t="s">
        <v>365</v>
      </c>
      <c r="AU660" s="139" t="s">
        <v>87</v>
      </c>
      <c r="AV660" s="136" t="s">
        <v>85</v>
      </c>
      <c r="AW660" s="136" t="s">
        <v>33</v>
      </c>
      <c r="AX660" s="136" t="s">
        <v>77</v>
      </c>
      <c r="AY660" s="139" t="s">
        <v>211</v>
      </c>
    </row>
    <row r="661" spans="2:65" s="113" customFormat="1">
      <c r="B661" s="119"/>
      <c r="D661" s="105" t="s">
        <v>365</v>
      </c>
      <c r="E661" s="135" t="s">
        <v>1</v>
      </c>
      <c r="F661" s="120" t="s">
        <v>973</v>
      </c>
      <c r="H661" s="121">
        <v>334.94400000000002</v>
      </c>
      <c r="I661" s="128"/>
      <c r="L661" s="119"/>
      <c r="M661" s="129"/>
      <c r="T661" s="133"/>
      <c r="AT661" s="135" t="s">
        <v>365</v>
      </c>
      <c r="AU661" s="135" t="s">
        <v>87</v>
      </c>
      <c r="AV661" s="113" t="s">
        <v>87</v>
      </c>
      <c r="AW661" s="113" t="s">
        <v>33</v>
      </c>
      <c r="AX661" s="113" t="s">
        <v>77</v>
      </c>
      <c r="AY661" s="135" t="s">
        <v>211</v>
      </c>
    </row>
    <row r="662" spans="2:65" s="113" customFormat="1">
      <c r="B662" s="119"/>
      <c r="D662" s="105" t="s">
        <v>365</v>
      </c>
      <c r="E662" s="135" t="s">
        <v>1</v>
      </c>
      <c r="F662" s="120" t="s">
        <v>974</v>
      </c>
      <c r="H662" s="121">
        <v>334.94400000000002</v>
      </c>
      <c r="I662" s="128"/>
      <c r="L662" s="119"/>
      <c r="M662" s="129"/>
      <c r="T662" s="133"/>
      <c r="AT662" s="135" t="s">
        <v>365</v>
      </c>
      <c r="AU662" s="135" t="s">
        <v>87</v>
      </c>
      <c r="AV662" s="113" t="s">
        <v>87</v>
      </c>
      <c r="AW662" s="113" t="s">
        <v>33</v>
      </c>
      <c r="AX662" s="113" t="s">
        <v>77</v>
      </c>
      <c r="AY662" s="135" t="s">
        <v>211</v>
      </c>
    </row>
    <row r="663" spans="2:65" s="113" customFormat="1">
      <c r="B663" s="119"/>
      <c r="D663" s="105" t="s">
        <v>365</v>
      </c>
      <c r="E663" s="135" t="s">
        <v>1</v>
      </c>
      <c r="F663" s="120" t="s">
        <v>975</v>
      </c>
      <c r="H663" s="121">
        <v>274.40600000000001</v>
      </c>
      <c r="I663" s="128"/>
      <c r="L663" s="119"/>
      <c r="M663" s="129"/>
      <c r="T663" s="133"/>
      <c r="AT663" s="135" t="s">
        <v>365</v>
      </c>
      <c r="AU663" s="135" t="s">
        <v>87</v>
      </c>
      <c r="AV663" s="113" t="s">
        <v>87</v>
      </c>
      <c r="AW663" s="113" t="s">
        <v>33</v>
      </c>
      <c r="AX663" s="113" t="s">
        <v>77</v>
      </c>
      <c r="AY663" s="135" t="s">
        <v>211</v>
      </c>
    </row>
    <row r="664" spans="2:65" s="113" customFormat="1">
      <c r="B664" s="119"/>
      <c r="D664" s="105" t="s">
        <v>365</v>
      </c>
      <c r="E664" s="135" t="s">
        <v>1</v>
      </c>
      <c r="F664" s="120" t="s">
        <v>976</v>
      </c>
      <c r="H664" s="121">
        <v>337.75599999999997</v>
      </c>
      <c r="I664" s="128"/>
      <c r="L664" s="119"/>
      <c r="M664" s="129"/>
      <c r="T664" s="133"/>
      <c r="AT664" s="135" t="s">
        <v>365</v>
      </c>
      <c r="AU664" s="135" t="s">
        <v>87</v>
      </c>
      <c r="AV664" s="113" t="s">
        <v>87</v>
      </c>
      <c r="AW664" s="113" t="s">
        <v>33</v>
      </c>
      <c r="AX664" s="113" t="s">
        <v>77</v>
      </c>
      <c r="AY664" s="135" t="s">
        <v>211</v>
      </c>
    </row>
    <row r="665" spans="2:65" s="154" customFormat="1">
      <c r="B665" s="156"/>
      <c r="D665" s="105" t="s">
        <v>365</v>
      </c>
      <c r="E665" s="157" t="s">
        <v>1</v>
      </c>
      <c r="F665" s="158" t="s">
        <v>741</v>
      </c>
      <c r="H665" s="159">
        <v>1282.05</v>
      </c>
      <c r="I665" s="160"/>
      <c r="L665" s="156"/>
      <c r="M665" s="161"/>
      <c r="T665" s="162"/>
      <c r="AT665" s="157" t="s">
        <v>365</v>
      </c>
      <c r="AU665" s="157" t="s">
        <v>87</v>
      </c>
      <c r="AV665" s="154" t="s">
        <v>137</v>
      </c>
      <c r="AW665" s="154" t="s">
        <v>33</v>
      </c>
      <c r="AX665" s="154" t="s">
        <v>77</v>
      </c>
      <c r="AY665" s="157" t="s">
        <v>211</v>
      </c>
    </row>
    <row r="666" spans="2:65" s="136" customFormat="1">
      <c r="B666" s="138"/>
      <c r="D666" s="105" t="s">
        <v>365</v>
      </c>
      <c r="E666" s="139" t="s">
        <v>1</v>
      </c>
      <c r="F666" s="140" t="s">
        <v>977</v>
      </c>
      <c r="H666" s="139" t="s">
        <v>1</v>
      </c>
      <c r="I666" s="146"/>
      <c r="L666" s="138"/>
      <c r="M666" s="147"/>
      <c r="T666" s="150"/>
      <c r="AT666" s="139" t="s">
        <v>365</v>
      </c>
      <c r="AU666" s="139" t="s">
        <v>87</v>
      </c>
      <c r="AV666" s="136" t="s">
        <v>85</v>
      </c>
      <c r="AW666" s="136" t="s">
        <v>33</v>
      </c>
      <c r="AX666" s="136" t="s">
        <v>77</v>
      </c>
      <c r="AY666" s="139" t="s">
        <v>211</v>
      </c>
    </row>
    <row r="667" spans="2:65" s="113" customFormat="1">
      <c r="B667" s="119"/>
      <c r="D667" s="105" t="s">
        <v>365</v>
      </c>
      <c r="E667" s="135" t="s">
        <v>1</v>
      </c>
      <c r="F667" s="120" t="s">
        <v>978</v>
      </c>
      <c r="H667" s="121">
        <v>520.46699999999998</v>
      </c>
      <c r="I667" s="128"/>
      <c r="L667" s="119"/>
      <c r="M667" s="129"/>
      <c r="T667" s="133"/>
      <c r="AT667" s="135" t="s">
        <v>365</v>
      </c>
      <c r="AU667" s="135" t="s">
        <v>87</v>
      </c>
      <c r="AV667" s="113" t="s">
        <v>87</v>
      </c>
      <c r="AW667" s="113" t="s">
        <v>33</v>
      </c>
      <c r="AX667" s="113" t="s">
        <v>77</v>
      </c>
      <c r="AY667" s="135" t="s">
        <v>211</v>
      </c>
    </row>
    <row r="668" spans="2:65" s="113" customFormat="1">
      <c r="B668" s="119"/>
      <c r="D668" s="105" t="s">
        <v>365</v>
      </c>
      <c r="E668" s="135" t="s">
        <v>1</v>
      </c>
      <c r="F668" s="120" t="s">
        <v>979</v>
      </c>
      <c r="H668" s="121">
        <v>520.46699999999998</v>
      </c>
      <c r="I668" s="128"/>
      <c r="L668" s="119"/>
      <c r="M668" s="129"/>
      <c r="T668" s="133"/>
      <c r="AT668" s="135" t="s">
        <v>365</v>
      </c>
      <c r="AU668" s="135" t="s">
        <v>87</v>
      </c>
      <c r="AV668" s="113" t="s">
        <v>87</v>
      </c>
      <c r="AW668" s="113" t="s">
        <v>33</v>
      </c>
      <c r="AX668" s="113" t="s">
        <v>77</v>
      </c>
      <c r="AY668" s="135" t="s">
        <v>211</v>
      </c>
    </row>
    <row r="669" spans="2:65" s="113" customFormat="1">
      <c r="B669" s="119"/>
      <c r="D669" s="105" t="s">
        <v>365</v>
      </c>
      <c r="E669" s="135" t="s">
        <v>1</v>
      </c>
      <c r="F669" s="120" t="s">
        <v>980</v>
      </c>
      <c r="H669" s="121">
        <v>429.024</v>
      </c>
      <c r="I669" s="128"/>
      <c r="L669" s="119"/>
      <c r="M669" s="129"/>
      <c r="T669" s="133"/>
      <c r="AT669" s="135" t="s">
        <v>365</v>
      </c>
      <c r="AU669" s="135" t="s">
        <v>87</v>
      </c>
      <c r="AV669" s="113" t="s">
        <v>87</v>
      </c>
      <c r="AW669" s="113" t="s">
        <v>33</v>
      </c>
      <c r="AX669" s="113" t="s">
        <v>77</v>
      </c>
      <c r="AY669" s="135" t="s">
        <v>211</v>
      </c>
    </row>
    <row r="670" spans="2:65" s="113" customFormat="1">
      <c r="B670" s="119"/>
      <c r="D670" s="105" t="s">
        <v>365</v>
      </c>
      <c r="E670" s="135" t="s">
        <v>1</v>
      </c>
      <c r="F670" s="120" t="s">
        <v>981</v>
      </c>
      <c r="H670" s="121">
        <v>527.37800000000004</v>
      </c>
      <c r="I670" s="128"/>
      <c r="L670" s="119"/>
      <c r="M670" s="129"/>
      <c r="T670" s="133"/>
      <c r="AT670" s="135" t="s">
        <v>365</v>
      </c>
      <c r="AU670" s="135" t="s">
        <v>87</v>
      </c>
      <c r="AV670" s="113" t="s">
        <v>87</v>
      </c>
      <c r="AW670" s="113" t="s">
        <v>33</v>
      </c>
      <c r="AX670" s="113" t="s">
        <v>77</v>
      </c>
      <c r="AY670" s="135" t="s">
        <v>211</v>
      </c>
    </row>
    <row r="671" spans="2:65" s="154" customFormat="1">
      <c r="B671" s="156"/>
      <c r="D671" s="105" t="s">
        <v>365</v>
      </c>
      <c r="E671" s="157" t="s">
        <v>1</v>
      </c>
      <c r="F671" s="158" t="s">
        <v>741</v>
      </c>
      <c r="H671" s="159">
        <v>1997.336</v>
      </c>
      <c r="I671" s="160"/>
      <c r="L671" s="156"/>
      <c r="M671" s="161"/>
      <c r="T671" s="162"/>
      <c r="AT671" s="157" t="s">
        <v>365</v>
      </c>
      <c r="AU671" s="157" t="s">
        <v>87</v>
      </c>
      <c r="AV671" s="154" t="s">
        <v>137</v>
      </c>
      <c r="AW671" s="154" t="s">
        <v>33</v>
      </c>
      <c r="AX671" s="154" t="s">
        <v>77</v>
      </c>
      <c r="AY671" s="157" t="s">
        <v>211</v>
      </c>
    </row>
    <row r="672" spans="2:65" s="136" customFormat="1">
      <c r="B672" s="138"/>
      <c r="D672" s="105" t="s">
        <v>365</v>
      </c>
      <c r="E672" s="139" t="s">
        <v>1</v>
      </c>
      <c r="F672" s="140" t="s">
        <v>982</v>
      </c>
      <c r="H672" s="139" t="s">
        <v>1</v>
      </c>
      <c r="I672" s="146"/>
      <c r="L672" s="138"/>
      <c r="M672" s="147"/>
      <c r="T672" s="150"/>
      <c r="AT672" s="139" t="s">
        <v>365</v>
      </c>
      <c r="AU672" s="139" t="s">
        <v>87</v>
      </c>
      <c r="AV672" s="136" t="s">
        <v>85</v>
      </c>
      <c r="AW672" s="136" t="s">
        <v>33</v>
      </c>
      <c r="AX672" s="136" t="s">
        <v>77</v>
      </c>
      <c r="AY672" s="139" t="s">
        <v>211</v>
      </c>
    </row>
    <row r="673" spans="2:51" s="113" customFormat="1">
      <c r="B673" s="119"/>
      <c r="D673" s="105" t="s">
        <v>365</v>
      </c>
      <c r="E673" s="135" t="s">
        <v>1</v>
      </c>
      <c r="F673" s="120" t="s">
        <v>983</v>
      </c>
      <c r="H673" s="121">
        <v>103.878</v>
      </c>
      <c r="I673" s="128"/>
      <c r="L673" s="119"/>
      <c r="M673" s="129"/>
      <c r="T673" s="133"/>
      <c r="AT673" s="135" t="s">
        <v>365</v>
      </c>
      <c r="AU673" s="135" t="s">
        <v>87</v>
      </c>
      <c r="AV673" s="113" t="s">
        <v>87</v>
      </c>
      <c r="AW673" s="113" t="s">
        <v>33</v>
      </c>
      <c r="AX673" s="113" t="s">
        <v>77</v>
      </c>
      <c r="AY673" s="135" t="s">
        <v>211</v>
      </c>
    </row>
    <row r="674" spans="2:51" s="113" customFormat="1">
      <c r="B674" s="119"/>
      <c r="D674" s="105" t="s">
        <v>365</v>
      </c>
      <c r="E674" s="135" t="s">
        <v>1</v>
      </c>
      <c r="F674" s="120" t="s">
        <v>984</v>
      </c>
      <c r="H674" s="121">
        <v>103.878</v>
      </c>
      <c r="I674" s="128"/>
      <c r="L674" s="119"/>
      <c r="M674" s="129"/>
      <c r="T674" s="133"/>
      <c r="AT674" s="135" t="s">
        <v>365</v>
      </c>
      <c r="AU674" s="135" t="s">
        <v>87</v>
      </c>
      <c r="AV674" s="113" t="s">
        <v>87</v>
      </c>
      <c r="AW674" s="113" t="s">
        <v>33</v>
      </c>
      <c r="AX674" s="113" t="s">
        <v>77</v>
      </c>
      <c r="AY674" s="135" t="s">
        <v>211</v>
      </c>
    </row>
    <row r="675" spans="2:51" s="113" customFormat="1">
      <c r="B675" s="119"/>
      <c r="D675" s="105" t="s">
        <v>365</v>
      </c>
      <c r="E675" s="135" t="s">
        <v>1</v>
      </c>
      <c r="F675" s="120" t="s">
        <v>985</v>
      </c>
      <c r="H675" s="121">
        <v>89.201999999999998</v>
      </c>
      <c r="I675" s="128"/>
      <c r="L675" s="119"/>
      <c r="M675" s="129"/>
      <c r="T675" s="133"/>
      <c r="AT675" s="135" t="s">
        <v>365</v>
      </c>
      <c r="AU675" s="135" t="s">
        <v>87</v>
      </c>
      <c r="AV675" s="113" t="s">
        <v>87</v>
      </c>
      <c r="AW675" s="113" t="s">
        <v>33</v>
      </c>
      <c r="AX675" s="113" t="s">
        <v>77</v>
      </c>
      <c r="AY675" s="135" t="s">
        <v>211</v>
      </c>
    </row>
    <row r="676" spans="2:51" s="113" customFormat="1">
      <c r="B676" s="119"/>
      <c r="D676" s="105" t="s">
        <v>365</v>
      </c>
      <c r="E676" s="135" t="s">
        <v>1</v>
      </c>
      <c r="F676" s="120" t="s">
        <v>986</v>
      </c>
      <c r="H676" s="121">
        <v>98.376000000000005</v>
      </c>
      <c r="I676" s="128"/>
      <c r="L676" s="119"/>
      <c r="M676" s="129"/>
      <c r="T676" s="133"/>
      <c r="AT676" s="135" t="s">
        <v>365</v>
      </c>
      <c r="AU676" s="135" t="s">
        <v>87</v>
      </c>
      <c r="AV676" s="113" t="s">
        <v>87</v>
      </c>
      <c r="AW676" s="113" t="s">
        <v>33</v>
      </c>
      <c r="AX676" s="113" t="s">
        <v>77</v>
      </c>
      <c r="AY676" s="135" t="s">
        <v>211</v>
      </c>
    </row>
    <row r="677" spans="2:51" s="154" customFormat="1">
      <c r="B677" s="156"/>
      <c r="D677" s="105" t="s">
        <v>365</v>
      </c>
      <c r="E677" s="157" t="s">
        <v>1</v>
      </c>
      <c r="F677" s="158" t="s">
        <v>741</v>
      </c>
      <c r="H677" s="159">
        <v>395.334</v>
      </c>
      <c r="I677" s="160"/>
      <c r="L677" s="156"/>
      <c r="M677" s="161"/>
      <c r="T677" s="162"/>
      <c r="AT677" s="157" t="s">
        <v>365</v>
      </c>
      <c r="AU677" s="157" t="s">
        <v>87</v>
      </c>
      <c r="AV677" s="154" t="s">
        <v>137</v>
      </c>
      <c r="AW677" s="154" t="s">
        <v>33</v>
      </c>
      <c r="AX677" s="154" t="s">
        <v>77</v>
      </c>
      <c r="AY677" s="157" t="s">
        <v>211</v>
      </c>
    </row>
    <row r="678" spans="2:51" s="136" customFormat="1">
      <c r="B678" s="138"/>
      <c r="D678" s="105" t="s">
        <v>365</v>
      </c>
      <c r="E678" s="139" t="s">
        <v>1</v>
      </c>
      <c r="F678" s="140" t="s">
        <v>982</v>
      </c>
      <c r="H678" s="139" t="s">
        <v>1</v>
      </c>
      <c r="I678" s="146"/>
      <c r="L678" s="138"/>
      <c r="M678" s="147"/>
      <c r="T678" s="150"/>
      <c r="AT678" s="139" t="s">
        <v>365</v>
      </c>
      <c r="AU678" s="139" t="s">
        <v>87</v>
      </c>
      <c r="AV678" s="136" t="s">
        <v>85</v>
      </c>
      <c r="AW678" s="136" t="s">
        <v>33</v>
      </c>
      <c r="AX678" s="136" t="s">
        <v>77</v>
      </c>
      <c r="AY678" s="139" t="s">
        <v>211</v>
      </c>
    </row>
    <row r="679" spans="2:51" s="136" customFormat="1">
      <c r="B679" s="138"/>
      <c r="D679" s="105" t="s">
        <v>365</v>
      </c>
      <c r="E679" s="139" t="s">
        <v>1</v>
      </c>
      <c r="F679" s="140" t="s">
        <v>987</v>
      </c>
      <c r="H679" s="139" t="s">
        <v>1</v>
      </c>
      <c r="I679" s="146"/>
      <c r="L679" s="138"/>
      <c r="M679" s="147"/>
      <c r="T679" s="150"/>
      <c r="AT679" s="139" t="s">
        <v>365</v>
      </c>
      <c r="AU679" s="139" t="s">
        <v>87</v>
      </c>
      <c r="AV679" s="136" t="s">
        <v>85</v>
      </c>
      <c r="AW679" s="136" t="s">
        <v>33</v>
      </c>
      <c r="AX679" s="136" t="s">
        <v>77</v>
      </c>
      <c r="AY679" s="139" t="s">
        <v>211</v>
      </c>
    </row>
    <row r="680" spans="2:51" s="113" customFormat="1">
      <c r="B680" s="119"/>
      <c r="D680" s="105" t="s">
        <v>365</v>
      </c>
      <c r="E680" s="135" t="s">
        <v>1</v>
      </c>
      <c r="F680" s="120" t="s">
        <v>988</v>
      </c>
      <c r="H680" s="121">
        <v>39.171999999999997</v>
      </c>
      <c r="I680" s="128"/>
      <c r="L680" s="119"/>
      <c r="M680" s="129"/>
      <c r="T680" s="133"/>
      <c r="AT680" s="135" t="s">
        <v>365</v>
      </c>
      <c r="AU680" s="135" t="s">
        <v>87</v>
      </c>
      <c r="AV680" s="113" t="s">
        <v>87</v>
      </c>
      <c r="AW680" s="113" t="s">
        <v>33</v>
      </c>
      <c r="AX680" s="113" t="s">
        <v>77</v>
      </c>
      <c r="AY680" s="135" t="s">
        <v>211</v>
      </c>
    </row>
    <row r="681" spans="2:51" s="113" customFormat="1">
      <c r="B681" s="119"/>
      <c r="D681" s="105" t="s">
        <v>365</v>
      </c>
      <c r="E681" s="135" t="s">
        <v>1</v>
      </c>
      <c r="F681" s="120" t="s">
        <v>989</v>
      </c>
      <c r="H681" s="121">
        <v>39.171999999999997</v>
      </c>
      <c r="I681" s="128"/>
      <c r="L681" s="119"/>
      <c r="M681" s="129"/>
      <c r="T681" s="133"/>
      <c r="AT681" s="135" t="s">
        <v>365</v>
      </c>
      <c r="AU681" s="135" t="s">
        <v>87</v>
      </c>
      <c r="AV681" s="113" t="s">
        <v>87</v>
      </c>
      <c r="AW681" s="113" t="s">
        <v>33</v>
      </c>
      <c r="AX681" s="113" t="s">
        <v>77</v>
      </c>
      <c r="AY681" s="135" t="s">
        <v>211</v>
      </c>
    </row>
    <row r="682" spans="2:51" s="136" customFormat="1">
      <c r="B682" s="138"/>
      <c r="D682" s="105" t="s">
        <v>365</v>
      </c>
      <c r="E682" s="139" t="s">
        <v>1</v>
      </c>
      <c r="F682" s="140" t="s">
        <v>990</v>
      </c>
      <c r="H682" s="139" t="s">
        <v>1</v>
      </c>
      <c r="I682" s="146"/>
      <c r="L682" s="138"/>
      <c r="M682" s="147"/>
      <c r="T682" s="150"/>
      <c r="AT682" s="139" t="s">
        <v>365</v>
      </c>
      <c r="AU682" s="139" t="s">
        <v>87</v>
      </c>
      <c r="AV682" s="136" t="s">
        <v>85</v>
      </c>
      <c r="AW682" s="136" t="s">
        <v>33</v>
      </c>
      <c r="AX682" s="136" t="s">
        <v>77</v>
      </c>
      <c r="AY682" s="139" t="s">
        <v>211</v>
      </c>
    </row>
    <row r="683" spans="2:51" s="136" customFormat="1">
      <c r="B683" s="138"/>
      <c r="D683" s="105" t="s">
        <v>365</v>
      </c>
      <c r="E683" s="139" t="s">
        <v>1</v>
      </c>
      <c r="F683" s="140" t="s">
        <v>721</v>
      </c>
      <c r="H683" s="139" t="s">
        <v>1</v>
      </c>
      <c r="I683" s="146"/>
      <c r="L683" s="138"/>
      <c r="M683" s="147"/>
      <c r="T683" s="150"/>
      <c r="AT683" s="139" t="s">
        <v>365</v>
      </c>
      <c r="AU683" s="139" t="s">
        <v>87</v>
      </c>
      <c r="AV683" s="136" t="s">
        <v>85</v>
      </c>
      <c r="AW683" s="136" t="s">
        <v>33</v>
      </c>
      <c r="AX683" s="136" t="s">
        <v>77</v>
      </c>
      <c r="AY683" s="139" t="s">
        <v>211</v>
      </c>
    </row>
    <row r="684" spans="2:51" s="154" customFormat="1">
      <c r="B684" s="156"/>
      <c r="D684" s="105" t="s">
        <v>365</v>
      </c>
      <c r="E684" s="157" t="s">
        <v>1</v>
      </c>
      <c r="F684" s="158" t="s">
        <v>741</v>
      </c>
      <c r="H684" s="159">
        <v>78.343999999999994</v>
      </c>
      <c r="I684" s="160"/>
      <c r="L684" s="156"/>
      <c r="M684" s="161"/>
      <c r="T684" s="162"/>
      <c r="AT684" s="157" t="s">
        <v>365</v>
      </c>
      <c r="AU684" s="157" t="s">
        <v>87</v>
      </c>
      <c r="AV684" s="154" t="s">
        <v>137</v>
      </c>
      <c r="AW684" s="154" t="s">
        <v>33</v>
      </c>
      <c r="AX684" s="154" t="s">
        <v>77</v>
      </c>
      <c r="AY684" s="157" t="s">
        <v>211</v>
      </c>
    </row>
    <row r="685" spans="2:51" s="113" customFormat="1">
      <c r="B685" s="119"/>
      <c r="D685" s="105" t="s">
        <v>365</v>
      </c>
      <c r="E685" s="135" t="s">
        <v>1</v>
      </c>
      <c r="F685" s="120" t="s">
        <v>991</v>
      </c>
      <c r="H685" s="121">
        <v>16.806999999999999</v>
      </c>
      <c r="I685" s="128"/>
      <c r="L685" s="119"/>
      <c r="M685" s="129"/>
      <c r="T685" s="133"/>
      <c r="AT685" s="135" t="s">
        <v>365</v>
      </c>
      <c r="AU685" s="135" t="s">
        <v>87</v>
      </c>
      <c r="AV685" s="113" t="s">
        <v>87</v>
      </c>
      <c r="AW685" s="113" t="s">
        <v>33</v>
      </c>
      <c r="AX685" s="113" t="s">
        <v>77</v>
      </c>
      <c r="AY685" s="135" t="s">
        <v>211</v>
      </c>
    </row>
    <row r="686" spans="2:51" s="154" customFormat="1">
      <c r="B686" s="156"/>
      <c r="D686" s="105" t="s">
        <v>365</v>
      </c>
      <c r="E686" s="157" t="s">
        <v>1</v>
      </c>
      <c r="F686" s="158" t="s">
        <v>741</v>
      </c>
      <c r="H686" s="159">
        <v>16.806999999999999</v>
      </c>
      <c r="I686" s="160"/>
      <c r="L686" s="156"/>
      <c r="M686" s="161"/>
      <c r="T686" s="162"/>
      <c r="AT686" s="157" t="s">
        <v>365</v>
      </c>
      <c r="AU686" s="157" t="s">
        <v>87</v>
      </c>
      <c r="AV686" s="154" t="s">
        <v>137</v>
      </c>
      <c r="AW686" s="154" t="s">
        <v>33</v>
      </c>
      <c r="AX686" s="154" t="s">
        <v>77</v>
      </c>
      <c r="AY686" s="157" t="s">
        <v>211</v>
      </c>
    </row>
    <row r="687" spans="2:51" s="113" customFormat="1">
      <c r="B687" s="119"/>
      <c r="D687" s="105" t="s">
        <v>365</v>
      </c>
      <c r="E687" s="135" t="s">
        <v>1</v>
      </c>
      <c r="F687" s="120" t="s">
        <v>992</v>
      </c>
      <c r="H687" s="121">
        <v>807.28200000000004</v>
      </c>
      <c r="I687" s="128"/>
      <c r="L687" s="119"/>
      <c r="M687" s="129"/>
      <c r="T687" s="133"/>
      <c r="AT687" s="135" t="s">
        <v>365</v>
      </c>
      <c r="AU687" s="135" t="s">
        <v>87</v>
      </c>
      <c r="AV687" s="113" t="s">
        <v>87</v>
      </c>
      <c r="AW687" s="113" t="s">
        <v>33</v>
      </c>
      <c r="AX687" s="113" t="s">
        <v>77</v>
      </c>
      <c r="AY687" s="135" t="s">
        <v>211</v>
      </c>
    </row>
    <row r="688" spans="2:51" s="137" customFormat="1">
      <c r="B688" s="141"/>
      <c r="D688" s="105" t="s">
        <v>365</v>
      </c>
      <c r="E688" s="142" t="s">
        <v>1</v>
      </c>
      <c r="F688" s="143" t="s">
        <v>368</v>
      </c>
      <c r="H688" s="144">
        <v>4577.1530000000002</v>
      </c>
      <c r="I688" s="148"/>
      <c r="L688" s="141"/>
      <c r="M688" s="149"/>
      <c r="T688" s="151"/>
      <c r="AT688" s="142" t="s">
        <v>365</v>
      </c>
      <c r="AU688" s="142" t="s">
        <v>87</v>
      </c>
      <c r="AV688" s="137" t="s">
        <v>218</v>
      </c>
      <c r="AW688" s="137" t="s">
        <v>33</v>
      </c>
      <c r="AX688" s="137" t="s">
        <v>85</v>
      </c>
      <c r="AY688" s="142" t="s">
        <v>211</v>
      </c>
    </row>
    <row r="689" spans="2:65" s="1" customFormat="1" ht="24.15" customHeight="1">
      <c r="B689" s="12"/>
      <c r="C689" s="71" t="s">
        <v>997</v>
      </c>
      <c r="D689" s="71" t="s">
        <v>214</v>
      </c>
      <c r="E689" s="72" t="s">
        <v>998</v>
      </c>
      <c r="F689" s="73" t="s">
        <v>999</v>
      </c>
      <c r="G689" s="74" t="s">
        <v>279</v>
      </c>
      <c r="H689" s="75">
        <v>4577.1530000000002</v>
      </c>
      <c r="I689" s="90">
        <v>390</v>
      </c>
      <c r="J689" s="91">
        <f>ROUND(I689*H689,2)</f>
        <v>1785089.67</v>
      </c>
      <c r="K689" s="92"/>
      <c r="L689" s="12"/>
      <c r="M689" s="93" t="s">
        <v>1</v>
      </c>
      <c r="N689" s="94" t="s">
        <v>42</v>
      </c>
      <c r="P689" s="95">
        <f>O689*H689</f>
        <v>0</v>
      </c>
      <c r="Q689" s="95">
        <v>8.8000000000000003E-4</v>
      </c>
      <c r="R689" s="95">
        <f>Q689*H689</f>
        <v>4.0278946400000004</v>
      </c>
      <c r="S689" s="95">
        <v>0</v>
      </c>
      <c r="T689" s="99">
        <f>S689*H689</f>
        <v>0</v>
      </c>
      <c r="AR689" s="101" t="s">
        <v>218</v>
      </c>
      <c r="AT689" s="101" t="s">
        <v>214</v>
      </c>
      <c r="AU689" s="101" t="s">
        <v>87</v>
      </c>
      <c r="AY689" s="23" t="s">
        <v>211</v>
      </c>
      <c r="BE689" s="104">
        <f>IF(N689="základní",J689,0)</f>
        <v>1785089.67</v>
      </c>
      <c r="BF689" s="104">
        <f>IF(N689="snížená",J689,0)</f>
        <v>0</v>
      </c>
      <c r="BG689" s="104">
        <f>IF(N689="zákl. přenesená",J689,0)</f>
        <v>0</v>
      </c>
      <c r="BH689" s="104">
        <f>IF(N689="sníž. přenesená",J689,0)</f>
        <v>0</v>
      </c>
      <c r="BI689" s="104">
        <f>IF(N689="nulová",J689,0)</f>
        <v>0</v>
      </c>
      <c r="BJ689" s="23" t="s">
        <v>85</v>
      </c>
      <c r="BK689" s="104">
        <f>ROUND(I689*H689,2)</f>
        <v>1785089.67</v>
      </c>
      <c r="BL689" s="23" t="s">
        <v>218</v>
      </c>
      <c r="BM689" s="101" t="s">
        <v>1000</v>
      </c>
    </row>
    <row r="690" spans="2:65" s="136" customFormat="1">
      <c r="B690" s="138"/>
      <c r="D690" s="105" t="s">
        <v>365</v>
      </c>
      <c r="E690" s="139" t="s">
        <v>1</v>
      </c>
      <c r="F690" s="140" t="s">
        <v>972</v>
      </c>
      <c r="H690" s="139" t="s">
        <v>1</v>
      </c>
      <c r="I690" s="146"/>
      <c r="L690" s="138"/>
      <c r="M690" s="147"/>
      <c r="T690" s="150"/>
      <c r="AT690" s="139" t="s">
        <v>365</v>
      </c>
      <c r="AU690" s="139" t="s">
        <v>87</v>
      </c>
      <c r="AV690" s="136" t="s">
        <v>85</v>
      </c>
      <c r="AW690" s="136" t="s">
        <v>33</v>
      </c>
      <c r="AX690" s="136" t="s">
        <v>77</v>
      </c>
      <c r="AY690" s="139" t="s">
        <v>211</v>
      </c>
    </row>
    <row r="691" spans="2:65" s="113" customFormat="1">
      <c r="B691" s="119"/>
      <c r="D691" s="105" t="s">
        <v>365</v>
      </c>
      <c r="E691" s="135" t="s">
        <v>1</v>
      </c>
      <c r="F691" s="120" t="s">
        <v>973</v>
      </c>
      <c r="H691" s="121">
        <v>334.94400000000002</v>
      </c>
      <c r="I691" s="128"/>
      <c r="L691" s="119"/>
      <c r="M691" s="129"/>
      <c r="T691" s="133"/>
      <c r="AT691" s="135" t="s">
        <v>365</v>
      </c>
      <c r="AU691" s="135" t="s">
        <v>87</v>
      </c>
      <c r="AV691" s="113" t="s">
        <v>87</v>
      </c>
      <c r="AW691" s="113" t="s">
        <v>33</v>
      </c>
      <c r="AX691" s="113" t="s">
        <v>77</v>
      </c>
      <c r="AY691" s="135" t="s">
        <v>211</v>
      </c>
    </row>
    <row r="692" spans="2:65" s="113" customFormat="1">
      <c r="B692" s="119"/>
      <c r="D692" s="105" t="s">
        <v>365</v>
      </c>
      <c r="E692" s="135" t="s">
        <v>1</v>
      </c>
      <c r="F692" s="120" t="s">
        <v>974</v>
      </c>
      <c r="H692" s="121">
        <v>334.94400000000002</v>
      </c>
      <c r="I692" s="128"/>
      <c r="L692" s="119"/>
      <c r="M692" s="129"/>
      <c r="T692" s="133"/>
      <c r="AT692" s="135" t="s">
        <v>365</v>
      </c>
      <c r="AU692" s="135" t="s">
        <v>87</v>
      </c>
      <c r="AV692" s="113" t="s">
        <v>87</v>
      </c>
      <c r="AW692" s="113" t="s">
        <v>33</v>
      </c>
      <c r="AX692" s="113" t="s">
        <v>77</v>
      </c>
      <c r="AY692" s="135" t="s">
        <v>211</v>
      </c>
    </row>
    <row r="693" spans="2:65" s="113" customFormat="1">
      <c r="B693" s="119"/>
      <c r="D693" s="105" t="s">
        <v>365</v>
      </c>
      <c r="E693" s="135" t="s">
        <v>1</v>
      </c>
      <c r="F693" s="120" t="s">
        <v>975</v>
      </c>
      <c r="H693" s="121">
        <v>274.40600000000001</v>
      </c>
      <c r="I693" s="128"/>
      <c r="L693" s="119"/>
      <c r="M693" s="129"/>
      <c r="T693" s="133"/>
      <c r="AT693" s="135" t="s">
        <v>365</v>
      </c>
      <c r="AU693" s="135" t="s">
        <v>87</v>
      </c>
      <c r="AV693" s="113" t="s">
        <v>87</v>
      </c>
      <c r="AW693" s="113" t="s">
        <v>33</v>
      </c>
      <c r="AX693" s="113" t="s">
        <v>77</v>
      </c>
      <c r="AY693" s="135" t="s">
        <v>211</v>
      </c>
    </row>
    <row r="694" spans="2:65" s="113" customFormat="1">
      <c r="B694" s="119"/>
      <c r="D694" s="105" t="s">
        <v>365</v>
      </c>
      <c r="E694" s="135" t="s">
        <v>1</v>
      </c>
      <c r="F694" s="120" t="s">
        <v>976</v>
      </c>
      <c r="H694" s="121">
        <v>337.75599999999997</v>
      </c>
      <c r="I694" s="128"/>
      <c r="L694" s="119"/>
      <c r="M694" s="129"/>
      <c r="T694" s="133"/>
      <c r="AT694" s="135" t="s">
        <v>365</v>
      </c>
      <c r="AU694" s="135" t="s">
        <v>87</v>
      </c>
      <c r="AV694" s="113" t="s">
        <v>87</v>
      </c>
      <c r="AW694" s="113" t="s">
        <v>33</v>
      </c>
      <c r="AX694" s="113" t="s">
        <v>77</v>
      </c>
      <c r="AY694" s="135" t="s">
        <v>211</v>
      </c>
    </row>
    <row r="695" spans="2:65" s="154" customFormat="1">
      <c r="B695" s="156"/>
      <c r="D695" s="105" t="s">
        <v>365</v>
      </c>
      <c r="E695" s="157" t="s">
        <v>1</v>
      </c>
      <c r="F695" s="158" t="s">
        <v>741</v>
      </c>
      <c r="H695" s="159">
        <v>1282.05</v>
      </c>
      <c r="I695" s="160"/>
      <c r="L695" s="156"/>
      <c r="M695" s="161"/>
      <c r="T695" s="162"/>
      <c r="AT695" s="157" t="s">
        <v>365</v>
      </c>
      <c r="AU695" s="157" t="s">
        <v>87</v>
      </c>
      <c r="AV695" s="154" t="s">
        <v>137</v>
      </c>
      <c r="AW695" s="154" t="s">
        <v>33</v>
      </c>
      <c r="AX695" s="154" t="s">
        <v>77</v>
      </c>
      <c r="AY695" s="157" t="s">
        <v>211</v>
      </c>
    </row>
    <row r="696" spans="2:65" s="136" customFormat="1">
      <c r="B696" s="138"/>
      <c r="D696" s="105" t="s">
        <v>365</v>
      </c>
      <c r="E696" s="139" t="s">
        <v>1</v>
      </c>
      <c r="F696" s="140" t="s">
        <v>977</v>
      </c>
      <c r="H696" s="139" t="s">
        <v>1</v>
      </c>
      <c r="I696" s="146"/>
      <c r="L696" s="138"/>
      <c r="M696" s="147"/>
      <c r="T696" s="150"/>
      <c r="AT696" s="139" t="s">
        <v>365</v>
      </c>
      <c r="AU696" s="139" t="s">
        <v>87</v>
      </c>
      <c r="AV696" s="136" t="s">
        <v>85</v>
      </c>
      <c r="AW696" s="136" t="s">
        <v>33</v>
      </c>
      <c r="AX696" s="136" t="s">
        <v>77</v>
      </c>
      <c r="AY696" s="139" t="s">
        <v>211</v>
      </c>
    </row>
    <row r="697" spans="2:65" s="113" customFormat="1">
      <c r="B697" s="119"/>
      <c r="D697" s="105" t="s">
        <v>365</v>
      </c>
      <c r="E697" s="135" t="s">
        <v>1</v>
      </c>
      <c r="F697" s="120" t="s">
        <v>978</v>
      </c>
      <c r="H697" s="121">
        <v>520.46699999999998</v>
      </c>
      <c r="I697" s="128"/>
      <c r="L697" s="119"/>
      <c r="M697" s="129"/>
      <c r="T697" s="133"/>
      <c r="AT697" s="135" t="s">
        <v>365</v>
      </c>
      <c r="AU697" s="135" t="s">
        <v>87</v>
      </c>
      <c r="AV697" s="113" t="s">
        <v>87</v>
      </c>
      <c r="AW697" s="113" t="s">
        <v>33</v>
      </c>
      <c r="AX697" s="113" t="s">
        <v>77</v>
      </c>
      <c r="AY697" s="135" t="s">
        <v>211</v>
      </c>
    </row>
    <row r="698" spans="2:65" s="113" customFormat="1">
      <c r="B698" s="119"/>
      <c r="D698" s="105" t="s">
        <v>365</v>
      </c>
      <c r="E698" s="135" t="s">
        <v>1</v>
      </c>
      <c r="F698" s="120" t="s">
        <v>979</v>
      </c>
      <c r="H698" s="121">
        <v>520.46699999999998</v>
      </c>
      <c r="I698" s="128"/>
      <c r="L698" s="119"/>
      <c r="M698" s="129"/>
      <c r="T698" s="133"/>
      <c r="AT698" s="135" t="s">
        <v>365</v>
      </c>
      <c r="AU698" s="135" t="s">
        <v>87</v>
      </c>
      <c r="AV698" s="113" t="s">
        <v>87</v>
      </c>
      <c r="AW698" s="113" t="s">
        <v>33</v>
      </c>
      <c r="AX698" s="113" t="s">
        <v>77</v>
      </c>
      <c r="AY698" s="135" t="s">
        <v>211</v>
      </c>
    </row>
    <row r="699" spans="2:65" s="113" customFormat="1">
      <c r="B699" s="119"/>
      <c r="D699" s="105" t="s">
        <v>365</v>
      </c>
      <c r="E699" s="135" t="s">
        <v>1</v>
      </c>
      <c r="F699" s="120" t="s">
        <v>980</v>
      </c>
      <c r="H699" s="121">
        <v>429.024</v>
      </c>
      <c r="I699" s="128"/>
      <c r="L699" s="119"/>
      <c r="M699" s="129"/>
      <c r="T699" s="133"/>
      <c r="AT699" s="135" t="s">
        <v>365</v>
      </c>
      <c r="AU699" s="135" t="s">
        <v>87</v>
      </c>
      <c r="AV699" s="113" t="s">
        <v>87</v>
      </c>
      <c r="AW699" s="113" t="s">
        <v>33</v>
      </c>
      <c r="AX699" s="113" t="s">
        <v>77</v>
      </c>
      <c r="AY699" s="135" t="s">
        <v>211</v>
      </c>
    </row>
    <row r="700" spans="2:65" s="113" customFormat="1">
      <c r="B700" s="119"/>
      <c r="D700" s="105" t="s">
        <v>365</v>
      </c>
      <c r="E700" s="135" t="s">
        <v>1</v>
      </c>
      <c r="F700" s="120" t="s">
        <v>981</v>
      </c>
      <c r="H700" s="121">
        <v>527.37800000000004</v>
      </c>
      <c r="I700" s="128"/>
      <c r="L700" s="119"/>
      <c r="M700" s="129"/>
      <c r="T700" s="133"/>
      <c r="AT700" s="135" t="s">
        <v>365</v>
      </c>
      <c r="AU700" s="135" t="s">
        <v>87</v>
      </c>
      <c r="AV700" s="113" t="s">
        <v>87</v>
      </c>
      <c r="AW700" s="113" t="s">
        <v>33</v>
      </c>
      <c r="AX700" s="113" t="s">
        <v>77</v>
      </c>
      <c r="AY700" s="135" t="s">
        <v>211</v>
      </c>
    </row>
    <row r="701" spans="2:65" s="154" customFormat="1">
      <c r="B701" s="156"/>
      <c r="D701" s="105" t="s">
        <v>365</v>
      </c>
      <c r="E701" s="157" t="s">
        <v>1</v>
      </c>
      <c r="F701" s="158" t="s">
        <v>741</v>
      </c>
      <c r="H701" s="159">
        <v>1997.336</v>
      </c>
      <c r="I701" s="160"/>
      <c r="L701" s="156"/>
      <c r="M701" s="161"/>
      <c r="T701" s="162"/>
      <c r="AT701" s="157" t="s">
        <v>365</v>
      </c>
      <c r="AU701" s="157" t="s">
        <v>87</v>
      </c>
      <c r="AV701" s="154" t="s">
        <v>137</v>
      </c>
      <c r="AW701" s="154" t="s">
        <v>33</v>
      </c>
      <c r="AX701" s="154" t="s">
        <v>77</v>
      </c>
      <c r="AY701" s="157" t="s">
        <v>211</v>
      </c>
    </row>
    <row r="702" spans="2:65" s="136" customFormat="1">
      <c r="B702" s="138"/>
      <c r="D702" s="105" t="s">
        <v>365</v>
      </c>
      <c r="E702" s="139" t="s">
        <v>1</v>
      </c>
      <c r="F702" s="140" t="s">
        <v>982</v>
      </c>
      <c r="H702" s="139" t="s">
        <v>1</v>
      </c>
      <c r="I702" s="146"/>
      <c r="L702" s="138"/>
      <c r="M702" s="147"/>
      <c r="T702" s="150"/>
      <c r="AT702" s="139" t="s">
        <v>365</v>
      </c>
      <c r="AU702" s="139" t="s">
        <v>87</v>
      </c>
      <c r="AV702" s="136" t="s">
        <v>85</v>
      </c>
      <c r="AW702" s="136" t="s">
        <v>33</v>
      </c>
      <c r="AX702" s="136" t="s">
        <v>77</v>
      </c>
      <c r="AY702" s="139" t="s">
        <v>211</v>
      </c>
    </row>
    <row r="703" spans="2:65" s="113" customFormat="1">
      <c r="B703" s="119"/>
      <c r="D703" s="105" t="s">
        <v>365</v>
      </c>
      <c r="E703" s="135" t="s">
        <v>1</v>
      </c>
      <c r="F703" s="120" t="s">
        <v>983</v>
      </c>
      <c r="H703" s="121">
        <v>103.878</v>
      </c>
      <c r="I703" s="128"/>
      <c r="L703" s="119"/>
      <c r="M703" s="129"/>
      <c r="T703" s="133"/>
      <c r="AT703" s="135" t="s">
        <v>365</v>
      </c>
      <c r="AU703" s="135" t="s">
        <v>87</v>
      </c>
      <c r="AV703" s="113" t="s">
        <v>87</v>
      </c>
      <c r="AW703" s="113" t="s">
        <v>33</v>
      </c>
      <c r="AX703" s="113" t="s">
        <v>77</v>
      </c>
      <c r="AY703" s="135" t="s">
        <v>211</v>
      </c>
    </row>
    <row r="704" spans="2:65" s="113" customFormat="1">
      <c r="B704" s="119"/>
      <c r="D704" s="105" t="s">
        <v>365</v>
      </c>
      <c r="E704" s="135" t="s">
        <v>1</v>
      </c>
      <c r="F704" s="120" t="s">
        <v>984</v>
      </c>
      <c r="H704" s="121">
        <v>103.878</v>
      </c>
      <c r="I704" s="128"/>
      <c r="L704" s="119"/>
      <c r="M704" s="129"/>
      <c r="T704" s="133"/>
      <c r="AT704" s="135" t="s">
        <v>365</v>
      </c>
      <c r="AU704" s="135" t="s">
        <v>87</v>
      </c>
      <c r="AV704" s="113" t="s">
        <v>87</v>
      </c>
      <c r="AW704" s="113" t="s">
        <v>33</v>
      </c>
      <c r="AX704" s="113" t="s">
        <v>77</v>
      </c>
      <c r="AY704" s="135" t="s">
        <v>211</v>
      </c>
    </row>
    <row r="705" spans="2:65" s="113" customFormat="1">
      <c r="B705" s="119"/>
      <c r="D705" s="105" t="s">
        <v>365</v>
      </c>
      <c r="E705" s="135" t="s">
        <v>1</v>
      </c>
      <c r="F705" s="120" t="s">
        <v>985</v>
      </c>
      <c r="H705" s="121">
        <v>89.201999999999998</v>
      </c>
      <c r="I705" s="128"/>
      <c r="L705" s="119"/>
      <c r="M705" s="129"/>
      <c r="T705" s="133"/>
      <c r="AT705" s="135" t="s">
        <v>365</v>
      </c>
      <c r="AU705" s="135" t="s">
        <v>87</v>
      </c>
      <c r="AV705" s="113" t="s">
        <v>87</v>
      </c>
      <c r="AW705" s="113" t="s">
        <v>33</v>
      </c>
      <c r="AX705" s="113" t="s">
        <v>77</v>
      </c>
      <c r="AY705" s="135" t="s">
        <v>211</v>
      </c>
    </row>
    <row r="706" spans="2:65" s="113" customFormat="1">
      <c r="B706" s="119"/>
      <c r="D706" s="105" t="s">
        <v>365</v>
      </c>
      <c r="E706" s="135" t="s">
        <v>1</v>
      </c>
      <c r="F706" s="120" t="s">
        <v>986</v>
      </c>
      <c r="H706" s="121">
        <v>98.376000000000005</v>
      </c>
      <c r="I706" s="128"/>
      <c r="L706" s="119"/>
      <c r="M706" s="129"/>
      <c r="T706" s="133"/>
      <c r="AT706" s="135" t="s">
        <v>365</v>
      </c>
      <c r="AU706" s="135" t="s">
        <v>87</v>
      </c>
      <c r="AV706" s="113" t="s">
        <v>87</v>
      </c>
      <c r="AW706" s="113" t="s">
        <v>33</v>
      </c>
      <c r="AX706" s="113" t="s">
        <v>77</v>
      </c>
      <c r="AY706" s="135" t="s">
        <v>211</v>
      </c>
    </row>
    <row r="707" spans="2:65" s="154" customFormat="1">
      <c r="B707" s="156"/>
      <c r="D707" s="105" t="s">
        <v>365</v>
      </c>
      <c r="E707" s="157" t="s">
        <v>1</v>
      </c>
      <c r="F707" s="158" t="s">
        <v>741</v>
      </c>
      <c r="H707" s="159">
        <v>395.334</v>
      </c>
      <c r="I707" s="160"/>
      <c r="L707" s="156"/>
      <c r="M707" s="161"/>
      <c r="T707" s="162"/>
      <c r="AT707" s="157" t="s">
        <v>365</v>
      </c>
      <c r="AU707" s="157" t="s">
        <v>87</v>
      </c>
      <c r="AV707" s="154" t="s">
        <v>137</v>
      </c>
      <c r="AW707" s="154" t="s">
        <v>33</v>
      </c>
      <c r="AX707" s="154" t="s">
        <v>77</v>
      </c>
      <c r="AY707" s="157" t="s">
        <v>211</v>
      </c>
    </row>
    <row r="708" spans="2:65" s="136" customFormat="1">
      <c r="B708" s="138"/>
      <c r="D708" s="105" t="s">
        <v>365</v>
      </c>
      <c r="E708" s="139" t="s">
        <v>1</v>
      </c>
      <c r="F708" s="140" t="s">
        <v>982</v>
      </c>
      <c r="H708" s="139" t="s">
        <v>1</v>
      </c>
      <c r="I708" s="146"/>
      <c r="L708" s="138"/>
      <c r="M708" s="147"/>
      <c r="T708" s="150"/>
      <c r="AT708" s="139" t="s">
        <v>365</v>
      </c>
      <c r="AU708" s="139" t="s">
        <v>87</v>
      </c>
      <c r="AV708" s="136" t="s">
        <v>85</v>
      </c>
      <c r="AW708" s="136" t="s">
        <v>33</v>
      </c>
      <c r="AX708" s="136" t="s">
        <v>77</v>
      </c>
      <c r="AY708" s="139" t="s">
        <v>211</v>
      </c>
    </row>
    <row r="709" spans="2:65" s="136" customFormat="1">
      <c r="B709" s="138"/>
      <c r="D709" s="105" t="s">
        <v>365</v>
      </c>
      <c r="E709" s="139" t="s">
        <v>1</v>
      </c>
      <c r="F709" s="140" t="s">
        <v>987</v>
      </c>
      <c r="H709" s="139" t="s">
        <v>1</v>
      </c>
      <c r="I709" s="146"/>
      <c r="L709" s="138"/>
      <c r="M709" s="147"/>
      <c r="T709" s="150"/>
      <c r="AT709" s="139" t="s">
        <v>365</v>
      </c>
      <c r="AU709" s="139" t="s">
        <v>87</v>
      </c>
      <c r="AV709" s="136" t="s">
        <v>85</v>
      </c>
      <c r="AW709" s="136" t="s">
        <v>33</v>
      </c>
      <c r="AX709" s="136" t="s">
        <v>77</v>
      </c>
      <c r="AY709" s="139" t="s">
        <v>211</v>
      </c>
    </row>
    <row r="710" spans="2:65" s="113" customFormat="1">
      <c r="B710" s="119"/>
      <c r="D710" s="105" t="s">
        <v>365</v>
      </c>
      <c r="E710" s="135" t="s">
        <v>1</v>
      </c>
      <c r="F710" s="120" t="s">
        <v>988</v>
      </c>
      <c r="H710" s="121">
        <v>39.171999999999997</v>
      </c>
      <c r="I710" s="128"/>
      <c r="L710" s="119"/>
      <c r="M710" s="129"/>
      <c r="T710" s="133"/>
      <c r="AT710" s="135" t="s">
        <v>365</v>
      </c>
      <c r="AU710" s="135" t="s">
        <v>87</v>
      </c>
      <c r="AV710" s="113" t="s">
        <v>87</v>
      </c>
      <c r="AW710" s="113" t="s">
        <v>33</v>
      </c>
      <c r="AX710" s="113" t="s">
        <v>77</v>
      </c>
      <c r="AY710" s="135" t="s">
        <v>211</v>
      </c>
    </row>
    <row r="711" spans="2:65" s="113" customFormat="1">
      <c r="B711" s="119"/>
      <c r="D711" s="105" t="s">
        <v>365</v>
      </c>
      <c r="E711" s="135" t="s">
        <v>1</v>
      </c>
      <c r="F711" s="120" t="s">
        <v>989</v>
      </c>
      <c r="H711" s="121">
        <v>39.171999999999997</v>
      </c>
      <c r="I711" s="128"/>
      <c r="L711" s="119"/>
      <c r="M711" s="129"/>
      <c r="T711" s="133"/>
      <c r="AT711" s="135" t="s">
        <v>365</v>
      </c>
      <c r="AU711" s="135" t="s">
        <v>87</v>
      </c>
      <c r="AV711" s="113" t="s">
        <v>87</v>
      </c>
      <c r="AW711" s="113" t="s">
        <v>33</v>
      </c>
      <c r="AX711" s="113" t="s">
        <v>77</v>
      </c>
      <c r="AY711" s="135" t="s">
        <v>211</v>
      </c>
    </row>
    <row r="712" spans="2:65" s="136" customFormat="1">
      <c r="B712" s="138"/>
      <c r="D712" s="105" t="s">
        <v>365</v>
      </c>
      <c r="E712" s="139" t="s">
        <v>1</v>
      </c>
      <c r="F712" s="140" t="s">
        <v>990</v>
      </c>
      <c r="H712" s="139" t="s">
        <v>1</v>
      </c>
      <c r="I712" s="146"/>
      <c r="L712" s="138"/>
      <c r="M712" s="147"/>
      <c r="T712" s="150"/>
      <c r="AT712" s="139" t="s">
        <v>365</v>
      </c>
      <c r="AU712" s="139" t="s">
        <v>87</v>
      </c>
      <c r="AV712" s="136" t="s">
        <v>85</v>
      </c>
      <c r="AW712" s="136" t="s">
        <v>33</v>
      </c>
      <c r="AX712" s="136" t="s">
        <v>77</v>
      </c>
      <c r="AY712" s="139" t="s">
        <v>211</v>
      </c>
    </row>
    <row r="713" spans="2:65" s="136" customFormat="1">
      <c r="B713" s="138"/>
      <c r="D713" s="105" t="s">
        <v>365</v>
      </c>
      <c r="E713" s="139" t="s">
        <v>1</v>
      </c>
      <c r="F713" s="140" t="s">
        <v>721</v>
      </c>
      <c r="H713" s="139" t="s">
        <v>1</v>
      </c>
      <c r="I713" s="146"/>
      <c r="L713" s="138"/>
      <c r="M713" s="147"/>
      <c r="T713" s="150"/>
      <c r="AT713" s="139" t="s">
        <v>365</v>
      </c>
      <c r="AU713" s="139" t="s">
        <v>87</v>
      </c>
      <c r="AV713" s="136" t="s">
        <v>85</v>
      </c>
      <c r="AW713" s="136" t="s">
        <v>33</v>
      </c>
      <c r="AX713" s="136" t="s">
        <v>77</v>
      </c>
      <c r="AY713" s="139" t="s">
        <v>211</v>
      </c>
    </row>
    <row r="714" spans="2:65" s="154" customFormat="1">
      <c r="B714" s="156"/>
      <c r="D714" s="105" t="s">
        <v>365</v>
      </c>
      <c r="E714" s="157" t="s">
        <v>1</v>
      </c>
      <c r="F714" s="158" t="s">
        <v>741</v>
      </c>
      <c r="H714" s="159">
        <v>78.343999999999994</v>
      </c>
      <c r="I714" s="160"/>
      <c r="L714" s="156"/>
      <c r="M714" s="161"/>
      <c r="T714" s="162"/>
      <c r="AT714" s="157" t="s">
        <v>365</v>
      </c>
      <c r="AU714" s="157" t="s">
        <v>87</v>
      </c>
      <c r="AV714" s="154" t="s">
        <v>137</v>
      </c>
      <c r="AW714" s="154" t="s">
        <v>33</v>
      </c>
      <c r="AX714" s="154" t="s">
        <v>77</v>
      </c>
      <c r="AY714" s="157" t="s">
        <v>211</v>
      </c>
    </row>
    <row r="715" spans="2:65" s="113" customFormat="1">
      <c r="B715" s="119"/>
      <c r="D715" s="105" t="s">
        <v>365</v>
      </c>
      <c r="E715" s="135" t="s">
        <v>1</v>
      </c>
      <c r="F715" s="120" t="s">
        <v>991</v>
      </c>
      <c r="H715" s="121">
        <v>16.806999999999999</v>
      </c>
      <c r="I715" s="128"/>
      <c r="L715" s="119"/>
      <c r="M715" s="129"/>
      <c r="T715" s="133"/>
      <c r="AT715" s="135" t="s">
        <v>365</v>
      </c>
      <c r="AU715" s="135" t="s">
        <v>87</v>
      </c>
      <c r="AV715" s="113" t="s">
        <v>87</v>
      </c>
      <c r="AW715" s="113" t="s">
        <v>33</v>
      </c>
      <c r="AX715" s="113" t="s">
        <v>77</v>
      </c>
      <c r="AY715" s="135" t="s">
        <v>211</v>
      </c>
    </row>
    <row r="716" spans="2:65" s="154" customFormat="1">
      <c r="B716" s="156"/>
      <c r="D716" s="105" t="s">
        <v>365</v>
      </c>
      <c r="E716" s="157" t="s">
        <v>1</v>
      </c>
      <c r="F716" s="158" t="s">
        <v>741</v>
      </c>
      <c r="H716" s="159">
        <v>16.806999999999999</v>
      </c>
      <c r="I716" s="160"/>
      <c r="L716" s="156"/>
      <c r="M716" s="161"/>
      <c r="T716" s="162"/>
      <c r="AT716" s="157" t="s">
        <v>365</v>
      </c>
      <c r="AU716" s="157" t="s">
        <v>87</v>
      </c>
      <c r="AV716" s="154" t="s">
        <v>137</v>
      </c>
      <c r="AW716" s="154" t="s">
        <v>33</v>
      </c>
      <c r="AX716" s="154" t="s">
        <v>77</v>
      </c>
      <c r="AY716" s="157" t="s">
        <v>211</v>
      </c>
    </row>
    <row r="717" spans="2:65" s="113" customFormat="1">
      <c r="B717" s="119"/>
      <c r="D717" s="105" t="s">
        <v>365</v>
      </c>
      <c r="E717" s="135" t="s">
        <v>1</v>
      </c>
      <c r="F717" s="120" t="s">
        <v>992</v>
      </c>
      <c r="H717" s="121">
        <v>807.28200000000004</v>
      </c>
      <c r="I717" s="128"/>
      <c r="L717" s="119"/>
      <c r="M717" s="129"/>
      <c r="T717" s="133"/>
      <c r="AT717" s="135" t="s">
        <v>365</v>
      </c>
      <c r="AU717" s="135" t="s">
        <v>87</v>
      </c>
      <c r="AV717" s="113" t="s">
        <v>87</v>
      </c>
      <c r="AW717" s="113" t="s">
        <v>33</v>
      </c>
      <c r="AX717" s="113" t="s">
        <v>77</v>
      </c>
      <c r="AY717" s="135" t="s">
        <v>211</v>
      </c>
    </row>
    <row r="718" spans="2:65" s="137" customFormat="1">
      <c r="B718" s="141"/>
      <c r="D718" s="105" t="s">
        <v>365</v>
      </c>
      <c r="E718" s="142" t="s">
        <v>1</v>
      </c>
      <c r="F718" s="143" t="s">
        <v>368</v>
      </c>
      <c r="H718" s="144">
        <v>4577.1530000000002</v>
      </c>
      <c r="I718" s="148"/>
      <c r="L718" s="141"/>
      <c r="M718" s="149"/>
      <c r="T718" s="151"/>
      <c r="AT718" s="142" t="s">
        <v>365</v>
      </c>
      <c r="AU718" s="142" t="s">
        <v>87</v>
      </c>
      <c r="AV718" s="137" t="s">
        <v>218</v>
      </c>
      <c r="AW718" s="137" t="s">
        <v>33</v>
      </c>
      <c r="AX718" s="137" t="s">
        <v>85</v>
      </c>
      <c r="AY718" s="142" t="s">
        <v>211</v>
      </c>
    </row>
    <row r="719" spans="2:65" s="1" customFormat="1" ht="24.15" customHeight="1">
      <c r="B719" s="12"/>
      <c r="C719" s="71" t="s">
        <v>1001</v>
      </c>
      <c r="D719" s="71" t="s">
        <v>214</v>
      </c>
      <c r="E719" s="72" t="s">
        <v>1002</v>
      </c>
      <c r="F719" s="73" t="s">
        <v>1003</v>
      </c>
      <c r="G719" s="74" t="s">
        <v>279</v>
      </c>
      <c r="H719" s="75">
        <v>4577.1530000000002</v>
      </c>
      <c r="I719" s="90">
        <v>180</v>
      </c>
      <c r="J719" s="91">
        <f>ROUND(I719*H719,2)</f>
        <v>823887.54</v>
      </c>
      <c r="K719" s="92"/>
      <c r="L719" s="12"/>
      <c r="M719" s="93" t="s">
        <v>1</v>
      </c>
      <c r="N719" s="94" t="s">
        <v>42</v>
      </c>
      <c r="P719" s="95">
        <f>O719*H719</f>
        <v>0</v>
      </c>
      <c r="Q719" s="95">
        <v>0</v>
      </c>
      <c r="R719" s="95">
        <f>Q719*H719</f>
        <v>0</v>
      </c>
      <c r="S719" s="95">
        <v>0</v>
      </c>
      <c r="T719" s="99">
        <f>S719*H719</f>
        <v>0</v>
      </c>
      <c r="AR719" s="101" t="s">
        <v>218</v>
      </c>
      <c r="AT719" s="101" t="s">
        <v>214</v>
      </c>
      <c r="AU719" s="101" t="s">
        <v>87</v>
      </c>
      <c r="AY719" s="23" t="s">
        <v>211</v>
      </c>
      <c r="BE719" s="104">
        <f>IF(N719="základní",J719,0)</f>
        <v>823887.54</v>
      </c>
      <c r="BF719" s="104">
        <f>IF(N719="snížená",J719,0)</f>
        <v>0</v>
      </c>
      <c r="BG719" s="104">
        <f>IF(N719="zákl. přenesená",J719,0)</f>
        <v>0</v>
      </c>
      <c r="BH719" s="104">
        <f>IF(N719="sníž. přenesená",J719,0)</f>
        <v>0</v>
      </c>
      <c r="BI719" s="104">
        <f>IF(N719="nulová",J719,0)</f>
        <v>0</v>
      </c>
      <c r="BJ719" s="23" t="s">
        <v>85</v>
      </c>
      <c r="BK719" s="104">
        <f>ROUND(I719*H719,2)</f>
        <v>823887.54</v>
      </c>
      <c r="BL719" s="23" t="s">
        <v>218</v>
      </c>
      <c r="BM719" s="101" t="s">
        <v>1004</v>
      </c>
    </row>
    <row r="720" spans="2:65" s="136" customFormat="1">
      <c r="B720" s="138"/>
      <c r="D720" s="105" t="s">
        <v>365</v>
      </c>
      <c r="E720" s="139" t="s">
        <v>1</v>
      </c>
      <c r="F720" s="140" t="s">
        <v>972</v>
      </c>
      <c r="H720" s="139" t="s">
        <v>1</v>
      </c>
      <c r="I720" s="146"/>
      <c r="L720" s="138"/>
      <c r="M720" s="147"/>
      <c r="T720" s="150"/>
      <c r="AT720" s="139" t="s">
        <v>365</v>
      </c>
      <c r="AU720" s="139" t="s">
        <v>87</v>
      </c>
      <c r="AV720" s="136" t="s">
        <v>85</v>
      </c>
      <c r="AW720" s="136" t="s">
        <v>33</v>
      </c>
      <c r="AX720" s="136" t="s">
        <v>77</v>
      </c>
      <c r="AY720" s="139" t="s">
        <v>211</v>
      </c>
    </row>
    <row r="721" spans="2:51" s="113" customFormat="1">
      <c r="B721" s="119"/>
      <c r="D721" s="105" t="s">
        <v>365</v>
      </c>
      <c r="E721" s="135" t="s">
        <v>1</v>
      </c>
      <c r="F721" s="120" t="s">
        <v>973</v>
      </c>
      <c r="H721" s="121">
        <v>334.94400000000002</v>
      </c>
      <c r="I721" s="128"/>
      <c r="L721" s="119"/>
      <c r="M721" s="129"/>
      <c r="T721" s="133"/>
      <c r="AT721" s="135" t="s">
        <v>365</v>
      </c>
      <c r="AU721" s="135" t="s">
        <v>87</v>
      </c>
      <c r="AV721" s="113" t="s">
        <v>87</v>
      </c>
      <c r="AW721" s="113" t="s">
        <v>33</v>
      </c>
      <c r="AX721" s="113" t="s">
        <v>77</v>
      </c>
      <c r="AY721" s="135" t="s">
        <v>211</v>
      </c>
    </row>
    <row r="722" spans="2:51" s="113" customFormat="1">
      <c r="B722" s="119"/>
      <c r="D722" s="105" t="s">
        <v>365</v>
      </c>
      <c r="E722" s="135" t="s">
        <v>1</v>
      </c>
      <c r="F722" s="120" t="s">
        <v>974</v>
      </c>
      <c r="H722" s="121">
        <v>334.94400000000002</v>
      </c>
      <c r="I722" s="128"/>
      <c r="L722" s="119"/>
      <c r="M722" s="129"/>
      <c r="T722" s="133"/>
      <c r="AT722" s="135" t="s">
        <v>365</v>
      </c>
      <c r="AU722" s="135" t="s">
        <v>87</v>
      </c>
      <c r="AV722" s="113" t="s">
        <v>87</v>
      </c>
      <c r="AW722" s="113" t="s">
        <v>33</v>
      </c>
      <c r="AX722" s="113" t="s">
        <v>77</v>
      </c>
      <c r="AY722" s="135" t="s">
        <v>211</v>
      </c>
    </row>
    <row r="723" spans="2:51" s="113" customFormat="1">
      <c r="B723" s="119"/>
      <c r="D723" s="105" t="s">
        <v>365</v>
      </c>
      <c r="E723" s="135" t="s">
        <v>1</v>
      </c>
      <c r="F723" s="120" t="s">
        <v>975</v>
      </c>
      <c r="H723" s="121">
        <v>274.40600000000001</v>
      </c>
      <c r="I723" s="128"/>
      <c r="L723" s="119"/>
      <c r="M723" s="129"/>
      <c r="T723" s="133"/>
      <c r="AT723" s="135" t="s">
        <v>365</v>
      </c>
      <c r="AU723" s="135" t="s">
        <v>87</v>
      </c>
      <c r="AV723" s="113" t="s">
        <v>87</v>
      </c>
      <c r="AW723" s="113" t="s">
        <v>33</v>
      </c>
      <c r="AX723" s="113" t="s">
        <v>77</v>
      </c>
      <c r="AY723" s="135" t="s">
        <v>211</v>
      </c>
    </row>
    <row r="724" spans="2:51" s="113" customFormat="1">
      <c r="B724" s="119"/>
      <c r="D724" s="105" t="s">
        <v>365</v>
      </c>
      <c r="E724" s="135" t="s">
        <v>1</v>
      </c>
      <c r="F724" s="120" t="s">
        <v>976</v>
      </c>
      <c r="H724" s="121">
        <v>337.75599999999997</v>
      </c>
      <c r="I724" s="128"/>
      <c r="L724" s="119"/>
      <c r="M724" s="129"/>
      <c r="T724" s="133"/>
      <c r="AT724" s="135" t="s">
        <v>365</v>
      </c>
      <c r="AU724" s="135" t="s">
        <v>87</v>
      </c>
      <c r="AV724" s="113" t="s">
        <v>87</v>
      </c>
      <c r="AW724" s="113" t="s">
        <v>33</v>
      </c>
      <c r="AX724" s="113" t="s">
        <v>77</v>
      </c>
      <c r="AY724" s="135" t="s">
        <v>211</v>
      </c>
    </row>
    <row r="725" spans="2:51" s="154" customFormat="1">
      <c r="B725" s="156"/>
      <c r="D725" s="105" t="s">
        <v>365</v>
      </c>
      <c r="E725" s="157" t="s">
        <v>1</v>
      </c>
      <c r="F725" s="158" t="s">
        <v>741</v>
      </c>
      <c r="H725" s="159">
        <v>1282.05</v>
      </c>
      <c r="I725" s="160"/>
      <c r="L725" s="156"/>
      <c r="M725" s="161"/>
      <c r="T725" s="162"/>
      <c r="AT725" s="157" t="s">
        <v>365</v>
      </c>
      <c r="AU725" s="157" t="s">
        <v>87</v>
      </c>
      <c r="AV725" s="154" t="s">
        <v>137</v>
      </c>
      <c r="AW725" s="154" t="s">
        <v>33</v>
      </c>
      <c r="AX725" s="154" t="s">
        <v>77</v>
      </c>
      <c r="AY725" s="157" t="s">
        <v>211</v>
      </c>
    </row>
    <row r="726" spans="2:51" s="136" customFormat="1">
      <c r="B726" s="138"/>
      <c r="D726" s="105" t="s">
        <v>365</v>
      </c>
      <c r="E726" s="139" t="s">
        <v>1</v>
      </c>
      <c r="F726" s="140" t="s">
        <v>977</v>
      </c>
      <c r="H726" s="139" t="s">
        <v>1</v>
      </c>
      <c r="I726" s="146"/>
      <c r="L726" s="138"/>
      <c r="M726" s="147"/>
      <c r="T726" s="150"/>
      <c r="AT726" s="139" t="s">
        <v>365</v>
      </c>
      <c r="AU726" s="139" t="s">
        <v>87</v>
      </c>
      <c r="AV726" s="136" t="s">
        <v>85</v>
      </c>
      <c r="AW726" s="136" t="s">
        <v>33</v>
      </c>
      <c r="AX726" s="136" t="s">
        <v>77</v>
      </c>
      <c r="AY726" s="139" t="s">
        <v>211</v>
      </c>
    </row>
    <row r="727" spans="2:51" s="113" customFormat="1">
      <c r="B727" s="119"/>
      <c r="D727" s="105" t="s">
        <v>365</v>
      </c>
      <c r="E727" s="135" t="s">
        <v>1</v>
      </c>
      <c r="F727" s="120" t="s">
        <v>978</v>
      </c>
      <c r="H727" s="121">
        <v>520.46699999999998</v>
      </c>
      <c r="I727" s="128"/>
      <c r="L727" s="119"/>
      <c r="M727" s="129"/>
      <c r="T727" s="133"/>
      <c r="AT727" s="135" t="s">
        <v>365</v>
      </c>
      <c r="AU727" s="135" t="s">
        <v>87</v>
      </c>
      <c r="AV727" s="113" t="s">
        <v>87</v>
      </c>
      <c r="AW727" s="113" t="s">
        <v>33</v>
      </c>
      <c r="AX727" s="113" t="s">
        <v>77</v>
      </c>
      <c r="AY727" s="135" t="s">
        <v>211</v>
      </c>
    </row>
    <row r="728" spans="2:51" s="113" customFormat="1">
      <c r="B728" s="119"/>
      <c r="D728" s="105" t="s">
        <v>365</v>
      </c>
      <c r="E728" s="135" t="s">
        <v>1</v>
      </c>
      <c r="F728" s="120" t="s">
        <v>979</v>
      </c>
      <c r="H728" s="121">
        <v>520.46699999999998</v>
      </c>
      <c r="I728" s="128"/>
      <c r="L728" s="119"/>
      <c r="M728" s="129"/>
      <c r="T728" s="133"/>
      <c r="AT728" s="135" t="s">
        <v>365</v>
      </c>
      <c r="AU728" s="135" t="s">
        <v>87</v>
      </c>
      <c r="AV728" s="113" t="s">
        <v>87</v>
      </c>
      <c r="AW728" s="113" t="s">
        <v>33</v>
      </c>
      <c r="AX728" s="113" t="s">
        <v>77</v>
      </c>
      <c r="AY728" s="135" t="s">
        <v>211</v>
      </c>
    </row>
    <row r="729" spans="2:51" s="113" customFormat="1">
      <c r="B729" s="119"/>
      <c r="D729" s="105" t="s">
        <v>365</v>
      </c>
      <c r="E729" s="135" t="s">
        <v>1</v>
      </c>
      <c r="F729" s="120" t="s">
        <v>980</v>
      </c>
      <c r="H729" s="121">
        <v>429.024</v>
      </c>
      <c r="I729" s="128"/>
      <c r="L729" s="119"/>
      <c r="M729" s="129"/>
      <c r="T729" s="133"/>
      <c r="AT729" s="135" t="s">
        <v>365</v>
      </c>
      <c r="AU729" s="135" t="s">
        <v>87</v>
      </c>
      <c r="AV729" s="113" t="s">
        <v>87</v>
      </c>
      <c r="AW729" s="113" t="s">
        <v>33</v>
      </c>
      <c r="AX729" s="113" t="s">
        <v>77</v>
      </c>
      <c r="AY729" s="135" t="s">
        <v>211</v>
      </c>
    </row>
    <row r="730" spans="2:51" s="113" customFormat="1">
      <c r="B730" s="119"/>
      <c r="D730" s="105" t="s">
        <v>365</v>
      </c>
      <c r="E730" s="135" t="s">
        <v>1</v>
      </c>
      <c r="F730" s="120" t="s">
        <v>981</v>
      </c>
      <c r="H730" s="121">
        <v>527.37800000000004</v>
      </c>
      <c r="I730" s="128"/>
      <c r="L730" s="119"/>
      <c r="M730" s="129"/>
      <c r="T730" s="133"/>
      <c r="AT730" s="135" t="s">
        <v>365</v>
      </c>
      <c r="AU730" s="135" t="s">
        <v>87</v>
      </c>
      <c r="AV730" s="113" t="s">
        <v>87</v>
      </c>
      <c r="AW730" s="113" t="s">
        <v>33</v>
      </c>
      <c r="AX730" s="113" t="s">
        <v>77</v>
      </c>
      <c r="AY730" s="135" t="s">
        <v>211</v>
      </c>
    </row>
    <row r="731" spans="2:51" s="154" customFormat="1">
      <c r="B731" s="156"/>
      <c r="D731" s="105" t="s">
        <v>365</v>
      </c>
      <c r="E731" s="157" t="s">
        <v>1</v>
      </c>
      <c r="F731" s="158" t="s">
        <v>741</v>
      </c>
      <c r="H731" s="159">
        <v>1997.336</v>
      </c>
      <c r="I731" s="160"/>
      <c r="L731" s="156"/>
      <c r="M731" s="161"/>
      <c r="T731" s="162"/>
      <c r="AT731" s="157" t="s">
        <v>365</v>
      </c>
      <c r="AU731" s="157" t="s">
        <v>87</v>
      </c>
      <c r="AV731" s="154" t="s">
        <v>137</v>
      </c>
      <c r="AW731" s="154" t="s">
        <v>33</v>
      </c>
      <c r="AX731" s="154" t="s">
        <v>77</v>
      </c>
      <c r="AY731" s="157" t="s">
        <v>211</v>
      </c>
    </row>
    <row r="732" spans="2:51" s="136" customFormat="1">
      <c r="B732" s="138"/>
      <c r="D732" s="105" t="s">
        <v>365</v>
      </c>
      <c r="E732" s="139" t="s">
        <v>1</v>
      </c>
      <c r="F732" s="140" t="s">
        <v>982</v>
      </c>
      <c r="H732" s="139" t="s">
        <v>1</v>
      </c>
      <c r="I732" s="146"/>
      <c r="L732" s="138"/>
      <c r="M732" s="147"/>
      <c r="T732" s="150"/>
      <c r="AT732" s="139" t="s">
        <v>365</v>
      </c>
      <c r="AU732" s="139" t="s">
        <v>87</v>
      </c>
      <c r="AV732" s="136" t="s">
        <v>85</v>
      </c>
      <c r="AW732" s="136" t="s">
        <v>33</v>
      </c>
      <c r="AX732" s="136" t="s">
        <v>77</v>
      </c>
      <c r="AY732" s="139" t="s">
        <v>211</v>
      </c>
    </row>
    <row r="733" spans="2:51" s="113" customFormat="1">
      <c r="B733" s="119"/>
      <c r="D733" s="105" t="s">
        <v>365</v>
      </c>
      <c r="E733" s="135" t="s">
        <v>1</v>
      </c>
      <c r="F733" s="120" t="s">
        <v>983</v>
      </c>
      <c r="H733" s="121">
        <v>103.878</v>
      </c>
      <c r="I733" s="128"/>
      <c r="L733" s="119"/>
      <c r="M733" s="129"/>
      <c r="T733" s="133"/>
      <c r="AT733" s="135" t="s">
        <v>365</v>
      </c>
      <c r="AU733" s="135" t="s">
        <v>87</v>
      </c>
      <c r="AV733" s="113" t="s">
        <v>87</v>
      </c>
      <c r="AW733" s="113" t="s">
        <v>33</v>
      </c>
      <c r="AX733" s="113" t="s">
        <v>77</v>
      </c>
      <c r="AY733" s="135" t="s">
        <v>211</v>
      </c>
    </row>
    <row r="734" spans="2:51" s="113" customFormat="1">
      <c r="B734" s="119"/>
      <c r="D734" s="105" t="s">
        <v>365</v>
      </c>
      <c r="E734" s="135" t="s">
        <v>1</v>
      </c>
      <c r="F734" s="120" t="s">
        <v>984</v>
      </c>
      <c r="H734" s="121">
        <v>103.878</v>
      </c>
      <c r="I734" s="128"/>
      <c r="L734" s="119"/>
      <c r="M734" s="129"/>
      <c r="T734" s="133"/>
      <c r="AT734" s="135" t="s">
        <v>365</v>
      </c>
      <c r="AU734" s="135" t="s">
        <v>87</v>
      </c>
      <c r="AV734" s="113" t="s">
        <v>87</v>
      </c>
      <c r="AW734" s="113" t="s">
        <v>33</v>
      </c>
      <c r="AX734" s="113" t="s">
        <v>77</v>
      </c>
      <c r="AY734" s="135" t="s">
        <v>211</v>
      </c>
    </row>
    <row r="735" spans="2:51" s="113" customFormat="1">
      <c r="B735" s="119"/>
      <c r="D735" s="105" t="s">
        <v>365</v>
      </c>
      <c r="E735" s="135" t="s">
        <v>1</v>
      </c>
      <c r="F735" s="120" t="s">
        <v>985</v>
      </c>
      <c r="H735" s="121">
        <v>89.201999999999998</v>
      </c>
      <c r="I735" s="128"/>
      <c r="L735" s="119"/>
      <c r="M735" s="129"/>
      <c r="T735" s="133"/>
      <c r="AT735" s="135" t="s">
        <v>365</v>
      </c>
      <c r="AU735" s="135" t="s">
        <v>87</v>
      </c>
      <c r="AV735" s="113" t="s">
        <v>87</v>
      </c>
      <c r="AW735" s="113" t="s">
        <v>33</v>
      </c>
      <c r="AX735" s="113" t="s">
        <v>77</v>
      </c>
      <c r="AY735" s="135" t="s">
        <v>211</v>
      </c>
    </row>
    <row r="736" spans="2:51" s="113" customFormat="1">
      <c r="B736" s="119"/>
      <c r="D736" s="105" t="s">
        <v>365</v>
      </c>
      <c r="E736" s="135" t="s">
        <v>1</v>
      </c>
      <c r="F736" s="120" t="s">
        <v>986</v>
      </c>
      <c r="H736" s="121">
        <v>98.376000000000005</v>
      </c>
      <c r="I736" s="128"/>
      <c r="L736" s="119"/>
      <c r="M736" s="129"/>
      <c r="T736" s="133"/>
      <c r="AT736" s="135" t="s">
        <v>365</v>
      </c>
      <c r="AU736" s="135" t="s">
        <v>87</v>
      </c>
      <c r="AV736" s="113" t="s">
        <v>87</v>
      </c>
      <c r="AW736" s="113" t="s">
        <v>33</v>
      </c>
      <c r="AX736" s="113" t="s">
        <v>77</v>
      </c>
      <c r="AY736" s="135" t="s">
        <v>211</v>
      </c>
    </row>
    <row r="737" spans="2:65" s="154" customFormat="1">
      <c r="B737" s="156"/>
      <c r="D737" s="105" t="s">
        <v>365</v>
      </c>
      <c r="E737" s="157" t="s">
        <v>1</v>
      </c>
      <c r="F737" s="158" t="s">
        <v>741</v>
      </c>
      <c r="H737" s="159">
        <v>395.334</v>
      </c>
      <c r="I737" s="160"/>
      <c r="L737" s="156"/>
      <c r="M737" s="161"/>
      <c r="T737" s="162"/>
      <c r="AT737" s="157" t="s">
        <v>365</v>
      </c>
      <c r="AU737" s="157" t="s">
        <v>87</v>
      </c>
      <c r="AV737" s="154" t="s">
        <v>137</v>
      </c>
      <c r="AW737" s="154" t="s">
        <v>33</v>
      </c>
      <c r="AX737" s="154" t="s">
        <v>77</v>
      </c>
      <c r="AY737" s="157" t="s">
        <v>211</v>
      </c>
    </row>
    <row r="738" spans="2:65" s="136" customFormat="1">
      <c r="B738" s="138"/>
      <c r="D738" s="105" t="s">
        <v>365</v>
      </c>
      <c r="E738" s="139" t="s">
        <v>1</v>
      </c>
      <c r="F738" s="140" t="s">
        <v>982</v>
      </c>
      <c r="H738" s="139" t="s">
        <v>1</v>
      </c>
      <c r="I738" s="146"/>
      <c r="L738" s="138"/>
      <c r="M738" s="147"/>
      <c r="T738" s="150"/>
      <c r="AT738" s="139" t="s">
        <v>365</v>
      </c>
      <c r="AU738" s="139" t="s">
        <v>87</v>
      </c>
      <c r="AV738" s="136" t="s">
        <v>85</v>
      </c>
      <c r="AW738" s="136" t="s">
        <v>33</v>
      </c>
      <c r="AX738" s="136" t="s">
        <v>77</v>
      </c>
      <c r="AY738" s="139" t="s">
        <v>211</v>
      </c>
    </row>
    <row r="739" spans="2:65" s="136" customFormat="1">
      <c r="B739" s="138"/>
      <c r="D739" s="105" t="s">
        <v>365</v>
      </c>
      <c r="E739" s="139" t="s">
        <v>1</v>
      </c>
      <c r="F739" s="140" t="s">
        <v>987</v>
      </c>
      <c r="H739" s="139" t="s">
        <v>1</v>
      </c>
      <c r="I739" s="146"/>
      <c r="L739" s="138"/>
      <c r="M739" s="147"/>
      <c r="T739" s="150"/>
      <c r="AT739" s="139" t="s">
        <v>365</v>
      </c>
      <c r="AU739" s="139" t="s">
        <v>87</v>
      </c>
      <c r="AV739" s="136" t="s">
        <v>85</v>
      </c>
      <c r="AW739" s="136" t="s">
        <v>33</v>
      </c>
      <c r="AX739" s="136" t="s">
        <v>77</v>
      </c>
      <c r="AY739" s="139" t="s">
        <v>211</v>
      </c>
    </row>
    <row r="740" spans="2:65" s="113" customFormat="1">
      <c r="B740" s="119"/>
      <c r="D740" s="105" t="s">
        <v>365</v>
      </c>
      <c r="E740" s="135" t="s">
        <v>1</v>
      </c>
      <c r="F740" s="120" t="s">
        <v>988</v>
      </c>
      <c r="H740" s="121">
        <v>39.171999999999997</v>
      </c>
      <c r="I740" s="128"/>
      <c r="L740" s="119"/>
      <c r="M740" s="129"/>
      <c r="T740" s="133"/>
      <c r="AT740" s="135" t="s">
        <v>365</v>
      </c>
      <c r="AU740" s="135" t="s">
        <v>87</v>
      </c>
      <c r="AV740" s="113" t="s">
        <v>87</v>
      </c>
      <c r="AW740" s="113" t="s">
        <v>33</v>
      </c>
      <c r="AX740" s="113" t="s">
        <v>77</v>
      </c>
      <c r="AY740" s="135" t="s">
        <v>211</v>
      </c>
    </row>
    <row r="741" spans="2:65" s="113" customFormat="1">
      <c r="B741" s="119"/>
      <c r="D741" s="105" t="s">
        <v>365</v>
      </c>
      <c r="E741" s="135" t="s">
        <v>1</v>
      </c>
      <c r="F741" s="120" t="s">
        <v>989</v>
      </c>
      <c r="H741" s="121">
        <v>39.171999999999997</v>
      </c>
      <c r="I741" s="128"/>
      <c r="L741" s="119"/>
      <c r="M741" s="129"/>
      <c r="T741" s="133"/>
      <c r="AT741" s="135" t="s">
        <v>365</v>
      </c>
      <c r="AU741" s="135" t="s">
        <v>87</v>
      </c>
      <c r="AV741" s="113" t="s">
        <v>87</v>
      </c>
      <c r="AW741" s="113" t="s">
        <v>33</v>
      </c>
      <c r="AX741" s="113" t="s">
        <v>77</v>
      </c>
      <c r="AY741" s="135" t="s">
        <v>211</v>
      </c>
    </row>
    <row r="742" spans="2:65" s="136" customFormat="1">
      <c r="B742" s="138"/>
      <c r="D742" s="105" t="s">
        <v>365</v>
      </c>
      <c r="E742" s="139" t="s">
        <v>1</v>
      </c>
      <c r="F742" s="140" t="s">
        <v>990</v>
      </c>
      <c r="H742" s="139" t="s">
        <v>1</v>
      </c>
      <c r="I742" s="146"/>
      <c r="L742" s="138"/>
      <c r="M742" s="147"/>
      <c r="T742" s="150"/>
      <c r="AT742" s="139" t="s">
        <v>365</v>
      </c>
      <c r="AU742" s="139" t="s">
        <v>87</v>
      </c>
      <c r="AV742" s="136" t="s">
        <v>85</v>
      </c>
      <c r="AW742" s="136" t="s">
        <v>33</v>
      </c>
      <c r="AX742" s="136" t="s">
        <v>77</v>
      </c>
      <c r="AY742" s="139" t="s">
        <v>211</v>
      </c>
    </row>
    <row r="743" spans="2:65" s="136" customFormat="1">
      <c r="B743" s="138"/>
      <c r="D743" s="105" t="s">
        <v>365</v>
      </c>
      <c r="E743" s="139" t="s">
        <v>1</v>
      </c>
      <c r="F743" s="140" t="s">
        <v>721</v>
      </c>
      <c r="H743" s="139" t="s">
        <v>1</v>
      </c>
      <c r="I743" s="146"/>
      <c r="L743" s="138"/>
      <c r="M743" s="147"/>
      <c r="T743" s="150"/>
      <c r="AT743" s="139" t="s">
        <v>365</v>
      </c>
      <c r="AU743" s="139" t="s">
        <v>87</v>
      </c>
      <c r="AV743" s="136" t="s">
        <v>85</v>
      </c>
      <c r="AW743" s="136" t="s">
        <v>33</v>
      </c>
      <c r="AX743" s="136" t="s">
        <v>77</v>
      </c>
      <c r="AY743" s="139" t="s">
        <v>211</v>
      </c>
    </row>
    <row r="744" spans="2:65" s="154" customFormat="1">
      <c r="B744" s="156"/>
      <c r="D744" s="105" t="s">
        <v>365</v>
      </c>
      <c r="E744" s="157" t="s">
        <v>1</v>
      </c>
      <c r="F744" s="158" t="s">
        <v>741</v>
      </c>
      <c r="H744" s="159">
        <v>78.343999999999994</v>
      </c>
      <c r="I744" s="160"/>
      <c r="L744" s="156"/>
      <c r="M744" s="161"/>
      <c r="T744" s="162"/>
      <c r="AT744" s="157" t="s">
        <v>365</v>
      </c>
      <c r="AU744" s="157" t="s">
        <v>87</v>
      </c>
      <c r="AV744" s="154" t="s">
        <v>137</v>
      </c>
      <c r="AW744" s="154" t="s">
        <v>33</v>
      </c>
      <c r="AX744" s="154" t="s">
        <v>77</v>
      </c>
      <c r="AY744" s="157" t="s">
        <v>211</v>
      </c>
    </row>
    <row r="745" spans="2:65" s="113" customFormat="1">
      <c r="B745" s="119"/>
      <c r="D745" s="105" t="s">
        <v>365</v>
      </c>
      <c r="E745" s="135" t="s">
        <v>1</v>
      </c>
      <c r="F745" s="120" t="s">
        <v>991</v>
      </c>
      <c r="H745" s="121">
        <v>16.806999999999999</v>
      </c>
      <c r="I745" s="128"/>
      <c r="L745" s="119"/>
      <c r="M745" s="129"/>
      <c r="T745" s="133"/>
      <c r="AT745" s="135" t="s">
        <v>365</v>
      </c>
      <c r="AU745" s="135" t="s">
        <v>87</v>
      </c>
      <c r="AV745" s="113" t="s">
        <v>87</v>
      </c>
      <c r="AW745" s="113" t="s">
        <v>33</v>
      </c>
      <c r="AX745" s="113" t="s">
        <v>77</v>
      </c>
      <c r="AY745" s="135" t="s">
        <v>211</v>
      </c>
    </row>
    <row r="746" spans="2:65" s="154" customFormat="1">
      <c r="B746" s="156"/>
      <c r="D746" s="105" t="s">
        <v>365</v>
      </c>
      <c r="E746" s="157" t="s">
        <v>1</v>
      </c>
      <c r="F746" s="158" t="s">
        <v>741</v>
      </c>
      <c r="H746" s="159">
        <v>16.806999999999999</v>
      </c>
      <c r="I746" s="160"/>
      <c r="L746" s="156"/>
      <c r="M746" s="161"/>
      <c r="T746" s="162"/>
      <c r="AT746" s="157" t="s">
        <v>365</v>
      </c>
      <c r="AU746" s="157" t="s">
        <v>87</v>
      </c>
      <c r="AV746" s="154" t="s">
        <v>137</v>
      </c>
      <c r="AW746" s="154" t="s">
        <v>33</v>
      </c>
      <c r="AX746" s="154" t="s">
        <v>77</v>
      </c>
      <c r="AY746" s="157" t="s">
        <v>211</v>
      </c>
    </row>
    <row r="747" spans="2:65" s="113" customFormat="1">
      <c r="B747" s="119"/>
      <c r="D747" s="105" t="s">
        <v>365</v>
      </c>
      <c r="E747" s="135" t="s">
        <v>1</v>
      </c>
      <c r="F747" s="120" t="s">
        <v>992</v>
      </c>
      <c r="H747" s="121">
        <v>807.28200000000004</v>
      </c>
      <c r="I747" s="128"/>
      <c r="L747" s="119"/>
      <c r="M747" s="129"/>
      <c r="T747" s="133"/>
      <c r="AT747" s="135" t="s">
        <v>365</v>
      </c>
      <c r="AU747" s="135" t="s">
        <v>87</v>
      </c>
      <c r="AV747" s="113" t="s">
        <v>87</v>
      </c>
      <c r="AW747" s="113" t="s">
        <v>33</v>
      </c>
      <c r="AX747" s="113" t="s">
        <v>77</v>
      </c>
      <c r="AY747" s="135" t="s">
        <v>211</v>
      </c>
    </row>
    <row r="748" spans="2:65" s="137" customFormat="1">
      <c r="B748" s="141"/>
      <c r="D748" s="105" t="s">
        <v>365</v>
      </c>
      <c r="E748" s="142" t="s">
        <v>1</v>
      </c>
      <c r="F748" s="143" t="s">
        <v>368</v>
      </c>
      <c r="H748" s="144">
        <v>4577.1530000000002</v>
      </c>
      <c r="I748" s="148"/>
      <c r="L748" s="141"/>
      <c r="M748" s="149"/>
      <c r="T748" s="151"/>
      <c r="AT748" s="142" t="s">
        <v>365</v>
      </c>
      <c r="AU748" s="142" t="s">
        <v>87</v>
      </c>
      <c r="AV748" s="137" t="s">
        <v>218</v>
      </c>
      <c r="AW748" s="137" t="s">
        <v>33</v>
      </c>
      <c r="AX748" s="137" t="s">
        <v>85</v>
      </c>
      <c r="AY748" s="142" t="s">
        <v>211</v>
      </c>
    </row>
    <row r="749" spans="2:65" s="1" customFormat="1" ht="16.5" customHeight="1">
      <c r="B749" s="12"/>
      <c r="C749" s="71" t="s">
        <v>1005</v>
      </c>
      <c r="D749" s="71" t="s">
        <v>214</v>
      </c>
      <c r="E749" s="72" t="s">
        <v>1006</v>
      </c>
      <c r="F749" s="73" t="s">
        <v>1007</v>
      </c>
      <c r="G749" s="74" t="s">
        <v>394</v>
      </c>
      <c r="H749" s="75">
        <v>122.157</v>
      </c>
      <c r="I749" s="90">
        <v>48500</v>
      </c>
      <c r="J749" s="91">
        <f>ROUND(I749*H749,2)</f>
        <v>5924614.5</v>
      </c>
      <c r="K749" s="92"/>
      <c r="L749" s="12"/>
      <c r="M749" s="93" t="s">
        <v>1</v>
      </c>
      <c r="N749" s="94" t="s">
        <v>42</v>
      </c>
      <c r="P749" s="95">
        <f>O749*H749</f>
        <v>0</v>
      </c>
      <c r="Q749" s="95">
        <v>1.05555</v>
      </c>
      <c r="R749" s="95">
        <f>Q749*H749</f>
        <v>128.94282135</v>
      </c>
      <c r="S749" s="95">
        <v>0</v>
      </c>
      <c r="T749" s="99">
        <f>S749*H749</f>
        <v>0</v>
      </c>
      <c r="AR749" s="101" t="s">
        <v>218</v>
      </c>
      <c r="AT749" s="101" t="s">
        <v>214</v>
      </c>
      <c r="AU749" s="101" t="s">
        <v>87</v>
      </c>
      <c r="AY749" s="23" t="s">
        <v>211</v>
      </c>
      <c r="BE749" s="104">
        <f>IF(N749="základní",J749,0)</f>
        <v>5924614.5</v>
      </c>
      <c r="BF749" s="104">
        <f>IF(N749="snížená",J749,0)</f>
        <v>0</v>
      </c>
      <c r="BG749" s="104">
        <f>IF(N749="zákl. přenesená",J749,0)</f>
        <v>0</v>
      </c>
      <c r="BH749" s="104">
        <f>IF(N749="sníž. přenesená",J749,0)</f>
        <v>0</v>
      </c>
      <c r="BI749" s="104">
        <f>IF(N749="nulová",J749,0)</f>
        <v>0</v>
      </c>
      <c r="BJ749" s="23" t="s">
        <v>85</v>
      </c>
      <c r="BK749" s="104">
        <f>ROUND(I749*H749,2)</f>
        <v>5924614.5</v>
      </c>
      <c r="BL749" s="23" t="s">
        <v>218</v>
      </c>
      <c r="BM749" s="101" t="s">
        <v>1008</v>
      </c>
    </row>
    <row r="750" spans="2:65" s="113" customFormat="1">
      <c r="B750" s="119"/>
      <c r="D750" s="105" t="s">
        <v>365</v>
      </c>
      <c r="E750" s="135" t="s">
        <v>1</v>
      </c>
      <c r="F750" s="120" t="s">
        <v>1009</v>
      </c>
      <c r="H750" s="121">
        <v>6.859</v>
      </c>
      <c r="I750" s="128"/>
      <c r="L750" s="119"/>
      <c r="M750" s="129"/>
      <c r="T750" s="133"/>
      <c r="AT750" s="135" t="s">
        <v>365</v>
      </c>
      <c r="AU750" s="135" t="s">
        <v>87</v>
      </c>
      <c r="AV750" s="113" t="s">
        <v>87</v>
      </c>
      <c r="AW750" s="113" t="s">
        <v>33</v>
      </c>
      <c r="AX750" s="113" t="s">
        <v>77</v>
      </c>
      <c r="AY750" s="135" t="s">
        <v>211</v>
      </c>
    </row>
    <row r="751" spans="2:65" s="113" customFormat="1">
      <c r="B751" s="119"/>
      <c r="D751" s="105" t="s">
        <v>365</v>
      </c>
      <c r="E751" s="135" t="s">
        <v>1</v>
      </c>
      <c r="F751" s="120" t="s">
        <v>1010</v>
      </c>
      <c r="H751" s="121">
        <v>7.9710000000000001</v>
      </c>
      <c r="I751" s="128"/>
      <c r="L751" s="119"/>
      <c r="M751" s="129"/>
      <c r="T751" s="133"/>
      <c r="AT751" s="135" t="s">
        <v>365</v>
      </c>
      <c r="AU751" s="135" t="s">
        <v>87</v>
      </c>
      <c r="AV751" s="113" t="s">
        <v>87</v>
      </c>
      <c r="AW751" s="113" t="s">
        <v>33</v>
      </c>
      <c r="AX751" s="113" t="s">
        <v>77</v>
      </c>
      <c r="AY751" s="135" t="s">
        <v>211</v>
      </c>
    </row>
    <row r="752" spans="2:65" s="113" customFormat="1">
      <c r="B752" s="119"/>
      <c r="D752" s="105" t="s">
        <v>365</v>
      </c>
      <c r="E752" s="135" t="s">
        <v>1</v>
      </c>
      <c r="F752" s="120" t="s">
        <v>1011</v>
      </c>
      <c r="H752" s="121">
        <v>6.5330000000000004</v>
      </c>
      <c r="I752" s="128"/>
      <c r="L752" s="119"/>
      <c r="M752" s="129"/>
      <c r="T752" s="133"/>
      <c r="AT752" s="135" t="s">
        <v>365</v>
      </c>
      <c r="AU752" s="135" t="s">
        <v>87</v>
      </c>
      <c r="AV752" s="113" t="s">
        <v>87</v>
      </c>
      <c r="AW752" s="113" t="s">
        <v>33</v>
      </c>
      <c r="AX752" s="113" t="s">
        <v>77</v>
      </c>
      <c r="AY752" s="135" t="s">
        <v>211</v>
      </c>
    </row>
    <row r="753" spans="2:51" s="113" customFormat="1">
      <c r="B753" s="119"/>
      <c r="D753" s="105" t="s">
        <v>365</v>
      </c>
      <c r="E753" s="135" t="s">
        <v>1</v>
      </c>
      <c r="F753" s="120" t="s">
        <v>1012</v>
      </c>
      <c r="H753" s="121">
        <v>8.0440000000000005</v>
      </c>
      <c r="I753" s="128"/>
      <c r="L753" s="119"/>
      <c r="M753" s="129"/>
      <c r="T753" s="133"/>
      <c r="AT753" s="135" t="s">
        <v>365</v>
      </c>
      <c r="AU753" s="135" t="s">
        <v>87</v>
      </c>
      <c r="AV753" s="113" t="s">
        <v>87</v>
      </c>
      <c r="AW753" s="113" t="s">
        <v>33</v>
      </c>
      <c r="AX753" s="113" t="s">
        <v>77</v>
      </c>
      <c r="AY753" s="135" t="s">
        <v>211</v>
      </c>
    </row>
    <row r="754" spans="2:51" s="154" customFormat="1">
      <c r="B754" s="156"/>
      <c r="D754" s="105" t="s">
        <v>365</v>
      </c>
      <c r="E754" s="157" t="s">
        <v>1</v>
      </c>
      <c r="F754" s="158" t="s">
        <v>741</v>
      </c>
      <c r="H754" s="159">
        <v>29.407</v>
      </c>
      <c r="I754" s="160"/>
      <c r="L754" s="156"/>
      <c r="M754" s="161"/>
      <c r="T754" s="162"/>
      <c r="AT754" s="157" t="s">
        <v>365</v>
      </c>
      <c r="AU754" s="157" t="s">
        <v>87</v>
      </c>
      <c r="AV754" s="154" t="s">
        <v>137</v>
      </c>
      <c r="AW754" s="154" t="s">
        <v>33</v>
      </c>
      <c r="AX754" s="154" t="s">
        <v>77</v>
      </c>
      <c r="AY754" s="157" t="s">
        <v>211</v>
      </c>
    </row>
    <row r="755" spans="2:51" s="113" customFormat="1">
      <c r="B755" s="119"/>
      <c r="D755" s="105" t="s">
        <v>365</v>
      </c>
      <c r="E755" s="135" t="s">
        <v>1</v>
      </c>
      <c r="F755" s="120" t="s">
        <v>1013</v>
      </c>
      <c r="H755" s="121">
        <v>13.532999999999999</v>
      </c>
      <c r="I755" s="128"/>
      <c r="L755" s="119"/>
      <c r="M755" s="129"/>
      <c r="T755" s="133"/>
      <c r="AT755" s="135" t="s">
        <v>365</v>
      </c>
      <c r="AU755" s="135" t="s">
        <v>87</v>
      </c>
      <c r="AV755" s="113" t="s">
        <v>87</v>
      </c>
      <c r="AW755" s="113" t="s">
        <v>33</v>
      </c>
      <c r="AX755" s="113" t="s">
        <v>77</v>
      </c>
      <c r="AY755" s="135" t="s">
        <v>211</v>
      </c>
    </row>
    <row r="756" spans="2:51" s="113" customFormat="1">
      <c r="B756" s="119"/>
      <c r="D756" s="105" t="s">
        <v>365</v>
      </c>
      <c r="E756" s="135" t="s">
        <v>1</v>
      </c>
      <c r="F756" s="120" t="s">
        <v>1014</v>
      </c>
      <c r="H756" s="121">
        <v>13.734999999999999</v>
      </c>
      <c r="I756" s="128"/>
      <c r="L756" s="119"/>
      <c r="M756" s="129"/>
      <c r="T756" s="133"/>
      <c r="AT756" s="135" t="s">
        <v>365</v>
      </c>
      <c r="AU756" s="135" t="s">
        <v>87</v>
      </c>
      <c r="AV756" s="113" t="s">
        <v>87</v>
      </c>
      <c r="AW756" s="113" t="s">
        <v>33</v>
      </c>
      <c r="AX756" s="113" t="s">
        <v>77</v>
      </c>
      <c r="AY756" s="135" t="s">
        <v>211</v>
      </c>
    </row>
    <row r="757" spans="2:51" s="113" customFormat="1">
      <c r="B757" s="119"/>
      <c r="D757" s="105" t="s">
        <v>365</v>
      </c>
      <c r="E757" s="135" t="s">
        <v>1</v>
      </c>
      <c r="F757" s="120" t="s">
        <v>1015</v>
      </c>
      <c r="H757" s="121">
        <v>11.262</v>
      </c>
      <c r="I757" s="128"/>
      <c r="L757" s="119"/>
      <c r="M757" s="129"/>
      <c r="T757" s="133"/>
      <c r="AT757" s="135" t="s">
        <v>365</v>
      </c>
      <c r="AU757" s="135" t="s">
        <v>87</v>
      </c>
      <c r="AV757" s="113" t="s">
        <v>87</v>
      </c>
      <c r="AW757" s="113" t="s">
        <v>33</v>
      </c>
      <c r="AX757" s="113" t="s">
        <v>77</v>
      </c>
      <c r="AY757" s="135" t="s">
        <v>211</v>
      </c>
    </row>
    <row r="758" spans="2:51" s="113" customFormat="1">
      <c r="B758" s="119"/>
      <c r="D758" s="105" t="s">
        <v>365</v>
      </c>
      <c r="E758" s="135" t="s">
        <v>1</v>
      </c>
      <c r="F758" s="120" t="s">
        <v>1016</v>
      </c>
      <c r="H758" s="121">
        <v>13.898</v>
      </c>
      <c r="I758" s="128"/>
      <c r="L758" s="119"/>
      <c r="M758" s="129"/>
      <c r="T758" s="133"/>
      <c r="AT758" s="135" t="s">
        <v>365</v>
      </c>
      <c r="AU758" s="135" t="s">
        <v>87</v>
      </c>
      <c r="AV758" s="113" t="s">
        <v>87</v>
      </c>
      <c r="AW758" s="113" t="s">
        <v>33</v>
      </c>
      <c r="AX758" s="113" t="s">
        <v>77</v>
      </c>
      <c r="AY758" s="135" t="s">
        <v>211</v>
      </c>
    </row>
    <row r="759" spans="2:51" s="154" customFormat="1">
      <c r="B759" s="156"/>
      <c r="D759" s="105" t="s">
        <v>365</v>
      </c>
      <c r="E759" s="157" t="s">
        <v>1</v>
      </c>
      <c r="F759" s="158" t="s">
        <v>741</v>
      </c>
      <c r="H759" s="159">
        <v>52.427999999999997</v>
      </c>
      <c r="I759" s="160"/>
      <c r="L759" s="156"/>
      <c r="M759" s="161"/>
      <c r="T759" s="162"/>
      <c r="AT759" s="157" t="s">
        <v>365</v>
      </c>
      <c r="AU759" s="157" t="s">
        <v>87</v>
      </c>
      <c r="AV759" s="154" t="s">
        <v>137</v>
      </c>
      <c r="AW759" s="154" t="s">
        <v>33</v>
      </c>
      <c r="AX759" s="154" t="s">
        <v>77</v>
      </c>
      <c r="AY759" s="157" t="s">
        <v>211</v>
      </c>
    </row>
    <row r="760" spans="2:51" s="136" customFormat="1">
      <c r="B760" s="138"/>
      <c r="D760" s="105" t="s">
        <v>365</v>
      </c>
      <c r="E760" s="139" t="s">
        <v>1</v>
      </c>
      <c r="F760" s="140" t="s">
        <v>866</v>
      </c>
      <c r="H760" s="139" t="s">
        <v>1</v>
      </c>
      <c r="I760" s="146"/>
      <c r="L760" s="138"/>
      <c r="M760" s="147"/>
      <c r="T760" s="150"/>
      <c r="AT760" s="139" t="s">
        <v>365</v>
      </c>
      <c r="AU760" s="139" t="s">
        <v>87</v>
      </c>
      <c r="AV760" s="136" t="s">
        <v>85</v>
      </c>
      <c r="AW760" s="136" t="s">
        <v>33</v>
      </c>
      <c r="AX760" s="136" t="s">
        <v>77</v>
      </c>
      <c r="AY760" s="139" t="s">
        <v>211</v>
      </c>
    </row>
    <row r="761" spans="2:51" s="113" customFormat="1">
      <c r="B761" s="119"/>
      <c r="D761" s="105" t="s">
        <v>365</v>
      </c>
      <c r="E761" s="135" t="s">
        <v>1</v>
      </c>
      <c r="F761" s="120" t="s">
        <v>1017</v>
      </c>
      <c r="H761" s="121">
        <v>3.1139999999999999</v>
      </c>
      <c r="I761" s="128"/>
      <c r="L761" s="119"/>
      <c r="M761" s="129"/>
      <c r="T761" s="133"/>
      <c r="AT761" s="135" t="s">
        <v>365</v>
      </c>
      <c r="AU761" s="135" t="s">
        <v>87</v>
      </c>
      <c r="AV761" s="113" t="s">
        <v>87</v>
      </c>
      <c r="AW761" s="113" t="s">
        <v>33</v>
      </c>
      <c r="AX761" s="113" t="s">
        <v>77</v>
      </c>
      <c r="AY761" s="135" t="s">
        <v>211</v>
      </c>
    </row>
    <row r="762" spans="2:51" s="113" customFormat="1">
      <c r="B762" s="119"/>
      <c r="D762" s="105" t="s">
        <v>365</v>
      </c>
      <c r="E762" s="135" t="s">
        <v>1</v>
      </c>
      <c r="F762" s="120" t="s">
        <v>1018</v>
      </c>
      <c r="H762" s="121">
        <v>2.6520000000000001</v>
      </c>
      <c r="I762" s="128"/>
      <c r="L762" s="119"/>
      <c r="M762" s="129"/>
      <c r="T762" s="133"/>
      <c r="AT762" s="135" t="s">
        <v>365</v>
      </c>
      <c r="AU762" s="135" t="s">
        <v>87</v>
      </c>
      <c r="AV762" s="113" t="s">
        <v>87</v>
      </c>
      <c r="AW762" s="113" t="s">
        <v>33</v>
      </c>
      <c r="AX762" s="113" t="s">
        <v>77</v>
      </c>
      <c r="AY762" s="135" t="s">
        <v>211</v>
      </c>
    </row>
    <row r="763" spans="2:51" s="113" customFormat="1">
      <c r="B763" s="119"/>
      <c r="D763" s="105" t="s">
        <v>365</v>
      </c>
      <c r="E763" s="135" t="s">
        <v>1</v>
      </c>
      <c r="F763" s="120" t="s">
        <v>1019</v>
      </c>
      <c r="H763" s="121">
        <v>2.9369999999999998</v>
      </c>
      <c r="I763" s="128"/>
      <c r="L763" s="119"/>
      <c r="M763" s="129"/>
      <c r="T763" s="133"/>
      <c r="AT763" s="135" t="s">
        <v>365</v>
      </c>
      <c r="AU763" s="135" t="s">
        <v>87</v>
      </c>
      <c r="AV763" s="113" t="s">
        <v>87</v>
      </c>
      <c r="AW763" s="113" t="s">
        <v>33</v>
      </c>
      <c r="AX763" s="113" t="s">
        <v>77</v>
      </c>
      <c r="AY763" s="135" t="s">
        <v>211</v>
      </c>
    </row>
    <row r="764" spans="2:51" s="154" customFormat="1">
      <c r="B764" s="156"/>
      <c r="D764" s="105" t="s">
        <v>365</v>
      </c>
      <c r="E764" s="157" t="s">
        <v>1</v>
      </c>
      <c r="F764" s="158" t="s">
        <v>741</v>
      </c>
      <c r="H764" s="159">
        <v>8.7029999999999994</v>
      </c>
      <c r="I764" s="160"/>
      <c r="L764" s="156"/>
      <c r="M764" s="161"/>
      <c r="T764" s="162"/>
      <c r="AT764" s="157" t="s">
        <v>365</v>
      </c>
      <c r="AU764" s="157" t="s">
        <v>87</v>
      </c>
      <c r="AV764" s="154" t="s">
        <v>137</v>
      </c>
      <c r="AW764" s="154" t="s">
        <v>33</v>
      </c>
      <c r="AX764" s="154" t="s">
        <v>77</v>
      </c>
      <c r="AY764" s="157" t="s">
        <v>211</v>
      </c>
    </row>
    <row r="765" spans="2:51" s="113" customFormat="1">
      <c r="B765" s="119"/>
      <c r="D765" s="105" t="s">
        <v>365</v>
      </c>
      <c r="E765" s="135" t="s">
        <v>1</v>
      </c>
      <c r="F765" s="120" t="s">
        <v>1020</v>
      </c>
      <c r="H765" s="121">
        <v>0.58799999999999997</v>
      </c>
      <c r="I765" s="128"/>
      <c r="L765" s="119"/>
      <c r="M765" s="129"/>
      <c r="T765" s="133"/>
      <c r="AT765" s="135" t="s">
        <v>365</v>
      </c>
      <c r="AU765" s="135" t="s">
        <v>87</v>
      </c>
      <c r="AV765" s="113" t="s">
        <v>87</v>
      </c>
      <c r="AW765" s="113" t="s">
        <v>33</v>
      </c>
      <c r="AX765" s="113" t="s">
        <v>77</v>
      </c>
      <c r="AY765" s="135" t="s">
        <v>211</v>
      </c>
    </row>
    <row r="766" spans="2:51" s="154" customFormat="1">
      <c r="B766" s="156"/>
      <c r="D766" s="105" t="s">
        <v>365</v>
      </c>
      <c r="E766" s="157" t="s">
        <v>1</v>
      </c>
      <c r="F766" s="158" t="s">
        <v>741</v>
      </c>
      <c r="H766" s="159">
        <v>0.58799999999999997</v>
      </c>
      <c r="I766" s="160"/>
      <c r="L766" s="156"/>
      <c r="M766" s="161"/>
      <c r="T766" s="162"/>
      <c r="AT766" s="157" t="s">
        <v>365</v>
      </c>
      <c r="AU766" s="157" t="s">
        <v>87</v>
      </c>
      <c r="AV766" s="154" t="s">
        <v>137</v>
      </c>
      <c r="AW766" s="154" t="s">
        <v>33</v>
      </c>
      <c r="AX766" s="154" t="s">
        <v>77</v>
      </c>
      <c r="AY766" s="157" t="s">
        <v>211</v>
      </c>
    </row>
    <row r="767" spans="2:51" s="113" customFormat="1">
      <c r="B767" s="119"/>
      <c r="D767" s="105" t="s">
        <v>365</v>
      </c>
      <c r="E767" s="135" t="s">
        <v>1</v>
      </c>
      <c r="F767" s="120" t="s">
        <v>1021</v>
      </c>
      <c r="H767" s="121">
        <v>14.760999999999999</v>
      </c>
      <c r="I767" s="128"/>
      <c r="L767" s="119"/>
      <c r="M767" s="129"/>
      <c r="T767" s="133"/>
      <c r="AT767" s="135" t="s">
        <v>365</v>
      </c>
      <c r="AU767" s="135" t="s">
        <v>87</v>
      </c>
      <c r="AV767" s="113" t="s">
        <v>87</v>
      </c>
      <c r="AW767" s="113" t="s">
        <v>33</v>
      </c>
      <c r="AX767" s="113" t="s">
        <v>77</v>
      </c>
      <c r="AY767" s="135" t="s">
        <v>211</v>
      </c>
    </row>
    <row r="768" spans="2:51" s="154" customFormat="1">
      <c r="B768" s="156"/>
      <c r="D768" s="105" t="s">
        <v>365</v>
      </c>
      <c r="E768" s="157" t="s">
        <v>1</v>
      </c>
      <c r="F768" s="158" t="s">
        <v>741</v>
      </c>
      <c r="H768" s="159">
        <v>14.760999999999999</v>
      </c>
      <c r="I768" s="160"/>
      <c r="L768" s="156"/>
      <c r="M768" s="161"/>
      <c r="T768" s="162"/>
      <c r="AT768" s="157" t="s">
        <v>365</v>
      </c>
      <c r="AU768" s="157" t="s">
        <v>87</v>
      </c>
      <c r="AV768" s="154" t="s">
        <v>137</v>
      </c>
      <c r="AW768" s="154" t="s">
        <v>33</v>
      </c>
      <c r="AX768" s="154" t="s">
        <v>77</v>
      </c>
      <c r="AY768" s="157" t="s">
        <v>211</v>
      </c>
    </row>
    <row r="769" spans="2:65" s="113" customFormat="1">
      <c r="B769" s="119"/>
      <c r="D769" s="105" t="s">
        <v>365</v>
      </c>
      <c r="E769" s="135" t="s">
        <v>1</v>
      </c>
      <c r="F769" s="120" t="s">
        <v>1022</v>
      </c>
      <c r="H769" s="121">
        <v>13.8</v>
      </c>
      <c r="I769" s="128"/>
      <c r="L769" s="119"/>
      <c r="M769" s="129"/>
      <c r="T769" s="133"/>
      <c r="AT769" s="135" t="s">
        <v>365</v>
      </c>
      <c r="AU769" s="135" t="s">
        <v>87</v>
      </c>
      <c r="AV769" s="113" t="s">
        <v>87</v>
      </c>
      <c r="AW769" s="113" t="s">
        <v>33</v>
      </c>
      <c r="AX769" s="113" t="s">
        <v>77</v>
      </c>
      <c r="AY769" s="135" t="s">
        <v>211</v>
      </c>
    </row>
    <row r="770" spans="2:65" s="154" customFormat="1">
      <c r="B770" s="156"/>
      <c r="D770" s="105" t="s">
        <v>365</v>
      </c>
      <c r="E770" s="157" t="s">
        <v>1</v>
      </c>
      <c r="F770" s="158" t="s">
        <v>741</v>
      </c>
      <c r="H770" s="159">
        <v>13.8</v>
      </c>
      <c r="I770" s="160"/>
      <c r="L770" s="156"/>
      <c r="M770" s="161"/>
      <c r="T770" s="162"/>
      <c r="AT770" s="157" t="s">
        <v>365</v>
      </c>
      <c r="AU770" s="157" t="s">
        <v>87</v>
      </c>
      <c r="AV770" s="154" t="s">
        <v>137</v>
      </c>
      <c r="AW770" s="154" t="s">
        <v>33</v>
      </c>
      <c r="AX770" s="154" t="s">
        <v>77</v>
      </c>
      <c r="AY770" s="157" t="s">
        <v>211</v>
      </c>
    </row>
    <row r="771" spans="2:65" s="113" customFormat="1">
      <c r="B771" s="119"/>
      <c r="D771" s="105" t="s">
        <v>365</v>
      </c>
      <c r="E771" s="135" t="s">
        <v>1</v>
      </c>
      <c r="F771" s="120" t="s">
        <v>1023</v>
      </c>
      <c r="H771" s="121">
        <v>0.72699999999999998</v>
      </c>
      <c r="I771" s="128"/>
      <c r="L771" s="119"/>
      <c r="M771" s="129"/>
      <c r="T771" s="133"/>
      <c r="AT771" s="135" t="s">
        <v>365</v>
      </c>
      <c r="AU771" s="135" t="s">
        <v>87</v>
      </c>
      <c r="AV771" s="113" t="s">
        <v>87</v>
      </c>
      <c r="AW771" s="113" t="s">
        <v>33</v>
      </c>
      <c r="AX771" s="113" t="s">
        <v>77</v>
      </c>
      <c r="AY771" s="135" t="s">
        <v>211</v>
      </c>
    </row>
    <row r="772" spans="2:65" s="113" customFormat="1">
      <c r="B772" s="119"/>
      <c r="D772" s="105" t="s">
        <v>365</v>
      </c>
      <c r="E772" s="135" t="s">
        <v>1</v>
      </c>
      <c r="F772" s="120" t="s">
        <v>1024</v>
      </c>
      <c r="H772" s="121">
        <v>0.373</v>
      </c>
      <c r="I772" s="128"/>
      <c r="L772" s="119"/>
      <c r="M772" s="129"/>
      <c r="T772" s="133"/>
      <c r="AT772" s="135" t="s">
        <v>365</v>
      </c>
      <c r="AU772" s="135" t="s">
        <v>87</v>
      </c>
      <c r="AV772" s="113" t="s">
        <v>87</v>
      </c>
      <c r="AW772" s="113" t="s">
        <v>33</v>
      </c>
      <c r="AX772" s="113" t="s">
        <v>77</v>
      </c>
      <c r="AY772" s="135" t="s">
        <v>211</v>
      </c>
    </row>
    <row r="773" spans="2:65" s="113" customFormat="1">
      <c r="B773" s="119"/>
      <c r="D773" s="105" t="s">
        <v>365</v>
      </c>
      <c r="E773" s="135" t="s">
        <v>1</v>
      </c>
      <c r="F773" s="120" t="s">
        <v>1025</v>
      </c>
      <c r="H773" s="121">
        <v>0.61499999999999999</v>
      </c>
      <c r="I773" s="128"/>
      <c r="L773" s="119"/>
      <c r="M773" s="129"/>
      <c r="T773" s="133"/>
      <c r="AT773" s="135" t="s">
        <v>365</v>
      </c>
      <c r="AU773" s="135" t="s">
        <v>87</v>
      </c>
      <c r="AV773" s="113" t="s">
        <v>87</v>
      </c>
      <c r="AW773" s="113" t="s">
        <v>33</v>
      </c>
      <c r="AX773" s="113" t="s">
        <v>77</v>
      </c>
      <c r="AY773" s="135" t="s">
        <v>211</v>
      </c>
    </row>
    <row r="774" spans="2:65" s="113" customFormat="1">
      <c r="B774" s="119"/>
      <c r="D774" s="105" t="s">
        <v>365</v>
      </c>
      <c r="E774" s="135" t="s">
        <v>1</v>
      </c>
      <c r="F774" s="120" t="s">
        <v>1026</v>
      </c>
      <c r="H774" s="121">
        <v>0.64200000000000002</v>
      </c>
      <c r="I774" s="128"/>
      <c r="L774" s="119"/>
      <c r="M774" s="129"/>
      <c r="T774" s="133"/>
      <c r="AT774" s="135" t="s">
        <v>365</v>
      </c>
      <c r="AU774" s="135" t="s">
        <v>87</v>
      </c>
      <c r="AV774" s="113" t="s">
        <v>87</v>
      </c>
      <c r="AW774" s="113" t="s">
        <v>33</v>
      </c>
      <c r="AX774" s="113" t="s">
        <v>77</v>
      </c>
      <c r="AY774" s="135" t="s">
        <v>211</v>
      </c>
    </row>
    <row r="775" spans="2:65" s="154" customFormat="1">
      <c r="B775" s="156"/>
      <c r="D775" s="105" t="s">
        <v>365</v>
      </c>
      <c r="E775" s="157" t="s">
        <v>1</v>
      </c>
      <c r="F775" s="158" t="s">
        <v>741</v>
      </c>
      <c r="H775" s="159">
        <v>2.3570000000000002</v>
      </c>
      <c r="I775" s="160"/>
      <c r="L775" s="156"/>
      <c r="M775" s="161"/>
      <c r="T775" s="162"/>
      <c r="AT775" s="157" t="s">
        <v>365</v>
      </c>
      <c r="AU775" s="157" t="s">
        <v>87</v>
      </c>
      <c r="AV775" s="154" t="s">
        <v>137</v>
      </c>
      <c r="AW775" s="154" t="s">
        <v>33</v>
      </c>
      <c r="AX775" s="154" t="s">
        <v>77</v>
      </c>
      <c r="AY775" s="157" t="s">
        <v>211</v>
      </c>
    </row>
    <row r="776" spans="2:65" s="113" customFormat="1">
      <c r="B776" s="119"/>
      <c r="D776" s="105" t="s">
        <v>365</v>
      </c>
      <c r="E776" s="135" t="s">
        <v>1</v>
      </c>
      <c r="F776" s="120" t="s">
        <v>1027</v>
      </c>
      <c r="H776" s="121">
        <v>0.113</v>
      </c>
      <c r="I776" s="128"/>
      <c r="L776" s="119"/>
      <c r="M776" s="129"/>
      <c r="T776" s="133"/>
      <c r="AT776" s="135" t="s">
        <v>365</v>
      </c>
      <c r="AU776" s="135" t="s">
        <v>87</v>
      </c>
      <c r="AV776" s="113" t="s">
        <v>87</v>
      </c>
      <c r="AW776" s="113" t="s">
        <v>33</v>
      </c>
      <c r="AX776" s="113" t="s">
        <v>77</v>
      </c>
      <c r="AY776" s="135" t="s">
        <v>211</v>
      </c>
    </row>
    <row r="777" spans="2:65" s="137" customFormat="1">
      <c r="B777" s="141"/>
      <c r="D777" s="105" t="s">
        <v>365</v>
      </c>
      <c r="E777" s="142" t="s">
        <v>1</v>
      </c>
      <c r="F777" s="143" t="s">
        <v>368</v>
      </c>
      <c r="H777" s="144">
        <v>122.157</v>
      </c>
      <c r="I777" s="148"/>
      <c r="L777" s="141"/>
      <c r="M777" s="149"/>
      <c r="T777" s="151"/>
      <c r="AT777" s="142" t="s">
        <v>365</v>
      </c>
      <c r="AU777" s="142" t="s">
        <v>87</v>
      </c>
      <c r="AV777" s="137" t="s">
        <v>218</v>
      </c>
      <c r="AW777" s="137" t="s">
        <v>33</v>
      </c>
      <c r="AX777" s="137" t="s">
        <v>85</v>
      </c>
      <c r="AY777" s="142" t="s">
        <v>211</v>
      </c>
    </row>
    <row r="778" spans="2:65" s="1" customFormat="1" ht="24.15" customHeight="1">
      <c r="B778" s="12"/>
      <c r="C778" s="71" t="s">
        <v>1028</v>
      </c>
      <c r="D778" s="71" t="s">
        <v>214</v>
      </c>
      <c r="E778" s="72" t="s">
        <v>1029</v>
      </c>
      <c r="F778" s="73" t="s">
        <v>1030</v>
      </c>
      <c r="G778" s="74" t="s">
        <v>279</v>
      </c>
      <c r="H778" s="75">
        <v>104.37</v>
      </c>
      <c r="I778" s="90">
        <v>850</v>
      </c>
      <c r="J778" s="91">
        <f>ROUND(I778*H778,2)</f>
        <v>88714.5</v>
      </c>
      <c r="K778" s="92"/>
      <c r="L778" s="12"/>
      <c r="M778" s="93" t="s">
        <v>1</v>
      </c>
      <c r="N778" s="94" t="s">
        <v>42</v>
      </c>
      <c r="P778" s="95">
        <f>O778*H778</f>
        <v>0</v>
      </c>
      <c r="Q778" s="95">
        <v>1.409E-2</v>
      </c>
      <c r="R778" s="95">
        <f>Q778*H778</f>
        <v>1.4705733000000001</v>
      </c>
      <c r="S778" s="95">
        <v>0</v>
      </c>
      <c r="T778" s="99">
        <f>S778*H778</f>
        <v>0</v>
      </c>
      <c r="AR778" s="101" t="s">
        <v>218</v>
      </c>
      <c r="AT778" s="101" t="s">
        <v>214</v>
      </c>
      <c r="AU778" s="101" t="s">
        <v>87</v>
      </c>
      <c r="AY778" s="23" t="s">
        <v>211</v>
      </c>
      <c r="BE778" s="104">
        <f>IF(N778="základní",J778,0)</f>
        <v>88714.5</v>
      </c>
      <c r="BF778" s="104">
        <f>IF(N778="snížená",J778,0)</f>
        <v>0</v>
      </c>
      <c r="BG778" s="104">
        <f>IF(N778="zákl. přenesená",J778,0)</f>
        <v>0</v>
      </c>
      <c r="BH778" s="104">
        <f>IF(N778="sníž. přenesená",J778,0)</f>
        <v>0</v>
      </c>
      <c r="BI778" s="104">
        <f>IF(N778="nulová",J778,0)</f>
        <v>0</v>
      </c>
      <c r="BJ778" s="23" t="s">
        <v>85</v>
      </c>
      <c r="BK778" s="104">
        <f>ROUND(I778*H778,2)</f>
        <v>88714.5</v>
      </c>
      <c r="BL778" s="23" t="s">
        <v>218</v>
      </c>
      <c r="BM778" s="101" t="s">
        <v>1031</v>
      </c>
    </row>
    <row r="779" spans="2:65" s="113" customFormat="1">
      <c r="B779" s="119"/>
      <c r="D779" s="105" t="s">
        <v>365</v>
      </c>
      <c r="E779" s="135" t="s">
        <v>1</v>
      </c>
      <c r="F779" s="120" t="s">
        <v>1032</v>
      </c>
      <c r="H779" s="121">
        <v>19.448</v>
      </c>
      <c r="I779" s="128"/>
      <c r="L779" s="119"/>
      <c r="M779" s="129"/>
      <c r="T779" s="133"/>
      <c r="AT779" s="135" t="s">
        <v>365</v>
      </c>
      <c r="AU779" s="135" t="s">
        <v>87</v>
      </c>
      <c r="AV779" s="113" t="s">
        <v>87</v>
      </c>
      <c r="AW779" s="113" t="s">
        <v>33</v>
      </c>
      <c r="AX779" s="113" t="s">
        <v>77</v>
      </c>
      <c r="AY779" s="135" t="s">
        <v>211</v>
      </c>
    </row>
    <row r="780" spans="2:65" s="113" customFormat="1">
      <c r="B780" s="119"/>
      <c r="D780" s="105" t="s">
        <v>365</v>
      </c>
      <c r="E780" s="135" t="s">
        <v>1</v>
      </c>
      <c r="F780" s="120" t="s">
        <v>1033</v>
      </c>
      <c r="H780" s="121">
        <v>19.448</v>
      </c>
      <c r="I780" s="128"/>
      <c r="L780" s="119"/>
      <c r="M780" s="129"/>
      <c r="T780" s="133"/>
      <c r="AT780" s="135" t="s">
        <v>365</v>
      </c>
      <c r="AU780" s="135" t="s">
        <v>87</v>
      </c>
      <c r="AV780" s="113" t="s">
        <v>87</v>
      </c>
      <c r="AW780" s="113" t="s">
        <v>33</v>
      </c>
      <c r="AX780" s="113" t="s">
        <v>77</v>
      </c>
      <c r="AY780" s="135" t="s">
        <v>211</v>
      </c>
    </row>
    <row r="781" spans="2:65" s="113" customFormat="1">
      <c r="B781" s="119"/>
      <c r="D781" s="105" t="s">
        <v>365</v>
      </c>
      <c r="E781" s="135" t="s">
        <v>1</v>
      </c>
      <c r="F781" s="120" t="s">
        <v>1034</v>
      </c>
      <c r="H781" s="121">
        <v>32.015000000000001</v>
      </c>
      <c r="I781" s="128"/>
      <c r="L781" s="119"/>
      <c r="M781" s="129"/>
      <c r="T781" s="133"/>
      <c r="AT781" s="135" t="s">
        <v>365</v>
      </c>
      <c r="AU781" s="135" t="s">
        <v>87</v>
      </c>
      <c r="AV781" s="113" t="s">
        <v>87</v>
      </c>
      <c r="AW781" s="113" t="s">
        <v>33</v>
      </c>
      <c r="AX781" s="113" t="s">
        <v>77</v>
      </c>
      <c r="AY781" s="135" t="s">
        <v>211</v>
      </c>
    </row>
    <row r="782" spans="2:65" s="113" customFormat="1">
      <c r="B782" s="119"/>
      <c r="D782" s="105" t="s">
        <v>365</v>
      </c>
      <c r="E782" s="135" t="s">
        <v>1</v>
      </c>
      <c r="F782" s="120" t="s">
        <v>1035</v>
      </c>
      <c r="H782" s="121">
        <v>33.459000000000003</v>
      </c>
      <c r="I782" s="128"/>
      <c r="L782" s="119"/>
      <c r="M782" s="129"/>
      <c r="T782" s="133"/>
      <c r="AT782" s="135" t="s">
        <v>365</v>
      </c>
      <c r="AU782" s="135" t="s">
        <v>87</v>
      </c>
      <c r="AV782" s="113" t="s">
        <v>87</v>
      </c>
      <c r="AW782" s="113" t="s">
        <v>33</v>
      </c>
      <c r="AX782" s="113" t="s">
        <v>77</v>
      </c>
      <c r="AY782" s="135" t="s">
        <v>211</v>
      </c>
    </row>
    <row r="783" spans="2:65" s="137" customFormat="1">
      <c r="B783" s="141"/>
      <c r="D783" s="105" t="s">
        <v>365</v>
      </c>
      <c r="E783" s="142" t="s">
        <v>1</v>
      </c>
      <c r="F783" s="143" t="s">
        <v>368</v>
      </c>
      <c r="H783" s="144">
        <v>104.37</v>
      </c>
      <c r="I783" s="148"/>
      <c r="L783" s="141"/>
      <c r="M783" s="149"/>
      <c r="T783" s="151"/>
      <c r="AT783" s="142" t="s">
        <v>365</v>
      </c>
      <c r="AU783" s="142" t="s">
        <v>87</v>
      </c>
      <c r="AV783" s="137" t="s">
        <v>218</v>
      </c>
      <c r="AW783" s="137" t="s">
        <v>33</v>
      </c>
      <c r="AX783" s="137" t="s">
        <v>85</v>
      </c>
      <c r="AY783" s="142" t="s">
        <v>211</v>
      </c>
    </row>
    <row r="784" spans="2:65" s="1" customFormat="1" ht="33" customHeight="1">
      <c r="B784" s="12"/>
      <c r="C784" s="71" t="s">
        <v>1036</v>
      </c>
      <c r="D784" s="71" t="s">
        <v>214</v>
      </c>
      <c r="E784" s="72" t="s">
        <v>1037</v>
      </c>
      <c r="F784" s="73" t="s">
        <v>1038</v>
      </c>
      <c r="G784" s="74" t="s">
        <v>279</v>
      </c>
      <c r="H784" s="75">
        <v>104.37</v>
      </c>
      <c r="I784" s="90">
        <v>330</v>
      </c>
      <c r="J784" s="91">
        <f>ROUND(I784*H784,2)</f>
        <v>34442.1</v>
      </c>
      <c r="K784" s="92"/>
      <c r="L784" s="12"/>
      <c r="M784" s="93" t="s">
        <v>1</v>
      </c>
      <c r="N784" s="94" t="s">
        <v>42</v>
      </c>
      <c r="P784" s="95">
        <f>O784*H784</f>
        <v>0</v>
      </c>
      <c r="Q784" s="95">
        <v>0</v>
      </c>
      <c r="R784" s="95">
        <f>Q784*H784</f>
        <v>0</v>
      </c>
      <c r="S784" s="95">
        <v>0</v>
      </c>
      <c r="T784" s="99">
        <f>S784*H784</f>
        <v>0</v>
      </c>
      <c r="AR784" s="101" t="s">
        <v>218</v>
      </c>
      <c r="AT784" s="101" t="s">
        <v>214</v>
      </c>
      <c r="AU784" s="101" t="s">
        <v>87</v>
      </c>
      <c r="AY784" s="23" t="s">
        <v>211</v>
      </c>
      <c r="BE784" s="104">
        <f>IF(N784="základní",J784,0)</f>
        <v>34442.1</v>
      </c>
      <c r="BF784" s="104">
        <f>IF(N784="snížená",J784,0)</f>
        <v>0</v>
      </c>
      <c r="BG784" s="104">
        <f>IF(N784="zákl. přenesená",J784,0)</f>
        <v>0</v>
      </c>
      <c r="BH784" s="104">
        <f>IF(N784="sníž. přenesená",J784,0)</f>
        <v>0</v>
      </c>
      <c r="BI784" s="104">
        <f>IF(N784="nulová",J784,0)</f>
        <v>0</v>
      </c>
      <c r="BJ784" s="23" t="s">
        <v>85</v>
      </c>
      <c r="BK784" s="104">
        <f>ROUND(I784*H784,2)</f>
        <v>34442.1</v>
      </c>
      <c r="BL784" s="23" t="s">
        <v>218</v>
      </c>
      <c r="BM784" s="101" t="s">
        <v>1039</v>
      </c>
    </row>
    <row r="785" spans="2:65" s="113" customFormat="1">
      <c r="B785" s="119"/>
      <c r="D785" s="105" t="s">
        <v>365</v>
      </c>
      <c r="E785" s="135" t="s">
        <v>1</v>
      </c>
      <c r="F785" s="120" t="s">
        <v>1032</v>
      </c>
      <c r="H785" s="121">
        <v>19.448</v>
      </c>
      <c r="I785" s="128"/>
      <c r="L785" s="119"/>
      <c r="M785" s="129"/>
      <c r="T785" s="133"/>
      <c r="AT785" s="135" t="s">
        <v>365</v>
      </c>
      <c r="AU785" s="135" t="s">
        <v>87</v>
      </c>
      <c r="AV785" s="113" t="s">
        <v>87</v>
      </c>
      <c r="AW785" s="113" t="s">
        <v>33</v>
      </c>
      <c r="AX785" s="113" t="s">
        <v>77</v>
      </c>
      <c r="AY785" s="135" t="s">
        <v>211</v>
      </c>
    </row>
    <row r="786" spans="2:65" s="113" customFormat="1">
      <c r="B786" s="119"/>
      <c r="D786" s="105" t="s">
        <v>365</v>
      </c>
      <c r="E786" s="135" t="s">
        <v>1</v>
      </c>
      <c r="F786" s="120" t="s">
        <v>1033</v>
      </c>
      <c r="H786" s="121">
        <v>19.448</v>
      </c>
      <c r="I786" s="128"/>
      <c r="L786" s="119"/>
      <c r="M786" s="129"/>
      <c r="T786" s="133"/>
      <c r="AT786" s="135" t="s">
        <v>365</v>
      </c>
      <c r="AU786" s="135" t="s">
        <v>87</v>
      </c>
      <c r="AV786" s="113" t="s">
        <v>87</v>
      </c>
      <c r="AW786" s="113" t="s">
        <v>33</v>
      </c>
      <c r="AX786" s="113" t="s">
        <v>77</v>
      </c>
      <c r="AY786" s="135" t="s">
        <v>211</v>
      </c>
    </row>
    <row r="787" spans="2:65" s="113" customFormat="1">
      <c r="B787" s="119"/>
      <c r="D787" s="105" t="s">
        <v>365</v>
      </c>
      <c r="E787" s="135" t="s">
        <v>1</v>
      </c>
      <c r="F787" s="120" t="s">
        <v>1034</v>
      </c>
      <c r="H787" s="121">
        <v>32.015000000000001</v>
      </c>
      <c r="I787" s="128"/>
      <c r="L787" s="119"/>
      <c r="M787" s="129"/>
      <c r="T787" s="133"/>
      <c r="AT787" s="135" t="s">
        <v>365</v>
      </c>
      <c r="AU787" s="135" t="s">
        <v>87</v>
      </c>
      <c r="AV787" s="113" t="s">
        <v>87</v>
      </c>
      <c r="AW787" s="113" t="s">
        <v>33</v>
      </c>
      <c r="AX787" s="113" t="s">
        <v>77</v>
      </c>
      <c r="AY787" s="135" t="s">
        <v>211</v>
      </c>
    </row>
    <row r="788" spans="2:65" s="113" customFormat="1">
      <c r="B788" s="119"/>
      <c r="D788" s="105" t="s">
        <v>365</v>
      </c>
      <c r="E788" s="135" t="s">
        <v>1</v>
      </c>
      <c r="F788" s="120" t="s">
        <v>1035</v>
      </c>
      <c r="H788" s="121">
        <v>33.459000000000003</v>
      </c>
      <c r="I788" s="128"/>
      <c r="L788" s="119"/>
      <c r="M788" s="129"/>
      <c r="T788" s="133"/>
      <c r="AT788" s="135" t="s">
        <v>365</v>
      </c>
      <c r="AU788" s="135" t="s">
        <v>87</v>
      </c>
      <c r="AV788" s="113" t="s">
        <v>87</v>
      </c>
      <c r="AW788" s="113" t="s">
        <v>33</v>
      </c>
      <c r="AX788" s="113" t="s">
        <v>77</v>
      </c>
      <c r="AY788" s="135" t="s">
        <v>211</v>
      </c>
    </row>
    <row r="789" spans="2:65" s="137" customFormat="1">
      <c r="B789" s="141"/>
      <c r="D789" s="105" t="s">
        <v>365</v>
      </c>
      <c r="E789" s="142" t="s">
        <v>1</v>
      </c>
      <c r="F789" s="143" t="s">
        <v>368</v>
      </c>
      <c r="H789" s="144">
        <v>104.37</v>
      </c>
      <c r="I789" s="148"/>
      <c r="L789" s="141"/>
      <c r="M789" s="149"/>
      <c r="T789" s="151"/>
      <c r="AT789" s="142" t="s">
        <v>365</v>
      </c>
      <c r="AU789" s="142" t="s">
        <v>87</v>
      </c>
      <c r="AV789" s="137" t="s">
        <v>218</v>
      </c>
      <c r="AW789" s="137" t="s">
        <v>33</v>
      </c>
      <c r="AX789" s="137" t="s">
        <v>85</v>
      </c>
      <c r="AY789" s="142" t="s">
        <v>211</v>
      </c>
    </row>
    <row r="790" spans="2:65" s="1" customFormat="1" ht="24.15" customHeight="1">
      <c r="B790" s="12"/>
      <c r="C790" s="71" t="s">
        <v>92</v>
      </c>
      <c r="D790" s="71" t="s">
        <v>214</v>
      </c>
      <c r="E790" s="72" t="s">
        <v>1040</v>
      </c>
      <c r="F790" s="73" t="s">
        <v>1041</v>
      </c>
      <c r="G790" s="74" t="s">
        <v>357</v>
      </c>
      <c r="H790" s="75">
        <v>0.45</v>
      </c>
      <c r="I790" s="90">
        <v>5500</v>
      </c>
      <c r="J790" s="91">
        <f>ROUND(I790*H790,2)</f>
        <v>2475</v>
      </c>
      <c r="K790" s="92"/>
      <c r="L790" s="12"/>
      <c r="M790" s="93" t="s">
        <v>1</v>
      </c>
      <c r="N790" s="94" t="s">
        <v>42</v>
      </c>
      <c r="P790" s="95">
        <f>O790*H790</f>
        <v>0</v>
      </c>
      <c r="Q790" s="95">
        <v>0</v>
      </c>
      <c r="R790" s="95">
        <f>Q790*H790</f>
        <v>0</v>
      </c>
      <c r="S790" s="95">
        <v>0</v>
      </c>
      <c r="T790" s="99">
        <f>S790*H790</f>
        <v>0</v>
      </c>
      <c r="AR790" s="101" t="s">
        <v>218</v>
      </c>
      <c r="AT790" s="101" t="s">
        <v>214</v>
      </c>
      <c r="AU790" s="101" t="s">
        <v>87</v>
      </c>
      <c r="AY790" s="23" t="s">
        <v>211</v>
      </c>
      <c r="BE790" s="104">
        <f>IF(N790="základní",J790,0)</f>
        <v>2475</v>
      </c>
      <c r="BF790" s="104">
        <f>IF(N790="snížená",J790,0)</f>
        <v>0</v>
      </c>
      <c r="BG790" s="104">
        <f>IF(N790="zákl. přenesená",J790,0)</f>
        <v>0</v>
      </c>
      <c r="BH790" s="104">
        <f>IF(N790="sníž. přenesená",J790,0)</f>
        <v>0</v>
      </c>
      <c r="BI790" s="104">
        <f>IF(N790="nulová",J790,0)</f>
        <v>0</v>
      </c>
      <c r="BJ790" s="23" t="s">
        <v>85</v>
      </c>
      <c r="BK790" s="104">
        <f>ROUND(I790*H790,2)</f>
        <v>2475</v>
      </c>
      <c r="BL790" s="23" t="s">
        <v>218</v>
      </c>
      <c r="BM790" s="101" t="s">
        <v>1042</v>
      </c>
    </row>
    <row r="791" spans="2:65" s="1" customFormat="1" ht="19.2">
      <c r="B791" s="12"/>
      <c r="D791" s="105" t="s">
        <v>227</v>
      </c>
      <c r="F791" s="106" t="s">
        <v>479</v>
      </c>
      <c r="I791" s="107"/>
      <c r="L791" s="12"/>
      <c r="M791" s="108"/>
      <c r="T791" s="111"/>
      <c r="AT791" s="23" t="s">
        <v>227</v>
      </c>
      <c r="AU791" s="23" t="s">
        <v>87</v>
      </c>
    </row>
    <row r="792" spans="2:65" s="113" customFormat="1">
      <c r="B792" s="119"/>
      <c r="D792" s="105" t="s">
        <v>365</v>
      </c>
      <c r="E792" s="135" t="s">
        <v>1</v>
      </c>
      <c r="F792" s="120" t="s">
        <v>1043</v>
      </c>
      <c r="H792" s="121">
        <v>0.45</v>
      </c>
      <c r="I792" s="128"/>
      <c r="L792" s="119"/>
      <c r="M792" s="129"/>
      <c r="T792" s="133"/>
      <c r="AT792" s="135" t="s">
        <v>365</v>
      </c>
      <c r="AU792" s="135" t="s">
        <v>87</v>
      </c>
      <c r="AV792" s="113" t="s">
        <v>87</v>
      </c>
      <c r="AW792" s="113" t="s">
        <v>33</v>
      </c>
      <c r="AX792" s="113" t="s">
        <v>85</v>
      </c>
      <c r="AY792" s="135" t="s">
        <v>211</v>
      </c>
    </row>
    <row r="793" spans="2:65" s="1" customFormat="1" ht="24.15" customHeight="1">
      <c r="B793" s="12"/>
      <c r="C793" s="71" t="s">
        <v>1044</v>
      </c>
      <c r="D793" s="71" t="s">
        <v>214</v>
      </c>
      <c r="E793" s="72" t="s">
        <v>1045</v>
      </c>
      <c r="F793" s="73" t="s">
        <v>1046</v>
      </c>
      <c r="G793" s="74" t="s">
        <v>279</v>
      </c>
      <c r="H793" s="75">
        <v>0.9</v>
      </c>
      <c r="I793" s="90">
        <v>780</v>
      </c>
      <c r="J793" s="91">
        <f>ROUND(I793*H793,2)</f>
        <v>702</v>
      </c>
      <c r="K793" s="92"/>
      <c r="L793" s="12"/>
      <c r="M793" s="93" t="s">
        <v>1</v>
      </c>
      <c r="N793" s="94" t="s">
        <v>42</v>
      </c>
      <c r="P793" s="95">
        <f>O793*H793</f>
        <v>0</v>
      </c>
      <c r="Q793" s="95">
        <v>7.0800000000000004E-3</v>
      </c>
      <c r="R793" s="95">
        <f>Q793*H793</f>
        <v>6.3720000000000001E-3</v>
      </c>
      <c r="S793" s="95">
        <v>0</v>
      </c>
      <c r="T793" s="99">
        <f>S793*H793</f>
        <v>0</v>
      </c>
      <c r="AR793" s="101" t="s">
        <v>218</v>
      </c>
      <c r="AT793" s="101" t="s">
        <v>214</v>
      </c>
      <c r="AU793" s="101" t="s">
        <v>87</v>
      </c>
      <c r="AY793" s="23" t="s">
        <v>211</v>
      </c>
      <c r="BE793" s="104">
        <f>IF(N793="základní",J793,0)</f>
        <v>702</v>
      </c>
      <c r="BF793" s="104">
        <f>IF(N793="snížená",J793,0)</f>
        <v>0</v>
      </c>
      <c r="BG793" s="104">
        <f>IF(N793="zákl. přenesená",J793,0)</f>
        <v>0</v>
      </c>
      <c r="BH793" s="104">
        <f>IF(N793="sníž. přenesená",J793,0)</f>
        <v>0</v>
      </c>
      <c r="BI793" s="104">
        <f>IF(N793="nulová",J793,0)</f>
        <v>0</v>
      </c>
      <c r="BJ793" s="23" t="s">
        <v>85</v>
      </c>
      <c r="BK793" s="104">
        <f>ROUND(I793*H793,2)</f>
        <v>702</v>
      </c>
      <c r="BL793" s="23" t="s">
        <v>218</v>
      </c>
      <c r="BM793" s="101" t="s">
        <v>1047</v>
      </c>
    </row>
    <row r="794" spans="2:65" s="113" customFormat="1">
      <c r="B794" s="119"/>
      <c r="D794" s="105" t="s">
        <v>365</v>
      </c>
      <c r="E794" s="135" t="s">
        <v>1</v>
      </c>
      <c r="F794" s="120" t="s">
        <v>1048</v>
      </c>
      <c r="H794" s="121">
        <v>0.9</v>
      </c>
      <c r="I794" s="128"/>
      <c r="L794" s="119"/>
      <c r="M794" s="129"/>
      <c r="T794" s="133"/>
      <c r="AT794" s="135" t="s">
        <v>365</v>
      </c>
      <c r="AU794" s="135" t="s">
        <v>87</v>
      </c>
      <c r="AV794" s="113" t="s">
        <v>87</v>
      </c>
      <c r="AW794" s="113" t="s">
        <v>33</v>
      </c>
      <c r="AX794" s="113" t="s">
        <v>85</v>
      </c>
      <c r="AY794" s="135" t="s">
        <v>211</v>
      </c>
    </row>
    <row r="795" spans="2:65" s="1" customFormat="1" ht="24.15" customHeight="1">
      <c r="B795" s="12"/>
      <c r="C795" s="71" t="s">
        <v>1049</v>
      </c>
      <c r="D795" s="71" t="s">
        <v>214</v>
      </c>
      <c r="E795" s="72" t="s">
        <v>1050</v>
      </c>
      <c r="F795" s="73" t="s">
        <v>1051</v>
      </c>
      <c r="G795" s="74" t="s">
        <v>279</v>
      </c>
      <c r="H795" s="75">
        <v>0.9</v>
      </c>
      <c r="I795" s="90">
        <v>320</v>
      </c>
      <c r="J795" s="91">
        <f>ROUND(I795*H795,2)</f>
        <v>288</v>
      </c>
      <c r="K795" s="92"/>
      <c r="L795" s="12"/>
      <c r="M795" s="93" t="s">
        <v>1</v>
      </c>
      <c r="N795" s="94" t="s">
        <v>42</v>
      </c>
      <c r="P795" s="95">
        <f>O795*H795</f>
        <v>0</v>
      </c>
      <c r="Q795" s="95">
        <v>0</v>
      </c>
      <c r="R795" s="95">
        <f>Q795*H795</f>
        <v>0</v>
      </c>
      <c r="S795" s="95">
        <v>0</v>
      </c>
      <c r="T795" s="99">
        <f>S795*H795</f>
        <v>0</v>
      </c>
      <c r="AR795" s="101" t="s">
        <v>218</v>
      </c>
      <c r="AT795" s="101" t="s">
        <v>214</v>
      </c>
      <c r="AU795" s="101" t="s">
        <v>87</v>
      </c>
      <c r="AY795" s="23" t="s">
        <v>211</v>
      </c>
      <c r="BE795" s="104">
        <f>IF(N795="základní",J795,0)</f>
        <v>288</v>
      </c>
      <c r="BF795" s="104">
        <f>IF(N795="snížená",J795,0)</f>
        <v>0</v>
      </c>
      <c r="BG795" s="104">
        <f>IF(N795="zákl. přenesená",J795,0)</f>
        <v>0</v>
      </c>
      <c r="BH795" s="104">
        <f>IF(N795="sníž. přenesená",J795,0)</f>
        <v>0</v>
      </c>
      <c r="BI795" s="104">
        <f>IF(N795="nulová",J795,0)</f>
        <v>0</v>
      </c>
      <c r="BJ795" s="23" t="s">
        <v>85</v>
      </c>
      <c r="BK795" s="104">
        <f>ROUND(I795*H795,2)</f>
        <v>288</v>
      </c>
      <c r="BL795" s="23" t="s">
        <v>218</v>
      </c>
      <c r="BM795" s="101" t="s">
        <v>1052</v>
      </c>
    </row>
    <row r="796" spans="2:65" s="113" customFormat="1">
      <c r="B796" s="119"/>
      <c r="D796" s="105" t="s">
        <v>365</v>
      </c>
      <c r="E796" s="135" t="s">
        <v>1</v>
      </c>
      <c r="F796" s="120" t="s">
        <v>1048</v>
      </c>
      <c r="H796" s="121">
        <v>0.9</v>
      </c>
      <c r="I796" s="128"/>
      <c r="L796" s="119"/>
      <c r="M796" s="129"/>
      <c r="T796" s="133"/>
      <c r="AT796" s="135" t="s">
        <v>365</v>
      </c>
      <c r="AU796" s="135" t="s">
        <v>87</v>
      </c>
      <c r="AV796" s="113" t="s">
        <v>87</v>
      </c>
      <c r="AW796" s="113" t="s">
        <v>33</v>
      </c>
      <c r="AX796" s="113" t="s">
        <v>85</v>
      </c>
      <c r="AY796" s="135" t="s">
        <v>211</v>
      </c>
    </row>
    <row r="797" spans="2:65" s="1" customFormat="1" ht="24.15" customHeight="1">
      <c r="B797" s="12"/>
      <c r="C797" s="71" t="s">
        <v>1053</v>
      </c>
      <c r="D797" s="71" t="s">
        <v>214</v>
      </c>
      <c r="E797" s="72" t="s">
        <v>1054</v>
      </c>
      <c r="F797" s="73" t="s">
        <v>1055</v>
      </c>
      <c r="G797" s="74" t="s">
        <v>279</v>
      </c>
      <c r="H797" s="75">
        <v>1.5</v>
      </c>
      <c r="I797" s="90">
        <v>400</v>
      </c>
      <c r="J797" s="91">
        <f>ROUND(I797*H797,2)</f>
        <v>600</v>
      </c>
      <c r="K797" s="92"/>
      <c r="L797" s="12"/>
      <c r="M797" s="93" t="s">
        <v>1</v>
      </c>
      <c r="N797" s="94" t="s">
        <v>42</v>
      </c>
      <c r="P797" s="95">
        <f>O797*H797</f>
        <v>0</v>
      </c>
      <c r="Q797" s="95">
        <v>1.1100000000000001E-3</v>
      </c>
      <c r="R797" s="95">
        <f>Q797*H797</f>
        <v>1.665E-3</v>
      </c>
      <c r="S797" s="95">
        <v>0</v>
      </c>
      <c r="T797" s="99">
        <f>S797*H797</f>
        <v>0</v>
      </c>
      <c r="AR797" s="101" t="s">
        <v>218</v>
      </c>
      <c r="AT797" s="101" t="s">
        <v>214</v>
      </c>
      <c r="AU797" s="101" t="s">
        <v>87</v>
      </c>
      <c r="AY797" s="23" t="s">
        <v>211</v>
      </c>
      <c r="BE797" s="104">
        <f>IF(N797="základní",J797,0)</f>
        <v>600</v>
      </c>
      <c r="BF797" s="104">
        <f>IF(N797="snížená",J797,0)</f>
        <v>0</v>
      </c>
      <c r="BG797" s="104">
        <f>IF(N797="zákl. přenesená",J797,0)</f>
        <v>0</v>
      </c>
      <c r="BH797" s="104">
        <f>IF(N797="sníž. přenesená",J797,0)</f>
        <v>0</v>
      </c>
      <c r="BI797" s="104">
        <f>IF(N797="nulová",J797,0)</f>
        <v>0</v>
      </c>
      <c r="BJ797" s="23" t="s">
        <v>85</v>
      </c>
      <c r="BK797" s="104">
        <f>ROUND(I797*H797,2)</f>
        <v>600</v>
      </c>
      <c r="BL797" s="23" t="s">
        <v>218</v>
      </c>
      <c r="BM797" s="101" t="s">
        <v>1056</v>
      </c>
    </row>
    <row r="798" spans="2:65" s="113" customFormat="1">
      <c r="B798" s="119"/>
      <c r="D798" s="105" t="s">
        <v>365</v>
      </c>
      <c r="E798" s="135" t="s">
        <v>1</v>
      </c>
      <c r="F798" s="120" t="s">
        <v>1057</v>
      </c>
      <c r="H798" s="121">
        <v>1.5</v>
      </c>
      <c r="I798" s="128"/>
      <c r="L798" s="119"/>
      <c r="M798" s="129"/>
      <c r="T798" s="133"/>
      <c r="AT798" s="135" t="s">
        <v>365</v>
      </c>
      <c r="AU798" s="135" t="s">
        <v>87</v>
      </c>
      <c r="AV798" s="113" t="s">
        <v>87</v>
      </c>
      <c r="AW798" s="113" t="s">
        <v>33</v>
      </c>
      <c r="AX798" s="113" t="s">
        <v>85</v>
      </c>
      <c r="AY798" s="135" t="s">
        <v>211</v>
      </c>
    </row>
    <row r="799" spans="2:65" s="1" customFormat="1" ht="24.15" customHeight="1">
      <c r="B799" s="12"/>
      <c r="C799" s="71" t="s">
        <v>1058</v>
      </c>
      <c r="D799" s="71" t="s">
        <v>214</v>
      </c>
      <c r="E799" s="72" t="s">
        <v>1059</v>
      </c>
      <c r="F799" s="73" t="s">
        <v>1060</v>
      </c>
      <c r="G799" s="74" t="s">
        <v>279</v>
      </c>
      <c r="H799" s="75">
        <v>1.5</v>
      </c>
      <c r="I799" s="90">
        <v>180</v>
      </c>
      <c r="J799" s="91">
        <f>ROUND(I799*H799,2)</f>
        <v>270</v>
      </c>
      <c r="K799" s="92"/>
      <c r="L799" s="12"/>
      <c r="M799" s="93" t="s">
        <v>1</v>
      </c>
      <c r="N799" s="94" t="s">
        <v>42</v>
      </c>
      <c r="P799" s="95">
        <f>O799*H799</f>
        <v>0</v>
      </c>
      <c r="Q799" s="95">
        <v>0</v>
      </c>
      <c r="R799" s="95">
        <f>Q799*H799</f>
        <v>0</v>
      </c>
      <c r="S799" s="95">
        <v>0</v>
      </c>
      <c r="T799" s="99">
        <f>S799*H799</f>
        <v>0</v>
      </c>
      <c r="AR799" s="101" t="s">
        <v>218</v>
      </c>
      <c r="AT799" s="101" t="s">
        <v>214</v>
      </c>
      <c r="AU799" s="101" t="s">
        <v>87</v>
      </c>
      <c r="AY799" s="23" t="s">
        <v>211</v>
      </c>
      <c r="BE799" s="104">
        <f>IF(N799="základní",J799,0)</f>
        <v>270</v>
      </c>
      <c r="BF799" s="104">
        <f>IF(N799="snížená",J799,0)</f>
        <v>0</v>
      </c>
      <c r="BG799" s="104">
        <f>IF(N799="zákl. přenesená",J799,0)</f>
        <v>0</v>
      </c>
      <c r="BH799" s="104">
        <f>IF(N799="sníž. přenesená",J799,0)</f>
        <v>0</v>
      </c>
      <c r="BI799" s="104">
        <f>IF(N799="nulová",J799,0)</f>
        <v>0</v>
      </c>
      <c r="BJ799" s="23" t="s">
        <v>85</v>
      </c>
      <c r="BK799" s="104">
        <f>ROUND(I799*H799,2)</f>
        <v>270</v>
      </c>
      <c r="BL799" s="23" t="s">
        <v>218</v>
      </c>
      <c r="BM799" s="101" t="s">
        <v>1061</v>
      </c>
    </row>
    <row r="800" spans="2:65" s="113" customFormat="1">
      <c r="B800" s="119"/>
      <c r="D800" s="105" t="s">
        <v>365</v>
      </c>
      <c r="E800" s="135" t="s">
        <v>1</v>
      </c>
      <c r="F800" s="120" t="s">
        <v>1057</v>
      </c>
      <c r="H800" s="121">
        <v>1.5</v>
      </c>
      <c r="I800" s="128"/>
      <c r="L800" s="119"/>
      <c r="M800" s="129"/>
      <c r="T800" s="133"/>
      <c r="AT800" s="135" t="s">
        <v>365</v>
      </c>
      <c r="AU800" s="135" t="s">
        <v>87</v>
      </c>
      <c r="AV800" s="113" t="s">
        <v>87</v>
      </c>
      <c r="AW800" s="113" t="s">
        <v>33</v>
      </c>
      <c r="AX800" s="113" t="s">
        <v>85</v>
      </c>
      <c r="AY800" s="135" t="s">
        <v>211</v>
      </c>
    </row>
    <row r="801" spans="2:65" s="1" customFormat="1" ht="16.5" customHeight="1">
      <c r="B801" s="12"/>
      <c r="C801" s="71" t="s">
        <v>1062</v>
      </c>
      <c r="D801" s="71" t="s">
        <v>214</v>
      </c>
      <c r="E801" s="72" t="s">
        <v>1063</v>
      </c>
      <c r="F801" s="73" t="s">
        <v>1064</v>
      </c>
      <c r="G801" s="74" t="s">
        <v>357</v>
      </c>
      <c r="H801" s="75">
        <v>58.462000000000003</v>
      </c>
      <c r="I801" s="90">
        <v>5500</v>
      </c>
      <c r="J801" s="91">
        <f>ROUND(I801*H801,2)</f>
        <v>321541</v>
      </c>
      <c r="K801" s="92"/>
      <c r="L801" s="12"/>
      <c r="M801" s="93" t="s">
        <v>1</v>
      </c>
      <c r="N801" s="94" t="s">
        <v>42</v>
      </c>
      <c r="P801" s="95">
        <f>O801*H801</f>
        <v>0</v>
      </c>
      <c r="Q801" s="95">
        <v>2.45336</v>
      </c>
      <c r="R801" s="95">
        <f>Q801*H801</f>
        <v>143.42833232000001</v>
      </c>
      <c r="S801" s="95">
        <v>0</v>
      </c>
      <c r="T801" s="99">
        <f>S801*H801</f>
        <v>0</v>
      </c>
      <c r="AR801" s="101" t="s">
        <v>218</v>
      </c>
      <c r="AT801" s="101" t="s">
        <v>214</v>
      </c>
      <c r="AU801" s="101" t="s">
        <v>87</v>
      </c>
      <c r="AY801" s="23" t="s">
        <v>211</v>
      </c>
      <c r="BE801" s="104">
        <f>IF(N801="základní",J801,0)</f>
        <v>321541</v>
      </c>
      <c r="BF801" s="104">
        <f>IF(N801="snížená",J801,0)</f>
        <v>0</v>
      </c>
      <c r="BG801" s="104">
        <f>IF(N801="zákl. přenesená",J801,0)</f>
        <v>0</v>
      </c>
      <c r="BH801" s="104">
        <f>IF(N801="sníž. přenesená",J801,0)</f>
        <v>0</v>
      </c>
      <c r="BI801" s="104">
        <f>IF(N801="nulová",J801,0)</f>
        <v>0</v>
      </c>
      <c r="BJ801" s="23" t="s">
        <v>85</v>
      </c>
      <c r="BK801" s="104">
        <f>ROUND(I801*H801,2)</f>
        <v>321541</v>
      </c>
      <c r="BL801" s="23" t="s">
        <v>218</v>
      </c>
      <c r="BM801" s="101" t="s">
        <v>1065</v>
      </c>
    </row>
    <row r="802" spans="2:65" s="1" customFormat="1" ht="19.2">
      <c r="B802" s="12"/>
      <c r="D802" s="105" t="s">
        <v>227</v>
      </c>
      <c r="F802" s="106" t="s">
        <v>479</v>
      </c>
      <c r="I802" s="107"/>
      <c r="L802" s="12"/>
      <c r="M802" s="108"/>
      <c r="T802" s="111"/>
      <c r="AT802" s="23" t="s">
        <v>227</v>
      </c>
      <c r="AU802" s="23" t="s">
        <v>87</v>
      </c>
    </row>
    <row r="803" spans="2:65" s="113" customFormat="1">
      <c r="B803" s="119"/>
      <c r="D803" s="105" t="s">
        <v>365</v>
      </c>
      <c r="E803" s="135" t="s">
        <v>1</v>
      </c>
      <c r="F803" s="120" t="s">
        <v>1066</v>
      </c>
      <c r="H803" s="121">
        <v>58.462000000000003</v>
      </c>
      <c r="I803" s="128"/>
      <c r="L803" s="119"/>
      <c r="M803" s="129"/>
      <c r="T803" s="133"/>
      <c r="AT803" s="135" t="s">
        <v>365</v>
      </c>
      <c r="AU803" s="135" t="s">
        <v>87</v>
      </c>
      <c r="AV803" s="113" t="s">
        <v>87</v>
      </c>
      <c r="AW803" s="113" t="s">
        <v>33</v>
      </c>
      <c r="AX803" s="113" t="s">
        <v>85</v>
      </c>
      <c r="AY803" s="135" t="s">
        <v>211</v>
      </c>
    </row>
    <row r="804" spans="2:65" s="1" customFormat="1" ht="16.5" customHeight="1">
      <c r="B804" s="12"/>
      <c r="C804" s="71" t="s">
        <v>1067</v>
      </c>
      <c r="D804" s="71" t="s">
        <v>214</v>
      </c>
      <c r="E804" s="72" t="s">
        <v>1068</v>
      </c>
      <c r="F804" s="73" t="s">
        <v>1069</v>
      </c>
      <c r="G804" s="74" t="s">
        <v>357</v>
      </c>
      <c r="H804" s="75">
        <v>0.74299999999999999</v>
      </c>
      <c r="I804" s="90">
        <v>5300</v>
      </c>
      <c r="J804" s="91">
        <f>ROUND(I804*H804,2)</f>
        <v>3937.9</v>
      </c>
      <c r="K804" s="92"/>
      <c r="L804" s="12"/>
      <c r="M804" s="93" t="s">
        <v>1</v>
      </c>
      <c r="N804" s="94" t="s">
        <v>42</v>
      </c>
      <c r="P804" s="95">
        <f>O804*H804</f>
        <v>0</v>
      </c>
      <c r="Q804" s="95">
        <v>2.45336</v>
      </c>
      <c r="R804" s="95">
        <f>Q804*H804</f>
        <v>1.8228464799999999</v>
      </c>
      <c r="S804" s="95">
        <v>0</v>
      </c>
      <c r="T804" s="99">
        <f>S804*H804</f>
        <v>0</v>
      </c>
      <c r="AR804" s="101" t="s">
        <v>218</v>
      </c>
      <c r="AT804" s="101" t="s">
        <v>214</v>
      </c>
      <c r="AU804" s="101" t="s">
        <v>87</v>
      </c>
      <c r="AY804" s="23" t="s">
        <v>211</v>
      </c>
      <c r="BE804" s="104">
        <f>IF(N804="základní",J804,0)</f>
        <v>3937.9</v>
      </c>
      <c r="BF804" s="104">
        <f>IF(N804="snížená",J804,0)</f>
        <v>0</v>
      </c>
      <c r="BG804" s="104">
        <f>IF(N804="zákl. přenesená",J804,0)</f>
        <v>0</v>
      </c>
      <c r="BH804" s="104">
        <f>IF(N804="sníž. přenesená",J804,0)</f>
        <v>0</v>
      </c>
      <c r="BI804" s="104">
        <f>IF(N804="nulová",J804,0)</f>
        <v>0</v>
      </c>
      <c r="BJ804" s="23" t="s">
        <v>85</v>
      </c>
      <c r="BK804" s="104">
        <f>ROUND(I804*H804,2)</f>
        <v>3937.9</v>
      </c>
      <c r="BL804" s="23" t="s">
        <v>218</v>
      </c>
      <c r="BM804" s="101" t="s">
        <v>1070</v>
      </c>
    </row>
    <row r="805" spans="2:65" s="1" customFormat="1" ht="19.2">
      <c r="B805" s="12"/>
      <c r="D805" s="105" t="s">
        <v>227</v>
      </c>
      <c r="F805" s="106" t="s">
        <v>479</v>
      </c>
      <c r="I805" s="107"/>
      <c r="L805" s="12"/>
      <c r="M805" s="108"/>
      <c r="T805" s="111"/>
      <c r="AT805" s="23" t="s">
        <v>227</v>
      </c>
      <c r="AU805" s="23" t="s">
        <v>87</v>
      </c>
    </row>
    <row r="806" spans="2:65" s="113" customFormat="1">
      <c r="B806" s="119"/>
      <c r="D806" s="105" t="s">
        <v>365</v>
      </c>
      <c r="E806" s="135" t="s">
        <v>1</v>
      </c>
      <c r="F806" s="120" t="s">
        <v>1071</v>
      </c>
      <c r="H806" s="121">
        <v>0.74299999999999999</v>
      </c>
      <c r="I806" s="128"/>
      <c r="L806" s="119"/>
      <c r="M806" s="129"/>
      <c r="T806" s="133"/>
      <c r="AT806" s="135" t="s">
        <v>365</v>
      </c>
      <c r="AU806" s="135" t="s">
        <v>87</v>
      </c>
      <c r="AV806" s="113" t="s">
        <v>87</v>
      </c>
      <c r="AW806" s="113" t="s">
        <v>33</v>
      </c>
      <c r="AX806" s="113" t="s">
        <v>85</v>
      </c>
      <c r="AY806" s="135" t="s">
        <v>211</v>
      </c>
    </row>
    <row r="807" spans="2:65" s="1" customFormat="1" ht="24.15" customHeight="1">
      <c r="B807" s="12"/>
      <c r="C807" s="71" t="s">
        <v>1072</v>
      </c>
      <c r="D807" s="71" t="s">
        <v>214</v>
      </c>
      <c r="E807" s="72" t="s">
        <v>1073</v>
      </c>
      <c r="F807" s="73" t="s">
        <v>1074</v>
      </c>
      <c r="G807" s="74" t="s">
        <v>279</v>
      </c>
      <c r="H807" s="75">
        <v>370.06299999999999</v>
      </c>
      <c r="I807" s="90">
        <v>720</v>
      </c>
      <c r="J807" s="91">
        <f>ROUND(I807*H807,2)</f>
        <v>266445.36</v>
      </c>
      <c r="K807" s="92"/>
      <c r="L807" s="12"/>
      <c r="M807" s="93" t="s">
        <v>1</v>
      </c>
      <c r="N807" s="94" t="s">
        <v>42</v>
      </c>
      <c r="P807" s="95">
        <f>O807*H807</f>
        <v>0</v>
      </c>
      <c r="Q807" s="95">
        <v>4.6499999999999996E-3</v>
      </c>
      <c r="R807" s="95">
        <f>Q807*H807</f>
        <v>1.7207929500000001</v>
      </c>
      <c r="S807" s="95">
        <v>0</v>
      </c>
      <c r="T807" s="99">
        <f>S807*H807</f>
        <v>0</v>
      </c>
      <c r="AR807" s="101" t="s">
        <v>218</v>
      </c>
      <c r="AT807" s="101" t="s">
        <v>214</v>
      </c>
      <c r="AU807" s="101" t="s">
        <v>87</v>
      </c>
      <c r="AY807" s="23" t="s">
        <v>211</v>
      </c>
      <c r="BE807" s="104">
        <f>IF(N807="základní",J807,0)</f>
        <v>266445.36</v>
      </c>
      <c r="BF807" s="104">
        <f>IF(N807="snížená",J807,0)</f>
        <v>0</v>
      </c>
      <c r="BG807" s="104">
        <f>IF(N807="zákl. přenesená",J807,0)</f>
        <v>0</v>
      </c>
      <c r="BH807" s="104">
        <f>IF(N807="sníž. přenesená",J807,0)</f>
        <v>0</v>
      </c>
      <c r="BI807" s="104">
        <f>IF(N807="nulová",J807,0)</f>
        <v>0</v>
      </c>
      <c r="BJ807" s="23" t="s">
        <v>85</v>
      </c>
      <c r="BK807" s="104">
        <f>ROUND(I807*H807,2)</f>
        <v>266445.36</v>
      </c>
      <c r="BL807" s="23" t="s">
        <v>218</v>
      </c>
      <c r="BM807" s="101" t="s">
        <v>1075</v>
      </c>
    </row>
    <row r="808" spans="2:65" s="113" customFormat="1">
      <c r="B808" s="119"/>
      <c r="D808" s="105" t="s">
        <v>365</v>
      </c>
      <c r="E808" s="135" t="s">
        <v>1</v>
      </c>
      <c r="F808" s="120" t="s">
        <v>1076</v>
      </c>
      <c r="H808" s="121">
        <v>4.4550000000000001</v>
      </c>
      <c r="I808" s="128"/>
      <c r="L808" s="119"/>
      <c r="M808" s="129"/>
      <c r="T808" s="133"/>
      <c r="AT808" s="135" t="s">
        <v>365</v>
      </c>
      <c r="AU808" s="135" t="s">
        <v>87</v>
      </c>
      <c r="AV808" s="113" t="s">
        <v>87</v>
      </c>
      <c r="AW808" s="113" t="s">
        <v>33</v>
      </c>
      <c r="AX808" s="113" t="s">
        <v>77</v>
      </c>
      <c r="AY808" s="135" t="s">
        <v>211</v>
      </c>
    </row>
    <row r="809" spans="2:65" s="154" customFormat="1">
      <c r="B809" s="156"/>
      <c r="D809" s="105" t="s">
        <v>365</v>
      </c>
      <c r="E809" s="157" t="s">
        <v>1</v>
      </c>
      <c r="F809" s="158" t="s">
        <v>741</v>
      </c>
      <c r="H809" s="159">
        <v>4.4550000000000001</v>
      </c>
      <c r="I809" s="160"/>
      <c r="L809" s="156"/>
      <c r="M809" s="161"/>
      <c r="T809" s="162"/>
      <c r="AT809" s="157" t="s">
        <v>365</v>
      </c>
      <c r="AU809" s="157" t="s">
        <v>87</v>
      </c>
      <c r="AV809" s="154" t="s">
        <v>137</v>
      </c>
      <c r="AW809" s="154" t="s">
        <v>33</v>
      </c>
      <c r="AX809" s="154" t="s">
        <v>77</v>
      </c>
      <c r="AY809" s="157" t="s">
        <v>211</v>
      </c>
    </row>
    <row r="810" spans="2:65" s="113" customFormat="1">
      <c r="B810" s="119"/>
      <c r="D810" s="105" t="s">
        <v>365</v>
      </c>
      <c r="E810" s="135" t="s">
        <v>1</v>
      </c>
      <c r="F810" s="120" t="s">
        <v>1077</v>
      </c>
      <c r="H810" s="121">
        <v>214.36099999999999</v>
      </c>
      <c r="I810" s="128"/>
      <c r="L810" s="119"/>
      <c r="M810" s="129"/>
      <c r="T810" s="133"/>
      <c r="AT810" s="135" t="s">
        <v>365</v>
      </c>
      <c r="AU810" s="135" t="s">
        <v>87</v>
      </c>
      <c r="AV810" s="113" t="s">
        <v>87</v>
      </c>
      <c r="AW810" s="113" t="s">
        <v>33</v>
      </c>
      <c r="AX810" s="113" t="s">
        <v>77</v>
      </c>
      <c r="AY810" s="135" t="s">
        <v>211</v>
      </c>
    </row>
    <row r="811" spans="2:65" s="154" customFormat="1">
      <c r="B811" s="156"/>
      <c r="D811" s="105" t="s">
        <v>365</v>
      </c>
      <c r="E811" s="157" t="s">
        <v>1</v>
      </c>
      <c r="F811" s="158" t="s">
        <v>741</v>
      </c>
      <c r="H811" s="159">
        <v>214.36099999999999</v>
      </c>
      <c r="I811" s="160"/>
      <c r="L811" s="156"/>
      <c r="M811" s="161"/>
      <c r="T811" s="162"/>
      <c r="AT811" s="157" t="s">
        <v>365</v>
      </c>
      <c r="AU811" s="157" t="s">
        <v>87</v>
      </c>
      <c r="AV811" s="154" t="s">
        <v>137</v>
      </c>
      <c r="AW811" s="154" t="s">
        <v>33</v>
      </c>
      <c r="AX811" s="154" t="s">
        <v>77</v>
      </c>
      <c r="AY811" s="157" t="s">
        <v>211</v>
      </c>
    </row>
    <row r="812" spans="2:65" s="113" customFormat="1">
      <c r="B812" s="119"/>
      <c r="D812" s="105" t="s">
        <v>365</v>
      </c>
      <c r="E812" s="135" t="s">
        <v>1</v>
      </c>
      <c r="F812" s="120" t="s">
        <v>1078</v>
      </c>
      <c r="H812" s="121">
        <v>28.847000000000001</v>
      </c>
      <c r="I812" s="128"/>
      <c r="L812" s="119"/>
      <c r="M812" s="129"/>
      <c r="T812" s="133"/>
      <c r="AT812" s="135" t="s">
        <v>365</v>
      </c>
      <c r="AU812" s="135" t="s">
        <v>87</v>
      </c>
      <c r="AV812" s="113" t="s">
        <v>87</v>
      </c>
      <c r="AW812" s="113" t="s">
        <v>33</v>
      </c>
      <c r="AX812" s="113" t="s">
        <v>77</v>
      </c>
      <c r="AY812" s="135" t="s">
        <v>211</v>
      </c>
    </row>
    <row r="813" spans="2:65" s="113" customFormat="1">
      <c r="B813" s="119"/>
      <c r="D813" s="105" t="s">
        <v>365</v>
      </c>
      <c r="E813" s="135" t="s">
        <v>1</v>
      </c>
      <c r="F813" s="120" t="s">
        <v>1079</v>
      </c>
      <c r="H813" s="121">
        <v>23.51</v>
      </c>
      <c r="I813" s="128"/>
      <c r="L813" s="119"/>
      <c r="M813" s="129"/>
      <c r="T813" s="133"/>
      <c r="AT813" s="135" t="s">
        <v>365</v>
      </c>
      <c r="AU813" s="135" t="s">
        <v>87</v>
      </c>
      <c r="AV813" s="113" t="s">
        <v>87</v>
      </c>
      <c r="AW813" s="113" t="s">
        <v>33</v>
      </c>
      <c r="AX813" s="113" t="s">
        <v>77</v>
      </c>
      <c r="AY813" s="135" t="s">
        <v>211</v>
      </c>
    </row>
    <row r="814" spans="2:65" s="113" customFormat="1">
      <c r="B814" s="119"/>
      <c r="D814" s="105" t="s">
        <v>365</v>
      </c>
      <c r="E814" s="135" t="s">
        <v>1</v>
      </c>
      <c r="F814" s="120" t="s">
        <v>1080</v>
      </c>
      <c r="H814" s="121">
        <v>48.448</v>
      </c>
      <c r="I814" s="128"/>
      <c r="L814" s="119"/>
      <c r="M814" s="129"/>
      <c r="T814" s="133"/>
      <c r="AT814" s="135" t="s">
        <v>365</v>
      </c>
      <c r="AU814" s="135" t="s">
        <v>87</v>
      </c>
      <c r="AV814" s="113" t="s">
        <v>87</v>
      </c>
      <c r="AW814" s="113" t="s">
        <v>33</v>
      </c>
      <c r="AX814" s="113" t="s">
        <v>77</v>
      </c>
      <c r="AY814" s="135" t="s">
        <v>211</v>
      </c>
    </row>
    <row r="815" spans="2:65" s="113" customFormat="1">
      <c r="B815" s="119"/>
      <c r="D815" s="105" t="s">
        <v>365</v>
      </c>
      <c r="E815" s="135" t="s">
        <v>1</v>
      </c>
      <c r="F815" s="120" t="s">
        <v>1081</v>
      </c>
      <c r="H815" s="121">
        <v>38.54</v>
      </c>
      <c r="I815" s="128"/>
      <c r="L815" s="119"/>
      <c r="M815" s="129"/>
      <c r="T815" s="133"/>
      <c r="AT815" s="135" t="s">
        <v>365</v>
      </c>
      <c r="AU815" s="135" t="s">
        <v>87</v>
      </c>
      <c r="AV815" s="113" t="s">
        <v>87</v>
      </c>
      <c r="AW815" s="113" t="s">
        <v>33</v>
      </c>
      <c r="AX815" s="113" t="s">
        <v>77</v>
      </c>
      <c r="AY815" s="135" t="s">
        <v>211</v>
      </c>
    </row>
    <row r="816" spans="2:65" s="154" customFormat="1">
      <c r="B816" s="156"/>
      <c r="D816" s="105" t="s">
        <v>365</v>
      </c>
      <c r="E816" s="157" t="s">
        <v>1</v>
      </c>
      <c r="F816" s="158" t="s">
        <v>741</v>
      </c>
      <c r="H816" s="159">
        <v>139.345</v>
      </c>
      <c r="I816" s="160"/>
      <c r="L816" s="156"/>
      <c r="M816" s="161"/>
      <c r="T816" s="162"/>
      <c r="AT816" s="157" t="s">
        <v>365</v>
      </c>
      <c r="AU816" s="157" t="s">
        <v>87</v>
      </c>
      <c r="AV816" s="154" t="s">
        <v>137</v>
      </c>
      <c r="AW816" s="154" t="s">
        <v>33</v>
      </c>
      <c r="AX816" s="154" t="s">
        <v>77</v>
      </c>
      <c r="AY816" s="157" t="s">
        <v>211</v>
      </c>
    </row>
    <row r="817" spans="2:65" s="113" customFormat="1">
      <c r="B817" s="119"/>
      <c r="D817" s="105" t="s">
        <v>365</v>
      </c>
      <c r="E817" s="135" t="s">
        <v>1</v>
      </c>
      <c r="F817" s="120" t="s">
        <v>1082</v>
      </c>
      <c r="H817" s="121">
        <v>11.901999999999999</v>
      </c>
      <c r="I817" s="128"/>
      <c r="L817" s="119"/>
      <c r="M817" s="129"/>
      <c r="T817" s="133"/>
      <c r="AT817" s="135" t="s">
        <v>365</v>
      </c>
      <c r="AU817" s="135" t="s">
        <v>87</v>
      </c>
      <c r="AV817" s="113" t="s">
        <v>87</v>
      </c>
      <c r="AW817" s="113" t="s">
        <v>33</v>
      </c>
      <c r="AX817" s="113" t="s">
        <v>77</v>
      </c>
      <c r="AY817" s="135" t="s">
        <v>211</v>
      </c>
    </row>
    <row r="818" spans="2:65" s="137" customFormat="1">
      <c r="B818" s="141"/>
      <c r="D818" s="105" t="s">
        <v>365</v>
      </c>
      <c r="E818" s="142" t="s">
        <v>1</v>
      </c>
      <c r="F818" s="143" t="s">
        <v>368</v>
      </c>
      <c r="H818" s="144">
        <v>370.06299999999999</v>
      </c>
      <c r="I818" s="148"/>
      <c r="L818" s="141"/>
      <c r="M818" s="149"/>
      <c r="T818" s="151"/>
      <c r="AT818" s="142" t="s">
        <v>365</v>
      </c>
      <c r="AU818" s="142" t="s">
        <v>87</v>
      </c>
      <c r="AV818" s="137" t="s">
        <v>218</v>
      </c>
      <c r="AW818" s="137" t="s">
        <v>33</v>
      </c>
      <c r="AX818" s="137" t="s">
        <v>85</v>
      </c>
      <c r="AY818" s="142" t="s">
        <v>211</v>
      </c>
    </row>
    <row r="819" spans="2:65" s="1" customFormat="1" ht="24.15" customHeight="1">
      <c r="B819" s="12"/>
      <c r="C819" s="71" t="s">
        <v>1083</v>
      </c>
      <c r="D819" s="71" t="s">
        <v>214</v>
      </c>
      <c r="E819" s="72" t="s">
        <v>1084</v>
      </c>
      <c r="F819" s="73" t="s">
        <v>1085</v>
      </c>
      <c r="G819" s="74" t="s">
        <v>279</v>
      </c>
      <c r="H819" s="75">
        <v>370.06299999999999</v>
      </c>
      <c r="I819" s="90">
        <v>270</v>
      </c>
      <c r="J819" s="91">
        <f>ROUND(I819*H819,2)</f>
        <v>99917.01</v>
      </c>
      <c r="K819" s="92"/>
      <c r="L819" s="12"/>
      <c r="M819" s="93" t="s">
        <v>1</v>
      </c>
      <c r="N819" s="94" t="s">
        <v>42</v>
      </c>
      <c r="P819" s="95">
        <f>O819*H819</f>
        <v>0</v>
      </c>
      <c r="Q819" s="95">
        <v>0</v>
      </c>
      <c r="R819" s="95">
        <f>Q819*H819</f>
        <v>0</v>
      </c>
      <c r="S819" s="95">
        <v>0</v>
      </c>
      <c r="T819" s="99">
        <f>S819*H819</f>
        <v>0</v>
      </c>
      <c r="AR819" s="101" t="s">
        <v>218</v>
      </c>
      <c r="AT819" s="101" t="s">
        <v>214</v>
      </c>
      <c r="AU819" s="101" t="s">
        <v>87</v>
      </c>
      <c r="AY819" s="23" t="s">
        <v>211</v>
      </c>
      <c r="BE819" s="104">
        <f>IF(N819="základní",J819,0)</f>
        <v>99917.01</v>
      </c>
      <c r="BF819" s="104">
        <f>IF(N819="snížená",J819,0)</f>
        <v>0</v>
      </c>
      <c r="BG819" s="104">
        <f>IF(N819="zákl. přenesená",J819,0)</f>
        <v>0</v>
      </c>
      <c r="BH819" s="104">
        <f>IF(N819="sníž. přenesená",J819,0)</f>
        <v>0</v>
      </c>
      <c r="BI819" s="104">
        <f>IF(N819="nulová",J819,0)</f>
        <v>0</v>
      </c>
      <c r="BJ819" s="23" t="s">
        <v>85</v>
      </c>
      <c r="BK819" s="104">
        <f>ROUND(I819*H819,2)</f>
        <v>99917.01</v>
      </c>
      <c r="BL819" s="23" t="s">
        <v>218</v>
      </c>
      <c r="BM819" s="101" t="s">
        <v>1086</v>
      </c>
    </row>
    <row r="820" spans="2:65" s="113" customFormat="1">
      <c r="B820" s="119"/>
      <c r="D820" s="105" t="s">
        <v>365</v>
      </c>
      <c r="E820" s="135" t="s">
        <v>1</v>
      </c>
      <c r="F820" s="120" t="s">
        <v>1076</v>
      </c>
      <c r="H820" s="121">
        <v>4.4550000000000001</v>
      </c>
      <c r="I820" s="128"/>
      <c r="L820" s="119"/>
      <c r="M820" s="129"/>
      <c r="T820" s="133"/>
      <c r="AT820" s="135" t="s">
        <v>365</v>
      </c>
      <c r="AU820" s="135" t="s">
        <v>87</v>
      </c>
      <c r="AV820" s="113" t="s">
        <v>87</v>
      </c>
      <c r="AW820" s="113" t="s">
        <v>33</v>
      </c>
      <c r="AX820" s="113" t="s">
        <v>77</v>
      </c>
      <c r="AY820" s="135" t="s">
        <v>211</v>
      </c>
    </row>
    <row r="821" spans="2:65" s="154" customFormat="1">
      <c r="B821" s="156"/>
      <c r="D821" s="105" t="s">
        <v>365</v>
      </c>
      <c r="E821" s="157" t="s">
        <v>1</v>
      </c>
      <c r="F821" s="158" t="s">
        <v>741</v>
      </c>
      <c r="H821" s="159">
        <v>4.4550000000000001</v>
      </c>
      <c r="I821" s="160"/>
      <c r="L821" s="156"/>
      <c r="M821" s="161"/>
      <c r="T821" s="162"/>
      <c r="AT821" s="157" t="s">
        <v>365</v>
      </c>
      <c r="AU821" s="157" t="s">
        <v>87</v>
      </c>
      <c r="AV821" s="154" t="s">
        <v>137</v>
      </c>
      <c r="AW821" s="154" t="s">
        <v>33</v>
      </c>
      <c r="AX821" s="154" t="s">
        <v>77</v>
      </c>
      <c r="AY821" s="157" t="s">
        <v>211</v>
      </c>
    </row>
    <row r="822" spans="2:65" s="113" customFormat="1">
      <c r="B822" s="119"/>
      <c r="D822" s="105" t="s">
        <v>365</v>
      </c>
      <c r="E822" s="135" t="s">
        <v>1</v>
      </c>
      <c r="F822" s="120" t="s">
        <v>1077</v>
      </c>
      <c r="H822" s="121">
        <v>214.36099999999999</v>
      </c>
      <c r="I822" s="128"/>
      <c r="L822" s="119"/>
      <c r="M822" s="129"/>
      <c r="T822" s="133"/>
      <c r="AT822" s="135" t="s">
        <v>365</v>
      </c>
      <c r="AU822" s="135" t="s">
        <v>87</v>
      </c>
      <c r="AV822" s="113" t="s">
        <v>87</v>
      </c>
      <c r="AW822" s="113" t="s">
        <v>33</v>
      </c>
      <c r="AX822" s="113" t="s">
        <v>77</v>
      </c>
      <c r="AY822" s="135" t="s">
        <v>211</v>
      </c>
    </row>
    <row r="823" spans="2:65" s="154" customFormat="1">
      <c r="B823" s="156"/>
      <c r="D823" s="105" t="s">
        <v>365</v>
      </c>
      <c r="E823" s="157" t="s">
        <v>1</v>
      </c>
      <c r="F823" s="158" t="s">
        <v>741</v>
      </c>
      <c r="H823" s="159">
        <v>214.36099999999999</v>
      </c>
      <c r="I823" s="160"/>
      <c r="L823" s="156"/>
      <c r="M823" s="161"/>
      <c r="T823" s="162"/>
      <c r="AT823" s="157" t="s">
        <v>365</v>
      </c>
      <c r="AU823" s="157" t="s">
        <v>87</v>
      </c>
      <c r="AV823" s="154" t="s">
        <v>137</v>
      </c>
      <c r="AW823" s="154" t="s">
        <v>33</v>
      </c>
      <c r="AX823" s="154" t="s">
        <v>77</v>
      </c>
      <c r="AY823" s="157" t="s">
        <v>211</v>
      </c>
    </row>
    <row r="824" spans="2:65" s="113" customFormat="1">
      <c r="B824" s="119"/>
      <c r="D824" s="105" t="s">
        <v>365</v>
      </c>
      <c r="E824" s="135" t="s">
        <v>1</v>
      </c>
      <c r="F824" s="120" t="s">
        <v>1078</v>
      </c>
      <c r="H824" s="121">
        <v>28.847000000000001</v>
      </c>
      <c r="I824" s="128"/>
      <c r="L824" s="119"/>
      <c r="M824" s="129"/>
      <c r="T824" s="133"/>
      <c r="AT824" s="135" t="s">
        <v>365</v>
      </c>
      <c r="AU824" s="135" t="s">
        <v>87</v>
      </c>
      <c r="AV824" s="113" t="s">
        <v>87</v>
      </c>
      <c r="AW824" s="113" t="s">
        <v>33</v>
      </c>
      <c r="AX824" s="113" t="s">
        <v>77</v>
      </c>
      <c r="AY824" s="135" t="s">
        <v>211</v>
      </c>
    </row>
    <row r="825" spans="2:65" s="113" customFormat="1">
      <c r="B825" s="119"/>
      <c r="D825" s="105" t="s">
        <v>365</v>
      </c>
      <c r="E825" s="135" t="s">
        <v>1</v>
      </c>
      <c r="F825" s="120" t="s">
        <v>1079</v>
      </c>
      <c r="H825" s="121">
        <v>23.51</v>
      </c>
      <c r="I825" s="128"/>
      <c r="L825" s="119"/>
      <c r="M825" s="129"/>
      <c r="T825" s="133"/>
      <c r="AT825" s="135" t="s">
        <v>365</v>
      </c>
      <c r="AU825" s="135" t="s">
        <v>87</v>
      </c>
      <c r="AV825" s="113" t="s">
        <v>87</v>
      </c>
      <c r="AW825" s="113" t="s">
        <v>33</v>
      </c>
      <c r="AX825" s="113" t="s">
        <v>77</v>
      </c>
      <c r="AY825" s="135" t="s">
        <v>211</v>
      </c>
    </row>
    <row r="826" spans="2:65" s="113" customFormat="1">
      <c r="B826" s="119"/>
      <c r="D826" s="105" t="s">
        <v>365</v>
      </c>
      <c r="E826" s="135" t="s">
        <v>1</v>
      </c>
      <c r="F826" s="120" t="s">
        <v>1080</v>
      </c>
      <c r="H826" s="121">
        <v>48.448</v>
      </c>
      <c r="I826" s="128"/>
      <c r="L826" s="119"/>
      <c r="M826" s="129"/>
      <c r="T826" s="133"/>
      <c r="AT826" s="135" t="s">
        <v>365</v>
      </c>
      <c r="AU826" s="135" t="s">
        <v>87</v>
      </c>
      <c r="AV826" s="113" t="s">
        <v>87</v>
      </c>
      <c r="AW826" s="113" t="s">
        <v>33</v>
      </c>
      <c r="AX826" s="113" t="s">
        <v>77</v>
      </c>
      <c r="AY826" s="135" t="s">
        <v>211</v>
      </c>
    </row>
    <row r="827" spans="2:65" s="113" customFormat="1">
      <c r="B827" s="119"/>
      <c r="D827" s="105" t="s">
        <v>365</v>
      </c>
      <c r="E827" s="135" t="s">
        <v>1</v>
      </c>
      <c r="F827" s="120" t="s">
        <v>1081</v>
      </c>
      <c r="H827" s="121">
        <v>38.54</v>
      </c>
      <c r="I827" s="128"/>
      <c r="L827" s="119"/>
      <c r="M827" s="129"/>
      <c r="T827" s="133"/>
      <c r="AT827" s="135" t="s">
        <v>365</v>
      </c>
      <c r="AU827" s="135" t="s">
        <v>87</v>
      </c>
      <c r="AV827" s="113" t="s">
        <v>87</v>
      </c>
      <c r="AW827" s="113" t="s">
        <v>33</v>
      </c>
      <c r="AX827" s="113" t="s">
        <v>77</v>
      </c>
      <c r="AY827" s="135" t="s">
        <v>211</v>
      </c>
    </row>
    <row r="828" spans="2:65" s="154" customFormat="1">
      <c r="B828" s="156"/>
      <c r="D828" s="105" t="s">
        <v>365</v>
      </c>
      <c r="E828" s="157" t="s">
        <v>1</v>
      </c>
      <c r="F828" s="158" t="s">
        <v>741</v>
      </c>
      <c r="H828" s="159">
        <v>139.345</v>
      </c>
      <c r="I828" s="160"/>
      <c r="L828" s="156"/>
      <c r="M828" s="161"/>
      <c r="T828" s="162"/>
      <c r="AT828" s="157" t="s">
        <v>365</v>
      </c>
      <c r="AU828" s="157" t="s">
        <v>87</v>
      </c>
      <c r="AV828" s="154" t="s">
        <v>137</v>
      </c>
      <c r="AW828" s="154" t="s">
        <v>33</v>
      </c>
      <c r="AX828" s="154" t="s">
        <v>77</v>
      </c>
      <c r="AY828" s="157" t="s">
        <v>211</v>
      </c>
    </row>
    <row r="829" spans="2:65" s="113" customFormat="1">
      <c r="B829" s="119"/>
      <c r="D829" s="105" t="s">
        <v>365</v>
      </c>
      <c r="E829" s="135" t="s">
        <v>1</v>
      </c>
      <c r="F829" s="120" t="s">
        <v>1082</v>
      </c>
      <c r="H829" s="121">
        <v>11.901999999999999</v>
      </c>
      <c r="I829" s="128"/>
      <c r="L829" s="119"/>
      <c r="M829" s="129"/>
      <c r="T829" s="133"/>
      <c r="AT829" s="135" t="s">
        <v>365</v>
      </c>
      <c r="AU829" s="135" t="s">
        <v>87</v>
      </c>
      <c r="AV829" s="113" t="s">
        <v>87</v>
      </c>
      <c r="AW829" s="113" t="s">
        <v>33</v>
      </c>
      <c r="AX829" s="113" t="s">
        <v>77</v>
      </c>
      <c r="AY829" s="135" t="s">
        <v>211</v>
      </c>
    </row>
    <row r="830" spans="2:65" s="137" customFormat="1">
      <c r="B830" s="141"/>
      <c r="D830" s="105" t="s">
        <v>365</v>
      </c>
      <c r="E830" s="142" t="s">
        <v>1</v>
      </c>
      <c r="F830" s="143" t="s">
        <v>368</v>
      </c>
      <c r="H830" s="144">
        <v>370.06299999999999</v>
      </c>
      <c r="I830" s="148"/>
      <c r="L830" s="141"/>
      <c r="M830" s="149"/>
      <c r="T830" s="151"/>
      <c r="AT830" s="142" t="s">
        <v>365</v>
      </c>
      <c r="AU830" s="142" t="s">
        <v>87</v>
      </c>
      <c r="AV830" s="137" t="s">
        <v>218</v>
      </c>
      <c r="AW830" s="137" t="s">
        <v>33</v>
      </c>
      <c r="AX830" s="137" t="s">
        <v>85</v>
      </c>
      <c r="AY830" s="142" t="s">
        <v>211</v>
      </c>
    </row>
    <row r="831" spans="2:65" s="1" customFormat="1" ht="33" customHeight="1">
      <c r="B831" s="12"/>
      <c r="C831" s="71" t="s">
        <v>1087</v>
      </c>
      <c r="D831" s="71" t="s">
        <v>214</v>
      </c>
      <c r="E831" s="72" t="s">
        <v>1088</v>
      </c>
      <c r="F831" s="73" t="s">
        <v>1089</v>
      </c>
      <c r="G831" s="74" t="s">
        <v>279</v>
      </c>
      <c r="H831" s="75">
        <v>188.34</v>
      </c>
      <c r="I831" s="90">
        <v>370</v>
      </c>
      <c r="J831" s="91">
        <f>ROUND(I831*H831,2)</f>
        <v>69685.8</v>
      </c>
      <c r="K831" s="92"/>
      <c r="L831" s="12"/>
      <c r="M831" s="93" t="s">
        <v>1</v>
      </c>
      <c r="N831" s="94" t="s">
        <v>42</v>
      </c>
      <c r="P831" s="95">
        <f>O831*H831</f>
        <v>0</v>
      </c>
      <c r="Q831" s="95">
        <v>1.6100000000000001E-3</v>
      </c>
      <c r="R831" s="95">
        <f>Q831*H831</f>
        <v>0.30322739999999998</v>
      </c>
      <c r="S831" s="95">
        <v>0</v>
      </c>
      <c r="T831" s="99">
        <f>S831*H831</f>
        <v>0</v>
      </c>
      <c r="AR831" s="101" t="s">
        <v>218</v>
      </c>
      <c r="AT831" s="101" t="s">
        <v>214</v>
      </c>
      <c r="AU831" s="101" t="s">
        <v>87</v>
      </c>
      <c r="AY831" s="23" t="s">
        <v>211</v>
      </c>
      <c r="BE831" s="104">
        <f>IF(N831="základní",J831,0)</f>
        <v>69685.8</v>
      </c>
      <c r="BF831" s="104">
        <f>IF(N831="snížená",J831,0)</f>
        <v>0</v>
      </c>
      <c r="BG831" s="104">
        <f>IF(N831="zákl. přenesená",J831,0)</f>
        <v>0</v>
      </c>
      <c r="BH831" s="104">
        <f>IF(N831="sníž. přenesená",J831,0)</f>
        <v>0</v>
      </c>
      <c r="BI831" s="104">
        <f>IF(N831="nulová",J831,0)</f>
        <v>0</v>
      </c>
      <c r="BJ831" s="23" t="s">
        <v>85</v>
      </c>
      <c r="BK831" s="104">
        <f>ROUND(I831*H831,2)</f>
        <v>69685.8</v>
      </c>
      <c r="BL831" s="23" t="s">
        <v>218</v>
      </c>
      <c r="BM831" s="101" t="s">
        <v>1090</v>
      </c>
    </row>
    <row r="832" spans="2:65" s="113" customFormat="1">
      <c r="B832" s="119"/>
      <c r="D832" s="105" t="s">
        <v>365</v>
      </c>
      <c r="E832" s="135" t="s">
        <v>1</v>
      </c>
      <c r="F832" s="120" t="s">
        <v>1091</v>
      </c>
      <c r="H832" s="121">
        <v>2.97</v>
      </c>
      <c r="I832" s="128"/>
      <c r="L832" s="119"/>
      <c r="M832" s="129"/>
      <c r="T832" s="133"/>
      <c r="AT832" s="135" t="s">
        <v>365</v>
      </c>
      <c r="AU832" s="135" t="s">
        <v>87</v>
      </c>
      <c r="AV832" s="113" t="s">
        <v>87</v>
      </c>
      <c r="AW832" s="113" t="s">
        <v>33</v>
      </c>
      <c r="AX832" s="113" t="s">
        <v>77</v>
      </c>
      <c r="AY832" s="135" t="s">
        <v>211</v>
      </c>
    </row>
    <row r="833" spans="2:65" s="154" customFormat="1">
      <c r="B833" s="156"/>
      <c r="D833" s="105" t="s">
        <v>365</v>
      </c>
      <c r="E833" s="157" t="s">
        <v>1</v>
      </c>
      <c r="F833" s="158" t="s">
        <v>741</v>
      </c>
      <c r="H833" s="159">
        <v>2.97</v>
      </c>
      <c r="I833" s="160"/>
      <c r="L833" s="156"/>
      <c r="M833" s="161"/>
      <c r="T833" s="162"/>
      <c r="AT833" s="157" t="s">
        <v>365</v>
      </c>
      <c r="AU833" s="157" t="s">
        <v>87</v>
      </c>
      <c r="AV833" s="154" t="s">
        <v>137</v>
      </c>
      <c r="AW833" s="154" t="s">
        <v>33</v>
      </c>
      <c r="AX833" s="154" t="s">
        <v>77</v>
      </c>
      <c r="AY833" s="157" t="s">
        <v>211</v>
      </c>
    </row>
    <row r="834" spans="2:65" s="113" customFormat="1">
      <c r="B834" s="119"/>
      <c r="D834" s="105" t="s">
        <v>365</v>
      </c>
      <c r="E834" s="135" t="s">
        <v>1</v>
      </c>
      <c r="F834" s="120" t="s">
        <v>1092</v>
      </c>
      <c r="H834" s="121">
        <v>97.436999999999998</v>
      </c>
      <c r="I834" s="128"/>
      <c r="L834" s="119"/>
      <c r="M834" s="129"/>
      <c r="T834" s="133"/>
      <c r="AT834" s="135" t="s">
        <v>365</v>
      </c>
      <c r="AU834" s="135" t="s">
        <v>87</v>
      </c>
      <c r="AV834" s="113" t="s">
        <v>87</v>
      </c>
      <c r="AW834" s="113" t="s">
        <v>33</v>
      </c>
      <c r="AX834" s="113" t="s">
        <v>77</v>
      </c>
      <c r="AY834" s="135" t="s">
        <v>211</v>
      </c>
    </row>
    <row r="835" spans="2:65" s="154" customFormat="1">
      <c r="B835" s="156"/>
      <c r="D835" s="105" t="s">
        <v>365</v>
      </c>
      <c r="E835" s="157" t="s">
        <v>1</v>
      </c>
      <c r="F835" s="158" t="s">
        <v>741</v>
      </c>
      <c r="H835" s="159">
        <v>97.436999999999998</v>
      </c>
      <c r="I835" s="160"/>
      <c r="L835" s="156"/>
      <c r="M835" s="161"/>
      <c r="T835" s="162"/>
      <c r="AT835" s="157" t="s">
        <v>365</v>
      </c>
      <c r="AU835" s="157" t="s">
        <v>87</v>
      </c>
      <c r="AV835" s="154" t="s">
        <v>137</v>
      </c>
      <c r="AW835" s="154" t="s">
        <v>33</v>
      </c>
      <c r="AX835" s="154" t="s">
        <v>77</v>
      </c>
      <c r="AY835" s="157" t="s">
        <v>211</v>
      </c>
    </row>
    <row r="836" spans="2:65" s="113" customFormat="1">
      <c r="B836" s="119"/>
      <c r="D836" s="105" t="s">
        <v>365</v>
      </c>
      <c r="E836" s="135" t="s">
        <v>1</v>
      </c>
      <c r="F836" s="120" t="s">
        <v>1093</v>
      </c>
      <c r="H836" s="121">
        <v>16.771000000000001</v>
      </c>
      <c r="I836" s="128"/>
      <c r="L836" s="119"/>
      <c r="M836" s="129"/>
      <c r="T836" s="133"/>
      <c r="AT836" s="135" t="s">
        <v>365</v>
      </c>
      <c r="AU836" s="135" t="s">
        <v>87</v>
      </c>
      <c r="AV836" s="113" t="s">
        <v>87</v>
      </c>
      <c r="AW836" s="113" t="s">
        <v>33</v>
      </c>
      <c r="AX836" s="113" t="s">
        <v>77</v>
      </c>
      <c r="AY836" s="135" t="s">
        <v>211</v>
      </c>
    </row>
    <row r="837" spans="2:65" s="113" customFormat="1">
      <c r="B837" s="119"/>
      <c r="D837" s="105" t="s">
        <v>365</v>
      </c>
      <c r="E837" s="135" t="s">
        <v>1</v>
      </c>
      <c r="F837" s="120" t="s">
        <v>1094</v>
      </c>
      <c r="H837" s="121">
        <v>13.667999999999999</v>
      </c>
      <c r="I837" s="128"/>
      <c r="L837" s="119"/>
      <c r="M837" s="129"/>
      <c r="T837" s="133"/>
      <c r="AT837" s="135" t="s">
        <v>365</v>
      </c>
      <c r="AU837" s="135" t="s">
        <v>87</v>
      </c>
      <c r="AV837" s="113" t="s">
        <v>87</v>
      </c>
      <c r="AW837" s="113" t="s">
        <v>33</v>
      </c>
      <c r="AX837" s="113" t="s">
        <v>77</v>
      </c>
      <c r="AY837" s="135" t="s">
        <v>211</v>
      </c>
    </row>
    <row r="838" spans="2:65" s="113" customFormat="1">
      <c r="B838" s="119"/>
      <c r="D838" s="105" t="s">
        <v>365</v>
      </c>
      <c r="E838" s="135" t="s">
        <v>1</v>
      </c>
      <c r="F838" s="120" t="s">
        <v>1095</v>
      </c>
      <c r="H838" s="121">
        <v>28.167000000000002</v>
      </c>
      <c r="I838" s="128"/>
      <c r="L838" s="119"/>
      <c r="M838" s="129"/>
      <c r="T838" s="133"/>
      <c r="AT838" s="135" t="s">
        <v>365</v>
      </c>
      <c r="AU838" s="135" t="s">
        <v>87</v>
      </c>
      <c r="AV838" s="113" t="s">
        <v>87</v>
      </c>
      <c r="AW838" s="113" t="s">
        <v>33</v>
      </c>
      <c r="AX838" s="113" t="s">
        <v>77</v>
      </c>
      <c r="AY838" s="135" t="s">
        <v>211</v>
      </c>
    </row>
    <row r="839" spans="2:65" s="113" customFormat="1">
      <c r="B839" s="119"/>
      <c r="D839" s="105" t="s">
        <v>365</v>
      </c>
      <c r="E839" s="135" t="s">
        <v>1</v>
      </c>
      <c r="F839" s="120" t="s">
        <v>1096</v>
      </c>
      <c r="H839" s="121">
        <v>22.407</v>
      </c>
      <c r="I839" s="128"/>
      <c r="L839" s="119"/>
      <c r="M839" s="129"/>
      <c r="T839" s="133"/>
      <c r="AT839" s="135" t="s">
        <v>365</v>
      </c>
      <c r="AU839" s="135" t="s">
        <v>87</v>
      </c>
      <c r="AV839" s="113" t="s">
        <v>87</v>
      </c>
      <c r="AW839" s="113" t="s">
        <v>33</v>
      </c>
      <c r="AX839" s="113" t="s">
        <v>77</v>
      </c>
      <c r="AY839" s="135" t="s">
        <v>211</v>
      </c>
    </row>
    <row r="840" spans="2:65" s="154" customFormat="1">
      <c r="B840" s="156"/>
      <c r="D840" s="105" t="s">
        <v>365</v>
      </c>
      <c r="E840" s="157" t="s">
        <v>1</v>
      </c>
      <c r="F840" s="158" t="s">
        <v>741</v>
      </c>
      <c r="H840" s="159">
        <v>81.013000000000005</v>
      </c>
      <c r="I840" s="160"/>
      <c r="L840" s="156"/>
      <c r="M840" s="161"/>
      <c r="T840" s="162"/>
      <c r="AT840" s="157" t="s">
        <v>365</v>
      </c>
      <c r="AU840" s="157" t="s">
        <v>87</v>
      </c>
      <c r="AV840" s="154" t="s">
        <v>137</v>
      </c>
      <c r="AW840" s="154" t="s">
        <v>33</v>
      </c>
      <c r="AX840" s="154" t="s">
        <v>77</v>
      </c>
      <c r="AY840" s="157" t="s">
        <v>211</v>
      </c>
    </row>
    <row r="841" spans="2:65" s="113" customFormat="1">
      <c r="B841" s="119"/>
      <c r="D841" s="105" t="s">
        <v>365</v>
      </c>
      <c r="E841" s="135" t="s">
        <v>1</v>
      </c>
      <c r="F841" s="120" t="s">
        <v>1097</v>
      </c>
      <c r="H841" s="121">
        <v>6.92</v>
      </c>
      <c r="I841" s="128"/>
      <c r="L841" s="119"/>
      <c r="M841" s="129"/>
      <c r="T841" s="133"/>
      <c r="AT841" s="135" t="s">
        <v>365</v>
      </c>
      <c r="AU841" s="135" t="s">
        <v>87</v>
      </c>
      <c r="AV841" s="113" t="s">
        <v>87</v>
      </c>
      <c r="AW841" s="113" t="s">
        <v>33</v>
      </c>
      <c r="AX841" s="113" t="s">
        <v>77</v>
      </c>
      <c r="AY841" s="135" t="s">
        <v>211</v>
      </c>
    </row>
    <row r="842" spans="2:65" s="137" customFormat="1">
      <c r="B842" s="141"/>
      <c r="D842" s="105" t="s">
        <v>365</v>
      </c>
      <c r="E842" s="142" t="s">
        <v>1</v>
      </c>
      <c r="F842" s="143" t="s">
        <v>368</v>
      </c>
      <c r="H842" s="144">
        <v>188.34</v>
      </c>
      <c r="I842" s="148"/>
      <c r="L842" s="141"/>
      <c r="M842" s="149"/>
      <c r="T842" s="151"/>
      <c r="AT842" s="142" t="s">
        <v>365</v>
      </c>
      <c r="AU842" s="142" t="s">
        <v>87</v>
      </c>
      <c r="AV842" s="137" t="s">
        <v>218</v>
      </c>
      <c r="AW842" s="137" t="s">
        <v>33</v>
      </c>
      <c r="AX842" s="137" t="s">
        <v>85</v>
      </c>
      <c r="AY842" s="142" t="s">
        <v>211</v>
      </c>
    </row>
    <row r="843" spans="2:65" s="1" customFormat="1" ht="33" customHeight="1">
      <c r="B843" s="12"/>
      <c r="C843" s="71" t="s">
        <v>1098</v>
      </c>
      <c r="D843" s="71" t="s">
        <v>214</v>
      </c>
      <c r="E843" s="72" t="s">
        <v>1099</v>
      </c>
      <c r="F843" s="73" t="s">
        <v>1100</v>
      </c>
      <c r="G843" s="74" t="s">
        <v>279</v>
      </c>
      <c r="H843" s="75">
        <v>188.34</v>
      </c>
      <c r="I843" s="90">
        <v>210</v>
      </c>
      <c r="J843" s="91">
        <f>ROUND(I843*H843,2)</f>
        <v>39551.4</v>
      </c>
      <c r="K843" s="92"/>
      <c r="L843" s="12"/>
      <c r="M843" s="93" t="s">
        <v>1</v>
      </c>
      <c r="N843" s="94" t="s">
        <v>42</v>
      </c>
      <c r="P843" s="95">
        <f>O843*H843</f>
        <v>0</v>
      </c>
      <c r="Q843" s="95">
        <v>0</v>
      </c>
      <c r="R843" s="95">
        <f>Q843*H843</f>
        <v>0</v>
      </c>
      <c r="S843" s="95">
        <v>0</v>
      </c>
      <c r="T843" s="99">
        <f>S843*H843</f>
        <v>0</v>
      </c>
      <c r="AR843" s="101" t="s">
        <v>218</v>
      </c>
      <c r="AT843" s="101" t="s">
        <v>214</v>
      </c>
      <c r="AU843" s="101" t="s">
        <v>87</v>
      </c>
      <c r="AY843" s="23" t="s">
        <v>211</v>
      </c>
      <c r="BE843" s="104">
        <f>IF(N843="základní",J843,0)</f>
        <v>39551.4</v>
      </c>
      <c r="BF843" s="104">
        <f>IF(N843="snížená",J843,0)</f>
        <v>0</v>
      </c>
      <c r="BG843" s="104">
        <f>IF(N843="zákl. přenesená",J843,0)</f>
        <v>0</v>
      </c>
      <c r="BH843" s="104">
        <f>IF(N843="sníž. přenesená",J843,0)</f>
        <v>0</v>
      </c>
      <c r="BI843" s="104">
        <f>IF(N843="nulová",J843,0)</f>
        <v>0</v>
      </c>
      <c r="BJ843" s="23" t="s">
        <v>85</v>
      </c>
      <c r="BK843" s="104">
        <f>ROUND(I843*H843,2)</f>
        <v>39551.4</v>
      </c>
      <c r="BL843" s="23" t="s">
        <v>218</v>
      </c>
      <c r="BM843" s="101" t="s">
        <v>1101</v>
      </c>
    </row>
    <row r="844" spans="2:65" s="113" customFormat="1">
      <c r="B844" s="119"/>
      <c r="D844" s="105" t="s">
        <v>365</v>
      </c>
      <c r="E844" s="135" t="s">
        <v>1</v>
      </c>
      <c r="F844" s="120" t="s">
        <v>1091</v>
      </c>
      <c r="H844" s="121">
        <v>2.97</v>
      </c>
      <c r="I844" s="128"/>
      <c r="L844" s="119"/>
      <c r="M844" s="129"/>
      <c r="T844" s="133"/>
      <c r="AT844" s="135" t="s">
        <v>365</v>
      </c>
      <c r="AU844" s="135" t="s">
        <v>87</v>
      </c>
      <c r="AV844" s="113" t="s">
        <v>87</v>
      </c>
      <c r="AW844" s="113" t="s">
        <v>33</v>
      </c>
      <c r="AX844" s="113" t="s">
        <v>77</v>
      </c>
      <c r="AY844" s="135" t="s">
        <v>211</v>
      </c>
    </row>
    <row r="845" spans="2:65" s="154" customFormat="1">
      <c r="B845" s="156"/>
      <c r="D845" s="105" t="s">
        <v>365</v>
      </c>
      <c r="E845" s="157" t="s">
        <v>1</v>
      </c>
      <c r="F845" s="158" t="s">
        <v>741</v>
      </c>
      <c r="H845" s="159">
        <v>2.97</v>
      </c>
      <c r="I845" s="160"/>
      <c r="L845" s="156"/>
      <c r="M845" s="161"/>
      <c r="T845" s="162"/>
      <c r="AT845" s="157" t="s">
        <v>365</v>
      </c>
      <c r="AU845" s="157" t="s">
        <v>87</v>
      </c>
      <c r="AV845" s="154" t="s">
        <v>137</v>
      </c>
      <c r="AW845" s="154" t="s">
        <v>33</v>
      </c>
      <c r="AX845" s="154" t="s">
        <v>77</v>
      </c>
      <c r="AY845" s="157" t="s">
        <v>211</v>
      </c>
    </row>
    <row r="846" spans="2:65" s="113" customFormat="1">
      <c r="B846" s="119"/>
      <c r="D846" s="105" t="s">
        <v>365</v>
      </c>
      <c r="E846" s="135" t="s">
        <v>1</v>
      </c>
      <c r="F846" s="120" t="s">
        <v>1092</v>
      </c>
      <c r="H846" s="121">
        <v>97.436999999999998</v>
      </c>
      <c r="I846" s="128"/>
      <c r="L846" s="119"/>
      <c r="M846" s="129"/>
      <c r="T846" s="133"/>
      <c r="AT846" s="135" t="s">
        <v>365</v>
      </c>
      <c r="AU846" s="135" t="s">
        <v>87</v>
      </c>
      <c r="AV846" s="113" t="s">
        <v>87</v>
      </c>
      <c r="AW846" s="113" t="s">
        <v>33</v>
      </c>
      <c r="AX846" s="113" t="s">
        <v>77</v>
      </c>
      <c r="AY846" s="135" t="s">
        <v>211</v>
      </c>
    </row>
    <row r="847" spans="2:65" s="154" customFormat="1">
      <c r="B847" s="156"/>
      <c r="D847" s="105" t="s">
        <v>365</v>
      </c>
      <c r="E847" s="157" t="s">
        <v>1</v>
      </c>
      <c r="F847" s="158" t="s">
        <v>741</v>
      </c>
      <c r="H847" s="159">
        <v>97.436999999999998</v>
      </c>
      <c r="I847" s="160"/>
      <c r="L847" s="156"/>
      <c r="M847" s="161"/>
      <c r="T847" s="162"/>
      <c r="AT847" s="157" t="s">
        <v>365</v>
      </c>
      <c r="AU847" s="157" t="s">
        <v>87</v>
      </c>
      <c r="AV847" s="154" t="s">
        <v>137</v>
      </c>
      <c r="AW847" s="154" t="s">
        <v>33</v>
      </c>
      <c r="AX847" s="154" t="s">
        <v>77</v>
      </c>
      <c r="AY847" s="157" t="s">
        <v>211</v>
      </c>
    </row>
    <row r="848" spans="2:65" s="113" customFormat="1">
      <c r="B848" s="119"/>
      <c r="D848" s="105" t="s">
        <v>365</v>
      </c>
      <c r="E848" s="135" t="s">
        <v>1</v>
      </c>
      <c r="F848" s="120" t="s">
        <v>1093</v>
      </c>
      <c r="H848" s="121">
        <v>16.771000000000001</v>
      </c>
      <c r="I848" s="128"/>
      <c r="L848" s="119"/>
      <c r="M848" s="129"/>
      <c r="T848" s="133"/>
      <c r="AT848" s="135" t="s">
        <v>365</v>
      </c>
      <c r="AU848" s="135" t="s">
        <v>87</v>
      </c>
      <c r="AV848" s="113" t="s">
        <v>87</v>
      </c>
      <c r="AW848" s="113" t="s">
        <v>33</v>
      </c>
      <c r="AX848" s="113" t="s">
        <v>77</v>
      </c>
      <c r="AY848" s="135" t="s">
        <v>211</v>
      </c>
    </row>
    <row r="849" spans="2:65" s="113" customFormat="1">
      <c r="B849" s="119"/>
      <c r="D849" s="105" t="s">
        <v>365</v>
      </c>
      <c r="E849" s="135" t="s">
        <v>1</v>
      </c>
      <c r="F849" s="120" t="s">
        <v>1094</v>
      </c>
      <c r="H849" s="121">
        <v>13.667999999999999</v>
      </c>
      <c r="I849" s="128"/>
      <c r="L849" s="119"/>
      <c r="M849" s="129"/>
      <c r="T849" s="133"/>
      <c r="AT849" s="135" t="s">
        <v>365</v>
      </c>
      <c r="AU849" s="135" t="s">
        <v>87</v>
      </c>
      <c r="AV849" s="113" t="s">
        <v>87</v>
      </c>
      <c r="AW849" s="113" t="s">
        <v>33</v>
      </c>
      <c r="AX849" s="113" t="s">
        <v>77</v>
      </c>
      <c r="AY849" s="135" t="s">
        <v>211</v>
      </c>
    </row>
    <row r="850" spans="2:65" s="113" customFormat="1">
      <c r="B850" s="119"/>
      <c r="D850" s="105" t="s">
        <v>365</v>
      </c>
      <c r="E850" s="135" t="s">
        <v>1</v>
      </c>
      <c r="F850" s="120" t="s">
        <v>1095</v>
      </c>
      <c r="H850" s="121">
        <v>28.167000000000002</v>
      </c>
      <c r="I850" s="128"/>
      <c r="L850" s="119"/>
      <c r="M850" s="129"/>
      <c r="T850" s="133"/>
      <c r="AT850" s="135" t="s">
        <v>365</v>
      </c>
      <c r="AU850" s="135" t="s">
        <v>87</v>
      </c>
      <c r="AV850" s="113" t="s">
        <v>87</v>
      </c>
      <c r="AW850" s="113" t="s">
        <v>33</v>
      </c>
      <c r="AX850" s="113" t="s">
        <v>77</v>
      </c>
      <c r="AY850" s="135" t="s">
        <v>211</v>
      </c>
    </row>
    <row r="851" spans="2:65" s="113" customFormat="1">
      <c r="B851" s="119"/>
      <c r="D851" s="105" t="s">
        <v>365</v>
      </c>
      <c r="E851" s="135" t="s">
        <v>1</v>
      </c>
      <c r="F851" s="120" t="s">
        <v>1096</v>
      </c>
      <c r="H851" s="121">
        <v>22.407</v>
      </c>
      <c r="I851" s="128"/>
      <c r="L851" s="119"/>
      <c r="M851" s="129"/>
      <c r="T851" s="133"/>
      <c r="AT851" s="135" t="s">
        <v>365</v>
      </c>
      <c r="AU851" s="135" t="s">
        <v>87</v>
      </c>
      <c r="AV851" s="113" t="s">
        <v>87</v>
      </c>
      <c r="AW851" s="113" t="s">
        <v>33</v>
      </c>
      <c r="AX851" s="113" t="s">
        <v>77</v>
      </c>
      <c r="AY851" s="135" t="s">
        <v>211</v>
      </c>
    </row>
    <row r="852" spans="2:65" s="154" customFormat="1">
      <c r="B852" s="156"/>
      <c r="D852" s="105" t="s">
        <v>365</v>
      </c>
      <c r="E852" s="157" t="s">
        <v>1</v>
      </c>
      <c r="F852" s="158" t="s">
        <v>741</v>
      </c>
      <c r="H852" s="159">
        <v>81.013000000000005</v>
      </c>
      <c r="I852" s="160"/>
      <c r="L852" s="156"/>
      <c r="M852" s="161"/>
      <c r="T852" s="162"/>
      <c r="AT852" s="157" t="s">
        <v>365</v>
      </c>
      <c r="AU852" s="157" t="s">
        <v>87</v>
      </c>
      <c r="AV852" s="154" t="s">
        <v>137</v>
      </c>
      <c r="AW852" s="154" t="s">
        <v>33</v>
      </c>
      <c r="AX852" s="154" t="s">
        <v>77</v>
      </c>
      <c r="AY852" s="157" t="s">
        <v>211</v>
      </c>
    </row>
    <row r="853" spans="2:65" s="113" customFormat="1">
      <c r="B853" s="119"/>
      <c r="D853" s="105" t="s">
        <v>365</v>
      </c>
      <c r="E853" s="135" t="s">
        <v>1</v>
      </c>
      <c r="F853" s="120" t="s">
        <v>1097</v>
      </c>
      <c r="H853" s="121">
        <v>6.92</v>
      </c>
      <c r="I853" s="128"/>
      <c r="L853" s="119"/>
      <c r="M853" s="129"/>
      <c r="T853" s="133"/>
      <c r="AT853" s="135" t="s">
        <v>365</v>
      </c>
      <c r="AU853" s="135" t="s">
        <v>87</v>
      </c>
      <c r="AV853" s="113" t="s">
        <v>87</v>
      </c>
      <c r="AW853" s="113" t="s">
        <v>33</v>
      </c>
      <c r="AX853" s="113" t="s">
        <v>77</v>
      </c>
      <c r="AY853" s="135" t="s">
        <v>211</v>
      </c>
    </row>
    <row r="854" spans="2:65" s="137" customFormat="1">
      <c r="B854" s="141"/>
      <c r="D854" s="105" t="s">
        <v>365</v>
      </c>
      <c r="E854" s="142" t="s">
        <v>1</v>
      </c>
      <c r="F854" s="143" t="s">
        <v>368</v>
      </c>
      <c r="H854" s="144">
        <v>188.34</v>
      </c>
      <c r="I854" s="148"/>
      <c r="L854" s="141"/>
      <c r="M854" s="149"/>
      <c r="T854" s="151"/>
      <c r="AT854" s="142" t="s">
        <v>365</v>
      </c>
      <c r="AU854" s="142" t="s">
        <v>87</v>
      </c>
      <c r="AV854" s="137" t="s">
        <v>218</v>
      </c>
      <c r="AW854" s="137" t="s">
        <v>33</v>
      </c>
      <c r="AX854" s="137" t="s">
        <v>85</v>
      </c>
      <c r="AY854" s="142" t="s">
        <v>211</v>
      </c>
    </row>
    <row r="855" spans="2:65" s="1" customFormat="1" ht="24.15" customHeight="1">
      <c r="B855" s="12"/>
      <c r="C855" s="71" t="s">
        <v>1102</v>
      </c>
      <c r="D855" s="71" t="s">
        <v>214</v>
      </c>
      <c r="E855" s="72" t="s">
        <v>1103</v>
      </c>
      <c r="F855" s="73" t="s">
        <v>1104</v>
      </c>
      <c r="G855" s="74" t="s">
        <v>394</v>
      </c>
      <c r="H855" s="75">
        <v>18.414999999999999</v>
      </c>
      <c r="I855" s="90">
        <v>48500</v>
      </c>
      <c r="J855" s="91">
        <f>ROUND(I855*H855,2)</f>
        <v>893127.5</v>
      </c>
      <c r="K855" s="92"/>
      <c r="L855" s="12"/>
      <c r="M855" s="93" t="s">
        <v>1</v>
      </c>
      <c r="N855" s="94" t="s">
        <v>42</v>
      </c>
      <c r="P855" s="95">
        <f>O855*H855</f>
        <v>0</v>
      </c>
      <c r="Q855" s="95">
        <v>1.0551200000000001</v>
      </c>
      <c r="R855" s="95">
        <f>Q855*H855</f>
        <v>19.430034800000001</v>
      </c>
      <c r="S855" s="95">
        <v>0</v>
      </c>
      <c r="T855" s="99">
        <f>S855*H855</f>
        <v>0</v>
      </c>
      <c r="AR855" s="101" t="s">
        <v>218</v>
      </c>
      <c r="AT855" s="101" t="s">
        <v>214</v>
      </c>
      <c r="AU855" s="101" t="s">
        <v>87</v>
      </c>
      <c r="AY855" s="23" t="s">
        <v>211</v>
      </c>
      <c r="BE855" s="104">
        <f>IF(N855="základní",J855,0)</f>
        <v>893127.5</v>
      </c>
      <c r="BF855" s="104">
        <f>IF(N855="snížená",J855,0)</f>
        <v>0</v>
      </c>
      <c r="BG855" s="104">
        <f>IF(N855="zákl. přenesená",J855,0)</f>
        <v>0</v>
      </c>
      <c r="BH855" s="104">
        <f>IF(N855="sníž. přenesená",J855,0)</f>
        <v>0</v>
      </c>
      <c r="BI855" s="104">
        <f>IF(N855="nulová",J855,0)</f>
        <v>0</v>
      </c>
      <c r="BJ855" s="23" t="s">
        <v>85</v>
      </c>
      <c r="BK855" s="104">
        <f>ROUND(I855*H855,2)</f>
        <v>893127.5</v>
      </c>
      <c r="BL855" s="23" t="s">
        <v>218</v>
      </c>
      <c r="BM855" s="101" t="s">
        <v>1105</v>
      </c>
    </row>
    <row r="856" spans="2:65" s="113" customFormat="1">
      <c r="B856" s="119"/>
      <c r="D856" s="105" t="s">
        <v>365</v>
      </c>
      <c r="E856" s="135" t="s">
        <v>1</v>
      </c>
      <c r="F856" s="120" t="s">
        <v>1106</v>
      </c>
      <c r="H856" s="121">
        <v>0.72499999999999998</v>
      </c>
      <c r="I856" s="128"/>
      <c r="L856" s="119"/>
      <c r="M856" s="129"/>
      <c r="T856" s="133"/>
      <c r="AT856" s="135" t="s">
        <v>365</v>
      </c>
      <c r="AU856" s="135" t="s">
        <v>87</v>
      </c>
      <c r="AV856" s="113" t="s">
        <v>87</v>
      </c>
      <c r="AW856" s="113" t="s">
        <v>33</v>
      </c>
      <c r="AX856" s="113" t="s">
        <v>77</v>
      </c>
      <c r="AY856" s="135" t="s">
        <v>211</v>
      </c>
    </row>
    <row r="857" spans="2:65" s="113" customFormat="1">
      <c r="B857" s="119"/>
      <c r="D857" s="105" t="s">
        <v>365</v>
      </c>
      <c r="E857" s="135" t="s">
        <v>1</v>
      </c>
      <c r="F857" s="120" t="s">
        <v>1107</v>
      </c>
      <c r="H857" s="121">
        <v>0.59</v>
      </c>
      <c r="I857" s="128"/>
      <c r="L857" s="119"/>
      <c r="M857" s="129"/>
      <c r="T857" s="133"/>
      <c r="AT857" s="135" t="s">
        <v>365</v>
      </c>
      <c r="AU857" s="135" t="s">
        <v>87</v>
      </c>
      <c r="AV857" s="113" t="s">
        <v>87</v>
      </c>
      <c r="AW857" s="113" t="s">
        <v>33</v>
      </c>
      <c r="AX857" s="113" t="s">
        <v>77</v>
      </c>
      <c r="AY857" s="135" t="s">
        <v>211</v>
      </c>
    </row>
    <row r="858" spans="2:65" s="113" customFormat="1">
      <c r="B858" s="119"/>
      <c r="D858" s="105" t="s">
        <v>365</v>
      </c>
      <c r="E858" s="135" t="s">
        <v>1</v>
      </c>
      <c r="F858" s="120" t="s">
        <v>1108</v>
      </c>
      <c r="H858" s="121">
        <v>1.2170000000000001</v>
      </c>
      <c r="I858" s="128"/>
      <c r="L858" s="119"/>
      <c r="M858" s="129"/>
      <c r="T858" s="133"/>
      <c r="AT858" s="135" t="s">
        <v>365</v>
      </c>
      <c r="AU858" s="135" t="s">
        <v>87</v>
      </c>
      <c r="AV858" s="113" t="s">
        <v>87</v>
      </c>
      <c r="AW858" s="113" t="s">
        <v>33</v>
      </c>
      <c r="AX858" s="113" t="s">
        <v>77</v>
      </c>
      <c r="AY858" s="135" t="s">
        <v>211</v>
      </c>
    </row>
    <row r="859" spans="2:65" s="113" customFormat="1">
      <c r="B859" s="119"/>
      <c r="D859" s="105" t="s">
        <v>365</v>
      </c>
      <c r="E859" s="135" t="s">
        <v>1</v>
      </c>
      <c r="F859" s="120" t="s">
        <v>1109</v>
      </c>
      <c r="H859" s="121">
        <v>0.96799999999999997</v>
      </c>
      <c r="I859" s="128"/>
      <c r="L859" s="119"/>
      <c r="M859" s="129"/>
      <c r="T859" s="133"/>
      <c r="AT859" s="135" t="s">
        <v>365</v>
      </c>
      <c r="AU859" s="135" t="s">
        <v>87</v>
      </c>
      <c r="AV859" s="113" t="s">
        <v>87</v>
      </c>
      <c r="AW859" s="113" t="s">
        <v>33</v>
      </c>
      <c r="AX859" s="113" t="s">
        <v>77</v>
      </c>
      <c r="AY859" s="135" t="s">
        <v>211</v>
      </c>
    </row>
    <row r="860" spans="2:65" s="154" customFormat="1">
      <c r="B860" s="156"/>
      <c r="D860" s="105" t="s">
        <v>365</v>
      </c>
      <c r="E860" s="157" t="s">
        <v>1</v>
      </c>
      <c r="F860" s="158" t="s">
        <v>741</v>
      </c>
      <c r="H860" s="159">
        <v>3.5</v>
      </c>
      <c r="I860" s="160"/>
      <c r="L860" s="156"/>
      <c r="M860" s="161"/>
      <c r="T860" s="162"/>
      <c r="AT860" s="157" t="s">
        <v>365</v>
      </c>
      <c r="AU860" s="157" t="s">
        <v>87</v>
      </c>
      <c r="AV860" s="154" t="s">
        <v>137</v>
      </c>
      <c r="AW860" s="154" t="s">
        <v>33</v>
      </c>
      <c r="AX860" s="154" t="s">
        <v>77</v>
      </c>
      <c r="AY860" s="157" t="s">
        <v>211</v>
      </c>
    </row>
    <row r="861" spans="2:65" s="113" customFormat="1">
      <c r="B861" s="119"/>
      <c r="D861" s="105" t="s">
        <v>365</v>
      </c>
      <c r="E861" s="135" t="s">
        <v>1</v>
      </c>
      <c r="F861" s="120" t="s">
        <v>1110</v>
      </c>
      <c r="H861" s="121">
        <v>0.29899999999999999</v>
      </c>
      <c r="I861" s="128"/>
      <c r="L861" s="119"/>
      <c r="M861" s="129"/>
      <c r="T861" s="133"/>
      <c r="AT861" s="135" t="s">
        <v>365</v>
      </c>
      <c r="AU861" s="135" t="s">
        <v>87</v>
      </c>
      <c r="AV861" s="113" t="s">
        <v>87</v>
      </c>
      <c r="AW861" s="113" t="s">
        <v>33</v>
      </c>
      <c r="AX861" s="113" t="s">
        <v>77</v>
      </c>
      <c r="AY861" s="135" t="s">
        <v>211</v>
      </c>
    </row>
    <row r="862" spans="2:65" s="154" customFormat="1">
      <c r="B862" s="156"/>
      <c r="D862" s="105" t="s">
        <v>365</v>
      </c>
      <c r="E862" s="157" t="s">
        <v>1</v>
      </c>
      <c r="F862" s="158" t="s">
        <v>741</v>
      </c>
      <c r="H862" s="159">
        <v>0.29899999999999999</v>
      </c>
      <c r="I862" s="160"/>
      <c r="L862" s="156"/>
      <c r="M862" s="161"/>
      <c r="T862" s="162"/>
      <c r="AT862" s="157" t="s">
        <v>365</v>
      </c>
      <c r="AU862" s="157" t="s">
        <v>87</v>
      </c>
      <c r="AV862" s="154" t="s">
        <v>137</v>
      </c>
      <c r="AW862" s="154" t="s">
        <v>33</v>
      </c>
      <c r="AX862" s="154" t="s">
        <v>77</v>
      </c>
      <c r="AY862" s="157" t="s">
        <v>211</v>
      </c>
    </row>
    <row r="863" spans="2:65" s="113" customFormat="1">
      <c r="B863" s="119"/>
      <c r="D863" s="105" t="s">
        <v>365</v>
      </c>
      <c r="E863" s="135" t="s">
        <v>1</v>
      </c>
      <c r="F863" s="120" t="s">
        <v>1111</v>
      </c>
      <c r="H863" s="121">
        <v>14.616</v>
      </c>
      <c r="I863" s="128"/>
      <c r="L863" s="119"/>
      <c r="M863" s="129"/>
      <c r="T863" s="133"/>
      <c r="AT863" s="135" t="s">
        <v>365</v>
      </c>
      <c r="AU863" s="135" t="s">
        <v>87</v>
      </c>
      <c r="AV863" s="113" t="s">
        <v>87</v>
      </c>
      <c r="AW863" s="113" t="s">
        <v>33</v>
      </c>
      <c r="AX863" s="113" t="s">
        <v>77</v>
      </c>
      <c r="AY863" s="135" t="s">
        <v>211</v>
      </c>
    </row>
    <row r="864" spans="2:65" s="137" customFormat="1">
      <c r="B864" s="141"/>
      <c r="D864" s="105" t="s">
        <v>365</v>
      </c>
      <c r="E864" s="142" t="s">
        <v>1</v>
      </c>
      <c r="F864" s="143" t="s">
        <v>368</v>
      </c>
      <c r="H864" s="144">
        <v>18.414999999999999</v>
      </c>
      <c r="I864" s="148"/>
      <c r="L864" s="141"/>
      <c r="M864" s="149"/>
      <c r="T864" s="151"/>
      <c r="AT864" s="142" t="s">
        <v>365</v>
      </c>
      <c r="AU864" s="142" t="s">
        <v>87</v>
      </c>
      <c r="AV864" s="137" t="s">
        <v>218</v>
      </c>
      <c r="AW864" s="137" t="s">
        <v>33</v>
      </c>
      <c r="AX864" s="137" t="s">
        <v>85</v>
      </c>
      <c r="AY864" s="142" t="s">
        <v>211</v>
      </c>
    </row>
    <row r="865" spans="2:65" s="1" customFormat="1" ht="16.5" customHeight="1">
      <c r="B865" s="12"/>
      <c r="C865" s="71" t="s">
        <v>1112</v>
      </c>
      <c r="D865" s="71" t="s">
        <v>214</v>
      </c>
      <c r="E865" s="72" t="s">
        <v>1113</v>
      </c>
      <c r="F865" s="73" t="s">
        <v>1114</v>
      </c>
      <c r="G865" s="74" t="s">
        <v>357</v>
      </c>
      <c r="H865" s="75">
        <v>31.657</v>
      </c>
      <c r="I865" s="90">
        <v>4900</v>
      </c>
      <c r="J865" s="91">
        <f>ROUND(I865*H865,2)</f>
        <v>155119.29999999999</v>
      </c>
      <c r="K865" s="92"/>
      <c r="L865" s="12"/>
      <c r="M865" s="93" t="s">
        <v>1</v>
      </c>
      <c r="N865" s="94" t="s">
        <v>42</v>
      </c>
      <c r="P865" s="95">
        <f>O865*H865</f>
        <v>0</v>
      </c>
      <c r="Q865" s="95">
        <v>2.45336</v>
      </c>
      <c r="R865" s="95">
        <f>Q865*H865</f>
        <v>77.666017519999997</v>
      </c>
      <c r="S865" s="95">
        <v>0</v>
      </c>
      <c r="T865" s="99">
        <f>S865*H865</f>
        <v>0</v>
      </c>
      <c r="AR865" s="101" t="s">
        <v>218</v>
      </c>
      <c r="AT865" s="101" t="s">
        <v>214</v>
      </c>
      <c r="AU865" s="101" t="s">
        <v>87</v>
      </c>
      <c r="AY865" s="23" t="s">
        <v>211</v>
      </c>
      <c r="BE865" s="104">
        <f>IF(N865="základní",J865,0)</f>
        <v>155119.29999999999</v>
      </c>
      <c r="BF865" s="104">
        <f>IF(N865="snížená",J865,0)</f>
        <v>0</v>
      </c>
      <c r="BG865" s="104">
        <f>IF(N865="zákl. přenesená",J865,0)</f>
        <v>0</v>
      </c>
      <c r="BH865" s="104">
        <f>IF(N865="sníž. přenesená",J865,0)</f>
        <v>0</v>
      </c>
      <c r="BI865" s="104">
        <f>IF(N865="nulová",J865,0)</f>
        <v>0</v>
      </c>
      <c r="BJ865" s="23" t="s">
        <v>85</v>
      </c>
      <c r="BK865" s="104">
        <f>ROUND(I865*H865,2)</f>
        <v>155119.29999999999</v>
      </c>
      <c r="BL865" s="23" t="s">
        <v>218</v>
      </c>
      <c r="BM865" s="101" t="s">
        <v>1115</v>
      </c>
    </row>
    <row r="866" spans="2:65" s="1" customFormat="1" ht="19.2">
      <c r="B866" s="12"/>
      <c r="D866" s="105" t="s">
        <v>227</v>
      </c>
      <c r="F866" s="106" t="s">
        <v>479</v>
      </c>
      <c r="I866" s="107"/>
      <c r="L866" s="12"/>
      <c r="M866" s="108"/>
      <c r="T866" s="111"/>
      <c r="AT866" s="23" t="s">
        <v>227</v>
      </c>
      <c r="AU866" s="23" t="s">
        <v>87</v>
      </c>
    </row>
    <row r="867" spans="2:65" s="113" customFormat="1">
      <c r="B867" s="119"/>
      <c r="D867" s="105" t="s">
        <v>365</v>
      </c>
      <c r="E867" s="135" t="s">
        <v>1</v>
      </c>
      <c r="F867" s="120" t="s">
        <v>1116</v>
      </c>
      <c r="H867" s="121">
        <v>6.0380000000000003</v>
      </c>
      <c r="I867" s="128"/>
      <c r="L867" s="119"/>
      <c r="M867" s="129"/>
      <c r="T867" s="133"/>
      <c r="AT867" s="135" t="s">
        <v>365</v>
      </c>
      <c r="AU867" s="135" t="s">
        <v>87</v>
      </c>
      <c r="AV867" s="113" t="s">
        <v>87</v>
      </c>
      <c r="AW867" s="113" t="s">
        <v>33</v>
      </c>
      <c r="AX867" s="113" t="s">
        <v>77</v>
      </c>
      <c r="AY867" s="135" t="s">
        <v>211</v>
      </c>
    </row>
    <row r="868" spans="2:65" s="113" customFormat="1">
      <c r="B868" s="119"/>
      <c r="D868" s="105" t="s">
        <v>365</v>
      </c>
      <c r="E868" s="135" t="s">
        <v>1</v>
      </c>
      <c r="F868" s="120" t="s">
        <v>1117</v>
      </c>
      <c r="H868" s="121">
        <v>4.9210000000000003</v>
      </c>
      <c r="I868" s="128"/>
      <c r="L868" s="119"/>
      <c r="M868" s="129"/>
      <c r="T868" s="133"/>
      <c r="AT868" s="135" t="s">
        <v>365</v>
      </c>
      <c r="AU868" s="135" t="s">
        <v>87</v>
      </c>
      <c r="AV868" s="113" t="s">
        <v>87</v>
      </c>
      <c r="AW868" s="113" t="s">
        <v>33</v>
      </c>
      <c r="AX868" s="113" t="s">
        <v>77</v>
      </c>
      <c r="AY868" s="135" t="s">
        <v>211</v>
      </c>
    </row>
    <row r="869" spans="2:65" s="113" customFormat="1">
      <c r="B869" s="119"/>
      <c r="D869" s="105" t="s">
        <v>365</v>
      </c>
      <c r="E869" s="135" t="s">
        <v>1</v>
      </c>
      <c r="F869" s="120" t="s">
        <v>1118</v>
      </c>
      <c r="H869" s="121">
        <v>10.14</v>
      </c>
      <c r="I869" s="128"/>
      <c r="L869" s="119"/>
      <c r="M869" s="129"/>
      <c r="T869" s="133"/>
      <c r="AT869" s="135" t="s">
        <v>365</v>
      </c>
      <c r="AU869" s="135" t="s">
        <v>87</v>
      </c>
      <c r="AV869" s="113" t="s">
        <v>87</v>
      </c>
      <c r="AW869" s="113" t="s">
        <v>33</v>
      </c>
      <c r="AX869" s="113" t="s">
        <v>77</v>
      </c>
      <c r="AY869" s="135" t="s">
        <v>211</v>
      </c>
    </row>
    <row r="870" spans="2:65" s="113" customFormat="1">
      <c r="B870" s="119"/>
      <c r="D870" s="105" t="s">
        <v>365</v>
      </c>
      <c r="E870" s="135" t="s">
        <v>1</v>
      </c>
      <c r="F870" s="120" t="s">
        <v>1119</v>
      </c>
      <c r="H870" s="121">
        <v>8.0670000000000002</v>
      </c>
      <c r="I870" s="128"/>
      <c r="L870" s="119"/>
      <c r="M870" s="129"/>
      <c r="T870" s="133"/>
      <c r="AT870" s="135" t="s">
        <v>365</v>
      </c>
      <c r="AU870" s="135" t="s">
        <v>87</v>
      </c>
      <c r="AV870" s="113" t="s">
        <v>87</v>
      </c>
      <c r="AW870" s="113" t="s">
        <v>33</v>
      </c>
      <c r="AX870" s="113" t="s">
        <v>77</v>
      </c>
      <c r="AY870" s="135" t="s">
        <v>211</v>
      </c>
    </row>
    <row r="871" spans="2:65" s="154" customFormat="1">
      <c r="B871" s="156"/>
      <c r="D871" s="105" t="s">
        <v>365</v>
      </c>
      <c r="E871" s="157" t="s">
        <v>1</v>
      </c>
      <c r="F871" s="158" t="s">
        <v>741</v>
      </c>
      <c r="H871" s="159">
        <v>29.166</v>
      </c>
      <c r="I871" s="160"/>
      <c r="L871" s="156"/>
      <c r="M871" s="161"/>
      <c r="T871" s="162"/>
      <c r="AT871" s="157" t="s">
        <v>365</v>
      </c>
      <c r="AU871" s="157" t="s">
        <v>87</v>
      </c>
      <c r="AV871" s="154" t="s">
        <v>137</v>
      </c>
      <c r="AW871" s="154" t="s">
        <v>33</v>
      </c>
      <c r="AX871" s="154" t="s">
        <v>77</v>
      </c>
      <c r="AY871" s="157" t="s">
        <v>211</v>
      </c>
    </row>
    <row r="872" spans="2:65" s="113" customFormat="1">
      <c r="B872" s="119"/>
      <c r="D872" s="105" t="s">
        <v>365</v>
      </c>
      <c r="E872" s="135" t="s">
        <v>1</v>
      </c>
      <c r="F872" s="120" t="s">
        <v>1120</v>
      </c>
      <c r="H872" s="121">
        <v>2.4910000000000001</v>
      </c>
      <c r="I872" s="128"/>
      <c r="L872" s="119"/>
      <c r="M872" s="129"/>
      <c r="T872" s="133"/>
      <c r="AT872" s="135" t="s">
        <v>365</v>
      </c>
      <c r="AU872" s="135" t="s">
        <v>87</v>
      </c>
      <c r="AV872" s="113" t="s">
        <v>87</v>
      </c>
      <c r="AW872" s="113" t="s">
        <v>33</v>
      </c>
      <c r="AX872" s="113" t="s">
        <v>77</v>
      </c>
      <c r="AY872" s="135" t="s">
        <v>211</v>
      </c>
    </row>
    <row r="873" spans="2:65" s="137" customFormat="1">
      <c r="B873" s="141"/>
      <c r="D873" s="105" t="s">
        <v>365</v>
      </c>
      <c r="E873" s="142" t="s">
        <v>1</v>
      </c>
      <c r="F873" s="143" t="s">
        <v>368</v>
      </c>
      <c r="H873" s="144">
        <v>31.657</v>
      </c>
      <c r="I873" s="148"/>
      <c r="L873" s="141"/>
      <c r="M873" s="149"/>
      <c r="T873" s="151"/>
      <c r="AT873" s="142" t="s">
        <v>365</v>
      </c>
      <c r="AU873" s="142" t="s">
        <v>87</v>
      </c>
      <c r="AV873" s="137" t="s">
        <v>218</v>
      </c>
      <c r="AW873" s="137" t="s">
        <v>33</v>
      </c>
      <c r="AX873" s="137" t="s">
        <v>85</v>
      </c>
      <c r="AY873" s="142" t="s">
        <v>211</v>
      </c>
    </row>
    <row r="874" spans="2:65" s="1" customFormat="1" ht="16.5" customHeight="1">
      <c r="B874" s="12"/>
      <c r="C874" s="71" t="s">
        <v>1121</v>
      </c>
      <c r="D874" s="71" t="s">
        <v>214</v>
      </c>
      <c r="E874" s="72" t="s">
        <v>1122</v>
      </c>
      <c r="F874" s="73" t="s">
        <v>1123</v>
      </c>
      <c r="G874" s="74" t="s">
        <v>279</v>
      </c>
      <c r="H874" s="75">
        <v>119.22</v>
      </c>
      <c r="I874" s="90">
        <v>780</v>
      </c>
      <c r="J874" s="91">
        <f>ROUND(I874*H874,2)</f>
        <v>92991.6</v>
      </c>
      <c r="K874" s="92"/>
      <c r="L874" s="12"/>
      <c r="M874" s="93" t="s">
        <v>1</v>
      </c>
      <c r="N874" s="94" t="s">
        <v>42</v>
      </c>
      <c r="P874" s="95">
        <f>O874*H874</f>
        <v>0</v>
      </c>
      <c r="Q874" s="95">
        <v>5.7600000000000004E-3</v>
      </c>
      <c r="R874" s="95">
        <f>Q874*H874</f>
        <v>0.68670719999999996</v>
      </c>
      <c r="S874" s="95">
        <v>0</v>
      </c>
      <c r="T874" s="99">
        <f>S874*H874</f>
        <v>0</v>
      </c>
      <c r="AR874" s="101" t="s">
        <v>218</v>
      </c>
      <c r="AT874" s="101" t="s">
        <v>214</v>
      </c>
      <c r="AU874" s="101" t="s">
        <v>87</v>
      </c>
      <c r="AY874" s="23" t="s">
        <v>211</v>
      </c>
      <c r="BE874" s="104">
        <f>IF(N874="základní",J874,0)</f>
        <v>92991.6</v>
      </c>
      <c r="BF874" s="104">
        <f>IF(N874="snížená",J874,0)</f>
        <v>0</v>
      </c>
      <c r="BG874" s="104">
        <f>IF(N874="zákl. přenesená",J874,0)</f>
        <v>0</v>
      </c>
      <c r="BH874" s="104">
        <f>IF(N874="sníž. přenesená",J874,0)</f>
        <v>0</v>
      </c>
      <c r="BI874" s="104">
        <f>IF(N874="nulová",J874,0)</f>
        <v>0</v>
      </c>
      <c r="BJ874" s="23" t="s">
        <v>85</v>
      </c>
      <c r="BK874" s="104">
        <f>ROUND(I874*H874,2)</f>
        <v>92991.6</v>
      </c>
      <c r="BL874" s="23" t="s">
        <v>218</v>
      </c>
      <c r="BM874" s="101" t="s">
        <v>1124</v>
      </c>
    </row>
    <row r="875" spans="2:65" s="113" customFormat="1">
      <c r="B875" s="119"/>
      <c r="D875" s="105" t="s">
        <v>365</v>
      </c>
      <c r="E875" s="135" t="s">
        <v>1</v>
      </c>
      <c r="F875" s="120" t="s">
        <v>1125</v>
      </c>
      <c r="H875" s="121">
        <v>22.908000000000001</v>
      </c>
      <c r="I875" s="128"/>
      <c r="L875" s="119"/>
      <c r="M875" s="129"/>
      <c r="T875" s="133"/>
      <c r="AT875" s="135" t="s">
        <v>365</v>
      </c>
      <c r="AU875" s="135" t="s">
        <v>87</v>
      </c>
      <c r="AV875" s="113" t="s">
        <v>87</v>
      </c>
      <c r="AW875" s="113" t="s">
        <v>33</v>
      </c>
      <c r="AX875" s="113" t="s">
        <v>77</v>
      </c>
      <c r="AY875" s="135" t="s">
        <v>211</v>
      </c>
    </row>
    <row r="876" spans="2:65" s="113" customFormat="1">
      <c r="B876" s="119"/>
      <c r="D876" s="105" t="s">
        <v>365</v>
      </c>
      <c r="E876" s="135" t="s">
        <v>1</v>
      </c>
      <c r="F876" s="120" t="s">
        <v>1126</v>
      </c>
      <c r="H876" s="121">
        <v>22.908000000000001</v>
      </c>
      <c r="I876" s="128"/>
      <c r="L876" s="119"/>
      <c r="M876" s="129"/>
      <c r="T876" s="133"/>
      <c r="AT876" s="135" t="s">
        <v>365</v>
      </c>
      <c r="AU876" s="135" t="s">
        <v>87</v>
      </c>
      <c r="AV876" s="113" t="s">
        <v>87</v>
      </c>
      <c r="AW876" s="113" t="s">
        <v>33</v>
      </c>
      <c r="AX876" s="113" t="s">
        <v>77</v>
      </c>
      <c r="AY876" s="135" t="s">
        <v>211</v>
      </c>
    </row>
    <row r="877" spans="2:65" s="113" customFormat="1">
      <c r="B877" s="119"/>
      <c r="D877" s="105" t="s">
        <v>365</v>
      </c>
      <c r="E877" s="135" t="s">
        <v>1</v>
      </c>
      <c r="F877" s="120" t="s">
        <v>1127</v>
      </c>
      <c r="H877" s="121">
        <v>30.655999999999999</v>
      </c>
      <c r="I877" s="128"/>
      <c r="L877" s="119"/>
      <c r="M877" s="129"/>
      <c r="T877" s="133"/>
      <c r="AT877" s="135" t="s">
        <v>365</v>
      </c>
      <c r="AU877" s="135" t="s">
        <v>87</v>
      </c>
      <c r="AV877" s="113" t="s">
        <v>87</v>
      </c>
      <c r="AW877" s="113" t="s">
        <v>33</v>
      </c>
      <c r="AX877" s="113" t="s">
        <v>77</v>
      </c>
      <c r="AY877" s="135" t="s">
        <v>211</v>
      </c>
    </row>
    <row r="878" spans="2:65" s="113" customFormat="1">
      <c r="B878" s="119"/>
      <c r="D878" s="105" t="s">
        <v>365</v>
      </c>
      <c r="E878" s="135" t="s">
        <v>1</v>
      </c>
      <c r="F878" s="120" t="s">
        <v>1128</v>
      </c>
      <c r="H878" s="121">
        <v>42.747999999999998</v>
      </c>
      <c r="I878" s="128"/>
      <c r="L878" s="119"/>
      <c r="M878" s="129"/>
      <c r="T878" s="133"/>
      <c r="AT878" s="135" t="s">
        <v>365</v>
      </c>
      <c r="AU878" s="135" t="s">
        <v>87</v>
      </c>
      <c r="AV878" s="113" t="s">
        <v>87</v>
      </c>
      <c r="AW878" s="113" t="s">
        <v>33</v>
      </c>
      <c r="AX878" s="113" t="s">
        <v>77</v>
      </c>
      <c r="AY878" s="135" t="s">
        <v>211</v>
      </c>
    </row>
    <row r="879" spans="2:65" s="137" customFormat="1">
      <c r="B879" s="141"/>
      <c r="D879" s="105" t="s">
        <v>365</v>
      </c>
      <c r="E879" s="142" t="s">
        <v>1</v>
      </c>
      <c r="F879" s="143" t="s">
        <v>368</v>
      </c>
      <c r="H879" s="144">
        <v>119.22</v>
      </c>
      <c r="I879" s="148"/>
      <c r="L879" s="141"/>
      <c r="M879" s="149"/>
      <c r="T879" s="151"/>
      <c r="AT879" s="142" t="s">
        <v>365</v>
      </c>
      <c r="AU879" s="142" t="s">
        <v>87</v>
      </c>
      <c r="AV879" s="137" t="s">
        <v>218</v>
      </c>
      <c r="AW879" s="137" t="s">
        <v>33</v>
      </c>
      <c r="AX879" s="137" t="s">
        <v>85</v>
      </c>
      <c r="AY879" s="142" t="s">
        <v>211</v>
      </c>
    </row>
    <row r="880" spans="2:65" s="1" customFormat="1" ht="16.5" customHeight="1">
      <c r="B880" s="12"/>
      <c r="C880" s="71" t="s">
        <v>1129</v>
      </c>
      <c r="D880" s="71" t="s">
        <v>214</v>
      </c>
      <c r="E880" s="72" t="s">
        <v>1130</v>
      </c>
      <c r="F880" s="73" t="s">
        <v>1131</v>
      </c>
      <c r="G880" s="74" t="s">
        <v>279</v>
      </c>
      <c r="H880" s="75">
        <v>119.22</v>
      </c>
      <c r="I880" s="90">
        <v>320</v>
      </c>
      <c r="J880" s="91">
        <f>ROUND(I880*H880,2)</f>
        <v>38150.400000000001</v>
      </c>
      <c r="K880" s="92"/>
      <c r="L880" s="12"/>
      <c r="M880" s="93" t="s">
        <v>1</v>
      </c>
      <c r="N880" s="94" t="s">
        <v>42</v>
      </c>
      <c r="P880" s="95">
        <f>O880*H880</f>
        <v>0</v>
      </c>
      <c r="Q880" s="95">
        <v>0</v>
      </c>
      <c r="R880" s="95">
        <f>Q880*H880</f>
        <v>0</v>
      </c>
      <c r="S880" s="95">
        <v>0</v>
      </c>
      <c r="T880" s="99">
        <f>S880*H880</f>
        <v>0</v>
      </c>
      <c r="AR880" s="101" t="s">
        <v>218</v>
      </c>
      <c r="AT880" s="101" t="s">
        <v>214</v>
      </c>
      <c r="AU880" s="101" t="s">
        <v>87</v>
      </c>
      <c r="AY880" s="23" t="s">
        <v>211</v>
      </c>
      <c r="BE880" s="104">
        <f>IF(N880="základní",J880,0)</f>
        <v>38150.400000000001</v>
      </c>
      <c r="BF880" s="104">
        <f>IF(N880="snížená",J880,0)</f>
        <v>0</v>
      </c>
      <c r="BG880" s="104">
        <f>IF(N880="zákl. přenesená",J880,0)</f>
        <v>0</v>
      </c>
      <c r="BH880" s="104">
        <f>IF(N880="sníž. přenesená",J880,0)</f>
        <v>0</v>
      </c>
      <c r="BI880" s="104">
        <f>IF(N880="nulová",J880,0)</f>
        <v>0</v>
      </c>
      <c r="BJ880" s="23" t="s">
        <v>85</v>
      </c>
      <c r="BK880" s="104">
        <f>ROUND(I880*H880,2)</f>
        <v>38150.400000000001</v>
      </c>
      <c r="BL880" s="23" t="s">
        <v>218</v>
      </c>
      <c r="BM880" s="101" t="s">
        <v>1132</v>
      </c>
    </row>
    <row r="881" spans="2:65" s="113" customFormat="1">
      <c r="B881" s="119"/>
      <c r="D881" s="105" t="s">
        <v>365</v>
      </c>
      <c r="E881" s="135" t="s">
        <v>1</v>
      </c>
      <c r="F881" s="120" t="s">
        <v>1125</v>
      </c>
      <c r="H881" s="121">
        <v>22.908000000000001</v>
      </c>
      <c r="I881" s="128"/>
      <c r="L881" s="119"/>
      <c r="M881" s="129"/>
      <c r="T881" s="133"/>
      <c r="AT881" s="135" t="s">
        <v>365</v>
      </c>
      <c r="AU881" s="135" t="s">
        <v>87</v>
      </c>
      <c r="AV881" s="113" t="s">
        <v>87</v>
      </c>
      <c r="AW881" s="113" t="s">
        <v>33</v>
      </c>
      <c r="AX881" s="113" t="s">
        <v>77</v>
      </c>
      <c r="AY881" s="135" t="s">
        <v>211</v>
      </c>
    </row>
    <row r="882" spans="2:65" s="113" customFormat="1">
      <c r="B882" s="119"/>
      <c r="D882" s="105" t="s">
        <v>365</v>
      </c>
      <c r="E882" s="135" t="s">
        <v>1</v>
      </c>
      <c r="F882" s="120" t="s">
        <v>1126</v>
      </c>
      <c r="H882" s="121">
        <v>22.908000000000001</v>
      </c>
      <c r="I882" s="128"/>
      <c r="L882" s="119"/>
      <c r="M882" s="129"/>
      <c r="T882" s="133"/>
      <c r="AT882" s="135" t="s">
        <v>365</v>
      </c>
      <c r="AU882" s="135" t="s">
        <v>87</v>
      </c>
      <c r="AV882" s="113" t="s">
        <v>87</v>
      </c>
      <c r="AW882" s="113" t="s">
        <v>33</v>
      </c>
      <c r="AX882" s="113" t="s">
        <v>77</v>
      </c>
      <c r="AY882" s="135" t="s">
        <v>211</v>
      </c>
    </row>
    <row r="883" spans="2:65" s="113" customFormat="1">
      <c r="B883" s="119"/>
      <c r="D883" s="105" t="s">
        <v>365</v>
      </c>
      <c r="E883" s="135" t="s">
        <v>1</v>
      </c>
      <c r="F883" s="120" t="s">
        <v>1127</v>
      </c>
      <c r="H883" s="121">
        <v>30.655999999999999</v>
      </c>
      <c r="I883" s="128"/>
      <c r="L883" s="119"/>
      <c r="M883" s="129"/>
      <c r="T883" s="133"/>
      <c r="AT883" s="135" t="s">
        <v>365</v>
      </c>
      <c r="AU883" s="135" t="s">
        <v>87</v>
      </c>
      <c r="AV883" s="113" t="s">
        <v>87</v>
      </c>
      <c r="AW883" s="113" t="s">
        <v>33</v>
      </c>
      <c r="AX883" s="113" t="s">
        <v>77</v>
      </c>
      <c r="AY883" s="135" t="s">
        <v>211</v>
      </c>
    </row>
    <row r="884" spans="2:65" s="113" customFormat="1">
      <c r="B884" s="119"/>
      <c r="D884" s="105" t="s">
        <v>365</v>
      </c>
      <c r="E884" s="135" t="s">
        <v>1</v>
      </c>
      <c r="F884" s="120" t="s">
        <v>1128</v>
      </c>
      <c r="H884" s="121">
        <v>42.747999999999998</v>
      </c>
      <c r="I884" s="128"/>
      <c r="L884" s="119"/>
      <c r="M884" s="129"/>
      <c r="T884" s="133"/>
      <c r="AT884" s="135" t="s">
        <v>365</v>
      </c>
      <c r="AU884" s="135" t="s">
        <v>87</v>
      </c>
      <c r="AV884" s="113" t="s">
        <v>87</v>
      </c>
      <c r="AW884" s="113" t="s">
        <v>33</v>
      </c>
      <c r="AX884" s="113" t="s">
        <v>77</v>
      </c>
      <c r="AY884" s="135" t="s">
        <v>211</v>
      </c>
    </row>
    <row r="885" spans="2:65" s="137" customFormat="1">
      <c r="B885" s="141"/>
      <c r="D885" s="105" t="s">
        <v>365</v>
      </c>
      <c r="E885" s="142" t="s">
        <v>1</v>
      </c>
      <c r="F885" s="143" t="s">
        <v>368</v>
      </c>
      <c r="H885" s="144">
        <v>119.22</v>
      </c>
      <c r="I885" s="148"/>
      <c r="L885" s="141"/>
      <c r="M885" s="149"/>
      <c r="T885" s="151"/>
      <c r="AT885" s="142" t="s">
        <v>365</v>
      </c>
      <c r="AU885" s="142" t="s">
        <v>87</v>
      </c>
      <c r="AV885" s="137" t="s">
        <v>218</v>
      </c>
      <c r="AW885" s="137" t="s">
        <v>33</v>
      </c>
      <c r="AX885" s="137" t="s">
        <v>85</v>
      </c>
      <c r="AY885" s="142" t="s">
        <v>211</v>
      </c>
    </row>
    <row r="886" spans="2:65" s="1" customFormat="1" ht="24.15" customHeight="1">
      <c r="B886" s="12"/>
      <c r="C886" s="71" t="s">
        <v>1133</v>
      </c>
      <c r="D886" s="71" t="s">
        <v>214</v>
      </c>
      <c r="E886" s="72" t="s">
        <v>1134</v>
      </c>
      <c r="F886" s="73" t="s">
        <v>1135</v>
      </c>
      <c r="G886" s="74" t="s">
        <v>394</v>
      </c>
      <c r="H886" s="75">
        <v>6.173</v>
      </c>
      <c r="I886" s="90">
        <v>48500</v>
      </c>
      <c r="J886" s="91">
        <f>ROUND(I886*H886,2)</f>
        <v>299390.5</v>
      </c>
      <c r="K886" s="92"/>
      <c r="L886" s="12"/>
      <c r="M886" s="93" t="s">
        <v>1</v>
      </c>
      <c r="N886" s="94" t="s">
        <v>42</v>
      </c>
      <c r="P886" s="95">
        <f>O886*H886</f>
        <v>0</v>
      </c>
      <c r="Q886" s="95">
        <v>1.05291</v>
      </c>
      <c r="R886" s="95">
        <f>Q886*H886</f>
        <v>6.4996134300000001</v>
      </c>
      <c r="S886" s="95">
        <v>0</v>
      </c>
      <c r="T886" s="99">
        <f>S886*H886</f>
        <v>0</v>
      </c>
      <c r="AR886" s="101" t="s">
        <v>218</v>
      </c>
      <c r="AT886" s="101" t="s">
        <v>214</v>
      </c>
      <c r="AU886" s="101" t="s">
        <v>87</v>
      </c>
      <c r="AY886" s="23" t="s">
        <v>211</v>
      </c>
      <c r="BE886" s="104">
        <f>IF(N886="základní",J886,0)</f>
        <v>299390.5</v>
      </c>
      <c r="BF886" s="104">
        <f>IF(N886="snížená",J886,0)</f>
        <v>0</v>
      </c>
      <c r="BG886" s="104">
        <f>IF(N886="zákl. přenesená",J886,0)</f>
        <v>0</v>
      </c>
      <c r="BH886" s="104">
        <f>IF(N886="sníž. přenesená",J886,0)</f>
        <v>0</v>
      </c>
      <c r="BI886" s="104">
        <f>IF(N886="nulová",J886,0)</f>
        <v>0</v>
      </c>
      <c r="BJ886" s="23" t="s">
        <v>85</v>
      </c>
      <c r="BK886" s="104">
        <f>ROUND(I886*H886,2)</f>
        <v>299390.5</v>
      </c>
      <c r="BL886" s="23" t="s">
        <v>218</v>
      </c>
      <c r="BM886" s="101" t="s">
        <v>1136</v>
      </c>
    </row>
    <row r="887" spans="2:65" s="113" customFormat="1">
      <c r="B887" s="119"/>
      <c r="D887" s="105" t="s">
        <v>365</v>
      </c>
      <c r="E887" s="135" t="s">
        <v>1</v>
      </c>
      <c r="F887" s="120" t="s">
        <v>1137</v>
      </c>
      <c r="H887" s="121">
        <v>1.6579999999999999</v>
      </c>
      <c r="I887" s="128"/>
      <c r="L887" s="119"/>
      <c r="M887" s="129"/>
      <c r="T887" s="133"/>
      <c r="AT887" s="135" t="s">
        <v>365</v>
      </c>
      <c r="AU887" s="135" t="s">
        <v>87</v>
      </c>
      <c r="AV887" s="113" t="s">
        <v>87</v>
      </c>
      <c r="AW887" s="113" t="s">
        <v>33</v>
      </c>
      <c r="AX887" s="113" t="s">
        <v>77</v>
      </c>
      <c r="AY887" s="135" t="s">
        <v>211</v>
      </c>
    </row>
    <row r="888" spans="2:65" s="113" customFormat="1">
      <c r="B888" s="119"/>
      <c r="D888" s="105" t="s">
        <v>365</v>
      </c>
      <c r="E888" s="135" t="s">
        <v>1</v>
      </c>
      <c r="F888" s="120" t="s">
        <v>1138</v>
      </c>
      <c r="H888" s="121">
        <v>1.0740000000000001</v>
      </c>
      <c r="I888" s="128"/>
      <c r="L888" s="119"/>
      <c r="M888" s="129"/>
      <c r="T888" s="133"/>
      <c r="AT888" s="135" t="s">
        <v>365</v>
      </c>
      <c r="AU888" s="135" t="s">
        <v>87</v>
      </c>
      <c r="AV888" s="113" t="s">
        <v>87</v>
      </c>
      <c r="AW888" s="113" t="s">
        <v>33</v>
      </c>
      <c r="AX888" s="113" t="s">
        <v>77</v>
      </c>
      <c r="AY888" s="135" t="s">
        <v>211</v>
      </c>
    </row>
    <row r="889" spans="2:65" s="113" customFormat="1">
      <c r="B889" s="119"/>
      <c r="D889" s="105" t="s">
        <v>365</v>
      </c>
      <c r="E889" s="135" t="s">
        <v>1</v>
      </c>
      <c r="F889" s="120" t="s">
        <v>1139</v>
      </c>
      <c r="H889" s="121">
        <v>1.4370000000000001</v>
      </c>
      <c r="I889" s="128"/>
      <c r="L889" s="119"/>
      <c r="M889" s="129"/>
      <c r="T889" s="133"/>
      <c r="AT889" s="135" t="s">
        <v>365</v>
      </c>
      <c r="AU889" s="135" t="s">
        <v>87</v>
      </c>
      <c r="AV889" s="113" t="s">
        <v>87</v>
      </c>
      <c r="AW889" s="113" t="s">
        <v>33</v>
      </c>
      <c r="AX889" s="113" t="s">
        <v>77</v>
      </c>
      <c r="AY889" s="135" t="s">
        <v>211</v>
      </c>
    </row>
    <row r="890" spans="2:65" s="113" customFormat="1">
      <c r="B890" s="119"/>
      <c r="D890" s="105" t="s">
        <v>365</v>
      </c>
      <c r="E890" s="135" t="s">
        <v>1</v>
      </c>
      <c r="F890" s="120" t="s">
        <v>1140</v>
      </c>
      <c r="H890" s="121">
        <v>2.004</v>
      </c>
      <c r="I890" s="128"/>
      <c r="L890" s="119"/>
      <c r="M890" s="129"/>
      <c r="T890" s="133"/>
      <c r="AT890" s="135" t="s">
        <v>365</v>
      </c>
      <c r="AU890" s="135" t="s">
        <v>87</v>
      </c>
      <c r="AV890" s="113" t="s">
        <v>87</v>
      </c>
      <c r="AW890" s="113" t="s">
        <v>33</v>
      </c>
      <c r="AX890" s="113" t="s">
        <v>77</v>
      </c>
      <c r="AY890" s="135" t="s">
        <v>211</v>
      </c>
    </row>
    <row r="891" spans="2:65" s="137" customFormat="1">
      <c r="B891" s="141"/>
      <c r="D891" s="105" t="s">
        <v>365</v>
      </c>
      <c r="E891" s="142" t="s">
        <v>1</v>
      </c>
      <c r="F891" s="143" t="s">
        <v>368</v>
      </c>
      <c r="H891" s="144">
        <v>6.173</v>
      </c>
      <c r="I891" s="148"/>
      <c r="L891" s="141"/>
      <c r="M891" s="149"/>
      <c r="T891" s="151"/>
      <c r="AT891" s="142" t="s">
        <v>365</v>
      </c>
      <c r="AU891" s="142" t="s">
        <v>87</v>
      </c>
      <c r="AV891" s="137" t="s">
        <v>218</v>
      </c>
      <c r="AW891" s="137" t="s">
        <v>33</v>
      </c>
      <c r="AX891" s="137" t="s">
        <v>85</v>
      </c>
      <c r="AY891" s="142" t="s">
        <v>211</v>
      </c>
    </row>
    <row r="892" spans="2:65" s="1" customFormat="1" ht="16.5" customHeight="1">
      <c r="B892" s="12"/>
      <c r="C892" s="71" t="s">
        <v>1141</v>
      </c>
      <c r="D892" s="71" t="s">
        <v>214</v>
      </c>
      <c r="E892" s="72" t="s">
        <v>1142</v>
      </c>
      <c r="F892" s="73" t="s">
        <v>1143</v>
      </c>
      <c r="G892" s="74" t="s">
        <v>357</v>
      </c>
      <c r="H892" s="75">
        <v>38.549999999999997</v>
      </c>
      <c r="I892" s="90">
        <v>5400</v>
      </c>
      <c r="J892" s="91">
        <f>ROUND(I892*H892,2)</f>
        <v>208170</v>
      </c>
      <c r="K892" s="92"/>
      <c r="L892" s="12"/>
      <c r="M892" s="93" t="s">
        <v>1</v>
      </c>
      <c r="N892" s="94" t="s">
        <v>42</v>
      </c>
      <c r="P892" s="95">
        <f>O892*H892</f>
        <v>0</v>
      </c>
      <c r="Q892" s="95">
        <v>2.4533700000000001</v>
      </c>
      <c r="R892" s="95">
        <f>Q892*H892</f>
        <v>94.577413500000006</v>
      </c>
      <c r="S892" s="95">
        <v>0</v>
      </c>
      <c r="T892" s="99">
        <f>S892*H892</f>
        <v>0</v>
      </c>
      <c r="AR892" s="101" t="s">
        <v>218</v>
      </c>
      <c r="AT892" s="101" t="s">
        <v>214</v>
      </c>
      <c r="AU892" s="101" t="s">
        <v>87</v>
      </c>
      <c r="AY892" s="23" t="s">
        <v>211</v>
      </c>
      <c r="BE892" s="104">
        <f>IF(N892="základní",J892,0)</f>
        <v>208170</v>
      </c>
      <c r="BF892" s="104">
        <f>IF(N892="snížená",J892,0)</f>
        <v>0</v>
      </c>
      <c r="BG892" s="104">
        <f>IF(N892="zákl. přenesená",J892,0)</f>
        <v>0</v>
      </c>
      <c r="BH892" s="104">
        <f>IF(N892="sníž. přenesená",J892,0)</f>
        <v>0</v>
      </c>
      <c r="BI892" s="104">
        <f>IF(N892="nulová",J892,0)</f>
        <v>0</v>
      </c>
      <c r="BJ892" s="23" t="s">
        <v>85</v>
      </c>
      <c r="BK892" s="104">
        <f>ROUND(I892*H892,2)</f>
        <v>208170</v>
      </c>
      <c r="BL892" s="23" t="s">
        <v>218</v>
      </c>
      <c r="BM892" s="101" t="s">
        <v>1144</v>
      </c>
    </row>
    <row r="893" spans="2:65" s="113" customFormat="1">
      <c r="B893" s="119"/>
      <c r="D893" s="105" t="s">
        <v>365</v>
      </c>
      <c r="E893" s="135" t="s">
        <v>1</v>
      </c>
      <c r="F893" s="120" t="s">
        <v>1145</v>
      </c>
      <c r="H893" s="121">
        <v>29.4</v>
      </c>
      <c r="I893" s="128"/>
      <c r="L893" s="119"/>
      <c r="M893" s="129"/>
      <c r="T893" s="133"/>
      <c r="AT893" s="135" t="s">
        <v>365</v>
      </c>
      <c r="AU893" s="135" t="s">
        <v>87</v>
      </c>
      <c r="AV893" s="113" t="s">
        <v>87</v>
      </c>
      <c r="AW893" s="113" t="s">
        <v>33</v>
      </c>
      <c r="AX893" s="113" t="s">
        <v>77</v>
      </c>
      <c r="AY893" s="135" t="s">
        <v>211</v>
      </c>
    </row>
    <row r="894" spans="2:65" s="113" customFormat="1">
      <c r="B894" s="119"/>
      <c r="D894" s="105" t="s">
        <v>365</v>
      </c>
      <c r="E894" s="135" t="s">
        <v>1</v>
      </c>
      <c r="F894" s="120" t="s">
        <v>1146</v>
      </c>
      <c r="H894" s="121">
        <v>8.1999999999999993</v>
      </c>
      <c r="I894" s="128"/>
      <c r="L894" s="119"/>
      <c r="M894" s="129"/>
      <c r="T894" s="133"/>
      <c r="AT894" s="135" t="s">
        <v>365</v>
      </c>
      <c r="AU894" s="135" t="s">
        <v>87</v>
      </c>
      <c r="AV894" s="113" t="s">
        <v>87</v>
      </c>
      <c r="AW894" s="113" t="s">
        <v>33</v>
      </c>
      <c r="AX894" s="113" t="s">
        <v>77</v>
      </c>
      <c r="AY894" s="135" t="s">
        <v>211</v>
      </c>
    </row>
    <row r="895" spans="2:65" s="113" customFormat="1">
      <c r="B895" s="119"/>
      <c r="D895" s="105" t="s">
        <v>365</v>
      </c>
      <c r="E895" s="135" t="s">
        <v>1</v>
      </c>
      <c r="F895" s="120" t="s">
        <v>1147</v>
      </c>
      <c r="H895" s="121">
        <v>0.95</v>
      </c>
      <c r="I895" s="128"/>
      <c r="L895" s="119"/>
      <c r="M895" s="129"/>
      <c r="T895" s="133"/>
      <c r="AT895" s="135" t="s">
        <v>365</v>
      </c>
      <c r="AU895" s="135" t="s">
        <v>87</v>
      </c>
      <c r="AV895" s="113" t="s">
        <v>87</v>
      </c>
      <c r="AW895" s="113" t="s">
        <v>33</v>
      </c>
      <c r="AX895" s="113" t="s">
        <v>77</v>
      </c>
      <c r="AY895" s="135" t="s">
        <v>211</v>
      </c>
    </row>
    <row r="896" spans="2:65" s="137" customFormat="1">
      <c r="B896" s="141"/>
      <c r="D896" s="105" t="s">
        <v>365</v>
      </c>
      <c r="E896" s="142" t="s">
        <v>1</v>
      </c>
      <c r="F896" s="143" t="s">
        <v>368</v>
      </c>
      <c r="H896" s="144">
        <v>38.549999999999997</v>
      </c>
      <c r="I896" s="148"/>
      <c r="L896" s="141"/>
      <c r="M896" s="149"/>
      <c r="T896" s="151"/>
      <c r="AT896" s="142" t="s">
        <v>365</v>
      </c>
      <c r="AU896" s="142" t="s">
        <v>87</v>
      </c>
      <c r="AV896" s="137" t="s">
        <v>218</v>
      </c>
      <c r="AW896" s="137" t="s">
        <v>33</v>
      </c>
      <c r="AX896" s="137" t="s">
        <v>85</v>
      </c>
      <c r="AY896" s="142" t="s">
        <v>211</v>
      </c>
    </row>
    <row r="897" spans="2:65" s="1" customFormat="1" ht="24.15" customHeight="1">
      <c r="B897" s="12"/>
      <c r="C897" s="71" t="s">
        <v>1148</v>
      </c>
      <c r="D897" s="71" t="s">
        <v>214</v>
      </c>
      <c r="E897" s="72" t="s">
        <v>1149</v>
      </c>
      <c r="F897" s="73" t="s">
        <v>1150</v>
      </c>
      <c r="G897" s="74" t="s">
        <v>357</v>
      </c>
      <c r="H897" s="75">
        <v>37.340000000000003</v>
      </c>
      <c r="I897" s="90">
        <v>5800</v>
      </c>
      <c r="J897" s="91">
        <f>ROUND(I897*H897,2)</f>
        <v>216572</v>
      </c>
      <c r="K897" s="92"/>
      <c r="L897" s="12"/>
      <c r="M897" s="93" t="s">
        <v>1</v>
      </c>
      <c r="N897" s="94" t="s">
        <v>42</v>
      </c>
      <c r="P897" s="95">
        <f>O897*H897</f>
        <v>0</v>
      </c>
      <c r="Q897" s="95">
        <v>2.4533700000000001</v>
      </c>
      <c r="R897" s="95">
        <f>Q897*H897</f>
        <v>91.608835799999994</v>
      </c>
      <c r="S897" s="95">
        <v>0</v>
      </c>
      <c r="T897" s="99">
        <f>S897*H897</f>
        <v>0</v>
      </c>
      <c r="AR897" s="101" t="s">
        <v>218</v>
      </c>
      <c r="AT897" s="101" t="s">
        <v>214</v>
      </c>
      <c r="AU897" s="101" t="s">
        <v>87</v>
      </c>
      <c r="AY897" s="23" t="s">
        <v>211</v>
      </c>
      <c r="BE897" s="104">
        <f>IF(N897="základní",J897,0)</f>
        <v>216572</v>
      </c>
      <c r="BF897" s="104">
        <f>IF(N897="snížená",J897,0)</f>
        <v>0</v>
      </c>
      <c r="BG897" s="104">
        <f>IF(N897="zákl. přenesená",J897,0)</f>
        <v>0</v>
      </c>
      <c r="BH897" s="104">
        <f>IF(N897="sníž. přenesená",J897,0)</f>
        <v>0</v>
      </c>
      <c r="BI897" s="104">
        <f>IF(N897="nulová",J897,0)</f>
        <v>0</v>
      </c>
      <c r="BJ897" s="23" t="s">
        <v>85</v>
      </c>
      <c r="BK897" s="104">
        <f>ROUND(I897*H897,2)</f>
        <v>216572</v>
      </c>
      <c r="BL897" s="23" t="s">
        <v>218</v>
      </c>
      <c r="BM897" s="101" t="s">
        <v>1151</v>
      </c>
    </row>
    <row r="898" spans="2:65" s="113" customFormat="1">
      <c r="B898" s="119"/>
      <c r="D898" s="105" t="s">
        <v>365</v>
      </c>
      <c r="E898" s="135" t="s">
        <v>1</v>
      </c>
      <c r="F898" s="120" t="s">
        <v>1152</v>
      </c>
      <c r="H898" s="121">
        <v>37.340000000000003</v>
      </c>
      <c r="I898" s="128"/>
      <c r="L898" s="119"/>
      <c r="M898" s="129"/>
      <c r="T898" s="133"/>
      <c r="AT898" s="135" t="s">
        <v>365</v>
      </c>
      <c r="AU898" s="135" t="s">
        <v>87</v>
      </c>
      <c r="AV898" s="113" t="s">
        <v>87</v>
      </c>
      <c r="AW898" s="113" t="s">
        <v>33</v>
      </c>
      <c r="AX898" s="113" t="s">
        <v>77</v>
      </c>
      <c r="AY898" s="135" t="s">
        <v>211</v>
      </c>
    </row>
    <row r="899" spans="2:65" s="137" customFormat="1">
      <c r="B899" s="141"/>
      <c r="D899" s="105" t="s">
        <v>365</v>
      </c>
      <c r="E899" s="142" t="s">
        <v>1</v>
      </c>
      <c r="F899" s="143" t="s">
        <v>368</v>
      </c>
      <c r="H899" s="144">
        <v>37.340000000000003</v>
      </c>
      <c r="I899" s="148"/>
      <c r="L899" s="141"/>
      <c r="M899" s="149"/>
      <c r="T899" s="151"/>
      <c r="AT899" s="142" t="s">
        <v>365</v>
      </c>
      <c r="AU899" s="142" t="s">
        <v>87</v>
      </c>
      <c r="AV899" s="137" t="s">
        <v>218</v>
      </c>
      <c r="AW899" s="137" t="s">
        <v>33</v>
      </c>
      <c r="AX899" s="137" t="s">
        <v>85</v>
      </c>
      <c r="AY899" s="142" t="s">
        <v>211</v>
      </c>
    </row>
    <row r="900" spans="2:65" s="1" customFormat="1" ht="24.15" customHeight="1">
      <c r="B900" s="12"/>
      <c r="C900" s="71" t="s">
        <v>1153</v>
      </c>
      <c r="D900" s="71" t="s">
        <v>214</v>
      </c>
      <c r="E900" s="72" t="s">
        <v>1154</v>
      </c>
      <c r="F900" s="73" t="s">
        <v>1155</v>
      </c>
      <c r="G900" s="74" t="s">
        <v>279</v>
      </c>
      <c r="H900" s="75">
        <v>260.64299999999997</v>
      </c>
      <c r="I900" s="90">
        <v>1200</v>
      </c>
      <c r="J900" s="91">
        <f>ROUND(I900*H900,2)</f>
        <v>312771.59999999998</v>
      </c>
      <c r="K900" s="92"/>
      <c r="L900" s="12"/>
      <c r="M900" s="93" t="s">
        <v>1</v>
      </c>
      <c r="N900" s="94" t="s">
        <v>42</v>
      </c>
      <c r="P900" s="95">
        <f>O900*H900</f>
        <v>0</v>
      </c>
      <c r="Q900" s="95">
        <v>1.282E-2</v>
      </c>
      <c r="R900" s="95">
        <f>Q900*H900</f>
        <v>3.3414432600000001</v>
      </c>
      <c r="S900" s="95">
        <v>0</v>
      </c>
      <c r="T900" s="99">
        <f>S900*H900</f>
        <v>0</v>
      </c>
      <c r="AR900" s="101" t="s">
        <v>218</v>
      </c>
      <c r="AT900" s="101" t="s">
        <v>214</v>
      </c>
      <c r="AU900" s="101" t="s">
        <v>87</v>
      </c>
      <c r="AY900" s="23" t="s">
        <v>211</v>
      </c>
      <c r="BE900" s="104">
        <f>IF(N900="základní",J900,0)</f>
        <v>312771.59999999998</v>
      </c>
      <c r="BF900" s="104">
        <f>IF(N900="snížená",J900,0)</f>
        <v>0</v>
      </c>
      <c r="BG900" s="104">
        <f>IF(N900="zákl. přenesená",J900,0)</f>
        <v>0</v>
      </c>
      <c r="BH900" s="104">
        <f>IF(N900="sníž. přenesená",J900,0)</f>
        <v>0</v>
      </c>
      <c r="BI900" s="104">
        <f>IF(N900="nulová",J900,0)</f>
        <v>0</v>
      </c>
      <c r="BJ900" s="23" t="s">
        <v>85</v>
      </c>
      <c r="BK900" s="104">
        <f>ROUND(I900*H900,2)</f>
        <v>312771.59999999998</v>
      </c>
      <c r="BL900" s="23" t="s">
        <v>218</v>
      </c>
      <c r="BM900" s="101" t="s">
        <v>1156</v>
      </c>
    </row>
    <row r="901" spans="2:65" s="113" customFormat="1">
      <c r="B901" s="119"/>
      <c r="D901" s="105" t="s">
        <v>365</v>
      </c>
      <c r="E901" s="135" t="s">
        <v>1</v>
      </c>
      <c r="F901" s="120" t="s">
        <v>1157</v>
      </c>
      <c r="H901" s="121">
        <v>124.467</v>
      </c>
      <c r="I901" s="128"/>
      <c r="L901" s="119"/>
      <c r="M901" s="129"/>
      <c r="T901" s="133"/>
      <c r="AT901" s="135" t="s">
        <v>365</v>
      </c>
      <c r="AU901" s="135" t="s">
        <v>87</v>
      </c>
      <c r="AV901" s="113" t="s">
        <v>87</v>
      </c>
      <c r="AW901" s="113" t="s">
        <v>33</v>
      </c>
      <c r="AX901" s="113" t="s">
        <v>77</v>
      </c>
      <c r="AY901" s="135" t="s">
        <v>211</v>
      </c>
    </row>
    <row r="902" spans="2:65" s="113" customFormat="1">
      <c r="B902" s="119"/>
      <c r="D902" s="105" t="s">
        <v>365</v>
      </c>
      <c r="E902" s="135" t="s">
        <v>1</v>
      </c>
      <c r="F902" s="120" t="s">
        <v>1158</v>
      </c>
      <c r="H902" s="121">
        <v>34.909999999999997</v>
      </c>
      <c r="I902" s="128"/>
      <c r="L902" s="119"/>
      <c r="M902" s="129"/>
      <c r="T902" s="133"/>
      <c r="AT902" s="135" t="s">
        <v>365</v>
      </c>
      <c r="AU902" s="135" t="s">
        <v>87</v>
      </c>
      <c r="AV902" s="113" t="s">
        <v>87</v>
      </c>
      <c r="AW902" s="113" t="s">
        <v>33</v>
      </c>
      <c r="AX902" s="113" t="s">
        <v>77</v>
      </c>
      <c r="AY902" s="135" t="s">
        <v>211</v>
      </c>
    </row>
    <row r="903" spans="2:65" s="113" customFormat="1">
      <c r="B903" s="119"/>
      <c r="D903" s="105" t="s">
        <v>365</v>
      </c>
      <c r="E903" s="135" t="s">
        <v>1</v>
      </c>
      <c r="F903" s="120" t="s">
        <v>1159</v>
      </c>
      <c r="H903" s="121">
        <v>33.270000000000003</v>
      </c>
      <c r="I903" s="128"/>
      <c r="L903" s="119"/>
      <c r="M903" s="129"/>
      <c r="T903" s="133"/>
      <c r="AT903" s="135" t="s">
        <v>365</v>
      </c>
      <c r="AU903" s="135" t="s">
        <v>87</v>
      </c>
      <c r="AV903" s="113" t="s">
        <v>87</v>
      </c>
      <c r="AW903" s="113" t="s">
        <v>33</v>
      </c>
      <c r="AX903" s="113" t="s">
        <v>77</v>
      </c>
      <c r="AY903" s="135" t="s">
        <v>211</v>
      </c>
    </row>
    <row r="904" spans="2:65" s="113" customFormat="1">
      <c r="B904" s="119"/>
      <c r="D904" s="105" t="s">
        <v>365</v>
      </c>
      <c r="E904" s="135" t="s">
        <v>1</v>
      </c>
      <c r="F904" s="120" t="s">
        <v>1160</v>
      </c>
      <c r="H904" s="121">
        <v>33.270000000000003</v>
      </c>
      <c r="I904" s="128"/>
      <c r="L904" s="119"/>
      <c r="M904" s="129"/>
      <c r="T904" s="133"/>
      <c r="AT904" s="135" t="s">
        <v>365</v>
      </c>
      <c r="AU904" s="135" t="s">
        <v>87</v>
      </c>
      <c r="AV904" s="113" t="s">
        <v>87</v>
      </c>
      <c r="AW904" s="113" t="s">
        <v>33</v>
      </c>
      <c r="AX904" s="113" t="s">
        <v>77</v>
      </c>
      <c r="AY904" s="135" t="s">
        <v>211</v>
      </c>
    </row>
    <row r="905" spans="2:65" s="113" customFormat="1">
      <c r="B905" s="119"/>
      <c r="D905" s="105" t="s">
        <v>365</v>
      </c>
      <c r="E905" s="135" t="s">
        <v>1</v>
      </c>
      <c r="F905" s="120" t="s">
        <v>1161</v>
      </c>
      <c r="H905" s="121">
        <v>32.57</v>
      </c>
      <c r="I905" s="128"/>
      <c r="L905" s="119"/>
      <c r="M905" s="129"/>
      <c r="T905" s="133"/>
      <c r="AT905" s="135" t="s">
        <v>365</v>
      </c>
      <c r="AU905" s="135" t="s">
        <v>87</v>
      </c>
      <c r="AV905" s="113" t="s">
        <v>87</v>
      </c>
      <c r="AW905" s="113" t="s">
        <v>33</v>
      </c>
      <c r="AX905" s="113" t="s">
        <v>77</v>
      </c>
      <c r="AY905" s="135" t="s">
        <v>211</v>
      </c>
    </row>
    <row r="906" spans="2:65" s="113" customFormat="1">
      <c r="B906" s="119"/>
      <c r="D906" s="105" t="s">
        <v>365</v>
      </c>
      <c r="E906" s="135" t="s">
        <v>1</v>
      </c>
      <c r="F906" s="120" t="s">
        <v>1162</v>
      </c>
      <c r="H906" s="121">
        <v>2.1560000000000001</v>
      </c>
      <c r="I906" s="128"/>
      <c r="L906" s="119"/>
      <c r="M906" s="129"/>
      <c r="T906" s="133"/>
      <c r="AT906" s="135" t="s">
        <v>365</v>
      </c>
      <c r="AU906" s="135" t="s">
        <v>87</v>
      </c>
      <c r="AV906" s="113" t="s">
        <v>87</v>
      </c>
      <c r="AW906" s="113" t="s">
        <v>33</v>
      </c>
      <c r="AX906" s="113" t="s">
        <v>77</v>
      </c>
      <c r="AY906" s="135" t="s">
        <v>211</v>
      </c>
    </row>
    <row r="907" spans="2:65" s="137" customFormat="1">
      <c r="B907" s="141"/>
      <c r="D907" s="105" t="s">
        <v>365</v>
      </c>
      <c r="E907" s="142" t="s">
        <v>1</v>
      </c>
      <c r="F907" s="143" t="s">
        <v>368</v>
      </c>
      <c r="H907" s="144">
        <v>260.64299999999997</v>
      </c>
      <c r="I907" s="148"/>
      <c r="L907" s="141"/>
      <c r="M907" s="149"/>
      <c r="T907" s="151"/>
      <c r="AT907" s="142" t="s">
        <v>365</v>
      </c>
      <c r="AU907" s="142" t="s">
        <v>87</v>
      </c>
      <c r="AV907" s="137" t="s">
        <v>218</v>
      </c>
      <c r="AW907" s="137" t="s">
        <v>33</v>
      </c>
      <c r="AX907" s="137" t="s">
        <v>85</v>
      </c>
      <c r="AY907" s="142" t="s">
        <v>211</v>
      </c>
    </row>
    <row r="908" spans="2:65" s="1" customFormat="1" ht="24.15" customHeight="1">
      <c r="B908" s="12"/>
      <c r="C908" s="71" t="s">
        <v>1163</v>
      </c>
      <c r="D908" s="71" t="s">
        <v>214</v>
      </c>
      <c r="E908" s="72" t="s">
        <v>1164</v>
      </c>
      <c r="F908" s="73" t="s">
        <v>1165</v>
      </c>
      <c r="G908" s="74" t="s">
        <v>279</v>
      </c>
      <c r="H908" s="75">
        <v>260.64299999999997</v>
      </c>
      <c r="I908" s="90">
        <v>430</v>
      </c>
      <c r="J908" s="91">
        <f>ROUND(I908*H908,2)</f>
        <v>112076.49</v>
      </c>
      <c r="K908" s="92"/>
      <c r="L908" s="12"/>
      <c r="M908" s="93" t="s">
        <v>1</v>
      </c>
      <c r="N908" s="94" t="s">
        <v>42</v>
      </c>
      <c r="P908" s="95">
        <f>O908*H908</f>
        <v>0</v>
      </c>
      <c r="Q908" s="95">
        <v>0</v>
      </c>
      <c r="R908" s="95">
        <f>Q908*H908</f>
        <v>0</v>
      </c>
      <c r="S908" s="95">
        <v>0</v>
      </c>
      <c r="T908" s="99">
        <f>S908*H908</f>
        <v>0</v>
      </c>
      <c r="AR908" s="101" t="s">
        <v>218</v>
      </c>
      <c r="AT908" s="101" t="s">
        <v>214</v>
      </c>
      <c r="AU908" s="101" t="s">
        <v>87</v>
      </c>
      <c r="AY908" s="23" t="s">
        <v>211</v>
      </c>
      <c r="BE908" s="104">
        <f>IF(N908="základní",J908,0)</f>
        <v>112076.49</v>
      </c>
      <c r="BF908" s="104">
        <f>IF(N908="snížená",J908,0)</f>
        <v>0</v>
      </c>
      <c r="BG908" s="104">
        <f>IF(N908="zákl. přenesená",J908,0)</f>
        <v>0</v>
      </c>
      <c r="BH908" s="104">
        <f>IF(N908="sníž. přenesená",J908,0)</f>
        <v>0</v>
      </c>
      <c r="BI908" s="104">
        <f>IF(N908="nulová",J908,0)</f>
        <v>0</v>
      </c>
      <c r="BJ908" s="23" t="s">
        <v>85</v>
      </c>
      <c r="BK908" s="104">
        <f>ROUND(I908*H908,2)</f>
        <v>112076.49</v>
      </c>
      <c r="BL908" s="23" t="s">
        <v>218</v>
      </c>
      <c r="BM908" s="101" t="s">
        <v>1166</v>
      </c>
    </row>
    <row r="909" spans="2:65" s="113" customFormat="1">
      <c r="B909" s="119"/>
      <c r="D909" s="105" t="s">
        <v>365</v>
      </c>
      <c r="E909" s="135" t="s">
        <v>1</v>
      </c>
      <c r="F909" s="120" t="s">
        <v>1157</v>
      </c>
      <c r="H909" s="121">
        <v>124.467</v>
      </c>
      <c r="I909" s="128"/>
      <c r="L909" s="119"/>
      <c r="M909" s="129"/>
      <c r="T909" s="133"/>
      <c r="AT909" s="135" t="s">
        <v>365</v>
      </c>
      <c r="AU909" s="135" t="s">
        <v>87</v>
      </c>
      <c r="AV909" s="113" t="s">
        <v>87</v>
      </c>
      <c r="AW909" s="113" t="s">
        <v>33</v>
      </c>
      <c r="AX909" s="113" t="s">
        <v>77</v>
      </c>
      <c r="AY909" s="135" t="s">
        <v>211</v>
      </c>
    </row>
    <row r="910" spans="2:65" s="113" customFormat="1">
      <c r="B910" s="119"/>
      <c r="D910" s="105" t="s">
        <v>365</v>
      </c>
      <c r="E910" s="135" t="s">
        <v>1</v>
      </c>
      <c r="F910" s="120" t="s">
        <v>1158</v>
      </c>
      <c r="H910" s="121">
        <v>34.909999999999997</v>
      </c>
      <c r="I910" s="128"/>
      <c r="L910" s="119"/>
      <c r="M910" s="129"/>
      <c r="T910" s="133"/>
      <c r="AT910" s="135" t="s">
        <v>365</v>
      </c>
      <c r="AU910" s="135" t="s">
        <v>87</v>
      </c>
      <c r="AV910" s="113" t="s">
        <v>87</v>
      </c>
      <c r="AW910" s="113" t="s">
        <v>33</v>
      </c>
      <c r="AX910" s="113" t="s">
        <v>77</v>
      </c>
      <c r="AY910" s="135" t="s">
        <v>211</v>
      </c>
    </row>
    <row r="911" spans="2:65" s="113" customFormat="1">
      <c r="B911" s="119"/>
      <c r="D911" s="105" t="s">
        <v>365</v>
      </c>
      <c r="E911" s="135" t="s">
        <v>1</v>
      </c>
      <c r="F911" s="120" t="s">
        <v>1159</v>
      </c>
      <c r="H911" s="121">
        <v>33.270000000000003</v>
      </c>
      <c r="I911" s="128"/>
      <c r="L911" s="119"/>
      <c r="M911" s="129"/>
      <c r="T911" s="133"/>
      <c r="AT911" s="135" t="s">
        <v>365</v>
      </c>
      <c r="AU911" s="135" t="s">
        <v>87</v>
      </c>
      <c r="AV911" s="113" t="s">
        <v>87</v>
      </c>
      <c r="AW911" s="113" t="s">
        <v>33</v>
      </c>
      <c r="AX911" s="113" t="s">
        <v>77</v>
      </c>
      <c r="AY911" s="135" t="s">
        <v>211</v>
      </c>
    </row>
    <row r="912" spans="2:65" s="113" customFormat="1">
      <c r="B912" s="119"/>
      <c r="D912" s="105" t="s">
        <v>365</v>
      </c>
      <c r="E912" s="135" t="s">
        <v>1</v>
      </c>
      <c r="F912" s="120" t="s">
        <v>1160</v>
      </c>
      <c r="H912" s="121">
        <v>33.270000000000003</v>
      </c>
      <c r="I912" s="128"/>
      <c r="L912" s="119"/>
      <c r="M912" s="129"/>
      <c r="T912" s="133"/>
      <c r="AT912" s="135" t="s">
        <v>365</v>
      </c>
      <c r="AU912" s="135" t="s">
        <v>87</v>
      </c>
      <c r="AV912" s="113" t="s">
        <v>87</v>
      </c>
      <c r="AW912" s="113" t="s">
        <v>33</v>
      </c>
      <c r="AX912" s="113" t="s">
        <v>77</v>
      </c>
      <c r="AY912" s="135" t="s">
        <v>211</v>
      </c>
    </row>
    <row r="913" spans="2:65" s="113" customFormat="1">
      <c r="B913" s="119"/>
      <c r="D913" s="105" t="s">
        <v>365</v>
      </c>
      <c r="E913" s="135" t="s">
        <v>1</v>
      </c>
      <c r="F913" s="120" t="s">
        <v>1161</v>
      </c>
      <c r="H913" s="121">
        <v>32.57</v>
      </c>
      <c r="I913" s="128"/>
      <c r="L913" s="119"/>
      <c r="M913" s="129"/>
      <c r="T913" s="133"/>
      <c r="AT913" s="135" t="s">
        <v>365</v>
      </c>
      <c r="AU913" s="135" t="s">
        <v>87</v>
      </c>
      <c r="AV913" s="113" t="s">
        <v>87</v>
      </c>
      <c r="AW913" s="113" t="s">
        <v>33</v>
      </c>
      <c r="AX913" s="113" t="s">
        <v>77</v>
      </c>
      <c r="AY913" s="135" t="s">
        <v>211</v>
      </c>
    </row>
    <row r="914" spans="2:65" s="113" customFormat="1">
      <c r="B914" s="119"/>
      <c r="D914" s="105" t="s">
        <v>365</v>
      </c>
      <c r="E914" s="135" t="s">
        <v>1</v>
      </c>
      <c r="F914" s="120" t="s">
        <v>1162</v>
      </c>
      <c r="H914" s="121">
        <v>2.1560000000000001</v>
      </c>
      <c r="I914" s="128"/>
      <c r="L914" s="119"/>
      <c r="M914" s="129"/>
      <c r="T914" s="133"/>
      <c r="AT914" s="135" t="s">
        <v>365</v>
      </c>
      <c r="AU914" s="135" t="s">
        <v>87</v>
      </c>
      <c r="AV914" s="113" t="s">
        <v>87</v>
      </c>
      <c r="AW914" s="113" t="s">
        <v>33</v>
      </c>
      <c r="AX914" s="113" t="s">
        <v>77</v>
      </c>
      <c r="AY914" s="135" t="s">
        <v>211</v>
      </c>
    </row>
    <row r="915" spans="2:65" s="137" customFormat="1">
      <c r="B915" s="141"/>
      <c r="D915" s="105" t="s">
        <v>365</v>
      </c>
      <c r="E915" s="142" t="s">
        <v>1</v>
      </c>
      <c r="F915" s="143" t="s">
        <v>368</v>
      </c>
      <c r="H915" s="144">
        <v>260.64299999999997</v>
      </c>
      <c r="I915" s="148"/>
      <c r="L915" s="141"/>
      <c r="M915" s="149"/>
      <c r="T915" s="151"/>
      <c r="AT915" s="142" t="s">
        <v>365</v>
      </c>
      <c r="AU915" s="142" t="s">
        <v>87</v>
      </c>
      <c r="AV915" s="137" t="s">
        <v>218</v>
      </c>
      <c r="AW915" s="137" t="s">
        <v>33</v>
      </c>
      <c r="AX915" s="137" t="s">
        <v>85</v>
      </c>
      <c r="AY915" s="142" t="s">
        <v>211</v>
      </c>
    </row>
    <row r="916" spans="2:65" s="1" customFormat="1" ht="24.15" customHeight="1">
      <c r="B916" s="12"/>
      <c r="C916" s="71" t="s">
        <v>1167</v>
      </c>
      <c r="D916" s="71" t="s">
        <v>214</v>
      </c>
      <c r="E916" s="72" t="s">
        <v>1168</v>
      </c>
      <c r="F916" s="73" t="s">
        <v>1169</v>
      </c>
      <c r="G916" s="74" t="s">
        <v>394</v>
      </c>
      <c r="H916" s="75">
        <v>10.625</v>
      </c>
      <c r="I916" s="90">
        <v>57000</v>
      </c>
      <c r="J916" s="91">
        <f>ROUND(I916*H916,2)</f>
        <v>605625</v>
      </c>
      <c r="K916" s="92"/>
      <c r="L916" s="12"/>
      <c r="M916" s="93" t="s">
        <v>1</v>
      </c>
      <c r="N916" s="94" t="s">
        <v>42</v>
      </c>
      <c r="P916" s="95">
        <f>O916*H916</f>
        <v>0</v>
      </c>
      <c r="Q916" s="95">
        <v>1.0492699999999999</v>
      </c>
      <c r="R916" s="95">
        <f>Q916*H916</f>
        <v>11.14849375</v>
      </c>
      <c r="S916" s="95">
        <v>0</v>
      </c>
      <c r="T916" s="99">
        <f>S916*H916</f>
        <v>0</v>
      </c>
      <c r="AR916" s="101" t="s">
        <v>218</v>
      </c>
      <c r="AT916" s="101" t="s">
        <v>214</v>
      </c>
      <c r="AU916" s="101" t="s">
        <v>87</v>
      </c>
      <c r="AY916" s="23" t="s">
        <v>211</v>
      </c>
      <c r="BE916" s="104">
        <f>IF(N916="základní",J916,0)</f>
        <v>605625</v>
      </c>
      <c r="BF916" s="104">
        <f>IF(N916="snížená",J916,0)</f>
        <v>0</v>
      </c>
      <c r="BG916" s="104">
        <f>IF(N916="zákl. přenesená",J916,0)</f>
        <v>0</v>
      </c>
      <c r="BH916" s="104">
        <f>IF(N916="sníž. přenesená",J916,0)</f>
        <v>0</v>
      </c>
      <c r="BI916" s="104">
        <f>IF(N916="nulová",J916,0)</f>
        <v>0</v>
      </c>
      <c r="BJ916" s="23" t="s">
        <v>85</v>
      </c>
      <c r="BK916" s="104">
        <f>ROUND(I916*H916,2)</f>
        <v>605625</v>
      </c>
      <c r="BL916" s="23" t="s">
        <v>218</v>
      </c>
      <c r="BM916" s="101" t="s">
        <v>1170</v>
      </c>
    </row>
    <row r="917" spans="2:65" s="113" customFormat="1">
      <c r="B917" s="119"/>
      <c r="D917" s="105" t="s">
        <v>365</v>
      </c>
      <c r="E917" s="135" t="s">
        <v>1</v>
      </c>
      <c r="F917" s="120" t="s">
        <v>1171</v>
      </c>
      <c r="H917" s="121">
        <v>5.2279999999999998</v>
      </c>
      <c r="I917" s="128"/>
      <c r="L917" s="119"/>
      <c r="M917" s="129"/>
      <c r="T917" s="133"/>
      <c r="AT917" s="135" t="s">
        <v>365</v>
      </c>
      <c r="AU917" s="135" t="s">
        <v>87</v>
      </c>
      <c r="AV917" s="113" t="s">
        <v>87</v>
      </c>
      <c r="AW917" s="113" t="s">
        <v>33</v>
      </c>
      <c r="AX917" s="113" t="s">
        <v>77</v>
      </c>
      <c r="AY917" s="135" t="s">
        <v>211</v>
      </c>
    </row>
    <row r="918" spans="2:65" s="113" customFormat="1">
      <c r="B918" s="119"/>
      <c r="D918" s="105" t="s">
        <v>365</v>
      </c>
      <c r="E918" s="135" t="s">
        <v>1</v>
      </c>
      <c r="F918" s="120" t="s">
        <v>1172</v>
      </c>
      <c r="H918" s="121">
        <v>4.1159999999999997</v>
      </c>
      <c r="I918" s="128"/>
      <c r="L918" s="119"/>
      <c r="M918" s="129"/>
      <c r="T918" s="133"/>
      <c r="AT918" s="135" t="s">
        <v>365</v>
      </c>
      <c r="AU918" s="135" t="s">
        <v>87</v>
      </c>
      <c r="AV918" s="113" t="s">
        <v>87</v>
      </c>
      <c r="AW918" s="113" t="s">
        <v>33</v>
      </c>
      <c r="AX918" s="113" t="s">
        <v>77</v>
      </c>
      <c r="AY918" s="135" t="s">
        <v>211</v>
      </c>
    </row>
    <row r="919" spans="2:65" s="113" customFormat="1">
      <c r="B919" s="119"/>
      <c r="D919" s="105" t="s">
        <v>365</v>
      </c>
      <c r="E919" s="135" t="s">
        <v>1</v>
      </c>
      <c r="F919" s="120" t="s">
        <v>1173</v>
      </c>
      <c r="H919" s="121">
        <v>1.1479999999999999</v>
      </c>
      <c r="I919" s="128"/>
      <c r="L919" s="119"/>
      <c r="M919" s="129"/>
      <c r="T919" s="133"/>
      <c r="AT919" s="135" t="s">
        <v>365</v>
      </c>
      <c r="AU919" s="135" t="s">
        <v>87</v>
      </c>
      <c r="AV919" s="113" t="s">
        <v>87</v>
      </c>
      <c r="AW919" s="113" t="s">
        <v>33</v>
      </c>
      <c r="AX919" s="113" t="s">
        <v>77</v>
      </c>
      <c r="AY919" s="135" t="s">
        <v>211</v>
      </c>
    </row>
    <row r="920" spans="2:65" s="113" customFormat="1">
      <c r="B920" s="119"/>
      <c r="D920" s="105" t="s">
        <v>365</v>
      </c>
      <c r="E920" s="135" t="s">
        <v>1</v>
      </c>
      <c r="F920" s="120" t="s">
        <v>1174</v>
      </c>
      <c r="H920" s="121">
        <v>0.13300000000000001</v>
      </c>
      <c r="I920" s="128"/>
      <c r="L920" s="119"/>
      <c r="M920" s="129"/>
      <c r="T920" s="133"/>
      <c r="AT920" s="135" t="s">
        <v>365</v>
      </c>
      <c r="AU920" s="135" t="s">
        <v>87</v>
      </c>
      <c r="AV920" s="113" t="s">
        <v>87</v>
      </c>
      <c r="AW920" s="113" t="s">
        <v>33</v>
      </c>
      <c r="AX920" s="113" t="s">
        <v>77</v>
      </c>
      <c r="AY920" s="135" t="s">
        <v>211</v>
      </c>
    </row>
    <row r="921" spans="2:65" s="137" customFormat="1">
      <c r="B921" s="141"/>
      <c r="D921" s="105" t="s">
        <v>365</v>
      </c>
      <c r="E921" s="142" t="s">
        <v>1</v>
      </c>
      <c r="F921" s="143" t="s">
        <v>368</v>
      </c>
      <c r="H921" s="144">
        <v>10.625</v>
      </c>
      <c r="I921" s="148"/>
      <c r="L921" s="141"/>
      <c r="M921" s="149"/>
      <c r="T921" s="151"/>
      <c r="AT921" s="142" t="s">
        <v>365</v>
      </c>
      <c r="AU921" s="142" t="s">
        <v>87</v>
      </c>
      <c r="AV921" s="137" t="s">
        <v>218</v>
      </c>
      <c r="AW921" s="137" t="s">
        <v>33</v>
      </c>
      <c r="AX921" s="137" t="s">
        <v>85</v>
      </c>
      <c r="AY921" s="142" t="s">
        <v>211</v>
      </c>
    </row>
    <row r="922" spans="2:65" s="1" customFormat="1" ht="24.15" customHeight="1">
      <c r="B922" s="12"/>
      <c r="C922" s="71" t="s">
        <v>1175</v>
      </c>
      <c r="D922" s="71" t="s">
        <v>214</v>
      </c>
      <c r="E922" s="72" t="s">
        <v>1176</v>
      </c>
      <c r="F922" s="73" t="s">
        <v>1177</v>
      </c>
      <c r="G922" s="74" t="s">
        <v>444</v>
      </c>
      <c r="H922" s="75">
        <v>41.5</v>
      </c>
      <c r="I922" s="90">
        <v>8800</v>
      </c>
      <c r="J922" s="91">
        <f t="shared" ref="J922:J927" si="20">ROUND(I922*H922,2)</f>
        <v>365200</v>
      </c>
      <c r="K922" s="92"/>
      <c r="L922" s="12"/>
      <c r="M922" s="93" t="s">
        <v>1</v>
      </c>
      <c r="N922" s="94" t="s">
        <v>42</v>
      </c>
      <c r="P922" s="95">
        <f t="shared" ref="P922:P927" si="21">O922*H922</f>
        <v>0</v>
      </c>
      <c r="Q922" s="95">
        <v>0</v>
      </c>
      <c r="R922" s="95">
        <f t="shared" ref="R922:R927" si="22">Q922*H922</f>
        <v>0</v>
      </c>
      <c r="S922" s="95">
        <v>0</v>
      </c>
      <c r="T922" s="99">
        <f t="shared" ref="T922:T927" si="23">S922*H922</f>
        <v>0</v>
      </c>
      <c r="AR922" s="101" t="s">
        <v>218</v>
      </c>
      <c r="AT922" s="101" t="s">
        <v>214</v>
      </c>
      <c r="AU922" s="101" t="s">
        <v>87</v>
      </c>
      <c r="AY922" s="23" t="s">
        <v>211</v>
      </c>
      <c r="BE922" s="104">
        <f t="shared" ref="BE922:BE927" si="24">IF(N922="základní",J922,0)</f>
        <v>365200</v>
      </c>
      <c r="BF922" s="104">
        <f t="shared" ref="BF922:BF927" si="25">IF(N922="snížená",J922,0)</f>
        <v>0</v>
      </c>
      <c r="BG922" s="104">
        <f t="shared" ref="BG922:BG927" si="26">IF(N922="zákl. přenesená",J922,0)</f>
        <v>0</v>
      </c>
      <c r="BH922" s="104">
        <f t="shared" ref="BH922:BH927" si="27">IF(N922="sníž. přenesená",J922,0)</f>
        <v>0</v>
      </c>
      <c r="BI922" s="104">
        <f t="shared" ref="BI922:BI927" si="28">IF(N922="nulová",J922,0)</f>
        <v>0</v>
      </c>
      <c r="BJ922" s="23" t="s">
        <v>85</v>
      </c>
      <c r="BK922" s="104">
        <f t="shared" ref="BK922:BK927" si="29">ROUND(I922*H922,2)</f>
        <v>365200</v>
      </c>
      <c r="BL922" s="23" t="s">
        <v>218</v>
      </c>
      <c r="BM922" s="101" t="s">
        <v>1178</v>
      </c>
    </row>
    <row r="923" spans="2:65" s="1" customFormat="1" ht="24.15" customHeight="1">
      <c r="B923" s="12"/>
      <c r="C923" s="71" t="s">
        <v>1179</v>
      </c>
      <c r="D923" s="71" t="s">
        <v>214</v>
      </c>
      <c r="E923" s="72" t="s">
        <v>1180</v>
      </c>
      <c r="F923" s="73" t="s">
        <v>1181</v>
      </c>
      <c r="G923" s="74" t="s">
        <v>444</v>
      </c>
      <c r="H923" s="75">
        <v>23.1</v>
      </c>
      <c r="I923" s="90">
        <v>8500</v>
      </c>
      <c r="J923" s="91">
        <f t="shared" si="20"/>
        <v>196350</v>
      </c>
      <c r="K923" s="92"/>
      <c r="L923" s="12"/>
      <c r="M923" s="93" t="s">
        <v>1</v>
      </c>
      <c r="N923" s="94" t="s">
        <v>42</v>
      </c>
      <c r="P923" s="95">
        <f t="shared" si="21"/>
        <v>0</v>
      </c>
      <c r="Q923" s="95">
        <v>0</v>
      </c>
      <c r="R923" s="95">
        <f t="shared" si="22"/>
        <v>0</v>
      </c>
      <c r="S923" s="95">
        <v>0</v>
      </c>
      <c r="T923" s="99">
        <f t="shared" si="23"/>
        <v>0</v>
      </c>
      <c r="AR923" s="101" t="s">
        <v>218</v>
      </c>
      <c r="AT923" s="101" t="s">
        <v>214</v>
      </c>
      <c r="AU923" s="101" t="s">
        <v>87</v>
      </c>
      <c r="AY923" s="23" t="s">
        <v>211</v>
      </c>
      <c r="BE923" s="104">
        <f t="shared" si="24"/>
        <v>196350</v>
      </c>
      <c r="BF923" s="104">
        <f t="shared" si="25"/>
        <v>0</v>
      </c>
      <c r="BG923" s="104">
        <f t="shared" si="26"/>
        <v>0</v>
      </c>
      <c r="BH923" s="104">
        <f t="shared" si="27"/>
        <v>0</v>
      </c>
      <c r="BI923" s="104">
        <f t="shared" si="28"/>
        <v>0</v>
      </c>
      <c r="BJ923" s="23" t="s">
        <v>85</v>
      </c>
      <c r="BK923" s="104">
        <f t="shared" si="29"/>
        <v>196350</v>
      </c>
      <c r="BL923" s="23" t="s">
        <v>218</v>
      </c>
      <c r="BM923" s="101" t="s">
        <v>1182</v>
      </c>
    </row>
    <row r="924" spans="2:65" s="1" customFormat="1" ht="24.15" customHeight="1">
      <c r="B924" s="12"/>
      <c r="C924" s="71" t="s">
        <v>1183</v>
      </c>
      <c r="D924" s="71" t="s">
        <v>214</v>
      </c>
      <c r="E924" s="72" t="s">
        <v>1184</v>
      </c>
      <c r="F924" s="73" t="s">
        <v>1185</v>
      </c>
      <c r="G924" s="74" t="s">
        <v>444</v>
      </c>
      <c r="H924" s="75">
        <v>183</v>
      </c>
      <c r="I924" s="90">
        <v>8200</v>
      </c>
      <c r="J924" s="91">
        <f t="shared" si="20"/>
        <v>1500600</v>
      </c>
      <c r="K924" s="92"/>
      <c r="L924" s="12"/>
      <c r="M924" s="93" t="s">
        <v>1</v>
      </c>
      <c r="N924" s="94" t="s">
        <v>42</v>
      </c>
      <c r="P924" s="95">
        <f t="shared" si="21"/>
        <v>0</v>
      </c>
      <c r="Q924" s="95">
        <v>0</v>
      </c>
      <c r="R924" s="95">
        <f t="shared" si="22"/>
        <v>0</v>
      </c>
      <c r="S924" s="95">
        <v>0</v>
      </c>
      <c r="T924" s="99">
        <f t="shared" si="23"/>
        <v>0</v>
      </c>
      <c r="AR924" s="101" t="s">
        <v>218</v>
      </c>
      <c r="AT924" s="101" t="s">
        <v>214</v>
      </c>
      <c r="AU924" s="101" t="s">
        <v>87</v>
      </c>
      <c r="AY924" s="23" t="s">
        <v>211</v>
      </c>
      <c r="BE924" s="104">
        <f t="shared" si="24"/>
        <v>1500600</v>
      </c>
      <c r="BF924" s="104">
        <f t="shared" si="25"/>
        <v>0</v>
      </c>
      <c r="BG924" s="104">
        <f t="shared" si="26"/>
        <v>0</v>
      </c>
      <c r="BH924" s="104">
        <f t="shared" si="27"/>
        <v>0</v>
      </c>
      <c r="BI924" s="104">
        <f t="shared" si="28"/>
        <v>0</v>
      </c>
      <c r="BJ924" s="23" t="s">
        <v>85</v>
      </c>
      <c r="BK924" s="104">
        <f t="shared" si="29"/>
        <v>1500600</v>
      </c>
      <c r="BL924" s="23" t="s">
        <v>218</v>
      </c>
      <c r="BM924" s="101" t="s">
        <v>1186</v>
      </c>
    </row>
    <row r="925" spans="2:65" s="1" customFormat="1" ht="16.5" customHeight="1">
      <c r="B925" s="12"/>
      <c r="C925" s="71" t="s">
        <v>1187</v>
      </c>
      <c r="D925" s="71" t="s">
        <v>214</v>
      </c>
      <c r="E925" s="72" t="s">
        <v>1188</v>
      </c>
      <c r="F925" s="73" t="s">
        <v>1189</v>
      </c>
      <c r="G925" s="74" t="s">
        <v>808</v>
      </c>
      <c r="H925" s="75">
        <v>6</v>
      </c>
      <c r="I925" s="90">
        <v>4500</v>
      </c>
      <c r="J925" s="91">
        <f t="shared" si="20"/>
        <v>27000</v>
      </c>
      <c r="K925" s="92"/>
      <c r="L925" s="12"/>
      <c r="M925" s="93" t="s">
        <v>1</v>
      </c>
      <c r="N925" s="94" t="s">
        <v>42</v>
      </c>
      <c r="P925" s="95">
        <f t="shared" si="21"/>
        <v>0</v>
      </c>
      <c r="Q925" s="95">
        <v>0</v>
      </c>
      <c r="R925" s="95">
        <f t="shared" si="22"/>
        <v>0</v>
      </c>
      <c r="S925" s="95">
        <v>0</v>
      </c>
      <c r="T925" s="99">
        <f t="shared" si="23"/>
        <v>0</v>
      </c>
      <c r="AR925" s="101" t="s">
        <v>218</v>
      </c>
      <c r="AT925" s="101" t="s">
        <v>214</v>
      </c>
      <c r="AU925" s="101" t="s">
        <v>87</v>
      </c>
      <c r="AY925" s="23" t="s">
        <v>211</v>
      </c>
      <c r="BE925" s="104">
        <f t="shared" si="24"/>
        <v>27000</v>
      </c>
      <c r="BF925" s="104">
        <f t="shared" si="25"/>
        <v>0</v>
      </c>
      <c r="BG925" s="104">
        <f t="shared" si="26"/>
        <v>0</v>
      </c>
      <c r="BH925" s="104">
        <f t="shared" si="27"/>
        <v>0</v>
      </c>
      <c r="BI925" s="104">
        <f t="shared" si="28"/>
        <v>0</v>
      </c>
      <c r="BJ925" s="23" t="s">
        <v>85</v>
      </c>
      <c r="BK925" s="104">
        <f t="shared" si="29"/>
        <v>27000</v>
      </c>
      <c r="BL925" s="23" t="s">
        <v>218</v>
      </c>
      <c r="BM925" s="101" t="s">
        <v>1190</v>
      </c>
    </row>
    <row r="926" spans="2:65" s="1" customFormat="1" ht="16.5" customHeight="1">
      <c r="B926" s="12"/>
      <c r="C926" s="71" t="s">
        <v>1191</v>
      </c>
      <c r="D926" s="71" t="s">
        <v>214</v>
      </c>
      <c r="E926" s="72" t="s">
        <v>1192</v>
      </c>
      <c r="F926" s="73" t="s">
        <v>1193</v>
      </c>
      <c r="G926" s="74" t="s">
        <v>444</v>
      </c>
      <c r="H926" s="75">
        <v>105</v>
      </c>
      <c r="I926" s="90">
        <v>7700</v>
      </c>
      <c r="J926" s="91">
        <f t="shared" si="20"/>
        <v>808500</v>
      </c>
      <c r="K926" s="92"/>
      <c r="L926" s="12"/>
      <c r="M926" s="93" t="s">
        <v>1</v>
      </c>
      <c r="N926" s="94" t="s">
        <v>42</v>
      </c>
      <c r="P926" s="95">
        <f t="shared" si="21"/>
        <v>0</v>
      </c>
      <c r="Q926" s="95">
        <v>0</v>
      </c>
      <c r="R926" s="95">
        <f t="shared" si="22"/>
        <v>0</v>
      </c>
      <c r="S926" s="95">
        <v>0</v>
      </c>
      <c r="T926" s="99">
        <f t="shared" si="23"/>
        <v>0</v>
      </c>
      <c r="AR926" s="101" t="s">
        <v>218</v>
      </c>
      <c r="AT926" s="101" t="s">
        <v>214</v>
      </c>
      <c r="AU926" s="101" t="s">
        <v>87</v>
      </c>
      <c r="AY926" s="23" t="s">
        <v>211</v>
      </c>
      <c r="BE926" s="104">
        <f t="shared" si="24"/>
        <v>808500</v>
      </c>
      <c r="BF926" s="104">
        <f t="shared" si="25"/>
        <v>0</v>
      </c>
      <c r="BG926" s="104">
        <f t="shared" si="26"/>
        <v>0</v>
      </c>
      <c r="BH926" s="104">
        <f t="shared" si="27"/>
        <v>0</v>
      </c>
      <c r="BI926" s="104">
        <f t="shared" si="28"/>
        <v>0</v>
      </c>
      <c r="BJ926" s="23" t="s">
        <v>85</v>
      </c>
      <c r="BK926" s="104">
        <f t="shared" si="29"/>
        <v>808500</v>
      </c>
      <c r="BL926" s="23" t="s">
        <v>218</v>
      </c>
      <c r="BM926" s="101" t="s">
        <v>1194</v>
      </c>
    </row>
    <row r="927" spans="2:65" s="1" customFormat="1" ht="16.5" customHeight="1">
      <c r="B927" s="12"/>
      <c r="C927" s="71" t="s">
        <v>1195</v>
      </c>
      <c r="D927" s="71" t="s">
        <v>214</v>
      </c>
      <c r="E927" s="72" t="s">
        <v>1196</v>
      </c>
      <c r="F927" s="73" t="s">
        <v>1197</v>
      </c>
      <c r="G927" s="74" t="s">
        <v>1198</v>
      </c>
      <c r="H927" s="75">
        <v>98606.01</v>
      </c>
      <c r="I927" s="90">
        <v>185</v>
      </c>
      <c r="J927" s="91">
        <f t="shared" si="20"/>
        <v>18242111.850000001</v>
      </c>
      <c r="K927" s="92"/>
      <c r="L927" s="12"/>
      <c r="M927" s="93" t="s">
        <v>1</v>
      </c>
      <c r="N927" s="94" t="s">
        <v>42</v>
      </c>
      <c r="P927" s="95">
        <f t="shared" si="21"/>
        <v>0</v>
      </c>
      <c r="Q927" s="95">
        <v>0</v>
      </c>
      <c r="R927" s="95">
        <f t="shared" si="22"/>
        <v>0</v>
      </c>
      <c r="S927" s="95">
        <v>0</v>
      </c>
      <c r="T927" s="99">
        <f t="shared" si="23"/>
        <v>0</v>
      </c>
      <c r="AR927" s="101" t="s">
        <v>218</v>
      </c>
      <c r="AT927" s="101" t="s">
        <v>214</v>
      </c>
      <c r="AU927" s="101" t="s">
        <v>87</v>
      </c>
      <c r="AY927" s="23" t="s">
        <v>211</v>
      </c>
      <c r="BE927" s="104">
        <f t="shared" si="24"/>
        <v>18242111.850000001</v>
      </c>
      <c r="BF927" s="104">
        <f t="shared" si="25"/>
        <v>0</v>
      </c>
      <c r="BG927" s="104">
        <f t="shared" si="26"/>
        <v>0</v>
      </c>
      <c r="BH927" s="104">
        <f t="shared" si="27"/>
        <v>0</v>
      </c>
      <c r="BI927" s="104">
        <f t="shared" si="28"/>
        <v>0</v>
      </c>
      <c r="BJ927" s="23" t="s">
        <v>85</v>
      </c>
      <c r="BK927" s="104">
        <f t="shared" si="29"/>
        <v>18242111.850000001</v>
      </c>
      <c r="BL927" s="23" t="s">
        <v>218</v>
      </c>
      <c r="BM927" s="101" t="s">
        <v>1199</v>
      </c>
    </row>
    <row r="928" spans="2:65" s="1" customFormat="1" ht="48">
      <c r="B928" s="12"/>
      <c r="D928" s="105" t="s">
        <v>227</v>
      </c>
      <c r="F928" s="106" t="s">
        <v>1200</v>
      </c>
      <c r="I928" s="107"/>
      <c r="L928" s="12"/>
      <c r="M928" s="108"/>
      <c r="T928" s="111"/>
      <c r="AT928" s="23" t="s">
        <v>227</v>
      </c>
      <c r="AU928" s="23" t="s">
        <v>87</v>
      </c>
    </row>
    <row r="929" spans="2:65" s="113" customFormat="1">
      <c r="B929" s="119"/>
      <c r="D929" s="105" t="s">
        <v>365</v>
      </c>
      <c r="E929" s="135" t="s">
        <v>1</v>
      </c>
      <c r="F929" s="120" t="s">
        <v>1201</v>
      </c>
      <c r="H929" s="121">
        <v>23994.68</v>
      </c>
      <c r="I929" s="128"/>
      <c r="L929" s="119"/>
      <c r="M929" s="129"/>
      <c r="T929" s="133"/>
      <c r="AT929" s="135" t="s">
        <v>365</v>
      </c>
      <c r="AU929" s="135" t="s">
        <v>87</v>
      </c>
      <c r="AV929" s="113" t="s">
        <v>87</v>
      </c>
      <c r="AW929" s="113" t="s">
        <v>33</v>
      </c>
      <c r="AX929" s="113" t="s">
        <v>77</v>
      </c>
      <c r="AY929" s="135" t="s">
        <v>211</v>
      </c>
    </row>
    <row r="930" spans="2:65" s="113" customFormat="1">
      <c r="B930" s="119"/>
      <c r="D930" s="105" t="s">
        <v>365</v>
      </c>
      <c r="E930" s="135" t="s">
        <v>1</v>
      </c>
      <c r="F930" s="120" t="s">
        <v>1202</v>
      </c>
      <c r="H930" s="121">
        <v>29258.68</v>
      </c>
      <c r="I930" s="128"/>
      <c r="L930" s="119"/>
      <c r="M930" s="129"/>
      <c r="T930" s="133"/>
      <c r="AT930" s="135" t="s">
        <v>365</v>
      </c>
      <c r="AU930" s="135" t="s">
        <v>87</v>
      </c>
      <c r="AV930" s="113" t="s">
        <v>87</v>
      </c>
      <c r="AW930" s="113" t="s">
        <v>33</v>
      </c>
      <c r="AX930" s="113" t="s">
        <v>77</v>
      </c>
      <c r="AY930" s="135" t="s">
        <v>211</v>
      </c>
    </row>
    <row r="931" spans="2:65" s="113" customFormat="1">
      <c r="B931" s="119"/>
      <c r="D931" s="105" t="s">
        <v>365</v>
      </c>
      <c r="E931" s="135" t="s">
        <v>1</v>
      </c>
      <c r="F931" s="120" t="s">
        <v>1203</v>
      </c>
      <c r="H931" s="121">
        <v>18160.8</v>
      </c>
      <c r="I931" s="128"/>
      <c r="L931" s="119"/>
      <c r="M931" s="129"/>
      <c r="T931" s="133"/>
      <c r="AT931" s="135" t="s">
        <v>365</v>
      </c>
      <c r="AU931" s="135" t="s">
        <v>87</v>
      </c>
      <c r="AV931" s="113" t="s">
        <v>87</v>
      </c>
      <c r="AW931" s="113" t="s">
        <v>33</v>
      </c>
      <c r="AX931" s="113" t="s">
        <v>77</v>
      </c>
      <c r="AY931" s="135" t="s">
        <v>211</v>
      </c>
    </row>
    <row r="932" spans="2:65" s="113" customFormat="1">
      <c r="B932" s="119"/>
      <c r="D932" s="105" t="s">
        <v>365</v>
      </c>
      <c r="E932" s="135" t="s">
        <v>1</v>
      </c>
      <c r="F932" s="120" t="s">
        <v>1204</v>
      </c>
      <c r="H932" s="121">
        <v>27191.85</v>
      </c>
      <c r="I932" s="128"/>
      <c r="L932" s="119"/>
      <c r="M932" s="129"/>
      <c r="T932" s="133"/>
      <c r="AT932" s="135" t="s">
        <v>365</v>
      </c>
      <c r="AU932" s="135" t="s">
        <v>87</v>
      </c>
      <c r="AV932" s="113" t="s">
        <v>87</v>
      </c>
      <c r="AW932" s="113" t="s">
        <v>33</v>
      </c>
      <c r="AX932" s="113" t="s">
        <v>77</v>
      </c>
      <c r="AY932" s="135" t="s">
        <v>211</v>
      </c>
    </row>
    <row r="933" spans="2:65" s="137" customFormat="1">
      <c r="B933" s="141"/>
      <c r="D933" s="105" t="s">
        <v>365</v>
      </c>
      <c r="E933" s="142" t="s">
        <v>1</v>
      </c>
      <c r="F933" s="143" t="s">
        <v>368</v>
      </c>
      <c r="H933" s="144">
        <v>98606.01</v>
      </c>
      <c r="I933" s="148"/>
      <c r="L933" s="141"/>
      <c r="M933" s="149"/>
      <c r="T933" s="151"/>
      <c r="AT933" s="142" t="s">
        <v>365</v>
      </c>
      <c r="AU933" s="142" t="s">
        <v>87</v>
      </c>
      <c r="AV933" s="137" t="s">
        <v>218</v>
      </c>
      <c r="AW933" s="137" t="s">
        <v>33</v>
      </c>
      <c r="AX933" s="137" t="s">
        <v>85</v>
      </c>
      <c r="AY933" s="142" t="s">
        <v>211</v>
      </c>
    </row>
    <row r="934" spans="2:65" s="31" customFormat="1" ht="23.1" customHeight="1">
      <c r="B934" s="67"/>
      <c r="D934" s="68" t="s">
        <v>76</v>
      </c>
      <c r="E934" s="70" t="s">
        <v>239</v>
      </c>
      <c r="F934" s="70" t="s">
        <v>1205</v>
      </c>
      <c r="I934" s="85"/>
      <c r="J934" s="89">
        <f>BK934</f>
        <v>8994668.0199999996</v>
      </c>
      <c r="L934" s="67"/>
      <c r="M934" s="87"/>
      <c r="P934" s="88">
        <f>SUM(P935:P1039)</f>
        <v>0</v>
      </c>
      <c r="R934" s="88">
        <f>SUM(R935:R1039)</f>
        <v>642.46182371999998</v>
      </c>
      <c r="T934" s="98">
        <f>SUM(T935:T1039)</f>
        <v>0</v>
      </c>
      <c r="AR934" s="68" t="s">
        <v>85</v>
      </c>
      <c r="AT934" s="100" t="s">
        <v>76</v>
      </c>
      <c r="AU934" s="100" t="s">
        <v>85</v>
      </c>
      <c r="AY934" s="68" t="s">
        <v>211</v>
      </c>
      <c r="BK934" s="103">
        <f>SUM(BK935:BK1039)</f>
        <v>8994668.0199999996</v>
      </c>
    </row>
    <row r="935" spans="2:65" s="1" customFormat="1" ht="66.75" customHeight="1">
      <c r="B935" s="12"/>
      <c r="C935" s="71" t="s">
        <v>1206</v>
      </c>
      <c r="D935" s="71" t="s">
        <v>214</v>
      </c>
      <c r="E935" s="72" t="s">
        <v>1207</v>
      </c>
      <c r="F935" s="73" t="s">
        <v>1208</v>
      </c>
      <c r="G935" s="74" t="s">
        <v>279</v>
      </c>
      <c r="H935" s="75">
        <v>352.04</v>
      </c>
      <c r="I935" s="90">
        <v>420</v>
      </c>
      <c r="J935" s="91">
        <f>ROUND(I935*H935,2)</f>
        <v>147856.79999999999</v>
      </c>
      <c r="K935" s="92"/>
      <c r="L935" s="12"/>
      <c r="M935" s="93" t="s">
        <v>1</v>
      </c>
      <c r="N935" s="94" t="s">
        <v>42</v>
      </c>
      <c r="P935" s="95">
        <f>O935*H935</f>
        <v>0</v>
      </c>
      <c r="Q935" s="95">
        <v>1.8E-3</v>
      </c>
      <c r="R935" s="95">
        <f>Q935*H935</f>
        <v>0.63367200000000001</v>
      </c>
      <c r="S935" s="95">
        <v>0</v>
      </c>
      <c r="T935" s="99">
        <f>S935*H935</f>
        <v>0</v>
      </c>
      <c r="AR935" s="101" t="s">
        <v>218</v>
      </c>
      <c r="AT935" s="101" t="s">
        <v>214</v>
      </c>
      <c r="AU935" s="101" t="s">
        <v>87</v>
      </c>
      <c r="AY935" s="23" t="s">
        <v>211</v>
      </c>
      <c r="BE935" s="104">
        <f>IF(N935="základní",J935,0)</f>
        <v>147856.79999999999</v>
      </c>
      <c r="BF935" s="104">
        <f>IF(N935="snížená",J935,0)</f>
        <v>0</v>
      </c>
      <c r="BG935" s="104">
        <f>IF(N935="zákl. přenesená",J935,0)</f>
        <v>0</v>
      </c>
      <c r="BH935" s="104">
        <f>IF(N935="sníž. přenesená",J935,0)</f>
        <v>0</v>
      </c>
      <c r="BI935" s="104">
        <f>IF(N935="nulová",J935,0)</f>
        <v>0</v>
      </c>
      <c r="BJ935" s="23" t="s">
        <v>85</v>
      </c>
      <c r="BK935" s="104">
        <f>ROUND(I935*H935,2)</f>
        <v>147856.79999999999</v>
      </c>
      <c r="BL935" s="23" t="s">
        <v>218</v>
      </c>
      <c r="BM935" s="101" t="s">
        <v>1209</v>
      </c>
    </row>
    <row r="936" spans="2:65" s="113" customFormat="1">
      <c r="B936" s="119"/>
      <c r="D936" s="105" t="s">
        <v>365</v>
      </c>
      <c r="E936" s="135" t="s">
        <v>1</v>
      </c>
      <c r="F936" s="120" t="s">
        <v>278</v>
      </c>
      <c r="H936" s="121">
        <v>181.94</v>
      </c>
      <c r="I936" s="128"/>
      <c r="L936" s="119"/>
      <c r="M936" s="129"/>
      <c r="T936" s="133"/>
      <c r="AT936" s="135" t="s">
        <v>365</v>
      </c>
      <c r="AU936" s="135" t="s">
        <v>87</v>
      </c>
      <c r="AV936" s="113" t="s">
        <v>87</v>
      </c>
      <c r="AW936" s="113" t="s">
        <v>33</v>
      </c>
      <c r="AX936" s="113" t="s">
        <v>77</v>
      </c>
      <c r="AY936" s="135" t="s">
        <v>211</v>
      </c>
    </row>
    <row r="937" spans="2:65" s="113" customFormat="1">
      <c r="B937" s="119"/>
      <c r="D937" s="105" t="s">
        <v>365</v>
      </c>
      <c r="E937" s="135" t="s">
        <v>1</v>
      </c>
      <c r="F937" s="120" t="s">
        <v>1210</v>
      </c>
      <c r="H937" s="121">
        <v>170.1</v>
      </c>
      <c r="I937" s="128"/>
      <c r="L937" s="119"/>
      <c r="M937" s="129"/>
      <c r="T937" s="133"/>
      <c r="AT937" s="135" t="s">
        <v>365</v>
      </c>
      <c r="AU937" s="135" t="s">
        <v>87</v>
      </c>
      <c r="AV937" s="113" t="s">
        <v>87</v>
      </c>
      <c r="AW937" s="113" t="s">
        <v>33</v>
      </c>
      <c r="AX937" s="113" t="s">
        <v>77</v>
      </c>
      <c r="AY937" s="135" t="s">
        <v>211</v>
      </c>
    </row>
    <row r="938" spans="2:65" s="137" customFormat="1">
      <c r="B938" s="141"/>
      <c r="D938" s="105" t="s">
        <v>365</v>
      </c>
      <c r="E938" s="142" t="s">
        <v>1</v>
      </c>
      <c r="F938" s="143" t="s">
        <v>368</v>
      </c>
      <c r="H938" s="144">
        <v>352.04</v>
      </c>
      <c r="I938" s="148"/>
      <c r="L938" s="141"/>
      <c r="M938" s="149"/>
      <c r="T938" s="151"/>
      <c r="AT938" s="142" t="s">
        <v>365</v>
      </c>
      <c r="AU938" s="142" t="s">
        <v>87</v>
      </c>
      <c r="AV938" s="137" t="s">
        <v>218</v>
      </c>
      <c r="AW938" s="137" t="s">
        <v>33</v>
      </c>
      <c r="AX938" s="137" t="s">
        <v>85</v>
      </c>
      <c r="AY938" s="142" t="s">
        <v>211</v>
      </c>
    </row>
    <row r="939" spans="2:65" s="1" customFormat="1" ht="24.15" customHeight="1">
      <c r="B939" s="12"/>
      <c r="C939" s="71" t="s">
        <v>1211</v>
      </c>
      <c r="D939" s="71" t="s">
        <v>214</v>
      </c>
      <c r="E939" s="72" t="s">
        <v>1212</v>
      </c>
      <c r="F939" s="73" t="s">
        <v>1213</v>
      </c>
      <c r="G939" s="74" t="s">
        <v>357</v>
      </c>
      <c r="H939" s="75">
        <v>146.899</v>
      </c>
      <c r="I939" s="90">
        <v>4830</v>
      </c>
      <c r="J939" s="91">
        <f>ROUND(I939*H939,2)</f>
        <v>709522.17</v>
      </c>
      <c r="K939" s="92"/>
      <c r="L939" s="12"/>
      <c r="M939" s="93" t="s">
        <v>1</v>
      </c>
      <c r="N939" s="94" t="s">
        <v>42</v>
      </c>
      <c r="P939" s="95">
        <f>O939*H939</f>
        <v>0</v>
      </c>
      <c r="Q939" s="95">
        <v>0.505</v>
      </c>
      <c r="R939" s="95">
        <f>Q939*H939</f>
        <v>74.183994999999996</v>
      </c>
      <c r="S939" s="95">
        <v>0</v>
      </c>
      <c r="T939" s="99">
        <f>S939*H939</f>
        <v>0</v>
      </c>
      <c r="AR939" s="101" t="s">
        <v>218</v>
      </c>
      <c r="AT939" s="101" t="s">
        <v>214</v>
      </c>
      <c r="AU939" s="101" t="s">
        <v>87</v>
      </c>
      <c r="AY939" s="23" t="s">
        <v>211</v>
      </c>
      <c r="BE939" s="104">
        <f>IF(N939="základní",J939,0)</f>
        <v>709522.17</v>
      </c>
      <c r="BF939" s="104">
        <f>IF(N939="snížená",J939,0)</f>
        <v>0</v>
      </c>
      <c r="BG939" s="104">
        <f>IF(N939="zákl. přenesená",J939,0)</f>
        <v>0</v>
      </c>
      <c r="BH939" s="104">
        <f>IF(N939="sníž. přenesená",J939,0)</f>
        <v>0</v>
      </c>
      <c r="BI939" s="104">
        <f>IF(N939="nulová",J939,0)</f>
        <v>0</v>
      </c>
      <c r="BJ939" s="23" t="s">
        <v>85</v>
      </c>
      <c r="BK939" s="104">
        <f>ROUND(I939*H939,2)</f>
        <v>709522.17</v>
      </c>
      <c r="BL939" s="23" t="s">
        <v>218</v>
      </c>
      <c r="BM939" s="101" t="s">
        <v>1214</v>
      </c>
    </row>
    <row r="940" spans="2:65" s="113" customFormat="1">
      <c r="B940" s="119"/>
      <c r="D940" s="105" t="s">
        <v>365</v>
      </c>
      <c r="E940" s="135" t="s">
        <v>1</v>
      </c>
      <c r="F940" s="120" t="s">
        <v>1215</v>
      </c>
      <c r="H940" s="121">
        <v>42.335999999999999</v>
      </c>
      <c r="I940" s="128"/>
      <c r="L940" s="119"/>
      <c r="M940" s="129"/>
      <c r="T940" s="133"/>
      <c r="AT940" s="135" t="s">
        <v>365</v>
      </c>
      <c r="AU940" s="135" t="s">
        <v>87</v>
      </c>
      <c r="AV940" s="113" t="s">
        <v>87</v>
      </c>
      <c r="AW940" s="113" t="s">
        <v>33</v>
      </c>
      <c r="AX940" s="113" t="s">
        <v>77</v>
      </c>
      <c r="AY940" s="135" t="s">
        <v>211</v>
      </c>
    </row>
    <row r="941" spans="2:65" s="113" customFormat="1">
      <c r="B941" s="119"/>
      <c r="D941" s="105" t="s">
        <v>365</v>
      </c>
      <c r="E941" s="135" t="s">
        <v>1</v>
      </c>
      <c r="F941" s="120" t="s">
        <v>1216</v>
      </c>
      <c r="H941" s="121">
        <v>16.234000000000002</v>
      </c>
      <c r="I941" s="128"/>
      <c r="L941" s="119"/>
      <c r="M941" s="129"/>
      <c r="T941" s="133"/>
      <c r="AT941" s="135" t="s">
        <v>365</v>
      </c>
      <c r="AU941" s="135" t="s">
        <v>87</v>
      </c>
      <c r="AV941" s="113" t="s">
        <v>87</v>
      </c>
      <c r="AW941" s="113" t="s">
        <v>33</v>
      </c>
      <c r="AX941" s="113" t="s">
        <v>77</v>
      </c>
      <c r="AY941" s="135" t="s">
        <v>211</v>
      </c>
    </row>
    <row r="942" spans="2:65" s="113" customFormat="1">
      <c r="B942" s="119"/>
      <c r="D942" s="105" t="s">
        <v>365</v>
      </c>
      <c r="E942" s="135" t="s">
        <v>1</v>
      </c>
      <c r="F942" s="120" t="s">
        <v>1217</v>
      </c>
      <c r="H942" s="121">
        <v>18.46</v>
      </c>
      <c r="I942" s="128"/>
      <c r="L942" s="119"/>
      <c r="M942" s="129"/>
      <c r="T942" s="133"/>
      <c r="AT942" s="135" t="s">
        <v>365</v>
      </c>
      <c r="AU942" s="135" t="s">
        <v>87</v>
      </c>
      <c r="AV942" s="113" t="s">
        <v>87</v>
      </c>
      <c r="AW942" s="113" t="s">
        <v>33</v>
      </c>
      <c r="AX942" s="113" t="s">
        <v>77</v>
      </c>
      <c r="AY942" s="135" t="s">
        <v>211</v>
      </c>
    </row>
    <row r="943" spans="2:65" s="113" customFormat="1">
      <c r="B943" s="119"/>
      <c r="D943" s="105" t="s">
        <v>365</v>
      </c>
      <c r="E943" s="135" t="s">
        <v>1</v>
      </c>
      <c r="F943" s="120" t="s">
        <v>1218</v>
      </c>
      <c r="H943" s="121">
        <v>23.1</v>
      </c>
      <c r="I943" s="128"/>
      <c r="L943" s="119"/>
      <c r="M943" s="129"/>
      <c r="T943" s="133"/>
      <c r="AT943" s="135" t="s">
        <v>365</v>
      </c>
      <c r="AU943" s="135" t="s">
        <v>87</v>
      </c>
      <c r="AV943" s="113" t="s">
        <v>87</v>
      </c>
      <c r="AW943" s="113" t="s">
        <v>33</v>
      </c>
      <c r="AX943" s="113" t="s">
        <v>77</v>
      </c>
      <c r="AY943" s="135" t="s">
        <v>211</v>
      </c>
    </row>
    <row r="944" spans="2:65" s="113" customFormat="1">
      <c r="B944" s="119"/>
      <c r="D944" s="105" t="s">
        <v>365</v>
      </c>
      <c r="E944" s="135" t="s">
        <v>1</v>
      </c>
      <c r="F944" s="120" t="s">
        <v>1219</v>
      </c>
      <c r="H944" s="121">
        <v>46.768999999999998</v>
      </c>
      <c r="I944" s="128"/>
      <c r="L944" s="119"/>
      <c r="M944" s="129"/>
      <c r="T944" s="133"/>
      <c r="AT944" s="135" t="s">
        <v>365</v>
      </c>
      <c r="AU944" s="135" t="s">
        <v>87</v>
      </c>
      <c r="AV944" s="113" t="s">
        <v>87</v>
      </c>
      <c r="AW944" s="113" t="s">
        <v>33</v>
      </c>
      <c r="AX944" s="113" t="s">
        <v>77</v>
      </c>
      <c r="AY944" s="135" t="s">
        <v>211</v>
      </c>
    </row>
    <row r="945" spans="2:65" s="137" customFormat="1">
      <c r="B945" s="141"/>
      <c r="D945" s="105" t="s">
        <v>365</v>
      </c>
      <c r="E945" s="142" t="s">
        <v>1</v>
      </c>
      <c r="F945" s="143" t="s">
        <v>368</v>
      </c>
      <c r="H945" s="144">
        <v>146.899</v>
      </c>
      <c r="I945" s="148"/>
      <c r="L945" s="141"/>
      <c r="M945" s="149"/>
      <c r="T945" s="151"/>
      <c r="AT945" s="142" t="s">
        <v>365</v>
      </c>
      <c r="AU945" s="142" t="s">
        <v>87</v>
      </c>
      <c r="AV945" s="137" t="s">
        <v>218</v>
      </c>
      <c r="AW945" s="137" t="s">
        <v>33</v>
      </c>
      <c r="AX945" s="137" t="s">
        <v>85</v>
      </c>
      <c r="AY945" s="142" t="s">
        <v>211</v>
      </c>
    </row>
    <row r="946" spans="2:65" s="1" customFormat="1" ht="16.5" customHeight="1">
      <c r="B946" s="12"/>
      <c r="C946" s="71" t="s">
        <v>1220</v>
      </c>
      <c r="D946" s="71" t="s">
        <v>214</v>
      </c>
      <c r="E946" s="72" t="s">
        <v>1221</v>
      </c>
      <c r="F946" s="73" t="s">
        <v>1222</v>
      </c>
      <c r="G946" s="74" t="s">
        <v>279</v>
      </c>
      <c r="H946" s="75">
        <v>3672.49</v>
      </c>
      <c r="I946" s="90">
        <v>17.7</v>
      </c>
      <c r="J946" s="91">
        <f>ROUND(I946*H946,2)</f>
        <v>65003.07</v>
      </c>
      <c r="K946" s="92"/>
      <c r="L946" s="12"/>
      <c r="M946" s="93" t="s">
        <v>1</v>
      </c>
      <c r="N946" s="94" t="s">
        <v>42</v>
      </c>
      <c r="P946" s="95">
        <f>O946*H946</f>
        <v>0</v>
      </c>
      <c r="Q946" s="95">
        <v>1.2999999999999999E-4</v>
      </c>
      <c r="R946" s="95">
        <f>Q946*H946</f>
        <v>0.47742370000000001</v>
      </c>
      <c r="S946" s="95">
        <v>0</v>
      </c>
      <c r="T946" s="99">
        <f>S946*H946</f>
        <v>0</v>
      </c>
      <c r="AR946" s="101" t="s">
        <v>218</v>
      </c>
      <c r="AT946" s="101" t="s">
        <v>214</v>
      </c>
      <c r="AU946" s="101" t="s">
        <v>87</v>
      </c>
      <c r="AY946" s="23" t="s">
        <v>211</v>
      </c>
      <c r="BE946" s="104">
        <f>IF(N946="základní",J946,0)</f>
        <v>65003.07</v>
      </c>
      <c r="BF946" s="104">
        <f>IF(N946="snížená",J946,0)</f>
        <v>0</v>
      </c>
      <c r="BG946" s="104">
        <f>IF(N946="zákl. přenesená",J946,0)</f>
        <v>0</v>
      </c>
      <c r="BH946" s="104">
        <f>IF(N946="sníž. přenesená",J946,0)</f>
        <v>0</v>
      </c>
      <c r="BI946" s="104">
        <f>IF(N946="nulová",J946,0)</f>
        <v>0</v>
      </c>
      <c r="BJ946" s="23" t="s">
        <v>85</v>
      </c>
      <c r="BK946" s="104">
        <f>ROUND(I946*H946,2)</f>
        <v>65003.07</v>
      </c>
      <c r="BL946" s="23" t="s">
        <v>218</v>
      </c>
      <c r="BM946" s="101" t="s">
        <v>1223</v>
      </c>
    </row>
    <row r="947" spans="2:65" s="113" customFormat="1">
      <c r="B947" s="119"/>
      <c r="D947" s="105" t="s">
        <v>365</v>
      </c>
      <c r="E947" s="135" t="s">
        <v>1</v>
      </c>
      <c r="F947" s="120" t="s">
        <v>281</v>
      </c>
      <c r="H947" s="121">
        <v>1058.4000000000001</v>
      </c>
      <c r="I947" s="128"/>
      <c r="L947" s="119"/>
      <c r="M947" s="129"/>
      <c r="T947" s="133"/>
      <c r="AT947" s="135" t="s">
        <v>365</v>
      </c>
      <c r="AU947" s="135" t="s">
        <v>87</v>
      </c>
      <c r="AV947" s="113" t="s">
        <v>87</v>
      </c>
      <c r="AW947" s="113" t="s">
        <v>33</v>
      </c>
      <c r="AX947" s="113" t="s">
        <v>77</v>
      </c>
      <c r="AY947" s="135" t="s">
        <v>211</v>
      </c>
    </row>
    <row r="948" spans="2:65" s="113" customFormat="1">
      <c r="B948" s="119"/>
      <c r="D948" s="105" t="s">
        <v>365</v>
      </c>
      <c r="E948" s="135" t="s">
        <v>1</v>
      </c>
      <c r="F948" s="120" t="s">
        <v>283</v>
      </c>
      <c r="H948" s="121">
        <v>405.86</v>
      </c>
      <c r="I948" s="128"/>
      <c r="L948" s="119"/>
      <c r="M948" s="129"/>
      <c r="T948" s="133"/>
      <c r="AT948" s="135" t="s">
        <v>365</v>
      </c>
      <c r="AU948" s="135" t="s">
        <v>87</v>
      </c>
      <c r="AV948" s="113" t="s">
        <v>87</v>
      </c>
      <c r="AW948" s="113" t="s">
        <v>33</v>
      </c>
      <c r="AX948" s="113" t="s">
        <v>77</v>
      </c>
      <c r="AY948" s="135" t="s">
        <v>211</v>
      </c>
    </row>
    <row r="949" spans="2:65" s="113" customFormat="1">
      <c r="B949" s="119"/>
      <c r="D949" s="105" t="s">
        <v>365</v>
      </c>
      <c r="E949" s="135" t="s">
        <v>1</v>
      </c>
      <c r="F949" s="120" t="s">
        <v>285</v>
      </c>
      <c r="H949" s="121">
        <v>461.5</v>
      </c>
      <c r="I949" s="128"/>
      <c r="L949" s="119"/>
      <c r="M949" s="129"/>
      <c r="T949" s="133"/>
      <c r="AT949" s="135" t="s">
        <v>365</v>
      </c>
      <c r="AU949" s="135" t="s">
        <v>87</v>
      </c>
      <c r="AV949" s="113" t="s">
        <v>87</v>
      </c>
      <c r="AW949" s="113" t="s">
        <v>33</v>
      </c>
      <c r="AX949" s="113" t="s">
        <v>77</v>
      </c>
      <c r="AY949" s="135" t="s">
        <v>211</v>
      </c>
    </row>
    <row r="950" spans="2:65" s="113" customFormat="1">
      <c r="B950" s="119"/>
      <c r="D950" s="105" t="s">
        <v>365</v>
      </c>
      <c r="E950" s="135" t="s">
        <v>1</v>
      </c>
      <c r="F950" s="120" t="s">
        <v>287</v>
      </c>
      <c r="H950" s="121">
        <v>577.5</v>
      </c>
      <c r="I950" s="128"/>
      <c r="L950" s="119"/>
      <c r="M950" s="129"/>
      <c r="T950" s="133"/>
      <c r="AT950" s="135" t="s">
        <v>365</v>
      </c>
      <c r="AU950" s="135" t="s">
        <v>87</v>
      </c>
      <c r="AV950" s="113" t="s">
        <v>87</v>
      </c>
      <c r="AW950" s="113" t="s">
        <v>33</v>
      </c>
      <c r="AX950" s="113" t="s">
        <v>77</v>
      </c>
      <c r="AY950" s="135" t="s">
        <v>211</v>
      </c>
    </row>
    <row r="951" spans="2:65" s="113" customFormat="1">
      <c r="B951" s="119"/>
      <c r="D951" s="105" t="s">
        <v>365</v>
      </c>
      <c r="E951" s="135" t="s">
        <v>1</v>
      </c>
      <c r="F951" s="120" t="s">
        <v>289</v>
      </c>
      <c r="H951" s="121">
        <v>1169.23</v>
      </c>
      <c r="I951" s="128"/>
      <c r="L951" s="119"/>
      <c r="M951" s="129"/>
      <c r="T951" s="133"/>
      <c r="AT951" s="135" t="s">
        <v>365</v>
      </c>
      <c r="AU951" s="135" t="s">
        <v>87</v>
      </c>
      <c r="AV951" s="113" t="s">
        <v>87</v>
      </c>
      <c r="AW951" s="113" t="s">
        <v>33</v>
      </c>
      <c r="AX951" s="113" t="s">
        <v>77</v>
      </c>
      <c r="AY951" s="135" t="s">
        <v>211</v>
      </c>
    </row>
    <row r="952" spans="2:65" s="137" customFormat="1">
      <c r="B952" s="141"/>
      <c r="D952" s="105" t="s">
        <v>365</v>
      </c>
      <c r="E952" s="142" t="s">
        <v>1</v>
      </c>
      <c r="F952" s="143" t="s">
        <v>368</v>
      </c>
      <c r="H952" s="144">
        <v>3672.49</v>
      </c>
      <c r="I952" s="148"/>
      <c r="L952" s="141"/>
      <c r="M952" s="149"/>
      <c r="T952" s="151"/>
      <c r="AT952" s="142" t="s">
        <v>365</v>
      </c>
      <c r="AU952" s="142" t="s">
        <v>87</v>
      </c>
      <c r="AV952" s="137" t="s">
        <v>218</v>
      </c>
      <c r="AW952" s="137" t="s">
        <v>33</v>
      </c>
      <c r="AX952" s="137" t="s">
        <v>85</v>
      </c>
      <c r="AY952" s="142" t="s">
        <v>211</v>
      </c>
    </row>
    <row r="953" spans="2:65" s="1" customFormat="1" ht="66.75" customHeight="1">
      <c r="B953" s="12"/>
      <c r="C953" s="71" t="s">
        <v>1224</v>
      </c>
      <c r="D953" s="71" t="s">
        <v>214</v>
      </c>
      <c r="E953" s="72" t="s">
        <v>1225</v>
      </c>
      <c r="F953" s="73" t="s">
        <v>1226</v>
      </c>
      <c r="G953" s="74" t="s">
        <v>279</v>
      </c>
      <c r="H953" s="75">
        <v>148.71</v>
      </c>
      <c r="I953" s="90">
        <v>202</v>
      </c>
      <c r="J953" s="91">
        <f>ROUND(I953*H953,2)</f>
        <v>30039.42</v>
      </c>
      <c r="K953" s="92"/>
      <c r="L953" s="12"/>
      <c r="M953" s="93" t="s">
        <v>1</v>
      </c>
      <c r="N953" s="94" t="s">
        <v>42</v>
      </c>
      <c r="P953" s="95">
        <f>O953*H953</f>
        <v>0</v>
      </c>
      <c r="Q953" s="95">
        <v>3.2000000000000002E-3</v>
      </c>
      <c r="R953" s="95">
        <f>Q953*H953</f>
        <v>0.47587200000000002</v>
      </c>
      <c r="S953" s="95">
        <v>0</v>
      </c>
      <c r="T953" s="99">
        <f>S953*H953</f>
        <v>0</v>
      </c>
      <c r="AR953" s="101" t="s">
        <v>218</v>
      </c>
      <c r="AT953" s="101" t="s">
        <v>214</v>
      </c>
      <c r="AU953" s="101" t="s">
        <v>87</v>
      </c>
      <c r="AY953" s="23" t="s">
        <v>211</v>
      </c>
      <c r="BE953" s="104">
        <f>IF(N953="základní",J953,0)</f>
        <v>30039.42</v>
      </c>
      <c r="BF953" s="104">
        <f>IF(N953="snížená",J953,0)</f>
        <v>0</v>
      </c>
      <c r="BG953" s="104">
        <f>IF(N953="zákl. přenesená",J953,0)</f>
        <v>0</v>
      </c>
      <c r="BH953" s="104">
        <f>IF(N953="sníž. přenesená",J953,0)</f>
        <v>0</v>
      </c>
      <c r="BI953" s="104">
        <f>IF(N953="nulová",J953,0)</f>
        <v>0</v>
      </c>
      <c r="BJ953" s="23" t="s">
        <v>85</v>
      </c>
      <c r="BK953" s="104">
        <f>ROUND(I953*H953,2)</f>
        <v>30039.42</v>
      </c>
      <c r="BL953" s="23" t="s">
        <v>218</v>
      </c>
      <c r="BM953" s="101" t="s">
        <v>1227</v>
      </c>
    </row>
    <row r="954" spans="2:65" s="1" customFormat="1" ht="67.2">
      <c r="B954" s="12"/>
      <c r="D954" s="105" t="s">
        <v>227</v>
      </c>
      <c r="F954" s="106" t="s">
        <v>1228</v>
      </c>
      <c r="I954" s="107"/>
      <c r="L954" s="12"/>
      <c r="M954" s="108"/>
      <c r="T954" s="111"/>
      <c r="AT954" s="23" t="s">
        <v>227</v>
      </c>
      <c r="AU954" s="23" t="s">
        <v>87</v>
      </c>
    </row>
    <row r="955" spans="2:65" s="113" customFormat="1">
      <c r="B955" s="119"/>
      <c r="D955" s="105" t="s">
        <v>365</v>
      </c>
      <c r="E955" s="135" t="s">
        <v>1</v>
      </c>
      <c r="F955" s="120" t="s">
        <v>1229</v>
      </c>
      <c r="H955" s="121">
        <v>148.71</v>
      </c>
      <c r="I955" s="128"/>
      <c r="L955" s="119"/>
      <c r="M955" s="129"/>
      <c r="T955" s="133"/>
      <c r="AT955" s="135" t="s">
        <v>365</v>
      </c>
      <c r="AU955" s="135" t="s">
        <v>87</v>
      </c>
      <c r="AV955" s="113" t="s">
        <v>87</v>
      </c>
      <c r="AW955" s="113" t="s">
        <v>33</v>
      </c>
      <c r="AX955" s="113" t="s">
        <v>85</v>
      </c>
      <c r="AY955" s="135" t="s">
        <v>211</v>
      </c>
    </row>
    <row r="956" spans="2:65" s="1" customFormat="1" ht="44.25" customHeight="1">
      <c r="B956" s="12"/>
      <c r="C956" s="71" t="s">
        <v>1230</v>
      </c>
      <c r="D956" s="71" t="s">
        <v>214</v>
      </c>
      <c r="E956" s="72" t="s">
        <v>1231</v>
      </c>
      <c r="F956" s="73" t="s">
        <v>1232</v>
      </c>
      <c r="G956" s="74" t="s">
        <v>279</v>
      </c>
      <c r="H956" s="75">
        <v>1630.9</v>
      </c>
      <c r="I956" s="90">
        <v>430</v>
      </c>
      <c r="J956" s="91">
        <f>ROUND(I956*H956,2)</f>
        <v>701287</v>
      </c>
      <c r="K956" s="92"/>
      <c r="L956" s="12"/>
      <c r="M956" s="93" t="s">
        <v>1</v>
      </c>
      <c r="N956" s="94" t="s">
        <v>42</v>
      </c>
      <c r="P956" s="95">
        <f>O956*H956</f>
        <v>0</v>
      </c>
      <c r="Q956" s="95">
        <v>1.8380000000000001E-2</v>
      </c>
      <c r="R956" s="95">
        <f>Q956*H956</f>
        <v>29.975942</v>
      </c>
      <c r="S956" s="95">
        <v>0</v>
      </c>
      <c r="T956" s="99">
        <f>S956*H956</f>
        <v>0</v>
      </c>
      <c r="AR956" s="101" t="s">
        <v>218</v>
      </c>
      <c r="AT956" s="101" t="s">
        <v>214</v>
      </c>
      <c r="AU956" s="101" t="s">
        <v>87</v>
      </c>
      <c r="AY956" s="23" t="s">
        <v>211</v>
      </c>
      <c r="BE956" s="104">
        <f>IF(N956="základní",J956,0)</f>
        <v>701287</v>
      </c>
      <c r="BF956" s="104">
        <f>IF(N956="snížená",J956,0)</f>
        <v>0</v>
      </c>
      <c r="BG956" s="104">
        <f>IF(N956="zákl. přenesená",J956,0)</f>
        <v>0</v>
      </c>
      <c r="BH956" s="104">
        <f>IF(N956="sníž. přenesená",J956,0)</f>
        <v>0</v>
      </c>
      <c r="BI956" s="104">
        <f>IF(N956="nulová",J956,0)</f>
        <v>0</v>
      </c>
      <c r="BJ956" s="23" t="s">
        <v>85</v>
      </c>
      <c r="BK956" s="104">
        <f>ROUND(I956*H956,2)</f>
        <v>701287</v>
      </c>
      <c r="BL956" s="23" t="s">
        <v>218</v>
      </c>
      <c r="BM956" s="101" t="s">
        <v>1233</v>
      </c>
    </row>
    <row r="957" spans="2:65" s="136" customFormat="1">
      <c r="B957" s="138"/>
      <c r="D957" s="105" t="s">
        <v>365</v>
      </c>
      <c r="E957" s="139" t="s">
        <v>1</v>
      </c>
      <c r="F957" s="140" t="s">
        <v>1234</v>
      </c>
      <c r="H957" s="139" t="s">
        <v>1</v>
      </c>
      <c r="I957" s="146"/>
      <c r="L957" s="138"/>
      <c r="M957" s="147"/>
      <c r="T957" s="150"/>
      <c r="AT957" s="139" t="s">
        <v>365</v>
      </c>
      <c r="AU957" s="139" t="s">
        <v>87</v>
      </c>
      <c r="AV957" s="136" t="s">
        <v>85</v>
      </c>
      <c r="AW957" s="136" t="s">
        <v>33</v>
      </c>
      <c r="AX957" s="136" t="s">
        <v>77</v>
      </c>
      <c r="AY957" s="139" t="s">
        <v>211</v>
      </c>
    </row>
    <row r="958" spans="2:65" s="136" customFormat="1">
      <c r="B958" s="138"/>
      <c r="D958" s="105" t="s">
        <v>365</v>
      </c>
      <c r="E958" s="139" t="s">
        <v>1</v>
      </c>
      <c r="F958" s="140" t="s">
        <v>866</v>
      </c>
      <c r="H958" s="139" t="s">
        <v>1</v>
      </c>
      <c r="I958" s="146"/>
      <c r="L958" s="138"/>
      <c r="M958" s="147"/>
      <c r="T958" s="150"/>
      <c r="AT958" s="139" t="s">
        <v>365</v>
      </c>
      <c r="AU958" s="139" t="s">
        <v>87</v>
      </c>
      <c r="AV958" s="136" t="s">
        <v>85</v>
      </c>
      <c r="AW958" s="136" t="s">
        <v>33</v>
      </c>
      <c r="AX958" s="136" t="s">
        <v>77</v>
      </c>
      <c r="AY958" s="139" t="s">
        <v>211</v>
      </c>
    </row>
    <row r="959" spans="2:65" s="113" customFormat="1">
      <c r="B959" s="119"/>
      <c r="D959" s="105" t="s">
        <v>365</v>
      </c>
      <c r="E959" s="135" t="s">
        <v>1</v>
      </c>
      <c r="F959" s="120" t="s">
        <v>1235</v>
      </c>
      <c r="H959" s="121">
        <v>272</v>
      </c>
      <c r="I959" s="128"/>
      <c r="L959" s="119"/>
      <c r="M959" s="129"/>
      <c r="T959" s="133"/>
      <c r="AT959" s="135" t="s">
        <v>365</v>
      </c>
      <c r="AU959" s="135" t="s">
        <v>87</v>
      </c>
      <c r="AV959" s="113" t="s">
        <v>87</v>
      </c>
      <c r="AW959" s="113" t="s">
        <v>33</v>
      </c>
      <c r="AX959" s="113" t="s">
        <v>77</v>
      </c>
      <c r="AY959" s="135" t="s">
        <v>211</v>
      </c>
    </row>
    <row r="960" spans="2:65" s="136" customFormat="1">
      <c r="B960" s="138"/>
      <c r="D960" s="105" t="s">
        <v>365</v>
      </c>
      <c r="E960" s="139" t="s">
        <v>1</v>
      </c>
      <c r="F960" s="140" t="s">
        <v>868</v>
      </c>
      <c r="H960" s="139" t="s">
        <v>1</v>
      </c>
      <c r="I960" s="146"/>
      <c r="L960" s="138"/>
      <c r="M960" s="147"/>
      <c r="T960" s="150"/>
      <c r="AT960" s="139" t="s">
        <v>365</v>
      </c>
      <c r="AU960" s="139" t="s">
        <v>87</v>
      </c>
      <c r="AV960" s="136" t="s">
        <v>85</v>
      </c>
      <c r="AW960" s="136" t="s">
        <v>33</v>
      </c>
      <c r="AX960" s="136" t="s">
        <v>77</v>
      </c>
      <c r="AY960" s="139" t="s">
        <v>211</v>
      </c>
    </row>
    <row r="961" spans="2:65" s="113" customFormat="1">
      <c r="B961" s="119"/>
      <c r="D961" s="105" t="s">
        <v>365</v>
      </c>
      <c r="E961" s="135" t="s">
        <v>1</v>
      </c>
      <c r="F961" s="120" t="s">
        <v>1236</v>
      </c>
      <c r="H961" s="121">
        <v>445.37</v>
      </c>
      <c r="I961" s="128"/>
      <c r="L961" s="119"/>
      <c r="M961" s="129"/>
      <c r="T961" s="133"/>
      <c r="AT961" s="135" t="s">
        <v>365</v>
      </c>
      <c r="AU961" s="135" t="s">
        <v>87</v>
      </c>
      <c r="AV961" s="113" t="s">
        <v>87</v>
      </c>
      <c r="AW961" s="113" t="s">
        <v>33</v>
      </c>
      <c r="AX961" s="113" t="s">
        <v>77</v>
      </c>
      <c r="AY961" s="135" t="s">
        <v>211</v>
      </c>
    </row>
    <row r="962" spans="2:65" s="136" customFormat="1">
      <c r="B962" s="138"/>
      <c r="D962" s="105" t="s">
        <v>365</v>
      </c>
      <c r="E962" s="139" t="s">
        <v>1</v>
      </c>
      <c r="F962" s="140" t="s">
        <v>870</v>
      </c>
      <c r="H962" s="139" t="s">
        <v>1</v>
      </c>
      <c r="I962" s="146"/>
      <c r="L962" s="138"/>
      <c r="M962" s="147"/>
      <c r="T962" s="150"/>
      <c r="AT962" s="139" t="s">
        <v>365</v>
      </c>
      <c r="AU962" s="139" t="s">
        <v>87</v>
      </c>
      <c r="AV962" s="136" t="s">
        <v>85</v>
      </c>
      <c r="AW962" s="136" t="s">
        <v>33</v>
      </c>
      <c r="AX962" s="136" t="s">
        <v>77</v>
      </c>
      <c r="AY962" s="139" t="s">
        <v>211</v>
      </c>
    </row>
    <row r="963" spans="2:65" s="113" customFormat="1">
      <c r="B963" s="119"/>
      <c r="D963" s="105" t="s">
        <v>365</v>
      </c>
      <c r="E963" s="135" t="s">
        <v>1</v>
      </c>
      <c r="F963" s="120" t="s">
        <v>1237</v>
      </c>
      <c r="H963" s="121">
        <v>445.4</v>
      </c>
      <c r="I963" s="128"/>
      <c r="L963" s="119"/>
      <c r="M963" s="129"/>
      <c r="T963" s="133"/>
      <c r="AT963" s="135" t="s">
        <v>365</v>
      </c>
      <c r="AU963" s="135" t="s">
        <v>87</v>
      </c>
      <c r="AV963" s="113" t="s">
        <v>87</v>
      </c>
      <c r="AW963" s="113" t="s">
        <v>33</v>
      </c>
      <c r="AX963" s="113" t="s">
        <v>77</v>
      </c>
      <c r="AY963" s="135" t="s">
        <v>211</v>
      </c>
    </row>
    <row r="964" spans="2:65" s="136" customFormat="1">
      <c r="B964" s="138"/>
      <c r="D964" s="105" t="s">
        <v>365</v>
      </c>
      <c r="E964" s="139" t="s">
        <v>1</v>
      </c>
      <c r="F964" s="140" t="s">
        <v>872</v>
      </c>
      <c r="H964" s="139" t="s">
        <v>1</v>
      </c>
      <c r="I964" s="146"/>
      <c r="L964" s="138"/>
      <c r="M964" s="147"/>
      <c r="T964" s="150"/>
      <c r="AT964" s="139" t="s">
        <v>365</v>
      </c>
      <c r="AU964" s="139" t="s">
        <v>87</v>
      </c>
      <c r="AV964" s="136" t="s">
        <v>85</v>
      </c>
      <c r="AW964" s="136" t="s">
        <v>33</v>
      </c>
      <c r="AX964" s="136" t="s">
        <v>77</v>
      </c>
      <c r="AY964" s="139" t="s">
        <v>211</v>
      </c>
    </row>
    <row r="965" spans="2:65" s="113" customFormat="1">
      <c r="B965" s="119"/>
      <c r="D965" s="105" t="s">
        <v>365</v>
      </c>
      <c r="E965" s="135" t="s">
        <v>1</v>
      </c>
      <c r="F965" s="120" t="s">
        <v>1238</v>
      </c>
      <c r="H965" s="121">
        <v>468.13</v>
      </c>
      <c r="I965" s="128"/>
      <c r="L965" s="119"/>
      <c r="M965" s="129"/>
      <c r="T965" s="133"/>
      <c r="AT965" s="135" t="s">
        <v>365</v>
      </c>
      <c r="AU965" s="135" t="s">
        <v>87</v>
      </c>
      <c r="AV965" s="113" t="s">
        <v>87</v>
      </c>
      <c r="AW965" s="113" t="s">
        <v>33</v>
      </c>
      <c r="AX965" s="113" t="s">
        <v>77</v>
      </c>
      <c r="AY965" s="135" t="s">
        <v>211</v>
      </c>
    </row>
    <row r="966" spans="2:65" s="137" customFormat="1">
      <c r="B966" s="141"/>
      <c r="D966" s="105" t="s">
        <v>365</v>
      </c>
      <c r="E966" s="142" t="s">
        <v>1</v>
      </c>
      <c r="F966" s="143" t="s">
        <v>368</v>
      </c>
      <c r="H966" s="144">
        <v>1630.9</v>
      </c>
      <c r="I966" s="148"/>
      <c r="L966" s="141"/>
      <c r="M966" s="149"/>
      <c r="T966" s="151"/>
      <c r="AT966" s="142" t="s">
        <v>365</v>
      </c>
      <c r="AU966" s="142" t="s">
        <v>87</v>
      </c>
      <c r="AV966" s="137" t="s">
        <v>218</v>
      </c>
      <c r="AW966" s="137" t="s">
        <v>33</v>
      </c>
      <c r="AX966" s="137" t="s">
        <v>85</v>
      </c>
      <c r="AY966" s="142" t="s">
        <v>211</v>
      </c>
    </row>
    <row r="967" spans="2:65" s="1" customFormat="1" ht="38.1" customHeight="1">
      <c r="B967" s="12"/>
      <c r="C967" s="71" t="s">
        <v>1239</v>
      </c>
      <c r="D967" s="71" t="s">
        <v>214</v>
      </c>
      <c r="E967" s="72" t="s">
        <v>1240</v>
      </c>
      <c r="F967" s="73" t="s">
        <v>1241</v>
      </c>
      <c r="G967" s="74" t="s">
        <v>279</v>
      </c>
      <c r="H967" s="75">
        <v>1217.07</v>
      </c>
      <c r="I967" s="90">
        <v>321</v>
      </c>
      <c r="J967" s="91">
        <f>ROUND(I967*H967,2)</f>
        <v>390679.47</v>
      </c>
      <c r="K967" s="92"/>
      <c r="L967" s="12"/>
      <c r="M967" s="93" t="s">
        <v>1</v>
      </c>
      <c r="N967" s="94" t="s">
        <v>42</v>
      </c>
      <c r="P967" s="95">
        <f>O967*H967</f>
        <v>0</v>
      </c>
      <c r="Q967" s="95">
        <v>1.54E-2</v>
      </c>
      <c r="R967" s="95">
        <f>Q967*H967</f>
        <v>18.742878000000001</v>
      </c>
      <c r="S967" s="95">
        <v>0</v>
      </c>
      <c r="T967" s="99">
        <f>S967*H967</f>
        <v>0</v>
      </c>
      <c r="AR967" s="101" t="s">
        <v>218</v>
      </c>
      <c r="AT967" s="101" t="s">
        <v>214</v>
      </c>
      <c r="AU967" s="101" t="s">
        <v>87</v>
      </c>
      <c r="AY967" s="23" t="s">
        <v>211</v>
      </c>
      <c r="BE967" s="104">
        <f>IF(N967="základní",J967,0)</f>
        <v>390679.47</v>
      </c>
      <c r="BF967" s="104">
        <f>IF(N967="snížená",J967,0)</f>
        <v>0</v>
      </c>
      <c r="BG967" s="104">
        <f>IF(N967="zákl. přenesená",J967,0)</f>
        <v>0</v>
      </c>
      <c r="BH967" s="104">
        <f>IF(N967="sníž. přenesená",J967,0)</f>
        <v>0</v>
      </c>
      <c r="BI967" s="104">
        <f>IF(N967="nulová",J967,0)</f>
        <v>0</v>
      </c>
      <c r="BJ967" s="23" t="s">
        <v>85</v>
      </c>
      <c r="BK967" s="104">
        <f>ROUND(I967*H967,2)</f>
        <v>390679.47</v>
      </c>
      <c r="BL967" s="23" t="s">
        <v>218</v>
      </c>
      <c r="BM967" s="101" t="s">
        <v>1242</v>
      </c>
    </row>
    <row r="968" spans="2:65" s="136" customFormat="1">
      <c r="B968" s="138"/>
      <c r="D968" s="105" t="s">
        <v>365</v>
      </c>
      <c r="E968" s="139" t="s">
        <v>1</v>
      </c>
      <c r="F968" s="140" t="s">
        <v>1243</v>
      </c>
      <c r="H968" s="139" t="s">
        <v>1</v>
      </c>
      <c r="I968" s="146"/>
      <c r="L968" s="138"/>
      <c r="M968" s="147"/>
      <c r="T968" s="150"/>
      <c r="AT968" s="139" t="s">
        <v>365</v>
      </c>
      <c r="AU968" s="139" t="s">
        <v>87</v>
      </c>
      <c r="AV968" s="136" t="s">
        <v>85</v>
      </c>
      <c r="AW968" s="136" t="s">
        <v>33</v>
      </c>
      <c r="AX968" s="136" t="s">
        <v>77</v>
      </c>
      <c r="AY968" s="139" t="s">
        <v>211</v>
      </c>
    </row>
    <row r="969" spans="2:65" s="136" customFormat="1">
      <c r="B969" s="138"/>
      <c r="D969" s="105" t="s">
        <v>365</v>
      </c>
      <c r="E969" s="139" t="s">
        <v>1</v>
      </c>
      <c r="F969" s="140" t="s">
        <v>669</v>
      </c>
      <c r="H969" s="139" t="s">
        <v>1</v>
      </c>
      <c r="I969" s="146"/>
      <c r="L969" s="138"/>
      <c r="M969" s="147"/>
      <c r="T969" s="150"/>
      <c r="AT969" s="139" t="s">
        <v>365</v>
      </c>
      <c r="AU969" s="139" t="s">
        <v>87</v>
      </c>
      <c r="AV969" s="136" t="s">
        <v>85</v>
      </c>
      <c r="AW969" s="136" t="s">
        <v>33</v>
      </c>
      <c r="AX969" s="136" t="s">
        <v>77</v>
      </c>
      <c r="AY969" s="139" t="s">
        <v>211</v>
      </c>
    </row>
    <row r="970" spans="2:65" s="113" customFormat="1">
      <c r="B970" s="119"/>
      <c r="D970" s="105" t="s">
        <v>365</v>
      </c>
      <c r="E970" s="135" t="s">
        <v>310</v>
      </c>
      <c r="F970" s="120" t="s">
        <v>1244</v>
      </c>
      <c r="H970" s="121">
        <v>1217.07</v>
      </c>
      <c r="I970" s="128"/>
      <c r="L970" s="119"/>
      <c r="M970" s="129"/>
      <c r="T970" s="133"/>
      <c r="AT970" s="135" t="s">
        <v>365</v>
      </c>
      <c r="AU970" s="135" t="s">
        <v>87</v>
      </c>
      <c r="AV970" s="113" t="s">
        <v>87</v>
      </c>
      <c r="AW970" s="113" t="s">
        <v>33</v>
      </c>
      <c r="AX970" s="113" t="s">
        <v>77</v>
      </c>
      <c r="AY970" s="135" t="s">
        <v>211</v>
      </c>
    </row>
    <row r="971" spans="2:65" s="154" customFormat="1">
      <c r="B971" s="156"/>
      <c r="D971" s="105" t="s">
        <v>365</v>
      </c>
      <c r="E971" s="157" t="s">
        <v>1</v>
      </c>
      <c r="F971" s="158" t="s">
        <v>741</v>
      </c>
      <c r="H971" s="159">
        <v>1217.07</v>
      </c>
      <c r="I971" s="160"/>
      <c r="L971" s="156"/>
      <c r="M971" s="161"/>
      <c r="T971" s="162"/>
      <c r="AT971" s="157" t="s">
        <v>365</v>
      </c>
      <c r="AU971" s="157" t="s">
        <v>87</v>
      </c>
      <c r="AV971" s="154" t="s">
        <v>137</v>
      </c>
      <c r="AW971" s="154" t="s">
        <v>33</v>
      </c>
      <c r="AX971" s="154" t="s">
        <v>77</v>
      </c>
      <c r="AY971" s="157" t="s">
        <v>211</v>
      </c>
    </row>
    <row r="972" spans="2:65" s="137" customFormat="1">
      <c r="B972" s="141"/>
      <c r="D972" s="105" t="s">
        <v>365</v>
      </c>
      <c r="E972" s="142" t="s">
        <v>1</v>
      </c>
      <c r="F972" s="143" t="s">
        <v>368</v>
      </c>
      <c r="H972" s="144">
        <v>1217.07</v>
      </c>
      <c r="I972" s="148"/>
      <c r="L972" s="141"/>
      <c r="M972" s="149"/>
      <c r="T972" s="151"/>
      <c r="AT972" s="142" t="s">
        <v>365</v>
      </c>
      <c r="AU972" s="142" t="s">
        <v>87</v>
      </c>
      <c r="AV972" s="137" t="s">
        <v>218</v>
      </c>
      <c r="AW972" s="137" t="s">
        <v>33</v>
      </c>
      <c r="AX972" s="137" t="s">
        <v>85</v>
      </c>
      <c r="AY972" s="142" t="s">
        <v>211</v>
      </c>
    </row>
    <row r="973" spans="2:65" s="1" customFormat="1" ht="38.1" customHeight="1">
      <c r="B973" s="12"/>
      <c r="C973" s="71" t="s">
        <v>1245</v>
      </c>
      <c r="D973" s="71" t="s">
        <v>214</v>
      </c>
      <c r="E973" s="72" t="s">
        <v>1246</v>
      </c>
      <c r="F973" s="73" t="s">
        <v>1247</v>
      </c>
      <c r="G973" s="74" t="s">
        <v>279</v>
      </c>
      <c r="H973" s="75">
        <v>9648.2800000000007</v>
      </c>
      <c r="I973" s="90">
        <v>377</v>
      </c>
      <c r="J973" s="91">
        <f>ROUND(I973*H973,2)</f>
        <v>3637401.56</v>
      </c>
      <c r="K973" s="92"/>
      <c r="L973" s="12"/>
      <c r="M973" s="93" t="s">
        <v>1</v>
      </c>
      <c r="N973" s="94" t="s">
        <v>42</v>
      </c>
      <c r="P973" s="95">
        <f>O973*H973</f>
        <v>0</v>
      </c>
      <c r="Q973" s="95">
        <v>1.103E-2</v>
      </c>
      <c r="R973" s="95">
        <f>Q973*H973</f>
        <v>106.42052839999999</v>
      </c>
      <c r="S973" s="95">
        <v>0</v>
      </c>
      <c r="T973" s="99">
        <f>S973*H973</f>
        <v>0</v>
      </c>
      <c r="AR973" s="101" t="s">
        <v>218</v>
      </c>
      <c r="AT973" s="101" t="s">
        <v>214</v>
      </c>
      <c r="AU973" s="101" t="s">
        <v>87</v>
      </c>
      <c r="AY973" s="23" t="s">
        <v>211</v>
      </c>
      <c r="BE973" s="104">
        <f>IF(N973="základní",J973,0)</f>
        <v>3637401.56</v>
      </c>
      <c r="BF973" s="104">
        <f>IF(N973="snížená",J973,0)</f>
        <v>0</v>
      </c>
      <c r="BG973" s="104">
        <f>IF(N973="zákl. přenesená",J973,0)</f>
        <v>0</v>
      </c>
      <c r="BH973" s="104">
        <f>IF(N973="sníž. přenesená",J973,0)</f>
        <v>0</v>
      </c>
      <c r="BI973" s="104">
        <f>IF(N973="nulová",J973,0)</f>
        <v>0</v>
      </c>
      <c r="BJ973" s="23" t="s">
        <v>85</v>
      </c>
      <c r="BK973" s="104">
        <f>ROUND(I973*H973,2)</f>
        <v>3637401.56</v>
      </c>
      <c r="BL973" s="23" t="s">
        <v>218</v>
      </c>
      <c r="BM973" s="101" t="s">
        <v>1248</v>
      </c>
    </row>
    <row r="974" spans="2:65" s="136" customFormat="1">
      <c r="B974" s="138"/>
      <c r="D974" s="105" t="s">
        <v>365</v>
      </c>
      <c r="E974" s="139" t="s">
        <v>1</v>
      </c>
      <c r="F974" s="140" t="s">
        <v>1249</v>
      </c>
      <c r="H974" s="139" t="s">
        <v>1</v>
      </c>
      <c r="I974" s="146"/>
      <c r="L974" s="138"/>
      <c r="M974" s="147"/>
      <c r="T974" s="150"/>
      <c r="AT974" s="139" t="s">
        <v>365</v>
      </c>
      <c r="AU974" s="139" t="s">
        <v>87</v>
      </c>
      <c r="AV974" s="136" t="s">
        <v>85</v>
      </c>
      <c r="AW974" s="136" t="s">
        <v>33</v>
      </c>
      <c r="AX974" s="136" t="s">
        <v>77</v>
      </c>
      <c r="AY974" s="139" t="s">
        <v>211</v>
      </c>
    </row>
    <row r="975" spans="2:65" s="136" customFormat="1">
      <c r="B975" s="138"/>
      <c r="D975" s="105" t="s">
        <v>365</v>
      </c>
      <c r="E975" s="139" t="s">
        <v>1</v>
      </c>
      <c r="F975" s="140" t="s">
        <v>669</v>
      </c>
      <c r="H975" s="139" t="s">
        <v>1</v>
      </c>
      <c r="I975" s="146"/>
      <c r="L975" s="138"/>
      <c r="M975" s="147"/>
      <c r="T975" s="150"/>
      <c r="AT975" s="139" t="s">
        <v>365</v>
      </c>
      <c r="AU975" s="139" t="s">
        <v>87</v>
      </c>
      <c r="AV975" s="136" t="s">
        <v>85</v>
      </c>
      <c r="AW975" s="136" t="s">
        <v>33</v>
      </c>
      <c r="AX975" s="136" t="s">
        <v>77</v>
      </c>
      <c r="AY975" s="139" t="s">
        <v>211</v>
      </c>
    </row>
    <row r="976" spans="2:65" s="113" customFormat="1">
      <c r="B976" s="119"/>
      <c r="D976" s="105" t="s">
        <v>365</v>
      </c>
      <c r="E976" s="135" t="s">
        <v>1</v>
      </c>
      <c r="F976" s="120" t="s">
        <v>1250</v>
      </c>
      <c r="H976" s="121">
        <v>636.98</v>
      </c>
      <c r="I976" s="128"/>
      <c r="L976" s="119"/>
      <c r="M976" s="129"/>
      <c r="T976" s="133"/>
      <c r="AT976" s="135" t="s">
        <v>365</v>
      </c>
      <c r="AU976" s="135" t="s">
        <v>87</v>
      </c>
      <c r="AV976" s="113" t="s">
        <v>87</v>
      </c>
      <c r="AW976" s="113" t="s">
        <v>33</v>
      </c>
      <c r="AX976" s="113" t="s">
        <v>77</v>
      </c>
      <c r="AY976" s="135" t="s">
        <v>211</v>
      </c>
    </row>
    <row r="977" spans="2:51" s="136" customFormat="1">
      <c r="B977" s="138"/>
      <c r="D977" s="105" t="s">
        <v>365</v>
      </c>
      <c r="E977" s="139" t="s">
        <v>1</v>
      </c>
      <c r="F977" s="140" t="s">
        <v>866</v>
      </c>
      <c r="H977" s="139" t="s">
        <v>1</v>
      </c>
      <c r="I977" s="146"/>
      <c r="L977" s="138"/>
      <c r="M977" s="147"/>
      <c r="T977" s="150"/>
      <c r="AT977" s="139" t="s">
        <v>365</v>
      </c>
      <c r="AU977" s="139" t="s">
        <v>87</v>
      </c>
      <c r="AV977" s="136" t="s">
        <v>85</v>
      </c>
      <c r="AW977" s="136" t="s">
        <v>33</v>
      </c>
      <c r="AX977" s="136" t="s">
        <v>77</v>
      </c>
      <c r="AY977" s="139" t="s">
        <v>211</v>
      </c>
    </row>
    <row r="978" spans="2:51" s="113" customFormat="1">
      <c r="B978" s="119"/>
      <c r="D978" s="105" t="s">
        <v>365</v>
      </c>
      <c r="E978" s="135" t="s">
        <v>1</v>
      </c>
      <c r="F978" s="120" t="s">
        <v>1251</v>
      </c>
      <c r="H978" s="121">
        <v>348</v>
      </c>
      <c r="I978" s="128"/>
      <c r="L978" s="119"/>
      <c r="M978" s="129"/>
      <c r="T978" s="133"/>
      <c r="AT978" s="135" t="s">
        <v>365</v>
      </c>
      <c r="AU978" s="135" t="s">
        <v>87</v>
      </c>
      <c r="AV978" s="113" t="s">
        <v>87</v>
      </c>
      <c r="AW978" s="113" t="s">
        <v>33</v>
      </c>
      <c r="AX978" s="113" t="s">
        <v>77</v>
      </c>
      <c r="AY978" s="135" t="s">
        <v>211</v>
      </c>
    </row>
    <row r="979" spans="2:51" s="136" customFormat="1">
      <c r="B979" s="138"/>
      <c r="D979" s="105" t="s">
        <v>365</v>
      </c>
      <c r="E979" s="139" t="s">
        <v>1</v>
      </c>
      <c r="F979" s="140" t="s">
        <v>868</v>
      </c>
      <c r="H979" s="139" t="s">
        <v>1</v>
      </c>
      <c r="I979" s="146"/>
      <c r="L979" s="138"/>
      <c r="M979" s="147"/>
      <c r="T979" s="150"/>
      <c r="AT979" s="139" t="s">
        <v>365</v>
      </c>
      <c r="AU979" s="139" t="s">
        <v>87</v>
      </c>
      <c r="AV979" s="136" t="s">
        <v>85</v>
      </c>
      <c r="AW979" s="136" t="s">
        <v>33</v>
      </c>
      <c r="AX979" s="136" t="s">
        <v>77</v>
      </c>
      <c r="AY979" s="139" t="s">
        <v>211</v>
      </c>
    </row>
    <row r="980" spans="2:51" s="113" customFormat="1">
      <c r="B980" s="119"/>
      <c r="D980" s="105" t="s">
        <v>365</v>
      </c>
      <c r="E980" s="135" t="s">
        <v>1</v>
      </c>
      <c r="F980" s="120" t="s">
        <v>1252</v>
      </c>
      <c r="H980" s="121">
        <v>288.8</v>
      </c>
      <c r="I980" s="128"/>
      <c r="L980" s="119"/>
      <c r="M980" s="129"/>
      <c r="T980" s="133"/>
      <c r="AT980" s="135" t="s">
        <v>365</v>
      </c>
      <c r="AU980" s="135" t="s">
        <v>87</v>
      </c>
      <c r="AV980" s="113" t="s">
        <v>87</v>
      </c>
      <c r="AW980" s="113" t="s">
        <v>33</v>
      </c>
      <c r="AX980" s="113" t="s">
        <v>77</v>
      </c>
      <c r="AY980" s="135" t="s">
        <v>211</v>
      </c>
    </row>
    <row r="981" spans="2:51" s="136" customFormat="1">
      <c r="B981" s="138"/>
      <c r="D981" s="105" t="s">
        <v>365</v>
      </c>
      <c r="E981" s="139" t="s">
        <v>1</v>
      </c>
      <c r="F981" s="140" t="s">
        <v>870</v>
      </c>
      <c r="H981" s="139" t="s">
        <v>1</v>
      </c>
      <c r="I981" s="146"/>
      <c r="L981" s="138"/>
      <c r="M981" s="147"/>
      <c r="T981" s="150"/>
      <c r="AT981" s="139" t="s">
        <v>365</v>
      </c>
      <c r="AU981" s="139" t="s">
        <v>87</v>
      </c>
      <c r="AV981" s="136" t="s">
        <v>85</v>
      </c>
      <c r="AW981" s="136" t="s">
        <v>33</v>
      </c>
      <c r="AX981" s="136" t="s">
        <v>77</v>
      </c>
      <c r="AY981" s="139" t="s">
        <v>211</v>
      </c>
    </row>
    <row r="982" spans="2:51" s="113" customFormat="1">
      <c r="B982" s="119"/>
      <c r="D982" s="105" t="s">
        <v>365</v>
      </c>
      <c r="E982" s="135" t="s">
        <v>1</v>
      </c>
      <c r="F982" s="120" t="s">
        <v>1253</v>
      </c>
      <c r="H982" s="121">
        <v>314.12</v>
      </c>
      <c r="I982" s="128"/>
      <c r="L982" s="119"/>
      <c r="M982" s="129"/>
      <c r="T982" s="133"/>
      <c r="AT982" s="135" t="s">
        <v>365</v>
      </c>
      <c r="AU982" s="135" t="s">
        <v>87</v>
      </c>
      <c r="AV982" s="113" t="s">
        <v>87</v>
      </c>
      <c r="AW982" s="113" t="s">
        <v>33</v>
      </c>
      <c r="AX982" s="113" t="s">
        <v>77</v>
      </c>
      <c r="AY982" s="135" t="s">
        <v>211</v>
      </c>
    </row>
    <row r="983" spans="2:51" s="136" customFormat="1">
      <c r="B983" s="138"/>
      <c r="D983" s="105" t="s">
        <v>365</v>
      </c>
      <c r="E983" s="139" t="s">
        <v>1</v>
      </c>
      <c r="F983" s="140" t="s">
        <v>872</v>
      </c>
      <c r="H983" s="139" t="s">
        <v>1</v>
      </c>
      <c r="I983" s="146"/>
      <c r="L983" s="138"/>
      <c r="M983" s="147"/>
      <c r="T983" s="150"/>
      <c r="AT983" s="139" t="s">
        <v>365</v>
      </c>
      <c r="AU983" s="139" t="s">
        <v>87</v>
      </c>
      <c r="AV983" s="136" t="s">
        <v>85</v>
      </c>
      <c r="AW983" s="136" t="s">
        <v>33</v>
      </c>
      <c r="AX983" s="136" t="s">
        <v>77</v>
      </c>
      <c r="AY983" s="139" t="s">
        <v>211</v>
      </c>
    </row>
    <row r="984" spans="2:51" s="113" customFormat="1">
      <c r="B984" s="119"/>
      <c r="D984" s="105" t="s">
        <v>365</v>
      </c>
      <c r="E984" s="135" t="s">
        <v>1</v>
      </c>
      <c r="F984" s="120" t="s">
        <v>1254</v>
      </c>
      <c r="H984" s="121">
        <v>281.63</v>
      </c>
      <c r="I984" s="128"/>
      <c r="L984" s="119"/>
      <c r="M984" s="129"/>
      <c r="T984" s="133"/>
      <c r="AT984" s="135" t="s">
        <v>365</v>
      </c>
      <c r="AU984" s="135" t="s">
        <v>87</v>
      </c>
      <c r="AV984" s="113" t="s">
        <v>87</v>
      </c>
      <c r="AW984" s="113" t="s">
        <v>33</v>
      </c>
      <c r="AX984" s="113" t="s">
        <v>77</v>
      </c>
      <c r="AY984" s="135" t="s">
        <v>211</v>
      </c>
    </row>
    <row r="985" spans="2:51" s="136" customFormat="1">
      <c r="B985" s="138"/>
      <c r="D985" s="105" t="s">
        <v>365</v>
      </c>
      <c r="E985" s="139" t="s">
        <v>1</v>
      </c>
      <c r="F985" s="140" t="s">
        <v>1255</v>
      </c>
      <c r="H985" s="139" t="s">
        <v>1</v>
      </c>
      <c r="I985" s="146"/>
      <c r="L985" s="138"/>
      <c r="M985" s="147"/>
      <c r="T985" s="150"/>
      <c r="AT985" s="139" t="s">
        <v>365</v>
      </c>
      <c r="AU985" s="139" t="s">
        <v>87</v>
      </c>
      <c r="AV985" s="136" t="s">
        <v>85</v>
      </c>
      <c r="AW985" s="136" t="s">
        <v>33</v>
      </c>
      <c r="AX985" s="136" t="s">
        <v>77</v>
      </c>
      <c r="AY985" s="139" t="s">
        <v>211</v>
      </c>
    </row>
    <row r="986" spans="2:51" s="136" customFormat="1">
      <c r="B986" s="138"/>
      <c r="D986" s="105" t="s">
        <v>365</v>
      </c>
      <c r="E986" s="139" t="s">
        <v>1</v>
      </c>
      <c r="F986" s="140" t="s">
        <v>866</v>
      </c>
      <c r="H986" s="139" t="s">
        <v>1</v>
      </c>
      <c r="I986" s="146"/>
      <c r="L986" s="138"/>
      <c r="M986" s="147"/>
      <c r="T986" s="150"/>
      <c r="AT986" s="139" t="s">
        <v>365</v>
      </c>
      <c r="AU986" s="139" t="s">
        <v>87</v>
      </c>
      <c r="AV986" s="136" t="s">
        <v>85</v>
      </c>
      <c r="AW986" s="136" t="s">
        <v>33</v>
      </c>
      <c r="AX986" s="136" t="s">
        <v>77</v>
      </c>
      <c r="AY986" s="139" t="s">
        <v>211</v>
      </c>
    </row>
    <row r="987" spans="2:51" s="113" customFormat="1">
      <c r="B987" s="119"/>
      <c r="D987" s="105" t="s">
        <v>365</v>
      </c>
      <c r="E987" s="135" t="s">
        <v>1</v>
      </c>
      <c r="F987" s="120" t="s">
        <v>1256</v>
      </c>
      <c r="H987" s="121">
        <v>2107.85</v>
      </c>
      <c r="I987" s="128"/>
      <c r="L987" s="119"/>
      <c r="M987" s="129"/>
      <c r="T987" s="133"/>
      <c r="AT987" s="135" t="s">
        <v>365</v>
      </c>
      <c r="AU987" s="135" t="s">
        <v>87</v>
      </c>
      <c r="AV987" s="113" t="s">
        <v>87</v>
      </c>
      <c r="AW987" s="113" t="s">
        <v>33</v>
      </c>
      <c r="AX987" s="113" t="s">
        <v>77</v>
      </c>
      <c r="AY987" s="135" t="s">
        <v>211</v>
      </c>
    </row>
    <row r="988" spans="2:51" s="136" customFormat="1">
      <c r="B988" s="138"/>
      <c r="D988" s="105" t="s">
        <v>365</v>
      </c>
      <c r="E988" s="139" t="s">
        <v>1</v>
      </c>
      <c r="F988" s="140" t="s">
        <v>868</v>
      </c>
      <c r="H988" s="139" t="s">
        <v>1</v>
      </c>
      <c r="I988" s="146"/>
      <c r="L988" s="138"/>
      <c r="M988" s="147"/>
      <c r="T988" s="150"/>
      <c r="AT988" s="139" t="s">
        <v>365</v>
      </c>
      <c r="AU988" s="139" t="s">
        <v>87</v>
      </c>
      <c r="AV988" s="136" t="s">
        <v>85</v>
      </c>
      <c r="AW988" s="136" t="s">
        <v>33</v>
      </c>
      <c r="AX988" s="136" t="s">
        <v>77</v>
      </c>
      <c r="AY988" s="139" t="s">
        <v>211</v>
      </c>
    </row>
    <row r="989" spans="2:51" s="113" customFormat="1">
      <c r="B989" s="119"/>
      <c r="D989" s="105" t="s">
        <v>365</v>
      </c>
      <c r="E989" s="135" t="s">
        <v>1</v>
      </c>
      <c r="F989" s="120" t="s">
        <v>1257</v>
      </c>
      <c r="H989" s="121">
        <v>1987.18</v>
      </c>
      <c r="I989" s="128"/>
      <c r="L989" s="119"/>
      <c r="M989" s="129"/>
      <c r="T989" s="133"/>
      <c r="AT989" s="135" t="s">
        <v>365</v>
      </c>
      <c r="AU989" s="135" t="s">
        <v>87</v>
      </c>
      <c r="AV989" s="113" t="s">
        <v>87</v>
      </c>
      <c r="AW989" s="113" t="s">
        <v>33</v>
      </c>
      <c r="AX989" s="113" t="s">
        <v>77</v>
      </c>
      <c r="AY989" s="135" t="s">
        <v>211</v>
      </c>
    </row>
    <row r="990" spans="2:51" s="136" customFormat="1">
      <c r="B990" s="138"/>
      <c r="D990" s="105" t="s">
        <v>365</v>
      </c>
      <c r="E990" s="139" t="s">
        <v>1</v>
      </c>
      <c r="F990" s="140" t="s">
        <v>870</v>
      </c>
      <c r="H990" s="139" t="s">
        <v>1</v>
      </c>
      <c r="I990" s="146"/>
      <c r="L990" s="138"/>
      <c r="M990" s="147"/>
      <c r="T990" s="150"/>
      <c r="AT990" s="139" t="s">
        <v>365</v>
      </c>
      <c r="AU990" s="139" t="s">
        <v>87</v>
      </c>
      <c r="AV990" s="136" t="s">
        <v>85</v>
      </c>
      <c r="AW990" s="136" t="s">
        <v>33</v>
      </c>
      <c r="AX990" s="136" t="s">
        <v>77</v>
      </c>
      <c r="AY990" s="139" t="s">
        <v>211</v>
      </c>
    </row>
    <row r="991" spans="2:51" s="113" customFormat="1">
      <c r="B991" s="119"/>
      <c r="D991" s="105" t="s">
        <v>365</v>
      </c>
      <c r="E991" s="135" t="s">
        <v>1</v>
      </c>
      <c r="F991" s="120" t="s">
        <v>1258</v>
      </c>
      <c r="H991" s="121">
        <v>1584.52</v>
      </c>
      <c r="I991" s="128"/>
      <c r="L991" s="119"/>
      <c r="M991" s="129"/>
      <c r="T991" s="133"/>
      <c r="AT991" s="135" t="s">
        <v>365</v>
      </c>
      <c r="AU991" s="135" t="s">
        <v>87</v>
      </c>
      <c r="AV991" s="113" t="s">
        <v>87</v>
      </c>
      <c r="AW991" s="113" t="s">
        <v>33</v>
      </c>
      <c r="AX991" s="113" t="s">
        <v>77</v>
      </c>
      <c r="AY991" s="135" t="s">
        <v>211</v>
      </c>
    </row>
    <row r="992" spans="2:51" s="136" customFormat="1">
      <c r="B992" s="138"/>
      <c r="D992" s="105" t="s">
        <v>365</v>
      </c>
      <c r="E992" s="139" t="s">
        <v>1</v>
      </c>
      <c r="F992" s="140" t="s">
        <v>872</v>
      </c>
      <c r="H992" s="139" t="s">
        <v>1</v>
      </c>
      <c r="I992" s="146"/>
      <c r="L992" s="138"/>
      <c r="M992" s="147"/>
      <c r="T992" s="150"/>
      <c r="AT992" s="139" t="s">
        <v>365</v>
      </c>
      <c r="AU992" s="139" t="s">
        <v>87</v>
      </c>
      <c r="AV992" s="136" t="s">
        <v>85</v>
      </c>
      <c r="AW992" s="136" t="s">
        <v>33</v>
      </c>
      <c r="AX992" s="136" t="s">
        <v>77</v>
      </c>
      <c r="AY992" s="139" t="s">
        <v>211</v>
      </c>
    </row>
    <row r="993" spans="2:65" s="113" customFormat="1">
      <c r="B993" s="119"/>
      <c r="D993" s="105" t="s">
        <v>365</v>
      </c>
      <c r="E993" s="135" t="s">
        <v>1</v>
      </c>
      <c r="F993" s="120" t="s">
        <v>1259</v>
      </c>
      <c r="H993" s="121">
        <v>2099.1999999999998</v>
      </c>
      <c r="I993" s="128"/>
      <c r="L993" s="119"/>
      <c r="M993" s="129"/>
      <c r="T993" s="133"/>
      <c r="AT993" s="135" t="s">
        <v>365</v>
      </c>
      <c r="AU993" s="135" t="s">
        <v>87</v>
      </c>
      <c r="AV993" s="113" t="s">
        <v>87</v>
      </c>
      <c r="AW993" s="113" t="s">
        <v>33</v>
      </c>
      <c r="AX993" s="113" t="s">
        <v>77</v>
      </c>
      <c r="AY993" s="135" t="s">
        <v>211</v>
      </c>
    </row>
    <row r="994" spans="2:65" s="137" customFormat="1">
      <c r="B994" s="141"/>
      <c r="D994" s="105" t="s">
        <v>365</v>
      </c>
      <c r="E994" s="142" t="s">
        <v>1</v>
      </c>
      <c r="F994" s="143" t="s">
        <v>368</v>
      </c>
      <c r="H994" s="144">
        <v>9648.2800000000007</v>
      </c>
      <c r="I994" s="148"/>
      <c r="L994" s="141"/>
      <c r="M994" s="149"/>
      <c r="T994" s="151"/>
      <c r="AT994" s="142" t="s">
        <v>365</v>
      </c>
      <c r="AU994" s="142" t="s">
        <v>87</v>
      </c>
      <c r="AV994" s="137" t="s">
        <v>218</v>
      </c>
      <c r="AW994" s="137" t="s">
        <v>33</v>
      </c>
      <c r="AX994" s="137" t="s">
        <v>85</v>
      </c>
      <c r="AY994" s="142" t="s">
        <v>211</v>
      </c>
    </row>
    <row r="995" spans="2:65" s="1" customFormat="1" ht="49.35" customHeight="1">
      <c r="B995" s="12"/>
      <c r="C995" s="71" t="s">
        <v>1260</v>
      </c>
      <c r="D995" s="71" t="s">
        <v>214</v>
      </c>
      <c r="E995" s="72" t="s">
        <v>1261</v>
      </c>
      <c r="F995" s="73" t="s">
        <v>1262</v>
      </c>
      <c r="G995" s="74" t="s">
        <v>279</v>
      </c>
      <c r="H995" s="75">
        <v>112.70699999999999</v>
      </c>
      <c r="I995" s="90">
        <v>278</v>
      </c>
      <c r="J995" s="91">
        <f>ROUND(I995*H995,2)</f>
        <v>31332.55</v>
      </c>
      <c r="K995" s="92"/>
      <c r="L995" s="12"/>
      <c r="M995" s="93" t="s">
        <v>1</v>
      </c>
      <c r="N995" s="94" t="s">
        <v>42</v>
      </c>
      <c r="P995" s="95">
        <f>O995*H995</f>
        <v>0</v>
      </c>
      <c r="Q995" s="95">
        <v>1.8E-3</v>
      </c>
      <c r="R995" s="95">
        <f>Q995*H995</f>
        <v>0.20287259999999999</v>
      </c>
      <c r="S995" s="95">
        <v>0</v>
      </c>
      <c r="T995" s="99">
        <f>S995*H995</f>
        <v>0</v>
      </c>
      <c r="AR995" s="101" t="s">
        <v>218</v>
      </c>
      <c r="AT995" s="101" t="s">
        <v>214</v>
      </c>
      <c r="AU995" s="101" t="s">
        <v>87</v>
      </c>
      <c r="AY995" s="23" t="s">
        <v>211</v>
      </c>
      <c r="BE995" s="104">
        <f>IF(N995="základní",J995,0)</f>
        <v>31332.55</v>
      </c>
      <c r="BF995" s="104">
        <f>IF(N995="snížená",J995,0)</f>
        <v>0</v>
      </c>
      <c r="BG995" s="104">
        <f>IF(N995="zákl. přenesená",J995,0)</f>
        <v>0</v>
      </c>
      <c r="BH995" s="104">
        <f>IF(N995="sníž. přenesená",J995,0)</f>
        <v>0</v>
      </c>
      <c r="BI995" s="104">
        <f>IF(N995="nulová",J995,0)</f>
        <v>0</v>
      </c>
      <c r="BJ995" s="23" t="s">
        <v>85</v>
      </c>
      <c r="BK995" s="104">
        <f>ROUND(I995*H995,2)</f>
        <v>31332.55</v>
      </c>
      <c r="BL995" s="23" t="s">
        <v>218</v>
      </c>
      <c r="BM995" s="101" t="s">
        <v>1263</v>
      </c>
    </row>
    <row r="996" spans="2:65" s="136" customFormat="1">
      <c r="B996" s="138"/>
      <c r="D996" s="105" t="s">
        <v>365</v>
      </c>
      <c r="E996" s="139" t="s">
        <v>1</v>
      </c>
      <c r="F996" s="140" t="s">
        <v>1264</v>
      </c>
      <c r="H996" s="139" t="s">
        <v>1</v>
      </c>
      <c r="I996" s="146"/>
      <c r="L996" s="138"/>
      <c r="M996" s="147"/>
      <c r="T996" s="150"/>
      <c r="AT996" s="139" t="s">
        <v>365</v>
      </c>
      <c r="AU996" s="139" t="s">
        <v>87</v>
      </c>
      <c r="AV996" s="136" t="s">
        <v>85</v>
      </c>
      <c r="AW996" s="136" t="s">
        <v>33</v>
      </c>
      <c r="AX996" s="136" t="s">
        <v>77</v>
      </c>
      <c r="AY996" s="139" t="s">
        <v>211</v>
      </c>
    </row>
    <row r="997" spans="2:65" s="113" customFormat="1">
      <c r="B997" s="119"/>
      <c r="D997" s="105" t="s">
        <v>365</v>
      </c>
      <c r="E997" s="135" t="s">
        <v>1</v>
      </c>
      <c r="F997" s="120" t="s">
        <v>316</v>
      </c>
      <c r="H997" s="121">
        <v>71.016000000000005</v>
      </c>
      <c r="I997" s="128"/>
      <c r="L997" s="119"/>
      <c r="M997" s="129"/>
      <c r="T997" s="133"/>
      <c r="AT997" s="135" t="s">
        <v>365</v>
      </c>
      <c r="AU997" s="135" t="s">
        <v>87</v>
      </c>
      <c r="AV997" s="113" t="s">
        <v>87</v>
      </c>
      <c r="AW997" s="113" t="s">
        <v>33</v>
      </c>
      <c r="AX997" s="113" t="s">
        <v>77</v>
      </c>
      <c r="AY997" s="135" t="s">
        <v>211</v>
      </c>
    </row>
    <row r="998" spans="2:65" s="113" customFormat="1">
      <c r="B998" s="119"/>
      <c r="D998" s="105" t="s">
        <v>365</v>
      </c>
      <c r="E998" s="135" t="s">
        <v>1</v>
      </c>
      <c r="F998" s="120" t="s">
        <v>318</v>
      </c>
      <c r="H998" s="121">
        <v>28.829000000000001</v>
      </c>
      <c r="I998" s="128"/>
      <c r="L998" s="119"/>
      <c r="M998" s="129"/>
      <c r="T998" s="133"/>
      <c r="AT998" s="135" t="s">
        <v>365</v>
      </c>
      <c r="AU998" s="135" t="s">
        <v>87</v>
      </c>
      <c r="AV998" s="113" t="s">
        <v>87</v>
      </c>
      <c r="AW998" s="113" t="s">
        <v>33</v>
      </c>
      <c r="AX998" s="113" t="s">
        <v>77</v>
      </c>
      <c r="AY998" s="135" t="s">
        <v>211</v>
      </c>
    </row>
    <row r="999" spans="2:65" s="113" customFormat="1">
      <c r="B999" s="119"/>
      <c r="D999" s="105" t="s">
        <v>365</v>
      </c>
      <c r="E999" s="135" t="s">
        <v>1</v>
      </c>
      <c r="F999" s="120" t="s">
        <v>320</v>
      </c>
      <c r="H999" s="121">
        <v>12.862</v>
      </c>
      <c r="I999" s="128"/>
      <c r="L999" s="119"/>
      <c r="M999" s="129"/>
      <c r="T999" s="133"/>
      <c r="AT999" s="135" t="s">
        <v>365</v>
      </c>
      <c r="AU999" s="135" t="s">
        <v>87</v>
      </c>
      <c r="AV999" s="113" t="s">
        <v>87</v>
      </c>
      <c r="AW999" s="113" t="s">
        <v>33</v>
      </c>
      <c r="AX999" s="113" t="s">
        <v>77</v>
      </c>
      <c r="AY999" s="135" t="s">
        <v>211</v>
      </c>
    </row>
    <row r="1000" spans="2:65" s="137" customFormat="1">
      <c r="B1000" s="141"/>
      <c r="D1000" s="105" t="s">
        <v>365</v>
      </c>
      <c r="E1000" s="142" t="s">
        <v>1</v>
      </c>
      <c r="F1000" s="143" t="s">
        <v>368</v>
      </c>
      <c r="H1000" s="144">
        <v>112.70699999999999</v>
      </c>
      <c r="I1000" s="148"/>
      <c r="L1000" s="141"/>
      <c r="M1000" s="149"/>
      <c r="T1000" s="151"/>
      <c r="AT1000" s="142" t="s">
        <v>365</v>
      </c>
      <c r="AU1000" s="142" t="s">
        <v>87</v>
      </c>
      <c r="AV1000" s="137" t="s">
        <v>218</v>
      </c>
      <c r="AW1000" s="137" t="s">
        <v>33</v>
      </c>
      <c r="AX1000" s="137" t="s">
        <v>85</v>
      </c>
      <c r="AY1000" s="142" t="s">
        <v>211</v>
      </c>
    </row>
    <row r="1001" spans="2:65" s="1" customFormat="1" ht="55.5" customHeight="1">
      <c r="B1001" s="12"/>
      <c r="C1001" s="71" t="s">
        <v>1265</v>
      </c>
      <c r="D1001" s="71" t="s">
        <v>214</v>
      </c>
      <c r="E1001" s="72" t="s">
        <v>1266</v>
      </c>
      <c r="F1001" s="73" t="s">
        <v>1267</v>
      </c>
      <c r="G1001" s="74" t="s">
        <v>279</v>
      </c>
      <c r="H1001" s="75">
        <v>1058.4000000000001</v>
      </c>
      <c r="I1001" s="90">
        <v>602</v>
      </c>
      <c r="J1001" s="91">
        <f>ROUND(I1001*H1001,2)</f>
        <v>637156.80000000005</v>
      </c>
      <c r="K1001" s="92"/>
      <c r="L1001" s="12"/>
      <c r="M1001" s="93" t="s">
        <v>1</v>
      </c>
      <c r="N1001" s="94" t="s">
        <v>42</v>
      </c>
      <c r="P1001" s="95">
        <f>O1001*H1001</f>
        <v>0</v>
      </c>
      <c r="Q1001" s="95">
        <v>0.105</v>
      </c>
      <c r="R1001" s="95">
        <f>Q1001*H1001</f>
        <v>111.13200000000001</v>
      </c>
      <c r="S1001" s="95">
        <v>0</v>
      </c>
      <c r="T1001" s="99">
        <f>S1001*H1001</f>
        <v>0</v>
      </c>
      <c r="AR1001" s="101" t="s">
        <v>218</v>
      </c>
      <c r="AT1001" s="101" t="s">
        <v>214</v>
      </c>
      <c r="AU1001" s="101" t="s">
        <v>87</v>
      </c>
      <c r="AY1001" s="23" t="s">
        <v>211</v>
      </c>
      <c r="BE1001" s="104">
        <f>IF(N1001="základní",J1001,0)</f>
        <v>637156.80000000005</v>
      </c>
      <c r="BF1001" s="104">
        <f>IF(N1001="snížená",J1001,0)</f>
        <v>0</v>
      </c>
      <c r="BG1001" s="104">
        <f>IF(N1001="zákl. přenesená",J1001,0)</f>
        <v>0</v>
      </c>
      <c r="BH1001" s="104">
        <f>IF(N1001="sníž. přenesená",J1001,0)</f>
        <v>0</v>
      </c>
      <c r="BI1001" s="104">
        <f>IF(N1001="nulová",J1001,0)</f>
        <v>0</v>
      </c>
      <c r="BJ1001" s="23" t="s">
        <v>85</v>
      </c>
      <c r="BK1001" s="104">
        <f>ROUND(I1001*H1001,2)</f>
        <v>637156.80000000005</v>
      </c>
      <c r="BL1001" s="23" t="s">
        <v>218</v>
      </c>
      <c r="BM1001" s="101" t="s">
        <v>1268</v>
      </c>
    </row>
    <row r="1002" spans="2:65" s="113" customFormat="1">
      <c r="B1002" s="119"/>
      <c r="D1002" s="105" t="s">
        <v>365</v>
      </c>
      <c r="E1002" s="135" t="s">
        <v>1</v>
      </c>
      <c r="F1002" s="120" t="s">
        <v>281</v>
      </c>
      <c r="H1002" s="121">
        <v>1058.4000000000001</v>
      </c>
      <c r="I1002" s="128"/>
      <c r="L1002" s="119"/>
      <c r="M1002" s="129"/>
      <c r="T1002" s="133"/>
      <c r="AT1002" s="135" t="s">
        <v>365</v>
      </c>
      <c r="AU1002" s="135" t="s">
        <v>87</v>
      </c>
      <c r="AV1002" s="113" t="s">
        <v>87</v>
      </c>
      <c r="AW1002" s="113" t="s">
        <v>33</v>
      </c>
      <c r="AX1002" s="113" t="s">
        <v>77</v>
      </c>
      <c r="AY1002" s="135" t="s">
        <v>211</v>
      </c>
    </row>
    <row r="1003" spans="2:65" s="137" customFormat="1">
      <c r="B1003" s="141"/>
      <c r="D1003" s="105" t="s">
        <v>365</v>
      </c>
      <c r="E1003" s="142" t="s">
        <v>1</v>
      </c>
      <c r="F1003" s="143" t="s">
        <v>368</v>
      </c>
      <c r="H1003" s="144">
        <v>1058.4000000000001</v>
      </c>
      <c r="I1003" s="148"/>
      <c r="L1003" s="141"/>
      <c r="M1003" s="149"/>
      <c r="T1003" s="151"/>
      <c r="AT1003" s="142" t="s">
        <v>365</v>
      </c>
      <c r="AU1003" s="142" t="s">
        <v>87</v>
      </c>
      <c r="AV1003" s="137" t="s">
        <v>218</v>
      </c>
      <c r="AW1003" s="137" t="s">
        <v>33</v>
      </c>
      <c r="AX1003" s="137" t="s">
        <v>85</v>
      </c>
      <c r="AY1003" s="142" t="s">
        <v>211</v>
      </c>
    </row>
    <row r="1004" spans="2:65" s="1" customFormat="1" ht="55.5" customHeight="1">
      <c r="B1004" s="12"/>
      <c r="C1004" s="71" t="s">
        <v>1269</v>
      </c>
      <c r="D1004" s="71" t="s">
        <v>214</v>
      </c>
      <c r="E1004" s="72" t="s">
        <v>1270</v>
      </c>
      <c r="F1004" s="73" t="s">
        <v>1271</v>
      </c>
      <c r="G1004" s="74" t="s">
        <v>279</v>
      </c>
      <c r="H1004" s="75">
        <v>983.36</v>
      </c>
      <c r="I1004" s="90">
        <v>572</v>
      </c>
      <c r="J1004" s="91">
        <f>ROUND(I1004*H1004,2)</f>
        <v>562481.92000000004</v>
      </c>
      <c r="K1004" s="92"/>
      <c r="L1004" s="12"/>
      <c r="M1004" s="93" t="s">
        <v>1</v>
      </c>
      <c r="N1004" s="94" t="s">
        <v>42</v>
      </c>
      <c r="P1004" s="95">
        <f>O1004*H1004</f>
        <v>0</v>
      </c>
      <c r="Q1004" s="95">
        <v>0.105</v>
      </c>
      <c r="R1004" s="95">
        <f>Q1004*H1004</f>
        <v>103.25279999999999</v>
      </c>
      <c r="S1004" s="95">
        <v>0</v>
      </c>
      <c r="T1004" s="99">
        <f>S1004*H1004</f>
        <v>0</v>
      </c>
      <c r="AR1004" s="101" t="s">
        <v>218</v>
      </c>
      <c r="AT1004" s="101" t="s">
        <v>214</v>
      </c>
      <c r="AU1004" s="101" t="s">
        <v>87</v>
      </c>
      <c r="AY1004" s="23" t="s">
        <v>211</v>
      </c>
      <c r="BE1004" s="104">
        <f>IF(N1004="základní",J1004,0)</f>
        <v>562481.92000000004</v>
      </c>
      <c r="BF1004" s="104">
        <f>IF(N1004="snížená",J1004,0)</f>
        <v>0</v>
      </c>
      <c r="BG1004" s="104">
        <f>IF(N1004="zákl. přenesená",J1004,0)</f>
        <v>0</v>
      </c>
      <c r="BH1004" s="104">
        <f>IF(N1004="sníž. přenesená",J1004,0)</f>
        <v>0</v>
      </c>
      <c r="BI1004" s="104">
        <f>IF(N1004="nulová",J1004,0)</f>
        <v>0</v>
      </c>
      <c r="BJ1004" s="23" t="s">
        <v>85</v>
      </c>
      <c r="BK1004" s="104">
        <f>ROUND(I1004*H1004,2)</f>
        <v>562481.92000000004</v>
      </c>
      <c r="BL1004" s="23" t="s">
        <v>218</v>
      </c>
      <c r="BM1004" s="101" t="s">
        <v>1272</v>
      </c>
    </row>
    <row r="1005" spans="2:65" s="113" customFormat="1">
      <c r="B1005" s="119"/>
      <c r="D1005" s="105" t="s">
        <v>365</v>
      </c>
      <c r="E1005" s="135" t="s">
        <v>1</v>
      </c>
      <c r="F1005" s="120" t="s">
        <v>283</v>
      </c>
      <c r="H1005" s="121">
        <v>405.86</v>
      </c>
      <c r="I1005" s="128"/>
      <c r="L1005" s="119"/>
      <c r="M1005" s="129"/>
      <c r="T1005" s="133"/>
      <c r="AT1005" s="135" t="s">
        <v>365</v>
      </c>
      <c r="AU1005" s="135" t="s">
        <v>87</v>
      </c>
      <c r="AV1005" s="113" t="s">
        <v>87</v>
      </c>
      <c r="AW1005" s="113" t="s">
        <v>33</v>
      </c>
      <c r="AX1005" s="113" t="s">
        <v>77</v>
      </c>
      <c r="AY1005" s="135" t="s">
        <v>211</v>
      </c>
    </row>
    <row r="1006" spans="2:65" s="113" customFormat="1">
      <c r="B1006" s="119"/>
      <c r="D1006" s="105" t="s">
        <v>365</v>
      </c>
      <c r="E1006" s="135" t="s">
        <v>1</v>
      </c>
      <c r="F1006" s="120" t="s">
        <v>287</v>
      </c>
      <c r="H1006" s="121">
        <v>577.5</v>
      </c>
      <c r="I1006" s="128"/>
      <c r="L1006" s="119"/>
      <c r="M1006" s="129"/>
      <c r="T1006" s="133"/>
      <c r="AT1006" s="135" t="s">
        <v>365</v>
      </c>
      <c r="AU1006" s="135" t="s">
        <v>87</v>
      </c>
      <c r="AV1006" s="113" t="s">
        <v>87</v>
      </c>
      <c r="AW1006" s="113" t="s">
        <v>33</v>
      </c>
      <c r="AX1006" s="113" t="s">
        <v>77</v>
      </c>
      <c r="AY1006" s="135" t="s">
        <v>211</v>
      </c>
    </row>
    <row r="1007" spans="2:65" s="137" customFormat="1">
      <c r="B1007" s="141"/>
      <c r="D1007" s="105" t="s">
        <v>365</v>
      </c>
      <c r="E1007" s="142" t="s">
        <v>1</v>
      </c>
      <c r="F1007" s="143" t="s">
        <v>368</v>
      </c>
      <c r="H1007" s="144">
        <v>983.36</v>
      </c>
      <c r="I1007" s="148"/>
      <c r="L1007" s="141"/>
      <c r="M1007" s="149"/>
      <c r="T1007" s="151"/>
      <c r="AT1007" s="142" t="s">
        <v>365</v>
      </c>
      <c r="AU1007" s="142" t="s">
        <v>87</v>
      </c>
      <c r="AV1007" s="137" t="s">
        <v>218</v>
      </c>
      <c r="AW1007" s="137" t="s">
        <v>33</v>
      </c>
      <c r="AX1007" s="137" t="s">
        <v>85</v>
      </c>
      <c r="AY1007" s="142" t="s">
        <v>211</v>
      </c>
    </row>
    <row r="1008" spans="2:65" s="1" customFormat="1" ht="24.15" customHeight="1">
      <c r="B1008" s="12"/>
      <c r="C1008" s="71" t="s">
        <v>1273</v>
      </c>
      <c r="D1008" s="71" t="s">
        <v>214</v>
      </c>
      <c r="E1008" s="72" t="s">
        <v>1274</v>
      </c>
      <c r="F1008" s="73" t="s">
        <v>1275</v>
      </c>
      <c r="G1008" s="74" t="s">
        <v>279</v>
      </c>
      <c r="H1008" s="75">
        <v>1630.73</v>
      </c>
      <c r="I1008" s="90">
        <v>617</v>
      </c>
      <c r="J1008" s="91">
        <f>ROUND(I1008*H1008,2)</f>
        <v>1006160.41</v>
      </c>
      <c r="K1008" s="92"/>
      <c r="L1008" s="12"/>
      <c r="M1008" s="93" t="s">
        <v>1</v>
      </c>
      <c r="N1008" s="94" t="s">
        <v>42</v>
      </c>
      <c r="P1008" s="95">
        <f>O1008*H1008</f>
        <v>0</v>
      </c>
      <c r="Q1008" s="95">
        <v>0.105</v>
      </c>
      <c r="R1008" s="95">
        <f>Q1008*H1008</f>
        <v>171.22665000000001</v>
      </c>
      <c r="S1008" s="95">
        <v>0</v>
      </c>
      <c r="T1008" s="99">
        <f>S1008*H1008</f>
        <v>0</v>
      </c>
      <c r="AR1008" s="101" t="s">
        <v>218</v>
      </c>
      <c r="AT1008" s="101" t="s">
        <v>214</v>
      </c>
      <c r="AU1008" s="101" t="s">
        <v>87</v>
      </c>
      <c r="AY1008" s="23" t="s">
        <v>211</v>
      </c>
      <c r="BE1008" s="104">
        <f>IF(N1008="základní",J1008,0)</f>
        <v>1006160.41</v>
      </c>
      <c r="BF1008" s="104">
        <f>IF(N1008="snížená",J1008,0)</f>
        <v>0</v>
      </c>
      <c r="BG1008" s="104">
        <f>IF(N1008="zákl. přenesená",J1008,0)</f>
        <v>0</v>
      </c>
      <c r="BH1008" s="104">
        <f>IF(N1008="sníž. přenesená",J1008,0)</f>
        <v>0</v>
      </c>
      <c r="BI1008" s="104">
        <f>IF(N1008="nulová",J1008,0)</f>
        <v>0</v>
      </c>
      <c r="BJ1008" s="23" t="s">
        <v>85</v>
      </c>
      <c r="BK1008" s="104">
        <f>ROUND(I1008*H1008,2)</f>
        <v>1006160.41</v>
      </c>
      <c r="BL1008" s="23" t="s">
        <v>218</v>
      </c>
      <c r="BM1008" s="101" t="s">
        <v>1276</v>
      </c>
    </row>
    <row r="1009" spans="2:65" s="113" customFormat="1">
      <c r="B1009" s="119"/>
      <c r="D1009" s="105" t="s">
        <v>365</v>
      </c>
      <c r="E1009" s="135" t="s">
        <v>1</v>
      </c>
      <c r="F1009" s="120" t="s">
        <v>285</v>
      </c>
      <c r="H1009" s="121">
        <v>461.5</v>
      </c>
      <c r="I1009" s="128"/>
      <c r="L1009" s="119"/>
      <c r="M1009" s="129"/>
      <c r="T1009" s="133"/>
      <c r="AT1009" s="135" t="s">
        <v>365</v>
      </c>
      <c r="AU1009" s="135" t="s">
        <v>87</v>
      </c>
      <c r="AV1009" s="113" t="s">
        <v>87</v>
      </c>
      <c r="AW1009" s="113" t="s">
        <v>33</v>
      </c>
      <c r="AX1009" s="113" t="s">
        <v>77</v>
      </c>
      <c r="AY1009" s="135" t="s">
        <v>211</v>
      </c>
    </row>
    <row r="1010" spans="2:65" s="113" customFormat="1">
      <c r="B1010" s="119"/>
      <c r="D1010" s="105" t="s">
        <v>365</v>
      </c>
      <c r="E1010" s="135" t="s">
        <v>1</v>
      </c>
      <c r="F1010" s="120" t="s">
        <v>289</v>
      </c>
      <c r="H1010" s="121">
        <v>1169.23</v>
      </c>
      <c r="I1010" s="128"/>
      <c r="L1010" s="119"/>
      <c r="M1010" s="129"/>
      <c r="T1010" s="133"/>
      <c r="AT1010" s="135" t="s">
        <v>365</v>
      </c>
      <c r="AU1010" s="135" t="s">
        <v>87</v>
      </c>
      <c r="AV1010" s="113" t="s">
        <v>87</v>
      </c>
      <c r="AW1010" s="113" t="s">
        <v>33</v>
      </c>
      <c r="AX1010" s="113" t="s">
        <v>77</v>
      </c>
      <c r="AY1010" s="135" t="s">
        <v>211</v>
      </c>
    </row>
    <row r="1011" spans="2:65" s="137" customFormat="1">
      <c r="B1011" s="141"/>
      <c r="D1011" s="105" t="s">
        <v>365</v>
      </c>
      <c r="E1011" s="142" t="s">
        <v>1</v>
      </c>
      <c r="F1011" s="143" t="s">
        <v>368</v>
      </c>
      <c r="H1011" s="144">
        <v>1630.73</v>
      </c>
      <c r="I1011" s="148"/>
      <c r="L1011" s="141"/>
      <c r="M1011" s="149"/>
      <c r="T1011" s="151"/>
      <c r="AT1011" s="142" t="s">
        <v>365</v>
      </c>
      <c r="AU1011" s="142" t="s">
        <v>87</v>
      </c>
      <c r="AV1011" s="137" t="s">
        <v>218</v>
      </c>
      <c r="AW1011" s="137" t="s">
        <v>33</v>
      </c>
      <c r="AX1011" s="137" t="s">
        <v>85</v>
      </c>
      <c r="AY1011" s="142" t="s">
        <v>211</v>
      </c>
    </row>
    <row r="1012" spans="2:65" s="1" customFormat="1" ht="21.75" customHeight="1">
      <c r="B1012" s="12"/>
      <c r="C1012" s="71" t="s">
        <v>1277</v>
      </c>
      <c r="D1012" s="71" t="s">
        <v>214</v>
      </c>
      <c r="E1012" s="72" t="s">
        <v>1278</v>
      </c>
      <c r="F1012" s="73" t="s">
        <v>1279</v>
      </c>
      <c r="G1012" s="74" t="s">
        <v>394</v>
      </c>
      <c r="H1012" s="75">
        <v>14.276</v>
      </c>
      <c r="I1012" s="90">
        <v>44000</v>
      </c>
      <c r="J1012" s="91">
        <f>ROUND(I1012*H1012,2)</f>
        <v>628144</v>
      </c>
      <c r="K1012" s="92"/>
      <c r="L1012" s="12"/>
      <c r="M1012" s="93" t="s">
        <v>1</v>
      </c>
      <c r="N1012" s="94" t="s">
        <v>42</v>
      </c>
      <c r="P1012" s="95">
        <f>O1012*H1012</f>
        <v>0</v>
      </c>
      <c r="Q1012" s="95">
        <v>1.06277</v>
      </c>
      <c r="R1012" s="95">
        <f>Q1012*H1012</f>
        <v>15.17210452</v>
      </c>
      <c r="S1012" s="95">
        <v>0</v>
      </c>
      <c r="T1012" s="99">
        <f>S1012*H1012</f>
        <v>0</v>
      </c>
      <c r="AR1012" s="101" t="s">
        <v>446</v>
      </c>
      <c r="AT1012" s="101" t="s">
        <v>214</v>
      </c>
      <c r="AU1012" s="101" t="s">
        <v>87</v>
      </c>
      <c r="AY1012" s="23" t="s">
        <v>211</v>
      </c>
      <c r="BE1012" s="104">
        <f>IF(N1012="základní",J1012,0)</f>
        <v>628144</v>
      </c>
      <c r="BF1012" s="104">
        <f>IF(N1012="snížená",J1012,0)</f>
        <v>0</v>
      </c>
      <c r="BG1012" s="104">
        <f>IF(N1012="zákl. přenesená",J1012,0)</f>
        <v>0</v>
      </c>
      <c r="BH1012" s="104">
        <f>IF(N1012="sníž. přenesená",J1012,0)</f>
        <v>0</v>
      </c>
      <c r="BI1012" s="104">
        <f>IF(N1012="nulová",J1012,0)</f>
        <v>0</v>
      </c>
      <c r="BJ1012" s="23" t="s">
        <v>85</v>
      </c>
      <c r="BK1012" s="104">
        <f>ROUND(I1012*H1012,2)</f>
        <v>628144</v>
      </c>
      <c r="BL1012" s="23" t="s">
        <v>446</v>
      </c>
      <c r="BM1012" s="101" t="s">
        <v>1280</v>
      </c>
    </row>
    <row r="1013" spans="2:65" s="136" customFormat="1">
      <c r="B1013" s="138"/>
      <c r="D1013" s="105" t="s">
        <v>365</v>
      </c>
      <c r="E1013" s="139" t="s">
        <v>1</v>
      </c>
      <c r="F1013" s="140" t="s">
        <v>1281</v>
      </c>
      <c r="H1013" s="139" t="s">
        <v>1</v>
      </c>
      <c r="I1013" s="146"/>
      <c r="L1013" s="138"/>
      <c r="M1013" s="147"/>
      <c r="T1013" s="150"/>
      <c r="AT1013" s="139" t="s">
        <v>365</v>
      </c>
      <c r="AU1013" s="139" t="s">
        <v>87</v>
      </c>
      <c r="AV1013" s="136" t="s">
        <v>85</v>
      </c>
      <c r="AW1013" s="136" t="s">
        <v>33</v>
      </c>
      <c r="AX1013" s="136" t="s">
        <v>77</v>
      </c>
      <c r="AY1013" s="139" t="s">
        <v>211</v>
      </c>
    </row>
    <row r="1014" spans="2:65" s="113" customFormat="1">
      <c r="B1014" s="119"/>
      <c r="D1014" s="105" t="s">
        <v>365</v>
      </c>
      <c r="E1014" s="135" t="s">
        <v>1</v>
      </c>
      <c r="F1014" s="120" t="s">
        <v>1282</v>
      </c>
      <c r="H1014" s="121">
        <v>10.207000000000001</v>
      </c>
      <c r="I1014" s="128"/>
      <c r="L1014" s="119"/>
      <c r="M1014" s="129"/>
      <c r="T1014" s="133"/>
      <c r="AT1014" s="135" t="s">
        <v>365</v>
      </c>
      <c r="AU1014" s="135" t="s">
        <v>87</v>
      </c>
      <c r="AV1014" s="113" t="s">
        <v>87</v>
      </c>
      <c r="AW1014" s="113" t="s">
        <v>33</v>
      </c>
      <c r="AX1014" s="113" t="s">
        <v>77</v>
      </c>
      <c r="AY1014" s="135" t="s">
        <v>211</v>
      </c>
    </row>
    <row r="1015" spans="2:65" s="136" customFormat="1">
      <c r="B1015" s="138"/>
      <c r="D1015" s="105" t="s">
        <v>365</v>
      </c>
      <c r="E1015" s="139" t="s">
        <v>1</v>
      </c>
      <c r="F1015" s="140" t="s">
        <v>1283</v>
      </c>
      <c r="H1015" s="139" t="s">
        <v>1</v>
      </c>
      <c r="I1015" s="146"/>
      <c r="L1015" s="138"/>
      <c r="M1015" s="147"/>
      <c r="T1015" s="150"/>
      <c r="AT1015" s="139" t="s">
        <v>365</v>
      </c>
      <c r="AU1015" s="139" t="s">
        <v>87</v>
      </c>
      <c r="AV1015" s="136" t="s">
        <v>85</v>
      </c>
      <c r="AW1015" s="136" t="s">
        <v>33</v>
      </c>
      <c r="AX1015" s="136" t="s">
        <v>77</v>
      </c>
      <c r="AY1015" s="139" t="s">
        <v>211</v>
      </c>
    </row>
    <row r="1016" spans="2:65" s="113" customFormat="1">
      <c r="B1016" s="119"/>
      <c r="D1016" s="105" t="s">
        <v>365</v>
      </c>
      <c r="E1016" s="135" t="s">
        <v>1</v>
      </c>
      <c r="F1016" s="120" t="s">
        <v>1284</v>
      </c>
      <c r="H1016" s="121">
        <v>0.63200000000000001</v>
      </c>
      <c r="I1016" s="128"/>
      <c r="L1016" s="119"/>
      <c r="M1016" s="129"/>
      <c r="T1016" s="133"/>
      <c r="AT1016" s="135" t="s">
        <v>365</v>
      </c>
      <c r="AU1016" s="135" t="s">
        <v>87</v>
      </c>
      <c r="AV1016" s="113" t="s">
        <v>87</v>
      </c>
      <c r="AW1016" s="113" t="s">
        <v>33</v>
      </c>
      <c r="AX1016" s="113" t="s">
        <v>77</v>
      </c>
      <c r="AY1016" s="135" t="s">
        <v>211</v>
      </c>
    </row>
    <row r="1017" spans="2:65" s="136" customFormat="1">
      <c r="B1017" s="138"/>
      <c r="D1017" s="105" t="s">
        <v>365</v>
      </c>
      <c r="E1017" s="139" t="s">
        <v>1</v>
      </c>
      <c r="F1017" s="140" t="s">
        <v>1285</v>
      </c>
      <c r="H1017" s="139" t="s">
        <v>1</v>
      </c>
      <c r="I1017" s="146"/>
      <c r="L1017" s="138"/>
      <c r="M1017" s="147"/>
      <c r="T1017" s="150"/>
      <c r="AT1017" s="139" t="s">
        <v>365</v>
      </c>
      <c r="AU1017" s="139" t="s">
        <v>87</v>
      </c>
      <c r="AV1017" s="136" t="s">
        <v>85</v>
      </c>
      <c r="AW1017" s="136" t="s">
        <v>33</v>
      </c>
      <c r="AX1017" s="136" t="s">
        <v>77</v>
      </c>
      <c r="AY1017" s="139" t="s">
        <v>211</v>
      </c>
    </row>
    <row r="1018" spans="2:65" s="113" customFormat="1">
      <c r="B1018" s="119"/>
      <c r="D1018" s="105" t="s">
        <v>365</v>
      </c>
      <c r="E1018" s="135" t="s">
        <v>1</v>
      </c>
      <c r="F1018" s="120" t="s">
        <v>1286</v>
      </c>
      <c r="H1018" s="121">
        <v>0.71799999999999997</v>
      </c>
      <c r="I1018" s="128"/>
      <c r="L1018" s="119"/>
      <c r="M1018" s="129"/>
      <c r="T1018" s="133"/>
      <c r="AT1018" s="135" t="s">
        <v>365</v>
      </c>
      <c r="AU1018" s="135" t="s">
        <v>87</v>
      </c>
      <c r="AV1018" s="113" t="s">
        <v>87</v>
      </c>
      <c r="AW1018" s="113" t="s">
        <v>33</v>
      </c>
      <c r="AX1018" s="113" t="s">
        <v>77</v>
      </c>
      <c r="AY1018" s="135" t="s">
        <v>211</v>
      </c>
    </row>
    <row r="1019" spans="2:65" s="136" customFormat="1">
      <c r="B1019" s="138"/>
      <c r="D1019" s="105" t="s">
        <v>365</v>
      </c>
      <c r="E1019" s="139" t="s">
        <v>1</v>
      </c>
      <c r="F1019" s="140" t="s">
        <v>1287</v>
      </c>
      <c r="H1019" s="139" t="s">
        <v>1</v>
      </c>
      <c r="I1019" s="146"/>
      <c r="L1019" s="138"/>
      <c r="M1019" s="147"/>
      <c r="T1019" s="150"/>
      <c r="AT1019" s="139" t="s">
        <v>365</v>
      </c>
      <c r="AU1019" s="139" t="s">
        <v>87</v>
      </c>
      <c r="AV1019" s="136" t="s">
        <v>85</v>
      </c>
      <c r="AW1019" s="136" t="s">
        <v>33</v>
      </c>
      <c r="AX1019" s="136" t="s">
        <v>77</v>
      </c>
      <c r="AY1019" s="139" t="s">
        <v>211</v>
      </c>
    </row>
    <row r="1020" spans="2:65" s="113" customFormat="1">
      <c r="B1020" s="119"/>
      <c r="D1020" s="105" t="s">
        <v>365</v>
      </c>
      <c r="E1020" s="135" t="s">
        <v>1</v>
      </c>
      <c r="F1020" s="120" t="s">
        <v>1288</v>
      </c>
      <c r="H1020" s="121">
        <v>0.89900000000000002</v>
      </c>
      <c r="I1020" s="128"/>
      <c r="L1020" s="119"/>
      <c r="M1020" s="129"/>
      <c r="T1020" s="133"/>
      <c r="AT1020" s="135" t="s">
        <v>365</v>
      </c>
      <c r="AU1020" s="135" t="s">
        <v>87</v>
      </c>
      <c r="AV1020" s="113" t="s">
        <v>87</v>
      </c>
      <c r="AW1020" s="113" t="s">
        <v>33</v>
      </c>
      <c r="AX1020" s="113" t="s">
        <v>77</v>
      </c>
      <c r="AY1020" s="135" t="s">
        <v>211</v>
      </c>
    </row>
    <row r="1021" spans="2:65" s="136" customFormat="1">
      <c r="B1021" s="138"/>
      <c r="D1021" s="105" t="s">
        <v>365</v>
      </c>
      <c r="E1021" s="139" t="s">
        <v>1</v>
      </c>
      <c r="F1021" s="140" t="s">
        <v>1289</v>
      </c>
      <c r="H1021" s="139" t="s">
        <v>1</v>
      </c>
      <c r="I1021" s="146"/>
      <c r="L1021" s="138"/>
      <c r="M1021" s="147"/>
      <c r="T1021" s="150"/>
      <c r="AT1021" s="139" t="s">
        <v>365</v>
      </c>
      <c r="AU1021" s="139" t="s">
        <v>87</v>
      </c>
      <c r="AV1021" s="136" t="s">
        <v>85</v>
      </c>
      <c r="AW1021" s="136" t="s">
        <v>33</v>
      </c>
      <c r="AX1021" s="136" t="s">
        <v>77</v>
      </c>
      <c r="AY1021" s="139" t="s">
        <v>211</v>
      </c>
    </row>
    <row r="1022" spans="2:65" s="113" customFormat="1">
      <c r="B1022" s="119"/>
      <c r="D1022" s="105" t="s">
        <v>365</v>
      </c>
      <c r="E1022" s="135" t="s">
        <v>1</v>
      </c>
      <c r="F1022" s="120" t="s">
        <v>1290</v>
      </c>
      <c r="H1022" s="121">
        <v>1.82</v>
      </c>
      <c r="I1022" s="128"/>
      <c r="L1022" s="119"/>
      <c r="M1022" s="129"/>
      <c r="T1022" s="133"/>
      <c r="AT1022" s="135" t="s">
        <v>365</v>
      </c>
      <c r="AU1022" s="135" t="s">
        <v>87</v>
      </c>
      <c r="AV1022" s="113" t="s">
        <v>87</v>
      </c>
      <c r="AW1022" s="113" t="s">
        <v>33</v>
      </c>
      <c r="AX1022" s="113" t="s">
        <v>77</v>
      </c>
      <c r="AY1022" s="135" t="s">
        <v>211</v>
      </c>
    </row>
    <row r="1023" spans="2:65" s="137" customFormat="1">
      <c r="B1023" s="141"/>
      <c r="D1023" s="105" t="s">
        <v>365</v>
      </c>
      <c r="E1023" s="142" t="s">
        <v>1</v>
      </c>
      <c r="F1023" s="143" t="s">
        <v>368</v>
      </c>
      <c r="H1023" s="144">
        <v>14.276</v>
      </c>
      <c r="I1023" s="148"/>
      <c r="L1023" s="141"/>
      <c r="M1023" s="149"/>
      <c r="T1023" s="151"/>
      <c r="AT1023" s="142" t="s">
        <v>365</v>
      </c>
      <c r="AU1023" s="142" t="s">
        <v>87</v>
      </c>
      <c r="AV1023" s="137" t="s">
        <v>218</v>
      </c>
      <c r="AW1023" s="137" t="s">
        <v>33</v>
      </c>
      <c r="AX1023" s="137" t="s">
        <v>85</v>
      </c>
      <c r="AY1023" s="142" t="s">
        <v>211</v>
      </c>
    </row>
    <row r="1024" spans="2:65" s="1" customFormat="1" ht="24.15" customHeight="1">
      <c r="B1024" s="12"/>
      <c r="C1024" s="71" t="s">
        <v>1291</v>
      </c>
      <c r="D1024" s="71" t="s">
        <v>214</v>
      </c>
      <c r="E1024" s="72" t="s">
        <v>1292</v>
      </c>
      <c r="F1024" s="73" t="s">
        <v>1293</v>
      </c>
      <c r="G1024" s="74" t="s">
        <v>444</v>
      </c>
      <c r="H1024" s="75">
        <v>35.85</v>
      </c>
      <c r="I1024" s="90">
        <v>121</v>
      </c>
      <c r="J1024" s="91">
        <f>ROUND(I1024*H1024,2)</f>
        <v>4337.8500000000004</v>
      </c>
      <c r="K1024" s="92"/>
      <c r="L1024" s="12"/>
      <c r="M1024" s="93" t="s">
        <v>1</v>
      </c>
      <c r="N1024" s="94" t="s">
        <v>42</v>
      </c>
      <c r="P1024" s="95">
        <f>O1024*H1024</f>
        <v>0</v>
      </c>
      <c r="Q1024" s="95">
        <v>2.3000000000000001E-4</v>
      </c>
      <c r="R1024" s="95">
        <f>Q1024*H1024</f>
        <v>8.2454999999999994E-3</v>
      </c>
      <c r="S1024" s="95">
        <v>0</v>
      </c>
      <c r="T1024" s="99">
        <f>S1024*H1024</f>
        <v>0</v>
      </c>
      <c r="AR1024" s="101" t="s">
        <v>218</v>
      </c>
      <c r="AT1024" s="101" t="s">
        <v>214</v>
      </c>
      <c r="AU1024" s="101" t="s">
        <v>87</v>
      </c>
      <c r="AY1024" s="23" t="s">
        <v>211</v>
      </c>
      <c r="BE1024" s="104">
        <f>IF(N1024="základní",J1024,0)</f>
        <v>4337.8500000000004</v>
      </c>
      <c r="BF1024" s="104">
        <f>IF(N1024="snížená",J1024,0)</f>
        <v>0</v>
      </c>
      <c r="BG1024" s="104">
        <f>IF(N1024="zákl. přenesená",J1024,0)</f>
        <v>0</v>
      </c>
      <c r="BH1024" s="104">
        <f>IF(N1024="sníž. přenesená",J1024,0)</f>
        <v>0</v>
      </c>
      <c r="BI1024" s="104">
        <f>IF(N1024="nulová",J1024,0)</f>
        <v>0</v>
      </c>
      <c r="BJ1024" s="23" t="s">
        <v>85</v>
      </c>
      <c r="BK1024" s="104">
        <f>ROUND(I1024*H1024,2)</f>
        <v>4337.8500000000004</v>
      </c>
      <c r="BL1024" s="23" t="s">
        <v>218</v>
      </c>
      <c r="BM1024" s="101" t="s">
        <v>1294</v>
      </c>
    </row>
    <row r="1025" spans="2:65" s="113" customFormat="1">
      <c r="B1025" s="119"/>
      <c r="D1025" s="105" t="s">
        <v>365</v>
      </c>
      <c r="E1025" s="135" t="s">
        <v>1</v>
      </c>
      <c r="F1025" s="120" t="s">
        <v>1295</v>
      </c>
      <c r="H1025" s="121">
        <v>35.85</v>
      </c>
      <c r="I1025" s="128"/>
      <c r="L1025" s="119"/>
      <c r="M1025" s="129"/>
      <c r="T1025" s="133"/>
      <c r="AT1025" s="135" t="s">
        <v>365</v>
      </c>
      <c r="AU1025" s="135" t="s">
        <v>87</v>
      </c>
      <c r="AV1025" s="113" t="s">
        <v>87</v>
      </c>
      <c r="AW1025" s="113" t="s">
        <v>33</v>
      </c>
      <c r="AX1025" s="113" t="s">
        <v>85</v>
      </c>
      <c r="AY1025" s="135" t="s">
        <v>211</v>
      </c>
    </row>
    <row r="1026" spans="2:65" s="1" customFormat="1" ht="33" customHeight="1">
      <c r="B1026" s="12"/>
      <c r="C1026" s="71" t="s">
        <v>1296</v>
      </c>
      <c r="D1026" s="71" t="s">
        <v>214</v>
      </c>
      <c r="E1026" s="72" t="s">
        <v>1297</v>
      </c>
      <c r="F1026" s="73" t="s">
        <v>1298</v>
      </c>
      <c r="G1026" s="74" t="s">
        <v>279</v>
      </c>
      <c r="H1026" s="75">
        <v>203.8</v>
      </c>
      <c r="I1026" s="90">
        <v>450</v>
      </c>
      <c r="J1026" s="91">
        <f>ROUND(I1026*H1026,2)</f>
        <v>91710</v>
      </c>
      <c r="K1026" s="92"/>
      <c r="L1026" s="12"/>
      <c r="M1026" s="93" t="s">
        <v>1</v>
      </c>
      <c r="N1026" s="94" t="s">
        <v>42</v>
      </c>
      <c r="P1026" s="95">
        <f>O1026*H1026</f>
        <v>0</v>
      </c>
      <c r="Q1026" s="95">
        <v>1.1999999999999999E-3</v>
      </c>
      <c r="R1026" s="95">
        <f>Q1026*H1026</f>
        <v>0.24456</v>
      </c>
      <c r="S1026" s="95">
        <v>0</v>
      </c>
      <c r="T1026" s="99">
        <f>S1026*H1026</f>
        <v>0</v>
      </c>
      <c r="AR1026" s="101" t="s">
        <v>218</v>
      </c>
      <c r="AT1026" s="101" t="s">
        <v>214</v>
      </c>
      <c r="AU1026" s="101" t="s">
        <v>87</v>
      </c>
      <c r="AY1026" s="23" t="s">
        <v>211</v>
      </c>
      <c r="BE1026" s="104">
        <f>IF(N1026="základní",J1026,0)</f>
        <v>91710</v>
      </c>
      <c r="BF1026" s="104">
        <f>IF(N1026="snížená",J1026,0)</f>
        <v>0</v>
      </c>
      <c r="BG1026" s="104">
        <f>IF(N1026="zákl. přenesená",J1026,0)</f>
        <v>0</v>
      </c>
      <c r="BH1026" s="104">
        <f>IF(N1026="sníž. přenesená",J1026,0)</f>
        <v>0</v>
      </c>
      <c r="BI1026" s="104">
        <f>IF(N1026="nulová",J1026,0)</f>
        <v>0</v>
      </c>
      <c r="BJ1026" s="23" t="s">
        <v>85</v>
      </c>
      <c r="BK1026" s="104">
        <f>ROUND(I1026*H1026,2)</f>
        <v>91710</v>
      </c>
      <c r="BL1026" s="23" t="s">
        <v>218</v>
      </c>
      <c r="BM1026" s="101" t="s">
        <v>1299</v>
      </c>
    </row>
    <row r="1027" spans="2:65" s="1" customFormat="1" ht="28.8">
      <c r="B1027" s="12"/>
      <c r="D1027" s="105" t="s">
        <v>227</v>
      </c>
      <c r="F1027" s="106" t="s">
        <v>1300</v>
      </c>
      <c r="I1027" s="107"/>
      <c r="L1027" s="12"/>
      <c r="M1027" s="108"/>
      <c r="T1027" s="111"/>
      <c r="AT1027" s="23" t="s">
        <v>227</v>
      </c>
      <c r="AU1027" s="23" t="s">
        <v>87</v>
      </c>
    </row>
    <row r="1028" spans="2:65" s="136" customFormat="1">
      <c r="B1028" s="138"/>
      <c r="D1028" s="105" t="s">
        <v>365</v>
      </c>
      <c r="E1028" s="139" t="s">
        <v>1</v>
      </c>
      <c r="F1028" s="140" t="s">
        <v>1301</v>
      </c>
      <c r="H1028" s="139" t="s">
        <v>1</v>
      </c>
      <c r="I1028" s="146"/>
      <c r="L1028" s="138"/>
      <c r="M1028" s="147"/>
      <c r="T1028" s="150"/>
      <c r="AT1028" s="139" t="s">
        <v>365</v>
      </c>
      <c r="AU1028" s="139" t="s">
        <v>87</v>
      </c>
      <c r="AV1028" s="136" t="s">
        <v>85</v>
      </c>
      <c r="AW1028" s="136" t="s">
        <v>33</v>
      </c>
      <c r="AX1028" s="136" t="s">
        <v>77</v>
      </c>
      <c r="AY1028" s="139" t="s">
        <v>211</v>
      </c>
    </row>
    <row r="1029" spans="2:65" s="136" customFormat="1">
      <c r="B1029" s="138"/>
      <c r="D1029" s="105" t="s">
        <v>365</v>
      </c>
      <c r="E1029" s="139" t="s">
        <v>1</v>
      </c>
      <c r="F1029" s="140" t="s">
        <v>866</v>
      </c>
      <c r="H1029" s="139" t="s">
        <v>1</v>
      </c>
      <c r="I1029" s="146"/>
      <c r="L1029" s="138"/>
      <c r="M1029" s="147"/>
      <c r="T1029" s="150"/>
      <c r="AT1029" s="139" t="s">
        <v>365</v>
      </c>
      <c r="AU1029" s="139" t="s">
        <v>87</v>
      </c>
      <c r="AV1029" s="136" t="s">
        <v>85</v>
      </c>
      <c r="AW1029" s="136" t="s">
        <v>33</v>
      </c>
      <c r="AX1029" s="136" t="s">
        <v>77</v>
      </c>
      <c r="AY1029" s="139" t="s">
        <v>211</v>
      </c>
    </row>
    <row r="1030" spans="2:65" s="113" customFormat="1">
      <c r="B1030" s="119"/>
      <c r="D1030" s="105" t="s">
        <v>365</v>
      </c>
      <c r="E1030" s="135" t="s">
        <v>1</v>
      </c>
      <c r="F1030" s="120" t="s">
        <v>1302</v>
      </c>
      <c r="H1030" s="121">
        <v>42.75</v>
      </c>
      <c r="I1030" s="128"/>
      <c r="L1030" s="119"/>
      <c r="M1030" s="129"/>
      <c r="T1030" s="133"/>
      <c r="AT1030" s="135" t="s">
        <v>365</v>
      </c>
      <c r="AU1030" s="135" t="s">
        <v>87</v>
      </c>
      <c r="AV1030" s="113" t="s">
        <v>87</v>
      </c>
      <c r="AW1030" s="113" t="s">
        <v>33</v>
      </c>
      <c r="AX1030" s="113" t="s">
        <v>77</v>
      </c>
      <c r="AY1030" s="135" t="s">
        <v>211</v>
      </c>
    </row>
    <row r="1031" spans="2:65" s="136" customFormat="1">
      <c r="B1031" s="138"/>
      <c r="D1031" s="105" t="s">
        <v>365</v>
      </c>
      <c r="E1031" s="139" t="s">
        <v>1</v>
      </c>
      <c r="F1031" s="140" t="s">
        <v>868</v>
      </c>
      <c r="H1031" s="139" t="s">
        <v>1</v>
      </c>
      <c r="I1031" s="146"/>
      <c r="L1031" s="138"/>
      <c r="M1031" s="147"/>
      <c r="T1031" s="150"/>
      <c r="AT1031" s="139" t="s">
        <v>365</v>
      </c>
      <c r="AU1031" s="139" t="s">
        <v>87</v>
      </c>
      <c r="AV1031" s="136" t="s">
        <v>85</v>
      </c>
      <c r="AW1031" s="136" t="s">
        <v>33</v>
      </c>
      <c r="AX1031" s="136" t="s">
        <v>77</v>
      </c>
      <c r="AY1031" s="139" t="s">
        <v>211</v>
      </c>
    </row>
    <row r="1032" spans="2:65" s="113" customFormat="1">
      <c r="B1032" s="119"/>
      <c r="D1032" s="105" t="s">
        <v>365</v>
      </c>
      <c r="E1032" s="135" t="s">
        <v>1</v>
      </c>
      <c r="F1032" s="120" t="s">
        <v>1303</v>
      </c>
      <c r="H1032" s="121">
        <v>58.13</v>
      </c>
      <c r="I1032" s="128"/>
      <c r="L1032" s="119"/>
      <c r="M1032" s="129"/>
      <c r="T1032" s="133"/>
      <c r="AT1032" s="135" t="s">
        <v>365</v>
      </c>
      <c r="AU1032" s="135" t="s">
        <v>87</v>
      </c>
      <c r="AV1032" s="113" t="s">
        <v>87</v>
      </c>
      <c r="AW1032" s="113" t="s">
        <v>33</v>
      </c>
      <c r="AX1032" s="113" t="s">
        <v>77</v>
      </c>
      <c r="AY1032" s="135" t="s">
        <v>211</v>
      </c>
    </row>
    <row r="1033" spans="2:65" s="136" customFormat="1">
      <c r="B1033" s="138"/>
      <c r="D1033" s="105" t="s">
        <v>365</v>
      </c>
      <c r="E1033" s="139" t="s">
        <v>1</v>
      </c>
      <c r="F1033" s="140" t="s">
        <v>870</v>
      </c>
      <c r="H1033" s="139" t="s">
        <v>1</v>
      </c>
      <c r="I1033" s="146"/>
      <c r="L1033" s="138"/>
      <c r="M1033" s="147"/>
      <c r="T1033" s="150"/>
      <c r="AT1033" s="139" t="s">
        <v>365</v>
      </c>
      <c r="AU1033" s="139" t="s">
        <v>87</v>
      </c>
      <c r="AV1033" s="136" t="s">
        <v>85</v>
      </c>
      <c r="AW1033" s="136" t="s">
        <v>33</v>
      </c>
      <c r="AX1033" s="136" t="s">
        <v>77</v>
      </c>
      <c r="AY1033" s="139" t="s">
        <v>211</v>
      </c>
    </row>
    <row r="1034" spans="2:65" s="113" customFormat="1">
      <c r="B1034" s="119"/>
      <c r="D1034" s="105" t="s">
        <v>365</v>
      </c>
      <c r="E1034" s="135" t="s">
        <v>1</v>
      </c>
      <c r="F1034" s="120" t="s">
        <v>1304</v>
      </c>
      <c r="H1034" s="121">
        <v>53.31</v>
      </c>
      <c r="I1034" s="128"/>
      <c r="L1034" s="119"/>
      <c r="M1034" s="129"/>
      <c r="T1034" s="133"/>
      <c r="AT1034" s="135" t="s">
        <v>365</v>
      </c>
      <c r="AU1034" s="135" t="s">
        <v>87</v>
      </c>
      <c r="AV1034" s="113" t="s">
        <v>87</v>
      </c>
      <c r="AW1034" s="113" t="s">
        <v>33</v>
      </c>
      <c r="AX1034" s="113" t="s">
        <v>77</v>
      </c>
      <c r="AY1034" s="135" t="s">
        <v>211</v>
      </c>
    </row>
    <row r="1035" spans="2:65" s="136" customFormat="1">
      <c r="B1035" s="138"/>
      <c r="D1035" s="105" t="s">
        <v>365</v>
      </c>
      <c r="E1035" s="139" t="s">
        <v>1</v>
      </c>
      <c r="F1035" s="140" t="s">
        <v>872</v>
      </c>
      <c r="H1035" s="139" t="s">
        <v>1</v>
      </c>
      <c r="I1035" s="146"/>
      <c r="L1035" s="138"/>
      <c r="M1035" s="147"/>
      <c r="T1035" s="150"/>
      <c r="AT1035" s="139" t="s">
        <v>365</v>
      </c>
      <c r="AU1035" s="139" t="s">
        <v>87</v>
      </c>
      <c r="AV1035" s="136" t="s">
        <v>85</v>
      </c>
      <c r="AW1035" s="136" t="s">
        <v>33</v>
      </c>
      <c r="AX1035" s="136" t="s">
        <v>77</v>
      </c>
      <c r="AY1035" s="139" t="s">
        <v>211</v>
      </c>
    </row>
    <row r="1036" spans="2:65" s="113" customFormat="1">
      <c r="B1036" s="119"/>
      <c r="D1036" s="105" t="s">
        <v>365</v>
      </c>
      <c r="E1036" s="135" t="s">
        <v>1</v>
      </c>
      <c r="F1036" s="120" t="s">
        <v>1305</v>
      </c>
      <c r="H1036" s="121">
        <v>49.61</v>
      </c>
      <c r="I1036" s="128"/>
      <c r="L1036" s="119"/>
      <c r="M1036" s="129"/>
      <c r="T1036" s="133"/>
      <c r="AT1036" s="135" t="s">
        <v>365</v>
      </c>
      <c r="AU1036" s="135" t="s">
        <v>87</v>
      </c>
      <c r="AV1036" s="113" t="s">
        <v>87</v>
      </c>
      <c r="AW1036" s="113" t="s">
        <v>33</v>
      </c>
      <c r="AX1036" s="113" t="s">
        <v>77</v>
      </c>
      <c r="AY1036" s="135" t="s">
        <v>211</v>
      </c>
    </row>
    <row r="1037" spans="2:65" s="137" customFormat="1">
      <c r="B1037" s="141"/>
      <c r="D1037" s="105" t="s">
        <v>365</v>
      </c>
      <c r="E1037" s="142" t="s">
        <v>1</v>
      </c>
      <c r="F1037" s="143" t="s">
        <v>368</v>
      </c>
      <c r="H1037" s="144">
        <v>203.8</v>
      </c>
      <c r="I1037" s="148"/>
      <c r="L1037" s="141"/>
      <c r="M1037" s="149"/>
      <c r="T1037" s="151"/>
      <c r="AT1037" s="142" t="s">
        <v>365</v>
      </c>
      <c r="AU1037" s="142" t="s">
        <v>87</v>
      </c>
      <c r="AV1037" s="137" t="s">
        <v>218</v>
      </c>
      <c r="AW1037" s="137" t="s">
        <v>4</v>
      </c>
      <c r="AX1037" s="137" t="s">
        <v>85</v>
      </c>
      <c r="AY1037" s="142" t="s">
        <v>211</v>
      </c>
    </row>
    <row r="1038" spans="2:65" s="1" customFormat="1" ht="62.85" customHeight="1">
      <c r="B1038" s="12"/>
      <c r="C1038" s="114" t="s">
        <v>1306</v>
      </c>
      <c r="D1038" s="114" t="s">
        <v>438</v>
      </c>
      <c r="E1038" s="115" t="s">
        <v>1307</v>
      </c>
      <c r="F1038" s="116" t="s">
        <v>1308</v>
      </c>
      <c r="G1038" s="117" t="s">
        <v>279</v>
      </c>
      <c r="H1038" s="118">
        <v>234.37</v>
      </c>
      <c r="I1038" s="122">
        <v>1500</v>
      </c>
      <c r="J1038" s="123">
        <f>ROUND(I1038*H1038,2)</f>
        <v>351555</v>
      </c>
      <c r="K1038" s="124"/>
      <c r="L1038" s="125"/>
      <c r="M1038" s="126" t="s">
        <v>1</v>
      </c>
      <c r="N1038" s="127" t="s">
        <v>42</v>
      </c>
      <c r="P1038" s="95">
        <f>O1038*H1038</f>
        <v>0</v>
      </c>
      <c r="Q1038" s="95">
        <v>4.3999999999999997E-2</v>
      </c>
      <c r="R1038" s="95">
        <f>Q1038*H1038</f>
        <v>10.312279999999999</v>
      </c>
      <c r="S1038" s="95">
        <v>0</v>
      </c>
      <c r="T1038" s="99">
        <f>S1038*H1038</f>
        <v>0</v>
      </c>
      <c r="AR1038" s="101" t="s">
        <v>527</v>
      </c>
      <c r="AT1038" s="101" t="s">
        <v>438</v>
      </c>
      <c r="AU1038" s="101" t="s">
        <v>87</v>
      </c>
      <c r="AY1038" s="23" t="s">
        <v>211</v>
      </c>
      <c r="BE1038" s="104">
        <f>IF(N1038="základní",J1038,0)</f>
        <v>351555</v>
      </c>
      <c r="BF1038" s="104">
        <f>IF(N1038="snížená",J1038,0)</f>
        <v>0</v>
      </c>
      <c r="BG1038" s="104">
        <f>IF(N1038="zákl. přenesená",J1038,0)</f>
        <v>0</v>
      </c>
      <c r="BH1038" s="104">
        <f>IF(N1038="sníž. přenesená",J1038,0)</f>
        <v>0</v>
      </c>
      <c r="BI1038" s="104">
        <f>IF(N1038="nulová",J1038,0)</f>
        <v>0</v>
      </c>
      <c r="BJ1038" s="23" t="s">
        <v>85</v>
      </c>
      <c r="BK1038" s="104">
        <f>ROUND(I1038*H1038,2)</f>
        <v>351555</v>
      </c>
      <c r="BL1038" s="23" t="s">
        <v>446</v>
      </c>
      <c r="BM1038" s="101" t="s">
        <v>1309</v>
      </c>
    </row>
    <row r="1039" spans="2:65" s="113" customFormat="1">
      <c r="B1039" s="119"/>
      <c r="D1039" s="105" t="s">
        <v>365</v>
      </c>
      <c r="F1039" s="120" t="s">
        <v>1310</v>
      </c>
      <c r="H1039" s="121">
        <v>234.37</v>
      </c>
      <c r="I1039" s="128"/>
      <c r="L1039" s="119"/>
      <c r="M1039" s="129"/>
      <c r="T1039" s="133"/>
      <c r="AT1039" s="135" t="s">
        <v>365</v>
      </c>
      <c r="AU1039" s="135" t="s">
        <v>87</v>
      </c>
      <c r="AV1039" s="113" t="s">
        <v>87</v>
      </c>
      <c r="AW1039" s="113" t="s">
        <v>4</v>
      </c>
      <c r="AX1039" s="113" t="s">
        <v>85</v>
      </c>
      <c r="AY1039" s="135" t="s">
        <v>211</v>
      </c>
    </row>
    <row r="1040" spans="2:65" s="31" customFormat="1" ht="23.1" customHeight="1">
      <c r="B1040" s="67"/>
      <c r="D1040" s="68" t="s">
        <v>76</v>
      </c>
      <c r="E1040" s="70" t="s">
        <v>255</v>
      </c>
      <c r="F1040" s="70" t="s">
        <v>1311</v>
      </c>
      <c r="I1040" s="85"/>
      <c r="J1040" s="89">
        <f>BK1040</f>
        <v>5012594.26</v>
      </c>
      <c r="L1040" s="67"/>
      <c r="M1040" s="87"/>
      <c r="P1040" s="88">
        <f>SUM(P1041:P1218)</f>
        <v>0</v>
      </c>
      <c r="R1040" s="88">
        <f>SUM(R1041:R1218)</f>
        <v>1.6375435300000001</v>
      </c>
      <c r="T1040" s="98">
        <f>SUM(T1041:T1218)</f>
        <v>0</v>
      </c>
      <c r="AR1040" s="68" t="s">
        <v>85</v>
      </c>
      <c r="AT1040" s="100" t="s">
        <v>76</v>
      </c>
      <c r="AU1040" s="100" t="s">
        <v>85</v>
      </c>
      <c r="AY1040" s="68" t="s">
        <v>211</v>
      </c>
      <c r="BK1040" s="103">
        <f>SUM(BK1041:BK1218)</f>
        <v>5012594.26</v>
      </c>
    </row>
    <row r="1041" spans="2:65" s="1" customFormat="1" ht="16.5" customHeight="1">
      <c r="B1041" s="12"/>
      <c r="C1041" s="71" t="s">
        <v>1312</v>
      </c>
      <c r="D1041" s="71" t="s">
        <v>214</v>
      </c>
      <c r="E1041" s="72" t="s">
        <v>1313</v>
      </c>
      <c r="F1041" s="73" t="s">
        <v>1314</v>
      </c>
      <c r="G1041" s="74" t="s">
        <v>279</v>
      </c>
      <c r="H1041" s="75">
        <v>19.32</v>
      </c>
      <c r="I1041" s="90">
        <v>300</v>
      </c>
      <c r="J1041" s="91">
        <f>ROUND(I1041*H1041,2)</f>
        <v>5796</v>
      </c>
      <c r="K1041" s="92"/>
      <c r="L1041" s="12"/>
      <c r="M1041" s="93" t="s">
        <v>1</v>
      </c>
      <c r="N1041" s="94" t="s">
        <v>42</v>
      </c>
      <c r="P1041" s="95">
        <f>O1041*H1041</f>
        <v>0</v>
      </c>
      <c r="Q1041" s="95">
        <v>3.3E-4</v>
      </c>
      <c r="R1041" s="95">
        <f>Q1041*H1041</f>
        <v>6.3756000000000004E-3</v>
      </c>
      <c r="S1041" s="95">
        <v>0</v>
      </c>
      <c r="T1041" s="99">
        <f>S1041*H1041</f>
        <v>0</v>
      </c>
      <c r="AR1041" s="101" t="s">
        <v>218</v>
      </c>
      <c r="AT1041" s="101" t="s">
        <v>214</v>
      </c>
      <c r="AU1041" s="101" t="s">
        <v>87</v>
      </c>
      <c r="AY1041" s="23" t="s">
        <v>211</v>
      </c>
      <c r="BE1041" s="104">
        <f>IF(N1041="základní",J1041,0)</f>
        <v>5796</v>
      </c>
      <c r="BF1041" s="104">
        <f>IF(N1041="snížená",J1041,0)</f>
        <v>0</v>
      </c>
      <c r="BG1041" s="104">
        <f>IF(N1041="zákl. přenesená",J1041,0)</f>
        <v>0</v>
      </c>
      <c r="BH1041" s="104">
        <f>IF(N1041="sníž. přenesená",J1041,0)</f>
        <v>0</v>
      </c>
      <c r="BI1041" s="104">
        <f>IF(N1041="nulová",J1041,0)</f>
        <v>0</v>
      </c>
      <c r="BJ1041" s="23" t="s">
        <v>85</v>
      </c>
      <c r="BK1041" s="104">
        <f>ROUND(I1041*H1041,2)</f>
        <v>5796</v>
      </c>
      <c r="BL1041" s="23" t="s">
        <v>218</v>
      </c>
      <c r="BM1041" s="101" t="s">
        <v>1315</v>
      </c>
    </row>
    <row r="1042" spans="2:65" s="1" customFormat="1" ht="28.8">
      <c r="B1042" s="12"/>
      <c r="D1042" s="105" t="s">
        <v>227</v>
      </c>
      <c r="F1042" s="106" t="s">
        <v>1316</v>
      </c>
      <c r="I1042" s="107"/>
      <c r="L1042" s="12"/>
      <c r="M1042" s="108"/>
      <c r="T1042" s="111"/>
      <c r="AT1042" s="23" t="s">
        <v>227</v>
      </c>
      <c r="AU1042" s="23" t="s">
        <v>87</v>
      </c>
    </row>
    <row r="1043" spans="2:65" s="113" customFormat="1">
      <c r="B1043" s="119"/>
      <c r="D1043" s="105" t="s">
        <v>365</v>
      </c>
      <c r="E1043" s="135" t="s">
        <v>1</v>
      </c>
      <c r="F1043" s="120" t="s">
        <v>1317</v>
      </c>
      <c r="H1043" s="121">
        <v>19.32</v>
      </c>
      <c r="I1043" s="128"/>
      <c r="L1043" s="119"/>
      <c r="M1043" s="129"/>
      <c r="T1043" s="133"/>
      <c r="AT1043" s="135" t="s">
        <v>365</v>
      </c>
      <c r="AU1043" s="135" t="s">
        <v>87</v>
      </c>
      <c r="AV1043" s="113" t="s">
        <v>87</v>
      </c>
      <c r="AW1043" s="113" t="s">
        <v>33</v>
      </c>
      <c r="AX1043" s="113" t="s">
        <v>85</v>
      </c>
      <c r="AY1043" s="135" t="s">
        <v>211</v>
      </c>
    </row>
    <row r="1044" spans="2:65" s="1" customFormat="1" ht="24.15" customHeight="1">
      <c r="B1044" s="12"/>
      <c r="C1044" s="71" t="s">
        <v>1318</v>
      </c>
      <c r="D1044" s="71" t="s">
        <v>214</v>
      </c>
      <c r="E1044" s="72" t="s">
        <v>1319</v>
      </c>
      <c r="F1044" s="73" t="s">
        <v>1320</v>
      </c>
      <c r="G1044" s="74" t="s">
        <v>234</v>
      </c>
      <c r="H1044" s="75">
        <v>1</v>
      </c>
      <c r="I1044" s="90">
        <v>25000</v>
      </c>
      <c r="J1044" s="91">
        <f>ROUND(I1044*H1044,2)</f>
        <v>25000</v>
      </c>
      <c r="K1044" s="92"/>
      <c r="L1044" s="12"/>
      <c r="M1044" s="93" t="s">
        <v>1</v>
      </c>
      <c r="N1044" s="94" t="s">
        <v>42</v>
      </c>
      <c r="P1044" s="95">
        <f>O1044*H1044</f>
        <v>0</v>
      </c>
      <c r="Q1044" s="95">
        <v>0</v>
      </c>
      <c r="R1044" s="95">
        <f>Q1044*H1044</f>
        <v>0</v>
      </c>
      <c r="S1044" s="95">
        <v>0</v>
      </c>
      <c r="T1044" s="99">
        <f>S1044*H1044</f>
        <v>0</v>
      </c>
      <c r="AR1044" s="101" t="s">
        <v>218</v>
      </c>
      <c r="AT1044" s="101" t="s">
        <v>214</v>
      </c>
      <c r="AU1044" s="101" t="s">
        <v>87</v>
      </c>
      <c r="AY1044" s="23" t="s">
        <v>211</v>
      </c>
      <c r="BE1044" s="104">
        <f>IF(N1044="základní",J1044,0)</f>
        <v>25000</v>
      </c>
      <c r="BF1044" s="104">
        <f>IF(N1044="snížená",J1044,0)</f>
        <v>0</v>
      </c>
      <c r="BG1044" s="104">
        <f>IF(N1044="zákl. přenesená",J1044,0)</f>
        <v>0</v>
      </c>
      <c r="BH1044" s="104">
        <f>IF(N1044="sníž. přenesená",J1044,0)</f>
        <v>0</v>
      </c>
      <c r="BI1044" s="104">
        <f>IF(N1044="nulová",J1044,0)</f>
        <v>0</v>
      </c>
      <c r="BJ1044" s="23" t="s">
        <v>85</v>
      </c>
      <c r="BK1044" s="104">
        <f>ROUND(I1044*H1044,2)</f>
        <v>25000</v>
      </c>
      <c r="BL1044" s="23" t="s">
        <v>218</v>
      </c>
      <c r="BM1044" s="101" t="s">
        <v>1321</v>
      </c>
    </row>
    <row r="1045" spans="2:65" s="1" customFormat="1" ht="28.8">
      <c r="B1045" s="12"/>
      <c r="D1045" s="105" t="s">
        <v>227</v>
      </c>
      <c r="F1045" s="106" t="s">
        <v>1322</v>
      </c>
      <c r="I1045" s="107"/>
      <c r="L1045" s="12"/>
      <c r="M1045" s="108"/>
      <c r="T1045" s="111"/>
      <c r="AT1045" s="23" t="s">
        <v>227</v>
      </c>
      <c r="AU1045" s="23" t="s">
        <v>87</v>
      </c>
    </row>
    <row r="1046" spans="2:65" s="1" customFormat="1" ht="33" customHeight="1">
      <c r="B1046" s="12"/>
      <c r="C1046" s="71" t="s">
        <v>1323</v>
      </c>
      <c r="D1046" s="71" t="s">
        <v>214</v>
      </c>
      <c r="E1046" s="72" t="s">
        <v>1324</v>
      </c>
      <c r="F1046" s="73" t="s">
        <v>1325</v>
      </c>
      <c r="G1046" s="74" t="s">
        <v>279</v>
      </c>
      <c r="H1046" s="75">
        <v>1492.373</v>
      </c>
      <c r="I1046" s="90">
        <v>80</v>
      </c>
      <c r="J1046" s="91">
        <f>ROUND(I1046*H1046,2)</f>
        <v>119389.84</v>
      </c>
      <c r="K1046" s="92"/>
      <c r="L1046" s="12"/>
      <c r="M1046" s="93" t="s">
        <v>1</v>
      </c>
      <c r="N1046" s="94" t="s">
        <v>42</v>
      </c>
      <c r="P1046" s="95">
        <f>O1046*H1046</f>
        <v>0</v>
      </c>
      <c r="Q1046" s="95">
        <v>1.2999999999999999E-4</v>
      </c>
      <c r="R1046" s="95">
        <f>Q1046*H1046</f>
        <v>0.19400849000000001</v>
      </c>
      <c r="S1046" s="95">
        <v>0</v>
      </c>
      <c r="T1046" s="99">
        <f>S1046*H1046</f>
        <v>0</v>
      </c>
      <c r="AR1046" s="101" t="s">
        <v>218</v>
      </c>
      <c r="AT1046" s="101" t="s">
        <v>214</v>
      </c>
      <c r="AU1046" s="101" t="s">
        <v>87</v>
      </c>
      <c r="AY1046" s="23" t="s">
        <v>211</v>
      </c>
      <c r="BE1046" s="104">
        <f>IF(N1046="základní",J1046,0)</f>
        <v>119389.84</v>
      </c>
      <c r="BF1046" s="104">
        <f>IF(N1046="snížená",J1046,0)</f>
        <v>0</v>
      </c>
      <c r="BG1046" s="104">
        <f>IF(N1046="zákl. přenesená",J1046,0)</f>
        <v>0</v>
      </c>
      <c r="BH1046" s="104">
        <f>IF(N1046="sníž. přenesená",J1046,0)</f>
        <v>0</v>
      </c>
      <c r="BI1046" s="104">
        <f>IF(N1046="nulová",J1046,0)</f>
        <v>0</v>
      </c>
      <c r="BJ1046" s="23" t="s">
        <v>85</v>
      </c>
      <c r="BK1046" s="104">
        <f>ROUND(I1046*H1046,2)</f>
        <v>119389.84</v>
      </c>
      <c r="BL1046" s="23" t="s">
        <v>218</v>
      </c>
      <c r="BM1046" s="101" t="s">
        <v>1326</v>
      </c>
    </row>
    <row r="1047" spans="2:65" s="113" customFormat="1">
      <c r="B1047" s="119"/>
      <c r="D1047" s="105" t="s">
        <v>365</v>
      </c>
      <c r="E1047" s="135" t="s">
        <v>1</v>
      </c>
      <c r="F1047" s="120" t="s">
        <v>1327</v>
      </c>
      <c r="H1047" s="121">
        <v>1492.373</v>
      </c>
      <c r="I1047" s="128"/>
      <c r="L1047" s="119"/>
      <c r="M1047" s="129"/>
      <c r="T1047" s="133"/>
      <c r="AT1047" s="135" t="s">
        <v>365</v>
      </c>
      <c r="AU1047" s="135" t="s">
        <v>87</v>
      </c>
      <c r="AV1047" s="113" t="s">
        <v>87</v>
      </c>
      <c r="AW1047" s="113" t="s">
        <v>33</v>
      </c>
      <c r="AX1047" s="113" t="s">
        <v>85</v>
      </c>
      <c r="AY1047" s="135" t="s">
        <v>211</v>
      </c>
    </row>
    <row r="1048" spans="2:65" s="1" customFormat="1" ht="24.15" customHeight="1">
      <c r="B1048" s="12"/>
      <c r="C1048" s="71" t="s">
        <v>1328</v>
      </c>
      <c r="D1048" s="71" t="s">
        <v>214</v>
      </c>
      <c r="E1048" s="72" t="s">
        <v>1329</v>
      </c>
      <c r="F1048" s="73" t="s">
        <v>1330</v>
      </c>
      <c r="G1048" s="74" t="s">
        <v>279</v>
      </c>
      <c r="H1048" s="75">
        <v>4477.12</v>
      </c>
      <c r="I1048" s="90">
        <v>150</v>
      </c>
      <c r="J1048" s="91">
        <f>ROUND(I1048*H1048,2)</f>
        <v>671568</v>
      </c>
      <c r="K1048" s="92"/>
      <c r="L1048" s="12"/>
      <c r="M1048" s="93" t="s">
        <v>1</v>
      </c>
      <c r="N1048" s="94" t="s">
        <v>42</v>
      </c>
      <c r="P1048" s="95">
        <f>O1048*H1048</f>
        <v>0</v>
      </c>
      <c r="Q1048" s="95">
        <v>4.0000000000000003E-5</v>
      </c>
      <c r="R1048" s="95">
        <f>Q1048*H1048</f>
        <v>0.17908479999999999</v>
      </c>
      <c r="S1048" s="95">
        <v>0</v>
      </c>
      <c r="T1048" s="99">
        <f>S1048*H1048</f>
        <v>0</v>
      </c>
      <c r="AR1048" s="101" t="s">
        <v>218</v>
      </c>
      <c r="AT1048" s="101" t="s">
        <v>214</v>
      </c>
      <c r="AU1048" s="101" t="s">
        <v>87</v>
      </c>
      <c r="AY1048" s="23" t="s">
        <v>211</v>
      </c>
      <c r="BE1048" s="104">
        <f>IF(N1048="základní",J1048,0)</f>
        <v>671568</v>
      </c>
      <c r="BF1048" s="104">
        <f>IF(N1048="snížená",J1048,0)</f>
        <v>0</v>
      </c>
      <c r="BG1048" s="104">
        <f>IF(N1048="zákl. přenesená",J1048,0)</f>
        <v>0</v>
      </c>
      <c r="BH1048" s="104">
        <f>IF(N1048="sníž. přenesená",J1048,0)</f>
        <v>0</v>
      </c>
      <c r="BI1048" s="104">
        <f>IF(N1048="nulová",J1048,0)</f>
        <v>0</v>
      </c>
      <c r="BJ1048" s="23" t="s">
        <v>85</v>
      </c>
      <c r="BK1048" s="104">
        <f>ROUND(I1048*H1048,2)</f>
        <v>671568</v>
      </c>
      <c r="BL1048" s="23" t="s">
        <v>218</v>
      </c>
      <c r="BM1048" s="101" t="s">
        <v>1331</v>
      </c>
    </row>
    <row r="1049" spans="2:65" s="1" customFormat="1" ht="44.25" customHeight="1">
      <c r="B1049" s="12"/>
      <c r="C1049" s="71" t="s">
        <v>1332</v>
      </c>
      <c r="D1049" s="71" t="s">
        <v>214</v>
      </c>
      <c r="E1049" s="72" t="s">
        <v>1333</v>
      </c>
      <c r="F1049" s="73" t="s">
        <v>1334</v>
      </c>
      <c r="G1049" s="74" t="s">
        <v>431</v>
      </c>
      <c r="H1049" s="75">
        <v>26.361000000000001</v>
      </c>
      <c r="I1049" s="90">
        <v>6000</v>
      </c>
      <c r="J1049" s="91">
        <f>ROUND(I1049*H1049,2)</f>
        <v>158166</v>
      </c>
      <c r="K1049" s="92"/>
      <c r="L1049" s="12"/>
      <c r="M1049" s="93" t="s">
        <v>1</v>
      </c>
      <c r="N1049" s="94" t="s">
        <v>42</v>
      </c>
      <c r="P1049" s="95">
        <f>O1049*H1049</f>
        <v>0</v>
      </c>
      <c r="Q1049" s="95">
        <v>0</v>
      </c>
      <c r="R1049" s="95">
        <f>Q1049*H1049</f>
        <v>0</v>
      </c>
      <c r="S1049" s="95">
        <v>0</v>
      </c>
      <c r="T1049" s="99">
        <f>S1049*H1049</f>
        <v>0</v>
      </c>
      <c r="AR1049" s="101" t="s">
        <v>218</v>
      </c>
      <c r="AT1049" s="101" t="s">
        <v>214</v>
      </c>
      <c r="AU1049" s="101" t="s">
        <v>87</v>
      </c>
      <c r="AY1049" s="23" t="s">
        <v>211</v>
      </c>
      <c r="BE1049" s="104">
        <f>IF(N1049="základní",J1049,0)</f>
        <v>158166</v>
      </c>
      <c r="BF1049" s="104">
        <f>IF(N1049="snížená",J1049,0)</f>
        <v>0</v>
      </c>
      <c r="BG1049" s="104">
        <f>IF(N1049="zákl. přenesená",J1049,0)</f>
        <v>0</v>
      </c>
      <c r="BH1049" s="104">
        <f>IF(N1049="sníž. přenesená",J1049,0)</f>
        <v>0</v>
      </c>
      <c r="BI1049" s="104">
        <f>IF(N1049="nulová",J1049,0)</f>
        <v>0</v>
      </c>
      <c r="BJ1049" s="23" t="s">
        <v>85</v>
      </c>
      <c r="BK1049" s="104">
        <f>ROUND(I1049*H1049,2)</f>
        <v>158166</v>
      </c>
      <c r="BL1049" s="23" t="s">
        <v>218</v>
      </c>
      <c r="BM1049" s="101" t="s">
        <v>1335</v>
      </c>
    </row>
    <row r="1050" spans="2:65" s="1" customFormat="1" ht="19.2">
      <c r="B1050" s="12"/>
      <c r="D1050" s="105" t="s">
        <v>227</v>
      </c>
      <c r="F1050" s="106" t="s">
        <v>1336</v>
      </c>
      <c r="I1050" s="107"/>
      <c r="L1050" s="12"/>
      <c r="M1050" s="108"/>
      <c r="T1050" s="111"/>
      <c r="AT1050" s="23" t="s">
        <v>227</v>
      </c>
      <c r="AU1050" s="23" t="s">
        <v>87</v>
      </c>
    </row>
    <row r="1051" spans="2:65" s="1" customFormat="1" ht="49.35" customHeight="1">
      <c r="B1051" s="12"/>
      <c r="C1051" s="71" t="s">
        <v>1337</v>
      </c>
      <c r="D1051" s="71" t="s">
        <v>214</v>
      </c>
      <c r="E1051" s="72" t="s">
        <v>1338</v>
      </c>
      <c r="F1051" s="73" t="s">
        <v>1339</v>
      </c>
      <c r="G1051" s="74" t="s">
        <v>431</v>
      </c>
      <c r="H1051" s="75">
        <v>8.4120000000000008</v>
      </c>
      <c r="I1051" s="90">
        <v>5000</v>
      </c>
      <c r="J1051" s="91">
        <f>ROUND(I1051*H1051,2)</f>
        <v>42060</v>
      </c>
      <c r="K1051" s="92"/>
      <c r="L1051" s="12"/>
      <c r="M1051" s="93" t="s">
        <v>1</v>
      </c>
      <c r="N1051" s="94" t="s">
        <v>42</v>
      </c>
      <c r="P1051" s="95">
        <f>O1051*H1051</f>
        <v>0</v>
      </c>
      <c r="Q1051" s="95">
        <v>0</v>
      </c>
      <c r="R1051" s="95">
        <f>Q1051*H1051</f>
        <v>0</v>
      </c>
      <c r="S1051" s="95">
        <v>0</v>
      </c>
      <c r="T1051" s="99">
        <f>S1051*H1051</f>
        <v>0</v>
      </c>
      <c r="AR1051" s="101" t="s">
        <v>218</v>
      </c>
      <c r="AT1051" s="101" t="s">
        <v>214</v>
      </c>
      <c r="AU1051" s="101" t="s">
        <v>87</v>
      </c>
      <c r="AY1051" s="23" t="s">
        <v>211</v>
      </c>
      <c r="BE1051" s="104">
        <f>IF(N1051="základní",J1051,0)</f>
        <v>42060</v>
      </c>
      <c r="BF1051" s="104">
        <f>IF(N1051="snížená",J1051,0)</f>
        <v>0</v>
      </c>
      <c r="BG1051" s="104">
        <f>IF(N1051="zákl. přenesená",J1051,0)</f>
        <v>0</v>
      </c>
      <c r="BH1051" s="104">
        <f>IF(N1051="sníž. přenesená",J1051,0)</f>
        <v>0</v>
      </c>
      <c r="BI1051" s="104">
        <f>IF(N1051="nulová",J1051,0)</f>
        <v>0</v>
      </c>
      <c r="BJ1051" s="23" t="s">
        <v>85</v>
      </c>
      <c r="BK1051" s="104">
        <f>ROUND(I1051*H1051,2)</f>
        <v>42060</v>
      </c>
      <c r="BL1051" s="23" t="s">
        <v>218</v>
      </c>
      <c r="BM1051" s="101" t="s">
        <v>1340</v>
      </c>
    </row>
    <row r="1052" spans="2:65" s="1" customFormat="1" ht="19.2">
      <c r="B1052" s="12"/>
      <c r="D1052" s="105" t="s">
        <v>227</v>
      </c>
      <c r="F1052" s="106" t="s">
        <v>1341</v>
      </c>
      <c r="I1052" s="107"/>
      <c r="L1052" s="12"/>
      <c r="M1052" s="108"/>
      <c r="T1052" s="111"/>
      <c r="AT1052" s="23" t="s">
        <v>227</v>
      </c>
      <c r="AU1052" s="23" t="s">
        <v>87</v>
      </c>
    </row>
    <row r="1053" spans="2:65" s="1" customFormat="1" ht="44.25" customHeight="1">
      <c r="B1053" s="12"/>
      <c r="C1053" s="71" t="s">
        <v>1342</v>
      </c>
      <c r="D1053" s="71" t="s">
        <v>214</v>
      </c>
      <c r="E1053" s="72" t="s">
        <v>1343</v>
      </c>
      <c r="F1053" s="73" t="s">
        <v>1344</v>
      </c>
      <c r="G1053" s="74" t="s">
        <v>431</v>
      </c>
      <c r="H1053" s="75">
        <v>85.433999999999997</v>
      </c>
      <c r="I1053" s="90">
        <v>5500</v>
      </c>
      <c r="J1053" s="91">
        <f>ROUND(I1053*H1053,2)</f>
        <v>469887</v>
      </c>
      <c r="K1053" s="92"/>
      <c r="L1053" s="12"/>
      <c r="M1053" s="93" t="s">
        <v>1</v>
      </c>
      <c r="N1053" s="94" t="s">
        <v>42</v>
      </c>
      <c r="P1053" s="95">
        <f>O1053*H1053</f>
        <v>0</v>
      </c>
      <c r="Q1053" s="95">
        <v>0</v>
      </c>
      <c r="R1053" s="95">
        <f>Q1053*H1053</f>
        <v>0</v>
      </c>
      <c r="S1053" s="95">
        <v>0</v>
      </c>
      <c r="T1053" s="99">
        <f>S1053*H1053</f>
        <v>0</v>
      </c>
      <c r="AR1053" s="101" t="s">
        <v>218</v>
      </c>
      <c r="AT1053" s="101" t="s">
        <v>214</v>
      </c>
      <c r="AU1053" s="101" t="s">
        <v>87</v>
      </c>
      <c r="AY1053" s="23" t="s">
        <v>211</v>
      </c>
      <c r="BE1053" s="104">
        <f>IF(N1053="základní",J1053,0)</f>
        <v>469887</v>
      </c>
      <c r="BF1053" s="104">
        <f>IF(N1053="snížená",J1053,0)</f>
        <v>0</v>
      </c>
      <c r="BG1053" s="104">
        <f>IF(N1053="zákl. přenesená",J1053,0)</f>
        <v>0</v>
      </c>
      <c r="BH1053" s="104">
        <f>IF(N1053="sníž. přenesená",J1053,0)</f>
        <v>0</v>
      </c>
      <c r="BI1053" s="104">
        <f>IF(N1053="nulová",J1053,0)</f>
        <v>0</v>
      </c>
      <c r="BJ1053" s="23" t="s">
        <v>85</v>
      </c>
      <c r="BK1053" s="104">
        <f>ROUND(I1053*H1053,2)</f>
        <v>469887</v>
      </c>
      <c r="BL1053" s="23" t="s">
        <v>218</v>
      </c>
      <c r="BM1053" s="101" t="s">
        <v>1345</v>
      </c>
    </row>
    <row r="1054" spans="2:65" s="1" customFormat="1" ht="19.2">
      <c r="B1054" s="12"/>
      <c r="D1054" s="105" t="s">
        <v>227</v>
      </c>
      <c r="F1054" s="106" t="s">
        <v>1346</v>
      </c>
      <c r="I1054" s="107"/>
      <c r="L1054" s="12"/>
      <c r="M1054" s="108"/>
      <c r="T1054" s="111"/>
      <c r="AT1054" s="23" t="s">
        <v>227</v>
      </c>
      <c r="AU1054" s="23" t="s">
        <v>87</v>
      </c>
    </row>
    <row r="1055" spans="2:65" s="1" customFormat="1" ht="44.25" customHeight="1">
      <c r="B1055" s="12"/>
      <c r="C1055" s="71" t="s">
        <v>1347</v>
      </c>
      <c r="D1055" s="71" t="s">
        <v>214</v>
      </c>
      <c r="E1055" s="72" t="s">
        <v>1348</v>
      </c>
      <c r="F1055" s="73" t="s">
        <v>1349</v>
      </c>
      <c r="G1055" s="74" t="s">
        <v>431</v>
      </c>
      <c r="H1055" s="75">
        <v>48.1</v>
      </c>
      <c r="I1055" s="90">
        <v>5500</v>
      </c>
      <c r="J1055" s="91">
        <f>ROUND(I1055*H1055,2)</f>
        <v>264550</v>
      </c>
      <c r="K1055" s="92"/>
      <c r="L1055" s="12"/>
      <c r="M1055" s="93" t="s">
        <v>1</v>
      </c>
      <c r="N1055" s="94" t="s">
        <v>42</v>
      </c>
      <c r="P1055" s="95">
        <f>O1055*H1055</f>
        <v>0</v>
      </c>
      <c r="Q1055" s="95">
        <v>0</v>
      </c>
      <c r="R1055" s="95">
        <f>Q1055*H1055</f>
        <v>0</v>
      </c>
      <c r="S1055" s="95">
        <v>0</v>
      </c>
      <c r="T1055" s="99">
        <f>S1055*H1055</f>
        <v>0</v>
      </c>
      <c r="AR1055" s="101" t="s">
        <v>218</v>
      </c>
      <c r="AT1055" s="101" t="s">
        <v>214</v>
      </c>
      <c r="AU1055" s="101" t="s">
        <v>87</v>
      </c>
      <c r="AY1055" s="23" t="s">
        <v>211</v>
      </c>
      <c r="BE1055" s="104">
        <f>IF(N1055="základní",J1055,0)</f>
        <v>264550</v>
      </c>
      <c r="BF1055" s="104">
        <f>IF(N1055="snížená",J1055,0)</f>
        <v>0</v>
      </c>
      <c r="BG1055" s="104">
        <f>IF(N1055="zákl. přenesená",J1055,0)</f>
        <v>0</v>
      </c>
      <c r="BH1055" s="104">
        <f>IF(N1055="sníž. přenesená",J1055,0)</f>
        <v>0</v>
      </c>
      <c r="BI1055" s="104">
        <f>IF(N1055="nulová",J1055,0)</f>
        <v>0</v>
      </c>
      <c r="BJ1055" s="23" t="s">
        <v>85</v>
      </c>
      <c r="BK1055" s="104">
        <f>ROUND(I1055*H1055,2)</f>
        <v>264550</v>
      </c>
      <c r="BL1055" s="23" t="s">
        <v>218</v>
      </c>
      <c r="BM1055" s="101" t="s">
        <v>1350</v>
      </c>
    </row>
    <row r="1056" spans="2:65" s="1" customFormat="1" ht="19.2">
      <c r="B1056" s="12"/>
      <c r="D1056" s="105" t="s">
        <v>227</v>
      </c>
      <c r="F1056" s="106" t="s">
        <v>1351</v>
      </c>
      <c r="I1056" s="107"/>
      <c r="L1056" s="12"/>
      <c r="M1056" s="108"/>
      <c r="T1056" s="111"/>
      <c r="AT1056" s="23" t="s">
        <v>227</v>
      </c>
      <c r="AU1056" s="23" t="s">
        <v>87</v>
      </c>
    </row>
    <row r="1057" spans="2:65" s="1" customFormat="1" ht="16.5" customHeight="1">
      <c r="B1057" s="12"/>
      <c r="C1057" s="71" t="s">
        <v>1352</v>
      </c>
      <c r="D1057" s="71" t="s">
        <v>214</v>
      </c>
      <c r="E1057" s="72" t="s">
        <v>1353</v>
      </c>
      <c r="F1057" s="73" t="s">
        <v>1354</v>
      </c>
      <c r="G1057" s="74" t="s">
        <v>808</v>
      </c>
      <c r="H1057" s="75">
        <v>25</v>
      </c>
      <c r="I1057" s="90">
        <v>1500</v>
      </c>
      <c r="J1057" s="91">
        <f>ROUND(I1057*H1057,2)</f>
        <v>37500</v>
      </c>
      <c r="K1057" s="92"/>
      <c r="L1057" s="12"/>
      <c r="M1057" s="93" t="s">
        <v>1</v>
      </c>
      <c r="N1057" s="94" t="s">
        <v>42</v>
      </c>
      <c r="P1057" s="95">
        <f>O1057*H1057</f>
        <v>0</v>
      </c>
      <c r="Q1057" s="95">
        <v>0</v>
      </c>
      <c r="R1057" s="95">
        <f>Q1057*H1057</f>
        <v>0</v>
      </c>
      <c r="S1057" s="95">
        <v>0</v>
      </c>
      <c r="T1057" s="99">
        <f>S1057*H1057</f>
        <v>0</v>
      </c>
      <c r="AR1057" s="101" t="s">
        <v>218</v>
      </c>
      <c r="AT1057" s="101" t="s">
        <v>214</v>
      </c>
      <c r="AU1057" s="101" t="s">
        <v>87</v>
      </c>
      <c r="AY1057" s="23" t="s">
        <v>211</v>
      </c>
      <c r="BE1057" s="104">
        <f>IF(N1057="základní",J1057,0)</f>
        <v>37500</v>
      </c>
      <c r="BF1057" s="104">
        <f>IF(N1057="snížená",J1057,0)</f>
        <v>0</v>
      </c>
      <c r="BG1057" s="104">
        <f>IF(N1057="zákl. přenesená",J1057,0)</f>
        <v>0</v>
      </c>
      <c r="BH1057" s="104">
        <f>IF(N1057="sníž. přenesená",J1057,0)</f>
        <v>0</v>
      </c>
      <c r="BI1057" s="104">
        <f>IF(N1057="nulová",J1057,0)</f>
        <v>0</v>
      </c>
      <c r="BJ1057" s="23" t="s">
        <v>85</v>
      </c>
      <c r="BK1057" s="104">
        <f>ROUND(I1057*H1057,2)</f>
        <v>37500</v>
      </c>
      <c r="BL1057" s="23" t="s">
        <v>218</v>
      </c>
      <c r="BM1057" s="101" t="s">
        <v>1355</v>
      </c>
    </row>
    <row r="1058" spans="2:65" s="1" customFormat="1" ht="19.2">
      <c r="B1058" s="12"/>
      <c r="D1058" s="105" t="s">
        <v>227</v>
      </c>
      <c r="F1058" s="106" t="s">
        <v>1356</v>
      </c>
      <c r="I1058" s="107"/>
      <c r="L1058" s="12"/>
      <c r="M1058" s="108"/>
      <c r="T1058" s="111"/>
      <c r="AT1058" s="23" t="s">
        <v>227</v>
      </c>
      <c r="AU1058" s="23" t="s">
        <v>87</v>
      </c>
    </row>
    <row r="1059" spans="2:65" s="1" customFormat="1" ht="16.5" customHeight="1">
      <c r="B1059" s="12"/>
      <c r="C1059" s="71" t="s">
        <v>1357</v>
      </c>
      <c r="D1059" s="71" t="s">
        <v>214</v>
      </c>
      <c r="E1059" s="72" t="s">
        <v>1358</v>
      </c>
      <c r="F1059" s="73" t="s">
        <v>1359</v>
      </c>
      <c r="G1059" s="74" t="s">
        <v>808</v>
      </c>
      <c r="H1059" s="75">
        <v>4</v>
      </c>
      <c r="I1059" s="90">
        <v>1700</v>
      </c>
      <c r="J1059" s="91">
        <f>ROUND(I1059*H1059,2)</f>
        <v>6800</v>
      </c>
      <c r="K1059" s="92"/>
      <c r="L1059" s="12"/>
      <c r="M1059" s="93" t="s">
        <v>1</v>
      </c>
      <c r="N1059" s="94" t="s">
        <v>42</v>
      </c>
      <c r="P1059" s="95">
        <f>O1059*H1059</f>
        <v>0</v>
      </c>
      <c r="Q1059" s="95">
        <v>0</v>
      </c>
      <c r="R1059" s="95">
        <f>Q1059*H1059</f>
        <v>0</v>
      </c>
      <c r="S1059" s="95">
        <v>0</v>
      </c>
      <c r="T1059" s="99">
        <f>S1059*H1059</f>
        <v>0</v>
      </c>
      <c r="AR1059" s="101" t="s">
        <v>218</v>
      </c>
      <c r="AT1059" s="101" t="s">
        <v>214</v>
      </c>
      <c r="AU1059" s="101" t="s">
        <v>87</v>
      </c>
      <c r="AY1059" s="23" t="s">
        <v>211</v>
      </c>
      <c r="BE1059" s="104">
        <f>IF(N1059="základní",J1059,0)</f>
        <v>6800</v>
      </c>
      <c r="BF1059" s="104">
        <f>IF(N1059="snížená",J1059,0)</f>
        <v>0</v>
      </c>
      <c r="BG1059" s="104">
        <f>IF(N1059="zákl. přenesená",J1059,0)</f>
        <v>0</v>
      </c>
      <c r="BH1059" s="104">
        <f>IF(N1059="sníž. přenesená",J1059,0)</f>
        <v>0</v>
      </c>
      <c r="BI1059" s="104">
        <f>IF(N1059="nulová",J1059,0)</f>
        <v>0</v>
      </c>
      <c r="BJ1059" s="23" t="s">
        <v>85</v>
      </c>
      <c r="BK1059" s="104">
        <f>ROUND(I1059*H1059,2)</f>
        <v>6800</v>
      </c>
      <c r="BL1059" s="23" t="s">
        <v>218</v>
      </c>
      <c r="BM1059" s="101" t="s">
        <v>1360</v>
      </c>
    </row>
    <row r="1060" spans="2:65" s="1" customFormat="1" ht="19.2">
      <c r="B1060" s="12"/>
      <c r="D1060" s="105" t="s">
        <v>227</v>
      </c>
      <c r="F1060" s="106" t="s">
        <v>1356</v>
      </c>
      <c r="I1060" s="107"/>
      <c r="L1060" s="12"/>
      <c r="M1060" s="108"/>
      <c r="T1060" s="111"/>
      <c r="AT1060" s="23" t="s">
        <v>227</v>
      </c>
      <c r="AU1060" s="23" t="s">
        <v>87</v>
      </c>
    </row>
    <row r="1061" spans="2:65" s="1" customFormat="1" ht="16.5" customHeight="1">
      <c r="B1061" s="12"/>
      <c r="C1061" s="71" t="s">
        <v>1361</v>
      </c>
      <c r="D1061" s="71" t="s">
        <v>214</v>
      </c>
      <c r="E1061" s="72" t="s">
        <v>1362</v>
      </c>
      <c r="F1061" s="73" t="s">
        <v>1363</v>
      </c>
      <c r="G1061" s="74" t="s">
        <v>808</v>
      </c>
      <c r="H1061" s="75">
        <v>2</v>
      </c>
      <c r="I1061" s="90">
        <v>2200</v>
      </c>
      <c r="J1061" s="91">
        <f>ROUND(I1061*H1061,2)</f>
        <v>4400</v>
      </c>
      <c r="K1061" s="92"/>
      <c r="L1061" s="12"/>
      <c r="M1061" s="93" t="s">
        <v>1</v>
      </c>
      <c r="N1061" s="94" t="s">
        <v>42</v>
      </c>
      <c r="P1061" s="95">
        <f>O1061*H1061</f>
        <v>0</v>
      </c>
      <c r="Q1061" s="95">
        <v>0</v>
      </c>
      <c r="R1061" s="95">
        <f>Q1061*H1061</f>
        <v>0</v>
      </c>
      <c r="S1061" s="95">
        <v>0</v>
      </c>
      <c r="T1061" s="99">
        <f>S1061*H1061</f>
        <v>0</v>
      </c>
      <c r="AR1061" s="101" t="s">
        <v>218</v>
      </c>
      <c r="AT1061" s="101" t="s">
        <v>214</v>
      </c>
      <c r="AU1061" s="101" t="s">
        <v>87</v>
      </c>
      <c r="AY1061" s="23" t="s">
        <v>211</v>
      </c>
      <c r="BE1061" s="104">
        <f>IF(N1061="základní",J1061,0)</f>
        <v>4400</v>
      </c>
      <c r="BF1061" s="104">
        <f>IF(N1061="snížená",J1061,0)</f>
        <v>0</v>
      </c>
      <c r="BG1061" s="104">
        <f>IF(N1061="zákl. přenesená",J1061,0)</f>
        <v>0</v>
      </c>
      <c r="BH1061" s="104">
        <f>IF(N1061="sníž. přenesená",J1061,0)</f>
        <v>0</v>
      </c>
      <c r="BI1061" s="104">
        <f>IF(N1061="nulová",J1061,0)</f>
        <v>0</v>
      </c>
      <c r="BJ1061" s="23" t="s">
        <v>85</v>
      </c>
      <c r="BK1061" s="104">
        <f>ROUND(I1061*H1061,2)</f>
        <v>4400</v>
      </c>
      <c r="BL1061" s="23" t="s">
        <v>218</v>
      </c>
      <c r="BM1061" s="101" t="s">
        <v>1364</v>
      </c>
    </row>
    <row r="1062" spans="2:65" s="1" customFormat="1" ht="19.2">
      <c r="B1062" s="12"/>
      <c r="D1062" s="105" t="s">
        <v>227</v>
      </c>
      <c r="F1062" s="106" t="s">
        <v>1356</v>
      </c>
      <c r="I1062" s="107"/>
      <c r="L1062" s="12"/>
      <c r="M1062" s="108"/>
      <c r="T1062" s="111"/>
      <c r="AT1062" s="23" t="s">
        <v>227</v>
      </c>
      <c r="AU1062" s="23" t="s">
        <v>87</v>
      </c>
    </row>
    <row r="1063" spans="2:65" s="1" customFormat="1" ht="55.5" customHeight="1">
      <c r="B1063" s="12"/>
      <c r="C1063" s="71" t="s">
        <v>1365</v>
      </c>
      <c r="D1063" s="71" t="s">
        <v>214</v>
      </c>
      <c r="E1063" s="72" t="s">
        <v>1366</v>
      </c>
      <c r="F1063" s="73" t="s">
        <v>1367</v>
      </c>
      <c r="G1063" s="74" t="s">
        <v>808</v>
      </c>
      <c r="H1063" s="75">
        <v>45</v>
      </c>
      <c r="I1063" s="90">
        <v>3000</v>
      </c>
      <c r="J1063" s="91">
        <f>ROUND(I1063*H1063,2)</f>
        <v>135000</v>
      </c>
      <c r="K1063" s="92"/>
      <c r="L1063" s="12"/>
      <c r="M1063" s="93" t="s">
        <v>1</v>
      </c>
      <c r="N1063" s="94" t="s">
        <v>42</v>
      </c>
      <c r="P1063" s="95">
        <f>O1063*H1063</f>
        <v>0</v>
      </c>
      <c r="Q1063" s="95">
        <v>0</v>
      </c>
      <c r="R1063" s="95">
        <f>Q1063*H1063</f>
        <v>0</v>
      </c>
      <c r="S1063" s="95">
        <v>0</v>
      </c>
      <c r="T1063" s="99">
        <f>S1063*H1063</f>
        <v>0</v>
      </c>
      <c r="AR1063" s="101" t="s">
        <v>218</v>
      </c>
      <c r="AT1063" s="101" t="s">
        <v>214</v>
      </c>
      <c r="AU1063" s="101" t="s">
        <v>87</v>
      </c>
      <c r="AY1063" s="23" t="s">
        <v>211</v>
      </c>
      <c r="BE1063" s="104">
        <f>IF(N1063="základní",J1063,0)</f>
        <v>135000</v>
      </c>
      <c r="BF1063" s="104">
        <f>IF(N1063="snížená",J1063,0)</f>
        <v>0</v>
      </c>
      <c r="BG1063" s="104">
        <f>IF(N1063="zákl. přenesená",J1063,0)</f>
        <v>0</v>
      </c>
      <c r="BH1063" s="104">
        <f>IF(N1063="sníž. přenesená",J1063,0)</f>
        <v>0</v>
      </c>
      <c r="BI1063" s="104">
        <f>IF(N1063="nulová",J1063,0)</f>
        <v>0</v>
      </c>
      <c r="BJ1063" s="23" t="s">
        <v>85</v>
      </c>
      <c r="BK1063" s="104">
        <f>ROUND(I1063*H1063,2)</f>
        <v>135000</v>
      </c>
      <c r="BL1063" s="23" t="s">
        <v>218</v>
      </c>
      <c r="BM1063" s="101" t="s">
        <v>1368</v>
      </c>
    </row>
    <row r="1064" spans="2:65" s="1" customFormat="1" ht="19.2">
      <c r="B1064" s="12"/>
      <c r="D1064" s="105" t="s">
        <v>227</v>
      </c>
      <c r="F1064" s="106" t="s">
        <v>1369</v>
      </c>
      <c r="I1064" s="107"/>
      <c r="L1064" s="12"/>
      <c r="M1064" s="108"/>
      <c r="T1064" s="111"/>
      <c r="AT1064" s="23" t="s">
        <v>227</v>
      </c>
      <c r="AU1064" s="23" t="s">
        <v>87</v>
      </c>
    </row>
    <row r="1065" spans="2:65" s="1" customFormat="1" ht="44.25" customHeight="1">
      <c r="B1065" s="12"/>
      <c r="C1065" s="71" t="s">
        <v>1370</v>
      </c>
      <c r="D1065" s="71" t="s">
        <v>214</v>
      </c>
      <c r="E1065" s="72" t="s">
        <v>1371</v>
      </c>
      <c r="F1065" s="73" t="s">
        <v>1372</v>
      </c>
      <c r="G1065" s="74" t="s">
        <v>808</v>
      </c>
      <c r="H1065" s="75">
        <v>5</v>
      </c>
      <c r="I1065" s="90">
        <v>4100</v>
      </c>
      <c r="J1065" s="91">
        <f>ROUND(I1065*H1065,2)</f>
        <v>20500</v>
      </c>
      <c r="K1065" s="92"/>
      <c r="L1065" s="12"/>
      <c r="M1065" s="93" t="s">
        <v>1</v>
      </c>
      <c r="N1065" s="94" t="s">
        <v>42</v>
      </c>
      <c r="P1065" s="95">
        <f>O1065*H1065</f>
        <v>0</v>
      </c>
      <c r="Q1065" s="95">
        <v>0</v>
      </c>
      <c r="R1065" s="95">
        <f>Q1065*H1065</f>
        <v>0</v>
      </c>
      <c r="S1065" s="95">
        <v>0</v>
      </c>
      <c r="T1065" s="99">
        <f>S1065*H1065</f>
        <v>0</v>
      </c>
      <c r="AR1065" s="101" t="s">
        <v>218</v>
      </c>
      <c r="AT1065" s="101" t="s">
        <v>214</v>
      </c>
      <c r="AU1065" s="101" t="s">
        <v>87</v>
      </c>
      <c r="AY1065" s="23" t="s">
        <v>211</v>
      </c>
      <c r="BE1065" s="104">
        <f>IF(N1065="základní",J1065,0)</f>
        <v>20500</v>
      </c>
      <c r="BF1065" s="104">
        <f>IF(N1065="snížená",J1065,0)</f>
        <v>0</v>
      </c>
      <c r="BG1065" s="104">
        <f>IF(N1065="zákl. přenesená",J1065,0)</f>
        <v>0</v>
      </c>
      <c r="BH1065" s="104">
        <f>IF(N1065="sníž. přenesená",J1065,0)</f>
        <v>0</v>
      </c>
      <c r="BI1065" s="104">
        <f>IF(N1065="nulová",J1065,0)</f>
        <v>0</v>
      </c>
      <c r="BJ1065" s="23" t="s">
        <v>85</v>
      </c>
      <c r="BK1065" s="104">
        <f>ROUND(I1065*H1065,2)</f>
        <v>20500</v>
      </c>
      <c r="BL1065" s="23" t="s">
        <v>218</v>
      </c>
      <c r="BM1065" s="101" t="s">
        <v>1373</v>
      </c>
    </row>
    <row r="1066" spans="2:65" s="1" customFormat="1" ht="19.2">
      <c r="B1066" s="12"/>
      <c r="D1066" s="105" t="s">
        <v>227</v>
      </c>
      <c r="F1066" s="106" t="s">
        <v>1369</v>
      </c>
      <c r="I1066" s="107"/>
      <c r="L1066" s="12"/>
      <c r="M1066" s="108"/>
      <c r="T1066" s="111"/>
      <c r="AT1066" s="23" t="s">
        <v>227</v>
      </c>
      <c r="AU1066" s="23" t="s">
        <v>87</v>
      </c>
    </row>
    <row r="1067" spans="2:65" s="1" customFormat="1" ht="55.5" customHeight="1">
      <c r="B1067" s="12"/>
      <c r="C1067" s="71" t="s">
        <v>1374</v>
      </c>
      <c r="D1067" s="71" t="s">
        <v>214</v>
      </c>
      <c r="E1067" s="72" t="s">
        <v>1375</v>
      </c>
      <c r="F1067" s="73" t="s">
        <v>1376</v>
      </c>
      <c r="G1067" s="74" t="s">
        <v>808</v>
      </c>
      <c r="H1067" s="75">
        <v>31</v>
      </c>
      <c r="I1067" s="90">
        <v>3300</v>
      </c>
      <c r="J1067" s="91">
        <f>ROUND(I1067*H1067,2)</f>
        <v>102300</v>
      </c>
      <c r="K1067" s="92"/>
      <c r="L1067" s="12"/>
      <c r="M1067" s="93" t="s">
        <v>1</v>
      </c>
      <c r="N1067" s="94" t="s">
        <v>42</v>
      </c>
      <c r="P1067" s="95">
        <f>O1067*H1067</f>
        <v>0</v>
      </c>
      <c r="Q1067" s="95">
        <v>0</v>
      </c>
      <c r="R1067" s="95">
        <f>Q1067*H1067</f>
        <v>0</v>
      </c>
      <c r="S1067" s="95">
        <v>0</v>
      </c>
      <c r="T1067" s="99">
        <f>S1067*H1067</f>
        <v>0</v>
      </c>
      <c r="AR1067" s="101" t="s">
        <v>218</v>
      </c>
      <c r="AT1067" s="101" t="s">
        <v>214</v>
      </c>
      <c r="AU1067" s="101" t="s">
        <v>87</v>
      </c>
      <c r="AY1067" s="23" t="s">
        <v>211</v>
      </c>
      <c r="BE1067" s="104">
        <f>IF(N1067="základní",J1067,0)</f>
        <v>102300</v>
      </c>
      <c r="BF1067" s="104">
        <f>IF(N1067="snížená",J1067,0)</f>
        <v>0</v>
      </c>
      <c r="BG1067" s="104">
        <f>IF(N1067="zákl. přenesená",J1067,0)</f>
        <v>0</v>
      </c>
      <c r="BH1067" s="104">
        <f>IF(N1067="sníž. přenesená",J1067,0)</f>
        <v>0</v>
      </c>
      <c r="BI1067" s="104">
        <f>IF(N1067="nulová",J1067,0)</f>
        <v>0</v>
      </c>
      <c r="BJ1067" s="23" t="s">
        <v>85</v>
      </c>
      <c r="BK1067" s="104">
        <f>ROUND(I1067*H1067,2)</f>
        <v>102300</v>
      </c>
      <c r="BL1067" s="23" t="s">
        <v>218</v>
      </c>
      <c r="BM1067" s="101" t="s">
        <v>1377</v>
      </c>
    </row>
    <row r="1068" spans="2:65" s="1" customFormat="1" ht="19.2">
      <c r="B1068" s="12"/>
      <c r="D1068" s="105" t="s">
        <v>227</v>
      </c>
      <c r="F1068" s="106" t="s">
        <v>1369</v>
      </c>
      <c r="I1068" s="107"/>
      <c r="L1068" s="12"/>
      <c r="M1068" s="108"/>
      <c r="T1068" s="111"/>
      <c r="AT1068" s="23" t="s">
        <v>227</v>
      </c>
      <c r="AU1068" s="23" t="s">
        <v>87</v>
      </c>
    </row>
    <row r="1069" spans="2:65" s="1" customFormat="1" ht="38.1" customHeight="1">
      <c r="B1069" s="12"/>
      <c r="C1069" s="71" t="s">
        <v>1378</v>
      </c>
      <c r="D1069" s="71" t="s">
        <v>214</v>
      </c>
      <c r="E1069" s="72" t="s">
        <v>1379</v>
      </c>
      <c r="F1069" s="73" t="s">
        <v>1380</v>
      </c>
      <c r="G1069" s="74" t="s">
        <v>808</v>
      </c>
      <c r="H1069" s="75">
        <v>4</v>
      </c>
      <c r="I1069" s="90">
        <v>11200</v>
      </c>
      <c r="J1069" s="91">
        <f>ROUND(I1069*H1069,2)</f>
        <v>44800</v>
      </c>
      <c r="K1069" s="92"/>
      <c r="L1069" s="12"/>
      <c r="M1069" s="93" t="s">
        <v>1</v>
      </c>
      <c r="N1069" s="94" t="s">
        <v>42</v>
      </c>
      <c r="P1069" s="95">
        <f>O1069*H1069</f>
        <v>0</v>
      </c>
      <c r="Q1069" s="95">
        <v>0</v>
      </c>
      <c r="R1069" s="95">
        <f>Q1069*H1069</f>
        <v>0</v>
      </c>
      <c r="S1069" s="95">
        <v>0</v>
      </c>
      <c r="T1069" s="99">
        <f>S1069*H1069</f>
        <v>0</v>
      </c>
      <c r="AR1069" s="101" t="s">
        <v>218</v>
      </c>
      <c r="AT1069" s="101" t="s">
        <v>214</v>
      </c>
      <c r="AU1069" s="101" t="s">
        <v>87</v>
      </c>
      <c r="AY1069" s="23" t="s">
        <v>211</v>
      </c>
      <c r="BE1069" s="104">
        <f>IF(N1069="základní",J1069,0)</f>
        <v>44800</v>
      </c>
      <c r="BF1069" s="104">
        <f>IF(N1069="snížená",J1069,0)</f>
        <v>0</v>
      </c>
      <c r="BG1069" s="104">
        <f>IF(N1069="zákl. přenesená",J1069,0)</f>
        <v>0</v>
      </c>
      <c r="BH1069" s="104">
        <f>IF(N1069="sníž. přenesená",J1069,0)</f>
        <v>0</v>
      </c>
      <c r="BI1069" s="104">
        <f>IF(N1069="nulová",J1069,0)</f>
        <v>0</v>
      </c>
      <c r="BJ1069" s="23" t="s">
        <v>85</v>
      </c>
      <c r="BK1069" s="104">
        <f>ROUND(I1069*H1069,2)</f>
        <v>44800</v>
      </c>
      <c r="BL1069" s="23" t="s">
        <v>218</v>
      </c>
      <c r="BM1069" s="101" t="s">
        <v>1381</v>
      </c>
    </row>
    <row r="1070" spans="2:65" s="1" customFormat="1" ht="19.2">
      <c r="B1070" s="12"/>
      <c r="D1070" s="105" t="s">
        <v>227</v>
      </c>
      <c r="F1070" s="106" t="s">
        <v>1382</v>
      </c>
      <c r="I1070" s="107"/>
      <c r="L1070" s="12"/>
      <c r="M1070" s="108"/>
      <c r="T1070" s="111"/>
      <c r="AT1070" s="23" t="s">
        <v>227</v>
      </c>
      <c r="AU1070" s="23" t="s">
        <v>87</v>
      </c>
    </row>
    <row r="1071" spans="2:65" s="1" customFormat="1" ht="38.1" customHeight="1">
      <c r="B1071" s="12"/>
      <c r="C1071" s="71" t="s">
        <v>1383</v>
      </c>
      <c r="D1071" s="71" t="s">
        <v>214</v>
      </c>
      <c r="E1071" s="72" t="s">
        <v>1384</v>
      </c>
      <c r="F1071" s="73" t="s">
        <v>1385</v>
      </c>
      <c r="G1071" s="74" t="s">
        <v>808</v>
      </c>
      <c r="H1071" s="75">
        <v>2</v>
      </c>
      <c r="I1071" s="90">
        <v>5700</v>
      </c>
      <c r="J1071" s="91">
        <f>ROUND(I1071*H1071,2)</f>
        <v>11400</v>
      </c>
      <c r="K1071" s="92"/>
      <c r="L1071" s="12"/>
      <c r="M1071" s="93" t="s">
        <v>1</v>
      </c>
      <c r="N1071" s="94" t="s">
        <v>42</v>
      </c>
      <c r="P1071" s="95">
        <f>O1071*H1071</f>
        <v>0</v>
      </c>
      <c r="Q1071" s="95">
        <v>0</v>
      </c>
      <c r="R1071" s="95">
        <f>Q1071*H1071</f>
        <v>0</v>
      </c>
      <c r="S1071" s="95">
        <v>0</v>
      </c>
      <c r="T1071" s="99">
        <f>S1071*H1071</f>
        <v>0</v>
      </c>
      <c r="AR1071" s="101" t="s">
        <v>218</v>
      </c>
      <c r="AT1071" s="101" t="s">
        <v>214</v>
      </c>
      <c r="AU1071" s="101" t="s">
        <v>87</v>
      </c>
      <c r="AY1071" s="23" t="s">
        <v>211</v>
      </c>
      <c r="BE1071" s="104">
        <f>IF(N1071="základní",J1071,0)</f>
        <v>11400</v>
      </c>
      <c r="BF1071" s="104">
        <f>IF(N1071="snížená",J1071,0)</f>
        <v>0</v>
      </c>
      <c r="BG1071" s="104">
        <f>IF(N1071="zákl. přenesená",J1071,0)</f>
        <v>0</v>
      </c>
      <c r="BH1071" s="104">
        <f>IF(N1071="sníž. přenesená",J1071,0)</f>
        <v>0</v>
      </c>
      <c r="BI1071" s="104">
        <f>IF(N1071="nulová",J1071,0)</f>
        <v>0</v>
      </c>
      <c r="BJ1071" s="23" t="s">
        <v>85</v>
      </c>
      <c r="BK1071" s="104">
        <f>ROUND(I1071*H1071,2)</f>
        <v>11400</v>
      </c>
      <c r="BL1071" s="23" t="s">
        <v>218</v>
      </c>
      <c r="BM1071" s="101" t="s">
        <v>1386</v>
      </c>
    </row>
    <row r="1072" spans="2:65" s="1" customFormat="1" ht="19.2">
      <c r="B1072" s="12"/>
      <c r="D1072" s="105" t="s">
        <v>227</v>
      </c>
      <c r="F1072" s="106" t="s">
        <v>1382</v>
      </c>
      <c r="I1072" s="107"/>
      <c r="L1072" s="12"/>
      <c r="M1072" s="108"/>
      <c r="T1072" s="111"/>
      <c r="AT1072" s="23" t="s">
        <v>227</v>
      </c>
      <c r="AU1072" s="23" t="s">
        <v>87</v>
      </c>
    </row>
    <row r="1073" spans="2:65" s="1" customFormat="1" ht="38.1" customHeight="1">
      <c r="B1073" s="12"/>
      <c r="C1073" s="71" t="s">
        <v>1387</v>
      </c>
      <c r="D1073" s="71" t="s">
        <v>214</v>
      </c>
      <c r="E1073" s="72" t="s">
        <v>1388</v>
      </c>
      <c r="F1073" s="73" t="s">
        <v>1389</v>
      </c>
      <c r="G1073" s="74" t="s">
        <v>808</v>
      </c>
      <c r="H1073" s="75">
        <v>2</v>
      </c>
      <c r="I1073" s="90">
        <v>48000</v>
      </c>
      <c r="J1073" s="91">
        <f>ROUND(I1073*H1073,2)</f>
        <v>96000</v>
      </c>
      <c r="K1073" s="92"/>
      <c r="L1073" s="12"/>
      <c r="M1073" s="93" t="s">
        <v>1</v>
      </c>
      <c r="N1073" s="94" t="s">
        <v>42</v>
      </c>
      <c r="P1073" s="95">
        <f>O1073*H1073</f>
        <v>0</v>
      </c>
      <c r="Q1073" s="95">
        <v>0</v>
      </c>
      <c r="R1073" s="95">
        <f>Q1073*H1073</f>
        <v>0</v>
      </c>
      <c r="S1073" s="95">
        <v>0</v>
      </c>
      <c r="T1073" s="99">
        <f>S1073*H1073</f>
        <v>0</v>
      </c>
      <c r="AR1073" s="101" t="s">
        <v>218</v>
      </c>
      <c r="AT1073" s="101" t="s">
        <v>214</v>
      </c>
      <c r="AU1073" s="101" t="s">
        <v>87</v>
      </c>
      <c r="AY1073" s="23" t="s">
        <v>211</v>
      </c>
      <c r="BE1073" s="104">
        <f>IF(N1073="základní",J1073,0)</f>
        <v>96000</v>
      </c>
      <c r="BF1073" s="104">
        <f>IF(N1073="snížená",J1073,0)</f>
        <v>0</v>
      </c>
      <c r="BG1073" s="104">
        <f>IF(N1073="zákl. přenesená",J1073,0)</f>
        <v>0</v>
      </c>
      <c r="BH1073" s="104">
        <f>IF(N1073="sníž. přenesená",J1073,0)</f>
        <v>0</v>
      </c>
      <c r="BI1073" s="104">
        <f>IF(N1073="nulová",J1073,0)</f>
        <v>0</v>
      </c>
      <c r="BJ1073" s="23" t="s">
        <v>85</v>
      </c>
      <c r="BK1073" s="104">
        <f>ROUND(I1073*H1073,2)</f>
        <v>96000</v>
      </c>
      <c r="BL1073" s="23" t="s">
        <v>218</v>
      </c>
      <c r="BM1073" s="101" t="s">
        <v>1390</v>
      </c>
    </row>
    <row r="1074" spans="2:65" s="1" customFormat="1" ht="19.2">
      <c r="B1074" s="12"/>
      <c r="D1074" s="105" t="s">
        <v>227</v>
      </c>
      <c r="F1074" s="106" t="s">
        <v>1382</v>
      </c>
      <c r="I1074" s="107"/>
      <c r="L1074" s="12"/>
      <c r="M1074" s="108"/>
      <c r="T1074" s="111"/>
      <c r="AT1074" s="23" t="s">
        <v>227</v>
      </c>
      <c r="AU1074" s="23" t="s">
        <v>87</v>
      </c>
    </row>
    <row r="1075" spans="2:65" s="1" customFormat="1" ht="55.5" customHeight="1">
      <c r="B1075" s="12"/>
      <c r="C1075" s="71" t="s">
        <v>1391</v>
      </c>
      <c r="D1075" s="71" t="s">
        <v>214</v>
      </c>
      <c r="E1075" s="72" t="s">
        <v>1392</v>
      </c>
      <c r="F1075" s="73" t="s">
        <v>1376</v>
      </c>
      <c r="G1075" s="74" t="s">
        <v>808</v>
      </c>
      <c r="H1075" s="75">
        <v>8</v>
      </c>
      <c r="I1075" s="90">
        <v>3300</v>
      </c>
      <c r="J1075" s="91">
        <f>ROUND(I1075*H1075,2)</f>
        <v>26400</v>
      </c>
      <c r="K1075" s="92"/>
      <c r="L1075" s="12"/>
      <c r="M1075" s="93" t="s">
        <v>1</v>
      </c>
      <c r="N1075" s="94" t="s">
        <v>42</v>
      </c>
      <c r="P1075" s="95">
        <f>O1075*H1075</f>
        <v>0</v>
      </c>
      <c r="Q1075" s="95">
        <v>0</v>
      </c>
      <c r="R1075" s="95">
        <f>Q1075*H1075</f>
        <v>0</v>
      </c>
      <c r="S1075" s="95">
        <v>0</v>
      </c>
      <c r="T1075" s="99">
        <f>S1075*H1075</f>
        <v>0</v>
      </c>
      <c r="AR1075" s="101" t="s">
        <v>218</v>
      </c>
      <c r="AT1075" s="101" t="s">
        <v>214</v>
      </c>
      <c r="AU1075" s="101" t="s">
        <v>87</v>
      </c>
      <c r="AY1075" s="23" t="s">
        <v>211</v>
      </c>
      <c r="BE1075" s="104">
        <f>IF(N1075="základní",J1075,0)</f>
        <v>26400</v>
      </c>
      <c r="BF1075" s="104">
        <f>IF(N1075="snížená",J1075,0)</f>
        <v>0</v>
      </c>
      <c r="BG1075" s="104">
        <f>IF(N1075="zákl. přenesená",J1075,0)</f>
        <v>0</v>
      </c>
      <c r="BH1075" s="104">
        <f>IF(N1075="sníž. přenesená",J1075,0)</f>
        <v>0</v>
      </c>
      <c r="BI1075" s="104">
        <f>IF(N1075="nulová",J1075,0)</f>
        <v>0</v>
      </c>
      <c r="BJ1075" s="23" t="s">
        <v>85</v>
      </c>
      <c r="BK1075" s="104">
        <f>ROUND(I1075*H1075,2)</f>
        <v>26400</v>
      </c>
      <c r="BL1075" s="23" t="s">
        <v>218</v>
      </c>
      <c r="BM1075" s="101" t="s">
        <v>1393</v>
      </c>
    </row>
    <row r="1076" spans="2:65" s="1" customFormat="1" ht="19.2">
      <c r="B1076" s="12"/>
      <c r="D1076" s="105" t="s">
        <v>227</v>
      </c>
      <c r="F1076" s="106" t="s">
        <v>1369</v>
      </c>
      <c r="I1076" s="107"/>
      <c r="L1076" s="12"/>
      <c r="M1076" s="108"/>
      <c r="T1076" s="111"/>
      <c r="AT1076" s="23" t="s">
        <v>227</v>
      </c>
      <c r="AU1076" s="23" t="s">
        <v>87</v>
      </c>
    </row>
    <row r="1077" spans="2:65" s="1" customFormat="1" ht="55.5" customHeight="1">
      <c r="B1077" s="12"/>
      <c r="C1077" s="71" t="s">
        <v>1394</v>
      </c>
      <c r="D1077" s="71" t="s">
        <v>214</v>
      </c>
      <c r="E1077" s="72" t="s">
        <v>1395</v>
      </c>
      <c r="F1077" s="73" t="s">
        <v>1376</v>
      </c>
      <c r="G1077" s="74" t="s">
        <v>808</v>
      </c>
      <c r="H1077" s="75">
        <v>11</v>
      </c>
      <c r="I1077" s="90">
        <v>3300</v>
      </c>
      <c r="J1077" s="91">
        <f>ROUND(I1077*H1077,2)</f>
        <v>36300</v>
      </c>
      <c r="K1077" s="92"/>
      <c r="L1077" s="12"/>
      <c r="M1077" s="93" t="s">
        <v>1</v>
      </c>
      <c r="N1077" s="94" t="s">
        <v>42</v>
      </c>
      <c r="P1077" s="95">
        <f>O1077*H1077</f>
        <v>0</v>
      </c>
      <c r="Q1077" s="95">
        <v>0</v>
      </c>
      <c r="R1077" s="95">
        <f>Q1077*H1077</f>
        <v>0</v>
      </c>
      <c r="S1077" s="95">
        <v>0</v>
      </c>
      <c r="T1077" s="99">
        <f>S1077*H1077</f>
        <v>0</v>
      </c>
      <c r="AR1077" s="101" t="s">
        <v>218</v>
      </c>
      <c r="AT1077" s="101" t="s">
        <v>214</v>
      </c>
      <c r="AU1077" s="101" t="s">
        <v>87</v>
      </c>
      <c r="AY1077" s="23" t="s">
        <v>211</v>
      </c>
      <c r="BE1077" s="104">
        <f>IF(N1077="základní",J1077,0)</f>
        <v>36300</v>
      </c>
      <c r="BF1077" s="104">
        <f>IF(N1077="snížená",J1077,0)</f>
        <v>0</v>
      </c>
      <c r="BG1077" s="104">
        <f>IF(N1077="zákl. přenesená",J1077,0)</f>
        <v>0</v>
      </c>
      <c r="BH1077" s="104">
        <f>IF(N1077="sníž. přenesená",J1077,0)</f>
        <v>0</v>
      </c>
      <c r="BI1077" s="104">
        <f>IF(N1077="nulová",J1077,0)</f>
        <v>0</v>
      </c>
      <c r="BJ1077" s="23" t="s">
        <v>85</v>
      </c>
      <c r="BK1077" s="104">
        <f>ROUND(I1077*H1077,2)</f>
        <v>36300</v>
      </c>
      <c r="BL1077" s="23" t="s">
        <v>218</v>
      </c>
      <c r="BM1077" s="101" t="s">
        <v>1396</v>
      </c>
    </row>
    <row r="1078" spans="2:65" s="1" customFormat="1" ht="19.2">
      <c r="B1078" s="12"/>
      <c r="D1078" s="105" t="s">
        <v>227</v>
      </c>
      <c r="F1078" s="106" t="s">
        <v>1369</v>
      </c>
      <c r="I1078" s="107"/>
      <c r="L1078" s="12"/>
      <c r="M1078" s="108"/>
      <c r="T1078" s="111"/>
      <c r="AT1078" s="23" t="s">
        <v>227</v>
      </c>
      <c r="AU1078" s="23" t="s">
        <v>87</v>
      </c>
    </row>
    <row r="1079" spans="2:65" s="1" customFormat="1" ht="55.5" customHeight="1">
      <c r="B1079" s="12"/>
      <c r="C1079" s="71" t="s">
        <v>1397</v>
      </c>
      <c r="D1079" s="71" t="s">
        <v>214</v>
      </c>
      <c r="E1079" s="72" t="s">
        <v>1398</v>
      </c>
      <c r="F1079" s="73" t="s">
        <v>1399</v>
      </c>
      <c r="G1079" s="74" t="s">
        <v>808</v>
      </c>
      <c r="H1079" s="75">
        <v>1</v>
      </c>
      <c r="I1079" s="90">
        <v>2500</v>
      </c>
      <c r="J1079" s="91">
        <f>ROUND(I1079*H1079,2)</f>
        <v>2500</v>
      </c>
      <c r="K1079" s="92"/>
      <c r="L1079" s="12"/>
      <c r="M1079" s="93" t="s">
        <v>1</v>
      </c>
      <c r="N1079" s="94" t="s">
        <v>42</v>
      </c>
      <c r="P1079" s="95">
        <f>O1079*H1079</f>
        <v>0</v>
      </c>
      <c r="Q1079" s="95">
        <v>0</v>
      </c>
      <c r="R1079" s="95">
        <f>Q1079*H1079</f>
        <v>0</v>
      </c>
      <c r="S1079" s="95">
        <v>0</v>
      </c>
      <c r="T1079" s="99">
        <f>S1079*H1079</f>
        <v>0</v>
      </c>
      <c r="AR1079" s="101" t="s">
        <v>218</v>
      </c>
      <c r="AT1079" s="101" t="s">
        <v>214</v>
      </c>
      <c r="AU1079" s="101" t="s">
        <v>87</v>
      </c>
      <c r="AY1079" s="23" t="s">
        <v>211</v>
      </c>
      <c r="BE1079" s="104">
        <f>IF(N1079="základní",J1079,0)</f>
        <v>2500</v>
      </c>
      <c r="BF1079" s="104">
        <f>IF(N1079="snížená",J1079,0)</f>
        <v>0</v>
      </c>
      <c r="BG1079" s="104">
        <f>IF(N1079="zákl. přenesená",J1079,0)</f>
        <v>0</v>
      </c>
      <c r="BH1079" s="104">
        <f>IF(N1079="sníž. přenesená",J1079,0)</f>
        <v>0</v>
      </c>
      <c r="BI1079" s="104">
        <f>IF(N1079="nulová",J1079,0)</f>
        <v>0</v>
      </c>
      <c r="BJ1079" s="23" t="s">
        <v>85</v>
      </c>
      <c r="BK1079" s="104">
        <f>ROUND(I1079*H1079,2)</f>
        <v>2500</v>
      </c>
      <c r="BL1079" s="23" t="s">
        <v>218</v>
      </c>
      <c r="BM1079" s="101" t="s">
        <v>1400</v>
      </c>
    </row>
    <row r="1080" spans="2:65" s="1" customFormat="1" ht="19.2">
      <c r="B1080" s="12"/>
      <c r="D1080" s="105" t="s">
        <v>227</v>
      </c>
      <c r="F1080" s="106" t="s">
        <v>1369</v>
      </c>
      <c r="I1080" s="107"/>
      <c r="L1080" s="12"/>
      <c r="M1080" s="108"/>
      <c r="T1080" s="111"/>
      <c r="AT1080" s="23" t="s">
        <v>227</v>
      </c>
      <c r="AU1080" s="23" t="s">
        <v>87</v>
      </c>
    </row>
    <row r="1081" spans="2:65" s="1" customFormat="1" ht="44.25" customHeight="1">
      <c r="B1081" s="12"/>
      <c r="C1081" s="71" t="s">
        <v>1401</v>
      </c>
      <c r="D1081" s="71" t="s">
        <v>214</v>
      </c>
      <c r="E1081" s="72" t="s">
        <v>1402</v>
      </c>
      <c r="F1081" s="73" t="s">
        <v>1403</v>
      </c>
      <c r="G1081" s="74" t="s">
        <v>808</v>
      </c>
      <c r="H1081" s="75">
        <v>5</v>
      </c>
      <c r="I1081" s="90">
        <v>2800</v>
      </c>
      <c r="J1081" s="91">
        <f>ROUND(I1081*H1081,2)</f>
        <v>14000</v>
      </c>
      <c r="K1081" s="92"/>
      <c r="L1081" s="12"/>
      <c r="M1081" s="93" t="s">
        <v>1</v>
      </c>
      <c r="N1081" s="94" t="s">
        <v>42</v>
      </c>
      <c r="P1081" s="95">
        <f>O1081*H1081</f>
        <v>0</v>
      </c>
      <c r="Q1081" s="95">
        <v>0</v>
      </c>
      <c r="R1081" s="95">
        <f>Q1081*H1081</f>
        <v>0</v>
      </c>
      <c r="S1081" s="95">
        <v>0</v>
      </c>
      <c r="T1081" s="99">
        <f>S1081*H1081</f>
        <v>0</v>
      </c>
      <c r="AR1081" s="101" t="s">
        <v>218</v>
      </c>
      <c r="AT1081" s="101" t="s">
        <v>214</v>
      </c>
      <c r="AU1081" s="101" t="s">
        <v>87</v>
      </c>
      <c r="AY1081" s="23" t="s">
        <v>211</v>
      </c>
      <c r="BE1081" s="104">
        <f>IF(N1081="základní",J1081,0)</f>
        <v>14000</v>
      </c>
      <c r="BF1081" s="104">
        <f>IF(N1081="snížená",J1081,0)</f>
        <v>0</v>
      </c>
      <c r="BG1081" s="104">
        <f>IF(N1081="zákl. přenesená",J1081,0)</f>
        <v>0</v>
      </c>
      <c r="BH1081" s="104">
        <f>IF(N1081="sníž. přenesená",J1081,0)</f>
        <v>0</v>
      </c>
      <c r="BI1081" s="104">
        <f>IF(N1081="nulová",J1081,0)</f>
        <v>0</v>
      </c>
      <c r="BJ1081" s="23" t="s">
        <v>85</v>
      </c>
      <c r="BK1081" s="104">
        <f>ROUND(I1081*H1081,2)</f>
        <v>14000</v>
      </c>
      <c r="BL1081" s="23" t="s">
        <v>218</v>
      </c>
      <c r="BM1081" s="101" t="s">
        <v>1404</v>
      </c>
    </row>
    <row r="1082" spans="2:65" s="1" customFormat="1" ht="19.2">
      <c r="B1082" s="12"/>
      <c r="D1082" s="105" t="s">
        <v>227</v>
      </c>
      <c r="F1082" s="106" t="s">
        <v>1369</v>
      </c>
      <c r="I1082" s="107"/>
      <c r="L1082" s="12"/>
      <c r="M1082" s="108"/>
      <c r="T1082" s="111"/>
      <c r="AT1082" s="23" t="s">
        <v>227</v>
      </c>
      <c r="AU1082" s="23" t="s">
        <v>87</v>
      </c>
    </row>
    <row r="1083" spans="2:65" s="1" customFormat="1" ht="44.25" customHeight="1">
      <c r="B1083" s="12"/>
      <c r="C1083" s="71" t="s">
        <v>1405</v>
      </c>
      <c r="D1083" s="71" t="s">
        <v>214</v>
      </c>
      <c r="E1083" s="72" t="s">
        <v>1406</v>
      </c>
      <c r="F1083" s="73" t="s">
        <v>1372</v>
      </c>
      <c r="G1083" s="74" t="s">
        <v>808</v>
      </c>
      <c r="H1083" s="75">
        <v>18</v>
      </c>
      <c r="I1083" s="90">
        <v>3900</v>
      </c>
      <c r="J1083" s="91">
        <f>ROUND(I1083*H1083,2)</f>
        <v>70200</v>
      </c>
      <c r="K1083" s="92"/>
      <c r="L1083" s="12"/>
      <c r="M1083" s="93" t="s">
        <v>1</v>
      </c>
      <c r="N1083" s="94" t="s">
        <v>42</v>
      </c>
      <c r="P1083" s="95">
        <f>O1083*H1083</f>
        <v>0</v>
      </c>
      <c r="Q1083" s="95">
        <v>0</v>
      </c>
      <c r="R1083" s="95">
        <f>Q1083*H1083</f>
        <v>0</v>
      </c>
      <c r="S1083" s="95">
        <v>0</v>
      </c>
      <c r="T1083" s="99">
        <f>S1083*H1083</f>
        <v>0</v>
      </c>
      <c r="AR1083" s="101" t="s">
        <v>218</v>
      </c>
      <c r="AT1083" s="101" t="s">
        <v>214</v>
      </c>
      <c r="AU1083" s="101" t="s">
        <v>87</v>
      </c>
      <c r="AY1083" s="23" t="s">
        <v>211</v>
      </c>
      <c r="BE1083" s="104">
        <f>IF(N1083="základní",J1083,0)</f>
        <v>70200</v>
      </c>
      <c r="BF1083" s="104">
        <f>IF(N1083="snížená",J1083,0)</f>
        <v>0</v>
      </c>
      <c r="BG1083" s="104">
        <f>IF(N1083="zákl. přenesená",J1083,0)</f>
        <v>0</v>
      </c>
      <c r="BH1083" s="104">
        <f>IF(N1083="sníž. přenesená",J1083,0)</f>
        <v>0</v>
      </c>
      <c r="BI1083" s="104">
        <f>IF(N1083="nulová",J1083,0)</f>
        <v>0</v>
      </c>
      <c r="BJ1083" s="23" t="s">
        <v>85</v>
      </c>
      <c r="BK1083" s="104">
        <f>ROUND(I1083*H1083,2)</f>
        <v>70200</v>
      </c>
      <c r="BL1083" s="23" t="s">
        <v>218</v>
      </c>
      <c r="BM1083" s="101" t="s">
        <v>1407</v>
      </c>
    </row>
    <row r="1084" spans="2:65" s="1" customFormat="1" ht="19.2">
      <c r="B1084" s="12"/>
      <c r="D1084" s="105" t="s">
        <v>227</v>
      </c>
      <c r="F1084" s="106" t="s">
        <v>1369</v>
      </c>
      <c r="I1084" s="107"/>
      <c r="L1084" s="12"/>
      <c r="M1084" s="108"/>
      <c r="T1084" s="111"/>
      <c r="AT1084" s="23" t="s">
        <v>227</v>
      </c>
      <c r="AU1084" s="23" t="s">
        <v>87</v>
      </c>
    </row>
    <row r="1085" spans="2:65" s="1" customFormat="1" ht="55.5" customHeight="1">
      <c r="B1085" s="12"/>
      <c r="C1085" s="71" t="s">
        <v>1408</v>
      </c>
      <c r="D1085" s="71" t="s">
        <v>214</v>
      </c>
      <c r="E1085" s="72" t="s">
        <v>1409</v>
      </c>
      <c r="F1085" s="73" t="s">
        <v>1367</v>
      </c>
      <c r="G1085" s="74" t="s">
        <v>808</v>
      </c>
      <c r="H1085" s="75">
        <v>2</v>
      </c>
      <c r="I1085" s="90">
        <v>3300</v>
      </c>
      <c r="J1085" s="91">
        <f>ROUND(I1085*H1085,2)</f>
        <v>6600</v>
      </c>
      <c r="K1085" s="92"/>
      <c r="L1085" s="12"/>
      <c r="M1085" s="93" t="s">
        <v>1</v>
      </c>
      <c r="N1085" s="94" t="s">
        <v>42</v>
      </c>
      <c r="P1085" s="95">
        <f>O1085*H1085</f>
        <v>0</v>
      </c>
      <c r="Q1085" s="95">
        <v>0</v>
      </c>
      <c r="R1085" s="95">
        <f>Q1085*H1085</f>
        <v>0</v>
      </c>
      <c r="S1085" s="95">
        <v>0</v>
      </c>
      <c r="T1085" s="99">
        <f>S1085*H1085</f>
        <v>0</v>
      </c>
      <c r="AR1085" s="101" t="s">
        <v>218</v>
      </c>
      <c r="AT1085" s="101" t="s">
        <v>214</v>
      </c>
      <c r="AU1085" s="101" t="s">
        <v>87</v>
      </c>
      <c r="AY1085" s="23" t="s">
        <v>211</v>
      </c>
      <c r="BE1085" s="104">
        <f>IF(N1085="základní",J1085,0)</f>
        <v>6600</v>
      </c>
      <c r="BF1085" s="104">
        <f>IF(N1085="snížená",J1085,0)</f>
        <v>0</v>
      </c>
      <c r="BG1085" s="104">
        <f>IF(N1085="zákl. přenesená",J1085,0)</f>
        <v>0</v>
      </c>
      <c r="BH1085" s="104">
        <f>IF(N1085="sníž. přenesená",J1085,0)</f>
        <v>0</v>
      </c>
      <c r="BI1085" s="104">
        <f>IF(N1085="nulová",J1085,0)</f>
        <v>0</v>
      </c>
      <c r="BJ1085" s="23" t="s">
        <v>85</v>
      </c>
      <c r="BK1085" s="104">
        <f>ROUND(I1085*H1085,2)</f>
        <v>6600</v>
      </c>
      <c r="BL1085" s="23" t="s">
        <v>218</v>
      </c>
      <c r="BM1085" s="101" t="s">
        <v>1410</v>
      </c>
    </row>
    <row r="1086" spans="2:65" s="1" customFormat="1" ht="19.2">
      <c r="B1086" s="12"/>
      <c r="D1086" s="105" t="s">
        <v>227</v>
      </c>
      <c r="F1086" s="106" t="s">
        <v>1369</v>
      </c>
      <c r="I1086" s="107"/>
      <c r="L1086" s="12"/>
      <c r="M1086" s="108"/>
      <c r="T1086" s="111"/>
      <c r="AT1086" s="23" t="s">
        <v>227</v>
      </c>
      <c r="AU1086" s="23" t="s">
        <v>87</v>
      </c>
    </row>
    <row r="1087" spans="2:65" s="1" customFormat="1" ht="55.5" customHeight="1">
      <c r="B1087" s="12"/>
      <c r="C1087" s="71" t="s">
        <v>1411</v>
      </c>
      <c r="D1087" s="71" t="s">
        <v>214</v>
      </c>
      <c r="E1087" s="72" t="s">
        <v>1412</v>
      </c>
      <c r="F1087" s="73" t="s">
        <v>1413</v>
      </c>
      <c r="G1087" s="74" t="s">
        <v>808</v>
      </c>
      <c r="H1087" s="75">
        <v>9</v>
      </c>
      <c r="I1087" s="90">
        <v>2500</v>
      </c>
      <c r="J1087" s="91">
        <f>ROUND(I1087*H1087,2)</f>
        <v>22500</v>
      </c>
      <c r="K1087" s="92"/>
      <c r="L1087" s="12"/>
      <c r="M1087" s="93" t="s">
        <v>1</v>
      </c>
      <c r="N1087" s="94" t="s">
        <v>42</v>
      </c>
      <c r="P1087" s="95">
        <f>O1087*H1087</f>
        <v>0</v>
      </c>
      <c r="Q1087" s="95">
        <v>0</v>
      </c>
      <c r="R1087" s="95">
        <f>Q1087*H1087</f>
        <v>0</v>
      </c>
      <c r="S1087" s="95">
        <v>0</v>
      </c>
      <c r="T1087" s="99">
        <f>S1087*H1087</f>
        <v>0</v>
      </c>
      <c r="AR1087" s="101" t="s">
        <v>218</v>
      </c>
      <c r="AT1087" s="101" t="s">
        <v>214</v>
      </c>
      <c r="AU1087" s="101" t="s">
        <v>87</v>
      </c>
      <c r="AY1087" s="23" t="s">
        <v>211</v>
      </c>
      <c r="BE1087" s="104">
        <f>IF(N1087="základní",J1087,0)</f>
        <v>22500</v>
      </c>
      <c r="BF1087" s="104">
        <f>IF(N1087="snížená",J1087,0)</f>
        <v>0</v>
      </c>
      <c r="BG1087" s="104">
        <f>IF(N1087="zákl. přenesená",J1087,0)</f>
        <v>0</v>
      </c>
      <c r="BH1087" s="104">
        <f>IF(N1087="sníž. přenesená",J1087,0)</f>
        <v>0</v>
      </c>
      <c r="BI1087" s="104">
        <f>IF(N1087="nulová",J1087,0)</f>
        <v>0</v>
      </c>
      <c r="BJ1087" s="23" t="s">
        <v>85</v>
      </c>
      <c r="BK1087" s="104">
        <f>ROUND(I1087*H1087,2)</f>
        <v>22500</v>
      </c>
      <c r="BL1087" s="23" t="s">
        <v>218</v>
      </c>
      <c r="BM1087" s="101" t="s">
        <v>1414</v>
      </c>
    </row>
    <row r="1088" spans="2:65" s="1" customFormat="1" ht="19.2">
      <c r="B1088" s="12"/>
      <c r="D1088" s="105" t="s">
        <v>227</v>
      </c>
      <c r="F1088" s="106" t="s">
        <v>1369</v>
      </c>
      <c r="I1088" s="107"/>
      <c r="L1088" s="12"/>
      <c r="M1088" s="108"/>
      <c r="T1088" s="111"/>
      <c r="AT1088" s="23" t="s">
        <v>227</v>
      </c>
      <c r="AU1088" s="23" t="s">
        <v>87</v>
      </c>
    </row>
    <row r="1089" spans="2:65" s="1" customFormat="1" ht="33" customHeight="1">
      <c r="B1089" s="12"/>
      <c r="C1089" s="71" t="s">
        <v>1415</v>
      </c>
      <c r="D1089" s="71" t="s">
        <v>214</v>
      </c>
      <c r="E1089" s="72" t="s">
        <v>1416</v>
      </c>
      <c r="F1089" s="73" t="s">
        <v>1417</v>
      </c>
      <c r="G1089" s="74" t="s">
        <v>808</v>
      </c>
      <c r="H1089" s="75">
        <v>62</v>
      </c>
      <c r="I1089" s="90">
        <v>1500</v>
      </c>
      <c r="J1089" s="91">
        <f>ROUND(I1089*H1089,2)</f>
        <v>93000</v>
      </c>
      <c r="K1089" s="92"/>
      <c r="L1089" s="12"/>
      <c r="M1089" s="93" t="s">
        <v>1</v>
      </c>
      <c r="N1089" s="94" t="s">
        <v>42</v>
      </c>
      <c r="P1089" s="95">
        <f>O1089*H1089</f>
        <v>0</v>
      </c>
      <c r="Q1089" s="95">
        <v>0</v>
      </c>
      <c r="R1089" s="95">
        <f>Q1089*H1089</f>
        <v>0</v>
      </c>
      <c r="S1089" s="95">
        <v>0</v>
      </c>
      <c r="T1089" s="99">
        <f>S1089*H1089</f>
        <v>0</v>
      </c>
      <c r="AR1089" s="101" t="s">
        <v>218</v>
      </c>
      <c r="AT1089" s="101" t="s">
        <v>214</v>
      </c>
      <c r="AU1089" s="101" t="s">
        <v>87</v>
      </c>
      <c r="AY1089" s="23" t="s">
        <v>211</v>
      </c>
      <c r="BE1089" s="104">
        <f>IF(N1089="základní",J1089,0)</f>
        <v>93000</v>
      </c>
      <c r="BF1089" s="104">
        <f>IF(N1089="snížená",J1089,0)</f>
        <v>0</v>
      </c>
      <c r="BG1089" s="104">
        <f>IF(N1089="zákl. přenesená",J1089,0)</f>
        <v>0</v>
      </c>
      <c r="BH1089" s="104">
        <f>IF(N1089="sníž. přenesená",J1089,0)</f>
        <v>0</v>
      </c>
      <c r="BI1089" s="104">
        <f>IF(N1089="nulová",J1089,0)</f>
        <v>0</v>
      </c>
      <c r="BJ1089" s="23" t="s">
        <v>85</v>
      </c>
      <c r="BK1089" s="104">
        <f>ROUND(I1089*H1089,2)</f>
        <v>93000</v>
      </c>
      <c r="BL1089" s="23" t="s">
        <v>218</v>
      </c>
      <c r="BM1089" s="101" t="s">
        <v>1418</v>
      </c>
    </row>
    <row r="1090" spans="2:65" s="1" customFormat="1" ht="24.15" customHeight="1">
      <c r="B1090" s="12"/>
      <c r="C1090" s="71" t="s">
        <v>1419</v>
      </c>
      <c r="D1090" s="71" t="s">
        <v>214</v>
      </c>
      <c r="E1090" s="72" t="s">
        <v>1420</v>
      </c>
      <c r="F1090" s="73" t="s">
        <v>1421</v>
      </c>
      <c r="G1090" s="74" t="s">
        <v>808</v>
      </c>
      <c r="H1090" s="75">
        <v>15</v>
      </c>
      <c r="I1090" s="90">
        <v>750</v>
      </c>
      <c r="J1090" s="91">
        <f>ROUND(I1090*H1090,2)</f>
        <v>11250</v>
      </c>
      <c r="K1090" s="92"/>
      <c r="L1090" s="12"/>
      <c r="M1090" s="93" t="s">
        <v>1</v>
      </c>
      <c r="N1090" s="94" t="s">
        <v>42</v>
      </c>
      <c r="P1090" s="95">
        <f>O1090*H1090</f>
        <v>0</v>
      </c>
      <c r="Q1090" s="95">
        <v>0</v>
      </c>
      <c r="R1090" s="95">
        <f>Q1090*H1090</f>
        <v>0</v>
      </c>
      <c r="S1090" s="95">
        <v>0</v>
      </c>
      <c r="T1090" s="99">
        <f>S1090*H1090</f>
        <v>0</v>
      </c>
      <c r="AR1090" s="101" t="s">
        <v>218</v>
      </c>
      <c r="AT1090" s="101" t="s">
        <v>214</v>
      </c>
      <c r="AU1090" s="101" t="s">
        <v>87</v>
      </c>
      <c r="AY1090" s="23" t="s">
        <v>211</v>
      </c>
      <c r="BE1090" s="104">
        <f>IF(N1090="základní",J1090,0)</f>
        <v>11250</v>
      </c>
      <c r="BF1090" s="104">
        <f>IF(N1090="snížená",J1090,0)</f>
        <v>0</v>
      </c>
      <c r="BG1090" s="104">
        <f>IF(N1090="zákl. přenesená",J1090,0)</f>
        <v>0</v>
      </c>
      <c r="BH1090" s="104">
        <f>IF(N1090="sníž. přenesená",J1090,0)</f>
        <v>0</v>
      </c>
      <c r="BI1090" s="104">
        <f>IF(N1090="nulová",J1090,0)</f>
        <v>0</v>
      </c>
      <c r="BJ1090" s="23" t="s">
        <v>85</v>
      </c>
      <c r="BK1090" s="104">
        <f>ROUND(I1090*H1090,2)</f>
        <v>11250</v>
      </c>
      <c r="BL1090" s="23" t="s">
        <v>218</v>
      </c>
      <c r="BM1090" s="101" t="s">
        <v>1422</v>
      </c>
    </row>
    <row r="1091" spans="2:65" s="1" customFormat="1" ht="19.2">
      <c r="B1091" s="12"/>
      <c r="D1091" s="105" t="s">
        <v>227</v>
      </c>
      <c r="F1091" s="106" t="s">
        <v>1369</v>
      </c>
      <c r="I1091" s="107"/>
      <c r="L1091" s="12"/>
      <c r="M1091" s="108"/>
      <c r="T1091" s="111"/>
      <c r="AT1091" s="23" t="s">
        <v>227</v>
      </c>
      <c r="AU1091" s="23" t="s">
        <v>87</v>
      </c>
    </row>
    <row r="1092" spans="2:65" s="1" customFormat="1" ht="66.75" customHeight="1">
      <c r="B1092" s="12"/>
      <c r="C1092" s="71" t="s">
        <v>1423</v>
      </c>
      <c r="D1092" s="71" t="s">
        <v>214</v>
      </c>
      <c r="E1092" s="72" t="s">
        <v>1424</v>
      </c>
      <c r="F1092" s="73" t="s">
        <v>1425</v>
      </c>
      <c r="G1092" s="74" t="s">
        <v>808</v>
      </c>
      <c r="H1092" s="75">
        <v>4</v>
      </c>
      <c r="I1092" s="90">
        <v>12400</v>
      </c>
      <c r="J1092" s="91">
        <f>ROUND(I1092*H1092,2)</f>
        <v>49600</v>
      </c>
      <c r="K1092" s="92"/>
      <c r="L1092" s="12"/>
      <c r="M1092" s="93" t="s">
        <v>1</v>
      </c>
      <c r="N1092" s="94" t="s">
        <v>42</v>
      </c>
      <c r="P1092" s="95">
        <f>O1092*H1092</f>
        <v>0</v>
      </c>
      <c r="Q1092" s="95">
        <v>0</v>
      </c>
      <c r="R1092" s="95">
        <f>Q1092*H1092</f>
        <v>0</v>
      </c>
      <c r="S1092" s="95">
        <v>0</v>
      </c>
      <c r="T1092" s="99">
        <f>S1092*H1092</f>
        <v>0</v>
      </c>
      <c r="AR1092" s="101" t="s">
        <v>218</v>
      </c>
      <c r="AT1092" s="101" t="s">
        <v>214</v>
      </c>
      <c r="AU1092" s="101" t="s">
        <v>87</v>
      </c>
      <c r="AY1092" s="23" t="s">
        <v>211</v>
      </c>
      <c r="BE1092" s="104">
        <f>IF(N1092="základní",J1092,0)</f>
        <v>49600</v>
      </c>
      <c r="BF1092" s="104">
        <f>IF(N1092="snížená",J1092,0)</f>
        <v>0</v>
      </c>
      <c r="BG1092" s="104">
        <f>IF(N1092="zákl. přenesená",J1092,0)</f>
        <v>0</v>
      </c>
      <c r="BH1092" s="104">
        <f>IF(N1092="sníž. přenesená",J1092,0)</f>
        <v>0</v>
      </c>
      <c r="BI1092" s="104">
        <f>IF(N1092="nulová",J1092,0)</f>
        <v>0</v>
      </c>
      <c r="BJ1092" s="23" t="s">
        <v>85</v>
      </c>
      <c r="BK1092" s="104">
        <f>ROUND(I1092*H1092,2)</f>
        <v>49600</v>
      </c>
      <c r="BL1092" s="23" t="s">
        <v>218</v>
      </c>
      <c r="BM1092" s="101" t="s">
        <v>1426</v>
      </c>
    </row>
    <row r="1093" spans="2:65" s="1" customFormat="1" ht="19.2">
      <c r="B1093" s="12"/>
      <c r="D1093" s="105" t="s">
        <v>227</v>
      </c>
      <c r="F1093" s="106" t="s">
        <v>1427</v>
      </c>
      <c r="I1093" s="107"/>
      <c r="L1093" s="12"/>
      <c r="M1093" s="108"/>
      <c r="T1093" s="111"/>
      <c r="AT1093" s="23" t="s">
        <v>227</v>
      </c>
      <c r="AU1093" s="23" t="s">
        <v>87</v>
      </c>
    </row>
    <row r="1094" spans="2:65" s="1" customFormat="1" ht="24.15" customHeight="1">
      <c r="B1094" s="12"/>
      <c r="C1094" s="71" t="s">
        <v>1428</v>
      </c>
      <c r="D1094" s="71" t="s">
        <v>214</v>
      </c>
      <c r="E1094" s="72" t="s">
        <v>1429</v>
      </c>
      <c r="F1094" s="73" t="s">
        <v>1430</v>
      </c>
      <c r="G1094" s="74" t="s">
        <v>234</v>
      </c>
      <c r="H1094" s="75">
        <v>4</v>
      </c>
      <c r="I1094" s="90">
        <v>21000</v>
      </c>
      <c r="J1094" s="91">
        <f>ROUND(I1094*H1094,2)</f>
        <v>84000</v>
      </c>
      <c r="K1094" s="92"/>
      <c r="L1094" s="12"/>
      <c r="M1094" s="93" t="s">
        <v>1</v>
      </c>
      <c r="N1094" s="94" t="s">
        <v>42</v>
      </c>
      <c r="P1094" s="95">
        <f>O1094*H1094</f>
        <v>0</v>
      </c>
      <c r="Q1094" s="95">
        <v>0</v>
      </c>
      <c r="R1094" s="95">
        <f>Q1094*H1094</f>
        <v>0</v>
      </c>
      <c r="S1094" s="95">
        <v>0</v>
      </c>
      <c r="T1094" s="99">
        <f>S1094*H1094</f>
        <v>0</v>
      </c>
      <c r="AR1094" s="101" t="s">
        <v>218</v>
      </c>
      <c r="AT1094" s="101" t="s">
        <v>214</v>
      </c>
      <c r="AU1094" s="101" t="s">
        <v>87</v>
      </c>
      <c r="AY1094" s="23" t="s">
        <v>211</v>
      </c>
      <c r="BE1094" s="104">
        <f>IF(N1094="základní",J1094,0)</f>
        <v>84000</v>
      </c>
      <c r="BF1094" s="104">
        <f>IF(N1094="snížená",J1094,0)</f>
        <v>0</v>
      </c>
      <c r="BG1094" s="104">
        <f>IF(N1094="zákl. přenesená",J1094,0)</f>
        <v>0</v>
      </c>
      <c r="BH1094" s="104">
        <f>IF(N1094="sníž. přenesená",J1094,0)</f>
        <v>0</v>
      </c>
      <c r="BI1094" s="104">
        <f>IF(N1094="nulová",J1094,0)</f>
        <v>0</v>
      </c>
      <c r="BJ1094" s="23" t="s">
        <v>85</v>
      </c>
      <c r="BK1094" s="104">
        <f>ROUND(I1094*H1094,2)</f>
        <v>84000</v>
      </c>
      <c r="BL1094" s="23" t="s">
        <v>218</v>
      </c>
      <c r="BM1094" s="101" t="s">
        <v>1431</v>
      </c>
    </row>
    <row r="1095" spans="2:65" s="1" customFormat="1" ht="19.2">
      <c r="B1095" s="12"/>
      <c r="D1095" s="105" t="s">
        <v>227</v>
      </c>
      <c r="F1095" s="106" t="s">
        <v>1432</v>
      </c>
      <c r="I1095" s="107"/>
      <c r="L1095" s="12"/>
      <c r="M1095" s="108"/>
      <c r="T1095" s="111"/>
      <c r="AT1095" s="23" t="s">
        <v>227</v>
      </c>
      <c r="AU1095" s="23" t="s">
        <v>87</v>
      </c>
    </row>
    <row r="1096" spans="2:65" s="1" customFormat="1" ht="44.25" customHeight="1">
      <c r="B1096" s="12"/>
      <c r="C1096" s="71" t="s">
        <v>1433</v>
      </c>
      <c r="D1096" s="71" t="s">
        <v>214</v>
      </c>
      <c r="E1096" s="72" t="s">
        <v>1434</v>
      </c>
      <c r="F1096" s="73" t="s">
        <v>1435</v>
      </c>
      <c r="G1096" s="74" t="s">
        <v>808</v>
      </c>
      <c r="H1096" s="75">
        <v>1</v>
      </c>
      <c r="I1096" s="90">
        <v>3100</v>
      </c>
      <c r="J1096" s="91">
        <f>ROUND(I1096*H1096,2)</f>
        <v>3100</v>
      </c>
      <c r="K1096" s="92"/>
      <c r="L1096" s="12"/>
      <c r="M1096" s="93" t="s">
        <v>1</v>
      </c>
      <c r="N1096" s="94" t="s">
        <v>42</v>
      </c>
      <c r="P1096" s="95">
        <f>O1096*H1096</f>
        <v>0</v>
      </c>
      <c r="Q1096" s="95">
        <v>0</v>
      </c>
      <c r="R1096" s="95">
        <f>Q1096*H1096</f>
        <v>0</v>
      </c>
      <c r="S1096" s="95">
        <v>0</v>
      </c>
      <c r="T1096" s="99">
        <f>S1096*H1096</f>
        <v>0</v>
      </c>
      <c r="AR1096" s="101" t="s">
        <v>218</v>
      </c>
      <c r="AT1096" s="101" t="s">
        <v>214</v>
      </c>
      <c r="AU1096" s="101" t="s">
        <v>87</v>
      </c>
      <c r="AY1096" s="23" t="s">
        <v>211</v>
      </c>
      <c r="BE1096" s="104">
        <f>IF(N1096="základní",J1096,0)</f>
        <v>3100</v>
      </c>
      <c r="BF1096" s="104">
        <f>IF(N1096="snížená",J1096,0)</f>
        <v>0</v>
      </c>
      <c r="BG1096" s="104">
        <f>IF(N1096="zákl. přenesená",J1096,0)</f>
        <v>0</v>
      </c>
      <c r="BH1096" s="104">
        <f>IF(N1096="sníž. přenesená",J1096,0)</f>
        <v>0</v>
      </c>
      <c r="BI1096" s="104">
        <f>IF(N1096="nulová",J1096,0)</f>
        <v>0</v>
      </c>
      <c r="BJ1096" s="23" t="s">
        <v>85</v>
      </c>
      <c r="BK1096" s="104">
        <f>ROUND(I1096*H1096,2)</f>
        <v>3100</v>
      </c>
      <c r="BL1096" s="23" t="s">
        <v>218</v>
      </c>
      <c r="BM1096" s="101" t="s">
        <v>1436</v>
      </c>
    </row>
    <row r="1097" spans="2:65" s="1" customFormat="1" ht="44.25" customHeight="1">
      <c r="B1097" s="12"/>
      <c r="C1097" s="71" t="s">
        <v>1437</v>
      </c>
      <c r="D1097" s="71" t="s">
        <v>214</v>
      </c>
      <c r="E1097" s="72" t="s">
        <v>1438</v>
      </c>
      <c r="F1097" s="73" t="s">
        <v>1439</v>
      </c>
      <c r="G1097" s="74" t="s">
        <v>808</v>
      </c>
      <c r="H1097" s="75">
        <v>1</v>
      </c>
      <c r="I1097" s="90">
        <v>1550</v>
      </c>
      <c r="J1097" s="91">
        <f>ROUND(I1097*H1097,2)</f>
        <v>1550</v>
      </c>
      <c r="K1097" s="92"/>
      <c r="L1097" s="12"/>
      <c r="M1097" s="93" t="s">
        <v>1</v>
      </c>
      <c r="N1097" s="94" t="s">
        <v>42</v>
      </c>
      <c r="P1097" s="95">
        <f>O1097*H1097</f>
        <v>0</v>
      </c>
      <c r="Q1097" s="95">
        <v>0</v>
      </c>
      <c r="R1097" s="95">
        <f>Q1097*H1097</f>
        <v>0</v>
      </c>
      <c r="S1097" s="95">
        <v>0</v>
      </c>
      <c r="T1097" s="99">
        <f>S1097*H1097</f>
        <v>0</v>
      </c>
      <c r="AR1097" s="101" t="s">
        <v>218</v>
      </c>
      <c r="AT1097" s="101" t="s">
        <v>214</v>
      </c>
      <c r="AU1097" s="101" t="s">
        <v>87</v>
      </c>
      <c r="AY1097" s="23" t="s">
        <v>211</v>
      </c>
      <c r="BE1097" s="104">
        <f>IF(N1097="základní",J1097,0)</f>
        <v>1550</v>
      </c>
      <c r="BF1097" s="104">
        <f>IF(N1097="snížená",J1097,0)</f>
        <v>0</v>
      </c>
      <c r="BG1097" s="104">
        <f>IF(N1097="zákl. přenesená",J1097,0)</f>
        <v>0</v>
      </c>
      <c r="BH1097" s="104">
        <f>IF(N1097="sníž. přenesená",J1097,0)</f>
        <v>0</v>
      </c>
      <c r="BI1097" s="104">
        <f>IF(N1097="nulová",J1097,0)</f>
        <v>0</v>
      </c>
      <c r="BJ1097" s="23" t="s">
        <v>85</v>
      </c>
      <c r="BK1097" s="104">
        <f>ROUND(I1097*H1097,2)</f>
        <v>1550</v>
      </c>
      <c r="BL1097" s="23" t="s">
        <v>218</v>
      </c>
      <c r="BM1097" s="101" t="s">
        <v>1440</v>
      </c>
    </row>
    <row r="1098" spans="2:65" s="1" customFormat="1" ht="55.5" customHeight="1">
      <c r="B1098" s="12"/>
      <c r="C1098" s="71" t="s">
        <v>1441</v>
      </c>
      <c r="D1098" s="71" t="s">
        <v>214</v>
      </c>
      <c r="E1098" s="72" t="s">
        <v>1442</v>
      </c>
      <c r="F1098" s="73" t="s">
        <v>1443</v>
      </c>
      <c r="G1098" s="74" t="s">
        <v>808</v>
      </c>
      <c r="H1098" s="75">
        <v>12</v>
      </c>
      <c r="I1098" s="90">
        <v>6520</v>
      </c>
      <c r="J1098" s="91">
        <f>ROUND(I1098*H1098,2)</f>
        <v>78240</v>
      </c>
      <c r="K1098" s="92"/>
      <c r="L1098" s="12"/>
      <c r="M1098" s="93" t="s">
        <v>1</v>
      </c>
      <c r="N1098" s="94" t="s">
        <v>42</v>
      </c>
      <c r="P1098" s="95">
        <f>O1098*H1098</f>
        <v>0</v>
      </c>
      <c r="Q1098" s="95">
        <v>0</v>
      </c>
      <c r="R1098" s="95">
        <f>Q1098*H1098</f>
        <v>0</v>
      </c>
      <c r="S1098" s="95">
        <v>0</v>
      </c>
      <c r="T1098" s="99">
        <f>S1098*H1098</f>
        <v>0</v>
      </c>
      <c r="AR1098" s="101" t="s">
        <v>218</v>
      </c>
      <c r="AT1098" s="101" t="s">
        <v>214</v>
      </c>
      <c r="AU1098" s="101" t="s">
        <v>87</v>
      </c>
      <c r="AY1098" s="23" t="s">
        <v>211</v>
      </c>
      <c r="BE1098" s="104">
        <f>IF(N1098="základní",J1098,0)</f>
        <v>78240</v>
      </c>
      <c r="BF1098" s="104">
        <f>IF(N1098="snížená",J1098,0)</f>
        <v>0</v>
      </c>
      <c r="BG1098" s="104">
        <f>IF(N1098="zákl. přenesená",J1098,0)</f>
        <v>0</v>
      </c>
      <c r="BH1098" s="104">
        <f>IF(N1098="sníž. přenesená",J1098,0)</f>
        <v>0</v>
      </c>
      <c r="BI1098" s="104">
        <f>IF(N1098="nulová",J1098,0)</f>
        <v>0</v>
      </c>
      <c r="BJ1098" s="23" t="s">
        <v>85</v>
      </c>
      <c r="BK1098" s="104">
        <f>ROUND(I1098*H1098,2)</f>
        <v>78240</v>
      </c>
      <c r="BL1098" s="23" t="s">
        <v>218</v>
      </c>
      <c r="BM1098" s="101" t="s">
        <v>1444</v>
      </c>
    </row>
    <row r="1099" spans="2:65" s="1" customFormat="1" ht="19.2">
      <c r="B1099" s="12"/>
      <c r="D1099" s="105" t="s">
        <v>227</v>
      </c>
      <c r="F1099" s="106" t="s">
        <v>1369</v>
      </c>
      <c r="I1099" s="107"/>
      <c r="L1099" s="12"/>
      <c r="M1099" s="108"/>
      <c r="T1099" s="111"/>
      <c r="AT1099" s="23" t="s">
        <v>227</v>
      </c>
      <c r="AU1099" s="23" t="s">
        <v>87</v>
      </c>
    </row>
    <row r="1100" spans="2:65" s="1" customFormat="1" ht="55.5" customHeight="1">
      <c r="B1100" s="12"/>
      <c r="C1100" s="71" t="s">
        <v>1445</v>
      </c>
      <c r="D1100" s="71" t="s">
        <v>214</v>
      </c>
      <c r="E1100" s="72" t="s">
        <v>1446</v>
      </c>
      <c r="F1100" s="73" t="s">
        <v>1447</v>
      </c>
      <c r="G1100" s="74" t="s">
        <v>808</v>
      </c>
      <c r="H1100" s="75">
        <v>34</v>
      </c>
      <c r="I1100" s="90">
        <v>3300</v>
      </c>
      <c r="J1100" s="91">
        <f>ROUND(I1100*H1100,2)</f>
        <v>112200</v>
      </c>
      <c r="K1100" s="92"/>
      <c r="L1100" s="12"/>
      <c r="M1100" s="93" t="s">
        <v>1</v>
      </c>
      <c r="N1100" s="94" t="s">
        <v>42</v>
      </c>
      <c r="P1100" s="95">
        <f>O1100*H1100</f>
        <v>0</v>
      </c>
      <c r="Q1100" s="95">
        <v>0</v>
      </c>
      <c r="R1100" s="95">
        <f>Q1100*H1100</f>
        <v>0</v>
      </c>
      <c r="S1100" s="95">
        <v>0</v>
      </c>
      <c r="T1100" s="99">
        <f>S1100*H1100</f>
        <v>0</v>
      </c>
      <c r="AR1100" s="101" t="s">
        <v>218</v>
      </c>
      <c r="AT1100" s="101" t="s">
        <v>214</v>
      </c>
      <c r="AU1100" s="101" t="s">
        <v>87</v>
      </c>
      <c r="AY1100" s="23" t="s">
        <v>211</v>
      </c>
      <c r="BE1100" s="104">
        <f>IF(N1100="základní",J1100,0)</f>
        <v>112200</v>
      </c>
      <c r="BF1100" s="104">
        <f>IF(N1100="snížená",J1100,0)</f>
        <v>0</v>
      </c>
      <c r="BG1100" s="104">
        <f>IF(N1100="zákl. přenesená",J1100,0)</f>
        <v>0</v>
      </c>
      <c r="BH1100" s="104">
        <f>IF(N1100="sníž. přenesená",J1100,0)</f>
        <v>0</v>
      </c>
      <c r="BI1100" s="104">
        <f>IF(N1100="nulová",J1100,0)</f>
        <v>0</v>
      </c>
      <c r="BJ1100" s="23" t="s">
        <v>85</v>
      </c>
      <c r="BK1100" s="104">
        <f>ROUND(I1100*H1100,2)</f>
        <v>112200</v>
      </c>
      <c r="BL1100" s="23" t="s">
        <v>218</v>
      </c>
      <c r="BM1100" s="101" t="s">
        <v>1448</v>
      </c>
    </row>
    <row r="1101" spans="2:65" s="1" customFormat="1" ht="19.2">
      <c r="B1101" s="12"/>
      <c r="D1101" s="105" t="s">
        <v>227</v>
      </c>
      <c r="F1101" s="106" t="s">
        <v>1369</v>
      </c>
      <c r="I1101" s="107"/>
      <c r="L1101" s="12"/>
      <c r="M1101" s="108"/>
      <c r="T1101" s="111"/>
      <c r="AT1101" s="23" t="s">
        <v>227</v>
      </c>
      <c r="AU1101" s="23" t="s">
        <v>87</v>
      </c>
    </row>
    <row r="1102" spans="2:65" s="1" customFormat="1" ht="44.25" customHeight="1">
      <c r="B1102" s="12"/>
      <c r="C1102" s="71" t="s">
        <v>1449</v>
      </c>
      <c r="D1102" s="71" t="s">
        <v>214</v>
      </c>
      <c r="E1102" s="72" t="s">
        <v>1450</v>
      </c>
      <c r="F1102" s="73" t="s">
        <v>1451</v>
      </c>
      <c r="G1102" s="74" t="s">
        <v>808</v>
      </c>
      <c r="H1102" s="75">
        <v>12</v>
      </c>
      <c r="I1102" s="90">
        <v>5900</v>
      </c>
      <c r="J1102" s="91">
        <f>ROUND(I1102*H1102,2)</f>
        <v>70800</v>
      </c>
      <c r="K1102" s="92"/>
      <c r="L1102" s="12"/>
      <c r="M1102" s="93" t="s">
        <v>1</v>
      </c>
      <c r="N1102" s="94" t="s">
        <v>42</v>
      </c>
      <c r="P1102" s="95">
        <f>O1102*H1102</f>
        <v>0</v>
      </c>
      <c r="Q1102" s="95">
        <v>0</v>
      </c>
      <c r="R1102" s="95">
        <f>Q1102*H1102</f>
        <v>0</v>
      </c>
      <c r="S1102" s="95">
        <v>0</v>
      </c>
      <c r="T1102" s="99">
        <f>S1102*H1102</f>
        <v>0</v>
      </c>
      <c r="AR1102" s="101" t="s">
        <v>218</v>
      </c>
      <c r="AT1102" s="101" t="s">
        <v>214</v>
      </c>
      <c r="AU1102" s="101" t="s">
        <v>87</v>
      </c>
      <c r="AY1102" s="23" t="s">
        <v>211</v>
      </c>
      <c r="BE1102" s="104">
        <f>IF(N1102="základní",J1102,0)</f>
        <v>70800</v>
      </c>
      <c r="BF1102" s="104">
        <f>IF(N1102="snížená",J1102,0)</f>
        <v>0</v>
      </c>
      <c r="BG1102" s="104">
        <f>IF(N1102="zákl. přenesená",J1102,0)</f>
        <v>0</v>
      </c>
      <c r="BH1102" s="104">
        <f>IF(N1102="sníž. přenesená",J1102,0)</f>
        <v>0</v>
      </c>
      <c r="BI1102" s="104">
        <f>IF(N1102="nulová",J1102,0)</f>
        <v>0</v>
      </c>
      <c r="BJ1102" s="23" t="s">
        <v>85</v>
      </c>
      <c r="BK1102" s="104">
        <f>ROUND(I1102*H1102,2)</f>
        <v>70800</v>
      </c>
      <c r="BL1102" s="23" t="s">
        <v>218</v>
      </c>
      <c r="BM1102" s="101" t="s">
        <v>1452</v>
      </c>
    </row>
    <row r="1103" spans="2:65" s="1" customFormat="1" ht="19.2">
      <c r="B1103" s="12"/>
      <c r="D1103" s="105" t="s">
        <v>227</v>
      </c>
      <c r="F1103" s="106" t="s">
        <v>1369</v>
      </c>
      <c r="I1103" s="107"/>
      <c r="L1103" s="12"/>
      <c r="M1103" s="108"/>
      <c r="T1103" s="111"/>
      <c r="AT1103" s="23" t="s">
        <v>227</v>
      </c>
      <c r="AU1103" s="23" t="s">
        <v>87</v>
      </c>
    </row>
    <row r="1104" spans="2:65" s="1" customFormat="1" ht="44.25" customHeight="1">
      <c r="B1104" s="12"/>
      <c r="C1104" s="71" t="s">
        <v>1453</v>
      </c>
      <c r="D1104" s="71" t="s">
        <v>214</v>
      </c>
      <c r="E1104" s="72" t="s">
        <v>1454</v>
      </c>
      <c r="F1104" s="73" t="s">
        <v>1455</v>
      </c>
      <c r="G1104" s="74" t="s">
        <v>808</v>
      </c>
      <c r="H1104" s="75">
        <v>16</v>
      </c>
      <c r="I1104" s="90">
        <v>5200</v>
      </c>
      <c r="J1104" s="91">
        <f>ROUND(I1104*H1104,2)</f>
        <v>83200</v>
      </c>
      <c r="K1104" s="92"/>
      <c r="L1104" s="12"/>
      <c r="M1104" s="93" t="s">
        <v>1</v>
      </c>
      <c r="N1104" s="94" t="s">
        <v>42</v>
      </c>
      <c r="P1104" s="95">
        <f>O1104*H1104</f>
        <v>0</v>
      </c>
      <c r="Q1104" s="95">
        <v>0</v>
      </c>
      <c r="R1104" s="95">
        <f>Q1104*H1104</f>
        <v>0</v>
      </c>
      <c r="S1104" s="95">
        <v>0</v>
      </c>
      <c r="T1104" s="99">
        <f>S1104*H1104</f>
        <v>0</v>
      </c>
      <c r="AR1104" s="101" t="s">
        <v>218</v>
      </c>
      <c r="AT1104" s="101" t="s">
        <v>214</v>
      </c>
      <c r="AU1104" s="101" t="s">
        <v>87</v>
      </c>
      <c r="AY1104" s="23" t="s">
        <v>211</v>
      </c>
      <c r="BE1104" s="104">
        <f>IF(N1104="základní",J1104,0)</f>
        <v>83200</v>
      </c>
      <c r="BF1104" s="104">
        <f>IF(N1104="snížená",J1104,0)</f>
        <v>0</v>
      </c>
      <c r="BG1104" s="104">
        <f>IF(N1104="zákl. přenesená",J1104,0)</f>
        <v>0</v>
      </c>
      <c r="BH1104" s="104">
        <f>IF(N1104="sníž. přenesená",J1104,0)</f>
        <v>0</v>
      </c>
      <c r="BI1104" s="104">
        <f>IF(N1104="nulová",J1104,0)</f>
        <v>0</v>
      </c>
      <c r="BJ1104" s="23" t="s">
        <v>85</v>
      </c>
      <c r="BK1104" s="104">
        <f>ROUND(I1104*H1104,2)</f>
        <v>83200</v>
      </c>
      <c r="BL1104" s="23" t="s">
        <v>218</v>
      </c>
      <c r="BM1104" s="101" t="s">
        <v>1456</v>
      </c>
    </row>
    <row r="1105" spans="2:65" s="1" customFormat="1" ht="19.2">
      <c r="B1105" s="12"/>
      <c r="D1105" s="105" t="s">
        <v>227</v>
      </c>
      <c r="F1105" s="106" t="s">
        <v>1369</v>
      </c>
      <c r="I1105" s="107"/>
      <c r="L1105" s="12"/>
      <c r="M1105" s="108"/>
      <c r="T1105" s="111"/>
      <c r="AT1105" s="23" t="s">
        <v>227</v>
      </c>
      <c r="AU1105" s="23" t="s">
        <v>87</v>
      </c>
    </row>
    <row r="1106" spans="2:65" s="1" customFormat="1" ht="24.15" customHeight="1">
      <c r="B1106" s="12"/>
      <c r="C1106" s="71" t="s">
        <v>1457</v>
      </c>
      <c r="D1106" s="71" t="s">
        <v>214</v>
      </c>
      <c r="E1106" s="72" t="s">
        <v>1458</v>
      </c>
      <c r="F1106" s="73" t="s">
        <v>1459</v>
      </c>
      <c r="G1106" s="74" t="s">
        <v>808</v>
      </c>
      <c r="H1106" s="75">
        <v>1</v>
      </c>
      <c r="I1106" s="90">
        <v>14500</v>
      </c>
      <c r="J1106" s="91">
        <f>ROUND(I1106*H1106,2)</f>
        <v>14500</v>
      </c>
      <c r="K1106" s="92"/>
      <c r="L1106" s="12"/>
      <c r="M1106" s="93" t="s">
        <v>1</v>
      </c>
      <c r="N1106" s="94" t="s">
        <v>42</v>
      </c>
      <c r="P1106" s="95">
        <f>O1106*H1106</f>
        <v>0</v>
      </c>
      <c r="Q1106" s="95">
        <v>0</v>
      </c>
      <c r="R1106" s="95">
        <f>Q1106*H1106</f>
        <v>0</v>
      </c>
      <c r="S1106" s="95">
        <v>0</v>
      </c>
      <c r="T1106" s="99">
        <f>S1106*H1106</f>
        <v>0</v>
      </c>
      <c r="AR1106" s="101" t="s">
        <v>218</v>
      </c>
      <c r="AT1106" s="101" t="s">
        <v>214</v>
      </c>
      <c r="AU1106" s="101" t="s">
        <v>87</v>
      </c>
      <c r="AY1106" s="23" t="s">
        <v>211</v>
      </c>
      <c r="BE1106" s="104">
        <f>IF(N1106="základní",J1106,0)</f>
        <v>14500</v>
      </c>
      <c r="BF1106" s="104">
        <f>IF(N1106="snížená",J1106,0)</f>
        <v>0</v>
      </c>
      <c r="BG1106" s="104">
        <f>IF(N1106="zákl. přenesená",J1106,0)</f>
        <v>0</v>
      </c>
      <c r="BH1106" s="104">
        <f>IF(N1106="sníž. přenesená",J1106,0)</f>
        <v>0</v>
      </c>
      <c r="BI1106" s="104">
        <f>IF(N1106="nulová",J1106,0)</f>
        <v>0</v>
      </c>
      <c r="BJ1106" s="23" t="s">
        <v>85</v>
      </c>
      <c r="BK1106" s="104">
        <f>ROUND(I1106*H1106,2)</f>
        <v>14500</v>
      </c>
      <c r="BL1106" s="23" t="s">
        <v>218</v>
      </c>
      <c r="BM1106" s="101" t="s">
        <v>1460</v>
      </c>
    </row>
    <row r="1107" spans="2:65" s="1" customFormat="1" ht="19.2">
      <c r="B1107" s="12"/>
      <c r="D1107" s="105" t="s">
        <v>227</v>
      </c>
      <c r="F1107" s="106" t="s">
        <v>1461</v>
      </c>
      <c r="I1107" s="107"/>
      <c r="L1107" s="12"/>
      <c r="M1107" s="108"/>
      <c r="T1107" s="111"/>
      <c r="AT1107" s="23" t="s">
        <v>227</v>
      </c>
      <c r="AU1107" s="23" t="s">
        <v>87</v>
      </c>
    </row>
    <row r="1108" spans="2:65" s="1" customFormat="1" ht="24.15" customHeight="1">
      <c r="B1108" s="12"/>
      <c r="C1108" s="71" t="s">
        <v>1462</v>
      </c>
      <c r="D1108" s="71" t="s">
        <v>214</v>
      </c>
      <c r="E1108" s="72" t="s">
        <v>1463</v>
      </c>
      <c r="F1108" s="73" t="s">
        <v>1464</v>
      </c>
      <c r="G1108" s="74" t="s">
        <v>808</v>
      </c>
      <c r="H1108" s="75">
        <v>9</v>
      </c>
      <c r="I1108" s="90">
        <v>14500</v>
      </c>
      <c r="J1108" s="91">
        <f>ROUND(I1108*H1108,2)</f>
        <v>130500</v>
      </c>
      <c r="K1108" s="92"/>
      <c r="L1108" s="12"/>
      <c r="M1108" s="93" t="s">
        <v>1</v>
      </c>
      <c r="N1108" s="94" t="s">
        <v>42</v>
      </c>
      <c r="P1108" s="95">
        <f>O1108*H1108</f>
        <v>0</v>
      </c>
      <c r="Q1108" s="95">
        <v>0</v>
      </c>
      <c r="R1108" s="95">
        <f>Q1108*H1108</f>
        <v>0</v>
      </c>
      <c r="S1108" s="95">
        <v>0</v>
      </c>
      <c r="T1108" s="99">
        <f>S1108*H1108</f>
        <v>0</v>
      </c>
      <c r="AR1108" s="101" t="s">
        <v>218</v>
      </c>
      <c r="AT1108" s="101" t="s">
        <v>214</v>
      </c>
      <c r="AU1108" s="101" t="s">
        <v>87</v>
      </c>
      <c r="AY1108" s="23" t="s">
        <v>211</v>
      </c>
      <c r="BE1108" s="104">
        <f>IF(N1108="základní",J1108,0)</f>
        <v>130500</v>
      </c>
      <c r="BF1108" s="104">
        <f>IF(N1108="snížená",J1108,0)</f>
        <v>0</v>
      </c>
      <c r="BG1108" s="104">
        <f>IF(N1108="zákl. přenesená",J1108,0)</f>
        <v>0</v>
      </c>
      <c r="BH1108" s="104">
        <f>IF(N1108="sníž. přenesená",J1108,0)</f>
        <v>0</v>
      </c>
      <c r="BI1108" s="104">
        <f>IF(N1108="nulová",J1108,0)</f>
        <v>0</v>
      </c>
      <c r="BJ1108" s="23" t="s">
        <v>85</v>
      </c>
      <c r="BK1108" s="104">
        <f>ROUND(I1108*H1108,2)</f>
        <v>130500</v>
      </c>
      <c r="BL1108" s="23" t="s">
        <v>218</v>
      </c>
      <c r="BM1108" s="101" t="s">
        <v>1465</v>
      </c>
    </row>
    <row r="1109" spans="2:65" s="1" customFormat="1" ht="19.2">
      <c r="B1109" s="12"/>
      <c r="D1109" s="105" t="s">
        <v>227</v>
      </c>
      <c r="F1109" s="106" t="s">
        <v>1461</v>
      </c>
      <c r="I1109" s="107"/>
      <c r="L1109" s="12"/>
      <c r="M1109" s="108"/>
      <c r="T1109" s="111"/>
      <c r="AT1109" s="23" t="s">
        <v>227</v>
      </c>
      <c r="AU1109" s="23" t="s">
        <v>87</v>
      </c>
    </row>
    <row r="1110" spans="2:65" s="1" customFormat="1" ht="24.15" customHeight="1">
      <c r="B1110" s="12"/>
      <c r="C1110" s="71" t="s">
        <v>1466</v>
      </c>
      <c r="D1110" s="71" t="s">
        <v>214</v>
      </c>
      <c r="E1110" s="72" t="s">
        <v>1467</v>
      </c>
      <c r="F1110" s="73" t="s">
        <v>1468</v>
      </c>
      <c r="G1110" s="74" t="s">
        <v>808</v>
      </c>
      <c r="H1110" s="75">
        <v>1</v>
      </c>
      <c r="I1110" s="90">
        <v>14500</v>
      </c>
      <c r="J1110" s="91">
        <f>ROUND(I1110*H1110,2)</f>
        <v>14500</v>
      </c>
      <c r="K1110" s="92"/>
      <c r="L1110" s="12"/>
      <c r="M1110" s="93" t="s">
        <v>1</v>
      </c>
      <c r="N1110" s="94" t="s">
        <v>42</v>
      </c>
      <c r="P1110" s="95">
        <f>O1110*H1110</f>
        <v>0</v>
      </c>
      <c r="Q1110" s="95">
        <v>0</v>
      </c>
      <c r="R1110" s="95">
        <f>Q1110*H1110</f>
        <v>0</v>
      </c>
      <c r="S1110" s="95">
        <v>0</v>
      </c>
      <c r="T1110" s="99">
        <f>S1110*H1110</f>
        <v>0</v>
      </c>
      <c r="AR1110" s="101" t="s">
        <v>218</v>
      </c>
      <c r="AT1110" s="101" t="s">
        <v>214</v>
      </c>
      <c r="AU1110" s="101" t="s">
        <v>87</v>
      </c>
      <c r="AY1110" s="23" t="s">
        <v>211</v>
      </c>
      <c r="BE1110" s="104">
        <f>IF(N1110="základní",J1110,0)</f>
        <v>14500</v>
      </c>
      <c r="BF1110" s="104">
        <f>IF(N1110="snížená",J1110,0)</f>
        <v>0</v>
      </c>
      <c r="BG1110" s="104">
        <f>IF(N1110="zákl. přenesená",J1110,0)</f>
        <v>0</v>
      </c>
      <c r="BH1110" s="104">
        <f>IF(N1110="sníž. přenesená",J1110,0)</f>
        <v>0</v>
      </c>
      <c r="BI1110" s="104">
        <f>IF(N1110="nulová",J1110,0)</f>
        <v>0</v>
      </c>
      <c r="BJ1110" s="23" t="s">
        <v>85</v>
      </c>
      <c r="BK1110" s="104">
        <f>ROUND(I1110*H1110,2)</f>
        <v>14500</v>
      </c>
      <c r="BL1110" s="23" t="s">
        <v>218</v>
      </c>
      <c r="BM1110" s="101" t="s">
        <v>1469</v>
      </c>
    </row>
    <row r="1111" spans="2:65" s="1" customFormat="1" ht="19.2">
      <c r="B1111" s="12"/>
      <c r="D1111" s="105" t="s">
        <v>227</v>
      </c>
      <c r="F1111" s="106" t="s">
        <v>1461</v>
      </c>
      <c r="I1111" s="107"/>
      <c r="L1111" s="12"/>
      <c r="M1111" s="108"/>
      <c r="T1111" s="111"/>
      <c r="AT1111" s="23" t="s">
        <v>227</v>
      </c>
      <c r="AU1111" s="23" t="s">
        <v>87</v>
      </c>
    </row>
    <row r="1112" spans="2:65" s="1" customFormat="1" ht="44.25" customHeight="1">
      <c r="B1112" s="12"/>
      <c r="C1112" s="71" t="s">
        <v>1470</v>
      </c>
      <c r="D1112" s="71" t="s">
        <v>214</v>
      </c>
      <c r="E1112" s="72" t="s">
        <v>1471</v>
      </c>
      <c r="F1112" s="73" t="s">
        <v>1472</v>
      </c>
      <c r="G1112" s="74" t="s">
        <v>808</v>
      </c>
      <c r="H1112" s="75">
        <v>5</v>
      </c>
      <c r="I1112" s="90">
        <v>6500</v>
      </c>
      <c r="J1112" s="91">
        <f>ROUND(I1112*H1112,2)</f>
        <v>32500</v>
      </c>
      <c r="K1112" s="92"/>
      <c r="L1112" s="12"/>
      <c r="M1112" s="93" t="s">
        <v>1</v>
      </c>
      <c r="N1112" s="94" t="s">
        <v>42</v>
      </c>
      <c r="P1112" s="95">
        <f>O1112*H1112</f>
        <v>0</v>
      </c>
      <c r="Q1112" s="95">
        <v>0</v>
      </c>
      <c r="R1112" s="95">
        <f>Q1112*H1112</f>
        <v>0</v>
      </c>
      <c r="S1112" s="95">
        <v>0</v>
      </c>
      <c r="T1112" s="99">
        <f>S1112*H1112</f>
        <v>0</v>
      </c>
      <c r="AR1112" s="101" t="s">
        <v>218</v>
      </c>
      <c r="AT1112" s="101" t="s">
        <v>214</v>
      </c>
      <c r="AU1112" s="101" t="s">
        <v>87</v>
      </c>
      <c r="AY1112" s="23" t="s">
        <v>211</v>
      </c>
      <c r="BE1112" s="104">
        <f>IF(N1112="základní",J1112,0)</f>
        <v>32500</v>
      </c>
      <c r="BF1112" s="104">
        <f>IF(N1112="snížená",J1112,0)</f>
        <v>0</v>
      </c>
      <c r="BG1112" s="104">
        <f>IF(N1112="zákl. přenesená",J1112,0)</f>
        <v>0</v>
      </c>
      <c r="BH1112" s="104">
        <f>IF(N1112="sníž. přenesená",J1112,0)</f>
        <v>0</v>
      </c>
      <c r="BI1112" s="104">
        <f>IF(N1112="nulová",J1112,0)</f>
        <v>0</v>
      </c>
      <c r="BJ1112" s="23" t="s">
        <v>85</v>
      </c>
      <c r="BK1112" s="104">
        <f>ROUND(I1112*H1112,2)</f>
        <v>32500</v>
      </c>
      <c r="BL1112" s="23" t="s">
        <v>218</v>
      </c>
      <c r="BM1112" s="101" t="s">
        <v>1473</v>
      </c>
    </row>
    <row r="1113" spans="2:65" s="1" customFormat="1" ht="19.2">
      <c r="B1113" s="12"/>
      <c r="D1113" s="105" t="s">
        <v>227</v>
      </c>
      <c r="F1113" s="106" t="s">
        <v>1474</v>
      </c>
      <c r="I1113" s="107"/>
      <c r="L1113" s="12"/>
      <c r="M1113" s="108"/>
      <c r="T1113" s="111"/>
      <c r="AT1113" s="23" t="s">
        <v>227</v>
      </c>
      <c r="AU1113" s="23" t="s">
        <v>87</v>
      </c>
    </row>
    <row r="1114" spans="2:65" s="1" customFormat="1" ht="44.25" customHeight="1">
      <c r="B1114" s="12"/>
      <c r="C1114" s="71" t="s">
        <v>1475</v>
      </c>
      <c r="D1114" s="71" t="s">
        <v>214</v>
      </c>
      <c r="E1114" s="72" t="s">
        <v>1476</v>
      </c>
      <c r="F1114" s="73" t="s">
        <v>1477</v>
      </c>
      <c r="G1114" s="74" t="s">
        <v>808</v>
      </c>
      <c r="H1114" s="75">
        <v>3</v>
      </c>
      <c r="I1114" s="90">
        <v>8000</v>
      </c>
      <c r="J1114" s="91">
        <f>ROUND(I1114*H1114,2)</f>
        <v>24000</v>
      </c>
      <c r="K1114" s="92"/>
      <c r="L1114" s="12"/>
      <c r="M1114" s="93" t="s">
        <v>1</v>
      </c>
      <c r="N1114" s="94" t="s">
        <v>42</v>
      </c>
      <c r="P1114" s="95">
        <f>O1114*H1114</f>
        <v>0</v>
      </c>
      <c r="Q1114" s="95">
        <v>0</v>
      </c>
      <c r="R1114" s="95">
        <f>Q1114*H1114</f>
        <v>0</v>
      </c>
      <c r="S1114" s="95">
        <v>0</v>
      </c>
      <c r="T1114" s="99">
        <f>S1114*H1114</f>
        <v>0</v>
      </c>
      <c r="AR1114" s="101" t="s">
        <v>218</v>
      </c>
      <c r="AT1114" s="101" t="s">
        <v>214</v>
      </c>
      <c r="AU1114" s="101" t="s">
        <v>87</v>
      </c>
      <c r="AY1114" s="23" t="s">
        <v>211</v>
      </c>
      <c r="BE1114" s="104">
        <f>IF(N1114="základní",J1114,0)</f>
        <v>24000</v>
      </c>
      <c r="BF1114" s="104">
        <f>IF(N1114="snížená",J1114,0)</f>
        <v>0</v>
      </c>
      <c r="BG1114" s="104">
        <f>IF(N1114="zákl. přenesená",J1114,0)</f>
        <v>0</v>
      </c>
      <c r="BH1114" s="104">
        <f>IF(N1114="sníž. přenesená",J1114,0)</f>
        <v>0</v>
      </c>
      <c r="BI1114" s="104">
        <f>IF(N1114="nulová",J1114,0)</f>
        <v>0</v>
      </c>
      <c r="BJ1114" s="23" t="s">
        <v>85</v>
      </c>
      <c r="BK1114" s="104">
        <f>ROUND(I1114*H1114,2)</f>
        <v>24000</v>
      </c>
      <c r="BL1114" s="23" t="s">
        <v>218</v>
      </c>
      <c r="BM1114" s="101" t="s">
        <v>1478</v>
      </c>
    </row>
    <row r="1115" spans="2:65" s="1" customFormat="1" ht="19.2">
      <c r="B1115" s="12"/>
      <c r="D1115" s="105" t="s">
        <v>227</v>
      </c>
      <c r="F1115" s="106" t="s">
        <v>1474</v>
      </c>
      <c r="I1115" s="107"/>
      <c r="L1115" s="12"/>
      <c r="M1115" s="108"/>
      <c r="T1115" s="111"/>
      <c r="AT1115" s="23" t="s">
        <v>227</v>
      </c>
      <c r="AU1115" s="23" t="s">
        <v>87</v>
      </c>
    </row>
    <row r="1116" spans="2:65" s="1" customFormat="1" ht="44.25" customHeight="1">
      <c r="B1116" s="12"/>
      <c r="C1116" s="71" t="s">
        <v>1479</v>
      </c>
      <c r="D1116" s="71" t="s">
        <v>214</v>
      </c>
      <c r="E1116" s="72" t="s">
        <v>1480</v>
      </c>
      <c r="F1116" s="73" t="s">
        <v>1481</v>
      </c>
      <c r="G1116" s="74" t="s">
        <v>808</v>
      </c>
      <c r="H1116" s="75">
        <v>1</v>
      </c>
      <c r="I1116" s="90">
        <v>8000</v>
      </c>
      <c r="J1116" s="91">
        <f>ROUND(I1116*H1116,2)</f>
        <v>8000</v>
      </c>
      <c r="K1116" s="92"/>
      <c r="L1116" s="12"/>
      <c r="M1116" s="93" t="s">
        <v>1</v>
      </c>
      <c r="N1116" s="94" t="s">
        <v>42</v>
      </c>
      <c r="P1116" s="95">
        <f>O1116*H1116</f>
        <v>0</v>
      </c>
      <c r="Q1116" s="95">
        <v>0</v>
      </c>
      <c r="R1116" s="95">
        <f>Q1116*H1116</f>
        <v>0</v>
      </c>
      <c r="S1116" s="95">
        <v>0</v>
      </c>
      <c r="T1116" s="99">
        <f>S1116*H1116</f>
        <v>0</v>
      </c>
      <c r="AR1116" s="101" t="s">
        <v>218</v>
      </c>
      <c r="AT1116" s="101" t="s">
        <v>214</v>
      </c>
      <c r="AU1116" s="101" t="s">
        <v>87</v>
      </c>
      <c r="AY1116" s="23" t="s">
        <v>211</v>
      </c>
      <c r="BE1116" s="104">
        <f>IF(N1116="základní",J1116,0)</f>
        <v>8000</v>
      </c>
      <c r="BF1116" s="104">
        <f>IF(N1116="snížená",J1116,0)</f>
        <v>0</v>
      </c>
      <c r="BG1116" s="104">
        <f>IF(N1116="zákl. přenesená",J1116,0)</f>
        <v>0</v>
      </c>
      <c r="BH1116" s="104">
        <f>IF(N1116="sníž. přenesená",J1116,0)</f>
        <v>0</v>
      </c>
      <c r="BI1116" s="104">
        <f>IF(N1116="nulová",J1116,0)</f>
        <v>0</v>
      </c>
      <c r="BJ1116" s="23" t="s">
        <v>85</v>
      </c>
      <c r="BK1116" s="104">
        <f>ROUND(I1116*H1116,2)</f>
        <v>8000</v>
      </c>
      <c r="BL1116" s="23" t="s">
        <v>218</v>
      </c>
      <c r="BM1116" s="101" t="s">
        <v>1482</v>
      </c>
    </row>
    <row r="1117" spans="2:65" s="1" customFormat="1" ht="19.2">
      <c r="B1117" s="12"/>
      <c r="D1117" s="105" t="s">
        <v>227</v>
      </c>
      <c r="F1117" s="106" t="s">
        <v>1474</v>
      </c>
      <c r="I1117" s="107"/>
      <c r="L1117" s="12"/>
      <c r="M1117" s="108"/>
      <c r="T1117" s="111"/>
      <c r="AT1117" s="23" t="s">
        <v>227</v>
      </c>
      <c r="AU1117" s="23" t="s">
        <v>87</v>
      </c>
    </row>
    <row r="1118" spans="2:65" s="1" customFormat="1" ht="44.25" customHeight="1">
      <c r="B1118" s="12"/>
      <c r="C1118" s="71" t="s">
        <v>1483</v>
      </c>
      <c r="D1118" s="71" t="s">
        <v>214</v>
      </c>
      <c r="E1118" s="72" t="s">
        <v>1484</v>
      </c>
      <c r="F1118" s="73" t="s">
        <v>1485</v>
      </c>
      <c r="G1118" s="74" t="s">
        <v>808</v>
      </c>
      <c r="H1118" s="75">
        <v>15</v>
      </c>
      <c r="I1118" s="90">
        <v>9200</v>
      </c>
      <c r="J1118" s="91">
        <f>ROUND(I1118*H1118,2)</f>
        <v>138000</v>
      </c>
      <c r="K1118" s="92"/>
      <c r="L1118" s="12"/>
      <c r="M1118" s="93" t="s">
        <v>1</v>
      </c>
      <c r="N1118" s="94" t="s">
        <v>42</v>
      </c>
      <c r="P1118" s="95">
        <f>O1118*H1118</f>
        <v>0</v>
      </c>
      <c r="Q1118" s="95">
        <v>0</v>
      </c>
      <c r="R1118" s="95">
        <f>Q1118*H1118</f>
        <v>0</v>
      </c>
      <c r="S1118" s="95">
        <v>0</v>
      </c>
      <c r="T1118" s="99">
        <f>S1118*H1118</f>
        <v>0</v>
      </c>
      <c r="AR1118" s="101" t="s">
        <v>218</v>
      </c>
      <c r="AT1118" s="101" t="s">
        <v>214</v>
      </c>
      <c r="AU1118" s="101" t="s">
        <v>87</v>
      </c>
      <c r="AY1118" s="23" t="s">
        <v>211</v>
      </c>
      <c r="BE1118" s="104">
        <f>IF(N1118="základní",J1118,0)</f>
        <v>138000</v>
      </c>
      <c r="BF1118" s="104">
        <f>IF(N1118="snížená",J1118,0)</f>
        <v>0</v>
      </c>
      <c r="BG1118" s="104">
        <f>IF(N1118="zákl. přenesená",J1118,0)</f>
        <v>0</v>
      </c>
      <c r="BH1118" s="104">
        <f>IF(N1118="sníž. přenesená",J1118,0)</f>
        <v>0</v>
      </c>
      <c r="BI1118" s="104">
        <f>IF(N1118="nulová",J1118,0)</f>
        <v>0</v>
      </c>
      <c r="BJ1118" s="23" t="s">
        <v>85</v>
      </c>
      <c r="BK1118" s="104">
        <f>ROUND(I1118*H1118,2)</f>
        <v>138000</v>
      </c>
      <c r="BL1118" s="23" t="s">
        <v>218</v>
      </c>
      <c r="BM1118" s="101" t="s">
        <v>1486</v>
      </c>
    </row>
    <row r="1119" spans="2:65" s="1" customFormat="1" ht="19.2">
      <c r="B1119" s="12"/>
      <c r="D1119" s="105" t="s">
        <v>227</v>
      </c>
      <c r="F1119" s="106" t="s">
        <v>1474</v>
      </c>
      <c r="I1119" s="107"/>
      <c r="L1119" s="12"/>
      <c r="M1119" s="108"/>
      <c r="T1119" s="111"/>
      <c r="AT1119" s="23" t="s">
        <v>227</v>
      </c>
      <c r="AU1119" s="23" t="s">
        <v>87</v>
      </c>
    </row>
    <row r="1120" spans="2:65" s="1" customFormat="1" ht="44.25" customHeight="1">
      <c r="B1120" s="12"/>
      <c r="C1120" s="71" t="s">
        <v>1487</v>
      </c>
      <c r="D1120" s="71" t="s">
        <v>214</v>
      </c>
      <c r="E1120" s="72" t="s">
        <v>1488</v>
      </c>
      <c r="F1120" s="73" t="s">
        <v>1489</v>
      </c>
      <c r="G1120" s="74" t="s">
        <v>808</v>
      </c>
      <c r="H1120" s="75">
        <v>1</v>
      </c>
      <c r="I1120" s="90">
        <v>9200</v>
      </c>
      <c r="J1120" s="91">
        <f>ROUND(I1120*H1120,2)</f>
        <v>9200</v>
      </c>
      <c r="K1120" s="92"/>
      <c r="L1120" s="12"/>
      <c r="M1120" s="93" t="s">
        <v>1</v>
      </c>
      <c r="N1120" s="94" t="s">
        <v>42</v>
      </c>
      <c r="P1120" s="95">
        <f>O1120*H1120</f>
        <v>0</v>
      </c>
      <c r="Q1120" s="95">
        <v>0</v>
      </c>
      <c r="R1120" s="95">
        <f>Q1120*H1120</f>
        <v>0</v>
      </c>
      <c r="S1120" s="95">
        <v>0</v>
      </c>
      <c r="T1120" s="99">
        <f>S1120*H1120</f>
        <v>0</v>
      </c>
      <c r="AR1120" s="101" t="s">
        <v>218</v>
      </c>
      <c r="AT1120" s="101" t="s">
        <v>214</v>
      </c>
      <c r="AU1120" s="101" t="s">
        <v>87</v>
      </c>
      <c r="AY1120" s="23" t="s">
        <v>211</v>
      </c>
      <c r="BE1120" s="104">
        <f>IF(N1120="základní",J1120,0)</f>
        <v>9200</v>
      </c>
      <c r="BF1120" s="104">
        <f>IF(N1120="snížená",J1120,0)</f>
        <v>0</v>
      </c>
      <c r="BG1120" s="104">
        <f>IF(N1120="zákl. přenesená",J1120,0)</f>
        <v>0</v>
      </c>
      <c r="BH1120" s="104">
        <f>IF(N1120="sníž. přenesená",J1120,0)</f>
        <v>0</v>
      </c>
      <c r="BI1120" s="104">
        <f>IF(N1120="nulová",J1120,0)</f>
        <v>0</v>
      </c>
      <c r="BJ1120" s="23" t="s">
        <v>85</v>
      </c>
      <c r="BK1120" s="104">
        <f>ROUND(I1120*H1120,2)</f>
        <v>9200</v>
      </c>
      <c r="BL1120" s="23" t="s">
        <v>218</v>
      </c>
      <c r="BM1120" s="101" t="s">
        <v>1490</v>
      </c>
    </row>
    <row r="1121" spans="2:65" s="1" customFormat="1" ht="19.2">
      <c r="B1121" s="12"/>
      <c r="D1121" s="105" t="s">
        <v>227</v>
      </c>
      <c r="F1121" s="106" t="s">
        <v>1474</v>
      </c>
      <c r="I1121" s="107"/>
      <c r="L1121" s="12"/>
      <c r="M1121" s="108"/>
      <c r="T1121" s="111"/>
      <c r="AT1121" s="23" t="s">
        <v>227</v>
      </c>
      <c r="AU1121" s="23" t="s">
        <v>87</v>
      </c>
    </row>
    <row r="1122" spans="2:65" s="1" customFormat="1" ht="24.15" customHeight="1">
      <c r="B1122" s="12"/>
      <c r="C1122" s="71" t="s">
        <v>1491</v>
      </c>
      <c r="D1122" s="71" t="s">
        <v>214</v>
      </c>
      <c r="E1122" s="72" t="s">
        <v>1492</v>
      </c>
      <c r="F1122" s="73" t="s">
        <v>1493</v>
      </c>
      <c r="G1122" s="74" t="s">
        <v>808</v>
      </c>
      <c r="H1122" s="75">
        <v>19</v>
      </c>
      <c r="I1122" s="90">
        <v>1000</v>
      </c>
      <c r="J1122" s="91">
        <f>ROUND(I1122*H1122,2)</f>
        <v>19000</v>
      </c>
      <c r="K1122" s="92"/>
      <c r="L1122" s="12"/>
      <c r="M1122" s="93" t="s">
        <v>1</v>
      </c>
      <c r="N1122" s="94" t="s">
        <v>42</v>
      </c>
      <c r="P1122" s="95">
        <f>O1122*H1122</f>
        <v>0</v>
      </c>
      <c r="Q1122" s="95">
        <v>0</v>
      </c>
      <c r="R1122" s="95">
        <f>Q1122*H1122</f>
        <v>0</v>
      </c>
      <c r="S1122" s="95">
        <v>0</v>
      </c>
      <c r="T1122" s="99">
        <f>S1122*H1122</f>
        <v>0</v>
      </c>
      <c r="AR1122" s="101" t="s">
        <v>218</v>
      </c>
      <c r="AT1122" s="101" t="s">
        <v>214</v>
      </c>
      <c r="AU1122" s="101" t="s">
        <v>87</v>
      </c>
      <c r="AY1122" s="23" t="s">
        <v>211</v>
      </c>
      <c r="BE1122" s="104">
        <f>IF(N1122="základní",J1122,0)</f>
        <v>19000</v>
      </c>
      <c r="BF1122" s="104">
        <f>IF(N1122="snížená",J1122,0)</f>
        <v>0</v>
      </c>
      <c r="BG1122" s="104">
        <f>IF(N1122="zákl. přenesená",J1122,0)</f>
        <v>0</v>
      </c>
      <c r="BH1122" s="104">
        <f>IF(N1122="sníž. přenesená",J1122,0)</f>
        <v>0</v>
      </c>
      <c r="BI1122" s="104">
        <f>IF(N1122="nulová",J1122,0)</f>
        <v>0</v>
      </c>
      <c r="BJ1122" s="23" t="s">
        <v>85</v>
      </c>
      <c r="BK1122" s="104">
        <f>ROUND(I1122*H1122,2)</f>
        <v>19000</v>
      </c>
      <c r="BL1122" s="23" t="s">
        <v>218</v>
      </c>
      <c r="BM1122" s="101" t="s">
        <v>1494</v>
      </c>
    </row>
    <row r="1123" spans="2:65" s="1" customFormat="1" ht="19.2">
      <c r="B1123" s="12"/>
      <c r="D1123" s="105" t="s">
        <v>227</v>
      </c>
      <c r="F1123" s="106" t="s">
        <v>1495</v>
      </c>
      <c r="I1123" s="107"/>
      <c r="L1123" s="12"/>
      <c r="M1123" s="108"/>
      <c r="T1123" s="111"/>
      <c r="AT1123" s="23" t="s">
        <v>227</v>
      </c>
      <c r="AU1123" s="23" t="s">
        <v>87</v>
      </c>
    </row>
    <row r="1124" spans="2:65" s="1" customFormat="1" ht="24.15" customHeight="1">
      <c r="B1124" s="12"/>
      <c r="C1124" s="71" t="s">
        <v>1496</v>
      </c>
      <c r="D1124" s="71" t="s">
        <v>214</v>
      </c>
      <c r="E1124" s="72" t="s">
        <v>1497</v>
      </c>
      <c r="F1124" s="73" t="s">
        <v>1498</v>
      </c>
      <c r="G1124" s="74" t="s">
        <v>808</v>
      </c>
      <c r="H1124" s="75">
        <v>4</v>
      </c>
      <c r="I1124" s="90">
        <v>550</v>
      </c>
      <c r="J1124" s="91">
        <f>ROUND(I1124*H1124,2)</f>
        <v>2200</v>
      </c>
      <c r="K1124" s="92"/>
      <c r="L1124" s="12"/>
      <c r="M1124" s="93" t="s">
        <v>1</v>
      </c>
      <c r="N1124" s="94" t="s">
        <v>42</v>
      </c>
      <c r="P1124" s="95">
        <f>O1124*H1124</f>
        <v>0</v>
      </c>
      <c r="Q1124" s="95">
        <v>0</v>
      </c>
      <c r="R1124" s="95">
        <f>Q1124*H1124</f>
        <v>0</v>
      </c>
      <c r="S1124" s="95">
        <v>0</v>
      </c>
      <c r="T1124" s="99">
        <f>S1124*H1124</f>
        <v>0</v>
      </c>
      <c r="AR1124" s="101" t="s">
        <v>218</v>
      </c>
      <c r="AT1124" s="101" t="s">
        <v>214</v>
      </c>
      <c r="AU1124" s="101" t="s">
        <v>87</v>
      </c>
      <c r="AY1124" s="23" t="s">
        <v>211</v>
      </c>
      <c r="BE1124" s="104">
        <f>IF(N1124="základní",J1124,0)</f>
        <v>2200</v>
      </c>
      <c r="BF1124" s="104">
        <f>IF(N1124="snížená",J1124,0)</f>
        <v>0</v>
      </c>
      <c r="BG1124" s="104">
        <f>IF(N1124="zákl. přenesená",J1124,0)</f>
        <v>0</v>
      </c>
      <c r="BH1124" s="104">
        <f>IF(N1124="sníž. přenesená",J1124,0)</f>
        <v>0</v>
      </c>
      <c r="BI1124" s="104">
        <f>IF(N1124="nulová",J1124,0)</f>
        <v>0</v>
      </c>
      <c r="BJ1124" s="23" t="s">
        <v>85</v>
      </c>
      <c r="BK1124" s="104">
        <f>ROUND(I1124*H1124,2)</f>
        <v>2200</v>
      </c>
      <c r="BL1124" s="23" t="s">
        <v>218</v>
      </c>
      <c r="BM1124" s="101" t="s">
        <v>1499</v>
      </c>
    </row>
    <row r="1125" spans="2:65" s="1" customFormat="1" ht="19.2">
      <c r="B1125" s="12"/>
      <c r="D1125" s="105" t="s">
        <v>227</v>
      </c>
      <c r="F1125" s="106" t="s">
        <v>1495</v>
      </c>
      <c r="I1125" s="107"/>
      <c r="L1125" s="12"/>
      <c r="M1125" s="108"/>
      <c r="T1125" s="111"/>
      <c r="AT1125" s="23" t="s">
        <v>227</v>
      </c>
      <c r="AU1125" s="23" t="s">
        <v>87</v>
      </c>
    </row>
    <row r="1126" spans="2:65" s="1" customFormat="1" ht="24.15" customHeight="1">
      <c r="B1126" s="12"/>
      <c r="C1126" s="71" t="s">
        <v>1500</v>
      </c>
      <c r="D1126" s="71" t="s">
        <v>214</v>
      </c>
      <c r="E1126" s="72" t="s">
        <v>1501</v>
      </c>
      <c r="F1126" s="73" t="s">
        <v>1502</v>
      </c>
      <c r="G1126" s="74" t="s">
        <v>808</v>
      </c>
      <c r="H1126" s="75">
        <v>1</v>
      </c>
      <c r="I1126" s="90">
        <v>2300</v>
      </c>
      <c r="J1126" s="91">
        <f>ROUND(I1126*H1126,2)</f>
        <v>2300</v>
      </c>
      <c r="K1126" s="92"/>
      <c r="L1126" s="12"/>
      <c r="M1126" s="93" t="s">
        <v>1</v>
      </c>
      <c r="N1126" s="94" t="s">
        <v>42</v>
      </c>
      <c r="P1126" s="95">
        <f>O1126*H1126</f>
        <v>0</v>
      </c>
      <c r="Q1126" s="95">
        <v>0</v>
      </c>
      <c r="R1126" s="95">
        <f>Q1126*H1126</f>
        <v>0</v>
      </c>
      <c r="S1126" s="95">
        <v>0</v>
      </c>
      <c r="T1126" s="99">
        <f>S1126*H1126</f>
        <v>0</v>
      </c>
      <c r="AR1126" s="101" t="s">
        <v>218</v>
      </c>
      <c r="AT1126" s="101" t="s">
        <v>214</v>
      </c>
      <c r="AU1126" s="101" t="s">
        <v>87</v>
      </c>
      <c r="AY1126" s="23" t="s">
        <v>211</v>
      </c>
      <c r="BE1126" s="104">
        <f>IF(N1126="základní",J1126,0)</f>
        <v>2300</v>
      </c>
      <c r="BF1126" s="104">
        <f>IF(N1126="snížená",J1126,0)</f>
        <v>0</v>
      </c>
      <c r="BG1126" s="104">
        <f>IF(N1126="zákl. přenesená",J1126,0)</f>
        <v>0</v>
      </c>
      <c r="BH1126" s="104">
        <f>IF(N1126="sníž. přenesená",J1126,0)</f>
        <v>0</v>
      </c>
      <c r="BI1126" s="104">
        <f>IF(N1126="nulová",J1126,0)</f>
        <v>0</v>
      </c>
      <c r="BJ1126" s="23" t="s">
        <v>85</v>
      </c>
      <c r="BK1126" s="104">
        <f>ROUND(I1126*H1126,2)</f>
        <v>2300</v>
      </c>
      <c r="BL1126" s="23" t="s">
        <v>218</v>
      </c>
      <c r="BM1126" s="101" t="s">
        <v>1503</v>
      </c>
    </row>
    <row r="1127" spans="2:65" s="1" customFormat="1" ht="19.2">
      <c r="B1127" s="12"/>
      <c r="D1127" s="105" t="s">
        <v>227</v>
      </c>
      <c r="F1127" s="106" t="s">
        <v>1504</v>
      </c>
      <c r="I1127" s="107"/>
      <c r="L1127" s="12"/>
      <c r="M1127" s="108"/>
      <c r="T1127" s="111"/>
      <c r="AT1127" s="23" t="s">
        <v>227</v>
      </c>
      <c r="AU1127" s="23" t="s">
        <v>87</v>
      </c>
    </row>
    <row r="1128" spans="2:65" s="1" customFormat="1" ht="24.15" customHeight="1">
      <c r="B1128" s="12"/>
      <c r="C1128" s="71" t="s">
        <v>1505</v>
      </c>
      <c r="D1128" s="71" t="s">
        <v>214</v>
      </c>
      <c r="E1128" s="72" t="s">
        <v>1506</v>
      </c>
      <c r="F1128" s="73" t="s">
        <v>1507</v>
      </c>
      <c r="G1128" s="74" t="s">
        <v>808</v>
      </c>
      <c r="H1128" s="75">
        <v>3</v>
      </c>
      <c r="I1128" s="90">
        <v>2300</v>
      </c>
      <c r="J1128" s="91">
        <f>ROUND(I1128*H1128,2)</f>
        <v>6900</v>
      </c>
      <c r="K1128" s="92"/>
      <c r="L1128" s="12"/>
      <c r="M1128" s="93" t="s">
        <v>1</v>
      </c>
      <c r="N1128" s="94" t="s">
        <v>42</v>
      </c>
      <c r="P1128" s="95">
        <f>O1128*H1128</f>
        <v>0</v>
      </c>
      <c r="Q1128" s="95">
        <v>0</v>
      </c>
      <c r="R1128" s="95">
        <f>Q1128*H1128</f>
        <v>0</v>
      </c>
      <c r="S1128" s="95">
        <v>0</v>
      </c>
      <c r="T1128" s="99">
        <f>S1128*H1128</f>
        <v>0</v>
      </c>
      <c r="AR1128" s="101" t="s">
        <v>218</v>
      </c>
      <c r="AT1128" s="101" t="s">
        <v>214</v>
      </c>
      <c r="AU1128" s="101" t="s">
        <v>87</v>
      </c>
      <c r="AY1128" s="23" t="s">
        <v>211</v>
      </c>
      <c r="BE1128" s="104">
        <f>IF(N1128="základní",J1128,0)</f>
        <v>6900</v>
      </c>
      <c r="BF1128" s="104">
        <f>IF(N1128="snížená",J1128,0)</f>
        <v>0</v>
      </c>
      <c r="BG1128" s="104">
        <f>IF(N1128="zákl. přenesená",J1128,0)</f>
        <v>0</v>
      </c>
      <c r="BH1128" s="104">
        <f>IF(N1128="sníž. přenesená",J1128,0)</f>
        <v>0</v>
      </c>
      <c r="BI1128" s="104">
        <f>IF(N1128="nulová",J1128,0)</f>
        <v>0</v>
      </c>
      <c r="BJ1128" s="23" t="s">
        <v>85</v>
      </c>
      <c r="BK1128" s="104">
        <f>ROUND(I1128*H1128,2)</f>
        <v>6900</v>
      </c>
      <c r="BL1128" s="23" t="s">
        <v>218</v>
      </c>
      <c r="BM1128" s="101" t="s">
        <v>1508</v>
      </c>
    </row>
    <row r="1129" spans="2:65" s="1" customFormat="1" ht="19.2">
      <c r="B1129" s="12"/>
      <c r="D1129" s="105" t="s">
        <v>227</v>
      </c>
      <c r="F1129" s="106" t="s">
        <v>1504</v>
      </c>
      <c r="I1129" s="107"/>
      <c r="L1129" s="12"/>
      <c r="M1129" s="108"/>
      <c r="T1129" s="111"/>
      <c r="AT1129" s="23" t="s">
        <v>227</v>
      </c>
      <c r="AU1129" s="23" t="s">
        <v>87</v>
      </c>
    </row>
    <row r="1130" spans="2:65" s="1" customFormat="1" ht="24.15" customHeight="1">
      <c r="B1130" s="12"/>
      <c r="C1130" s="71" t="s">
        <v>1509</v>
      </c>
      <c r="D1130" s="71" t="s">
        <v>214</v>
      </c>
      <c r="E1130" s="72" t="s">
        <v>1510</v>
      </c>
      <c r="F1130" s="73" t="s">
        <v>1502</v>
      </c>
      <c r="G1130" s="74" t="s">
        <v>808</v>
      </c>
      <c r="H1130" s="75">
        <v>1</v>
      </c>
      <c r="I1130" s="90">
        <v>2300</v>
      </c>
      <c r="J1130" s="91">
        <f>ROUND(I1130*H1130,2)</f>
        <v>2300</v>
      </c>
      <c r="K1130" s="92"/>
      <c r="L1130" s="12"/>
      <c r="M1130" s="93" t="s">
        <v>1</v>
      </c>
      <c r="N1130" s="94" t="s">
        <v>42</v>
      </c>
      <c r="P1130" s="95">
        <f>O1130*H1130</f>
        <v>0</v>
      </c>
      <c r="Q1130" s="95">
        <v>0</v>
      </c>
      <c r="R1130" s="95">
        <f>Q1130*H1130</f>
        <v>0</v>
      </c>
      <c r="S1130" s="95">
        <v>0</v>
      </c>
      <c r="T1130" s="99">
        <f>S1130*H1130</f>
        <v>0</v>
      </c>
      <c r="AR1130" s="101" t="s">
        <v>218</v>
      </c>
      <c r="AT1130" s="101" t="s">
        <v>214</v>
      </c>
      <c r="AU1130" s="101" t="s">
        <v>87</v>
      </c>
      <c r="AY1130" s="23" t="s">
        <v>211</v>
      </c>
      <c r="BE1130" s="104">
        <f>IF(N1130="základní",J1130,0)</f>
        <v>2300</v>
      </c>
      <c r="BF1130" s="104">
        <f>IF(N1130="snížená",J1130,0)</f>
        <v>0</v>
      </c>
      <c r="BG1130" s="104">
        <f>IF(N1130="zákl. přenesená",J1130,0)</f>
        <v>0</v>
      </c>
      <c r="BH1130" s="104">
        <f>IF(N1130="sníž. přenesená",J1130,0)</f>
        <v>0</v>
      </c>
      <c r="BI1130" s="104">
        <f>IF(N1130="nulová",J1130,0)</f>
        <v>0</v>
      </c>
      <c r="BJ1130" s="23" t="s">
        <v>85</v>
      </c>
      <c r="BK1130" s="104">
        <f>ROUND(I1130*H1130,2)</f>
        <v>2300</v>
      </c>
      <c r="BL1130" s="23" t="s">
        <v>218</v>
      </c>
      <c r="BM1130" s="101" t="s">
        <v>1511</v>
      </c>
    </row>
    <row r="1131" spans="2:65" s="1" customFormat="1" ht="19.2">
      <c r="B1131" s="12"/>
      <c r="D1131" s="105" t="s">
        <v>227</v>
      </c>
      <c r="F1131" s="106" t="s">
        <v>1504</v>
      </c>
      <c r="I1131" s="107"/>
      <c r="L1131" s="12"/>
      <c r="M1131" s="108"/>
      <c r="T1131" s="111"/>
      <c r="AT1131" s="23" t="s">
        <v>227</v>
      </c>
      <c r="AU1131" s="23" t="s">
        <v>87</v>
      </c>
    </row>
    <row r="1132" spans="2:65" s="1" customFormat="1" ht="24.15" customHeight="1">
      <c r="B1132" s="12"/>
      <c r="C1132" s="71" t="s">
        <v>1512</v>
      </c>
      <c r="D1132" s="71" t="s">
        <v>214</v>
      </c>
      <c r="E1132" s="72" t="s">
        <v>1513</v>
      </c>
      <c r="F1132" s="73" t="s">
        <v>1507</v>
      </c>
      <c r="G1132" s="74" t="s">
        <v>808</v>
      </c>
      <c r="H1132" s="75">
        <v>3</v>
      </c>
      <c r="I1132" s="90">
        <v>2300</v>
      </c>
      <c r="J1132" s="91">
        <f>ROUND(I1132*H1132,2)</f>
        <v>6900</v>
      </c>
      <c r="K1132" s="92"/>
      <c r="L1132" s="12"/>
      <c r="M1132" s="93" t="s">
        <v>1</v>
      </c>
      <c r="N1132" s="94" t="s">
        <v>42</v>
      </c>
      <c r="P1132" s="95">
        <f>O1132*H1132</f>
        <v>0</v>
      </c>
      <c r="Q1132" s="95">
        <v>0</v>
      </c>
      <c r="R1132" s="95">
        <f>Q1132*H1132</f>
        <v>0</v>
      </c>
      <c r="S1132" s="95">
        <v>0</v>
      </c>
      <c r="T1132" s="99">
        <f>S1132*H1132</f>
        <v>0</v>
      </c>
      <c r="AR1132" s="101" t="s">
        <v>218</v>
      </c>
      <c r="AT1132" s="101" t="s">
        <v>214</v>
      </c>
      <c r="AU1132" s="101" t="s">
        <v>87</v>
      </c>
      <c r="AY1132" s="23" t="s">
        <v>211</v>
      </c>
      <c r="BE1132" s="104">
        <f>IF(N1132="základní",J1132,0)</f>
        <v>6900</v>
      </c>
      <c r="BF1132" s="104">
        <f>IF(N1132="snížená",J1132,0)</f>
        <v>0</v>
      </c>
      <c r="BG1132" s="104">
        <f>IF(N1132="zákl. přenesená",J1132,0)</f>
        <v>0</v>
      </c>
      <c r="BH1132" s="104">
        <f>IF(N1132="sníž. přenesená",J1132,0)</f>
        <v>0</v>
      </c>
      <c r="BI1132" s="104">
        <f>IF(N1132="nulová",J1132,0)</f>
        <v>0</v>
      </c>
      <c r="BJ1132" s="23" t="s">
        <v>85</v>
      </c>
      <c r="BK1132" s="104">
        <f>ROUND(I1132*H1132,2)</f>
        <v>6900</v>
      </c>
      <c r="BL1132" s="23" t="s">
        <v>218</v>
      </c>
      <c r="BM1132" s="101" t="s">
        <v>1514</v>
      </c>
    </row>
    <row r="1133" spans="2:65" s="1" customFormat="1" ht="19.2">
      <c r="B1133" s="12"/>
      <c r="D1133" s="105" t="s">
        <v>227</v>
      </c>
      <c r="F1133" s="106" t="s">
        <v>1504</v>
      </c>
      <c r="I1133" s="107"/>
      <c r="L1133" s="12"/>
      <c r="M1133" s="108"/>
      <c r="T1133" s="111"/>
      <c r="AT1133" s="23" t="s">
        <v>227</v>
      </c>
      <c r="AU1133" s="23" t="s">
        <v>87</v>
      </c>
    </row>
    <row r="1134" spans="2:65" s="1" customFormat="1" ht="66.75" customHeight="1">
      <c r="B1134" s="12"/>
      <c r="C1134" s="71" t="s">
        <v>1515</v>
      </c>
      <c r="D1134" s="71" t="s">
        <v>214</v>
      </c>
      <c r="E1134" s="72" t="s">
        <v>1516</v>
      </c>
      <c r="F1134" s="73" t="s">
        <v>1517</v>
      </c>
      <c r="G1134" s="74" t="s">
        <v>808</v>
      </c>
      <c r="H1134" s="75">
        <v>2</v>
      </c>
      <c r="I1134" s="90">
        <v>52000</v>
      </c>
      <c r="J1134" s="91">
        <f>ROUND(I1134*H1134,2)</f>
        <v>104000</v>
      </c>
      <c r="K1134" s="92"/>
      <c r="L1134" s="12"/>
      <c r="M1134" s="93" t="s">
        <v>1</v>
      </c>
      <c r="N1134" s="94" t="s">
        <v>42</v>
      </c>
      <c r="P1134" s="95">
        <f>O1134*H1134</f>
        <v>0</v>
      </c>
      <c r="Q1134" s="95">
        <v>0</v>
      </c>
      <c r="R1134" s="95">
        <f>Q1134*H1134</f>
        <v>0</v>
      </c>
      <c r="S1134" s="95">
        <v>0</v>
      </c>
      <c r="T1134" s="99">
        <f>S1134*H1134</f>
        <v>0</v>
      </c>
      <c r="AR1134" s="101" t="s">
        <v>218</v>
      </c>
      <c r="AT1134" s="101" t="s">
        <v>214</v>
      </c>
      <c r="AU1134" s="101" t="s">
        <v>87</v>
      </c>
      <c r="AY1134" s="23" t="s">
        <v>211</v>
      </c>
      <c r="BE1134" s="104">
        <f>IF(N1134="základní",J1134,0)</f>
        <v>104000</v>
      </c>
      <c r="BF1134" s="104">
        <f>IF(N1134="snížená",J1134,0)</f>
        <v>0</v>
      </c>
      <c r="BG1134" s="104">
        <f>IF(N1134="zákl. přenesená",J1134,0)</f>
        <v>0</v>
      </c>
      <c r="BH1134" s="104">
        <f>IF(N1134="sníž. přenesená",J1134,0)</f>
        <v>0</v>
      </c>
      <c r="BI1134" s="104">
        <f>IF(N1134="nulová",J1134,0)</f>
        <v>0</v>
      </c>
      <c r="BJ1134" s="23" t="s">
        <v>85</v>
      </c>
      <c r="BK1134" s="104">
        <f>ROUND(I1134*H1134,2)</f>
        <v>104000</v>
      </c>
      <c r="BL1134" s="23" t="s">
        <v>218</v>
      </c>
      <c r="BM1134" s="101" t="s">
        <v>1518</v>
      </c>
    </row>
    <row r="1135" spans="2:65" s="1" customFormat="1" ht="19.2">
      <c r="B1135" s="12"/>
      <c r="D1135" s="105" t="s">
        <v>227</v>
      </c>
      <c r="F1135" s="106" t="s">
        <v>1519</v>
      </c>
      <c r="I1135" s="107"/>
      <c r="L1135" s="12"/>
      <c r="M1135" s="108"/>
      <c r="T1135" s="111"/>
      <c r="AT1135" s="23" t="s">
        <v>227</v>
      </c>
      <c r="AU1135" s="23" t="s">
        <v>87</v>
      </c>
    </row>
    <row r="1136" spans="2:65" s="1" customFormat="1" ht="66.75" customHeight="1">
      <c r="B1136" s="12"/>
      <c r="C1136" s="71" t="s">
        <v>1520</v>
      </c>
      <c r="D1136" s="71" t="s">
        <v>214</v>
      </c>
      <c r="E1136" s="72" t="s">
        <v>1521</v>
      </c>
      <c r="F1136" s="73" t="s">
        <v>1522</v>
      </c>
      <c r="G1136" s="74" t="s">
        <v>808</v>
      </c>
      <c r="H1136" s="75">
        <v>1</v>
      </c>
      <c r="I1136" s="90">
        <v>67000</v>
      </c>
      <c r="J1136" s="91">
        <f>ROUND(I1136*H1136,2)</f>
        <v>67000</v>
      </c>
      <c r="K1136" s="92"/>
      <c r="L1136" s="12"/>
      <c r="M1136" s="93" t="s">
        <v>1</v>
      </c>
      <c r="N1136" s="94" t="s">
        <v>42</v>
      </c>
      <c r="P1136" s="95">
        <f>O1136*H1136</f>
        <v>0</v>
      </c>
      <c r="Q1136" s="95">
        <v>0</v>
      </c>
      <c r="R1136" s="95">
        <f>Q1136*H1136</f>
        <v>0</v>
      </c>
      <c r="S1136" s="95">
        <v>0</v>
      </c>
      <c r="T1136" s="99">
        <f>S1136*H1136</f>
        <v>0</v>
      </c>
      <c r="AR1136" s="101" t="s">
        <v>218</v>
      </c>
      <c r="AT1136" s="101" t="s">
        <v>214</v>
      </c>
      <c r="AU1136" s="101" t="s">
        <v>87</v>
      </c>
      <c r="AY1136" s="23" t="s">
        <v>211</v>
      </c>
      <c r="BE1136" s="104">
        <f>IF(N1136="základní",J1136,0)</f>
        <v>67000</v>
      </c>
      <c r="BF1136" s="104">
        <f>IF(N1136="snížená",J1136,0)</f>
        <v>0</v>
      </c>
      <c r="BG1136" s="104">
        <f>IF(N1136="zákl. přenesená",J1136,0)</f>
        <v>0</v>
      </c>
      <c r="BH1136" s="104">
        <f>IF(N1136="sníž. přenesená",J1136,0)</f>
        <v>0</v>
      </c>
      <c r="BI1136" s="104">
        <f>IF(N1136="nulová",J1136,0)</f>
        <v>0</v>
      </c>
      <c r="BJ1136" s="23" t="s">
        <v>85</v>
      </c>
      <c r="BK1136" s="104">
        <f>ROUND(I1136*H1136,2)</f>
        <v>67000</v>
      </c>
      <c r="BL1136" s="23" t="s">
        <v>218</v>
      </c>
      <c r="BM1136" s="101" t="s">
        <v>1523</v>
      </c>
    </row>
    <row r="1137" spans="2:65" s="1" customFormat="1" ht="19.2">
      <c r="B1137" s="12"/>
      <c r="D1137" s="105" t="s">
        <v>227</v>
      </c>
      <c r="F1137" s="106" t="s">
        <v>1519</v>
      </c>
      <c r="I1137" s="107"/>
      <c r="L1137" s="12"/>
      <c r="M1137" s="108"/>
      <c r="T1137" s="111"/>
      <c r="AT1137" s="23" t="s">
        <v>227</v>
      </c>
      <c r="AU1137" s="23" t="s">
        <v>87</v>
      </c>
    </row>
    <row r="1138" spans="2:65" s="1" customFormat="1" ht="66.75" customHeight="1">
      <c r="B1138" s="12"/>
      <c r="C1138" s="71" t="s">
        <v>1524</v>
      </c>
      <c r="D1138" s="71" t="s">
        <v>214</v>
      </c>
      <c r="E1138" s="72" t="s">
        <v>1525</v>
      </c>
      <c r="F1138" s="73" t="s">
        <v>1526</v>
      </c>
      <c r="G1138" s="74" t="s">
        <v>808</v>
      </c>
      <c r="H1138" s="75">
        <v>2</v>
      </c>
      <c r="I1138" s="90">
        <v>70000</v>
      </c>
      <c r="J1138" s="91">
        <f>ROUND(I1138*H1138,2)</f>
        <v>140000</v>
      </c>
      <c r="K1138" s="92"/>
      <c r="L1138" s="12"/>
      <c r="M1138" s="93" t="s">
        <v>1</v>
      </c>
      <c r="N1138" s="94" t="s">
        <v>42</v>
      </c>
      <c r="P1138" s="95">
        <f>O1138*H1138</f>
        <v>0</v>
      </c>
      <c r="Q1138" s="95">
        <v>0</v>
      </c>
      <c r="R1138" s="95">
        <f>Q1138*H1138</f>
        <v>0</v>
      </c>
      <c r="S1138" s="95">
        <v>0</v>
      </c>
      <c r="T1138" s="99">
        <f>S1138*H1138</f>
        <v>0</v>
      </c>
      <c r="AR1138" s="101" t="s">
        <v>218</v>
      </c>
      <c r="AT1138" s="101" t="s">
        <v>214</v>
      </c>
      <c r="AU1138" s="101" t="s">
        <v>87</v>
      </c>
      <c r="AY1138" s="23" t="s">
        <v>211</v>
      </c>
      <c r="BE1138" s="104">
        <f>IF(N1138="základní",J1138,0)</f>
        <v>140000</v>
      </c>
      <c r="BF1138" s="104">
        <f>IF(N1138="snížená",J1138,0)</f>
        <v>0</v>
      </c>
      <c r="BG1138" s="104">
        <f>IF(N1138="zákl. přenesená",J1138,0)</f>
        <v>0</v>
      </c>
      <c r="BH1138" s="104">
        <f>IF(N1138="sníž. přenesená",J1138,0)</f>
        <v>0</v>
      </c>
      <c r="BI1138" s="104">
        <f>IF(N1138="nulová",J1138,0)</f>
        <v>0</v>
      </c>
      <c r="BJ1138" s="23" t="s">
        <v>85</v>
      </c>
      <c r="BK1138" s="104">
        <f>ROUND(I1138*H1138,2)</f>
        <v>140000</v>
      </c>
      <c r="BL1138" s="23" t="s">
        <v>218</v>
      </c>
      <c r="BM1138" s="101" t="s">
        <v>1527</v>
      </c>
    </row>
    <row r="1139" spans="2:65" s="1" customFormat="1" ht="19.2">
      <c r="B1139" s="12"/>
      <c r="D1139" s="105" t="s">
        <v>227</v>
      </c>
      <c r="F1139" s="106" t="s">
        <v>1519</v>
      </c>
      <c r="I1139" s="107"/>
      <c r="L1139" s="12"/>
      <c r="M1139" s="108"/>
      <c r="T1139" s="111"/>
      <c r="AT1139" s="23" t="s">
        <v>227</v>
      </c>
      <c r="AU1139" s="23" t="s">
        <v>87</v>
      </c>
    </row>
    <row r="1140" spans="2:65" s="1" customFormat="1" ht="55.5" customHeight="1">
      <c r="B1140" s="12"/>
      <c r="C1140" s="71" t="s">
        <v>1528</v>
      </c>
      <c r="D1140" s="71" t="s">
        <v>214</v>
      </c>
      <c r="E1140" s="72" t="s">
        <v>1529</v>
      </c>
      <c r="F1140" s="73" t="s">
        <v>1530</v>
      </c>
      <c r="G1140" s="74" t="s">
        <v>808</v>
      </c>
      <c r="H1140" s="75">
        <v>1</v>
      </c>
      <c r="I1140" s="90">
        <v>46000</v>
      </c>
      <c r="J1140" s="91">
        <f>ROUND(I1140*H1140,2)</f>
        <v>46000</v>
      </c>
      <c r="K1140" s="92"/>
      <c r="L1140" s="12"/>
      <c r="M1140" s="93" t="s">
        <v>1</v>
      </c>
      <c r="N1140" s="94" t="s">
        <v>42</v>
      </c>
      <c r="P1140" s="95">
        <f>O1140*H1140</f>
        <v>0</v>
      </c>
      <c r="Q1140" s="95">
        <v>0</v>
      </c>
      <c r="R1140" s="95">
        <f>Q1140*H1140</f>
        <v>0</v>
      </c>
      <c r="S1140" s="95">
        <v>0</v>
      </c>
      <c r="T1140" s="99">
        <f>S1140*H1140</f>
        <v>0</v>
      </c>
      <c r="AR1140" s="101" t="s">
        <v>218</v>
      </c>
      <c r="AT1140" s="101" t="s">
        <v>214</v>
      </c>
      <c r="AU1140" s="101" t="s">
        <v>87</v>
      </c>
      <c r="AY1140" s="23" t="s">
        <v>211</v>
      </c>
      <c r="BE1140" s="104">
        <f>IF(N1140="základní",J1140,0)</f>
        <v>46000</v>
      </c>
      <c r="BF1140" s="104">
        <f>IF(N1140="snížená",J1140,0)</f>
        <v>0</v>
      </c>
      <c r="BG1140" s="104">
        <f>IF(N1140="zákl. přenesená",J1140,0)</f>
        <v>0</v>
      </c>
      <c r="BH1140" s="104">
        <f>IF(N1140="sníž. přenesená",J1140,0)</f>
        <v>0</v>
      </c>
      <c r="BI1140" s="104">
        <f>IF(N1140="nulová",J1140,0)</f>
        <v>0</v>
      </c>
      <c r="BJ1140" s="23" t="s">
        <v>85</v>
      </c>
      <c r="BK1140" s="104">
        <f>ROUND(I1140*H1140,2)</f>
        <v>46000</v>
      </c>
      <c r="BL1140" s="23" t="s">
        <v>218</v>
      </c>
      <c r="BM1140" s="101" t="s">
        <v>1531</v>
      </c>
    </row>
    <row r="1141" spans="2:65" s="1" customFormat="1" ht="19.2">
      <c r="B1141" s="12"/>
      <c r="D1141" s="105" t="s">
        <v>227</v>
      </c>
      <c r="F1141" s="106" t="s">
        <v>1519</v>
      </c>
      <c r="I1141" s="107"/>
      <c r="L1141" s="12"/>
      <c r="M1141" s="108"/>
      <c r="T1141" s="111"/>
      <c r="AT1141" s="23" t="s">
        <v>227</v>
      </c>
      <c r="AU1141" s="23" t="s">
        <v>87</v>
      </c>
    </row>
    <row r="1142" spans="2:65" s="1" customFormat="1" ht="55.5" customHeight="1">
      <c r="B1142" s="12"/>
      <c r="C1142" s="71" t="s">
        <v>1532</v>
      </c>
      <c r="D1142" s="71" t="s">
        <v>214</v>
      </c>
      <c r="E1142" s="72" t="s">
        <v>1533</v>
      </c>
      <c r="F1142" s="73" t="s">
        <v>1534</v>
      </c>
      <c r="G1142" s="74" t="s">
        <v>808</v>
      </c>
      <c r="H1142" s="75">
        <v>3</v>
      </c>
      <c r="I1142" s="90">
        <v>24000</v>
      </c>
      <c r="J1142" s="91">
        <f>ROUND(I1142*H1142,2)</f>
        <v>72000</v>
      </c>
      <c r="K1142" s="92"/>
      <c r="L1142" s="12"/>
      <c r="M1142" s="93" t="s">
        <v>1</v>
      </c>
      <c r="N1142" s="94" t="s">
        <v>42</v>
      </c>
      <c r="P1142" s="95">
        <f>O1142*H1142</f>
        <v>0</v>
      </c>
      <c r="Q1142" s="95">
        <v>0</v>
      </c>
      <c r="R1142" s="95">
        <f>Q1142*H1142</f>
        <v>0</v>
      </c>
      <c r="S1142" s="95">
        <v>0</v>
      </c>
      <c r="T1142" s="99">
        <f>S1142*H1142</f>
        <v>0</v>
      </c>
      <c r="AR1142" s="101" t="s">
        <v>218</v>
      </c>
      <c r="AT1142" s="101" t="s">
        <v>214</v>
      </c>
      <c r="AU1142" s="101" t="s">
        <v>87</v>
      </c>
      <c r="AY1142" s="23" t="s">
        <v>211</v>
      </c>
      <c r="BE1142" s="104">
        <f>IF(N1142="základní",J1142,0)</f>
        <v>72000</v>
      </c>
      <c r="BF1142" s="104">
        <f>IF(N1142="snížená",J1142,0)</f>
        <v>0</v>
      </c>
      <c r="BG1142" s="104">
        <f>IF(N1142="zákl. přenesená",J1142,0)</f>
        <v>0</v>
      </c>
      <c r="BH1142" s="104">
        <f>IF(N1142="sníž. přenesená",J1142,0)</f>
        <v>0</v>
      </c>
      <c r="BI1142" s="104">
        <f>IF(N1142="nulová",J1142,0)</f>
        <v>0</v>
      </c>
      <c r="BJ1142" s="23" t="s">
        <v>85</v>
      </c>
      <c r="BK1142" s="104">
        <f>ROUND(I1142*H1142,2)</f>
        <v>72000</v>
      </c>
      <c r="BL1142" s="23" t="s">
        <v>218</v>
      </c>
      <c r="BM1142" s="101" t="s">
        <v>1535</v>
      </c>
    </row>
    <row r="1143" spans="2:65" s="1" customFormat="1" ht="19.2">
      <c r="B1143" s="12"/>
      <c r="D1143" s="105" t="s">
        <v>227</v>
      </c>
      <c r="F1143" s="106" t="s">
        <v>1519</v>
      </c>
      <c r="I1143" s="107"/>
      <c r="L1143" s="12"/>
      <c r="M1143" s="108"/>
      <c r="T1143" s="111"/>
      <c r="AT1143" s="23" t="s">
        <v>227</v>
      </c>
      <c r="AU1143" s="23" t="s">
        <v>87</v>
      </c>
    </row>
    <row r="1144" spans="2:65" s="1" customFormat="1" ht="55.5" customHeight="1">
      <c r="B1144" s="12"/>
      <c r="C1144" s="71" t="s">
        <v>1536</v>
      </c>
      <c r="D1144" s="71" t="s">
        <v>214</v>
      </c>
      <c r="E1144" s="72" t="s">
        <v>1537</v>
      </c>
      <c r="F1144" s="73" t="s">
        <v>1538</v>
      </c>
      <c r="G1144" s="74" t="s">
        <v>808</v>
      </c>
      <c r="H1144" s="75">
        <v>4</v>
      </c>
      <c r="I1144" s="90">
        <v>31000</v>
      </c>
      <c r="J1144" s="91">
        <f>ROUND(I1144*H1144,2)</f>
        <v>124000</v>
      </c>
      <c r="K1144" s="92"/>
      <c r="L1144" s="12"/>
      <c r="M1144" s="93" t="s">
        <v>1</v>
      </c>
      <c r="N1144" s="94" t="s">
        <v>42</v>
      </c>
      <c r="P1144" s="95">
        <f>O1144*H1144</f>
        <v>0</v>
      </c>
      <c r="Q1144" s="95">
        <v>0</v>
      </c>
      <c r="R1144" s="95">
        <f>Q1144*H1144</f>
        <v>0</v>
      </c>
      <c r="S1144" s="95">
        <v>0</v>
      </c>
      <c r="T1144" s="99">
        <f>S1144*H1144</f>
        <v>0</v>
      </c>
      <c r="AR1144" s="101" t="s">
        <v>218</v>
      </c>
      <c r="AT1144" s="101" t="s">
        <v>214</v>
      </c>
      <c r="AU1144" s="101" t="s">
        <v>87</v>
      </c>
      <c r="AY1144" s="23" t="s">
        <v>211</v>
      </c>
      <c r="BE1144" s="104">
        <f>IF(N1144="základní",J1144,0)</f>
        <v>124000</v>
      </c>
      <c r="BF1144" s="104">
        <f>IF(N1144="snížená",J1144,0)</f>
        <v>0</v>
      </c>
      <c r="BG1144" s="104">
        <f>IF(N1144="zákl. přenesená",J1144,0)</f>
        <v>0</v>
      </c>
      <c r="BH1144" s="104">
        <f>IF(N1144="sníž. přenesená",J1144,0)</f>
        <v>0</v>
      </c>
      <c r="BI1144" s="104">
        <f>IF(N1144="nulová",J1144,0)</f>
        <v>0</v>
      </c>
      <c r="BJ1144" s="23" t="s">
        <v>85</v>
      </c>
      <c r="BK1144" s="104">
        <f>ROUND(I1144*H1144,2)</f>
        <v>124000</v>
      </c>
      <c r="BL1144" s="23" t="s">
        <v>218</v>
      </c>
      <c r="BM1144" s="101" t="s">
        <v>1539</v>
      </c>
    </row>
    <row r="1145" spans="2:65" s="1" customFormat="1" ht="19.2">
      <c r="B1145" s="12"/>
      <c r="D1145" s="105" t="s">
        <v>227</v>
      </c>
      <c r="F1145" s="106" t="s">
        <v>1519</v>
      </c>
      <c r="I1145" s="107"/>
      <c r="L1145" s="12"/>
      <c r="M1145" s="108"/>
      <c r="T1145" s="111"/>
      <c r="AT1145" s="23" t="s">
        <v>227</v>
      </c>
      <c r="AU1145" s="23" t="s">
        <v>87</v>
      </c>
    </row>
    <row r="1146" spans="2:65" s="1" customFormat="1" ht="62.85" customHeight="1">
      <c r="B1146" s="12"/>
      <c r="C1146" s="71" t="s">
        <v>1540</v>
      </c>
      <c r="D1146" s="71" t="s">
        <v>214</v>
      </c>
      <c r="E1146" s="72" t="s">
        <v>1541</v>
      </c>
      <c r="F1146" s="73" t="s">
        <v>1542</v>
      </c>
      <c r="G1146" s="74" t="s">
        <v>808</v>
      </c>
      <c r="H1146" s="75">
        <v>6</v>
      </c>
      <c r="I1146" s="90">
        <v>21000</v>
      </c>
      <c r="J1146" s="91">
        <f>ROUND(I1146*H1146,2)</f>
        <v>126000</v>
      </c>
      <c r="K1146" s="92"/>
      <c r="L1146" s="12"/>
      <c r="M1146" s="93" t="s">
        <v>1</v>
      </c>
      <c r="N1146" s="94" t="s">
        <v>42</v>
      </c>
      <c r="P1146" s="95">
        <f>O1146*H1146</f>
        <v>0</v>
      </c>
      <c r="Q1146" s="95">
        <v>0</v>
      </c>
      <c r="R1146" s="95">
        <f>Q1146*H1146</f>
        <v>0</v>
      </c>
      <c r="S1146" s="95">
        <v>0</v>
      </c>
      <c r="T1146" s="99">
        <f>S1146*H1146</f>
        <v>0</v>
      </c>
      <c r="AR1146" s="101" t="s">
        <v>218</v>
      </c>
      <c r="AT1146" s="101" t="s">
        <v>214</v>
      </c>
      <c r="AU1146" s="101" t="s">
        <v>87</v>
      </c>
      <c r="AY1146" s="23" t="s">
        <v>211</v>
      </c>
      <c r="BE1146" s="104">
        <f>IF(N1146="základní",J1146,0)</f>
        <v>126000</v>
      </c>
      <c r="BF1146" s="104">
        <f>IF(N1146="snížená",J1146,0)</f>
        <v>0</v>
      </c>
      <c r="BG1146" s="104">
        <f>IF(N1146="zákl. přenesená",J1146,0)</f>
        <v>0</v>
      </c>
      <c r="BH1146" s="104">
        <f>IF(N1146="sníž. přenesená",J1146,0)</f>
        <v>0</v>
      </c>
      <c r="BI1146" s="104">
        <f>IF(N1146="nulová",J1146,0)</f>
        <v>0</v>
      </c>
      <c r="BJ1146" s="23" t="s">
        <v>85</v>
      </c>
      <c r="BK1146" s="104">
        <f>ROUND(I1146*H1146,2)</f>
        <v>126000</v>
      </c>
      <c r="BL1146" s="23" t="s">
        <v>218</v>
      </c>
      <c r="BM1146" s="101" t="s">
        <v>1543</v>
      </c>
    </row>
    <row r="1147" spans="2:65" s="1" customFormat="1" ht="19.2">
      <c r="B1147" s="12"/>
      <c r="D1147" s="105" t="s">
        <v>227</v>
      </c>
      <c r="F1147" s="106" t="s">
        <v>1519</v>
      </c>
      <c r="I1147" s="107"/>
      <c r="L1147" s="12"/>
      <c r="M1147" s="108"/>
      <c r="T1147" s="111"/>
      <c r="AT1147" s="23" t="s">
        <v>227</v>
      </c>
      <c r="AU1147" s="23" t="s">
        <v>87</v>
      </c>
    </row>
    <row r="1148" spans="2:65" s="1" customFormat="1" ht="62.85" customHeight="1">
      <c r="B1148" s="12"/>
      <c r="C1148" s="71" t="s">
        <v>1544</v>
      </c>
      <c r="D1148" s="71" t="s">
        <v>214</v>
      </c>
      <c r="E1148" s="72" t="s">
        <v>1545</v>
      </c>
      <c r="F1148" s="73" t="s">
        <v>1546</v>
      </c>
      <c r="G1148" s="74" t="s">
        <v>808</v>
      </c>
      <c r="H1148" s="75">
        <v>15</v>
      </c>
      <c r="I1148" s="90">
        <v>16500</v>
      </c>
      <c r="J1148" s="91">
        <f>ROUND(I1148*H1148,2)</f>
        <v>247500</v>
      </c>
      <c r="K1148" s="92"/>
      <c r="L1148" s="12"/>
      <c r="M1148" s="93" t="s">
        <v>1</v>
      </c>
      <c r="N1148" s="94" t="s">
        <v>42</v>
      </c>
      <c r="P1148" s="95">
        <f>O1148*H1148</f>
        <v>0</v>
      </c>
      <c r="Q1148" s="95">
        <v>0</v>
      </c>
      <c r="R1148" s="95">
        <f>Q1148*H1148</f>
        <v>0</v>
      </c>
      <c r="S1148" s="95">
        <v>0</v>
      </c>
      <c r="T1148" s="99">
        <f>S1148*H1148</f>
        <v>0</v>
      </c>
      <c r="AR1148" s="101" t="s">
        <v>218</v>
      </c>
      <c r="AT1148" s="101" t="s">
        <v>214</v>
      </c>
      <c r="AU1148" s="101" t="s">
        <v>87</v>
      </c>
      <c r="AY1148" s="23" t="s">
        <v>211</v>
      </c>
      <c r="BE1148" s="104">
        <f>IF(N1148="základní",J1148,0)</f>
        <v>247500</v>
      </c>
      <c r="BF1148" s="104">
        <f>IF(N1148="snížená",J1148,0)</f>
        <v>0</v>
      </c>
      <c r="BG1148" s="104">
        <f>IF(N1148="zákl. přenesená",J1148,0)</f>
        <v>0</v>
      </c>
      <c r="BH1148" s="104">
        <f>IF(N1148="sníž. přenesená",J1148,0)</f>
        <v>0</v>
      </c>
      <c r="BI1148" s="104">
        <f>IF(N1148="nulová",J1148,0)</f>
        <v>0</v>
      </c>
      <c r="BJ1148" s="23" t="s">
        <v>85</v>
      </c>
      <c r="BK1148" s="104">
        <f>ROUND(I1148*H1148,2)</f>
        <v>247500</v>
      </c>
      <c r="BL1148" s="23" t="s">
        <v>218</v>
      </c>
      <c r="BM1148" s="101" t="s">
        <v>1547</v>
      </c>
    </row>
    <row r="1149" spans="2:65" s="1" customFormat="1" ht="19.2">
      <c r="B1149" s="12"/>
      <c r="D1149" s="105" t="s">
        <v>227</v>
      </c>
      <c r="F1149" s="106" t="s">
        <v>1519</v>
      </c>
      <c r="I1149" s="107"/>
      <c r="L1149" s="12"/>
      <c r="M1149" s="108"/>
      <c r="T1149" s="111"/>
      <c r="AT1149" s="23" t="s">
        <v>227</v>
      </c>
      <c r="AU1149" s="23" t="s">
        <v>87</v>
      </c>
    </row>
    <row r="1150" spans="2:65" s="1" customFormat="1" ht="62.85" customHeight="1">
      <c r="B1150" s="12"/>
      <c r="C1150" s="71" t="s">
        <v>1548</v>
      </c>
      <c r="D1150" s="71" t="s">
        <v>214</v>
      </c>
      <c r="E1150" s="72" t="s">
        <v>1549</v>
      </c>
      <c r="F1150" s="73" t="s">
        <v>1550</v>
      </c>
      <c r="G1150" s="74" t="s">
        <v>808</v>
      </c>
      <c r="H1150" s="75">
        <v>1</v>
      </c>
      <c r="I1150" s="90">
        <v>21000</v>
      </c>
      <c r="J1150" s="91">
        <f>ROUND(I1150*H1150,2)</f>
        <v>21000</v>
      </c>
      <c r="K1150" s="92"/>
      <c r="L1150" s="12"/>
      <c r="M1150" s="93" t="s">
        <v>1</v>
      </c>
      <c r="N1150" s="94" t="s">
        <v>42</v>
      </c>
      <c r="P1150" s="95">
        <f>O1150*H1150</f>
        <v>0</v>
      </c>
      <c r="Q1150" s="95">
        <v>0</v>
      </c>
      <c r="R1150" s="95">
        <f>Q1150*H1150</f>
        <v>0</v>
      </c>
      <c r="S1150" s="95">
        <v>0</v>
      </c>
      <c r="T1150" s="99">
        <f>S1150*H1150</f>
        <v>0</v>
      </c>
      <c r="AR1150" s="101" t="s">
        <v>218</v>
      </c>
      <c r="AT1150" s="101" t="s">
        <v>214</v>
      </c>
      <c r="AU1150" s="101" t="s">
        <v>87</v>
      </c>
      <c r="AY1150" s="23" t="s">
        <v>211</v>
      </c>
      <c r="BE1150" s="104">
        <f>IF(N1150="základní",J1150,0)</f>
        <v>21000</v>
      </c>
      <c r="BF1150" s="104">
        <f>IF(N1150="snížená",J1150,0)</f>
        <v>0</v>
      </c>
      <c r="BG1150" s="104">
        <f>IF(N1150="zákl. přenesená",J1150,0)</f>
        <v>0</v>
      </c>
      <c r="BH1150" s="104">
        <f>IF(N1150="sníž. přenesená",J1150,0)</f>
        <v>0</v>
      </c>
      <c r="BI1150" s="104">
        <f>IF(N1150="nulová",J1150,0)</f>
        <v>0</v>
      </c>
      <c r="BJ1150" s="23" t="s">
        <v>85</v>
      </c>
      <c r="BK1150" s="104">
        <f>ROUND(I1150*H1150,2)</f>
        <v>21000</v>
      </c>
      <c r="BL1150" s="23" t="s">
        <v>218</v>
      </c>
      <c r="BM1150" s="101" t="s">
        <v>1551</v>
      </c>
    </row>
    <row r="1151" spans="2:65" s="1" customFormat="1" ht="19.2">
      <c r="B1151" s="12"/>
      <c r="D1151" s="105" t="s">
        <v>227</v>
      </c>
      <c r="F1151" s="106" t="s">
        <v>1519</v>
      </c>
      <c r="I1151" s="107"/>
      <c r="L1151" s="12"/>
      <c r="M1151" s="108"/>
      <c r="T1151" s="111"/>
      <c r="AT1151" s="23" t="s">
        <v>227</v>
      </c>
      <c r="AU1151" s="23" t="s">
        <v>87</v>
      </c>
    </row>
    <row r="1152" spans="2:65" s="1" customFormat="1" ht="62.85" customHeight="1">
      <c r="B1152" s="12"/>
      <c r="C1152" s="71" t="s">
        <v>1552</v>
      </c>
      <c r="D1152" s="71" t="s">
        <v>214</v>
      </c>
      <c r="E1152" s="72" t="s">
        <v>1553</v>
      </c>
      <c r="F1152" s="73" t="s">
        <v>1554</v>
      </c>
      <c r="G1152" s="74" t="s">
        <v>808</v>
      </c>
      <c r="H1152" s="75">
        <v>9</v>
      </c>
      <c r="I1152" s="90">
        <v>31000</v>
      </c>
      <c r="J1152" s="91">
        <f>ROUND(I1152*H1152,2)</f>
        <v>279000</v>
      </c>
      <c r="K1152" s="92"/>
      <c r="L1152" s="12"/>
      <c r="M1152" s="93" t="s">
        <v>1</v>
      </c>
      <c r="N1152" s="94" t="s">
        <v>42</v>
      </c>
      <c r="P1152" s="95">
        <f>O1152*H1152</f>
        <v>0</v>
      </c>
      <c r="Q1152" s="95">
        <v>0</v>
      </c>
      <c r="R1152" s="95">
        <f>Q1152*H1152</f>
        <v>0</v>
      </c>
      <c r="S1152" s="95">
        <v>0</v>
      </c>
      <c r="T1152" s="99">
        <f>S1152*H1152</f>
        <v>0</v>
      </c>
      <c r="AR1152" s="101" t="s">
        <v>218</v>
      </c>
      <c r="AT1152" s="101" t="s">
        <v>214</v>
      </c>
      <c r="AU1152" s="101" t="s">
        <v>87</v>
      </c>
      <c r="AY1152" s="23" t="s">
        <v>211</v>
      </c>
      <c r="BE1152" s="104">
        <f>IF(N1152="základní",J1152,0)</f>
        <v>279000</v>
      </c>
      <c r="BF1152" s="104">
        <f>IF(N1152="snížená",J1152,0)</f>
        <v>0</v>
      </c>
      <c r="BG1152" s="104">
        <f>IF(N1152="zákl. přenesená",J1152,0)</f>
        <v>0</v>
      </c>
      <c r="BH1152" s="104">
        <f>IF(N1152="sníž. přenesená",J1152,0)</f>
        <v>0</v>
      </c>
      <c r="BI1152" s="104">
        <f>IF(N1152="nulová",J1152,0)</f>
        <v>0</v>
      </c>
      <c r="BJ1152" s="23" t="s">
        <v>85</v>
      </c>
      <c r="BK1152" s="104">
        <f>ROUND(I1152*H1152,2)</f>
        <v>279000</v>
      </c>
      <c r="BL1152" s="23" t="s">
        <v>218</v>
      </c>
      <c r="BM1152" s="101" t="s">
        <v>1555</v>
      </c>
    </row>
    <row r="1153" spans="2:65" s="1" customFormat="1" ht="19.2">
      <c r="B1153" s="12"/>
      <c r="D1153" s="105" t="s">
        <v>227</v>
      </c>
      <c r="F1153" s="106" t="s">
        <v>1519</v>
      </c>
      <c r="I1153" s="107"/>
      <c r="L1153" s="12"/>
      <c r="M1153" s="108"/>
      <c r="T1153" s="111"/>
      <c r="AT1153" s="23" t="s">
        <v>227</v>
      </c>
      <c r="AU1153" s="23" t="s">
        <v>87</v>
      </c>
    </row>
    <row r="1154" spans="2:65" s="1" customFormat="1" ht="62.85" customHeight="1">
      <c r="B1154" s="12"/>
      <c r="C1154" s="71" t="s">
        <v>1556</v>
      </c>
      <c r="D1154" s="71" t="s">
        <v>214</v>
      </c>
      <c r="E1154" s="72" t="s">
        <v>1557</v>
      </c>
      <c r="F1154" s="73" t="s">
        <v>1558</v>
      </c>
      <c r="G1154" s="74" t="s">
        <v>808</v>
      </c>
      <c r="H1154" s="75">
        <v>1</v>
      </c>
      <c r="I1154" s="90">
        <v>18000</v>
      </c>
      <c r="J1154" s="91">
        <f>ROUND(I1154*H1154,2)</f>
        <v>18000</v>
      </c>
      <c r="K1154" s="92"/>
      <c r="L1154" s="12"/>
      <c r="M1154" s="93" t="s">
        <v>1</v>
      </c>
      <c r="N1154" s="94" t="s">
        <v>42</v>
      </c>
      <c r="P1154" s="95">
        <f>O1154*H1154</f>
        <v>0</v>
      </c>
      <c r="Q1154" s="95">
        <v>0</v>
      </c>
      <c r="R1154" s="95">
        <f>Q1154*H1154</f>
        <v>0</v>
      </c>
      <c r="S1154" s="95">
        <v>0</v>
      </c>
      <c r="T1154" s="99">
        <f>S1154*H1154</f>
        <v>0</v>
      </c>
      <c r="AR1154" s="101" t="s">
        <v>218</v>
      </c>
      <c r="AT1154" s="101" t="s">
        <v>214</v>
      </c>
      <c r="AU1154" s="101" t="s">
        <v>87</v>
      </c>
      <c r="AY1154" s="23" t="s">
        <v>211</v>
      </c>
      <c r="BE1154" s="104">
        <f>IF(N1154="základní",J1154,0)</f>
        <v>18000</v>
      </c>
      <c r="BF1154" s="104">
        <f>IF(N1154="snížená",J1154,0)</f>
        <v>0</v>
      </c>
      <c r="BG1154" s="104">
        <f>IF(N1154="zákl. přenesená",J1154,0)</f>
        <v>0</v>
      </c>
      <c r="BH1154" s="104">
        <f>IF(N1154="sníž. přenesená",J1154,0)</f>
        <v>0</v>
      </c>
      <c r="BI1154" s="104">
        <f>IF(N1154="nulová",J1154,0)</f>
        <v>0</v>
      </c>
      <c r="BJ1154" s="23" t="s">
        <v>85</v>
      </c>
      <c r="BK1154" s="104">
        <f>ROUND(I1154*H1154,2)</f>
        <v>18000</v>
      </c>
      <c r="BL1154" s="23" t="s">
        <v>218</v>
      </c>
      <c r="BM1154" s="101" t="s">
        <v>1559</v>
      </c>
    </row>
    <row r="1155" spans="2:65" s="1" customFormat="1" ht="19.2">
      <c r="B1155" s="12"/>
      <c r="D1155" s="105" t="s">
        <v>227</v>
      </c>
      <c r="F1155" s="106" t="s">
        <v>1519</v>
      </c>
      <c r="I1155" s="107"/>
      <c r="L1155" s="12"/>
      <c r="M1155" s="108"/>
      <c r="T1155" s="111"/>
      <c r="AT1155" s="23" t="s">
        <v>227</v>
      </c>
      <c r="AU1155" s="23" t="s">
        <v>87</v>
      </c>
    </row>
    <row r="1156" spans="2:65" s="1" customFormat="1" ht="38.1" customHeight="1">
      <c r="B1156" s="12"/>
      <c r="C1156" s="71" t="s">
        <v>1560</v>
      </c>
      <c r="D1156" s="71" t="s">
        <v>214</v>
      </c>
      <c r="E1156" s="72" t="s">
        <v>1561</v>
      </c>
      <c r="F1156" s="73" t="s">
        <v>1562</v>
      </c>
      <c r="G1156" s="74" t="s">
        <v>808</v>
      </c>
      <c r="H1156" s="75">
        <v>1</v>
      </c>
      <c r="I1156" s="90">
        <v>15000</v>
      </c>
      <c r="J1156" s="91">
        <f>ROUND(I1156*H1156,2)</f>
        <v>15000</v>
      </c>
      <c r="K1156" s="92"/>
      <c r="L1156" s="12"/>
      <c r="M1156" s="93" t="s">
        <v>1</v>
      </c>
      <c r="N1156" s="94" t="s">
        <v>42</v>
      </c>
      <c r="P1156" s="95">
        <f>O1156*H1156</f>
        <v>0</v>
      </c>
      <c r="Q1156" s="95">
        <v>0</v>
      </c>
      <c r="R1156" s="95">
        <f>Q1156*H1156</f>
        <v>0</v>
      </c>
      <c r="S1156" s="95">
        <v>0</v>
      </c>
      <c r="T1156" s="99">
        <f>S1156*H1156</f>
        <v>0</v>
      </c>
      <c r="AR1156" s="101" t="s">
        <v>218</v>
      </c>
      <c r="AT1156" s="101" t="s">
        <v>214</v>
      </c>
      <c r="AU1156" s="101" t="s">
        <v>87</v>
      </c>
      <c r="AY1156" s="23" t="s">
        <v>211</v>
      </c>
      <c r="BE1156" s="104">
        <f>IF(N1156="základní",J1156,0)</f>
        <v>15000</v>
      </c>
      <c r="BF1156" s="104">
        <f>IF(N1156="snížená",J1156,0)</f>
        <v>0</v>
      </c>
      <c r="BG1156" s="104">
        <f>IF(N1156="zákl. přenesená",J1156,0)</f>
        <v>0</v>
      </c>
      <c r="BH1156" s="104">
        <f>IF(N1156="sníž. přenesená",J1156,0)</f>
        <v>0</v>
      </c>
      <c r="BI1156" s="104">
        <f>IF(N1156="nulová",J1156,0)</f>
        <v>0</v>
      </c>
      <c r="BJ1156" s="23" t="s">
        <v>85</v>
      </c>
      <c r="BK1156" s="104">
        <f>ROUND(I1156*H1156,2)</f>
        <v>15000</v>
      </c>
      <c r="BL1156" s="23" t="s">
        <v>218</v>
      </c>
      <c r="BM1156" s="101" t="s">
        <v>1563</v>
      </c>
    </row>
    <row r="1157" spans="2:65" s="1" customFormat="1" ht="19.2">
      <c r="B1157" s="12"/>
      <c r="D1157" s="105" t="s">
        <v>227</v>
      </c>
      <c r="F1157" s="106" t="s">
        <v>1382</v>
      </c>
      <c r="I1157" s="107"/>
      <c r="L1157" s="12"/>
      <c r="M1157" s="108"/>
      <c r="T1157" s="111"/>
      <c r="AT1157" s="23" t="s">
        <v>227</v>
      </c>
      <c r="AU1157" s="23" t="s">
        <v>87</v>
      </c>
    </row>
    <row r="1158" spans="2:65" s="1" customFormat="1" ht="38.1" customHeight="1">
      <c r="B1158" s="12"/>
      <c r="C1158" s="71" t="s">
        <v>1564</v>
      </c>
      <c r="D1158" s="71" t="s">
        <v>214</v>
      </c>
      <c r="E1158" s="72" t="s">
        <v>1565</v>
      </c>
      <c r="F1158" s="73" t="s">
        <v>1566</v>
      </c>
      <c r="G1158" s="74" t="s">
        <v>808</v>
      </c>
      <c r="H1158" s="75">
        <v>1</v>
      </c>
      <c r="I1158" s="90">
        <v>16000</v>
      </c>
      <c r="J1158" s="91">
        <f>ROUND(I1158*H1158,2)</f>
        <v>16000</v>
      </c>
      <c r="K1158" s="92"/>
      <c r="L1158" s="12"/>
      <c r="M1158" s="93" t="s">
        <v>1</v>
      </c>
      <c r="N1158" s="94" t="s">
        <v>42</v>
      </c>
      <c r="P1158" s="95">
        <f>O1158*H1158</f>
        <v>0</v>
      </c>
      <c r="Q1158" s="95">
        <v>0</v>
      </c>
      <c r="R1158" s="95">
        <f>Q1158*H1158</f>
        <v>0</v>
      </c>
      <c r="S1158" s="95">
        <v>0</v>
      </c>
      <c r="T1158" s="99">
        <f>S1158*H1158</f>
        <v>0</v>
      </c>
      <c r="AR1158" s="101" t="s">
        <v>218</v>
      </c>
      <c r="AT1158" s="101" t="s">
        <v>214</v>
      </c>
      <c r="AU1158" s="101" t="s">
        <v>87</v>
      </c>
      <c r="AY1158" s="23" t="s">
        <v>211</v>
      </c>
      <c r="BE1158" s="104">
        <f>IF(N1158="základní",J1158,0)</f>
        <v>16000</v>
      </c>
      <c r="BF1158" s="104">
        <f>IF(N1158="snížená",J1158,0)</f>
        <v>0</v>
      </c>
      <c r="BG1158" s="104">
        <f>IF(N1158="zákl. přenesená",J1158,0)</f>
        <v>0</v>
      </c>
      <c r="BH1158" s="104">
        <f>IF(N1158="sníž. přenesená",J1158,0)</f>
        <v>0</v>
      </c>
      <c r="BI1158" s="104">
        <f>IF(N1158="nulová",J1158,0)</f>
        <v>0</v>
      </c>
      <c r="BJ1158" s="23" t="s">
        <v>85</v>
      </c>
      <c r="BK1158" s="104">
        <f>ROUND(I1158*H1158,2)</f>
        <v>16000</v>
      </c>
      <c r="BL1158" s="23" t="s">
        <v>218</v>
      </c>
      <c r="BM1158" s="101" t="s">
        <v>1567</v>
      </c>
    </row>
    <row r="1159" spans="2:65" s="1" customFormat="1" ht="19.2">
      <c r="B1159" s="12"/>
      <c r="D1159" s="105" t="s">
        <v>227</v>
      </c>
      <c r="F1159" s="106" t="s">
        <v>1382</v>
      </c>
      <c r="I1159" s="107"/>
      <c r="L1159" s="12"/>
      <c r="M1159" s="108"/>
      <c r="T1159" s="111"/>
      <c r="AT1159" s="23" t="s">
        <v>227</v>
      </c>
      <c r="AU1159" s="23" t="s">
        <v>87</v>
      </c>
    </row>
    <row r="1160" spans="2:65" s="1" customFormat="1" ht="38.1" customHeight="1">
      <c r="B1160" s="12"/>
      <c r="C1160" s="71" t="s">
        <v>1568</v>
      </c>
      <c r="D1160" s="71" t="s">
        <v>214</v>
      </c>
      <c r="E1160" s="72" t="s">
        <v>1569</v>
      </c>
      <c r="F1160" s="73" t="s">
        <v>1570</v>
      </c>
      <c r="G1160" s="74" t="s">
        <v>808</v>
      </c>
      <c r="H1160" s="75">
        <v>1</v>
      </c>
      <c r="I1160" s="90">
        <v>10000</v>
      </c>
      <c r="J1160" s="91">
        <f>ROUND(I1160*H1160,2)</f>
        <v>10000</v>
      </c>
      <c r="K1160" s="92"/>
      <c r="L1160" s="12"/>
      <c r="M1160" s="93" t="s">
        <v>1</v>
      </c>
      <c r="N1160" s="94" t="s">
        <v>42</v>
      </c>
      <c r="P1160" s="95">
        <f>O1160*H1160</f>
        <v>0</v>
      </c>
      <c r="Q1160" s="95">
        <v>0</v>
      </c>
      <c r="R1160" s="95">
        <f>Q1160*H1160</f>
        <v>0</v>
      </c>
      <c r="S1160" s="95">
        <v>0</v>
      </c>
      <c r="T1160" s="99">
        <f>S1160*H1160</f>
        <v>0</v>
      </c>
      <c r="AR1160" s="101" t="s">
        <v>218</v>
      </c>
      <c r="AT1160" s="101" t="s">
        <v>214</v>
      </c>
      <c r="AU1160" s="101" t="s">
        <v>87</v>
      </c>
      <c r="AY1160" s="23" t="s">
        <v>211</v>
      </c>
      <c r="BE1160" s="104">
        <f>IF(N1160="základní",J1160,0)</f>
        <v>10000</v>
      </c>
      <c r="BF1160" s="104">
        <f>IF(N1160="snížená",J1160,0)</f>
        <v>0</v>
      </c>
      <c r="BG1160" s="104">
        <f>IF(N1160="zákl. přenesená",J1160,0)</f>
        <v>0</v>
      </c>
      <c r="BH1160" s="104">
        <f>IF(N1160="sníž. přenesená",J1160,0)</f>
        <v>0</v>
      </c>
      <c r="BI1160" s="104">
        <f>IF(N1160="nulová",J1160,0)</f>
        <v>0</v>
      </c>
      <c r="BJ1160" s="23" t="s">
        <v>85</v>
      </c>
      <c r="BK1160" s="104">
        <f>ROUND(I1160*H1160,2)</f>
        <v>10000</v>
      </c>
      <c r="BL1160" s="23" t="s">
        <v>218</v>
      </c>
      <c r="BM1160" s="101" t="s">
        <v>1571</v>
      </c>
    </row>
    <row r="1161" spans="2:65" s="1" customFormat="1" ht="19.2">
      <c r="B1161" s="12"/>
      <c r="D1161" s="105" t="s">
        <v>227</v>
      </c>
      <c r="F1161" s="106" t="s">
        <v>1382</v>
      </c>
      <c r="I1161" s="107"/>
      <c r="L1161" s="12"/>
      <c r="M1161" s="108"/>
      <c r="T1161" s="111"/>
      <c r="AT1161" s="23" t="s">
        <v>227</v>
      </c>
      <c r="AU1161" s="23" t="s">
        <v>87</v>
      </c>
    </row>
    <row r="1162" spans="2:65" s="1" customFormat="1" ht="49.35" customHeight="1">
      <c r="B1162" s="12"/>
      <c r="C1162" s="71" t="s">
        <v>1572</v>
      </c>
      <c r="D1162" s="71" t="s">
        <v>214</v>
      </c>
      <c r="E1162" s="72" t="s">
        <v>1573</v>
      </c>
      <c r="F1162" s="73" t="s">
        <v>1574</v>
      </c>
      <c r="G1162" s="74" t="s">
        <v>808</v>
      </c>
      <c r="H1162" s="75">
        <v>1</v>
      </c>
      <c r="I1162" s="90">
        <v>2300</v>
      </c>
      <c r="J1162" s="91">
        <f>ROUND(I1162*H1162,2)</f>
        <v>2300</v>
      </c>
      <c r="K1162" s="92"/>
      <c r="L1162" s="12"/>
      <c r="M1162" s="93" t="s">
        <v>1</v>
      </c>
      <c r="N1162" s="94" t="s">
        <v>42</v>
      </c>
      <c r="P1162" s="95">
        <f>O1162*H1162</f>
        <v>0</v>
      </c>
      <c r="Q1162" s="95">
        <v>0</v>
      </c>
      <c r="R1162" s="95">
        <f>Q1162*H1162</f>
        <v>0</v>
      </c>
      <c r="S1162" s="95">
        <v>0</v>
      </c>
      <c r="T1162" s="99">
        <f>S1162*H1162</f>
        <v>0</v>
      </c>
      <c r="AR1162" s="101" t="s">
        <v>218</v>
      </c>
      <c r="AT1162" s="101" t="s">
        <v>214</v>
      </c>
      <c r="AU1162" s="101" t="s">
        <v>87</v>
      </c>
      <c r="AY1162" s="23" t="s">
        <v>211</v>
      </c>
      <c r="BE1162" s="104">
        <f>IF(N1162="základní",J1162,0)</f>
        <v>2300</v>
      </c>
      <c r="BF1162" s="104">
        <f>IF(N1162="snížená",J1162,0)</f>
        <v>0</v>
      </c>
      <c r="BG1162" s="104">
        <f>IF(N1162="zákl. přenesená",J1162,0)</f>
        <v>0</v>
      </c>
      <c r="BH1162" s="104">
        <f>IF(N1162="sníž. přenesená",J1162,0)</f>
        <v>0</v>
      </c>
      <c r="BI1162" s="104">
        <f>IF(N1162="nulová",J1162,0)</f>
        <v>0</v>
      </c>
      <c r="BJ1162" s="23" t="s">
        <v>85</v>
      </c>
      <c r="BK1162" s="104">
        <f>ROUND(I1162*H1162,2)</f>
        <v>2300</v>
      </c>
      <c r="BL1162" s="23" t="s">
        <v>218</v>
      </c>
      <c r="BM1162" s="101" t="s">
        <v>1575</v>
      </c>
    </row>
    <row r="1163" spans="2:65" s="1" customFormat="1" ht="19.2">
      <c r="B1163" s="12"/>
      <c r="D1163" s="105" t="s">
        <v>227</v>
      </c>
      <c r="F1163" s="106" t="s">
        <v>1382</v>
      </c>
      <c r="I1163" s="107"/>
      <c r="L1163" s="12"/>
      <c r="M1163" s="108"/>
      <c r="T1163" s="111"/>
      <c r="AT1163" s="23" t="s">
        <v>227</v>
      </c>
      <c r="AU1163" s="23" t="s">
        <v>87</v>
      </c>
    </row>
    <row r="1164" spans="2:65" s="1" customFormat="1" ht="38.1" customHeight="1">
      <c r="B1164" s="12"/>
      <c r="C1164" s="71" t="s">
        <v>1576</v>
      </c>
      <c r="D1164" s="71" t="s">
        <v>214</v>
      </c>
      <c r="E1164" s="72" t="s">
        <v>1577</v>
      </c>
      <c r="F1164" s="73" t="s">
        <v>1578</v>
      </c>
      <c r="G1164" s="74" t="s">
        <v>808</v>
      </c>
      <c r="H1164" s="75">
        <v>4</v>
      </c>
      <c r="I1164" s="90">
        <v>5600</v>
      </c>
      <c r="J1164" s="91">
        <f>ROUND(I1164*H1164,2)</f>
        <v>22400</v>
      </c>
      <c r="K1164" s="92"/>
      <c r="L1164" s="12"/>
      <c r="M1164" s="93" t="s">
        <v>1</v>
      </c>
      <c r="N1164" s="94" t="s">
        <v>42</v>
      </c>
      <c r="P1164" s="95">
        <f>O1164*H1164</f>
        <v>0</v>
      </c>
      <c r="Q1164" s="95">
        <v>0</v>
      </c>
      <c r="R1164" s="95">
        <f>Q1164*H1164</f>
        <v>0</v>
      </c>
      <c r="S1164" s="95">
        <v>0</v>
      </c>
      <c r="T1164" s="99">
        <f>S1164*H1164</f>
        <v>0</v>
      </c>
      <c r="AR1164" s="101" t="s">
        <v>218</v>
      </c>
      <c r="AT1164" s="101" t="s">
        <v>214</v>
      </c>
      <c r="AU1164" s="101" t="s">
        <v>87</v>
      </c>
      <c r="AY1164" s="23" t="s">
        <v>211</v>
      </c>
      <c r="BE1164" s="104">
        <f>IF(N1164="základní",J1164,0)</f>
        <v>22400</v>
      </c>
      <c r="BF1164" s="104">
        <f>IF(N1164="snížená",J1164,0)</f>
        <v>0</v>
      </c>
      <c r="BG1164" s="104">
        <f>IF(N1164="zákl. přenesená",J1164,0)</f>
        <v>0</v>
      </c>
      <c r="BH1164" s="104">
        <f>IF(N1164="sníž. přenesená",J1164,0)</f>
        <v>0</v>
      </c>
      <c r="BI1164" s="104">
        <f>IF(N1164="nulová",J1164,0)</f>
        <v>0</v>
      </c>
      <c r="BJ1164" s="23" t="s">
        <v>85</v>
      </c>
      <c r="BK1164" s="104">
        <f>ROUND(I1164*H1164,2)</f>
        <v>22400</v>
      </c>
      <c r="BL1164" s="23" t="s">
        <v>218</v>
      </c>
      <c r="BM1164" s="101" t="s">
        <v>1579</v>
      </c>
    </row>
    <row r="1165" spans="2:65" s="1" customFormat="1" ht="19.2">
      <c r="B1165" s="12"/>
      <c r="D1165" s="105" t="s">
        <v>227</v>
      </c>
      <c r="F1165" s="106" t="s">
        <v>1382</v>
      </c>
      <c r="I1165" s="107"/>
      <c r="L1165" s="12"/>
      <c r="M1165" s="108"/>
      <c r="T1165" s="111"/>
      <c r="AT1165" s="23" t="s">
        <v>227</v>
      </c>
      <c r="AU1165" s="23" t="s">
        <v>87</v>
      </c>
    </row>
    <row r="1166" spans="2:65" s="1" customFormat="1" ht="55.5" customHeight="1">
      <c r="B1166" s="12"/>
      <c r="C1166" s="71" t="s">
        <v>1580</v>
      </c>
      <c r="D1166" s="71" t="s">
        <v>214</v>
      </c>
      <c r="E1166" s="72" t="s">
        <v>1581</v>
      </c>
      <c r="F1166" s="73" t="s">
        <v>1582</v>
      </c>
      <c r="G1166" s="74" t="s">
        <v>808</v>
      </c>
      <c r="H1166" s="75">
        <v>22</v>
      </c>
      <c r="I1166" s="90">
        <v>2500</v>
      </c>
      <c r="J1166" s="91">
        <f>ROUND(I1166*H1166,2)</f>
        <v>55000</v>
      </c>
      <c r="K1166" s="92"/>
      <c r="L1166" s="12"/>
      <c r="M1166" s="93" t="s">
        <v>1</v>
      </c>
      <c r="N1166" s="94" t="s">
        <v>42</v>
      </c>
      <c r="P1166" s="95">
        <f>O1166*H1166</f>
        <v>0</v>
      </c>
      <c r="Q1166" s="95">
        <v>0</v>
      </c>
      <c r="R1166" s="95">
        <f>Q1166*H1166</f>
        <v>0</v>
      </c>
      <c r="S1166" s="95">
        <v>0</v>
      </c>
      <c r="T1166" s="99">
        <f>S1166*H1166</f>
        <v>0</v>
      </c>
      <c r="AR1166" s="101" t="s">
        <v>218</v>
      </c>
      <c r="AT1166" s="101" t="s">
        <v>214</v>
      </c>
      <c r="AU1166" s="101" t="s">
        <v>87</v>
      </c>
      <c r="AY1166" s="23" t="s">
        <v>211</v>
      </c>
      <c r="BE1166" s="104">
        <f>IF(N1166="základní",J1166,0)</f>
        <v>55000</v>
      </c>
      <c r="BF1166" s="104">
        <f>IF(N1166="snížená",J1166,0)</f>
        <v>0</v>
      </c>
      <c r="BG1166" s="104">
        <f>IF(N1166="zákl. přenesená",J1166,0)</f>
        <v>0</v>
      </c>
      <c r="BH1166" s="104">
        <f>IF(N1166="sníž. přenesená",J1166,0)</f>
        <v>0</v>
      </c>
      <c r="BI1166" s="104">
        <f>IF(N1166="nulová",J1166,0)</f>
        <v>0</v>
      </c>
      <c r="BJ1166" s="23" t="s">
        <v>85</v>
      </c>
      <c r="BK1166" s="104">
        <f>ROUND(I1166*H1166,2)</f>
        <v>55000</v>
      </c>
      <c r="BL1166" s="23" t="s">
        <v>218</v>
      </c>
      <c r="BM1166" s="101" t="s">
        <v>1583</v>
      </c>
    </row>
    <row r="1167" spans="2:65" s="1" customFormat="1" ht="19.2">
      <c r="B1167" s="12"/>
      <c r="D1167" s="105" t="s">
        <v>227</v>
      </c>
      <c r="F1167" s="106" t="s">
        <v>1382</v>
      </c>
      <c r="I1167" s="107"/>
      <c r="L1167" s="12"/>
      <c r="M1167" s="108"/>
      <c r="T1167" s="111"/>
      <c r="AT1167" s="23" t="s">
        <v>227</v>
      </c>
      <c r="AU1167" s="23" t="s">
        <v>87</v>
      </c>
    </row>
    <row r="1168" spans="2:65" s="1" customFormat="1" ht="38.1" customHeight="1">
      <c r="B1168" s="12"/>
      <c r="C1168" s="71" t="s">
        <v>1584</v>
      </c>
      <c r="D1168" s="71" t="s">
        <v>214</v>
      </c>
      <c r="E1168" s="72" t="s">
        <v>1585</v>
      </c>
      <c r="F1168" s="73" t="s">
        <v>1586</v>
      </c>
      <c r="G1168" s="74" t="s">
        <v>808</v>
      </c>
      <c r="H1168" s="75">
        <v>1</v>
      </c>
      <c r="I1168" s="90">
        <v>3000</v>
      </c>
      <c r="J1168" s="91">
        <f>ROUND(I1168*H1168,2)</f>
        <v>3000</v>
      </c>
      <c r="K1168" s="92"/>
      <c r="L1168" s="12"/>
      <c r="M1168" s="93" t="s">
        <v>1</v>
      </c>
      <c r="N1168" s="94" t="s">
        <v>42</v>
      </c>
      <c r="P1168" s="95">
        <f>O1168*H1168</f>
        <v>0</v>
      </c>
      <c r="Q1168" s="95">
        <v>0</v>
      </c>
      <c r="R1168" s="95">
        <f>Q1168*H1168</f>
        <v>0</v>
      </c>
      <c r="S1168" s="95">
        <v>0</v>
      </c>
      <c r="T1168" s="99">
        <f>S1168*H1168</f>
        <v>0</v>
      </c>
      <c r="AR1168" s="101" t="s">
        <v>218</v>
      </c>
      <c r="AT1168" s="101" t="s">
        <v>214</v>
      </c>
      <c r="AU1168" s="101" t="s">
        <v>87</v>
      </c>
      <c r="AY1168" s="23" t="s">
        <v>211</v>
      </c>
      <c r="BE1168" s="104">
        <f>IF(N1168="základní",J1168,0)</f>
        <v>3000</v>
      </c>
      <c r="BF1168" s="104">
        <f>IF(N1168="snížená",J1168,0)</f>
        <v>0</v>
      </c>
      <c r="BG1168" s="104">
        <f>IF(N1168="zákl. přenesená",J1168,0)</f>
        <v>0</v>
      </c>
      <c r="BH1168" s="104">
        <f>IF(N1168="sníž. přenesená",J1168,0)</f>
        <v>0</v>
      </c>
      <c r="BI1168" s="104">
        <f>IF(N1168="nulová",J1168,0)</f>
        <v>0</v>
      </c>
      <c r="BJ1168" s="23" t="s">
        <v>85</v>
      </c>
      <c r="BK1168" s="104">
        <f>ROUND(I1168*H1168,2)</f>
        <v>3000</v>
      </c>
      <c r="BL1168" s="23" t="s">
        <v>218</v>
      </c>
      <c r="BM1168" s="101" t="s">
        <v>1587</v>
      </c>
    </row>
    <row r="1169" spans="2:65" s="1" customFormat="1" ht="19.2">
      <c r="B1169" s="12"/>
      <c r="D1169" s="105" t="s">
        <v>227</v>
      </c>
      <c r="F1169" s="106" t="s">
        <v>1382</v>
      </c>
      <c r="I1169" s="107"/>
      <c r="L1169" s="12"/>
      <c r="M1169" s="108"/>
      <c r="T1169" s="111"/>
      <c r="AT1169" s="23" t="s">
        <v>227</v>
      </c>
      <c r="AU1169" s="23" t="s">
        <v>87</v>
      </c>
    </row>
    <row r="1170" spans="2:65" s="1" customFormat="1" ht="38.1" customHeight="1">
      <c r="B1170" s="12"/>
      <c r="C1170" s="71" t="s">
        <v>1588</v>
      </c>
      <c r="D1170" s="71" t="s">
        <v>214</v>
      </c>
      <c r="E1170" s="72" t="s">
        <v>1589</v>
      </c>
      <c r="F1170" s="73" t="s">
        <v>1590</v>
      </c>
      <c r="G1170" s="74" t="s">
        <v>808</v>
      </c>
      <c r="H1170" s="75">
        <v>11</v>
      </c>
      <c r="I1170" s="90">
        <v>6100</v>
      </c>
      <c r="J1170" s="91">
        <f>ROUND(I1170*H1170,2)</f>
        <v>67100</v>
      </c>
      <c r="K1170" s="92"/>
      <c r="L1170" s="12"/>
      <c r="M1170" s="93" t="s">
        <v>1</v>
      </c>
      <c r="N1170" s="94" t="s">
        <v>42</v>
      </c>
      <c r="P1170" s="95">
        <f>O1170*H1170</f>
        <v>0</v>
      </c>
      <c r="Q1170" s="95">
        <v>0</v>
      </c>
      <c r="R1170" s="95">
        <f>Q1170*H1170</f>
        <v>0</v>
      </c>
      <c r="S1170" s="95">
        <v>0</v>
      </c>
      <c r="T1170" s="99">
        <f>S1170*H1170</f>
        <v>0</v>
      </c>
      <c r="AR1170" s="101" t="s">
        <v>218</v>
      </c>
      <c r="AT1170" s="101" t="s">
        <v>214</v>
      </c>
      <c r="AU1170" s="101" t="s">
        <v>87</v>
      </c>
      <c r="AY1170" s="23" t="s">
        <v>211</v>
      </c>
      <c r="BE1170" s="104">
        <f>IF(N1170="základní",J1170,0)</f>
        <v>67100</v>
      </c>
      <c r="BF1170" s="104">
        <f>IF(N1170="snížená",J1170,0)</f>
        <v>0</v>
      </c>
      <c r="BG1170" s="104">
        <f>IF(N1170="zákl. přenesená",J1170,0)</f>
        <v>0</v>
      </c>
      <c r="BH1170" s="104">
        <f>IF(N1170="sníž. přenesená",J1170,0)</f>
        <v>0</v>
      </c>
      <c r="BI1170" s="104">
        <f>IF(N1170="nulová",J1170,0)</f>
        <v>0</v>
      </c>
      <c r="BJ1170" s="23" t="s">
        <v>85</v>
      </c>
      <c r="BK1170" s="104">
        <f>ROUND(I1170*H1170,2)</f>
        <v>67100</v>
      </c>
      <c r="BL1170" s="23" t="s">
        <v>218</v>
      </c>
      <c r="BM1170" s="101" t="s">
        <v>1591</v>
      </c>
    </row>
    <row r="1171" spans="2:65" s="1" customFormat="1" ht="19.2">
      <c r="B1171" s="12"/>
      <c r="D1171" s="105" t="s">
        <v>227</v>
      </c>
      <c r="F1171" s="106" t="s">
        <v>1382</v>
      </c>
      <c r="I1171" s="107"/>
      <c r="L1171" s="12"/>
      <c r="M1171" s="108"/>
      <c r="T1171" s="111"/>
      <c r="AT1171" s="23" t="s">
        <v>227</v>
      </c>
      <c r="AU1171" s="23" t="s">
        <v>87</v>
      </c>
    </row>
    <row r="1172" spans="2:65" s="1" customFormat="1" ht="49.35" customHeight="1">
      <c r="B1172" s="12"/>
      <c r="C1172" s="71" t="s">
        <v>1592</v>
      </c>
      <c r="D1172" s="71" t="s">
        <v>214</v>
      </c>
      <c r="E1172" s="72" t="s">
        <v>1593</v>
      </c>
      <c r="F1172" s="73" t="s">
        <v>1594</v>
      </c>
      <c r="G1172" s="74" t="s">
        <v>808</v>
      </c>
      <c r="H1172" s="75">
        <v>2</v>
      </c>
      <c r="I1172" s="90">
        <v>6100</v>
      </c>
      <c r="J1172" s="91">
        <f>ROUND(I1172*H1172,2)</f>
        <v>12200</v>
      </c>
      <c r="K1172" s="92"/>
      <c r="L1172" s="12"/>
      <c r="M1172" s="93" t="s">
        <v>1</v>
      </c>
      <c r="N1172" s="94" t="s">
        <v>42</v>
      </c>
      <c r="P1172" s="95">
        <f>O1172*H1172</f>
        <v>0</v>
      </c>
      <c r="Q1172" s="95">
        <v>0</v>
      </c>
      <c r="R1172" s="95">
        <f>Q1172*H1172</f>
        <v>0</v>
      </c>
      <c r="S1172" s="95">
        <v>0</v>
      </c>
      <c r="T1172" s="99">
        <f>S1172*H1172</f>
        <v>0</v>
      </c>
      <c r="AR1172" s="101" t="s">
        <v>218</v>
      </c>
      <c r="AT1172" s="101" t="s">
        <v>214</v>
      </c>
      <c r="AU1172" s="101" t="s">
        <v>87</v>
      </c>
      <c r="AY1172" s="23" t="s">
        <v>211</v>
      </c>
      <c r="BE1172" s="104">
        <f>IF(N1172="základní",J1172,0)</f>
        <v>12200</v>
      </c>
      <c r="BF1172" s="104">
        <f>IF(N1172="snížená",J1172,0)</f>
        <v>0</v>
      </c>
      <c r="BG1172" s="104">
        <f>IF(N1172="zákl. přenesená",J1172,0)</f>
        <v>0</v>
      </c>
      <c r="BH1172" s="104">
        <f>IF(N1172="sníž. přenesená",J1172,0)</f>
        <v>0</v>
      </c>
      <c r="BI1172" s="104">
        <f>IF(N1172="nulová",J1172,0)</f>
        <v>0</v>
      </c>
      <c r="BJ1172" s="23" t="s">
        <v>85</v>
      </c>
      <c r="BK1172" s="104">
        <f>ROUND(I1172*H1172,2)</f>
        <v>12200</v>
      </c>
      <c r="BL1172" s="23" t="s">
        <v>218</v>
      </c>
      <c r="BM1172" s="101" t="s">
        <v>1595</v>
      </c>
    </row>
    <row r="1173" spans="2:65" s="1" customFormat="1" ht="19.2">
      <c r="B1173" s="12"/>
      <c r="D1173" s="105" t="s">
        <v>227</v>
      </c>
      <c r="F1173" s="106" t="s">
        <v>1382</v>
      </c>
      <c r="I1173" s="107"/>
      <c r="L1173" s="12"/>
      <c r="M1173" s="108"/>
      <c r="T1173" s="111"/>
      <c r="AT1173" s="23" t="s">
        <v>227</v>
      </c>
      <c r="AU1173" s="23" t="s">
        <v>87</v>
      </c>
    </row>
    <row r="1174" spans="2:65" s="1" customFormat="1" ht="24.15" customHeight="1">
      <c r="B1174" s="12"/>
      <c r="C1174" s="71" t="s">
        <v>1596</v>
      </c>
      <c r="D1174" s="71" t="s">
        <v>214</v>
      </c>
      <c r="E1174" s="72" t="s">
        <v>1597</v>
      </c>
      <c r="F1174" s="73" t="s">
        <v>1598</v>
      </c>
      <c r="G1174" s="74" t="s">
        <v>1599</v>
      </c>
      <c r="H1174" s="75">
        <v>7</v>
      </c>
      <c r="I1174" s="90">
        <v>30</v>
      </c>
      <c r="J1174" s="91">
        <f>ROUND(I1174*H1174,2)</f>
        <v>210</v>
      </c>
      <c r="K1174" s="92"/>
      <c r="L1174" s="12"/>
      <c r="M1174" s="93" t="s">
        <v>1</v>
      </c>
      <c r="N1174" s="94" t="s">
        <v>42</v>
      </c>
      <c r="P1174" s="95">
        <f>O1174*H1174</f>
        <v>0</v>
      </c>
      <c r="Q1174" s="95">
        <v>0</v>
      </c>
      <c r="R1174" s="95">
        <f>Q1174*H1174</f>
        <v>0</v>
      </c>
      <c r="S1174" s="95">
        <v>0</v>
      </c>
      <c r="T1174" s="99">
        <f>S1174*H1174</f>
        <v>0</v>
      </c>
      <c r="AR1174" s="101" t="s">
        <v>218</v>
      </c>
      <c r="AT1174" s="101" t="s">
        <v>214</v>
      </c>
      <c r="AU1174" s="101" t="s">
        <v>87</v>
      </c>
      <c r="AY1174" s="23" t="s">
        <v>211</v>
      </c>
      <c r="BE1174" s="104">
        <f>IF(N1174="základní",J1174,0)</f>
        <v>210</v>
      </c>
      <c r="BF1174" s="104">
        <f>IF(N1174="snížená",J1174,0)</f>
        <v>0</v>
      </c>
      <c r="BG1174" s="104">
        <f>IF(N1174="zákl. přenesená",J1174,0)</f>
        <v>0</v>
      </c>
      <c r="BH1174" s="104">
        <f>IF(N1174="sníž. přenesená",J1174,0)</f>
        <v>0</v>
      </c>
      <c r="BI1174" s="104">
        <f>IF(N1174="nulová",J1174,0)</f>
        <v>0</v>
      </c>
      <c r="BJ1174" s="23" t="s">
        <v>85</v>
      </c>
      <c r="BK1174" s="104">
        <f>ROUND(I1174*H1174,2)</f>
        <v>210</v>
      </c>
      <c r="BL1174" s="23" t="s">
        <v>218</v>
      </c>
      <c r="BM1174" s="101" t="s">
        <v>1600</v>
      </c>
    </row>
    <row r="1175" spans="2:65" s="1" customFormat="1" ht="24.15" customHeight="1">
      <c r="B1175" s="12"/>
      <c r="C1175" s="114" t="s">
        <v>1601</v>
      </c>
      <c r="D1175" s="114" t="s">
        <v>438</v>
      </c>
      <c r="E1175" s="115" t="s">
        <v>1602</v>
      </c>
      <c r="F1175" s="116" t="s">
        <v>1603</v>
      </c>
      <c r="G1175" s="117" t="s">
        <v>1599</v>
      </c>
      <c r="H1175" s="118">
        <v>7</v>
      </c>
      <c r="I1175" s="122">
        <v>800</v>
      </c>
      <c r="J1175" s="123">
        <f>ROUND(I1175*H1175,2)</f>
        <v>5600</v>
      </c>
      <c r="K1175" s="124"/>
      <c r="L1175" s="125"/>
      <c r="M1175" s="126" t="s">
        <v>1</v>
      </c>
      <c r="N1175" s="127" t="s">
        <v>42</v>
      </c>
      <c r="P1175" s="95">
        <f>O1175*H1175</f>
        <v>0</v>
      </c>
      <c r="Q1175" s="95">
        <v>7.6000000000000004E-4</v>
      </c>
      <c r="R1175" s="95">
        <f>Q1175*H1175</f>
        <v>5.3200000000000001E-3</v>
      </c>
      <c r="S1175" s="95">
        <v>0</v>
      </c>
      <c r="T1175" s="99">
        <f>S1175*H1175</f>
        <v>0</v>
      </c>
      <c r="AR1175" s="101" t="s">
        <v>250</v>
      </c>
      <c r="AT1175" s="101" t="s">
        <v>438</v>
      </c>
      <c r="AU1175" s="101" t="s">
        <v>87</v>
      </c>
      <c r="AY1175" s="23" t="s">
        <v>211</v>
      </c>
      <c r="BE1175" s="104">
        <f>IF(N1175="základní",J1175,0)</f>
        <v>5600</v>
      </c>
      <c r="BF1175" s="104">
        <f>IF(N1175="snížená",J1175,0)</f>
        <v>0</v>
      </c>
      <c r="BG1175" s="104">
        <f>IF(N1175="zákl. přenesená",J1175,0)</f>
        <v>0</v>
      </c>
      <c r="BH1175" s="104">
        <f>IF(N1175="sníž. přenesená",J1175,0)</f>
        <v>0</v>
      </c>
      <c r="BI1175" s="104">
        <f>IF(N1175="nulová",J1175,0)</f>
        <v>0</v>
      </c>
      <c r="BJ1175" s="23" t="s">
        <v>85</v>
      </c>
      <c r="BK1175" s="104">
        <f>ROUND(I1175*H1175,2)</f>
        <v>5600</v>
      </c>
      <c r="BL1175" s="23" t="s">
        <v>218</v>
      </c>
      <c r="BM1175" s="101" t="s">
        <v>1604</v>
      </c>
    </row>
    <row r="1176" spans="2:65" s="1" customFormat="1" ht="24.15" customHeight="1">
      <c r="B1176" s="12"/>
      <c r="C1176" s="71" t="s">
        <v>1605</v>
      </c>
      <c r="D1176" s="71" t="s">
        <v>214</v>
      </c>
      <c r="E1176" s="72" t="s">
        <v>1606</v>
      </c>
      <c r="F1176" s="73" t="s">
        <v>1607</v>
      </c>
      <c r="G1176" s="74" t="s">
        <v>444</v>
      </c>
      <c r="H1176" s="75">
        <v>51.5</v>
      </c>
      <c r="I1176" s="90">
        <v>350</v>
      </c>
      <c r="J1176" s="91">
        <f>ROUND(I1176*H1176,2)</f>
        <v>18025</v>
      </c>
      <c r="K1176" s="92"/>
      <c r="L1176" s="12"/>
      <c r="M1176" s="93" t="s">
        <v>1</v>
      </c>
      <c r="N1176" s="94" t="s">
        <v>42</v>
      </c>
      <c r="P1176" s="95">
        <f>O1176*H1176</f>
        <v>0</v>
      </c>
      <c r="Q1176" s="95">
        <v>1.83E-3</v>
      </c>
      <c r="R1176" s="95">
        <f>Q1176*H1176</f>
        <v>9.4244999999999995E-2</v>
      </c>
      <c r="S1176" s="95">
        <v>0</v>
      </c>
      <c r="T1176" s="99">
        <f>S1176*H1176</f>
        <v>0</v>
      </c>
      <c r="AR1176" s="101" t="s">
        <v>218</v>
      </c>
      <c r="AT1176" s="101" t="s">
        <v>214</v>
      </c>
      <c r="AU1176" s="101" t="s">
        <v>87</v>
      </c>
      <c r="AY1176" s="23" t="s">
        <v>211</v>
      </c>
      <c r="BE1176" s="104">
        <f>IF(N1176="základní",J1176,0)</f>
        <v>18025</v>
      </c>
      <c r="BF1176" s="104">
        <f>IF(N1176="snížená",J1176,0)</f>
        <v>0</v>
      </c>
      <c r="BG1176" s="104">
        <f>IF(N1176="zákl. přenesená",J1176,0)</f>
        <v>0</v>
      </c>
      <c r="BH1176" s="104">
        <f>IF(N1176="sníž. přenesená",J1176,0)</f>
        <v>0</v>
      </c>
      <c r="BI1176" s="104">
        <f>IF(N1176="nulová",J1176,0)</f>
        <v>0</v>
      </c>
      <c r="BJ1176" s="23" t="s">
        <v>85</v>
      </c>
      <c r="BK1176" s="104">
        <f>ROUND(I1176*H1176,2)</f>
        <v>18025</v>
      </c>
      <c r="BL1176" s="23" t="s">
        <v>218</v>
      </c>
      <c r="BM1176" s="101" t="s">
        <v>1608</v>
      </c>
    </row>
    <row r="1177" spans="2:65" s="1" customFormat="1" ht="38.4">
      <c r="B1177" s="12"/>
      <c r="D1177" s="105" t="s">
        <v>227</v>
      </c>
      <c r="F1177" s="106" t="s">
        <v>1609</v>
      </c>
      <c r="I1177" s="107"/>
      <c r="L1177" s="12"/>
      <c r="M1177" s="108"/>
      <c r="T1177" s="111"/>
      <c r="AT1177" s="23" t="s">
        <v>227</v>
      </c>
      <c r="AU1177" s="23" t="s">
        <v>87</v>
      </c>
    </row>
    <row r="1178" spans="2:65" s="113" customFormat="1">
      <c r="B1178" s="119"/>
      <c r="D1178" s="105" t="s">
        <v>365</v>
      </c>
      <c r="E1178" s="135" t="s">
        <v>1</v>
      </c>
      <c r="F1178" s="120" t="s">
        <v>1610</v>
      </c>
      <c r="H1178" s="121">
        <v>31.5</v>
      </c>
      <c r="I1178" s="128"/>
      <c r="L1178" s="119"/>
      <c r="M1178" s="129"/>
      <c r="T1178" s="133"/>
      <c r="AT1178" s="135" t="s">
        <v>365</v>
      </c>
      <c r="AU1178" s="135" t="s">
        <v>87</v>
      </c>
      <c r="AV1178" s="113" t="s">
        <v>87</v>
      </c>
      <c r="AW1178" s="113" t="s">
        <v>33</v>
      </c>
      <c r="AX1178" s="113" t="s">
        <v>77</v>
      </c>
      <c r="AY1178" s="135" t="s">
        <v>211</v>
      </c>
    </row>
    <row r="1179" spans="2:65" s="113" customFormat="1">
      <c r="B1179" s="119"/>
      <c r="D1179" s="105" t="s">
        <v>365</v>
      </c>
      <c r="E1179" s="135" t="s">
        <v>1</v>
      </c>
      <c r="F1179" s="120" t="s">
        <v>1611</v>
      </c>
      <c r="H1179" s="121">
        <v>20</v>
      </c>
      <c r="I1179" s="128"/>
      <c r="L1179" s="119"/>
      <c r="M1179" s="129"/>
      <c r="T1179" s="133"/>
      <c r="AT1179" s="135" t="s">
        <v>365</v>
      </c>
      <c r="AU1179" s="135" t="s">
        <v>87</v>
      </c>
      <c r="AV1179" s="113" t="s">
        <v>87</v>
      </c>
      <c r="AW1179" s="113" t="s">
        <v>33</v>
      </c>
      <c r="AX1179" s="113" t="s">
        <v>77</v>
      </c>
      <c r="AY1179" s="135" t="s">
        <v>211</v>
      </c>
    </row>
    <row r="1180" spans="2:65" s="137" customFormat="1">
      <c r="B1180" s="141"/>
      <c r="D1180" s="105" t="s">
        <v>365</v>
      </c>
      <c r="E1180" s="142" t="s">
        <v>1</v>
      </c>
      <c r="F1180" s="143" t="s">
        <v>368</v>
      </c>
      <c r="H1180" s="144">
        <v>51.5</v>
      </c>
      <c r="I1180" s="148"/>
      <c r="L1180" s="141"/>
      <c r="M1180" s="149"/>
      <c r="T1180" s="151"/>
      <c r="AT1180" s="142" t="s">
        <v>365</v>
      </c>
      <c r="AU1180" s="142" t="s">
        <v>87</v>
      </c>
      <c r="AV1180" s="137" t="s">
        <v>218</v>
      </c>
      <c r="AW1180" s="137" t="s">
        <v>33</v>
      </c>
      <c r="AX1180" s="137" t="s">
        <v>85</v>
      </c>
      <c r="AY1180" s="142" t="s">
        <v>211</v>
      </c>
    </row>
    <row r="1181" spans="2:65" s="1" customFormat="1" ht="24.15" customHeight="1">
      <c r="B1181" s="12"/>
      <c r="C1181" s="71" t="s">
        <v>1612</v>
      </c>
      <c r="D1181" s="71" t="s">
        <v>214</v>
      </c>
      <c r="E1181" s="72" t="s">
        <v>1613</v>
      </c>
      <c r="F1181" s="73" t="s">
        <v>1614</v>
      </c>
      <c r="G1181" s="74" t="s">
        <v>279</v>
      </c>
      <c r="H1181" s="75">
        <v>496.61</v>
      </c>
      <c r="I1181" s="90">
        <v>50</v>
      </c>
      <c r="J1181" s="91">
        <f>ROUND(I1181*H1181,2)</f>
        <v>24830.5</v>
      </c>
      <c r="K1181" s="92"/>
      <c r="L1181" s="12"/>
      <c r="M1181" s="93" t="s">
        <v>1</v>
      </c>
      <c r="N1181" s="94" t="s">
        <v>42</v>
      </c>
      <c r="P1181" s="95">
        <f>O1181*H1181</f>
        <v>0</v>
      </c>
      <c r="Q1181" s="95">
        <v>3.6000000000000002E-4</v>
      </c>
      <c r="R1181" s="95">
        <f>Q1181*H1181</f>
        <v>0.17877960000000001</v>
      </c>
      <c r="S1181" s="95">
        <v>0</v>
      </c>
      <c r="T1181" s="99">
        <f>S1181*H1181</f>
        <v>0</v>
      </c>
      <c r="AR1181" s="101" t="s">
        <v>218</v>
      </c>
      <c r="AT1181" s="101" t="s">
        <v>214</v>
      </c>
      <c r="AU1181" s="101" t="s">
        <v>87</v>
      </c>
      <c r="AY1181" s="23" t="s">
        <v>211</v>
      </c>
      <c r="BE1181" s="104">
        <f>IF(N1181="základní",J1181,0)</f>
        <v>24830.5</v>
      </c>
      <c r="BF1181" s="104">
        <f>IF(N1181="snížená",J1181,0)</f>
        <v>0</v>
      </c>
      <c r="BG1181" s="104">
        <f>IF(N1181="zákl. přenesená",J1181,0)</f>
        <v>0</v>
      </c>
      <c r="BH1181" s="104">
        <f>IF(N1181="sníž. přenesená",J1181,0)</f>
        <v>0</v>
      </c>
      <c r="BI1181" s="104">
        <f>IF(N1181="nulová",J1181,0)</f>
        <v>0</v>
      </c>
      <c r="BJ1181" s="23" t="s">
        <v>85</v>
      </c>
      <c r="BK1181" s="104">
        <f>ROUND(I1181*H1181,2)</f>
        <v>24830.5</v>
      </c>
      <c r="BL1181" s="23" t="s">
        <v>218</v>
      </c>
      <c r="BM1181" s="101" t="s">
        <v>1615</v>
      </c>
    </row>
    <row r="1182" spans="2:65" s="113" customFormat="1">
      <c r="B1182" s="119"/>
      <c r="D1182" s="105" t="s">
        <v>365</v>
      </c>
      <c r="E1182" s="135" t="s">
        <v>1</v>
      </c>
      <c r="F1182" s="120" t="s">
        <v>294</v>
      </c>
      <c r="H1182" s="121">
        <v>247.51</v>
      </c>
      <c r="I1182" s="128"/>
      <c r="L1182" s="119"/>
      <c r="M1182" s="129"/>
      <c r="T1182" s="133"/>
      <c r="AT1182" s="135" t="s">
        <v>365</v>
      </c>
      <c r="AU1182" s="135" t="s">
        <v>87</v>
      </c>
      <c r="AV1182" s="113" t="s">
        <v>87</v>
      </c>
      <c r="AW1182" s="113" t="s">
        <v>33</v>
      </c>
      <c r="AX1182" s="113" t="s">
        <v>77</v>
      </c>
      <c r="AY1182" s="135" t="s">
        <v>211</v>
      </c>
    </row>
    <row r="1183" spans="2:65" s="154" customFormat="1">
      <c r="B1183" s="156"/>
      <c r="D1183" s="105" t="s">
        <v>365</v>
      </c>
      <c r="E1183" s="157" t="s">
        <v>1</v>
      </c>
      <c r="F1183" s="158" t="s">
        <v>741</v>
      </c>
      <c r="H1183" s="159">
        <v>247.51</v>
      </c>
      <c r="I1183" s="160"/>
      <c r="L1183" s="156"/>
      <c r="M1183" s="161"/>
      <c r="T1183" s="162"/>
      <c r="AT1183" s="157" t="s">
        <v>365</v>
      </c>
      <c r="AU1183" s="157" t="s">
        <v>87</v>
      </c>
      <c r="AV1183" s="154" t="s">
        <v>137</v>
      </c>
      <c r="AW1183" s="154" t="s">
        <v>33</v>
      </c>
      <c r="AX1183" s="154" t="s">
        <v>77</v>
      </c>
      <c r="AY1183" s="157" t="s">
        <v>211</v>
      </c>
    </row>
    <row r="1184" spans="2:65" s="136" customFormat="1">
      <c r="B1184" s="138"/>
      <c r="D1184" s="105" t="s">
        <v>365</v>
      </c>
      <c r="E1184" s="139" t="s">
        <v>1</v>
      </c>
      <c r="F1184" s="140" t="s">
        <v>1616</v>
      </c>
      <c r="H1184" s="139" t="s">
        <v>1</v>
      </c>
      <c r="I1184" s="146"/>
      <c r="L1184" s="138"/>
      <c r="M1184" s="147"/>
      <c r="T1184" s="150"/>
      <c r="AT1184" s="139" t="s">
        <v>365</v>
      </c>
      <c r="AU1184" s="139" t="s">
        <v>87</v>
      </c>
      <c r="AV1184" s="136" t="s">
        <v>85</v>
      </c>
      <c r="AW1184" s="136" t="s">
        <v>33</v>
      </c>
      <c r="AX1184" s="136" t="s">
        <v>77</v>
      </c>
      <c r="AY1184" s="139" t="s">
        <v>211</v>
      </c>
    </row>
    <row r="1185" spans="2:65" s="113" customFormat="1">
      <c r="B1185" s="119"/>
      <c r="D1185" s="105" t="s">
        <v>365</v>
      </c>
      <c r="E1185" s="135" t="s">
        <v>302</v>
      </c>
      <c r="F1185" s="120" t="s">
        <v>1617</v>
      </c>
      <c r="H1185" s="121">
        <v>32.97</v>
      </c>
      <c r="I1185" s="128"/>
      <c r="L1185" s="119"/>
      <c r="M1185" s="129"/>
      <c r="T1185" s="133"/>
      <c r="AT1185" s="135" t="s">
        <v>365</v>
      </c>
      <c r="AU1185" s="135" t="s">
        <v>87</v>
      </c>
      <c r="AV1185" s="113" t="s">
        <v>87</v>
      </c>
      <c r="AW1185" s="113" t="s">
        <v>33</v>
      </c>
      <c r="AX1185" s="113" t="s">
        <v>77</v>
      </c>
      <c r="AY1185" s="135" t="s">
        <v>211</v>
      </c>
    </row>
    <row r="1186" spans="2:65" s="154" customFormat="1">
      <c r="B1186" s="156"/>
      <c r="D1186" s="105" t="s">
        <v>365</v>
      </c>
      <c r="E1186" s="157" t="s">
        <v>1</v>
      </c>
      <c r="F1186" s="158" t="s">
        <v>741</v>
      </c>
      <c r="H1186" s="159">
        <v>32.97</v>
      </c>
      <c r="I1186" s="160"/>
      <c r="L1186" s="156"/>
      <c r="M1186" s="161"/>
      <c r="T1186" s="162"/>
      <c r="AT1186" s="157" t="s">
        <v>365</v>
      </c>
      <c r="AU1186" s="157" t="s">
        <v>87</v>
      </c>
      <c r="AV1186" s="154" t="s">
        <v>137</v>
      </c>
      <c r="AW1186" s="154" t="s">
        <v>33</v>
      </c>
      <c r="AX1186" s="154" t="s">
        <v>77</v>
      </c>
      <c r="AY1186" s="157" t="s">
        <v>211</v>
      </c>
    </row>
    <row r="1187" spans="2:65" s="136" customFormat="1">
      <c r="B1187" s="138"/>
      <c r="D1187" s="105" t="s">
        <v>365</v>
      </c>
      <c r="E1187" s="139" t="s">
        <v>1</v>
      </c>
      <c r="F1187" s="140" t="s">
        <v>1618</v>
      </c>
      <c r="H1187" s="139" t="s">
        <v>1</v>
      </c>
      <c r="I1187" s="146"/>
      <c r="L1187" s="138"/>
      <c r="M1187" s="147"/>
      <c r="T1187" s="150"/>
      <c r="AT1187" s="139" t="s">
        <v>365</v>
      </c>
      <c r="AU1187" s="139" t="s">
        <v>87</v>
      </c>
      <c r="AV1187" s="136" t="s">
        <v>85</v>
      </c>
      <c r="AW1187" s="136" t="s">
        <v>33</v>
      </c>
      <c r="AX1187" s="136" t="s">
        <v>77</v>
      </c>
      <c r="AY1187" s="139" t="s">
        <v>211</v>
      </c>
    </row>
    <row r="1188" spans="2:65" s="113" customFormat="1">
      <c r="B1188" s="119"/>
      <c r="D1188" s="105" t="s">
        <v>365</v>
      </c>
      <c r="E1188" s="135" t="s">
        <v>1</v>
      </c>
      <c r="F1188" s="120" t="s">
        <v>1619</v>
      </c>
      <c r="H1188" s="121">
        <v>55.12</v>
      </c>
      <c r="I1188" s="128"/>
      <c r="L1188" s="119"/>
      <c r="M1188" s="129"/>
      <c r="T1188" s="133"/>
      <c r="AT1188" s="135" t="s">
        <v>365</v>
      </c>
      <c r="AU1188" s="135" t="s">
        <v>87</v>
      </c>
      <c r="AV1188" s="113" t="s">
        <v>87</v>
      </c>
      <c r="AW1188" s="113" t="s">
        <v>33</v>
      </c>
      <c r="AX1188" s="113" t="s">
        <v>77</v>
      </c>
      <c r="AY1188" s="135" t="s">
        <v>211</v>
      </c>
    </row>
    <row r="1189" spans="2:65" s="113" customFormat="1">
      <c r="B1189" s="119"/>
      <c r="D1189" s="105" t="s">
        <v>365</v>
      </c>
      <c r="E1189" s="135" t="s">
        <v>1</v>
      </c>
      <c r="F1189" s="120" t="s">
        <v>1620</v>
      </c>
      <c r="H1189" s="121">
        <v>28.48</v>
      </c>
      <c r="I1189" s="128"/>
      <c r="L1189" s="119"/>
      <c r="M1189" s="129"/>
      <c r="T1189" s="133"/>
      <c r="AT1189" s="135" t="s">
        <v>365</v>
      </c>
      <c r="AU1189" s="135" t="s">
        <v>87</v>
      </c>
      <c r="AV1189" s="113" t="s">
        <v>87</v>
      </c>
      <c r="AW1189" s="113" t="s">
        <v>33</v>
      </c>
      <c r="AX1189" s="113" t="s">
        <v>77</v>
      </c>
      <c r="AY1189" s="135" t="s">
        <v>211</v>
      </c>
    </row>
    <row r="1190" spans="2:65" s="113" customFormat="1">
      <c r="B1190" s="119"/>
      <c r="D1190" s="105" t="s">
        <v>365</v>
      </c>
      <c r="E1190" s="135" t="s">
        <v>1</v>
      </c>
      <c r="F1190" s="120" t="s">
        <v>1621</v>
      </c>
      <c r="H1190" s="121">
        <v>53.27</v>
      </c>
      <c r="I1190" s="128"/>
      <c r="L1190" s="119"/>
      <c r="M1190" s="129"/>
      <c r="T1190" s="133"/>
      <c r="AT1190" s="135" t="s">
        <v>365</v>
      </c>
      <c r="AU1190" s="135" t="s">
        <v>87</v>
      </c>
      <c r="AV1190" s="113" t="s">
        <v>87</v>
      </c>
      <c r="AW1190" s="113" t="s">
        <v>33</v>
      </c>
      <c r="AX1190" s="113" t="s">
        <v>77</v>
      </c>
      <c r="AY1190" s="135" t="s">
        <v>211</v>
      </c>
    </row>
    <row r="1191" spans="2:65" s="113" customFormat="1">
      <c r="B1191" s="119"/>
      <c r="D1191" s="105" t="s">
        <v>365</v>
      </c>
      <c r="E1191" s="135" t="s">
        <v>1</v>
      </c>
      <c r="F1191" s="120" t="s">
        <v>1622</v>
      </c>
      <c r="H1191" s="121">
        <v>49.12</v>
      </c>
      <c r="I1191" s="128"/>
      <c r="L1191" s="119"/>
      <c r="M1191" s="129"/>
      <c r="T1191" s="133"/>
      <c r="AT1191" s="135" t="s">
        <v>365</v>
      </c>
      <c r="AU1191" s="135" t="s">
        <v>87</v>
      </c>
      <c r="AV1191" s="113" t="s">
        <v>87</v>
      </c>
      <c r="AW1191" s="113" t="s">
        <v>33</v>
      </c>
      <c r="AX1191" s="113" t="s">
        <v>77</v>
      </c>
      <c r="AY1191" s="135" t="s">
        <v>211</v>
      </c>
    </row>
    <row r="1192" spans="2:65" s="154" customFormat="1">
      <c r="B1192" s="156"/>
      <c r="D1192" s="105" t="s">
        <v>365</v>
      </c>
      <c r="E1192" s="157" t="s">
        <v>304</v>
      </c>
      <c r="F1192" s="158" t="s">
        <v>741</v>
      </c>
      <c r="H1192" s="159">
        <v>185.99</v>
      </c>
      <c r="I1192" s="160"/>
      <c r="L1192" s="156"/>
      <c r="M1192" s="161"/>
      <c r="T1192" s="162"/>
      <c r="AT1192" s="157" t="s">
        <v>365</v>
      </c>
      <c r="AU1192" s="157" t="s">
        <v>87</v>
      </c>
      <c r="AV1192" s="154" t="s">
        <v>137</v>
      </c>
      <c r="AW1192" s="154" t="s">
        <v>33</v>
      </c>
      <c r="AX1192" s="154" t="s">
        <v>77</v>
      </c>
      <c r="AY1192" s="157" t="s">
        <v>211</v>
      </c>
    </row>
    <row r="1193" spans="2:65" s="136" customFormat="1">
      <c r="B1193" s="138"/>
      <c r="D1193" s="105" t="s">
        <v>365</v>
      </c>
      <c r="E1193" s="139" t="s">
        <v>1</v>
      </c>
      <c r="F1193" s="140" t="s">
        <v>987</v>
      </c>
      <c r="H1193" s="139" t="s">
        <v>1</v>
      </c>
      <c r="I1193" s="146"/>
      <c r="L1193" s="138"/>
      <c r="M1193" s="147"/>
      <c r="T1193" s="150"/>
      <c r="AT1193" s="139" t="s">
        <v>365</v>
      </c>
      <c r="AU1193" s="139" t="s">
        <v>87</v>
      </c>
      <c r="AV1193" s="136" t="s">
        <v>85</v>
      </c>
      <c r="AW1193" s="136" t="s">
        <v>33</v>
      </c>
      <c r="AX1193" s="136" t="s">
        <v>77</v>
      </c>
      <c r="AY1193" s="139" t="s">
        <v>211</v>
      </c>
    </row>
    <row r="1194" spans="2:65" s="113" customFormat="1">
      <c r="B1194" s="119"/>
      <c r="D1194" s="105" t="s">
        <v>365</v>
      </c>
      <c r="E1194" s="135" t="s">
        <v>308</v>
      </c>
      <c r="F1194" s="120" t="s">
        <v>1623</v>
      </c>
      <c r="H1194" s="121">
        <v>30.14</v>
      </c>
      <c r="I1194" s="128"/>
      <c r="L1194" s="119"/>
      <c r="M1194" s="129"/>
      <c r="T1194" s="133"/>
      <c r="AT1194" s="135" t="s">
        <v>365</v>
      </c>
      <c r="AU1194" s="135" t="s">
        <v>87</v>
      </c>
      <c r="AV1194" s="113" t="s">
        <v>87</v>
      </c>
      <c r="AW1194" s="113" t="s">
        <v>33</v>
      </c>
      <c r="AX1194" s="113" t="s">
        <v>77</v>
      </c>
      <c r="AY1194" s="135" t="s">
        <v>211</v>
      </c>
    </row>
    <row r="1195" spans="2:65" s="137" customFormat="1">
      <c r="B1195" s="141"/>
      <c r="D1195" s="105" t="s">
        <v>365</v>
      </c>
      <c r="E1195" s="142" t="s">
        <v>1</v>
      </c>
      <c r="F1195" s="143" t="s">
        <v>368</v>
      </c>
      <c r="H1195" s="144">
        <v>496.61</v>
      </c>
      <c r="I1195" s="148"/>
      <c r="L1195" s="141"/>
      <c r="M1195" s="149"/>
      <c r="T1195" s="151"/>
      <c r="AT1195" s="142" t="s">
        <v>365</v>
      </c>
      <c r="AU1195" s="142" t="s">
        <v>87</v>
      </c>
      <c r="AV1195" s="137" t="s">
        <v>218</v>
      </c>
      <c r="AW1195" s="137" t="s">
        <v>33</v>
      </c>
      <c r="AX1195" s="137" t="s">
        <v>85</v>
      </c>
      <c r="AY1195" s="142" t="s">
        <v>211</v>
      </c>
    </row>
    <row r="1196" spans="2:65" s="1" customFormat="1" ht="24.15" customHeight="1">
      <c r="B1196" s="12"/>
      <c r="C1196" s="71" t="s">
        <v>1624</v>
      </c>
      <c r="D1196" s="71" t="s">
        <v>214</v>
      </c>
      <c r="E1196" s="72" t="s">
        <v>1625</v>
      </c>
      <c r="F1196" s="73" t="s">
        <v>1626</v>
      </c>
      <c r="G1196" s="74" t="s">
        <v>279</v>
      </c>
      <c r="H1196" s="75">
        <v>2084.5320000000002</v>
      </c>
      <c r="I1196" s="90">
        <v>60</v>
      </c>
      <c r="J1196" s="91">
        <f>ROUND(I1196*H1196,2)</f>
        <v>125071.92</v>
      </c>
      <c r="K1196" s="92"/>
      <c r="L1196" s="12"/>
      <c r="M1196" s="93" t="s">
        <v>1</v>
      </c>
      <c r="N1196" s="94" t="s">
        <v>42</v>
      </c>
      <c r="P1196" s="95">
        <f>O1196*H1196</f>
        <v>0</v>
      </c>
      <c r="Q1196" s="95">
        <v>4.6999999999999999E-4</v>
      </c>
      <c r="R1196" s="95">
        <f>Q1196*H1196</f>
        <v>0.97973003999999997</v>
      </c>
      <c r="S1196" s="95">
        <v>0</v>
      </c>
      <c r="T1196" s="99">
        <f>S1196*H1196</f>
        <v>0</v>
      </c>
      <c r="AR1196" s="101" t="s">
        <v>218</v>
      </c>
      <c r="AT1196" s="101" t="s">
        <v>214</v>
      </c>
      <c r="AU1196" s="101" t="s">
        <v>87</v>
      </c>
      <c r="AY1196" s="23" t="s">
        <v>211</v>
      </c>
      <c r="BE1196" s="104">
        <f>IF(N1196="základní",J1196,0)</f>
        <v>125071.92</v>
      </c>
      <c r="BF1196" s="104">
        <f>IF(N1196="snížená",J1196,0)</f>
        <v>0</v>
      </c>
      <c r="BG1196" s="104">
        <f>IF(N1196="zákl. přenesená",J1196,0)</f>
        <v>0</v>
      </c>
      <c r="BH1196" s="104">
        <f>IF(N1196="sníž. přenesená",J1196,0)</f>
        <v>0</v>
      </c>
      <c r="BI1196" s="104">
        <f>IF(N1196="nulová",J1196,0)</f>
        <v>0</v>
      </c>
      <c r="BJ1196" s="23" t="s">
        <v>85</v>
      </c>
      <c r="BK1196" s="104">
        <f>ROUND(I1196*H1196,2)</f>
        <v>125071.92</v>
      </c>
      <c r="BL1196" s="23" t="s">
        <v>218</v>
      </c>
      <c r="BM1196" s="101" t="s">
        <v>1627</v>
      </c>
    </row>
    <row r="1197" spans="2:65" s="113" customFormat="1">
      <c r="B1197" s="119"/>
      <c r="D1197" s="105" t="s">
        <v>365</v>
      </c>
      <c r="E1197" s="135" t="s">
        <v>1</v>
      </c>
      <c r="F1197" s="120" t="s">
        <v>1628</v>
      </c>
      <c r="H1197" s="121">
        <v>495.02</v>
      </c>
      <c r="I1197" s="128"/>
      <c r="L1197" s="119"/>
      <c r="M1197" s="129"/>
      <c r="T1197" s="133"/>
      <c r="AT1197" s="135" t="s">
        <v>365</v>
      </c>
      <c r="AU1197" s="135" t="s">
        <v>87</v>
      </c>
      <c r="AV1197" s="113" t="s">
        <v>87</v>
      </c>
      <c r="AW1197" s="113" t="s">
        <v>33</v>
      </c>
      <c r="AX1197" s="113" t="s">
        <v>77</v>
      </c>
      <c r="AY1197" s="135" t="s">
        <v>211</v>
      </c>
    </row>
    <row r="1198" spans="2:65" s="154" customFormat="1">
      <c r="B1198" s="156"/>
      <c r="D1198" s="105" t="s">
        <v>365</v>
      </c>
      <c r="E1198" s="157" t="s">
        <v>1</v>
      </c>
      <c r="F1198" s="158" t="s">
        <v>741</v>
      </c>
      <c r="H1198" s="159">
        <v>495.02</v>
      </c>
      <c r="I1198" s="160"/>
      <c r="L1198" s="156"/>
      <c r="M1198" s="161"/>
      <c r="T1198" s="162"/>
      <c r="AT1198" s="157" t="s">
        <v>365</v>
      </c>
      <c r="AU1198" s="157" t="s">
        <v>87</v>
      </c>
      <c r="AV1198" s="154" t="s">
        <v>137</v>
      </c>
      <c r="AW1198" s="154" t="s">
        <v>33</v>
      </c>
      <c r="AX1198" s="154" t="s">
        <v>77</v>
      </c>
      <c r="AY1198" s="157" t="s">
        <v>211</v>
      </c>
    </row>
    <row r="1199" spans="2:65" s="113" customFormat="1">
      <c r="B1199" s="119"/>
      <c r="D1199" s="105" t="s">
        <v>365</v>
      </c>
      <c r="E1199" s="135" t="s">
        <v>1</v>
      </c>
      <c r="F1199" s="120" t="s">
        <v>1629</v>
      </c>
      <c r="H1199" s="121">
        <v>862.52</v>
      </c>
      <c r="I1199" s="128"/>
      <c r="L1199" s="119"/>
      <c r="M1199" s="129"/>
      <c r="T1199" s="133"/>
      <c r="AT1199" s="135" t="s">
        <v>365</v>
      </c>
      <c r="AU1199" s="135" t="s">
        <v>87</v>
      </c>
      <c r="AV1199" s="113" t="s">
        <v>87</v>
      </c>
      <c r="AW1199" s="113" t="s">
        <v>33</v>
      </c>
      <c r="AX1199" s="113" t="s">
        <v>77</v>
      </c>
      <c r="AY1199" s="135" t="s">
        <v>211</v>
      </c>
    </row>
    <row r="1200" spans="2:65" s="154" customFormat="1">
      <c r="B1200" s="156"/>
      <c r="D1200" s="105" t="s">
        <v>365</v>
      </c>
      <c r="E1200" s="157" t="s">
        <v>1</v>
      </c>
      <c r="F1200" s="158" t="s">
        <v>741</v>
      </c>
      <c r="H1200" s="159">
        <v>862.52</v>
      </c>
      <c r="I1200" s="160"/>
      <c r="L1200" s="156"/>
      <c r="M1200" s="161"/>
      <c r="T1200" s="162"/>
      <c r="AT1200" s="157" t="s">
        <v>365</v>
      </c>
      <c r="AU1200" s="157" t="s">
        <v>87</v>
      </c>
      <c r="AV1200" s="154" t="s">
        <v>137</v>
      </c>
      <c r="AW1200" s="154" t="s">
        <v>33</v>
      </c>
      <c r="AX1200" s="154" t="s">
        <v>77</v>
      </c>
      <c r="AY1200" s="157" t="s">
        <v>211</v>
      </c>
    </row>
    <row r="1201" spans="2:51" s="113" customFormat="1">
      <c r="B1201" s="119"/>
      <c r="D1201" s="105" t="s">
        <v>365</v>
      </c>
      <c r="E1201" s="135" t="s">
        <v>1</v>
      </c>
      <c r="F1201" s="120" t="s">
        <v>1630</v>
      </c>
      <c r="H1201" s="121">
        <v>89.2</v>
      </c>
      <c r="I1201" s="128"/>
      <c r="L1201" s="119"/>
      <c r="M1201" s="129"/>
      <c r="T1201" s="133"/>
      <c r="AT1201" s="135" t="s">
        <v>365</v>
      </c>
      <c r="AU1201" s="135" t="s">
        <v>87</v>
      </c>
      <c r="AV1201" s="113" t="s">
        <v>87</v>
      </c>
      <c r="AW1201" s="113" t="s">
        <v>33</v>
      </c>
      <c r="AX1201" s="113" t="s">
        <v>77</v>
      </c>
      <c r="AY1201" s="135" t="s">
        <v>211</v>
      </c>
    </row>
    <row r="1202" spans="2:51" s="154" customFormat="1">
      <c r="B1202" s="156"/>
      <c r="D1202" s="105" t="s">
        <v>365</v>
      </c>
      <c r="E1202" s="157" t="s">
        <v>1</v>
      </c>
      <c r="F1202" s="158" t="s">
        <v>741</v>
      </c>
      <c r="H1202" s="159">
        <v>89.2</v>
      </c>
      <c r="I1202" s="160"/>
      <c r="L1202" s="156"/>
      <c r="M1202" s="161"/>
      <c r="T1202" s="162"/>
      <c r="AT1202" s="157" t="s">
        <v>365</v>
      </c>
      <c r="AU1202" s="157" t="s">
        <v>87</v>
      </c>
      <c r="AV1202" s="154" t="s">
        <v>137</v>
      </c>
      <c r="AW1202" s="154" t="s">
        <v>33</v>
      </c>
      <c r="AX1202" s="154" t="s">
        <v>77</v>
      </c>
      <c r="AY1202" s="157" t="s">
        <v>211</v>
      </c>
    </row>
    <row r="1203" spans="2:51" s="113" customFormat="1">
      <c r="B1203" s="119"/>
      <c r="D1203" s="105" t="s">
        <v>365</v>
      </c>
      <c r="E1203" s="135" t="s">
        <v>1</v>
      </c>
      <c r="F1203" s="120" t="s">
        <v>1631</v>
      </c>
      <c r="H1203" s="121">
        <v>65.94</v>
      </c>
      <c r="I1203" s="128"/>
      <c r="L1203" s="119"/>
      <c r="M1203" s="129"/>
      <c r="T1203" s="133"/>
      <c r="AT1203" s="135" t="s">
        <v>365</v>
      </c>
      <c r="AU1203" s="135" t="s">
        <v>87</v>
      </c>
      <c r="AV1203" s="113" t="s">
        <v>87</v>
      </c>
      <c r="AW1203" s="113" t="s">
        <v>33</v>
      </c>
      <c r="AX1203" s="113" t="s">
        <v>77</v>
      </c>
      <c r="AY1203" s="135" t="s">
        <v>211</v>
      </c>
    </row>
    <row r="1204" spans="2:51" s="154" customFormat="1">
      <c r="B1204" s="156"/>
      <c r="D1204" s="105" t="s">
        <v>365</v>
      </c>
      <c r="E1204" s="157" t="s">
        <v>1</v>
      </c>
      <c r="F1204" s="158" t="s">
        <v>741</v>
      </c>
      <c r="H1204" s="159">
        <v>65.94</v>
      </c>
      <c r="I1204" s="160"/>
      <c r="L1204" s="156"/>
      <c r="M1204" s="161"/>
      <c r="T1204" s="162"/>
      <c r="AT1204" s="157" t="s">
        <v>365</v>
      </c>
      <c r="AU1204" s="157" t="s">
        <v>87</v>
      </c>
      <c r="AV1204" s="154" t="s">
        <v>137</v>
      </c>
      <c r="AW1204" s="154" t="s">
        <v>33</v>
      </c>
      <c r="AX1204" s="154" t="s">
        <v>77</v>
      </c>
      <c r="AY1204" s="157" t="s">
        <v>211</v>
      </c>
    </row>
    <row r="1205" spans="2:51" s="113" customFormat="1">
      <c r="B1205" s="119"/>
      <c r="D1205" s="105" t="s">
        <v>365</v>
      </c>
      <c r="E1205" s="135" t="s">
        <v>1</v>
      </c>
      <c r="F1205" s="120" t="s">
        <v>304</v>
      </c>
      <c r="H1205" s="121">
        <v>185.99</v>
      </c>
      <c r="I1205" s="128"/>
      <c r="L1205" s="119"/>
      <c r="M1205" s="129"/>
      <c r="T1205" s="133"/>
      <c r="AT1205" s="135" t="s">
        <v>365</v>
      </c>
      <c r="AU1205" s="135" t="s">
        <v>87</v>
      </c>
      <c r="AV1205" s="113" t="s">
        <v>87</v>
      </c>
      <c r="AW1205" s="113" t="s">
        <v>33</v>
      </c>
      <c r="AX1205" s="113" t="s">
        <v>77</v>
      </c>
      <c r="AY1205" s="135" t="s">
        <v>211</v>
      </c>
    </row>
    <row r="1206" spans="2:51" s="154" customFormat="1">
      <c r="B1206" s="156"/>
      <c r="D1206" s="105" t="s">
        <v>365</v>
      </c>
      <c r="E1206" s="157" t="s">
        <v>1</v>
      </c>
      <c r="F1206" s="158" t="s">
        <v>741</v>
      </c>
      <c r="H1206" s="159">
        <v>185.99</v>
      </c>
      <c r="I1206" s="160"/>
      <c r="L1206" s="156"/>
      <c r="M1206" s="161"/>
      <c r="T1206" s="162"/>
      <c r="AT1206" s="157" t="s">
        <v>365</v>
      </c>
      <c r="AU1206" s="157" t="s">
        <v>87</v>
      </c>
      <c r="AV1206" s="154" t="s">
        <v>137</v>
      </c>
      <c r="AW1206" s="154" t="s">
        <v>33</v>
      </c>
      <c r="AX1206" s="154" t="s">
        <v>77</v>
      </c>
      <c r="AY1206" s="157" t="s">
        <v>211</v>
      </c>
    </row>
    <row r="1207" spans="2:51" s="136" customFormat="1">
      <c r="B1207" s="138"/>
      <c r="D1207" s="105" t="s">
        <v>365</v>
      </c>
      <c r="E1207" s="139" t="s">
        <v>1</v>
      </c>
      <c r="F1207" s="140" t="s">
        <v>1632</v>
      </c>
      <c r="H1207" s="139" t="s">
        <v>1</v>
      </c>
      <c r="I1207" s="146"/>
      <c r="L1207" s="138"/>
      <c r="M1207" s="147"/>
      <c r="T1207" s="150"/>
      <c r="AT1207" s="139" t="s">
        <v>365</v>
      </c>
      <c r="AU1207" s="139" t="s">
        <v>87</v>
      </c>
      <c r="AV1207" s="136" t="s">
        <v>85</v>
      </c>
      <c r="AW1207" s="136" t="s">
        <v>33</v>
      </c>
      <c r="AX1207" s="136" t="s">
        <v>77</v>
      </c>
      <c r="AY1207" s="139" t="s">
        <v>211</v>
      </c>
    </row>
    <row r="1208" spans="2:51" s="113" customFormat="1">
      <c r="B1208" s="119"/>
      <c r="D1208" s="105" t="s">
        <v>365</v>
      </c>
      <c r="E1208" s="135" t="s">
        <v>1</v>
      </c>
      <c r="F1208" s="120" t="s">
        <v>1633</v>
      </c>
      <c r="H1208" s="121">
        <v>18.190000000000001</v>
      </c>
      <c r="I1208" s="128"/>
      <c r="L1208" s="119"/>
      <c r="M1208" s="129"/>
      <c r="T1208" s="133"/>
      <c r="AT1208" s="135" t="s">
        <v>365</v>
      </c>
      <c r="AU1208" s="135" t="s">
        <v>87</v>
      </c>
      <c r="AV1208" s="113" t="s">
        <v>87</v>
      </c>
      <c r="AW1208" s="113" t="s">
        <v>33</v>
      </c>
      <c r="AX1208" s="113" t="s">
        <v>77</v>
      </c>
      <c r="AY1208" s="135" t="s">
        <v>211</v>
      </c>
    </row>
    <row r="1209" spans="2:51" s="113" customFormat="1">
      <c r="B1209" s="119"/>
      <c r="D1209" s="105" t="s">
        <v>365</v>
      </c>
      <c r="E1209" s="135" t="s">
        <v>1</v>
      </c>
      <c r="F1209" s="120" t="s">
        <v>1634</v>
      </c>
      <c r="H1209" s="121">
        <v>18.2</v>
      </c>
      <c r="I1209" s="128"/>
      <c r="L1209" s="119"/>
      <c r="M1209" s="129"/>
      <c r="T1209" s="133"/>
      <c r="AT1209" s="135" t="s">
        <v>365</v>
      </c>
      <c r="AU1209" s="135" t="s">
        <v>87</v>
      </c>
      <c r="AV1209" s="113" t="s">
        <v>87</v>
      </c>
      <c r="AW1209" s="113" t="s">
        <v>33</v>
      </c>
      <c r="AX1209" s="113" t="s">
        <v>77</v>
      </c>
      <c r="AY1209" s="135" t="s">
        <v>211</v>
      </c>
    </row>
    <row r="1210" spans="2:51" s="113" customFormat="1">
      <c r="B1210" s="119"/>
      <c r="D1210" s="105" t="s">
        <v>365</v>
      </c>
      <c r="E1210" s="135" t="s">
        <v>1</v>
      </c>
      <c r="F1210" s="120" t="s">
        <v>1635</v>
      </c>
      <c r="H1210" s="121">
        <v>19.170000000000002</v>
      </c>
      <c r="I1210" s="128"/>
      <c r="L1210" s="119"/>
      <c r="M1210" s="129"/>
      <c r="T1210" s="133"/>
      <c r="AT1210" s="135" t="s">
        <v>365</v>
      </c>
      <c r="AU1210" s="135" t="s">
        <v>87</v>
      </c>
      <c r="AV1210" s="113" t="s">
        <v>87</v>
      </c>
      <c r="AW1210" s="113" t="s">
        <v>33</v>
      </c>
      <c r="AX1210" s="113" t="s">
        <v>77</v>
      </c>
      <c r="AY1210" s="135" t="s">
        <v>211</v>
      </c>
    </row>
    <row r="1211" spans="2:51" s="113" customFormat="1">
      <c r="B1211" s="119"/>
      <c r="D1211" s="105" t="s">
        <v>365</v>
      </c>
      <c r="E1211" s="135" t="s">
        <v>1</v>
      </c>
      <c r="F1211" s="120" t="s">
        <v>1636</v>
      </c>
      <c r="H1211" s="121">
        <v>19.100000000000001</v>
      </c>
      <c r="I1211" s="128"/>
      <c r="L1211" s="119"/>
      <c r="M1211" s="129"/>
      <c r="T1211" s="133"/>
      <c r="AT1211" s="135" t="s">
        <v>365</v>
      </c>
      <c r="AU1211" s="135" t="s">
        <v>87</v>
      </c>
      <c r="AV1211" s="113" t="s">
        <v>87</v>
      </c>
      <c r="AW1211" s="113" t="s">
        <v>33</v>
      </c>
      <c r="AX1211" s="113" t="s">
        <v>77</v>
      </c>
      <c r="AY1211" s="135" t="s">
        <v>211</v>
      </c>
    </row>
    <row r="1212" spans="2:51" s="154" customFormat="1">
      <c r="B1212" s="156"/>
      <c r="D1212" s="105" t="s">
        <v>365</v>
      </c>
      <c r="E1212" s="157" t="s">
        <v>306</v>
      </c>
      <c r="F1212" s="158" t="s">
        <v>741</v>
      </c>
      <c r="H1212" s="159">
        <v>74.66</v>
      </c>
      <c r="I1212" s="160"/>
      <c r="L1212" s="156"/>
      <c r="M1212" s="161"/>
      <c r="T1212" s="162"/>
      <c r="AT1212" s="157" t="s">
        <v>365</v>
      </c>
      <c r="AU1212" s="157" t="s">
        <v>87</v>
      </c>
      <c r="AV1212" s="154" t="s">
        <v>137</v>
      </c>
      <c r="AW1212" s="154" t="s">
        <v>33</v>
      </c>
      <c r="AX1212" s="154" t="s">
        <v>77</v>
      </c>
      <c r="AY1212" s="157" t="s">
        <v>211</v>
      </c>
    </row>
    <row r="1213" spans="2:51" s="113" customFormat="1">
      <c r="B1213" s="119"/>
      <c r="D1213" s="105" t="s">
        <v>365</v>
      </c>
      <c r="E1213" s="135" t="s">
        <v>1</v>
      </c>
      <c r="F1213" s="120" t="s">
        <v>308</v>
      </c>
      <c r="H1213" s="121">
        <v>30.14</v>
      </c>
      <c r="I1213" s="128"/>
      <c r="L1213" s="119"/>
      <c r="M1213" s="129"/>
      <c r="T1213" s="133"/>
      <c r="AT1213" s="135" t="s">
        <v>365</v>
      </c>
      <c r="AU1213" s="135" t="s">
        <v>87</v>
      </c>
      <c r="AV1213" s="113" t="s">
        <v>87</v>
      </c>
      <c r="AW1213" s="113" t="s">
        <v>33</v>
      </c>
      <c r="AX1213" s="113" t="s">
        <v>77</v>
      </c>
      <c r="AY1213" s="135" t="s">
        <v>211</v>
      </c>
    </row>
    <row r="1214" spans="2:51" s="154" customFormat="1">
      <c r="B1214" s="156"/>
      <c r="D1214" s="105" t="s">
        <v>365</v>
      </c>
      <c r="E1214" s="157" t="s">
        <v>1</v>
      </c>
      <c r="F1214" s="158" t="s">
        <v>741</v>
      </c>
      <c r="H1214" s="159">
        <v>30.14</v>
      </c>
      <c r="I1214" s="160"/>
      <c r="L1214" s="156"/>
      <c r="M1214" s="161"/>
      <c r="T1214" s="162"/>
      <c r="AT1214" s="157" t="s">
        <v>365</v>
      </c>
      <c r="AU1214" s="157" t="s">
        <v>87</v>
      </c>
      <c r="AV1214" s="154" t="s">
        <v>137</v>
      </c>
      <c r="AW1214" s="154" t="s">
        <v>33</v>
      </c>
      <c r="AX1214" s="154" t="s">
        <v>77</v>
      </c>
      <c r="AY1214" s="157" t="s">
        <v>211</v>
      </c>
    </row>
    <row r="1215" spans="2:51" s="136" customFormat="1">
      <c r="B1215" s="138"/>
      <c r="D1215" s="105" t="s">
        <v>365</v>
      </c>
      <c r="E1215" s="139" t="s">
        <v>1</v>
      </c>
      <c r="F1215" s="140" t="s">
        <v>1637</v>
      </c>
      <c r="H1215" s="139" t="s">
        <v>1</v>
      </c>
      <c r="I1215" s="146"/>
      <c r="L1215" s="138"/>
      <c r="M1215" s="147"/>
      <c r="T1215" s="150"/>
      <c r="AT1215" s="139" t="s">
        <v>365</v>
      </c>
      <c r="AU1215" s="139" t="s">
        <v>87</v>
      </c>
      <c r="AV1215" s="136" t="s">
        <v>85</v>
      </c>
      <c r="AW1215" s="136" t="s">
        <v>33</v>
      </c>
      <c r="AX1215" s="136" t="s">
        <v>77</v>
      </c>
      <c r="AY1215" s="139" t="s">
        <v>211</v>
      </c>
    </row>
    <row r="1216" spans="2:51" s="113" customFormat="1">
      <c r="B1216" s="119"/>
      <c r="D1216" s="105" t="s">
        <v>365</v>
      </c>
      <c r="E1216" s="135" t="s">
        <v>1</v>
      </c>
      <c r="F1216" s="120" t="s">
        <v>1638</v>
      </c>
      <c r="H1216" s="121">
        <v>281.06200000000001</v>
      </c>
      <c r="I1216" s="128"/>
      <c r="L1216" s="119"/>
      <c r="M1216" s="129"/>
      <c r="T1216" s="133"/>
      <c r="AT1216" s="135" t="s">
        <v>365</v>
      </c>
      <c r="AU1216" s="135" t="s">
        <v>87</v>
      </c>
      <c r="AV1216" s="113" t="s">
        <v>87</v>
      </c>
      <c r="AW1216" s="113" t="s">
        <v>33</v>
      </c>
      <c r="AX1216" s="113" t="s">
        <v>77</v>
      </c>
      <c r="AY1216" s="135" t="s">
        <v>211</v>
      </c>
    </row>
    <row r="1217" spans="2:65" s="154" customFormat="1">
      <c r="B1217" s="156"/>
      <c r="D1217" s="105" t="s">
        <v>365</v>
      </c>
      <c r="E1217" s="157" t="s">
        <v>312</v>
      </c>
      <c r="F1217" s="158" t="s">
        <v>741</v>
      </c>
      <c r="H1217" s="159">
        <v>281.06200000000001</v>
      </c>
      <c r="I1217" s="160"/>
      <c r="L1217" s="156"/>
      <c r="M1217" s="161"/>
      <c r="T1217" s="162"/>
      <c r="AT1217" s="157" t="s">
        <v>365</v>
      </c>
      <c r="AU1217" s="157" t="s">
        <v>87</v>
      </c>
      <c r="AV1217" s="154" t="s">
        <v>137</v>
      </c>
      <c r="AW1217" s="154" t="s">
        <v>33</v>
      </c>
      <c r="AX1217" s="154" t="s">
        <v>77</v>
      </c>
      <c r="AY1217" s="157" t="s">
        <v>211</v>
      </c>
    </row>
    <row r="1218" spans="2:65" s="137" customFormat="1">
      <c r="B1218" s="141"/>
      <c r="D1218" s="105" t="s">
        <v>365</v>
      </c>
      <c r="E1218" s="142" t="s">
        <v>1</v>
      </c>
      <c r="F1218" s="143" t="s">
        <v>368</v>
      </c>
      <c r="H1218" s="144">
        <v>2084.5320000000002</v>
      </c>
      <c r="I1218" s="148"/>
      <c r="L1218" s="141"/>
      <c r="M1218" s="149"/>
      <c r="T1218" s="151"/>
      <c r="AT1218" s="142" t="s">
        <v>365</v>
      </c>
      <c r="AU1218" s="142" t="s">
        <v>87</v>
      </c>
      <c r="AV1218" s="137" t="s">
        <v>218</v>
      </c>
      <c r="AW1218" s="137" t="s">
        <v>33</v>
      </c>
      <c r="AX1218" s="137" t="s">
        <v>85</v>
      </c>
      <c r="AY1218" s="142" t="s">
        <v>211</v>
      </c>
    </row>
    <row r="1219" spans="2:65" s="31" customFormat="1" ht="23.1" customHeight="1">
      <c r="B1219" s="67"/>
      <c r="D1219" s="68" t="s">
        <v>76</v>
      </c>
      <c r="E1219" s="70" t="s">
        <v>1639</v>
      </c>
      <c r="F1219" s="70" t="s">
        <v>1640</v>
      </c>
      <c r="I1219" s="85"/>
      <c r="J1219" s="89">
        <f>BK1219</f>
        <v>3605987.13</v>
      </c>
      <c r="L1219" s="67"/>
      <c r="M1219" s="87"/>
      <c r="P1219" s="88">
        <f>P1220</f>
        <v>0</v>
      </c>
      <c r="R1219" s="88">
        <f>R1220</f>
        <v>0</v>
      </c>
      <c r="T1219" s="98">
        <f>T1220</f>
        <v>0</v>
      </c>
      <c r="AR1219" s="68" t="s">
        <v>85</v>
      </c>
      <c r="AT1219" s="100" t="s">
        <v>76</v>
      </c>
      <c r="AU1219" s="100" t="s">
        <v>85</v>
      </c>
      <c r="AY1219" s="68" t="s">
        <v>211</v>
      </c>
      <c r="BK1219" s="103">
        <f>BK1220</f>
        <v>3605987.13</v>
      </c>
    </row>
    <row r="1220" spans="2:65" s="1" customFormat="1" ht="21.75" customHeight="1">
      <c r="B1220" s="12"/>
      <c r="C1220" s="71" t="s">
        <v>1641</v>
      </c>
      <c r="D1220" s="71" t="s">
        <v>214</v>
      </c>
      <c r="E1220" s="72" t="s">
        <v>1642</v>
      </c>
      <c r="F1220" s="73" t="s">
        <v>1643</v>
      </c>
      <c r="G1220" s="74" t="s">
        <v>394</v>
      </c>
      <c r="H1220" s="75">
        <v>11095.344999999999</v>
      </c>
      <c r="I1220" s="90">
        <v>325</v>
      </c>
      <c r="J1220" s="91">
        <f>ROUND(I1220*H1220,2)</f>
        <v>3605987.13</v>
      </c>
      <c r="K1220" s="92"/>
      <c r="L1220" s="12"/>
      <c r="M1220" s="93" t="s">
        <v>1</v>
      </c>
      <c r="N1220" s="94" t="s">
        <v>42</v>
      </c>
      <c r="P1220" s="95">
        <f>O1220*H1220</f>
        <v>0</v>
      </c>
      <c r="Q1220" s="95">
        <v>0</v>
      </c>
      <c r="R1220" s="95">
        <f>Q1220*H1220</f>
        <v>0</v>
      </c>
      <c r="S1220" s="95">
        <v>0</v>
      </c>
      <c r="T1220" s="99">
        <f>S1220*H1220</f>
        <v>0</v>
      </c>
      <c r="AR1220" s="101" t="s">
        <v>218</v>
      </c>
      <c r="AT1220" s="101" t="s">
        <v>214</v>
      </c>
      <c r="AU1220" s="101" t="s">
        <v>87</v>
      </c>
      <c r="AY1220" s="23" t="s">
        <v>211</v>
      </c>
      <c r="BE1220" s="104">
        <f>IF(N1220="základní",J1220,0)</f>
        <v>3605987.13</v>
      </c>
      <c r="BF1220" s="104">
        <f>IF(N1220="snížená",J1220,0)</f>
        <v>0</v>
      </c>
      <c r="BG1220" s="104">
        <f>IF(N1220="zákl. přenesená",J1220,0)</f>
        <v>0</v>
      </c>
      <c r="BH1220" s="104">
        <f>IF(N1220="sníž. přenesená",J1220,0)</f>
        <v>0</v>
      </c>
      <c r="BI1220" s="104">
        <f>IF(N1220="nulová",J1220,0)</f>
        <v>0</v>
      </c>
      <c r="BJ1220" s="23" t="s">
        <v>85</v>
      </c>
      <c r="BK1220" s="104">
        <f>ROUND(I1220*H1220,2)</f>
        <v>3605987.13</v>
      </c>
      <c r="BL1220" s="23" t="s">
        <v>218</v>
      </c>
      <c r="BM1220" s="101" t="s">
        <v>1644</v>
      </c>
    </row>
    <row r="1221" spans="2:65" s="31" customFormat="1" ht="26.1" customHeight="1">
      <c r="B1221" s="67"/>
      <c r="D1221" s="68" t="s">
        <v>76</v>
      </c>
      <c r="E1221" s="69" t="s">
        <v>1645</v>
      </c>
      <c r="F1221" s="69" t="s">
        <v>1646</v>
      </c>
      <c r="I1221" s="85"/>
      <c r="J1221" s="86">
        <f>BK1221</f>
        <v>46281027.75</v>
      </c>
      <c r="L1221" s="67"/>
      <c r="M1221" s="87"/>
      <c r="P1221" s="88">
        <f>P1222+P1803+P1838+P1877+P1911+P1956+P2114+P2127+P2172+P2270+P2295+P2319+P2341+P2453+P2458+P2484+P2561+P2570+P2632</f>
        <v>0</v>
      </c>
      <c r="R1221" s="88">
        <f>R1222+R1803+R1838+R1877+R1911+R1956+R2114+R2127+R2172+R2270+R2295+R2319+R2341+R2453+R2458+R2484+R2561+R2570+R2632</f>
        <v>366.61311604000002</v>
      </c>
      <c r="T1221" s="98">
        <f>T1222+T1803+T1838+T1877+T1911+T1956+T2114+T2127+T2172+T2270+T2295+T2319+T2341+T2453+T2458+T2484+T2561+T2570+T2632</f>
        <v>0</v>
      </c>
      <c r="AR1221" s="68" t="s">
        <v>87</v>
      </c>
      <c r="AT1221" s="100" t="s">
        <v>76</v>
      </c>
      <c r="AU1221" s="100" t="s">
        <v>77</v>
      </c>
      <c r="AY1221" s="68" t="s">
        <v>211</v>
      </c>
      <c r="BK1221" s="103">
        <f>BK1222+BK1803+BK1838+BK1877+BK1911+BK1956+BK2114+BK2127+BK2172+BK2270+BK2295+BK2319+BK2341+BK2453+BK2458+BK2484+BK2561+BK2570+BK2632</f>
        <v>46281027.75</v>
      </c>
    </row>
    <row r="1222" spans="2:65" s="31" customFormat="1" ht="23.1" customHeight="1">
      <c r="B1222" s="67"/>
      <c r="D1222" s="68" t="s">
        <v>76</v>
      </c>
      <c r="E1222" s="70" t="s">
        <v>1647</v>
      </c>
      <c r="F1222" s="70" t="s">
        <v>1648</v>
      </c>
      <c r="I1222" s="85" t="s">
        <v>1649</v>
      </c>
      <c r="J1222" s="89">
        <f>BK1222</f>
        <v>8800000</v>
      </c>
      <c r="L1222" s="67"/>
      <c r="M1222" s="87"/>
      <c r="P1222" s="88">
        <f>SUM(P1223:P1802)</f>
        <v>0</v>
      </c>
      <c r="R1222" s="88">
        <f>SUM(R1223:R1802)</f>
        <v>0</v>
      </c>
      <c r="T1222" s="98">
        <f>SUM(T1223:T1802)</f>
        <v>0</v>
      </c>
      <c r="AR1222" s="68" t="s">
        <v>85</v>
      </c>
      <c r="AT1222" s="100" t="s">
        <v>76</v>
      </c>
      <c r="AU1222" s="100" t="s">
        <v>85</v>
      </c>
      <c r="AY1222" s="68" t="s">
        <v>211</v>
      </c>
      <c r="BK1222" s="103">
        <f>SUM(BK1223:BK1802)</f>
        <v>8800000</v>
      </c>
    </row>
    <row r="1223" spans="2:65" s="1" customFormat="1" ht="55.5" customHeight="1">
      <c r="B1223" s="12"/>
      <c r="C1223" s="71" t="s">
        <v>1650</v>
      </c>
      <c r="D1223" s="71" t="s">
        <v>214</v>
      </c>
      <c r="E1223" s="72" t="s">
        <v>1651</v>
      </c>
      <c r="F1223" s="73" t="s">
        <v>1652</v>
      </c>
      <c r="G1223" s="74" t="s">
        <v>808</v>
      </c>
      <c r="H1223" s="75">
        <v>1</v>
      </c>
      <c r="I1223" s="90">
        <v>8800000</v>
      </c>
      <c r="J1223" s="91">
        <f>ROUND(I1223*H1223,2)</f>
        <v>8800000</v>
      </c>
      <c r="K1223" s="92"/>
      <c r="L1223" s="12"/>
      <c r="M1223" s="93" t="s">
        <v>1</v>
      </c>
      <c r="N1223" s="94" t="s">
        <v>42</v>
      </c>
      <c r="P1223" s="95">
        <f>O1223*H1223</f>
        <v>0</v>
      </c>
      <c r="Q1223" s="95">
        <v>0</v>
      </c>
      <c r="R1223" s="95">
        <f>Q1223*H1223</f>
        <v>0</v>
      </c>
      <c r="S1223" s="95">
        <v>0</v>
      </c>
      <c r="T1223" s="99">
        <f>S1223*H1223</f>
        <v>0</v>
      </c>
      <c r="AR1223" s="101" t="s">
        <v>218</v>
      </c>
      <c r="AT1223" s="101" t="s">
        <v>214</v>
      </c>
      <c r="AU1223" s="101" t="s">
        <v>87</v>
      </c>
      <c r="AY1223" s="23" t="s">
        <v>211</v>
      </c>
      <c r="BE1223" s="104">
        <f>IF(N1223="základní",J1223,0)</f>
        <v>8800000</v>
      </c>
      <c r="BF1223" s="104">
        <f>IF(N1223="snížená",J1223,0)</f>
        <v>0</v>
      </c>
      <c r="BG1223" s="104">
        <f>IF(N1223="zákl. přenesená",J1223,0)</f>
        <v>0</v>
      </c>
      <c r="BH1223" s="104">
        <f>IF(N1223="sníž. přenesená",J1223,0)</f>
        <v>0</v>
      </c>
      <c r="BI1223" s="104">
        <f>IF(N1223="nulová",J1223,0)</f>
        <v>0</v>
      </c>
      <c r="BJ1223" s="23" t="s">
        <v>85</v>
      </c>
      <c r="BK1223" s="104">
        <f>ROUND(I1223*H1223,2)</f>
        <v>8800000</v>
      </c>
      <c r="BL1223" s="23" t="s">
        <v>218</v>
      </c>
      <c r="BM1223" s="101" t="s">
        <v>1653</v>
      </c>
    </row>
    <row r="1224" spans="2:65" s="1" customFormat="1" ht="67.2">
      <c r="B1224" s="12"/>
      <c r="D1224" s="105" t="s">
        <v>227</v>
      </c>
      <c r="F1224" s="106" t="s">
        <v>1654</v>
      </c>
      <c r="I1224" s="107"/>
      <c r="L1224" s="12"/>
      <c r="M1224" s="108"/>
      <c r="T1224" s="111"/>
      <c r="AT1224" s="23" t="s">
        <v>227</v>
      </c>
      <c r="AU1224" s="23" t="s">
        <v>87</v>
      </c>
    </row>
    <row r="1225" spans="2:65" s="1" customFormat="1" ht="55.5" customHeight="1">
      <c r="B1225" s="12"/>
      <c r="C1225" s="71" t="s">
        <v>1655</v>
      </c>
      <c r="D1225" s="71" t="s">
        <v>214</v>
      </c>
      <c r="E1225" s="72" t="s">
        <v>1656</v>
      </c>
      <c r="F1225" s="73" t="s">
        <v>1657</v>
      </c>
      <c r="G1225" s="74" t="s">
        <v>808</v>
      </c>
      <c r="H1225" s="75">
        <v>1</v>
      </c>
      <c r="I1225" s="90"/>
      <c r="J1225" s="91">
        <f>ROUND(I1225*H1225,2)</f>
        <v>0</v>
      </c>
      <c r="K1225" s="92"/>
      <c r="L1225" s="12"/>
      <c r="M1225" s="93" t="s">
        <v>1</v>
      </c>
      <c r="N1225" s="94" t="s">
        <v>42</v>
      </c>
      <c r="P1225" s="95">
        <f>O1225*H1225</f>
        <v>0</v>
      </c>
      <c r="Q1225" s="95">
        <v>0</v>
      </c>
      <c r="R1225" s="95">
        <f>Q1225*H1225</f>
        <v>0</v>
      </c>
      <c r="S1225" s="95">
        <v>0</v>
      </c>
      <c r="T1225" s="99">
        <f>S1225*H1225</f>
        <v>0</v>
      </c>
      <c r="AR1225" s="101" t="s">
        <v>218</v>
      </c>
      <c r="AT1225" s="101" t="s">
        <v>214</v>
      </c>
      <c r="AU1225" s="101" t="s">
        <v>87</v>
      </c>
      <c r="AY1225" s="23" t="s">
        <v>211</v>
      </c>
      <c r="BE1225" s="104">
        <f>IF(N1225="základní",J1225,0)</f>
        <v>0</v>
      </c>
      <c r="BF1225" s="104">
        <f>IF(N1225="snížená",J1225,0)</f>
        <v>0</v>
      </c>
      <c r="BG1225" s="104">
        <f>IF(N1225="zákl. přenesená",J1225,0)</f>
        <v>0</v>
      </c>
      <c r="BH1225" s="104">
        <f>IF(N1225="sníž. přenesená",J1225,0)</f>
        <v>0</v>
      </c>
      <c r="BI1225" s="104">
        <f>IF(N1225="nulová",J1225,0)</f>
        <v>0</v>
      </c>
      <c r="BJ1225" s="23" t="s">
        <v>85</v>
      </c>
      <c r="BK1225" s="104">
        <f>ROUND(I1225*H1225,2)</f>
        <v>0</v>
      </c>
      <c r="BL1225" s="23" t="s">
        <v>218</v>
      </c>
      <c r="BM1225" s="101" t="s">
        <v>1658</v>
      </c>
    </row>
    <row r="1226" spans="2:65" s="1" customFormat="1" ht="67.2">
      <c r="B1226" s="12"/>
      <c r="D1226" s="105" t="s">
        <v>227</v>
      </c>
      <c r="F1226" s="106" t="s">
        <v>1654</v>
      </c>
      <c r="I1226" s="107"/>
      <c r="L1226" s="12"/>
      <c r="M1226" s="108"/>
      <c r="T1226" s="111"/>
      <c r="AT1226" s="23" t="s">
        <v>227</v>
      </c>
      <c r="AU1226" s="23" t="s">
        <v>87</v>
      </c>
    </row>
    <row r="1227" spans="2:65" s="1" customFormat="1" ht="62.85" customHeight="1">
      <c r="B1227" s="12"/>
      <c r="C1227" s="71" t="s">
        <v>1659</v>
      </c>
      <c r="D1227" s="71" t="s">
        <v>214</v>
      </c>
      <c r="E1227" s="72" t="s">
        <v>1660</v>
      </c>
      <c r="F1227" s="73" t="s">
        <v>1661</v>
      </c>
      <c r="G1227" s="74" t="s">
        <v>808</v>
      </c>
      <c r="H1227" s="75">
        <v>1</v>
      </c>
      <c r="I1227" s="90"/>
      <c r="J1227" s="91">
        <f>ROUND(I1227*H1227,2)</f>
        <v>0</v>
      </c>
      <c r="K1227" s="92"/>
      <c r="L1227" s="12"/>
      <c r="M1227" s="93" t="s">
        <v>1</v>
      </c>
      <c r="N1227" s="94" t="s">
        <v>42</v>
      </c>
      <c r="P1227" s="95">
        <f>O1227*H1227</f>
        <v>0</v>
      </c>
      <c r="Q1227" s="95">
        <v>0</v>
      </c>
      <c r="R1227" s="95">
        <f>Q1227*H1227</f>
        <v>0</v>
      </c>
      <c r="S1227" s="95">
        <v>0</v>
      </c>
      <c r="T1227" s="99">
        <f>S1227*H1227</f>
        <v>0</v>
      </c>
      <c r="AR1227" s="101" t="s">
        <v>218</v>
      </c>
      <c r="AT1227" s="101" t="s">
        <v>214</v>
      </c>
      <c r="AU1227" s="101" t="s">
        <v>87</v>
      </c>
      <c r="AY1227" s="23" t="s">
        <v>211</v>
      </c>
      <c r="BE1227" s="104">
        <f>IF(N1227="základní",J1227,0)</f>
        <v>0</v>
      </c>
      <c r="BF1227" s="104">
        <f>IF(N1227="snížená",J1227,0)</f>
        <v>0</v>
      </c>
      <c r="BG1227" s="104">
        <f>IF(N1227="zákl. přenesená",J1227,0)</f>
        <v>0</v>
      </c>
      <c r="BH1227" s="104">
        <f>IF(N1227="sníž. přenesená",J1227,0)</f>
        <v>0</v>
      </c>
      <c r="BI1227" s="104">
        <f>IF(N1227="nulová",J1227,0)</f>
        <v>0</v>
      </c>
      <c r="BJ1227" s="23" t="s">
        <v>85</v>
      </c>
      <c r="BK1227" s="104">
        <f>ROUND(I1227*H1227,2)</f>
        <v>0</v>
      </c>
      <c r="BL1227" s="23" t="s">
        <v>218</v>
      </c>
      <c r="BM1227" s="101" t="s">
        <v>1662</v>
      </c>
    </row>
    <row r="1228" spans="2:65" s="1" customFormat="1" ht="76.8">
      <c r="B1228" s="12"/>
      <c r="D1228" s="105" t="s">
        <v>227</v>
      </c>
      <c r="F1228" s="106" t="s">
        <v>1663</v>
      </c>
      <c r="I1228" s="107"/>
      <c r="L1228" s="12"/>
      <c r="M1228" s="108"/>
      <c r="T1228" s="111"/>
      <c r="AT1228" s="23" t="s">
        <v>227</v>
      </c>
      <c r="AU1228" s="23" t="s">
        <v>87</v>
      </c>
    </row>
    <row r="1229" spans="2:65" s="1" customFormat="1" ht="55.5" customHeight="1">
      <c r="B1229" s="12"/>
      <c r="C1229" s="71" t="s">
        <v>1664</v>
      </c>
      <c r="D1229" s="71" t="s">
        <v>214</v>
      </c>
      <c r="E1229" s="72" t="s">
        <v>1665</v>
      </c>
      <c r="F1229" s="73" t="s">
        <v>1666</v>
      </c>
      <c r="G1229" s="74" t="s">
        <v>808</v>
      </c>
      <c r="H1229" s="75">
        <v>1</v>
      </c>
      <c r="I1229" s="90"/>
      <c r="J1229" s="91">
        <f>ROUND(I1229*H1229,2)</f>
        <v>0</v>
      </c>
      <c r="K1229" s="92"/>
      <c r="L1229" s="12"/>
      <c r="M1229" s="93" t="s">
        <v>1</v>
      </c>
      <c r="N1229" s="94" t="s">
        <v>42</v>
      </c>
      <c r="P1229" s="95">
        <f>O1229*H1229</f>
        <v>0</v>
      </c>
      <c r="Q1229" s="95">
        <v>0</v>
      </c>
      <c r="R1229" s="95">
        <f>Q1229*H1229</f>
        <v>0</v>
      </c>
      <c r="S1229" s="95">
        <v>0</v>
      </c>
      <c r="T1229" s="99">
        <f>S1229*H1229</f>
        <v>0</v>
      </c>
      <c r="AR1229" s="101" t="s">
        <v>218</v>
      </c>
      <c r="AT1229" s="101" t="s">
        <v>214</v>
      </c>
      <c r="AU1229" s="101" t="s">
        <v>87</v>
      </c>
      <c r="AY1229" s="23" t="s">
        <v>211</v>
      </c>
      <c r="BE1229" s="104">
        <f>IF(N1229="základní",J1229,0)</f>
        <v>0</v>
      </c>
      <c r="BF1229" s="104">
        <f>IF(N1229="snížená",J1229,0)</f>
        <v>0</v>
      </c>
      <c r="BG1229" s="104">
        <f>IF(N1229="zákl. přenesená",J1229,0)</f>
        <v>0</v>
      </c>
      <c r="BH1229" s="104">
        <f>IF(N1229="sníž. přenesená",J1229,0)</f>
        <v>0</v>
      </c>
      <c r="BI1229" s="104">
        <f>IF(N1229="nulová",J1229,0)</f>
        <v>0</v>
      </c>
      <c r="BJ1229" s="23" t="s">
        <v>85</v>
      </c>
      <c r="BK1229" s="104">
        <f>ROUND(I1229*H1229,2)</f>
        <v>0</v>
      </c>
      <c r="BL1229" s="23" t="s">
        <v>218</v>
      </c>
      <c r="BM1229" s="101" t="s">
        <v>1667</v>
      </c>
    </row>
    <row r="1230" spans="2:65" s="1" customFormat="1" ht="67.2">
      <c r="B1230" s="12"/>
      <c r="D1230" s="105" t="s">
        <v>227</v>
      </c>
      <c r="F1230" s="106" t="s">
        <v>1668</v>
      </c>
      <c r="I1230" s="107"/>
      <c r="L1230" s="12"/>
      <c r="M1230" s="108"/>
      <c r="T1230" s="111"/>
      <c r="AT1230" s="23" t="s">
        <v>227</v>
      </c>
      <c r="AU1230" s="23" t="s">
        <v>87</v>
      </c>
    </row>
    <row r="1231" spans="2:65" s="1" customFormat="1" ht="62.85" customHeight="1">
      <c r="B1231" s="12"/>
      <c r="C1231" s="71" t="s">
        <v>1669</v>
      </c>
      <c r="D1231" s="71" t="s">
        <v>214</v>
      </c>
      <c r="E1231" s="72" t="s">
        <v>1670</v>
      </c>
      <c r="F1231" s="73" t="s">
        <v>1671</v>
      </c>
      <c r="G1231" s="74" t="s">
        <v>808</v>
      </c>
      <c r="H1231" s="75">
        <v>1</v>
      </c>
      <c r="I1231" s="90"/>
      <c r="J1231" s="91">
        <f>ROUND(I1231*H1231,2)</f>
        <v>0</v>
      </c>
      <c r="K1231" s="92"/>
      <c r="L1231" s="12"/>
      <c r="M1231" s="93" t="s">
        <v>1</v>
      </c>
      <c r="N1231" s="94" t="s">
        <v>42</v>
      </c>
      <c r="P1231" s="95">
        <f>O1231*H1231</f>
        <v>0</v>
      </c>
      <c r="Q1231" s="95">
        <v>0</v>
      </c>
      <c r="R1231" s="95">
        <f>Q1231*H1231</f>
        <v>0</v>
      </c>
      <c r="S1231" s="95">
        <v>0</v>
      </c>
      <c r="T1231" s="99">
        <f>S1231*H1231</f>
        <v>0</v>
      </c>
      <c r="AR1231" s="101" t="s">
        <v>218</v>
      </c>
      <c r="AT1231" s="101" t="s">
        <v>214</v>
      </c>
      <c r="AU1231" s="101" t="s">
        <v>87</v>
      </c>
      <c r="AY1231" s="23" t="s">
        <v>211</v>
      </c>
      <c r="BE1231" s="104">
        <f>IF(N1231="základní",J1231,0)</f>
        <v>0</v>
      </c>
      <c r="BF1231" s="104">
        <f>IF(N1231="snížená",J1231,0)</f>
        <v>0</v>
      </c>
      <c r="BG1231" s="104">
        <f>IF(N1231="zákl. přenesená",J1231,0)</f>
        <v>0</v>
      </c>
      <c r="BH1231" s="104">
        <f>IF(N1231="sníž. přenesená",J1231,0)</f>
        <v>0</v>
      </c>
      <c r="BI1231" s="104">
        <f>IF(N1231="nulová",J1231,0)</f>
        <v>0</v>
      </c>
      <c r="BJ1231" s="23" t="s">
        <v>85</v>
      </c>
      <c r="BK1231" s="104">
        <f>ROUND(I1231*H1231,2)</f>
        <v>0</v>
      </c>
      <c r="BL1231" s="23" t="s">
        <v>218</v>
      </c>
      <c r="BM1231" s="101" t="s">
        <v>1672</v>
      </c>
    </row>
    <row r="1232" spans="2:65" s="1" customFormat="1" ht="76.8">
      <c r="B1232" s="12"/>
      <c r="D1232" s="105" t="s">
        <v>227</v>
      </c>
      <c r="F1232" s="106" t="s">
        <v>1673</v>
      </c>
      <c r="I1232" s="107"/>
      <c r="L1232" s="12"/>
      <c r="M1232" s="108"/>
      <c r="T1232" s="111"/>
      <c r="AT1232" s="23" t="s">
        <v>227</v>
      </c>
      <c r="AU1232" s="23" t="s">
        <v>87</v>
      </c>
    </row>
    <row r="1233" spans="2:65" s="1" customFormat="1" ht="62.85" customHeight="1">
      <c r="B1233" s="12"/>
      <c r="C1233" s="71" t="s">
        <v>1674</v>
      </c>
      <c r="D1233" s="71" t="s">
        <v>214</v>
      </c>
      <c r="E1233" s="72" t="s">
        <v>1675</v>
      </c>
      <c r="F1233" s="73" t="s">
        <v>1676</v>
      </c>
      <c r="G1233" s="74" t="s">
        <v>808</v>
      </c>
      <c r="H1233" s="75">
        <v>1</v>
      </c>
      <c r="I1233" s="90"/>
      <c r="J1233" s="91">
        <f>ROUND(I1233*H1233,2)</f>
        <v>0</v>
      </c>
      <c r="K1233" s="92"/>
      <c r="L1233" s="12"/>
      <c r="M1233" s="93" t="s">
        <v>1</v>
      </c>
      <c r="N1233" s="94" t="s">
        <v>42</v>
      </c>
      <c r="P1233" s="95">
        <f>O1233*H1233</f>
        <v>0</v>
      </c>
      <c r="Q1233" s="95">
        <v>0</v>
      </c>
      <c r="R1233" s="95">
        <f>Q1233*H1233</f>
        <v>0</v>
      </c>
      <c r="S1233" s="95">
        <v>0</v>
      </c>
      <c r="T1233" s="99">
        <f>S1233*H1233</f>
        <v>0</v>
      </c>
      <c r="AR1233" s="101" t="s">
        <v>218</v>
      </c>
      <c r="AT1233" s="101" t="s">
        <v>214</v>
      </c>
      <c r="AU1233" s="101" t="s">
        <v>87</v>
      </c>
      <c r="AY1233" s="23" t="s">
        <v>211</v>
      </c>
      <c r="BE1233" s="104">
        <f>IF(N1233="základní",J1233,0)</f>
        <v>0</v>
      </c>
      <c r="BF1233" s="104">
        <f>IF(N1233="snížená",J1233,0)</f>
        <v>0</v>
      </c>
      <c r="BG1233" s="104">
        <f>IF(N1233="zákl. přenesená",J1233,0)</f>
        <v>0</v>
      </c>
      <c r="BH1233" s="104">
        <f>IF(N1233="sníž. přenesená",J1233,0)</f>
        <v>0</v>
      </c>
      <c r="BI1233" s="104">
        <f>IF(N1233="nulová",J1233,0)</f>
        <v>0</v>
      </c>
      <c r="BJ1233" s="23" t="s">
        <v>85</v>
      </c>
      <c r="BK1233" s="104">
        <f>ROUND(I1233*H1233,2)</f>
        <v>0</v>
      </c>
      <c r="BL1233" s="23" t="s">
        <v>218</v>
      </c>
      <c r="BM1233" s="101" t="s">
        <v>1677</v>
      </c>
    </row>
    <row r="1234" spans="2:65" s="1" customFormat="1" ht="76.8">
      <c r="B1234" s="12"/>
      <c r="D1234" s="105" t="s">
        <v>227</v>
      </c>
      <c r="F1234" s="106" t="s">
        <v>1673</v>
      </c>
      <c r="I1234" s="107"/>
      <c r="L1234" s="12"/>
      <c r="M1234" s="108"/>
      <c r="T1234" s="111"/>
      <c r="AT1234" s="23" t="s">
        <v>227</v>
      </c>
      <c r="AU1234" s="23" t="s">
        <v>87</v>
      </c>
    </row>
    <row r="1235" spans="2:65" s="1" customFormat="1" ht="62.85" customHeight="1">
      <c r="B1235" s="12"/>
      <c r="C1235" s="71" t="s">
        <v>1678</v>
      </c>
      <c r="D1235" s="71" t="s">
        <v>214</v>
      </c>
      <c r="E1235" s="72" t="s">
        <v>1679</v>
      </c>
      <c r="F1235" s="73" t="s">
        <v>1680</v>
      </c>
      <c r="G1235" s="74" t="s">
        <v>808</v>
      </c>
      <c r="H1235" s="75">
        <v>1</v>
      </c>
      <c r="I1235" s="90"/>
      <c r="J1235" s="91">
        <f>ROUND(I1235*H1235,2)</f>
        <v>0</v>
      </c>
      <c r="K1235" s="92"/>
      <c r="L1235" s="12"/>
      <c r="M1235" s="93" t="s">
        <v>1</v>
      </c>
      <c r="N1235" s="94" t="s">
        <v>42</v>
      </c>
      <c r="P1235" s="95">
        <f>O1235*H1235</f>
        <v>0</v>
      </c>
      <c r="Q1235" s="95">
        <v>0</v>
      </c>
      <c r="R1235" s="95">
        <f>Q1235*H1235</f>
        <v>0</v>
      </c>
      <c r="S1235" s="95">
        <v>0</v>
      </c>
      <c r="T1235" s="99">
        <f>S1235*H1235</f>
        <v>0</v>
      </c>
      <c r="AR1235" s="101" t="s">
        <v>218</v>
      </c>
      <c r="AT1235" s="101" t="s">
        <v>214</v>
      </c>
      <c r="AU1235" s="101" t="s">
        <v>87</v>
      </c>
      <c r="AY1235" s="23" t="s">
        <v>211</v>
      </c>
      <c r="BE1235" s="104">
        <f>IF(N1235="základní",J1235,0)</f>
        <v>0</v>
      </c>
      <c r="BF1235" s="104">
        <f>IF(N1235="snížená",J1235,0)</f>
        <v>0</v>
      </c>
      <c r="BG1235" s="104">
        <f>IF(N1235="zákl. přenesená",J1235,0)</f>
        <v>0</v>
      </c>
      <c r="BH1235" s="104">
        <f>IF(N1235="sníž. přenesená",J1235,0)</f>
        <v>0</v>
      </c>
      <c r="BI1235" s="104">
        <f>IF(N1235="nulová",J1235,0)</f>
        <v>0</v>
      </c>
      <c r="BJ1235" s="23" t="s">
        <v>85</v>
      </c>
      <c r="BK1235" s="104">
        <f>ROUND(I1235*H1235,2)</f>
        <v>0</v>
      </c>
      <c r="BL1235" s="23" t="s">
        <v>218</v>
      </c>
      <c r="BM1235" s="101" t="s">
        <v>1681</v>
      </c>
    </row>
    <row r="1236" spans="2:65" s="1" customFormat="1" ht="76.8">
      <c r="B1236" s="12"/>
      <c r="D1236" s="105" t="s">
        <v>227</v>
      </c>
      <c r="F1236" s="106" t="s">
        <v>1673</v>
      </c>
      <c r="I1236" s="107"/>
      <c r="L1236" s="12"/>
      <c r="M1236" s="108"/>
      <c r="T1236" s="111"/>
      <c r="AT1236" s="23" t="s">
        <v>227</v>
      </c>
      <c r="AU1236" s="23" t="s">
        <v>87</v>
      </c>
    </row>
    <row r="1237" spans="2:65" s="1" customFormat="1" ht="62.85" customHeight="1">
      <c r="B1237" s="12"/>
      <c r="C1237" s="71" t="s">
        <v>1682</v>
      </c>
      <c r="D1237" s="71" t="s">
        <v>214</v>
      </c>
      <c r="E1237" s="72" t="s">
        <v>1683</v>
      </c>
      <c r="F1237" s="73" t="s">
        <v>1684</v>
      </c>
      <c r="G1237" s="74" t="s">
        <v>808</v>
      </c>
      <c r="H1237" s="75">
        <v>1</v>
      </c>
      <c r="I1237" s="90"/>
      <c r="J1237" s="91">
        <f>ROUND(I1237*H1237,2)</f>
        <v>0</v>
      </c>
      <c r="K1237" s="92"/>
      <c r="L1237" s="12"/>
      <c r="M1237" s="93" t="s">
        <v>1</v>
      </c>
      <c r="N1237" s="94" t="s">
        <v>42</v>
      </c>
      <c r="P1237" s="95">
        <f>O1237*H1237</f>
        <v>0</v>
      </c>
      <c r="Q1237" s="95">
        <v>0</v>
      </c>
      <c r="R1237" s="95">
        <f>Q1237*H1237</f>
        <v>0</v>
      </c>
      <c r="S1237" s="95">
        <v>0</v>
      </c>
      <c r="T1237" s="99">
        <f>S1237*H1237</f>
        <v>0</v>
      </c>
      <c r="AR1237" s="101" t="s">
        <v>218</v>
      </c>
      <c r="AT1237" s="101" t="s">
        <v>214</v>
      </c>
      <c r="AU1237" s="101" t="s">
        <v>87</v>
      </c>
      <c r="AY1237" s="23" t="s">
        <v>211</v>
      </c>
      <c r="BE1237" s="104">
        <f>IF(N1237="základní",J1237,0)</f>
        <v>0</v>
      </c>
      <c r="BF1237" s="104">
        <f>IF(N1237="snížená",J1237,0)</f>
        <v>0</v>
      </c>
      <c r="BG1237" s="104">
        <f>IF(N1237="zákl. přenesená",J1237,0)</f>
        <v>0</v>
      </c>
      <c r="BH1237" s="104">
        <f>IF(N1237="sníž. přenesená",J1237,0)</f>
        <v>0</v>
      </c>
      <c r="BI1237" s="104">
        <f>IF(N1237="nulová",J1237,0)</f>
        <v>0</v>
      </c>
      <c r="BJ1237" s="23" t="s">
        <v>85</v>
      </c>
      <c r="BK1237" s="104">
        <f>ROUND(I1237*H1237,2)</f>
        <v>0</v>
      </c>
      <c r="BL1237" s="23" t="s">
        <v>218</v>
      </c>
      <c r="BM1237" s="101" t="s">
        <v>1685</v>
      </c>
    </row>
    <row r="1238" spans="2:65" s="1" customFormat="1" ht="76.8">
      <c r="B1238" s="12"/>
      <c r="D1238" s="105" t="s">
        <v>227</v>
      </c>
      <c r="F1238" s="106" t="s">
        <v>1673</v>
      </c>
      <c r="I1238" s="107"/>
      <c r="L1238" s="12"/>
      <c r="M1238" s="108"/>
      <c r="T1238" s="111"/>
      <c r="AT1238" s="23" t="s">
        <v>227</v>
      </c>
      <c r="AU1238" s="23" t="s">
        <v>87</v>
      </c>
    </row>
    <row r="1239" spans="2:65" s="1" customFormat="1" ht="62.85" customHeight="1">
      <c r="B1239" s="12"/>
      <c r="C1239" s="71" t="s">
        <v>1686</v>
      </c>
      <c r="D1239" s="71" t="s">
        <v>214</v>
      </c>
      <c r="E1239" s="72" t="s">
        <v>1687</v>
      </c>
      <c r="F1239" s="73" t="s">
        <v>1688</v>
      </c>
      <c r="G1239" s="74" t="s">
        <v>808</v>
      </c>
      <c r="H1239" s="75">
        <v>1</v>
      </c>
      <c r="I1239" s="90"/>
      <c r="J1239" s="91">
        <f>ROUND(I1239*H1239,2)</f>
        <v>0</v>
      </c>
      <c r="K1239" s="92"/>
      <c r="L1239" s="12"/>
      <c r="M1239" s="93" t="s">
        <v>1</v>
      </c>
      <c r="N1239" s="94" t="s">
        <v>42</v>
      </c>
      <c r="P1239" s="95">
        <f>O1239*H1239</f>
        <v>0</v>
      </c>
      <c r="Q1239" s="95">
        <v>0</v>
      </c>
      <c r="R1239" s="95">
        <f>Q1239*H1239</f>
        <v>0</v>
      </c>
      <c r="S1239" s="95">
        <v>0</v>
      </c>
      <c r="T1239" s="99">
        <f>S1239*H1239</f>
        <v>0</v>
      </c>
      <c r="AR1239" s="101" t="s">
        <v>218</v>
      </c>
      <c r="AT1239" s="101" t="s">
        <v>214</v>
      </c>
      <c r="AU1239" s="101" t="s">
        <v>87</v>
      </c>
      <c r="AY1239" s="23" t="s">
        <v>211</v>
      </c>
      <c r="BE1239" s="104">
        <f>IF(N1239="základní",J1239,0)</f>
        <v>0</v>
      </c>
      <c r="BF1239" s="104">
        <f>IF(N1239="snížená",J1239,0)</f>
        <v>0</v>
      </c>
      <c r="BG1239" s="104">
        <f>IF(N1239="zákl. přenesená",J1239,0)</f>
        <v>0</v>
      </c>
      <c r="BH1239" s="104">
        <f>IF(N1239="sníž. přenesená",J1239,0)</f>
        <v>0</v>
      </c>
      <c r="BI1239" s="104">
        <f>IF(N1239="nulová",J1239,0)</f>
        <v>0</v>
      </c>
      <c r="BJ1239" s="23" t="s">
        <v>85</v>
      </c>
      <c r="BK1239" s="104">
        <f>ROUND(I1239*H1239,2)</f>
        <v>0</v>
      </c>
      <c r="BL1239" s="23" t="s">
        <v>218</v>
      </c>
      <c r="BM1239" s="101" t="s">
        <v>1689</v>
      </c>
    </row>
    <row r="1240" spans="2:65" s="1" customFormat="1" ht="76.8">
      <c r="B1240" s="12"/>
      <c r="D1240" s="105" t="s">
        <v>227</v>
      </c>
      <c r="F1240" s="106" t="s">
        <v>1673</v>
      </c>
      <c r="I1240" s="107"/>
      <c r="L1240" s="12"/>
      <c r="M1240" s="108"/>
      <c r="T1240" s="111"/>
      <c r="AT1240" s="23" t="s">
        <v>227</v>
      </c>
      <c r="AU1240" s="23" t="s">
        <v>87</v>
      </c>
    </row>
    <row r="1241" spans="2:65" s="1" customFormat="1" ht="62.85" customHeight="1">
      <c r="B1241" s="12"/>
      <c r="C1241" s="71" t="s">
        <v>1690</v>
      </c>
      <c r="D1241" s="71" t="s">
        <v>214</v>
      </c>
      <c r="E1241" s="72" t="s">
        <v>1691</v>
      </c>
      <c r="F1241" s="73" t="s">
        <v>1692</v>
      </c>
      <c r="G1241" s="74" t="s">
        <v>808</v>
      </c>
      <c r="H1241" s="75">
        <v>1</v>
      </c>
      <c r="I1241" s="90"/>
      <c r="J1241" s="91">
        <f>ROUND(I1241*H1241,2)</f>
        <v>0</v>
      </c>
      <c r="K1241" s="92"/>
      <c r="L1241" s="12"/>
      <c r="M1241" s="93" t="s">
        <v>1</v>
      </c>
      <c r="N1241" s="94" t="s">
        <v>42</v>
      </c>
      <c r="P1241" s="95">
        <f>O1241*H1241</f>
        <v>0</v>
      </c>
      <c r="Q1241" s="95">
        <v>0</v>
      </c>
      <c r="R1241" s="95">
        <f>Q1241*H1241</f>
        <v>0</v>
      </c>
      <c r="S1241" s="95">
        <v>0</v>
      </c>
      <c r="T1241" s="99">
        <f>S1241*H1241</f>
        <v>0</v>
      </c>
      <c r="AR1241" s="101" t="s">
        <v>218</v>
      </c>
      <c r="AT1241" s="101" t="s">
        <v>214</v>
      </c>
      <c r="AU1241" s="101" t="s">
        <v>87</v>
      </c>
      <c r="AY1241" s="23" t="s">
        <v>211</v>
      </c>
      <c r="BE1241" s="104">
        <f>IF(N1241="základní",J1241,0)</f>
        <v>0</v>
      </c>
      <c r="BF1241" s="104">
        <f>IF(N1241="snížená",J1241,0)</f>
        <v>0</v>
      </c>
      <c r="BG1241" s="104">
        <f>IF(N1241="zákl. přenesená",J1241,0)</f>
        <v>0</v>
      </c>
      <c r="BH1241" s="104">
        <f>IF(N1241="sníž. přenesená",J1241,0)</f>
        <v>0</v>
      </c>
      <c r="BI1241" s="104">
        <f>IF(N1241="nulová",J1241,0)</f>
        <v>0</v>
      </c>
      <c r="BJ1241" s="23" t="s">
        <v>85</v>
      </c>
      <c r="BK1241" s="104">
        <f>ROUND(I1241*H1241,2)</f>
        <v>0</v>
      </c>
      <c r="BL1241" s="23" t="s">
        <v>218</v>
      </c>
      <c r="BM1241" s="101" t="s">
        <v>1693</v>
      </c>
    </row>
    <row r="1242" spans="2:65" s="1" customFormat="1" ht="76.8">
      <c r="B1242" s="12"/>
      <c r="D1242" s="105" t="s">
        <v>227</v>
      </c>
      <c r="F1242" s="106" t="s">
        <v>1673</v>
      </c>
      <c r="I1242" s="107"/>
      <c r="L1242" s="12"/>
      <c r="M1242" s="108"/>
      <c r="T1242" s="111"/>
      <c r="AT1242" s="23" t="s">
        <v>227</v>
      </c>
      <c r="AU1242" s="23" t="s">
        <v>87</v>
      </c>
    </row>
    <row r="1243" spans="2:65" s="1" customFormat="1" ht="55.5" customHeight="1">
      <c r="B1243" s="12"/>
      <c r="C1243" s="71" t="s">
        <v>1694</v>
      </c>
      <c r="D1243" s="71" t="s">
        <v>214</v>
      </c>
      <c r="E1243" s="72" t="s">
        <v>1695</v>
      </c>
      <c r="F1243" s="73" t="s">
        <v>1696</v>
      </c>
      <c r="G1243" s="74" t="s">
        <v>808</v>
      </c>
      <c r="H1243" s="75">
        <v>1</v>
      </c>
      <c r="I1243" s="90"/>
      <c r="J1243" s="91">
        <f>ROUND(I1243*H1243,2)</f>
        <v>0</v>
      </c>
      <c r="K1243" s="92"/>
      <c r="L1243" s="12"/>
      <c r="M1243" s="93" t="s">
        <v>1</v>
      </c>
      <c r="N1243" s="94" t="s">
        <v>42</v>
      </c>
      <c r="P1243" s="95">
        <f>O1243*H1243</f>
        <v>0</v>
      </c>
      <c r="Q1243" s="95">
        <v>0</v>
      </c>
      <c r="R1243" s="95">
        <f>Q1243*H1243</f>
        <v>0</v>
      </c>
      <c r="S1243" s="95">
        <v>0</v>
      </c>
      <c r="T1243" s="99">
        <f>S1243*H1243</f>
        <v>0</v>
      </c>
      <c r="AR1243" s="101" t="s">
        <v>218</v>
      </c>
      <c r="AT1243" s="101" t="s">
        <v>214</v>
      </c>
      <c r="AU1243" s="101" t="s">
        <v>87</v>
      </c>
      <c r="AY1243" s="23" t="s">
        <v>211</v>
      </c>
      <c r="BE1243" s="104">
        <f>IF(N1243="základní",J1243,0)</f>
        <v>0</v>
      </c>
      <c r="BF1243" s="104">
        <f>IF(N1243="snížená",J1243,0)</f>
        <v>0</v>
      </c>
      <c r="BG1243" s="104">
        <f>IF(N1243="zákl. přenesená",J1243,0)</f>
        <v>0</v>
      </c>
      <c r="BH1243" s="104">
        <f>IF(N1243="sníž. přenesená",J1243,0)</f>
        <v>0</v>
      </c>
      <c r="BI1243" s="104">
        <f>IF(N1243="nulová",J1243,0)</f>
        <v>0</v>
      </c>
      <c r="BJ1243" s="23" t="s">
        <v>85</v>
      </c>
      <c r="BK1243" s="104">
        <f>ROUND(I1243*H1243,2)</f>
        <v>0</v>
      </c>
      <c r="BL1243" s="23" t="s">
        <v>218</v>
      </c>
      <c r="BM1243" s="101" t="s">
        <v>1697</v>
      </c>
    </row>
    <row r="1244" spans="2:65" s="1" customFormat="1" ht="67.2">
      <c r="B1244" s="12"/>
      <c r="D1244" s="105" t="s">
        <v>227</v>
      </c>
      <c r="F1244" s="106" t="s">
        <v>1668</v>
      </c>
      <c r="I1244" s="107"/>
      <c r="L1244" s="12"/>
      <c r="M1244" s="108"/>
      <c r="T1244" s="111"/>
      <c r="AT1244" s="23" t="s">
        <v>227</v>
      </c>
      <c r="AU1244" s="23" t="s">
        <v>87</v>
      </c>
    </row>
    <row r="1245" spans="2:65" s="1" customFormat="1" ht="62.85" customHeight="1">
      <c r="B1245" s="12"/>
      <c r="C1245" s="71" t="s">
        <v>1698</v>
      </c>
      <c r="D1245" s="71" t="s">
        <v>214</v>
      </c>
      <c r="E1245" s="72" t="s">
        <v>1699</v>
      </c>
      <c r="F1245" s="73" t="s">
        <v>1700</v>
      </c>
      <c r="G1245" s="74" t="s">
        <v>808</v>
      </c>
      <c r="H1245" s="75">
        <v>1</v>
      </c>
      <c r="I1245" s="90"/>
      <c r="J1245" s="91">
        <f>ROUND(I1245*H1245,2)</f>
        <v>0</v>
      </c>
      <c r="K1245" s="92"/>
      <c r="L1245" s="12"/>
      <c r="M1245" s="93" t="s">
        <v>1</v>
      </c>
      <c r="N1245" s="94" t="s">
        <v>42</v>
      </c>
      <c r="P1245" s="95">
        <f>O1245*H1245</f>
        <v>0</v>
      </c>
      <c r="Q1245" s="95">
        <v>0</v>
      </c>
      <c r="R1245" s="95">
        <f>Q1245*H1245</f>
        <v>0</v>
      </c>
      <c r="S1245" s="95">
        <v>0</v>
      </c>
      <c r="T1245" s="99">
        <f>S1245*H1245</f>
        <v>0</v>
      </c>
      <c r="AR1245" s="101" t="s">
        <v>218</v>
      </c>
      <c r="AT1245" s="101" t="s">
        <v>214</v>
      </c>
      <c r="AU1245" s="101" t="s">
        <v>87</v>
      </c>
      <c r="AY1245" s="23" t="s">
        <v>211</v>
      </c>
      <c r="BE1245" s="104">
        <f>IF(N1245="základní",J1245,0)</f>
        <v>0</v>
      </c>
      <c r="BF1245" s="104">
        <f>IF(N1245="snížená",J1245,0)</f>
        <v>0</v>
      </c>
      <c r="BG1245" s="104">
        <f>IF(N1245="zákl. přenesená",J1245,0)</f>
        <v>0</v>
      </c>
      <c r="BH1245" s="104">
        <f>IF(N1245="sníž. přenesená",J1245,0)</f>
        <v>0</v>
      </c>
      <c r="BI1245" s="104">
        <f>IF(N1245="nulová",J1245,0)</f>
        <v>0</v>
      </c>
      <c r="BJ1245" s="23" t="s">
        <v>85</v>
      </c>
      <c r="BK1245" s="104">
        <f>ROUND(I1245*H1245,2)</f>
        <v>0</v>
      </c>
      <c r="BL1245" s="23" t="s">
        <v>218</v>
      </c>
      <c r="BM1245" s="101" t="s">
        <v>1701</v>
      </c>
    </row>
    <row r="1246" spans="2:65" s="1" customFormat="1" ht="76.8">
      <c r="B1246" s="12"/>
      <c r="D1246" s="105" t="s">
        <v>227</v>
      </c>
      <c r="F1246" s="106" t="s">
        <v>1673</v>
      </c>
      <c r="I1246" s="107"/>
      <c r="L1246" s="12"/>
      <c r="M1246" s="108"/>
      <c r="T1246" s="111"/>
      <c r="AT1246" s="23" t="s">
        <v>227</v>
      </c>
      <c r="AU1246" s="23" t="s">
        <v>87</v>
      </c>
    </row>
    <row r="1247" spans="2:65" s="1" customFormat="1" ht="62.85" customHeight="1">
      <c r="B1247" s="12"/>
      <c r="C1247" s="71" t="s">
        <v>1702</v>
      </c>
      <c r="D1247" s="71" t="s">
        <v>214</v>
      </c>
      <c r="E1247" s="72" t="s">
        <v>1703</v>
      </c>
      <c r="F1247" s="73" t="s">
        <v>1704</v>
      </c>
      <c r="G1247" s="74" t="s">
        <v>808</v>
      </c>
      <c r="H1247" s="75">
        <v>1</v>
      </c>
      <c r="I1247" s="90"/>
      <c r="J1247" s="91">
        <f>ROUND(I1247*H1247,2)</f>
        <v>0</v>
      </c>
      <c r="K1247" s="92"/>
      <c r="L1247" s="12"/>
      <c r="M1247" s="93" t="s">
        <v>1</v>
      </c>
      <c r="N1247" s="94" t="s">
        <v>42</v>
      </c>
      <c r="P1247" s="95">
        <f>O1247*H1247</f>
        <v>0</v>
      </c>
      <c r="Q1247" s="95">
        <v>0</v>
      </c>
      <c r="R1247" s="95">
        <f>Q1247*H1247</f>
        <v>0</v>
      </c>
      <c r="S1247" s="95">
        <v>0</v>
      </c>
      <c r="T1247" s="99">
        <f>S1247*H1247</f>
        <v>0</v>
      </c>
      <c r="AR1247" s="101" t="s">
        <v>218</v>
      </c>
      <c r="AT1247" s="101" t="s">
        <v>214</v>
      </c>
      <c r="AU1247" s="101" t="s">
        <v>87</v>
      </c>
      <c r="AY1247" s="23" t="s">
        <v>211</v>
      </c>
      <c r="BE1247" s="104">
        <f>IF(N1247="základní",J1247,0)</f>
        <v>0</v>
      </c>
      <c r="BF1247" s="104">
        <f>IF(N1247="snížená",J1247,0)</f>
        <v>0</v>
      </c>
      <c r="BG1247" s="104">
        <f>IF(N1247="zákl. přenesená",J1247,0)</f>
        <v>0</v>
      </c>
      <c r="BH1247" s="104">
        <f>IF(N1247="sníž. přenesená",J1247,0)</f>
        <v>0</v>
      </c>
      <c r="BI1247" s="104">
        <f>IF(N1247="nulová",J1247,0)</f>
        <v>0</v>
      </c>
      <c r="BJ1247" s="23" t="s">
        <v>85</v>
      </c>
      <c r="BK1247" s="104">
        <f>ROUND(I1247*H1247,2)</f>
        <v>0</v>
      </c>
      <c r="BL1247" s="23" t="s">
        <v>218</v>
      </c>
      <c r="BM1247" s="101" t="s">
        <v>1705</v>
      </c>
    </row>
    <row r="1248" spans="2:65" s="1" customFormat="1" ht="76.8">
      <c r="B1248" s="12"/>
      <c r="D1248" s="105" t="s">
        <v>227</v>
      </c>
      <c r="F1248" s="106" t="s">
        <v>1673</v>
      </c>
      <c r="I1248" s="107"/>
      <c r="L1248" s="12"/>
      <c r="M1248" s="108"/>
      <c r="T1248" s="111"/>
      <c r="AT1248" s="23" t="s">
        <v>227</v>
      </c>
      <c r="AU1248" s="23" t="s">
        <v>87</v>
      </c>
    </row>
    <row r="1249" spans="2:65" s="1" customFormat="1" ht="62.85" customHeight="1">
      <c r="B1249" s="12"/>
      <c r="C1249" s="71" t="s">
        <v>1706</v>
      </c>
      <c r="D1249" s="71" t="s">
        <v>214</v>
      </c>
      <c r="E1249" s="72" t="s">
        <v>1707</v>
      </c>
      <c r="F1249" s="73" t="s">
        <v>1708</v>
      </c>
      <c r="G1249" s="74" t="s">
        <v>808</v>
      </c>
      <c r="H1249" s="75">
        <v>1</v>
      </c>
      <c r="I1249" s="90"/>
      <c r="J1249" s="91">
        <f>ROUND(I1249*H1249,2)</f>
        <v>0</v>
      </c>
      <c r="K1249" s="92"/>
      <c r="L1249" s="12"/>
      <c r="M1249" s="93" t="s">
        <v>1</v>
      </c>
      <c r="N1249" s="94" t="s">
        <v>42</v>
      </c>
      <c r="P1249" s="95">
        <f>O1249*H1249</f>
        <v>0</v>
      </c>
      <c r="Q1249" s="95">
        <v>0</v>
      </c>
      <c r="R1249" s="95">
        <f>Q1249*H1249</f>
        <v>0</v>
      </c>
      <c r="S1249" s="95">
        <v>0</v>
      </c>
      <c r="T1249" s="99">
        <f>S1249*H1249</f>
        <v>0</v>
      </c>
      <c r="AR1249" s="101" t="s">
        <v>218</v>
      </c>
      <c r="AT1249" s="101" t="s">
        <v>214</v>
      </c>
      <c r="AU1249" s="101" t="s">
        <v>87</v>
      </c>
      <c r="AY1249" s="23" t="s">
        <v>211</v>
      </c>
      <c r="BE1249" s="104">
        <f>IF(N1249="základní",J1249,0)</f>
        <v>0</v>
      </c>
      <c r="BF1249" s="104">
        <f>IF(N1249="snížená",J1249,0)</f>
        <v>0</v>
      </c>
      <c r="BG1249" s="104">
        <f>IF(N1249="zákl. přenesená",J1249,0)</f>
        <v>0</v>
      </c>
      <c r="BH1249" s="104">
        <f>IF(N1249="sníž. přenesená",J1249,0)</f>
        <v>0</v>
      </c>
      <c r="BI1249" s="104">
        <f>IF(N1249="nulová",J1249,0)</f>
        <v>0</v>
      </c>
      <c r="BJ1249" s="23" t="s">
        <v>85</v>
      </c>
      <c r="BK1249" s="104">
        <f>ROUND(I1249*H1249,2)</f>
        <v>0</v>
      </c>
      <c r="BL1249" s="23" t="s">
        <v>218</v>
      </c>
      <c r="BM1249" s="101" t="s">
        <v>1709</v>
      </c>
    </row>
    <row r="1250" spans="2:65" s="1" customFormat="1" ht="76.8">
      <c r="B1250" s="12"/>
      <c r="D1250" s="105" t="s">
        <v>227</v>
      </c>
      <c r="F1250" s="106" t="s">
        <v>1673</v>
      </c>
      <c r="I1250" s="107"/>
      <c r="L1250" s="12"/>
      <c r="M1250" s="108"/>
      <c r="T1250" s="111"/>
      <c r="AT1250" s="23" t="s">
        <v>227</v>
      </c>
      <c r="AU1250" s="23" t="s">
        <v>87</v>
      </c>
    </row>
    <row r="1251" spans="2:65" s="1" customFormat="1" ht="62.85" customHeight="1">
      <c r="B1251" s="12"/>
      <c r="C1251" s="71" t="s">
        <v>1710</v>
      </c>
      <c r="D1251" s="71" t="s">
        <v>214</v>
      </c>
      <c r="E1251" s="72" t="s">
        <v>1711</v>
      </c>
      <c r="F1251" s="73" t="s">
        <v>1712</v>
      </c>
      <c r="G1251" s="74" t="s">
        <v>808</v>
      </c>
      <c r="H1251" s="75">
        <v>1</v>
      </c>
      <c r="I1251" s="90"/>
      <c r="J1251" s="91">
        <f>ROUND(I1251*H1251,2)</f>
        <v>0</v>
      </c>
      <c r="K1251" s="92"/>
      <c r="L1251" s="12"/>
      <c r="M1251" s="93" t="s">
        <v>1</v>
      </c>
      <c r="N1251" s="94" t="s">
        <v>42</v>
      </c>
      <c r="P1251" s="95">
        <f>O1251*H1251</f>
        <v>0</v>
      </c>
      <c r="Q1251" s="95">
        <v>0</v>
      </c>
      <c r="R1251" s="95">
        <f>Q1251*H1251</f>
        <v>0</v>
      </c>
      <c r="S1251" s="95">
        <v>0</v>
      </c>
      <c r="T1251" s="99">
        <f>S1251*H1251</f>
        <v>0</v>
      </c>
      <c r="AR1251" s="101" t="s">
        <v>218</v>
      </c>
      <c r="AT1251" s="101" t="s">
        <v>214</v>
      </c>
      <c r="AU1251" s="101" t="s">
        <v>87</v>
      </c>
      <c r="AY1251" s="23" t="s">
        <v>211</v>
      </c>
      <c r="BE1251" s="104">
        <f>IF(N1251="základní",J1251,0)</f>
        <v>0</v>
      </c>
      <c r="BF1251" s="104">
        <f>IF(N1251="snížená",J1251,0)</f>
        <v>0</v>
      </c>
      <c r="BG1251" s="104">
        <f>IF(N1251="zákl. přenesená",J1251,0)</f>
        <v>0</v>
      </c>
      <c r="BH1251" s="104">
        <f>IF(N1251="sníž. přenesená",J1251,0)</f>
        <v>0</v>
      </c>
      <c r="BI1251" s="104">
        <f>IF(N1251="nulová",J1251,0)</f>
        <v>0</v>
      </c>
      <c r="BJ1251" s="23" t="s">
        <v>85</v>
      </c>
      <c r="BK1251" s="104">
        <f>ROUND(I1251*H1251,2)</f>
        <v>0</v>
      </c>
      <c r="BL1251" s="23" t="s">
        <v>218</v>
      </c>
      <c r="BM1251" s="101" t="s">
        <v>1713</v>
      </c>
    </row>
    <row r="1252" spans="2:65" s="1" customFormat="1" ht="76.8">
      <c r="B1252" s="12"/>
      <c r="D1252" s="105" t="s">
        <v>227</v>
      </c>
      <c r="F1252" s="106" t="s">
        <v>1673</v>
      </c>
      <c r="I1252" s="107"/>
      <c r="L1252" s="12"/>
      <c r="M1252" s="108"/>
      <c r="T1252" s="111"/>
      <c r="AT1252" s="23" t="s">
        <v>227</v>
      </c>
      <c r="AU1252" s="23" t="s">
        <v>87</v>
      </c>
    </row>
    <row r="1253" spans="2:65" s="1" customFormat="1" ht="62.85" customHeight="1">
      <c r="B1253" s="12"/>
      <c r="C1253" s="71" t="s">
        <v>1714</v>
      </c>
      <c r="D1253" s="71" t="s">
        <v>214</v>
      </c>
      <c r="E1253" s="72" t="s">
        <v>1715</v>
      </c>
      <c r="F1253" s="73" t="s">
        <v>1716</v>
      </c>
      <c r="G1253" s="74" t="s">
        <v>808</v>
      </c>
      <c r="H1253" s="75">
        <v>1</v>
      </c>
      <c r="I1253" s="90"/>
      <c r="J1253" s="91">
        <f>ROUND(I1253*H1253,2)</f>
        <v>0</v>
      </c>
      <c r="K1253" s="92"/>
      <c r="L1253" s="12"/>
      <c r="M1253" s="93" t="s">
        <v>1</v>
      </c>
      <c r="N1253" s="94" t="s">
        <v>42</v>
      </c>
      <c r="P1253" s="95">
        <f>O1253*H1253</f>
        <v>0</v>
      </c>
      <c r="Q1253" s="95">
        <v>0</v>
      </c>
      <c r="R1253" s="95">
        <f>Q1253*H1253</f>
        <v>0</v>
      </c>
      <c r="S1253" s="95">
        <v>0</v>
      </c>
      <c r="T1253" s="99">
        <f>S1253*H1253</f>
        <v>0</v>
      </c>
      <c r="AR1253" s="101" t="s">
        <v>218</v>
      </c>
      <c r="AT1253" s="101" t="s">
        <v>214</v>
      </c>
      <c r="AU1253" s="101" t="s">
        <v>87</v>
      </c>
      <c r="AY1253" s="23" t="s">
        <v>211</v>
      </c>
      <c r="BE1253" s="104">
        <f>IF(N1253="základní",J1253,0)</f>
        <v>0</v>
      </c>
      <c r="BF1253" s="104">
        <f>IF(N1253="snížená",J1253,0)</f>
        <v>0</v>
      </c>
      <c r="BG1253" s="104">
        <f>IF(N1253="zákl. přenesená",J1253,0)</f>
        <v>0</v>
      </c>
      <c r="BH1253" s="104">
        <f>IF(N1253="sníž. přenesená",J1253,0)</f>
        <v>0</v>
      </c>
      <c r="BI1253" s="104">
        <f>IF(N1253="nulová",J1253,0)</f>
        <v>0</v>
      </c>
      <c r="BJ1253" s="23" t="s">
        <v>85</v>
      </c>
      <c r="BK1253" s="104">
        <f>ROUND(I1253*H1253,2)</f>
        <v>0</v>
      </c>
      <c r="BL1253" s="23" t="s">
        <v>218</v>
      </c>
      <c r="BM1253" s="101" t="s">
        <v>1717</v>
      </c>
    </row>
    <row r="1254" spans="2:65" s="1" customFormat="1" ht="76.8">
      <c r="B1254" s="12"/>
      <c r="D1254" s="105" t="s">
        <v>227</v>
      </c>
      <c r="F1254" s="106" t="s">
        <v>1673</v>
      </c>
      <c r="I1254" s="107"/>
      <c r="L1254" s="12"/>
      <c r="M1254" s="108"/>
      <c r="T1254" s="111"/>
      <c r="AT1254" s="23" t="s">
        <v>227</v>
      </c>
      <c r="AU1254" s="23" t="s">
        <v>87</v>
      </c>
    </row>
    <row r="1255" spans="2:65" s="1" customFormat="1" ht="62.85" customHeight="1">
      <c r="B1255" s="12"/>
      <c r="C1255" s="71" t="s">
        <v>1718</v>
      </c>
      <c r="D1255" s="71" t="s">
        <v>214</v>
      </c>
      <c r="E1255" s="72" t="s">
        <v>1719</v>
      </c>
      <c r="F1255" s="73" t="s">
        <v>1720</v>
      </c>
      <c r="G1255" s="74" t="s">
        <v>808</v>
      </c>
      <c r="H1255" s="75">
        <v>1</v>
      </c>
      <c r="I1255" s="90"/>
      <c r="J1255" s="91">
        <f>ROUND(I1255*H1255,2)</f>
        <v>0</v>
      </c>
      <c r="K1255" s="92"/>
      <c r="L1255" s="12"/>
      <c r="M1255" s="93" t="s">
        <v>1</v>
      </c>
      <c r="N1255" s="94" t="s">
        <v>42</v>
      </c>
      <c r="P1255" s="95">
        <f>O1255*H1255</f>
        <v>0</v>
      </c>
      <c r="Q1255" s="95">
        <v>0</v>
      </c>
      <c r="R1255" s="95">
        <f>Q1255*H1255</f>
        <v>0</v>
      </c>
      <c r="S1255" s="95">
        <v>0</v>
      </c>
      <c r="T1255" s="99">
        <f>S1255*H1255</f>
        <v>0</v>
      </c>
      <c r="AR1255" s="101" t="s">
        <v>218</v>
      </c>
      <c r="AT1255" s="101" t="s">
        <v>214</v>
      </c>
      <c r="AU1255" s="101" t="s">
        <v>87</v>
      </c>
      <c r="AY1255" s="23" t="s">
        <v>211</v>
      </c>
      <c r="BE1255" s="104">
        <f>IF(N1255="základní",J1255,0)</f>
        <v>0</v>
      </c>
      <c r="BF1255" s="104">
        <f>IF(N1255="snížená",J1255,0)</f>
        <v>0</v>
      </c>
      <c r="BG1255" s="104">
        <f>IF(N1255="zákl. přenesená",J1255,0)</f>
        <v>0</v>
      </c>
      <c r="BH1255" s="104">
        <f>IF(N1255="sníž. přenesená",J1255,0)</f>
        <v>0</v>
      </c>
      <c r="BI1255" s="104">
        <f>IF(N1255="nulová",J1255,0)</f>
        <v>0</v>
      </c>
      <c r="BJ1255" s="23" t="s">
        <v>85</v>
      </c>
      <c r="BK1255" s="104">
        <f>ROUND(I1255*H1255,2)</f>
        <v>0</v>
      </c>
      <c r="BL1255" s="23" t="s">
        <v>218</v>
      </c>
      <c r="BM1255" s="101" t="s">
        <v>1721</v>
      </c>
    </row>
    <row r="1256" spans="2:65" s="1" customFormat="1" ht="76.8">
      <c r="B1256" s="12"/>
      <c r="D1256" s="105" t="s">
        <v>227</v>
      </c>
      <c r="F1256" s="106" t="s">
        <v>1663</v>
      </c>
      <c r="I1256" s="107"/>
      <c r="L1256" s="12"/>
      <c r="M1256" s="108"/>
      <c r="T1256" s="111"/>
      <c r="AT1256" s="23" t="s">
        <v>227</v>
      </c>
      <c r="AU1256" s="23" t="s">
        <v>87</v>
      </c>
    </row>
    <row r="1257" spans="2:65" s="1" customFormat="1" ht="62.85" customHeight="1">
      <c r="B1257" s="12"/>
      <c r="C1257" s="71" t="s">
        <v>1722</v>
      </c>
      <c r="D1257" s="71" t="s">
        <v>214</v>
      </c>
      <c r="E1257" s="72" t="s">
        <v>1723</v>
      </c>
      <c r="F1257" s="73" t="s">
        <v>1724</v>
      </c>
      <c r="G1257" s="74" t="s">
        <v>808</v>
      </c>
      <c r="H1257" s="75">
        <v>1</v>
      </c>
      <c r="I1257" s="90"/>
      <c r="J1257" s="91">
        <f>ROUND(I1257*H1257,2)</f>
        <v>0</v>
      </c>
      <c r="K1257" s="92"/>
      <c r="L1257" s="12"/>
      <c r="M1257" s="93" t="s">
        <v>1</v>
      </c>
      <c r="N1257" s="94" t="s">
        <v>42</v>
      </c>
      <c r="P1257" s="95">
        <f>O1257*H1257</f>
        <v>0</v>
      </c>
      <c r="Q1257" s="95">
        <v>0</v>
      </c>
      <c r="R1257" s="95">
        <f>Q1257*H1257</f>
        <v>0</v>
      </c>
      <c r="S1257" s="95">
        <v>0</v>
      </c>
      <c r="T1257" s="99">
        <f>S1257*H1257</f>
        <v>0</v>
      </c>
      <c r="AR1257" s="101" t="s">
        <v>218</v>
      </c>
      <c r="AT1257" s="101" t="s">
        <v>214</v>
      </c>
      <c r="AU1257" s="101" t="s">
        <v>87</v>
      </c>
      <c r="AY1257" s="23" t="s">
        <v>211</v>
      </c>
      <c r="BE1257" s="104">
        <f>IF(N1257="základní",J1257,0)</f>
        <v>0</v>
      </c>
      <c r="BF1257" s="104">
        <f>IF(N1257="snížená",J1257,0)</f>
        <v>0</v>
      </c>
      <c r="BG1257" s="104">
        <f>IF(N1257="zákl. přenesená",J1257,0)</f>
        <v>0</v>
      </c>
      <c r="BH1257" s="104">
        <f>IF(N1257="sníž. přenesená",J1257,0)</f>
        <v>0</v>
      </c>
      <c r="BI1257" s="104">
        <f>IF(N1257="nulová",J1257,0)</f>
        <v>0</v>
      </c>
      <c r="BJ1257" s="23" t="s">
        <v>85</v>
      </c>
      <c r="BK1257" s="104">
        <f>ROUND(I1257*H1257,2)</f>
        <v>0</v>
      </c>
      <c r="BL1257" s="23" t="s">
        <v>218</v>
      </c>
      <c r="BM1257" s="101" t="s">
        <v>1725</v>
      </c>
    </row>
    <row r="1258" spans="2:65" s="1" customFormat="1" ht="76.8">
      <c r="B1258" s="12"/>
      <c r="D1258" s="105" t="s">
        <v>227</v>
      </c>
      <c r="F1258" s="106" t="s">
        <v>1673</v>
      </c>
      <c r="I1258" s="107"/>
      <c r="L1258" s="12"/>
      <c r="M1258" s="108"/>
      <c r="T1258" s="111"/>
      <c r="AT1258" s="23" t="s">
        <v>227</v>
      </c>
      <c r="AU1258" s="23" t="s">
        <v>87</v>
      </c>
    </row>
    <row r="1259" spans="2:65" s="1" customFormat="1" ht="62.85" customHeight="1">
      <c r="B1259" s="12"/>
      <c r="C1259" s="71" t="s">
        <v>1726</v>
      </c>
      <c r="D1259" s="71" t="s">
        <v>214</v>
      </c>
      <c r="E1259" s="72" t="s">
        <v>1727</v>
      </c>
      <c r="F1259" s="73" t="s">
        <v>1728</v>
      </c>
      <c r="G1259" s="74" t="s">
        <v>808</v>
      </c>
      <c r="H1259" s="75">
        <v>1</v>
      </c>
      <c r="I1259" s="90"/>
      <c r="J1259" s="91">
        <f>ROUND(I1259*H1259,2)</f>
        <v>0</v>
      </c>
      <c r="K1259" s="92"/>
      <c r="L1259" s="12"/>
      <c r="M1259" s="93" t="s">
        <v>1</v>
      </c>
      <c r="N1259" s="94" t="s">
        <v>42</v>
      </c>
      <c r="P1259" s="95">
        <f>O1259*H1259</f>
        <v>0</v>
      </c>
      <c r="Q1259" s="95">
        <v>0</v>
      </c>
      <c r="R1259" s="95">
        <f>Q1259*H1259</f>
        <v>0</v>
      </c>
      <c r="S1259" s="95">
        <v>0</v>
      </c>
      <c r="T1259" s="99">
        <f>S1259*H1259</f>
        <v>0</v>
      </c>
      <c r="AR1259" s="101" t="s">
        <v>218</v>
      </c>
      <c r="AT1259" s="101" t="s">
        <v>214</v>
      </c>
      <c r="AU1259" s="101" t="s">
        <v>87</v>
      </c>
      <c r="AY1259" s="23" t="s">
        <v>211</v>
      </c>
      <c r="BE1259" s="104">
        <f>IF(N1259="základní",J1259,0)</f>
        <v>0</v>
      </c>
      <c r="BF1259" s="104">
        <f>IF(N1259="snížená",J1259,0)</f>
        <v>0</v>
      </c>
      <c r="BG1259" s="104">
        <f>IF(N1259="zákl. přenesená",J1259,0)</f>
        <v>0</v>
      </c>
      <c r="BH1259" s="104">
        <f>IF(N1259="sníž. přenesená",J1259,0)</f>
        <v>0</v>
      </c>
      <c r="BI1259" s="104">
        <f>IF(N1259="nulová",J1259,0)</f>
        <v>0</v>
      </c>
      <c r="BJ1259" s="23" t="s">
        <v>85</v>
      </c>
      <c r="BK1259" s="104">
        <f>ROUND(I1259*H1259,2)</f>
        <v>0</v>
      </c>
      <c r="BL1259" s="23" t="s">
        <v>218</v>
      </c>
      <c r="BM1259" s="101" t="s">
        <v>1729</v>
      </c>
    </row>
    <row r="1260" spans="2:65" s="1" customFormat="1" ht="76.8">
      <c r="B1260" s="12"/>
      <c r="D1260" s="105" t="s">
        <v>227</v>
      </c>
      <c r="F1260" s="106" t="s">
        <v>1673</v>
      </c>
      <c r="I1260" s="107"/>
      <c r="L1260" s="12"/>
      <c r="M1260" s="108"/>
      <c r="T1260" s="111"/>
      <c r="AT1260" s="23" t="s">
        <v>227</v>
      </c>
      <c r="AU1260" s="23" t="s">
        <v>87</v>
      </c>
    </row>
    <row r="1261" spans="2:65" s="1" customFormat="1" ht="62.85" customHeight="1">
      <c r="B1261" s="12"/>
      <c r="C1261" s="71" t="s">
        <v>1730</v>
      </c>
      <c r="D1261" s="71" t="s">
        <v>214</v>
      </c>
      <c r="E1261" s="72" t="s">
        <v>1731</v>
      </c>
      <c r="F1261" s="73" t="s">
        <v>1732</v>
      </c>
      <c r="G1261" s="74" t="s">
        <v>808</v>
      </c>
      <c r="H1261" s="75">
        <v>1</v>
      </c>
      <c r="I1261" s="90"/>
      <c r="J1261" s="91">
        <f>ROUND(I1261*H1261,2)</f>
        <v>0</v>
      </c>
      <c r="K1261" s="92"/>
      <c r="L1261" s="12"/>
      <c r="M1261" s="93" t="s">
        <v>1</v>
      </c>
      <c r="N1261" s="94" t="s">
        <v>42</v>
      </c>
      <c r="P1261" s="95">
        <f>O1261*H1261</f>
        <v>0</v>
      </c>
      <c r="Q1261" s="95">
        <v>0</v>
      </c>
      <c r="R1261" s="95">
        <f>Q1261*H1261</f>
        <v>0</v>
      </c>
      <c r="S1261" s="95">
        <v>0</v>
      </c>
      <c r="T1261" s="99">
        <f>S1261*H1261</f>
        <v>0</v>
      </c>
      <c r="AR1261" s="101" t="s">
        <v>218</v>
      </c>
      <c r="AT1261" s="101" t="s">
        <v>214</v>
      </c>
      <c r="AU1261" s="101" t="s">
        <v>87</v>
      </c>
      <c r="AY1261" s="23" t="s">
        <v>211</v>
      </c>
      <c r="BE1261" s="104">
        <f>IF(N1261="základní",J1261,0)</f>
        <v>0</v>
      </c>
      <c r="BF1261" s="104">
        <f>IF(N1261="snížená",J1261,0)</f>
        <v>0</v>
      </c>
      <c r="BG1261" s="104">
        <f>IF(N1261="zákl. přenesená",J1261,0)</f>
        <v>0</v>
      </c>
      <c r="BH1261" s="104">
        <f>IF(N1261="sníž. přenesená",J1261,0)</f>
        <v>0</v>
      </c>
      <c r="BI1261" s="104">
        <f>IF(N1261="nulová",J1261,0)</f>
        <v>0</v>
      </c>
      <c r="BJ1261" s="23" t="s">
        <v>85</v>
      </c>
      <c r="BK1261" s="104">
        <f>ROUND(I1261*H1261,2)</f>
        <v>0</v>
      </c>
      <c r="BL1261" s="23" t="s">
        <v>218</v>
      </c>
      <c r="BM1261" s="101" t="s">
        <v>1733</v>
      </c>
    </row>
    <row r="1262" spans="2:65" s="1" customFormat="1" ht="76.8">
      <c r="B1262" s="12"/>
      <c r="D1262" s="105" t="s">
        <v>227</v>
      </c>
      <c r="F1262" s="106" t="s">
        <v>1673</v>
      </c>
      <c r="I1262" s="107"/>
      <c r="L1262" s="12"/>
      <c r="M1262" s="108"/>
      <c r="T1262" s="111"/>
      <c r="AT1262" s="23" t="s">
        <v>227</v>
      </c>
      <c r="AU1262" s="23" t="s">
        <v>87</v>
      </c>
    </row>
    <row r="1263" spans="2:65" s="1" customFormat="1" ht="62.85" customHeight="1">
      <c r="B1263" s="12"/>
      <c r="C1263" s="71" t="s">
        <v>1734</v>
      </c>
      <c r="D1263" s="71" t="s">
        <v>214</v>
      </c>
      <c r="E1263" s="72" t="s">
        <v>1735</v>
      </c>
      <c r="F1263" s="73" t="s">
        <v>1736</v>
      </c>
      <c r="G1263" s="74" t="s">
        <v>808</v>
      </c>
      <c r="H1263" s="75">
        <v>1</v>
      </c>
      <c r="I1263" s="90"/>
      <c r="J1263" s="91">
        <f>ROUND(I1263*H1263,2)</f>
        <v>0</v>
      </c>
      <c r="K1263" s="92"/>
      <c r="L1263" s="12"/>
      <c r="M1263" s="93" t="s">
        <v>1</v>
      </c>
      <c r="N1263" s="94" t="s">
        <v>42</v>
      </c>
      <c r="P1263" s="95">
        <f>O1263*H1263</f>
        <v>0</v>
      </c>
      <c r="Q1263" s="95">
        <v>0</v>
      </c>
      <c r="R1263" s="95">
        <f>Q1263*H1263</f>
        <v>0</v>
      </c>
      <c r="S1263" s="95">
        <v>0</v>
      </c>
      <c r="T1263" s="99">
        <f>S1263*H1263</f>
        <v>0</v>
      </c>
      <c r="AR1263" s="101" t="s">
        <v>218</v>
      </c>
      <c r="AT1263" s="101" t="s">
        <v>214</v>
      </c>
      <c r="AU1263" s="101" t="s">
        <v>87</v>
      </c>
      <c r="AY1263" s="23" t="s">
        <v>211</v>
      </c>
      <c r="BE1263" s="104">
        <f>IF(N1263="základní",J1263,0)</f>
        <v>0</v>
      </c>
      <c r="BF1263" s="104">
        <f>IF(N1263="snížená",J1263,0)</f>
        <v>0</v>
      </c>
      <c r="BG1263" s="104">
        <f>IF(N1263="zákl. přenesená",J1263,0)</f>
        <v>0</v>
      </c>
      <c r="BH1263" s="104">
        <f>IF(N1263="sníž. přenesená",J1263,0)</f>
        <v>0</v>
      </c>
      <c r="BI1263" s="104">
        <f>IF(N1263="nulová",J1263,0)</f>
        <v>0</v>
      </c>
      <c r="BJ1263" s="23" t="s">
        <v>85</v>
      </c>
      <c r="BK1263" s="104">
        <f>ROUND(I1263*H1263,2)</f>
        <v>0</v>
      </c>
      <c r="BL1263" s="23" t="s">
        <v>218</v>
      </c>
      <c r="BM1263" s="101" t="s">
        <v>1737</v>
      </c>
    </row>
    <row r="1264" spans="2:65" s="1" customFormat="1" ht="76.8">
      <c r="B1264" s="12"/>
      <c r="D1264" s="105" t="s">
        <v>227</v>
      </c>
      <c r="F1264" s="106" t="s">
        <v>1673</v>
      </c>
      <c r="I1264" s="107"/>
      <c r="L1264" s="12"/>
      <c r="M1264" s="108"/>
      <c r="T1264" s="111"/>
      <c r="AT1264" s="23" t="s">
        <v>227</v>
      </c>
      <c r="AU1264" s="23" t="s">
        <v>87</v>
      </c>
    </row>
    <row r="1265" spans="2:65" s="1" customFormat="1" ht="62.85" customHeight="1">
      <c r="B1265" s="12"/>
      <c r="C1265" s="71" t="s">
        <v>1738</v>
      </c>
      <c r="D1265" s="71" t="s">
        <v>214</v>
      </c>
      <c r="E1265" s="72" t="s">
        <v>1739</v>
      </c>
      <c r="F1265" s="73" t="s">
        <v>1740</v>
      </c>
      <c r="G1265" s="74" t="s">
        <v>808</v>
      </c>
      <c r="H1265" s="75">
        <v>1</v>
      </c>
      <c r="I1265" s="90"/>
      <c r="J1265" s="91">
        <f>ROUND(I1265*H1265,2)</f>
        <v>0</v>
      </c>
      <c r="K1265" s="92"/>
      <c r="L1265" s="12"/>
      <c r="M1265" s="93" t="s">
        <v>1</v>
      </c>
      <c r="N1265" s="94" t="s">
        <v>42</v>
      </c>
      <c r="P1265" s="95">
        <f>O1265*H1265</f>
        <v>0</v>
      </c>
      <c r="Q1265" s="95">
        <v>0</v>
      </c>
      <c r="R1265" s="95">
        <f>Q1265*H1265</f>
        <v>0</v>
      </c>
      <c r="S1265" s="95">
        <v>0</v>
      </c>
      <c r="T1265" s="99">
        <f>S1265*H1265</f>
        <v>0</v>
      </c>
      <c r="AR1265" s="101" t="s">
        <v>218</v>
      </c>
      <c r="AT1265" s="101" t="s">
        <v>214</v>
      </c>
      <c r="AU1265" s="101" t="s">
        <v>87</v>
      </c>
      <c r="AY1265" s="23" t="s">
        <v>211</v>
      </c>
      <c r="BE1265" s="104">
        <f>IF(N1265="základní",J1265,0)</f>
        <v>0</v>
      </c>
      <c r="BF1265" s="104">
        <f>IF(N1265="snížená",J1265,0)</f>
        <v>0</v>
      </c>
      <c r="BG1265" s="104">
        <f>IF(N1265="zákl. přenesená",J1265,0)</f>
        <v>0</v>
      </c>
      <c r="BH1265" s="104">
        <f>IF(N1265="sníž. přenesená",J1265,0)</f>
        <v>0</v>
      </c>
      <c r="BI1265" s="104">
        <f>IF(N1265="nulová",J1265,0)</f>
        <v>0</v>
      </c>
      <c r="BJ1265" s="23" t="s">
        <v>85</v>
      </c>
      <c r="BK1265" s="104">
        <f>ROUND(I1265*H1265,2)</f>
        <v>0</v>
      </c>
      <c r="BL1265" s="23" t="s">
        <v>218</v>
      </c>
      <c r="BM1265" s="101" t="s">
        <v>1741</v>
      </c>
    </row>
    <row r="1266" spans="2:65" s="1" customFormat="1" ht="76.8">
      <c r="B1266" s="12"/>
      <c r="D1266" s="105" t="s">
        <v>227</v>
      </c>
      <c r="F1266" s="106" t="s">
        <v>1673</v>
      </c>
      <c r="I1266" s="107"/>
      <c r="L1266" s="12"/>
      <c r="M1266" s="108"/>
      <c r="T1266" s="111"/>
      <c r="AT1266" s="23" t="s">
        <v>227</v>
      </c>
      <c r="AU1266" s="23" t="s">
        <v>87</v>
      </c>
    </row>
    <row r="1267" spans="2:65" s="1" customFormat="1" ht="55.5" customHeight="1">
      <c r="B1267" s="12"/>
      <c r="C1267" s="71" t="s">
        <v>1742</v>
      </c>
      <c r="D1267" s="71" t="s">
        <v>214</v>
      </c>
      <c r="E1267" s="72" t="s">
        <v>1743</v>
      </c>
      <c r="F1267" s="73" t="s">
        <v>1744</v>
      </c>
      <c r="G1267" s="74" t="s">
        <v>808</v>
      </c>
      <c r="H1267" s="75">
        <v>1</v>
      </c>
      <c r="I1267" s="90"/>
      <c r="J1267" s="91">
        <f>ROUND(I1267*H1267,2)</f>
        <v>0</v>
      </c>
      <c r="K1267" s="92"/>
      <c r="L1267" s="12"/>
      <c r="M1267" s="93" t="s">
        <v>1</v>
      </c>
      <c r="N1267" s="94" t="s">
        <v>42</v>
      </c>
      <c r="P1267" s="95">
        <f>O1267*H1267</f>
        <v>0</v>
      </c>
      <c r="Q1267" s="95">
        <v>0</v>
      </c>
      <c r="R1267" s="95">
        <f>Q1267*H1267</f>
        <v>0</v>
      </c>
      <c r="S1267" s="95">
        <v>0</v>
      </c>
      <c r="T1267" s="99">
        <f>S1267*H1267</f>
        <v>0</v>
      </c>
      <c r="AR1267" s="101" t="s">
        <v>218</v>
      </c>
      <c r="AT1267" s="101" t="s">
        <v>214</v>
      </c>
      <c r="AU1267" s="101" t="s">
        <v>87</v>
      </c>
      <c r="AY1267" s="23" t="s">
        <v>211</v>
      </c>
      <c r="BE1267" s="104">
        <f>IF(N1267="základní",J1267,0)</f>
        <v>0</v>
      </c>
      <c r="BF1267" s="104">
        <f>IF(N1267="snížená",J1267,0)</f>
        <v>0</v>
      </c>
      <c r="BG1267" s="104">
        <f>IF(N1267="zákl. přenesená",J1267,0)</f>
        <v>0</v>
      </c>
      <c r="BH1267" s="104">
        <f>IF(N1267="sníž. přenesená",J1267,0)</f>
        <v>0</v>
      </c>
      <c r="BI1267" s="104">
        <f>IF(N1267="nulová",J1267,0)</f>
        <v>0</v>
      </c>
      <c r="BJ1267" s="23" t="s">
        <v>85</v>
      </c>
      <c r="BK1267" s="104">
        <f>ROUND(I1267*H1267,2)</f>
        <v>0</v>
      </c>
      <c r="BL1267" s="23" t="s">
        <v>218</v>
      </c>
      <c r="BM1267" s="101" t="s">
        <v>1745</v>
      </c>
    </row>
    <row r="1268" spans="2:65" s="1" customFormat="1" ht="67.2">
      <c r="B1268" s="12"/>
      <c r="D1268" s="105" t="s">
        <v>227</v>
      </c>
      <c r="F1268" s="106" t="s">
        <v>1654</v>
      </c>
      <c r="I1268" s="107"/>
      <c r="L1268" s="12"/>
      <c r="M1268" s="108"/>
      <c r="T1268" s="111"/>
      <c r="AT1268" s="23" t="s">
        <v>227</v>
      </c>
      <c r="AU1268" s="23" t="s">
        <v>87</v>
      </c>
    </row>
    <row r="1269" spans="2:65" s="1" customFormat="1" ht="76.349999999999994" customHeight="1">
      <c r="B1269" s="12"/>
      <c r="C1269" s="71" t="s">
        <v>1746</v>
      </c>
      <c r="D1269" s="71" t="s">
        <v>214</v>
      </c>
      <c r="E1269" s="72" t="s">
        <v>1747</v>
      </c>
      <c r="F1269" s="73" t="s">
        <v>1748</v>
      </c>
      <c r="G1269" s="74" t="s">
        <v>808</v>
      </c>
      <c r="H1269" s="75">
        <v>1</v>
      </c>
      <c r="I1269" s="90"/>
      <c r="J1269" s="91">
        <f>ROUND(I1269*H1269,2)</f>
        <v>0</v>
      </c>
      <c r="K1269" s="92"/>
      <c r="L1269" s="12"/>
      <c r="M1269" s="93" t="s">
        <v>1</v>
      </c>
      <c r="N1269" s="94" t="s">
        <v>42</v>
      </c>
      <c r="P1269" s="95">
        <f>O1269*H1269</f>
        <v>0</v>
      </c>
      <c r="Q1269" s="95">
        <v>0</v>
      </c>
      <c r="R1269" s="95">
        <f>Q1269*H1269</f>
        <v>0</v>
      </c>
      <c r="S1269" s="95">
        <v>0</v>
      </c>
      <c r="T1269" s="99">
        <f>S1269*H1269</f>
        <v>0</v>
      </c>
      <c r="AR1269" s="101" t="s">
        <v>218</v>
      </c>
      <c r="AT1269" s="101" t="s">
        <v>214</v>
      </c>
      <c r="AU1269" s="101" t="s">
        <v>87</v>
      </c>
      <c r="AY1269" s="23" t="s">
        <v>211</v>
      </c>
      <c r="BE1269" s="104">
        <f>IF(N1269="základní",J1269,0)</f>
        <v>0</v>
      </c>
      <c r="BF1269" s="104">
        <f>IF(N1269="snížená",J1269,0)</f>
        <v>0</v>
      </c>
      <c r="BG1269" s="104">
        <f>IF(N1269="zákl. přenesená",J1269,0)</f>
        <v>0</v>
      </c>
      <c r="BH1269" s="104">
        <f>IF(N1269="sníž. přenesená",J1269,0)</f>
        <v>0</v>
      </c>
      <c r="BI1269" s="104">
        <f>IF(N1269="nulová",J1269,0)</f>
        <v>0</v>
      </c>
      <c r="BJ1269" s="23" t="s">
        <v>85</v>
      </c>
      <c r="BK1269" s="104">
        <f>ROUND(I1269*H1269,2)</f>
        <v>0</v>
      </c>
      <c r="BL1269" s="23" t="s">
        <v>218</v>
      </c>
      <c r="BM1269" s="101" t="s">
        <v>1749</v>
      </c>
    </row>
    <row r="1270" spans="2:65" s="1" customFormat="1" ht="96">
      <c r="B1270" s="12"/>
      <c r="D1270" s="105" t="s">
        <v>227</v>
      </c>
      <c r="F1270" s="106" t="s">
        <v>1750</v>
      </c>
      <c r="I1270" s="107"/>
      <c r="L1270" s="12"/>
      <c r="M1270" s="108"/>
      <c r="T1270" s="111"/>
      <c r="AT1270" s="23" t="s">
        <v>227</v>
      </c>
      <c r="AU1270" s="23" t="s">
        <v>87</v>
      </c>
    </row>
    <row r="1271" spans="2:65" s="1" customFormat="1" ht="62.85" customHeight="1">
      <c r="B1271" s="12"/>
      <c r="C1271" s="71" t="s">
        <v>1751</v>
      </c>
      <c r="D1271" s="71" t="s">
        <v>214</v>
      </c>
      <c r="E1271" s="72" t="s">
        <v>1752</v>
      </c>
      <c r="F1271" s="73" t="s">
        <v>1753</v>
      </c>
      <c r="G1271" s="74" t="s">
        <v>808</v>
      </c>
      <c r="H1271" s="75">
        <v>1</v>
      </c>
      <c r="I1271" s="90"/>
      <c r="J1271" s="91">
        <f>ROUND(I1271*H1271,2)</f>
        <v>0</v>
      </c>
      <c r="K1271" s="92"/>
      <c r="L1271" s="12"/>
      <c r="M1271" s="93" t="s">
        <v>1</v>
      </c>
      <c r="N1271" s="94" t="s">
        <v>42</v>
      </c>
      <c r="P1271" s="95">
        <f>O1271*H1271</f>
        <v>0</v>
      </c>
      <c r="Q1271" s="95">
        <v>0</v>
      </c>
      <c r="R1271" s="95">
        <f>Q1271*H1271</f>
        <v>0</v>
      </c>
      <c r="S1271" s="95">
        <v>0</v>
      </c>
      <c r="T1271" s="99">
        <f>S1271*H1271</f>
        <v>0</v>
      </c>
      <c r="AR1271" s="101" t="s">
        <v>218</v>
      </c>
      <c r="AT1271" s="101" t="s">
        <v>214</v>
      </c>
      <c r="AU1271" s="101" t="s">
        <v>87</v>
      </c>
      <c r="AY1271" s="23" t="s">
        <v>211</v>
      </c>
      <c r="BE1271" s="104">
        <f>IF(N1271="základní",J1271,0)</f>
        <v>0</v>
      </c>
      <c r="BF1271" s="104">
        <f>IF(N1271="snížená",J1271,0)</f>
        <v>0</v>
      </c>
      <c r="BG1271" s="104">
        <f>IF(N1271="zákl. přenesená",J1271,0)</f>
        <v>0</v>
      </c>
      <c r="BH1271" s="104">
        <f>IF(N1271="sníž. přenesená",J1271,0)</f>
        <v>0</v>
      </c>
      <c r="BI1271" s="104">
        <f>IF(N1271="nulová",J1271,0)</f>
        <v>0</v>
      </c>
      <c r="BJ1271" s="23" t="s">
        <v>85</v>
      </c>
      <c r="BK1271" s="104">
        <f>ROUND(I1271*H1271,2)</f>
        <v>0</v>
      </c>
      <c r="BL1271" s="23" t="s">
        <v>218</v>
      </c>
      <c r="BM1271" s="101" t="s">
        <v>1754</v>
      </c>
    </row>
    <row r="1272" spans="2:65" s="1" customFormat="1" ht="96">
      <c r="B1272" s="12"/>
      <c r="D1272" s="105" t="s">
        <v>227</v>
      </c>
      <c r="F1272" s="106" t="s">
        <v>1755</v>
      </c>
      <c r="I1272" s="107"/>
      <c r="L1272" s="12"/>
      <c r="M1272" s="108"/>
      <c r="T1272" s="111"/>
      <c r="AT1272" s="23" t="s">
        <v>227</v>
      </c>
      <c r="AU1272" s="23" t="s">
        <v>87</v>
      </c>
    </row>
    <row r="1273" spans="2:65" s="1" customFormat="1" ht="62.85" customHeight="1">
      <c r="B1273" s="12"/>
      <c r="C1273" s="71" t="s">
        <v>1756</v>
      </c>
      <c r="D1273" s="71" t="s">
        <v>214</v>
      </c>
      <c r="E1273" s="72" t="s">
        <v>1757</v>
      </c>
      <c r="F1273" s="73" t="s">
        <v>1758</v>
      </c>
      <c r="G1273" s="74" t="s">
        <v>808</v>
      </c>
      <c r="H1273" s="75">
        <v>1</v>
      </c>
      <c r="I1273" s="90"/>
      <c r="J1273" s="91">
        <f>ROUND(I1273*H1273,2)</f>
        <v>0</v>
      </c>
      <c r="K1273" s="92"/>
      <c r="L1273" s="12"/>
      <c r="M1273" s="93" t="s">
        <v>1</v>
      </c>
      <c r="N1273" s="94" t="s">
        <v>42</v>
      </c>
      <c r="P1273" s="95">
        <f>O1273*H1273</f>
        <v>0</v>
      </c>
      <c r="Q1273" s="95">
        <v>0</v>
      </c>
      <c r="R1273" s="95">
        <f>Q1273*H1273</f>
        <v>0</v>
      </c>
      <c r="S1273" s="95">
        <v>0</v>
      </c>
      <c r="T1273" s="99">
        <f>S1273*H1273</f>
        <v>0</v>
      </c>
      <c r="AR1273" s="101" t="s">
        <v>218</v>
      </c>
      <c r="AT1273" s="101" t="s">
        <v>214</v>
      </c>
      <c r="AU1273" s="101" t="s">
        <v>87</v>
      </c>
      <c r="AY1273" s="23" t="s">
        <v>211</v>
      </c>
      <c r="BE1273" s="104">
        <f>IF(N1273="základní",J1273,0)</f>
        <v>0</v>
      </c>
      <c r="BF1273" s="104">
        <f>IF(N1273="snížená",J1273,0)</f>
        <v>0</v>
      </c>
      <c r="BG1273" s="104">
        <f>IF(N1273="zákl. přenesená",J1273,0)</f>
        <v>0</v>
      </c>
      <c r="BH1273" s="104">
        <f>IF(N1273="sníž. přenesená",J1273,0)</f>
        <v>0</v>
      </c>
      <c r="BI1273" s="104">
        <f>IF(N1273="nulová",J1273,0)</f>
        <v>0</v>
      </c>
      <c r="BJ1273" s="23" t="s">
        <v>85</v>
      </c>
      <c r="BK1273" s="104">
        <f>ROUND(I1273*H1273,2)</f>
        <v>0</v>
      </c>
      <c r="BL1273" s="23" t="s">
        <v>218</v>
      </c>
      <c r="BM1273" s="101" t="s">
        <v>1759</v>
      </c>
    </row>
    <row r="1274" spans="2:65" s="1" customFormat="1" ht="96">
      <c r="B1274" s="12"/>
      <c r="D1274" s="105" t="s">
        <v>227</v>
      </c>
      <c r="F1274" s="106" t="s">
        <v>1755</v>
      </c>
      <c r="I1274" s="107"/>
      <c r="L1274" s="12"/>
      <c r="M1274" s="108"/>
      <c r="T1274" s="111"/>
      <c r="AT1274" s="23" t="s">
        <v>227</v>
      </c>
      <c r="AU1274" s="23" t="s">
        <v>87</v>
      </c>
    </row>
    <row r="1275" spans="2:65" s="1" customFormat="1" ht="55.5" customHeight="1">
      <c r="B1275" s="12"/>
      <c r="C1275" s="71" t="s">
        <v>1760</v>
      </c>
      <c r="D1275" s="71" t="s">
        <v>214</v>
      </c>
      <c r="E1275" s="72" t="s">
        <v>1761</v>
      </c>
      <c r="F1275" s="73" t="s">
        <v>1762</v>
      </c>
      <c r="G1275" s="74" t="s">
        <v>808</v>
      </c>
      <c r="H1275" s="75">
        <v>1</v>
      </c>
      <c r="I1275" s="90"/>
      <c r="J1275" s="91">
        <f>ROUND(I1275*H1275,2)</f>
        <v>0</v>
      </c>
      <c r="K1275" s="92"/>
      <c r="L1275" s="12"/>
      <c r="M1275" s="93" t="s">
        <v>1</v>
      </c>
      <c r="N1275" s="94" t="s">
        <v>42</v>
      </c>
      <c r="P1275" s="95">
        <f>O1275*H1275</f>
        <v>0</v>
      </c>
      <c r="Q1275" s="95">
        <v>0</v>
      </c>
      <c r="R1275" s="95">
        <f>Q1275*H1275</f>
        <v>0</v>
      </c>
      <c r="S1275" s="95">
        <v>0</v>
      </c>
      <c r="T1275" s="99">
        <f>S1275*H1275</f>
        <v>0</v>
      </c>
      <c r="AR1275" s="101" t="s">
        <v>218</v>
      </c>
      <c r="AT1275" s="101" t="s">
        <v>214</v>
      </c>
      <c r="AU1275" s="101" t="s">
        <v>87</v>
      </c>
      <c r="AY1275" s="23" t="s">
        <v>211</v>
      </c>
      <c r="BE1275" s="104">
        <f>IF(N1275="základní",J1275,0)</f>
        <v>0</v>
      </c>
      <c r="BF1275" s="104">
        <f>IF(N1275="snížená",J1275,0)</f>
        <v>0</v>
      </c>
      <c r="BG1275" s="104">
        <f>IF(N1275="zákl. přenesená",J1275,0)</f>
        <v>0</v>
      </c>
      <c r="BH1275" s="104">
        <f>IF(N1275="sníž. přenesená",J1275,0)</f>
        <v>0</v>
      </c>
      <c r="BI1275" s="104">
        <f>IF(N1275="nulová",J1275,0)</f>
        <v>0</v>
      </c>
      <c r="BJ1275" s="23" t="s">
        <v>85</v>
      </c>
      <c r="BK1275" s="104">
        <f>ROUND(I1275*H1275,2)</f>
        <v>0</v>
      </c>
      <c r="BL1275" s="23" t="s">
        <v>218</v>
      </c>
      <c r="BM1275" s="101" t="s">
        <v>1763</v>
      </c>
    </row>
    <row r="1276" spans="2:65" s="1" customFormat="1" ht="67.2">
      <c r="B1276" s="12"/>
      <c r="D1276" s="105" t="s">
        <v>227</v>
      </c>
      <c r="F1276" s="106" t="s">
        <v>1654</v>
      </c>
      <c r="I1276" s="107"/>
      <c r="L1276" s="12"/>
      <c r="M1276" s="108"/>
      <c r="T1276" s="111"/>
      <c r="AT1276" s="23" t="s">
        <v>227</v>
      </c>
      <c r="AU1276" s="23" t="s">
        <v>87</v>
      </c>
    </row>
    <row r="1277" spans="2:65" s="1" customFormat="1" ht="62.85" customHeight="1">
      <c r="B1277" s="12"/>
      <c r="C1277" s="71" t="s">
        <v>1764</v>
      </c>
      <c r="D1277" s="71" t="s">
        <v>214</v>
      </c>
      <c r="E1277" s="72" t="s">
        <v>1765</v>
      </c>
      <c r="F1277" s="73" t="s">
        <v>1766</v>
      </c>
      <c r="G1277" s="74" t="s">
        <v>808</v>
      </c>
      <c r="H1277" s="75">
        <v>1</v>
      </c>
      <c r="I1277" s="90"/>
      <c r="J1277" s="91">
        <f>ROUND(I1277*H1277,2)</f>
        <v>0</v>
      </c>
      <c r="K1277" s="92"/>
      <c r="L1277" s="12"/>
      <c r="M1277" s="93" t="s">
        <v>1</v>
      </c>
      <c r="N1277" s="94" t="s">
        <v>42</v>
      </c>
      <c r="P1277" s="95">
        <f>O1277*H1277</f>
        <v>0</v>
      </c>
      <c r="Q1277" s="95">
        <v>0</v>
      </c>
      <c r="R1277" s="95">
        <f>Q1277*H1277</f>
        <v>0</v>
      </c>
      <c r="S1277" s="95">
        <v>0</v>
      </c>
      <c r="T1277" s="99">
        <f>S1277*H1277</f>
        <v>0</v>
      </c>
      <c r="AR1277" s="101" t="s">
        <v>218</v>
      </c>
      <c r="AT1277" s="101" t="s">
        <v>214</v>
      </c>
      <c r="AU1277" s="101" t="s">
        <v>87</v>
      </c>
      <c r="AY1277" s="23" t="s">
        <v>211</v>
      </c>
      <c r="BE1277" s="104">
        <f>IF(N1277="základní",J1277,0)</f>
        <v>0</v>
      </c>
      <c r="BF1277" s="104">
        <f>IF(N1277="snížená",J1277,0)</f>
        <v>0</v>
      </c>
      <c r="BG1277" s="104">
        <f>IF(N1277="zákl. přenesená",J1277,0)</f>
        <v>0</v>
      </c>
      <c r="BH1277" s="104">
        <f>IF(N1277="sníž. přenesená",J1277,0)</f>
        <v>0</v>
      </c>
      <c r="BI1277" s="104">
        <f>IF(N1277="nulová",J1277,0)</f>
        <v>0</v>
      </c>
      <c r="BJ1277" s="23" t="s">
        <v>85</v>
      </c>
      <c r="BK1277" s="104">
        <f>ROUND(I1277*H1277,2)</f>
        <v>0</v>
      </c>
      <c r="BL1277" s="23" t="s">
        <v>218</v>
      </c>
      <c r="BM1277" s="101" t="s">
        <v>1767</v>
      </c>
    </row>
    <row r="1278" spans="2:65" s="1" customFormat="1" ht="76.8">
      <c r="B1278" s="12"/>
      <c r="D1278" s="105" t="s">
        <v>227</v>
      </c>
      <c r="F1278" s="106" t="s">
        <v>1673</v>
      </c>
      <c r="I1278" s="107"/>
      <c r="L1278" s="12"/>
      <c r="M1278" s="108"/>
      <c r="T1278" s="111"/>
      <c r="AT1278" s="23" t="s">
        <v>227</v>
      </c>
      <c r="AU1278" s="23" t="s">
        <v>87</v>
      </c>
    </row>
    <row r="1279" spans="2:65" s="1" customFormat="1" ht="62.85" customHeight="1">
      <c r="B1279" s="12"/>
      <c r="C1279" s="71" t="s">
        <v>1768</v>
      </c>
      <c r="D1279" s="71" t="s">
        <v>214</v>
      </c>
      <c r="E1279" s="72" t="s">
        <v>1769</v>
      </c>
      <c r="F1279" s="73" t="s">
        <v>1770</v>
      </c>
      <c r="G1279" s="74" t="s">
        <v>808</v>
      </c>
      <c r="H1279" s="75">
        <v>1</v>
      </c>
      <c r="I1279" s="90"/>
      <c r="J1279" s="91">
        <f>ROUND(I1279*H1279,2)</f>
        <v>0</v>
      </c>
      <c r="K1279" s="92"/>
      <c r="L1279" s="12"/>
      <c r="M1279" s="93" t="s">
        <v>1</v>
      </c>
      <c r="N1279" s="94" t="s">
        <v>42</v>
      </c>
      <c r="P1279" s="95">
        <f>O1279*H1279</f>
        <v>0</v>
      </c>
      <c r="Q1279" s="95">
        <v>0</v>
      </c>
      <c r="R1279" s="95">
        <f>Q1279*H1279</f>
        <v>0</v>
      </c>
      <c r="S1279" s="95">
        <v>0</v>
      </c>
      <c r="T1279" s="99">
        <f>S1279*H1279</f>
        <v>0</v>
      </c>
      <c r="AR1279" s="101" t="s">
        <v>218</v>
      </c>
      <c r="AT1279" s="101" t="s">
        <v>214</v>
      </c>
      <c r="AU1279" s="101" t="s">
        <v>87</v>
      </c>
      <c r="AY1279" s="23" t="s">
        <v>211</v>
      </c>
      <c r="BE1279" s="104">
        <f>IF(N1279="základní",J1279,0)</f>
        <v>0</v>
      </c>
      <c r="BF1279" s="104">
        <f>IF(N1279="snížená",J1279,0)</f>
        <v>0</v>
      </c>
      <c r="BG1279" s="104">
        <f>IF(N1279="zákl. přenesená",J1279,0)</f>
        <v>0</v>
      </c>
      <c r="BH1279" s="104">
        <f>IF(N1279="sníž. přenesená",J1279,0)</f>
        <v>0</v>
      </c>
      <c r="BI1279" s="104">
        <f>IF(N1279="nulová",J1279,0)</f>
        <v>0</v>
      </c>
      <c r="BJ1279" s="23" t="s">
        <v>85</v>
      </c>
      <c r="BK1279" s="104">
        <f>ROUND(I1279*H1279,2)</f>
        <v>0</v>
      </c>
      <c r="BL1279" s="23" t="s">
        <v>218</v>
      </c>
      <c r="BM1279" s="101" t="s">
        <v>1771</v>
      </c>
    </row>
    <row r="1280" spans="2:65" s="1" customFormat="1" ht="76.8">
      <c r="B1280" s="12"/>
      <c r="D1280" s="105" t="s">
        <v>227</v>
      </c>
      <c r="F1280" s="106" t="s">
        <v>1673</v>
      </c>
      <c r="I1280" s="107"/>
      <c r="L1280" s="12"/>
      <c r="M1280" s="108"/>
      <c r="T1280" s="111"/>
      <c r="AT1280" s="23" t="s">
        <v>227</v>
      </c>
      <c r="AU1280" s="23" t="s">
        <v>87</v>
      </c>
    </row>
    <row r="1281" spans="2:65" s="1" customFormat="1" ht="62.85" customHeight="1">
      <c r="B1281" s="12"/>
      <c r="C1281" s="71" t="s">
        <v>1772</v>
      </c>
      <c r="D1281" s="71" t="s">
        <v>214</v>
      </c>
      <c r="E1281" s="72" t="s">
        <v>1773</v>
      </c>
      <c r="F1281" s="73" t="s">
        <v>1774</v>
      </c>
      <c r="G1281" s="74" t="s">
        <v>808</v>
      </c>
      <c r="H1281" s="75">
        <v>1</v>
      </c>
      <c r="I1281" s="90"/>
      <c r="J1281" s="91">
        <f>ROUND(I1281*H1281,2)</f>
        <v>0</v>
      </c>
      <c r="K1281" s="92"/>
      <c r="L1281" s="12"/>
      <c r="M1281" s="93" t="s">
        <v>1</v>
      </c>
      <c r="N1281" s="94" t="s">
        <v>42</v>
      </c>
      <c r="P1281" s="95">
        <f>O1281*H1281</f>
        <v>0</v>
      </c>
      <c r="Q1281" s="95">
        <v>0</v>
      </c>
      <c r="R1281" s="95">
        <f>Q1281*H1281</f>
        <v>0</v>
      </c>
      <c r="S1281" s="95">
        <v>0</v>
      </c>
      <c r="T1281" s="99">
        <f>S1281*H1281</f>
        <v>0</v>
      </c>
      <c r="AR1281" s="101" t="s">
        <v>218</v>
      </c>
      <c r="AT1281" s="101" t="s">
        <v>214</v>
      </c>
      <c r="AU1281" s="101" t="s">
        <v>87</v>
      </c>
      <c r="AY1281" s="23" t="s">
        <v>211</v>
      </c>
      <c r="BE1281" s="104">
        <f>IF(N1281="základní",J1281,0)</f>
        <v>0</v>
      </c>
      <c r="BF1281" s="104">
        <f>IF(N1281="snížená",J1281,0)</f>
        <v>0</v>
      </c>
      <c r="BG1281" s="104">
        <f>IF(N1281="zákl. přenesená",J1281,0)</f>
        <v>0</v>
      </c>
      <c r="BH1281" s="104">
        <f>IF(N1281="sníž. přenesená",J1281,0)</f>
        <v>0</v>
      </c>
      <c r="BI1281" s="104">
        <f>IF(N1281="nulová",J1281,0)</f>
        <v>0</v>
      </c>
      <c r="BJ1281" s="23" t="s">
        <v>85</v>
      </c>
      <c r="BK1281" s="104">
        <f>ROUND(I1281*H1281,2)</f>
        <v>0</v>
      </c>
      <c r="BL1281" s="23" t="s">
        <v>218</v>
      </c>
      <c r="BM1281" s="101" t="s">
        <v>1775</v>
      </c>
    </row>
    <row r="1282" spans="2:65" s="1" customFormat="1" ht="76.8">
      <c r="B1282" s="12"/>
      <c r="D1282" s="105" t="s">
        <v>227</v>
      </c>
      <c r="F1282" s="106" t="s">
        <v>1673</v>
      </c>
      <c r="I1282" s="107"/>
      <c r="L1282" s="12"/>
      <c r="M1282" s="108"/>
      <c r="T1282" s="111"/>
      <c r="AT1282" s="23" t="s">
        <v>227</v>
      </c>
      <c r="AU1282" s="23" t="s">
        <v>87</v>
      </c>
    </row>
    <row r="1283" spans="2:65" s="1" customFormat="1" ht="62.85" customHeight="1">
      <c r="B1283" s="12"/>
      <c r="C1283" s="71" t="s">
        <v>1776</v>
      </c>
      <c r="D1283" s="71" t="s">
        <v>214</v>
      </c>
      <c r="E1283" s="72" t="s">
        <v>1777</v>
      </c>
      <c r="F1283" s="73" t="s">
        <v>1778</v>
      </c>
      <c r="G1283" s="74" t="s">
        <v>808</v>
      </c>
      <c r="H1283" s="75">
        <v>1</v>
      </c>
      <c r="I1283" s="90"/>
      <c r="J1283" s="91">
        <f>ROUND(I1283*H1283,2)</f>
        <v>0</v>
      </c>
      <c r="K1283" s="92"/>
      <c r="L1283" s="12"/>
      <c r="M1283" s="93" t="s">
        <v>1</v>
      </c>
      <c r="N1283" s="94" t="s">
        <v>42</v>
      </c>
      <c r="P1283" s="95">
        <f>O1283*H1283</f>
        <v>0</v>
      </c>
      <c r="Q1283" s="95">
        <v>0</v>
      </c>
      <c r="R1283" s="95">
        <f>Q1283*H1283</f>
        <v>0</v>
      </c>
      <c r="S1283" s="95">
        <v>0</v>
      </c>
      <c r="T1283" s="99">
        <f>S1283*H1283</f>
        <v>0</v>
      </c>
      <c r="AR1283" s="101" t="s">
        <v>218</v>
      </c>
      <c r="AT1283" s="101" t="s">
        <v>214</v>
      </c>
      <c r="AU1283" s="101" t="s">
        <v>87</v>
      </c>
      <c r="AY1283" s="23" t="s">
        <v>211</v>
      </c>
      <c r="BE1283" s="104">
        <f>IF(N1283="základní",J1283,0)</f>
        <v>0</v>
      </c>
      <c r="BF1283" s="104">
        <f>IF(N1283="snížená",J1283,0)</f>
        <v>0</v>
      </c>
      <c r="BG1283" s="104">
        <f>IF(N1283="zákl. přenesená",J1283,0)</f>
        <v>0</v>
      </c>
      <c r="BH1283" s="104">
        <f>IF(N1283="sníž. přenesená",J1283,0)</f>
        <v>0</v>
      </c>
      <c r="BI1283" s="104">
        <f>IF(N1283="nulová",J1283,0)</f>
        <v>0</v>
      </c>
      <c r="BJ1283" s="23" t="s">
        <v>85</v>
      </c>
      <c r="BK1283" s="104">
        <f>ROUND(I1283*H1283,2)</f>
        <v>0</v>
      </c>
      <c r="BL1283" s="23" t="s">
        <v>218</v>
      </c>
      <c r="BM1283" s="101" t="s">
        <v>1779</v>
      </c>
    </row>
    <row r="1284" spans="2:65" s="1" customFormat="1" ht="76.8">
      <c r="B1284" s="12"/>
      <c r="D1284" s="105" t="s">
        <v>227</v>
      </c>
      <c r="F1284" s="106" t="s">
        <v>1673</v>
      </c>
      <c r="I1284" s="107"/>
      <c r="L1284" s="12"/>
      <c r="M1284" s="108"/>
      <c r="T1284" s="111"/>
      <c r="AT1284" s="23" t="s">
        <v>227</v>
      </c>
      <c r="AU1284" s="23" t="s">
        <v>87</v>
      </c>
    </row>
    <row r="1285" spans="2:65" s="1" customFormat="1" ht="62.85" customHeight="1">
      <c r="B1285" s="12"/>
      <c r="C1285" s="71" t="s">
        <v>1780</v>
      </c>
      <c r="D1285" s="71" t="s">
        <v>214</v>
      </c>
      <c r="E1285" s="72" t="s">
        <v>1781</v>
      </c>
      <c r="F1285" s="73" t="s">
        <v>1782</v>
      </c>
      <c r="G1285" s="74" t="s">
        <v>808</v>
      </c>
      <c r="H1285" s="75">
        <v>1</v>
      </c>
      <c r="I1285" s="90"/>
      <c r="J1285" s="91">
        <f>ROUND(I1285*H1285,2)</f>
        <v>0</v>
      </c>
      <c r="K1285" s="92"/>
      <c r="L1285" s="12"/>
      <c r="M1285" s="93" t="s">
        <v>1</v>
      </c>
      <c r="N1285" s="94" t="s">
        <v>42</v>
      </c>
      <c r="P1285" s="95">
        <f>O1285*H1285</f>
        <v>0</v>
      </c>
      <c r="Q1285" s="95">
        <v>0</v>
      </c>
      <c r="R1285" s="95">
        <f>Q1285*H1285</f>
        <v>0</v>
      </c>
      <c r="S1285" s="95">
        <v>0</v>
      </c>
      <c r="T1285" s="99">
        <f>S1285*H1285</f>
        <v>0</v>
      </c>
      <c r="AR1285" s="101" t="s">
        <v>218</v>
      </c>
      <c r="AT1285" s="101" t="s">
        <v>214</v>
      </c>
      <c r="AU1285" s="101" t="s">
        <v>87</v>
      </c>
      <c r="AY1285" s="23" t="s">
        <v>211</v>
      </c>
      <c r="BE1285" s="104">
        <f>IF(N1285="základní",J1285,0)</f>
        <v>0</v>
      </c>
      <c r="BF1285" s="104">
        <f>IF(N1285="snížená",J1285,0)</f>
        <v>0</v>
      </c>
      <c r="BG1285" s="104">
        <f>IF(N1285="zákl. přenesená",J1285,0)</f>
        <v>0</v>
      </c>
      <c r="BH1285" s="104">
        <f>IF(N1285="sníž. přenesená",J1285,0)</f>
        <v>0</v>
      </c>
      <c r="BI1285" s="104">
        <f>IF(N1285="nulová",J1285,0)</f>
        <v>0</v>
      </c>
      <c r="BJ1285" s="23" t="s">
        <v>85</v>
      </c>
      <c r="BK1285" s="104">
        <f>ROUND(I1285*H1285,2)</f>
        <v>0</v>
      </c>
      <c r="BL1285" s="23" t="s">
        <v>218</v>
      </c>
      <c r="BM1285" s="101" t="s">
        <v>1783</v>
      </c>
    </row>
    <row r="1286" spans="2:65" s="1" customFormat="1" ht="76.8">
      <c r="B1286" s="12"/>
      <c r="D1286" s="105" t="s">
        <v>227</v>
      </c>
      <c r="F1286" s="106" t="s">
        <v>1673</v>
      </c>
      <c r="I1286" s="107"/>
      <c r="L1286" s="12"/>
      <c r="M1286" s="108"/>
      <c r="T1286" s="111"/>
      <c r="AT1286" s="23" t="s">
        <v>227</v>
      </c>
      <c r="AU1286" s="23" t="s">
        <v>87</v>
      </c>
    </row>
    <row r="1287" spans="2:65" s="1" customFormat="1" ht="62.85" customHeight="1">
      <c r="B1287" s="12"/>
      <c r="C1287" s="71" t="s">
        <v>1784</v>
      </c>
      <c r="D1287" s="71" t="s">
        <v>214</v>
      </c>
      <c r="E1287" s="72" t="s">
        <v>1785</v>
      </c>
      <c r="F1287" s="73" t="s">
        <v>1786</v>
      </c>
      <c r="G1287" s="74" t="s">
        <v>808</v>
      </c>
      <c r="H1287" s="75">
        <v>1</v>
      </c>
      <c r="I1287" s="90"/>
      <c r="J1287" s="91">
        <f>ROUND(I1287*H1287,2)</f>
        <v>0</v>
      </c>
      <c r="K1287" s="92"/>
      <c r="L1287" s="12"/>
      <c r="M1287" s="93" t="s">
        <v>1</v>
      </c>
      <c r="N1287" s="94" t="s">
        <v>42</v>
      </c>
      <c r="P1287" s="95">
        <f>O1287*H1287</f>
        <v>0</v>
      </c>
      <c r="Q1287" s="95">
        <v>0</v>
      </c>
      <c r="R1287" s="95">
        <f>Q1287*H1287</f>
        <v>0</v>
      </c>
      <c r="S1287" s="95">
        <v>0</v>
      </c>
      <c r="T1287" s="99">
        <f>S1287*H1287</f>
        <v>0</v>
      </c>
      <c r="AR1287" s="101" t="s">
        <v>218</v>
      </c>
      <c r="AT1287" s="101" t="s">
        <v>214</v>
      </c>
      <c r="AU1287" s="101" t="s">
        <v>87</v>
      </c>
      <c r="AY1287" s="23" t="s">
        <v>211</v>
      </c>
      <c r="BE1287" s="104">
        <f>IF(N1287="základní",J1287,0)</f>
        <v>0</v>
      </c>
      <c r="BF1287" s="104">
        <f>IF(N1287="snížená",J1287,0)</f>
        <v>0</v>
      </c>
      <c r="BG1287" s="104">
        <f>IF(N1287="zákl. přenesená",J1287,0)</f>
        <v>0</v>
      </c>
      <c r="BH1287" s="104">
        <f>IF(N1287="sníž. přenesená",J1287,0)</f>
        <v>0</v>
      </c>
      <c r="BI1287" s="104">
        <f>IF(N1287="nulová",J1287,0)</f>
        <v>0</v>
      </c>
      <c r="BJ1287" s="23" t="s">
        <v>85</v>
      </c>
      <c r="BK1287" s="104">
        <f>ROUND(I1287*H1287,2)</f>
        <v>0</v>
      </c>
      <c r="BL1287" s="23" t="s">
        <v>218</v>
      </c>
      <c r="BM1287" s="101" t="s">
        <v>1787</v>
      </c>
    </row>
    <row r="1288" spans="2:65" s="1" customFormat="1" ht="76.8">
      <c r="B1288" s="12"/>
      <c r="D1288" s="105" t="s">
        <v>227</v>
      </c>
      <c r="F1288" s="106" t="s">
        <v>1673</v>
      </c>
      <c r="I1288" s="107"/>
      <c r="L1288" s="12"/>
      <c r="M1288" s="108"/>
      <c r="T1288" s="111"/>
      <c r="AT1288" s="23" t="s">
        <v>227</v>
      </c>
      <c r="AU1288" s="23" t="s">
        <v>87</v>
      </c>
    </row>
    <row r="1289" spans="2:65" s="1" customFormat="1" ht="62.85" customHeight="1">
      <c r="B1289" s="12"/>
      <c r="C1289" s="71" t="s">
        <v>1788</v>
      </c>
      <c r="D1289" s="71" t="s">
        <v>214</v>
      </c>
      <c r="E1289" s="72" t="s">
        <v>1789</v>
      </c>
      <c r="F1289" s="73" t="s">
        <v>1790</v>
      </c>
      <c r="G1289" s="74" t="s">
        <v>808</v>
      </c>
      <c r="H1289" s="75">
        <v>1</v>
      </c>
      <c r="I1289" s="90"/>
      <c r="J1289" s="91">
        <f>ROUND(I1289*H1289,2)</f>
        <v>0</v>
      </c>
      <c r="K1289" s="92"/>
      <c r="L1289" s="12"/>
      <c r="M1289" s="93" t="s">
        <v>1</v>
      </c>
      <c r="N1289" s="94" t="s">
        <v>42</v>
      </c>
      <c r="P1289" s="95">
        <f>O1289*H1289</f>
        <v>0</v>
      </c>
      <c r="Q1289" s="95">
        <v>0</v>
      </c>
      <c r="R1289" s="95">
        <f>Q1289*H1289</f>
        <v>0</v>
      </c>
      <c r="S1289" s="95">
        <v>0</v>
      </c>
      <c r="T1289" s="99">
        <f>S1289*H1289</f>
        <v>0</v>
      </c>
      <c r="AR1289" s="101" t="s">
        <v>218</v>
      </c>
      <c r="AT1289" s="101" t="s">
        <v>214</v>
      </c>
      <c r="AU1289" s="101" t="s">
        <v>87</v>
      </c>
      <c r="AY1289" s="23" t="s">
        <v>211</v>
      </c>
      <c r="BE1289" s="104">
        <f>IF(N1289="základní",J1289,0)</f>
        <v>0</v>
      </c>
      <c r="BF1289" s="104">
        <f>IF(N1289="snížená",J1289,0)</f>
        <v>0</v>
      </c>
      <c r="BG1289" s="104">
        <f>IF(N1289="zákl. přenesená",J1289,0)</f>
        <v>0</v>
      </c>
      <c r="BH1289" s="104">
        <f>IF(N1289="sníž. přenesená",J1289,0)</f>
        <v>0</v>
      </c>
      <c r="BI1289" s="104">
        <f>IF(N1289="nulová",J1289,0)</f>
        <v>0</v>
      </c>
      <c r="BJ1289" s="23" t="s">
        <v>85</v>
      </c>
      <c r="BK1289" s="104">
        <f>ROUND(I1289*H1289,2)</f>
        <v>0</v>
      </c>
      <c r="BL1289" s="23" t="s">
        <v>218</v>
      </c>
      <c r="BM1289" s="101" t="s">
        <v>1791</v>
      </c>
    </row>
    <row r="1290" spans="2:65" s="1" customFormat="1" ht="76.8">
      <c r="B1290" s="12"/>
      <c r="D1290" s="105" t="s">
        <v>227</v>
      </c>
      <c r="F1290" s="106" t="s">
        <v>1673</v>
      </c>
      <c r="I1290" s="107"/>
      <c r="L1290" s="12"/>
      <c r="M1290" s="108"/>
      <c r="T1290" s="111"/>
      <c r="AT1290" s="23" t="s">
        <v>227</v>
      </c>
      <c r="AU1290" s="23" t="s">
        <v>87</v>
      </c>
    </row>
    <row r="1291" spans="2:65" s="1" customFormat="1" ht="62.85" customHeight="1">
      <c r="B1291" s="12"/>
      <c r="C1291" s="71" t="s">
        <v>1792</v>
      </c>
      <c r="D1291" s="71" t="s">
        <v>214</v>
      </c>
      <c r="E1291" s="72" t="s">
        <v>1793</v>
      </c>
      <c r="F1291" s="73" t="s">
        <v>1794</v>
      </c>
      <c r="G1291" s="74" t="s">
        <v>808</v>
      </c>
      <c r="H1291" s="75">
        <v>1</v>
      </c>
      <c r="I1291" s="90"/>
      <c r="J1291" s="91">
        <f>ROUND(I1291*H1291,2)</f>
        <v>0</v>
      </c>
      <c r="K1291" s="92"/>
      <c r="L1291" s="12"/>
      <c r="M1291" s="93" t="s">
        <v>1</v>
      </c>
      <c r="N1291" s="94" t="s">
        <v>42</v>
      </c>
      <c r="P1291" s="95">
        <f>O1291*H1291</f>
        <v>0</v>
      </c>
      <c r="Q1291" s="95">
        <v>0</v>
      </c>
      <c r="R1291" s="95">
        <f>Q1291*H1291</f>
        <v>0</v>
      </c>
      <c r="S1291" s="95">
        <v>0</v>
      </c>
      <c r="T1291" s="99">
        <f>S1291*H1291</f>
        <v>0</v>
      </c>
      <c r="AR1291" s="101" t="s">
        <v>218</v>
      </c>
      <c r="AT1291" s="101" t="s">
        <v>214</v>
      </c>
      <c r="AU1291" s="101" t="s">
        <v>87</v>
      </c>
      <c r="AY1291" s="23" t="s">
        <v>211</v>
      </c>
      <c r="BE1291" s="104">
        <f>IF(N1291="základní",J1291,0)</f>
        <v>0</v>
      </c>
      <c r="BF1291" s="104">
        <f>IF(N1291="snížená",J1291,0)</f>
        <v>0</v>
      </c>
      <c r="BG1291" s="104">
        <f>IF(N1291="zákl. přenesená",J1291,0)</f>
        <v>0</v>
      </c>
      <c r="BH1291" s="104">
        <f>IF(N1291="sníž. přenesená",J1291,0)</f>
        <v>0</v>
      </c>
      <c r="BI1291" s="104">
        <f>IF(N1291="nulová",J1291,0)</f>
        <v>0</v>
      </c>
      <c r="BJ1291" s="23" t="s">
        <v>85</v>
      </c>
      <c r="BK1291" s="104">
        <f>ROUND(I1291*H1291,2)</f>
        <v>0</v>
      </c>
      <c r="BL1291" s="23" t="s">
        <v>218</v>
      </c>
      <c r="BM1291" s="101" t="s">
        <v>1795</v>
      </c>
    </row>
    <row r="1292" spans="2:65" s="1" customFormat="1" ht="76.8">
      <c r="B1292" s="12"/>
      <c r="D1292" s="105" t="s">
        <v>227</v>
      </c>
      <c r="F1292" s="106" t="s">
        <v>1673</v>
      </c>
      <c r="I1292" s="107"/>
      <c r="L1292" s="12"/>
      <c r="M1292" s="108"/>
      <c r="T1292" s="111"/>
      <c r="AT1292" s="23" t="s">
        <v>227</v>
      </c>
      <c r="AU1292" s="23" t="s">
        <v>87</v>
      </c>
    </row>
    <row r="1293" spans="2:65" s="1" customFormat="1" ht="62.85" customHeight="1">
      <c r="B1293" s="12"/>
      <c r="C1293" s="71" t="s">
        <v>1796</v>
      </c>
      <c r="D1293" s="71" t="s">
        <v>214</v>
      </c>
      <c r="E1293" s="72" t="s">
        <v>1797</v>
      </c>
      <c r="F1293" s="73" t="s">
        <v>1798</v>
      </c>
      <c r="G1293" s="74" t="s">
        <v>808</v>
      </c>
      <c r="H1293" s="75">
        <v>1</v>
      </c>
      <c r="I1293" s="90"/>
      <c r="J1293" s="91">
        <f>ROUND(I1293*H1293,2)</f>
        <v>0</v>
      </c>
      <c r="K1293" s="92"/>
      <c r="L1293" s="12"/>
      <c r="M1293" s="93" t="s">
        <v>1</v>
      </c>
      <c r="N1293" s="94" t="s">
        <v>42</v>
      </c>
      <c r="P1293" s="95">
        <f>O1293*H1293</f>
        <v>0</v>
      </c>
      <c r="Q1293" s="95">
        <v>0</v>
      </c>
      <c r="R1293" s="95">
        <f>Q1293*H1293</f>
        <v>0</v>
      </c>
      <c r="S1293" s="95">
        <v>0</v>
      </c>
      <c r="T1293" s="99">
        <f>S1293*H1293</f>
        <v>0</v>
      </c>
      <c r="AR1293" s="101" t="s">
        <v>218</v>
      </c>
      <c r="AT1293" s="101" t="s">
        <v>214</v>
      </c>
      <c r="AU1293" s="101" t="s">
        <v>87</v>
      </c>
      <c r="AY1293" s="23" t="s">
        <v>211</v>
      </c>
      <c r="BE1293" s="104">
        <f>IF(N1293="základní",J1293,0)</f>
        <v>0</v>
      </c>
      <c r="BF1293" s="104">
        <f>IF(N1293="snížená",J1293,0)</f>
        <v>0</v>
      </c>
      <c r="BG1293" s="104">
        <f>IF(N1293="zákl. přenesená",J1293,0)</f>
        <v>0</v>
      </c>
      <c r="BH1293" s="104">
        <f>IF(N1293="sníž. přenesená",J1293,0)</f>
        <v>0</v>
      </c>
      <c r="BI1293" s="104">
        <f>IF(N1293="nulová",J1293,0)</f>
        <v>0</v>
      </c>
      <c r="BJ1293" s="23" t="s">
        <v>85</v>
      </c>
      <c r="BK1293" s="104">
        <f>ROUND(I1293*H1293,2)</f>
        <v>0</v>
      </c>
      <c r="BL1293" s="23" t="s">
        <v>218</v>
      </c>
      <c r="BM1293" s="101" t="s">
        <v>1799</v>
      </c>
    </row>
    <row r="1294" spans="2:65" s="1" customFormat="1" ht="76.8">
      <c r="B1294" s="12"/>
      <c r="D1294" s="105" t="s">
        <v>227</v>
      </c>
      <c r="F1294" s="106" t="s">
        <v>1673</v>
      </c>
      <c r="I1294" s="107"/>
      <c r="L1294" s="12"/>
      <c r="M1294" s="108"/>
      <c r="T1294" s="111"/>
      <c r="AT1294" s="23" t="s">
        <v>227</v>
      </c>
      <c r="AU1294" s="23" t="s">
        <v>87</v>
      </c>
    </row>
    <row r="1295" spans="2:65" s="1" customFormat="1" ht="62.85" customHeight="1">
      <c r="B1295" s="12"/>
      <c r="C1295" s="71" t="s">
        <v>1800</v>
      </c>
      <c r="D1295" s="71" t="s">
        <v>214</v>
      </c>
      <c r="E1295" s="72" t="s">
        <v>1801</v>
      </c>
      <c r="F1295" s="73" t="s">
        <v>1802</v>
      </c>
      <c r="G1295" s="74" t="s">
        <v>808</v>
      </c>
      <c r="H1295" s="75">
        <v>1</v>
      </c>
      <c r="I1295" s="90"/>
      <c r="J1295" s="91">
        <f>ROUND(I1295*H1295,2)</f>
        <v>0</v>
      </c>
      <c r="K1295" s="92"/>
      <c r="L1295" s="12"/>
      <c r="M1295" s="93" t="s">
        <v>1</v>
      </c>
      <c r="N1295" s="94" t="s">
        <v>42</v>
      </c>
      <c r="P1295" s="95">
        <f>O1295*H1295</f>
        <v>0</v>
      </c>
      <c r="Q1295" s="95">
        <v>0</v>
      </c>
      <c r="R1295" s="95">
        <f>Q1295*H1295</f>
        <v>0</v>
      </c>
      <c r="S1295" s="95">
        <v>0</v>
      </c>
      <c r="T1295" s="99">
        <f>S1295*H1295</f>
        <v>0</v>
      </c>
      <c r="AR1295" s="101" t="s">
        <v>218</v>
      </c>
      <c r="AT1295" s="101" t="s">
        <v>214</v>
      </c>
      <c r="AU1295" s="101" t="s">
        <v>87</v>
      </c>
      <c r="AY1295" s="23" t="s">
        <v>211</v>
      </c>
      <c r="BE1295" s="104">
        <f>IF(N1295="základní",J1295,0)</f>
        <v>0</v>
      </c>
      <c r="BF1295" s="104">
        <f>IF(N1295="snížená",J1295,0)</f>
        <v>0</v>
      </c>
      <c r="BG1295" s="104">
        <f>IF(N1295="zákl. přenesená",J1295,0)</f>
        <v>0</v>
      </c>
      <c r="BH1295" s="104">
        <f>IF(N1295="sníž. přenesená",J1295,0)</f>
        <v>0</v>
      </c>
      <c r="BI1295" s="104">
        <f>IF(N1295="nulová",J1295,0)</f>
        <v>0</v>
      </c>
      <c r="BJ1295" s="23" t="s">
        <v>85</v>
      </c>
      <c r="BK1295" s="104">
        <f>ROUND(I1295*H1295,2)</f>
        <v>0</v>
      </c>
      <c r="BL1295" s="23" t="s">
        <v>218</v>
      </c>
      <c r="BM1295" s="101" t="s">
        <v>1803</v>
      </c>
    </row>
    <row r="1296" spans="2:65" s="1" customFormat="1" ht="76.8">
      <c r="B1296" s="12"/>
      <c r="D1296" s="105" t="s">
        <v>227</v>
      </c>
      <c r="F1296" s="106" t="s">
        <v>1673</v>
      </c>
      <c r="I1296" s="107"/>
      <c r="L1296" s="12"/>
      <c r="M1296" s="108"/>
      <c r="T1296" s="111"/>
      <c r="AT1296" s="23" t="s">
        <v>227</v>
      </c>
      <c r="AU1296" s="23" t="s">
        <v>87</v>
      </c>
    </row>
    <row r="1297" spans="2:65" s="1" customFormat="1" ht="55.5" customHeight="1">
      <c r="B1297" s="12"/>
      <c r="C1297" s="71" t="s">
        <v>1804</v>
      </c>
      <c r="D1297" s="71" t="s">
        <v>214</v>
      </c>
      <c r="E1297" s="72" t="s">
        <v>1805</v>
      </c>
      <c r="F1297" s="73" t="s">
        <v>1806</v>
      </c>
      <c r="G1297" s="74" t="s">
        <v>808</v>
      </c>
      <c r="H1297" s="75">
        <v>1</v>
      </c>
      <c r="I1297" s="90"/>
      <c r="J1297" s="91">
        <f>ROUND(I1297*H1297,2)</f>
        <v>0</v>
      </c>
      <c r="K1297" s="92"/>
      <c r="L1297" s="12"/>
      <c r="M1297" s="93" t="s">
        <v>1</v>
      </c>
      <c r="N1297" s="94" t="s">
        <v>42</v>
      </c>
      <c r="P1297" s="95">
        <f>O1297*H1297</f>
        <v>0</v>
      </c>
      <c r="Q1297" s="95">
        <v>0</v>
      </c>
      <c r="R1297" s="95">
        <f>Q1297*H1297</f>
        <v>0</v>
      </c>
      <c r="S1297" s="95">
        <v>0</v>
      </c>
      <c r="T1297" s="99">
        <f>S1297*H1297</f>
        <v>0</v>
      </c>
      <c r="AR1297" s="101" t="s">
        <v>218</v>
      </c>
      <c r="AT1297" s="101" t="s">
        <v>214</v>
      </c>
      <c r="AU1297" s="101" t="s">
        <v>87</v>
      </c>
      <c r="AY1297" s="23" t="s">
        <v>211</v>
      </c>
      <c r="BE1297" s="104">
        <f>IF(N1297="základní",J1297,0)</f>
        <v>0</v>
      </c>
      <c r="BF1297" s="104">
        <f>IF(N1297="snížená",J1297,0)</f>
        <v>0</v>
      </c>
      <c r="BG1297" s="104">
        <f>IF(N1297="zákl. přenesená",J1297,0)</f>
        <v>0</v>
      </c>
      <c r="BH1297" s="104">
        <f>IF(N1297="sníž. přenesená",J1297,0)</f>
        <v>0</v>
      </c>
      <c r="BI1297" s="104">
        <f>IF(N1297="nulová",J1297,0)</f>
        <v>0</v>
      </c>
      <c r="BJ1297" s="23" t="s">
        <v>85</v>
      </c>
      <c r="BK1297" s="104">
        <f>ROUND(I1297*H1297,2)</f>
        <v>0</v>
      </c>
      <c r="BL1297" s="23" t="s">
        <v>218</v>
      </c>
      <c r="BM1297" s="101" t="s">
        <v>1807</v>
      </c>
    </row>
    <row r="1298" spans="2:65" s="1" customFormat="1" ht="67.2">
      <c r="B1298" s="12"/>
      <c r="D1298" s="105" t="s">
        <v>227</v>
      </c>
      <c r="F1298" s="106" t="s">
        <v>1654</v>
      </c>
      <c r="I1298" s="107"/>
      <c r="L1298" s="12"/>
      <c r="M1298" s="108"/>
      <c r="T1298" s="111"/>
      <c r="AT1298" s="23" t="s">
        <v>227</v>
      </c>
      <c r="AU1298" s="23" t="s">
        <v>87</v>
      </c>
    </row>
    <row r="1299" spans="2:65" s="1" customFormat="1" ht="62.85" customHeight="1">
      <c r="B1299" s="12"/>
      <c r="C1299" s="71" t="s">
        <v>1808</v>
      </c>
      <c r="D1299" s="71" t="s">
        <v>214</v>
      </c>
      <c r="E1299" s="72" t="s">
        <v>1809</v>
      </c>
      <c r="F1299" s="73" t="s">
        <v>1810</v>
      </c>
      <c r="G1299" s="74" t="s">
        <v>808</v>
      </c>
      <c r="H1299" s="75">
        <v>1</v>
      </c>
      <c r="I1299" s="90"/>
      <c r="J1299" s="91">
        <f>ROUND(I1299*H1299,2)</f>
        <v>0</v>
      </c>
      <c r="K1299" s="92"/>
      <c r="L1299" s="12"/>
      <c r="M1299" s="93" t="s">
        <v>1</v>
      </c>
      <c r="N1299" s="94" t="s">
        <v>42</v>
      </c>
      <c r="P1299" s="95">
        <f>O1299*H1299</f>
        <v>0</v>
      </c>
      <c r="Q1299" s="95">
        <v>0</v>
      </c>
      <c r="R1299" s="95">
        <f>Q1299*H1299</f>
        <v>0</v>
      </c>
      <c r="S1299" s="95">
        <v>0</v>
      </c>
      <c r="T1299" s="99">
        <f>S1299*H1299</f>
        <v>0</v>
      </c>
      <c r="AR1299" s="101" t="s">
        <v>218</v>
      </c>
      <c r="AT1299" s="101" t="s">
        <v>214</v>
      </c>
      <c r="AU1299" s="101" t="s">
        <v>87</v>
      </c>
      <c r="AY1299" s="23" t="s">
        <v>211</v>
      </c>
      <c r="BE1299" s="104">
        <f>IF(N1299="základní",J1299,0)</f>
        <v>0</v>
      </c>
      <c r="BF1299" s="104">
        <f>IF(N1299="snížená",J1299,0)</f>
        <v>0</v>
      </c>
      <c r="BG1299" s="104">
        <f>IF(N1299="zákl. přenesená",J1299,0)</f>
        <v>0</v>
      </c>
      <c r="BH1299" s="104">
        <f>IF(N1299="sníž. přenesená",J1299,0)</f>
        <v>0</v>
      </c>
      <c r="BI1299" s="104">
        <f>IF(N1299="nulová",J1299,0)</f>
        <v>0</v>
      </c>
      <c r="BJ1299" s="23" t="s">
        <v>85</v>
      </c>
      <c r="BK1299" s="104">
        <f>ROUND(I1299*H1299,2)</f>
        <v>0</v>
      </c>
      <c r="BL1299" s="23" t="s">
        <v>218</v>
      </c>
      <c r="BM1299" s="101" t="s">
        <v>1811</v>
      </c>
    </row>
    <row r="1300" spans="2:65" s="1" customFormat="1" ht="96">
      <c r="B1300" s="12"/>
      <c r="D1300" s="105" t="s">
        <v>227</v>
      </c>
      <c r="F1300" s="106" t="s">
        <v>1755</v>
      </c>
      <c r="I1300" s="107"/>
      <c r="L1300" s="12"/>
      <c r="M1300" s="108"/>
      <c r="T1300" s="111"/>
      <c r="AT1300" s="23" t="s">
        <v>227</v>
      </c>
      <c r="AU1300" s="23" t="s">
        <v>87</v>
      </c>
    </row>
    <row r="1301" spans="2:65" s="1" customFormat="1" ht="62.85" customHeight="1">
      <c r="B1301" s="12"/>
      <c r="C1301" s="71" t="s">
        <v>1812</v>
      </c>
      <c r="D1301" s="71" t="s">
        <v>214</v>
      </c>
      <c r="E1301" s="72" t="s">
        <v>1813</v>
      </c>
      <c r="F1301" s="73" t="s">
        <v>1814</v>
      </c>
      <c r="G1301" s="74" t="s">
        <v>808</v>
      </c>
      <c r="H1301" s="75">
        <v>1</v>
      </c>
      <c r="I1301" s="90"/>
      <c r="J1301" s="91">
        <f>ROUND(I1301*H1301,2)</f>
        <v>0</v>
      </c>
      <c r="K1301" s="92"/>
      <c r="L1301" s="12"/>
      <c r="M1301" s="93" t="s">
        <v>1</v>
      </c>
      <c r="N1301" s="94" t="s">
        <v>42</v>
      </c>
      <c r="P1301" s="95">
        <f>O1301*H1301</f>
        <v>0</v>
      </c>
      <c r="Q1301" s="95">
        <v>0</v>
      </c>
      <c r="R1301" s="95">
        <f>Q1301*H1301</f>
        <v>0</v>
      </c>
      <c r="S1301" s="95">
        <v>0</v>
      </c>
      <c r="T1301" s="99">
        <f>S1301*H1301</f>
        <v>0</v>
      </c>
      <c r="AR1301" s="101" t="s">
        <v>218</v>
      </c>
      <c r="AT1301" s="101" t="s">
        <v>214</v>
      </c>
      <c r="AU1301" s="101" t="s">
        <v>87</v>
      </c>
      <c r="AY1301" s="23" t="s">
        <v>211</v>
      </c>
      <c r="BE1301" s="104">
        <f>IF(N1301="základní",J1301,0)</f>
        <v>0</v>
      </c>
      <c r="BF1301" s="104">
        <f>IF(N1301="snížená",J1301,0)</f>
        <v>0</v>
      </c>
      <c r="BG1301" s="104">
        <f>IF(N1301="zákl. přenesená",J1301,0)</f>
        <v>0</v>
      </c>
      <c r="BH1301" s="104">
        <f>IF(N1301="sníž. přenesená",J1301,0)</f>
        <v>0</v>
      </c>
      <c r="BI1301" s="104">
        <f>IF(N1301="nulová",J1301,0)</f>
        <v>0</v>
      </c>
      <c r="BJ1301" s="23" t="s">
        <v>85</v>
      </c>
      <c r="BK1301" s="104">
        <f>ROUND(I1301*H1301,2)</f>
        <v>0</v>
      </c>
      <c r="BL1301" s="23" t="s">
        <v>218</v>
      </c>
      <c r="BM1301" s="101" t="s">
        <v>1815</v>
      </c>
    </row>
    <row r="1302" spans="2:65" s="1" customFormat="1" ht="76.8">
      <c r="B1302" s="12"/>
      <c r="D1302" s="105" t="s">
        <v>227</v>
      </c>
      <c r="F1302" s="106" t="s">
        <v>1673</v>
      </c>
      <c r="I1302" s="107"/>
      <c r="L1302" s="12"/>
      <c r="M1302" s="108"/>
      <c r="T1302" s="111"/>
      <c r="AT1302" s="23" t="s">
        <v>227</v>
      </c>
      <c r="AU1302" s="23" t="s">
        <v>87</v>
      </c>
    </row>
    <row r="1303" spans="2:65" s="1" customFormat="1" ht="62.85" customHeight="1">
      <c r="B1303" s="12"/>
      <c r="C1303" s="71" t="s">
        <v>1816</v>
      </c>
      <c r="D1303" s="71" t="s">
        <v>214</v>
      </c>
      <c r="E1303" s="72" t="s">
        <v>1817</v>
      </c>
      <c r="F1303" s="73" t="s">
        <v>1818</v>
      </c>
      <c r="G1303" s="74" t="s">
        <v>808</v>
      </c>
      <c r="H1303" s="75">
        <v>1</v>
      </c>
      <c r="I1303" s="90"/>
      <c r="J1303" s="91">
        <f>ROUND(I1303*H1303,2)</f>
        <v>0</v>
      </c>
      <c r="K1303" s="92"/>
      <c r="L1303" s="12"/>
      <c r="M1303" s="93" t="s">
        <v>1</v>
      </c>
      <c r="N1303" s="94" t="s">
        <v>42</v>
      </c>
      <c r="P1303" s="95">
        <f>O1303*H1303</f>
        <v>0</v>
      </c>
      <c r="Q1303" s="95">
        <v>0</v>
      </c>
      <c r="R1303" s="95">
        <f>Q1303*H1303</f>
        <v>0</v>
      </c>
      <c r="S1303" s="95">
        <v>0</v>
      </c>
      <c r="T1303" s="99">
        <f>S1303*H1303</f>
        <v>0</v>
      </c>
      <c r="AR1303" s="101" t="s">
        <v>218</v>
      </c>
      <c r="AT1303" s="101" t="s">
        <v>214</v>
      </c>
      <c r="AU1303" s="101" t="s">
        <v>87</v>
      </c>
      <c r="AY1303" s="23" t="s">
        <v>211</v>
      </c>
      <c r="BE1303" s="104">
        <f>IF(N1303="základní",J1303,0)</f>
        <v>0</v>
      </c>
      <c r="BF1303" s="104">
        <f>IF(N1303="snížená",J1303,0)</f>
        <v>0</v>
      </c>
      <c r="BG1303" s="104">
        <f>IF(N1303="zákl. přenesená",J1303,0)</f>
        <v>0</v>
      </c>
      <c r="BH1303" s="104">
        <f>IF(N1303="sníž. přenesená",J1303,0)</f>
        <v>0</v>
      </c>
      <c r="BI1303" s="104">
        <f>IF(N1303="nulová",J1303,0)</f>
        <v>0</v>
      </c>
      <c r="BJ1303" s="23" t="s">
        <v>85</v>
      </c>
      <c r="BK1303" s="104">
        <f>ROUND(I1303*H1303,2)</f>
        <v>0</v>
      </c>
      <c r="BL1303" s="23" t="s">
        <v>218</v>
      </c>
      <c r="BM1303" s="101" t="s">
        <v>1819</v>
      </c>
    </row>
    <row r="1304" spans="2:65" s="1" customFormat="1" ht="76.8">
      <c r="B1304" s="12"/>
      <c r="D1304" s="105" t="s">
        <v>227</v>
      </c>
      <c r="F1304" s="106" t="s">
        <v>1673</v>
      </c>
      <c r="I1304" s="107"/>
      <c r="L1304" s="12"/>
      <c r="M1304" s="108"/>
      <c r="T1304" s="111"/>
      <c r="AT1304" s="23" t="s">
        <v>227</v>
      </c>
      <c r="AU1304" s="23" t="s">
        <v>87</v>
      </c>
    </row>
    <row r="1305" spans="2:65" s="1" customFormat="1" ht="62.85" customHeight="1">
      <c r="B1305" s="12"/>
      <c r="C1305" s="71" t="s">
        <v>1820</v>
      </c>
      <c r="D1305" s="71" t="s">
        <v>214</v>
      </c>
      <c r="E1305" s="72" t="s">
        <v>1821</v>
      </c>
      <c r="F1305" s="73" t="s">
        <v>1822</v>
      </c>
      <c r="G1305" s="74" t="s">
        <v>808</v>
      </c>
      <c r="H1305" s="75">
        <v>1</v>
      </c>
      <c r="I1305" s="90"/>
      <c r="J1305" s="91">
        <f>ROUND(I1305*H1305,2)</f>
        <v>0</v>
      </c>
      <c r="K1305" s="92"/>
      <c r="L1305" s="12"/>
      <c r="M1305" s="93" t="s">
        <v>1</v>
      </c>
      <c r="N1305" s="94" t="s">
        <v>42</v>
      </c>
      <c r="P1305" s="95">
        <f>O1305*H1305</f>
        <v>0</v>
      </c>
      <c r="Q1305" s="95">
        <v>0</v>
      </c>
      <c r="R1305" s="95">
        <f>Q1305*H1305</f>
        <v>0</v>
      </c>
      <c r="S1305" s="95">
        <v>0</v>
      </c>
      <c r="T1305" s="99">
        <f>S1305*H1305</f>
        <v>0</v>
      </c>
      <c r="AR1305" s="101" t="s">
        <v>218</v>
      </c>
      <c r="AT1305" s="101" t="s">
        <v>214</v>
      </c>
      <c r="AU1305" s="101" t="s">
        <v>87</v>
      </c>
      <c r="AY1305" s="23" t="s">
        <v>211</v>
      </c>
      <c r="BE1305" s="104">
        <f>IF(N1305="základní",J1305,0)</f>
        <v>0</v>
      </c>
      <c r="BF1305" s="104">
        <f>IF(N1305="snížená",J1305,0)</f>
        <v>0</v>
      </c>
      <c r="BG1305" s="104">
        <f>IF(N1305="zákl. přenesená",J1305,0)</f>
        <v>0</v>
      </c>
      <c r="BH1305" s="104">
        <f>IF(N1305="sníž. přenesená",J1305,0)</f>
        <v>0</v>
      </c>
      <c r="BI1305" s="104">
        <f>IF(N1305="nulová",J1305,0)</f>
        <v>0</v>
      </c>
      <c r="BJ1305" s="23" t="s">
        <v>85</v>
      </c>
      <c r="BK1305" s="104">
        <f>ROUND(I1305*H1305,2)</f>
        <v>0</v>
      </c>
      <c r="BL1305" s="23" t="s">
        <v>218</v>
      </c>
      <c r="BM1305" s="101" t="s">
        <v>1823</v>
      </c>
    </row>
    <row r="1306" spans="2:65" s="1" customFormat="1" ht="76.8">
      <c r="B1306" s="12"/>
      <c r="D1306" s="105" t="s">
        <v>227</v>
      </c>
      <c r="F1306" s="106" t="s">
        <v>1663</v>
      </c>
      <c r="I1306" s="107"/>
      <c r="L1306" s="12"/>
      <c r="M1306" s="108"/>
      <c r="T1306" s="111"/>
      <c r="AT1306" s="23" t="s">
        <v>227</v>
      </c>
      <c r="AU1306" s="23" t="s">
        <v>87</v>
      </c>
    </row>
    <row r="1307" spans="2:65" s="1" customFormat="1" ht="62.85" customHeight="1">
      <c r="B1307" s="12"/>
      <c r="C1307" s="71" t="s">
        <v>1824</v>
      </c>
      <c r="D1307" s="71" t="s">
        <v>214</v>
      </c>
      <c r="E1307" s="72" t="s">
        <v>1825</v>
      </c>
      <c r="F1307" s="73" t="s">
        <v>1826</v>
      </c>
      <c r="G1307" s="74" t="s">
        <v>808</v>
      </c>
      <c r="H1307" s="75">
        <v>1</v>
      </c>
      <c r="I1307" s="90"/>
      <c r="J1307" s="91">
        <f>ROUND(I1307*H1307,2)</f>
        <v>0</v>
      </c>
      <c r="K1307" s="92"/>
      <c r="L1307" s="12"/>
      <c r="M1307" s="93" t="s">
        <v>1</v>
      </c>
      <c r="N1307" s="94" t="s">
        <v>42</v>
      </c>
      <c r="P1307" s="95">
        <f>O1307*H1307</f>
        <v>0</v>
      </c>
      <c r="Q1307" s="95">
        <v>0</v>
      </c>
      <c r="R1307" s="95">
        <f>Q1307*H1307</f>
        <v>0</v>
      </c>
      <c r="S1307" s="95">
        <v>0</v>
      </c>
      <c r="T1307" s="99">
        <f>S1307*H1307</f>
        <v>0</v>
      </c>
      <c r="AR1307" s="101" t="s">
        <v>218</v>
      </c>
      <c r="AT1307" s="101" t="s">
        <v>214</v>
      </c>
      <c r="AU1307" s="101" t="s">
        <v>87</v>
      </c>
      <c r="AY1307" s="23" t="s">
        <v>211</v>
      </c>
      <c r="BE1307" s="104">
        <f>IF(N1307="základní",J1307,0)</f>
        <v>0</v>
      </c>
      <c r="BF1307" s="104">
        <f>IF(N1307="snížená",J1307,0)</f>
        <v>0</v>
      </c>
      <c r="BG1307" s="104">
        <f>IF(N1307="zákl. přenesená",J1307,0)</f>
        <v>0</v>
      </c>
      <c r="BH1307" s="104">
        <f>IF(N1307="sníž. přenesená",J1307,0)</f>
        <v>0</v>
      </c>
      <c r="BI1307" s="104">
        <f>IF(N1307="nulová",J1307,0)</f>
        <v>0</v>
      </c>
      <c r="BJ1307" s="23" t="s">
        <v>85</v>
      </c>
      <c r="BK1307" s="104">
        <f>ROUND(I1307*H1307,2)</f>
        <v>0</v>
      </c>
      <c r="BL1307" s="23" t="s">
        <v>218</v>
      </c>
      <c r="BM1307" s="101" t="s">
        <v>1827</v>
      </c>
    </row>
    <row r="1308" spans="2:65" s="1" customFormat="1" ht="76.8">
      <c r="B1308" s="12"/>
      <c r="D1308" s="105" t="s">
        <v>227</v>
      </c>
      <c r="F1308" s="106" t="s">
        <v>1663</v>
      </c>
      <c r="I1308" s="107"/>
      <c r="L1308" s="12"/>
      <c r="M1308" s="108"/>
      <c r="T1308" s="111"/>
      <c r="AT1308" s="23" t="s">
        <v>227</v>
      </c>
      <c r="AU1308" s="23" t="s">
        <v>87</v>
      </c>
    </row>
    <row r="1309" spans="2:65" s="1" customFormat="1" ht="62.85" customHeight="1">
      <c r="B1309" s="12"/>
      <c r="C1309" s="71" t="s">
        <v>1828</v>
      </c>
      <c r="D1309" s="71" t="s">
        <v>214</v>
      </c>
      <c r="E1309" s="72" t="s">
        <v>1829</v>
      </c>
      <c r="F1309" s="73" t="s">
        <v>1830</v>
      </c>
      <c r="G1309" s="74" t="s">
        <v>808</v>
      </c>
      <c r="H1309" s="75">
        <v>1</v>
      </c>
      <c r="I1309" s="90"/>
      <c r="J1309" s="91">
        <f>ROUND(I1309*H1309,2)</f>
        <v>0</v>
      </c>
      <c r="K1309" s="92"/>
      <c r="L1309" s="12"/>
      <c r="M1309" s="93" t="s">
        <v>1</v>
      </c>
      <c r="N1309" s="94" t="s">
        <v>42</v>
      </c>
      <c r="P1309" s="95">
        <f>O1309*H1309</f>
        <v>0</v>
      </c>
      <c r="Q1309" s="95">
        <v>0</v>
      </c>
      <c r="R1309" s="95">
        <f>Q1309*H1309</f>
        <v>0</v>
      </c>
      <c r="S1309" s="95">
        <v>0</v>
      </c>
      <c r="T1309" s="99">
        <f>S1309*H1309</f>
        <v>0</v>
      </c>
      <c r="AR1309" s="101" t="s">
        <v>218</v>
      </c>
      <c r="AT1309" s="101" t="s">
        <v>214</v>
      </c>
      <c r="AU1309" s="101" t="s">
        <v>87</v>
      </c>
      <c r="AY1309" s="23" t="s">
        <v>211</v>
      </c>
      <c r="BE1309" s="104">
        <f>IF(N1309="základní",J1309,0)</f>
        <v>0</v>
      </c>
      <c r="BF1309" s="104">
        <f>IF(N1309="snížená",J1309,0)</f>
        <v>0</v>
      </c>
      <c r="BG1309" s="104">
        <f>IF(N1309="zákl. přenesená",J1309,0)</f>
        <v>0</v>
      </c>
      <c r="BH1309" s="104">
        <f>IF(N1309="sníž. přenesená",J1309,0)</f>
        <v>0</v>
      </c>
      <c r="BI1309" s="104">
        <f>IF(N1309="nulová",J1309,0)</f>
        <v>0</v>
      </c>
      <c r="BJ1309" s="23" t="s">
        <v>85</v>
      </c>
      <c r="BK1309" s="104">
        <f>ROUND(I1309*H1309,2)</f>
        <v>0</v>
      </c>
      <c r="BL1309" s="23" t="s">
        <v>218</v>
      </c>
      <c r="BM1309" s="101" t="s">
        <v>1831</v>
      </c>
    </row>
    <row r="1310" spans="2:65" s="1" customFormat="1" ht="76.8">
      <c r="B1310" s="12"/>
      <c r="D1310" s="105" t="s">
        <v>227</v>
      </c>
      <c r="F1310" s="106" t="s">
        <v>1673</v>
      </c>
      <c r="I1310" s="107"/>
      <c r="L1310" s="12"/>
      <c r="M1310" s="108"/>
      <c r="T1310" s="111"/>
      <c r="AT1310" s="23" t="s">
        <v>227</v>
      </c>
      <c r="AU1310" s="23" t="s">
        <v>87</v>
      </c>
    </row>
    <row r="1311" spans="2:65" s="1" customFormat="1" ht="55.5" customHeight="1">
      <c r="B1311" s="12"/>
      <c r="C1311" s="71" t="s">
        <v>1832</v>
      </c>
      <c r="D1311" s="71" t="s">
        <v>214</v>
      </c>
      <c r="E1311" s="72" t="s">
        <v>1833</v>
      </c>
      <c r="F1311" s="73" t="s">
        <v>1834</v>
      </c>
      <c r="G1311" s="74" t="s">
        <v>808</v>
      </c>
      <c r="H1311" s="75">
        <v>1</v>
      </c>
      <c r="I1311" s="90"/>
      <c r="J1311" s="91">
        <f>ROUND(I1311*H1311,2)</f>
        <v>0</v>
      </c>
      <c r="K1311" s="92"/>
      <c r="L1311" s="12"/>
      <c r="M1311" s="93" t="s">
        <v>1</v>
      </c>
      <c r="N1311" s="94" t="s">
        <v>42</v>
      </c>
      <c r="P1311" s="95">
        <f>O1311*H1311</f>
        <v>0</v>
      </c>
      <c r="Q1311" s="95">
        <v>0</v>
      </c>
      <c r="R1311" s="95">
        <f>Q1311*H1311</f>
        <v>0</v>
      </c>
      <c r="S1311" s="95">
        <v>0</v>
      </c>
      <c r="T1311" s="99">
        <f>S1311*H1311</f>
        <v>0</v>
      </c>
      <c r="AR1311" s="101" t="s">
        <v>218</v>
      </c>
      <c r="AT1311" s="101" t="s">
        <v>214</v>
      </c>
      <c r="AU1311" s="101" t="s">
        <v>87</v>
      </c>
      <c r="AY1311" s="23" t="s">
        <v>211</v>
      </c>
      <c r="BE1311" s="104">
        <f>IF(N1311="základní",J1311,0)</f>
        <v>0</v>
      </c>
      <c r="BF1311" s="104">
        <f>IF(N1311="snížená",J1311,0)</f>
        <v>0</v>
      </c>
      <c r="BG1311" s="104">
        <f>IF(N1311="zákl. přenesená",J1311,0)</f>
        <v>0</v>
      </c>
      <c r="BH1311" s="104">
        <f>IF(N1311="sníž. přenesená",J1311,0)</f>
        <v>0</v>
      </c>
      <c r="BI1311" s="104">
        <f>IF(N1311="nulová",J1311,0)</f>
        <v>0</v>
      </c>
      <c r="BJ1311" s="23" t="s">
        <v>85</v>
      </c>
      <c r="BK1311" s="104">
        <f>ROUND(I1311*H1311,2)</f>
        <v>0</v>
      </c>
      <c r="BL1311" s="23" t="s">
        <v>218</v>
      </c>
      <c r="BM1311" s="101" t="s">
        <v>1835</v>
      </c>
    </row>
    <row r="1312" spans="2:65" s="1" customFormat="1" ht="67.2">
      <c r="B1312" s="12"/>
      <c r="D1312" s="105" t="s">
        <v>227</v>
      </c>
      <c r="F1312" s="106" t="s">
        <v>1654</v>
      </c>
      <c r="I1312" s="107"/>
      <c r="L1312" s="12"/>
      <c r="M1312" s="108"/>
      <c r="T1312" s="111"/>
      <c r="AT1312" s="23" t="s">
        <v>227</v>
      </c>
      <c r="AU1312" s="23" t="s">
        <v>87</v>
      </c>
    </row>
    <row r="1313" spans="2:65" s="1" customFormat="1" ht="55.5" customHeight="1">
      <c r="B1313" s="12"/>
      <c r="C1313" s="71" t="s">
        <v>1836</v>
      </c>
      <c r="D1313" s="71" t="s">
        <v>214</v>
      </c>
      <c r="E1313" s="72" t="s">
        <v>1837</v>
      </c>
      <c r="F1313" s="73" t="s">
        <v>1838</v>
      </c>
      <c r="G1313" s="74" t="s">
        <v>808</v>
      </c>
      <c r="H1313" s="75">
        <v>1</v>
      </c>
      <c r="I1313" s="90"/>
      <c r="J1313" s="91">
        <f>ROUND(I1313*H1313,2)</f>
        <v>0</v>
      </c>
      <c r="K1313" s="92"/>
      <c r="L1313" s="12"/>
      <c r="M1313" s="93" t="s">
        <v>1</v>
      </c>
      <c r="N1313" s="94" t="s">
        <v>42</v>
      </c>
      <c r="P1313" s="95">
        <f>O1313*H1313</f>
        <v>0</v>
      </c>
      <c r="Q1313" s="95">
        <v>0</v>
      </c>
      <c r="R1313" s="95">
        <f>Q1313*H1313</f>
        <v>0</v>
      </c>
      <c r="S1313" s="95">
        <v>0</v>
      </c>
      <c r="T1313" s="99">
        <f>S1313*H1313</f>
        <v>0</v>
      </c>
      <c r="AR1313" s="101" t="s">
        <v>218</v>
      </c>
      <c r="AT1313" s="101" t="s">
        <v>214</v>
      </c>
      <c r="AU1313" s="101" t="s">
        <v>87</v>
      </c>
      <c r="AY1313" s="23" t="s">
        <v>211</v>
      </c>
      <c r="BE1313" s="104">
        <f>IF(N1313="základní",J1313,0)</f>
        <v>0</v>
      </c>
      <c r="BF1313" s="104">
        <f>IF(N1313="snížená",J1313,0)</f>
        <v>0</v>
      </c>
      <c r="BG1313" s="104">
        <f>IF(N1313="zákl. přenesená",J1313,0)</f>
        <v>0</v>
      </c>
      <c r="BH1313" s="104">
        <f>IF(N1313="sníž. přenesená",J1313,0)</f>
        <v>0</v>
      </c>
      <c r="BI1313" s="104">
        <f>IF(N1313="nulová",J1313,0)</f>
        <v>0</v>
      </c>
      <c r="BJ1313" s="23" t="s">
        <v>85</v>
      </c>
      <c r="BK1313" s="104">
        <f>ROUND(I1313*H1313,2)</f>
        <v>0</v>
      </c>
      <c r="BL1313" s="23" t="s">
        <v>218</v>
      </c>
      <c r="BM1313" s="101" t="s">
        <v>1839</v>
      </c>
    </row>
    <row r="1314" spans="2:65" s="1" customFormat="1" ht="67.2">
      <c r="B1314" s="12"/>
      <c r="D1314" s="105" t="s">
        <v>227</v>
      </c>
      <c r="F1314" s="106" t="s">
        <v>1654</v>
      </c>
      <c r="I1314" s="107"/>
      <c r="L1314" s="12"/>
      <c r="M1314" s="108"/>
      <c r="T1314" s="111"/>
      <c r="AT1314" s="23" t="s">
        <v>227</v>
      </c>
      <c r="AU1314" s="23" t="s">
        <v>87</v>
      </c>
    </row>
    <row r="1315" spans="2:65" s="1" customFormat="1" ht="62.85" customHeight="1">
      <c r="B1315" s="12"/>
      <c r="C1315" s="71" t="s">
        <v>1840</v>
      </c>
      <c r="D1315" s="71" t="s">
        <v>214</v>
      </c>
      <c r="E1315" s="72" t="s">
        <v>1841</v>
      </c>
      <c r="F1315" s="73" t="s">
        <v>1842</v>
      </c>
      <c r="G1315" s="74" t="s">
        <v>808</v>
      </c>
      <c r="H1315" s="75">
        <v>1</v>
      </c>
      <c r="I1315" s="90"/>
      <c r="J1315" s="91">
        <f>ROUND(I1315*H1315,2)</f>
        <v>0</v>
      </c>
      <c r="K1315" s="92"/>
      <c r="L1315" s="12"/>
      <c r="M1315" s="93" t="s">
        <v>1</v>
      </c>
      <c r="N1315" s="94" t="s">
        <v>42</v>
      </c>
      <c r="P1315" s="95">
        <f>O1315*H1315</f>
        <v>0</v>
      </c>
      <c r="Q1315" s="95">
        <v>0</v>
      </c>
      <c r="R1315" s="95">
        <f>Q1315*H1315</f>
        <v>0</v>
      </c>
      <c r="S1315" s="95">
        <v>0</v>
      </c>
      <c r="T1315" s="99">
        <f>S1315*H1315</f>
        <v>0</v>
      </c>
      <c r="AR1315" s="101" t="s">
        <v>218</v>
      </c>
      <c r="AT1315" s="101" t="s">
        <v>214</v>
      </c>
      <c r="AU1315" s="101" t="s">
        <v>87</v>
      </c>
      <c r="AY1315" s="23" t="s">
        <v>211</v>
      </c>
      <c r="BE1315" s="104">
        <f>IF(N1315="základní",J1315,0)</f>
        <v>0</v>
      </c>
      <c r="BF1315" s="104">
        <f>IF(N1315="snížená",J1315,0)</f>
        <v>0</v>
      </c>
      <c r="BG1315" s="104">
        <f>IF(N1315="zákl. přenesená",J1315,0)</f>
        <v>0</v>
      </c>
      <c r="BH1315" s="104">
        <f>IF(N1315="sníž. přenesená",J1315,0)</f>
        <v>0</v>
      </c>
      <c r="BI1315" s="104">
        <f>IF(N1315="nulová",J1315,0)</f>
        <v>0</v>
      </c>
      <c r="BJ1315" s="23" t="s">
        <v>85</v>
      </c>
      <c r="BK1315" s="104">
        <f>ROUND(I1315*H1315,2)</f>
        <v>0</v>
      </c>
      <c r="BL1315" s="23" t="s">
        <v>218</v>
      </c>
      <c r="BM1315" s="101" t="s">
        <v>1843</v>
      </c>
    </row>
    <row r="1316" spans="2:65" s="1" customFormat="1" ht="76.8">
      <c r="B1316" s="12"/>
      <c r="D1316" s="105" t="s">
        <v>227</v>
      </c>
      <c r="F1316" s="106" t="s">
        <v>1673</v>
      </c>
      <c r="I1316" s="107"/>
      <c r="L1316" s="12"/>
      <c r="M1316" s="108"/>
      <c r="T1316" s="111"/>
      <c r="AT1316" s="23" t="s">
        <v>227</v>
      </c>
      <c r="AU1316" s="23" t="s">
        <v>87</v>
      </c>
    </row>
    <row r="1317" spans="2:65" s="1" customFormat="1" ht="62.85" customHeight="1">
      <c r="B1317" s="12"/>
      <c r="C1317" s="71" t="s">
        <v>1844</v>
      </c>
      <c r="D1317" s="71" t="s">
        <v>214</v>
      </c>
      <c r="E1317" s="72" t="s">
        <v>1845</v>
      </c>
      <c r="F1317" s="73" t="s">
        <v>1846</v>
      </c>
      <c r="G1317" s="74" t="s">
        <v>808</v>
      </c>
      <c r="H1317" s="75">
        <v>1</v>
      </c>
      <c r="I1317" s="90"/>
      <c r="J1317" s="91">
        <f>ROUND(I1317*H1317,2)</f>
        <v>0</v>
      </c>
      <c r="K1317" s="92"/>
      <c r="L1317" s="12"/>
      <c r="M1317" s="93" t="s">
        <v>1</v>
      </c>
      <c r="N1317" s="94" t="s">
        <v>42</v>
      </c>
      <c r="P1317" s="95">
        <f>O1317*H1317</f>
        <v>0</v>
      </c>
      <c r="Q1317" s="95">
        <v>0</v>
      </c>
      <c r="R1317" s="95">
        <f>Q1317*H1317</f>
        <v>0</v>
      </c>
      <c r="S1317" s="95">
        <v>0</v>
      </c>
      <c r="T1317" s="99">
        <f>S1317*H1317</f>
        <v>0</v>
      </c>
      <c r="AR1317" s="101" t="s">
        <v>218</v>
      </c>
      <c r="AT1317" s="101" t="s">
        <v>214</v>
      </c>
      <c r="AU1317" s="101" t="s">
        <v>87</v>
      </c>
      <c r="AY1317" s="23" t="s">
        <v>211</v>
      </c>
      <c r="BE1317" s="104">
        <f>IF(N1317="základní",J1317,0)</f>
        <v>0</v>
      </c>
      <c r="BF1317" s="104">
        <f>IF(N1317="snížená",J1317,0)</f>
        <v>0</v>
      </c>
      <c r="BG1317" s="104">
        <f>IF(N1317="zákl. přenesená",J1317,0)</f>
        <v>0</v>
      </c>
      <c r="BH1317" s="104">
        <f>IF(N1317="sníž. přenesená",J1317,0)</f>
        <v>0</v>
      </c>
      <c r="BI1317" s="104">
        <f>IF(N1317="nulová",J1317,0)</f>
        <v>0</v>
      </c>
      <c r="BJ1317" s="23" t="s">
        <v>85</v>
      </c>
      <c r="BK1317" s="104">
        <f>ROUND(I1317*H1317,2)</f>
        <v>0</v>
      </c>
      <c r="BL1317" s="23" t="s">
        <v>218</v>
      </c>
      <c r="BM1317" s="101" t="s">
        <v>1847</v>
      </c>
    </row>
    <row r="1318" spans="2:65" s="1" customFormat="1" ht="76.8">
      <c r="B1318" s="12"/>
      <c r="D1318" s="105" t="s">
        <v>227</v>
      </c>
      <c r="F1318" s="106" t="s">
        <v>1673</v>
      </c>
      <c r="I1318" s="107"/>
      <c r="L1318" s="12"/>
      <c r="M1318" s="108"/>
      <c r="T1318" s="111"/>
      <c r="AT1318" s="23" t="s">
        <v>227</v>
      </c>
      <c r="AU1318" s="23" t="s">
        <v>87</v>
      </c>
    </row>
    <row r="1319" spans="2:65" s="1" customFormat="1" ht="62.85" customHeight="1">
      <c r="B1319" s="12"/>
      <c r="C1319" s="71" t="s">
        <v>1848</v>
      </c>
      <c r="D1319" s="71" t="s">
        <v>214</v>
      </c>
      <c r="E1319" s="72" t="s">
        <v>1849</v>
      </c>
      <c r="F1319" s="73" t="s">
        <v>1850</v>
      </c>
      <c r="G1319" s="74" t="s">
        <v>808</v>
      </c>
      <c r="H1319" s="75">
        <v>1</v>
      </c>
      <c r="I1319" s="90"/>
      <c r="J1319" s="91">
        <f>ROUND(I1319*H1319,2)</f>
        <v>0</v>
      </c>
      <c r="K1319" s="92"/>
      <c r="L1319" s="12"/>
      <c r="M1319" s="93" t="s">
        <v>1</v>
      </c>
      <c r="N1319" s="94" t="s">
        <v>42</v>
      </c>
      <c r="P1319" s="95">
        <f>O1319*H1319</f>
        <v>0</v>
      </c>
      <c r="Q1319" s="95">
        <v>0</v>
      </c>
      <c r="R1319" s="95">
        <f>Q1319*H1319</f>
        <v>0</v>
      </c>
      <c r="S1319" s="95">
        <v>0</v>
      </c>
      <c r="T1319" s="99">
        <f>S1319*H1319</f>
        <v>0</v>
      </c>
      <c r="AR1319" s="101" t="s">
        <v>218</v>
      </c>
      <c r="AT1319" s="101" t="s">
        <v>214</v>
      </c>
      <c r="AU1319" s="101" t="s">
        <v>87</v>
      </c>
      <c r="AY1319" s="23" t="s">
        <v>211</v>
      </c>
      <c r="BE1319" s="104">
        <f>IF(N1319="základní",J1319,0)</f>
        <v>0</v>
      </c>
      <c r="BF1319" s="104">
        <f>IF(N1319="snížená",J1319,0)</f>
        <v>0</v>
      </c>
      <c r="BG1319" s="104">
        <f>IF(N1319="zákl. přenesená",J1319,0)</f>
        <v>0</v>
      </c>
      <c r="BH1319" s="104">
        <f>IF(N1319="sníž. přenesená",J1319,0)</f>
        <v>0</v>
      </c>
      <c r="BI1319" s="104">
        <f>IF(N1319="nulová",J1319,0)</f>
        <v>0</v>
      </c>
      <c r="BJ1319" s="23" t="s">
        <v>85</v>
      </c>
      <c r="BK1319" s="104">
        <f>ROUND(I1319*H1319,2)</f>
        <v>0</v>
      </c>
      <c r="BL1319" s="23" t="s">
        <v>218</v>
      </c>
      <c r="BM1319" s="101" t="s">
        <v>1851</v>
      </c>
    </row>
    <row r="1320" spans="2:65" s="1" customFormat="1" ht="76.8">
      <c r="B1320" s="12"/>
      <c r="D1320" s="105" t="s">
        <v>227</v>
      </c>
      <c r="F1320" s="106" t="s">
        <v>1673</v>
      </c>
      <c r="I1320" s="107"/>
      <c r="L1320" s="12"/>
      <c r="M1320" s="108"/>
      <c r="T1320" s="111"/>
      <c r="AT1320" s="23" t="s">
        <v>227</v>
      </c>
      <c r="AU1320" s="23" t="s">
        <v>87</v>
      </c>
    </row>
    <row r="1321" spans="2:65" s="1" customFormat="1" ht="62.85" customHeight="1">
      <c r="B1321" s="12"/>
      <c r="C1321" s="71" t="s">
        <v>1852</v>
      </c>
      <c r="D1321" s="71" t="s">
        <v>214</v>
      </c>
      <c r="E1321" s="72" t="s">
        <v>1853</v>
      </c>
      <c r="F1321" s="73" t="s">
        <v>1854</v>
      </c>
      <c r="G1321" s="74" t="s">
        <v>808</v>
      </c>
      <c r="H1321" s="75">
        <v>1</v>
      </c>
      <c r="I1321" s="90"/>
      <c r="J1321" s="91">
        <f>ROUND(I1321*H1321,2)</f>
        <v>0</v>
      </c>
      <c r="K1321" s="92"/>
      <c r="L1321" s="12"/>
      <c r="M1321" s="93" t="s">
        <v>1</v>
      </c>
      <c r="N1321" s="94" t="s">
        <v>42</v>
      </c>
      <c r="P1321" s="95">
        <f>O1321*H1321</f>
        <v>0</v>
      </c>
      <c r="Q1321" s="95">
        <v>0</v>
      </c>
      <c r="R1321" s="95">
        <f>Q1321*H1321</f>
        <v>0</v>
      </c>
      <c r="S1321" s="95">
        <v>0</v>
      </c>
      <c r="T1321" s="99">
        <f>S1321*H1321</f>
        <v>0</v>
      </c>
      <c r="AR1321" s="101" t="s">
        <v>218</v>
      </c>
      <c r="AT1321" s="101" t="s">
        <v>214</v>
      </c>
      <c r="AU1321" s="101" t="s">
        <v>87</v>
      </c>
      <c r="AY1321" s="23" t="s">
        <v>211</v>
      </c>
      <c r="BE1321" s="104">
        <f>IF(N1321="základní",J1321,0)</f>
        <v>0</v>
      </c>
      <c r="BF1321" s="104">
        <f>IF(N1321="snížená",J1321,0)</f>
        <v>0</v>
      </c>
      <c r="BG1321" s="104">
        <f>IF(N1321="zákl. přenesená",J1321,0)</f>
        <v>0</v>
      </c>
      <c r="BH1321" s="104">
        <f>IF(N1321="sníž. přenesená",J1321,0)</f>
        <v>0</v>
      </c>
      <c r="BI1321" s="104">
        <f>IF(N1321="nulová",J1321,0)</f>
        <v>0</v>
      </c>
      <c r="BJ1321" s="23" t="s">
        <v>85</v>
      </c>
      <c r="BK1321" s="104">
        <f>ROUND(I1321*H1321,2)</f>
        <v>0</v>
      </c>
      <c r="BL1321" s="23" t="s">
        <v>218</v>
      </c>
      <c r="BM1321" s="101" t="s">
        <v>1855</v>
      </c>
    </row>
    <row r="1322" spans="2:65" s="1" customFormat="1" ht="76.8">
      <c r="B1322" s="12"/>
      <c r="D1322" s="105" t="s">
        <v>227</v>
      </c>
      <c r="F1322" s="106" t="s">
        <v>1673</v>
      </c>
      <c r="I1322" s="107"/>
      <c r="L1322" s="12"/>
      <c r="M1322" s="108"/>
      <c r="T1322" s="111"/>
      <c r="AT1322" s="23" t="s">
        <v>227</v>
      </c>
      <c r="AU1322" s="23" t="s">
        <v>87</v>
      </c>
    </row>
    <row r="1323" spans="2:65" s="1" customFormat="1" ht="62.85" customHeight="1">
      <c r="B1323" s="12"/>
      <c r="C1323" s="71" t="s">
        <v>1856</v>
      </c>
      <c r="D1323" s="71" t="s">
        <v>214</v>
      </c>
      <c r="E1323" s="72" t="s">
        <v>1857</v>
      </c>
      <c r="F1323" s="73" t="s">
        <v>1858</v>
      </c>
      <c r="G1323" s="74" t="s">
        <v>808</v>
      </c>
      <c r="H1323" s="75">
        <v>1</v>
      </c>
      <c r="I1323" s="90"/>
      <c r="J1323" s="91">
        <f>ROUND(I1323*H1323,2)</f>
        <v>0</v>
      </c>
      <c r="K1323" s="92"/>
      <c r="L1323" s="12"/>
      <c r="M1323" s="93" t="s">
        <v>1</v>
      </c>
      <c r="N1323" s="94" t="s">
        <v>42</v>
      </c>
      <c r="P1323" s="95">
        <f>O1323*H1323</f>
        <v>0</v>
      </c>
      <c r="Q1323" s="95">
        <v>0</v>
      </c>
      <c r="R1323" s="95">
        <f>Q1323*H1323</f>
        <v>0</v>
      </c>
      <c r="S1323" s="95">
        <v>0</v>
      </c>
      <c r="T1323" s="99">
        <f>S1323*H1323</f>
        <v>0</v>
      </c>
      <c r="AR1323" s="101" t="s">
        <v>218</v>
      </c>
      <c r="AT1323" s="101" t="s">
        <v>214</v>
      </c>
      <c r="AU1323" s="101" t="s">
        <v>87</v>
      </c>
      <c r="AY1323" s="23" t="s">
        <v>211</v>
      </c>
      <c r="BE1323" s="104">
        <f>IF(N1323="základní",J1323,0)</f>
        <v>0</v>
      </c>
      <c r="BF1323" s="104">
        <f>IF(N1323="snížená",J1323,0)</f>
        <v>0</v>
      </c>
      <c r="BG1323" s="104">
        <f>IF(N1323="zákl. přenesená",J1323,0)</f>
        <v>0</v>
      </c>
      <c r="BH1323" s="104">
        <f>IF(N1323="sníž. přenesená",J1323,0)</f>
        <v>0</v>
      </c>
      <c r="BI1323" s="104">
        <f>IF(N1323="nulová",J1323,0)</f>
        <v>0</v>
      </c>
      <c r="BJ1323" s="23" t="s">
        <v>85</v>
      </c>
      <c r="BK1323" s="104">
        <f>ROUND(I1323*H1323,2)</f>
        <v>0</v>
      </c>
      <c r="BL1323" s="23" t="s">
        <v>218</v>
      </c>
      <c r="BM1323" s="101" t="s">
        <v>1859</v>
      </c>
    </row>
    <row r="1324" spans="2:65" s="1" customFormat="1" ht="76.8">
      <c r="B1324" s="12"/>
      <c r="D1324" s="105" t="s">
        <v>227</v>
      </c>
      <c r="F1324" s="106" t="s">
        <v>1673</v>
      </c>
      <c r="I1324" s="107"/>
      <c r="L1324" s="12"/>
      <c r="M1324" s="108"/>
      <c r="T1324" s="111"/>
      <c r="AT1324" s="23" t="s">
        <v>227</v>
      </c>
      <c r="AU1324" s="23" t="s">
        <v>87</v>
      </c>
    </row>
    <row r="1325" spans="2:65" s="1" customFormat="1" ht="62.85" customHeight="1">
      <c r="B1325" s="12"/>
      <c r="C1325" s="71" t="s">
        <v>1860</v>
      </c>
      <c r="D1325" s="71" t="s">
        <v>214</v>
      </c>
      <c r="E1325" s="72" t="s">
        <v>1861</v>
      </c>
      <c r="F1325" s="73" t="s">
        <v>1862</v>
      </c>
      <c r="G1325" s="74" t="s">
        <v>808</v>
      </c>
      <c r="H1325" s="75">
        <v>1</v>
      </c>
      <c r="I1325" s="90"/>
      <c r="J1325" s="91">
        <f>ROUND(I1325*H1325,2)</f>
        <v>0</v>
      </c>
      <c r="K1325" s="92"/>
      <c r="L1325" s="12"/>
      <c r="M1325" s="93" t="s">
        <v>1</v>
      </c>
      <c r="N1325" s="94" t="s">
        <v>42</v>
      </c>
      <c r="P1325" s="95">
        <f>O1325*H1325</f>
        <v>0</v>
      </c>
      <c r="Q1325" s="95">
        <v>0</v>
      </c>
      <c r="R1325" s="95">
        <f>Q1325*H1325</f>
        <v>0</v>
      </c>
      <c r="S1325" s="95">
        <v>0</v>
      </c>
      <c r="T1325" s="99">
        <f>S1325*H1325</f>
        <v>0</v>
      </c>
      <c r="AR1325" s="101" t="s">
        <v>218</v>
      </c>
      <c r="AT1325" s="101" t="s">
        <v>214</v>
      </c>
      <c r="AU1325" s="101" t="s">
        <v>87</v>
      </c>
      <c r="AY1325" s="23" t="s">
        <v>211</v>
      </c>
      <c r="BE1325" s="104">
        <f>IF(N1325="základní",J1325,0)</f>
        <v>0</v>
      </c>
      <c r="BF1325" s="104">
        <f>IF(N1325="snížená",J1325,0)</f>
        <v>0</v>
      </c>
      <c r="BG1325" s="104">
        <f>IF(N1325="zákl. přenesená",J1325,0)</f>
        <v>0</v>
      </c>
      <c r="BH1325" s="104">
        <f>IF(N1325="sníž. přenesená",J1325,0)</f>
        <v>0</v>
      </c>
      <c r="BI1325" s="104">
        <f>IF(N1325="nulová",J1325,0)</f>
        <v>0</v>
      </c>
      <c r="BJ1325" s="23" t="s">
        <v>85</v>
      </c>
      <c r="BK1325" s="104">
        <f>ROUND(I1325*H1325,2)</f>
        <v>0</v>
      </c>
      <c r="BL1325" s="23" t="s">
        <v>218</v>
      </c>
      <c r="BM1325" s="101" t="s">
        <v>1863</v>
      </c>
    </row>
    <row r="1326" spans="2:65" s="1" customFormat="1" ht="76.8">
      <c r="B1326" s="12"/>
      <c r="D1326" s="105" t="s">
        <v>227</v>
      </c>
      <c r="F1326" s="106" t="s">
        <v>1673</v>
      </c>
      <c r="I1326" s="107"/>
      <c r="L1326" s="12"/>
      <c r="M1326" s="108"/>
      <c r="T1326" s="111"/>
      <c r="AT1326" s="23" t="s">
        <v>227</v>
      </c>
      <c r="AU1326" s="23" t="s">
        <v>87</v>
      </c>
    </row>
    <row r="1327" spans="2:65" s="1" customFormat="1" ht="62.85" customHeight="1">
      <c r="B1327" s="12"/>
      <c r="C1327" s="71" t="s">
        <v>1864</v>
      </c>
      <c r="D1327" s="71" t="s">
        <v>214</v>
      </c>
      <c r="E1327" s="72" t="s">
        <v>1865</v>
      </c>
      <c r="F1327" s="73" t="s">
        <v>1866</v>
      </c>
      <c r="G1327" s="74" t="s">
        <v>808</v>
      </c>
      <c r="H1327" s="75">
        <v>1</v>
      </c>
      <c r="I1327" s="90"/>
      <c r="J1327" s="91">
        <f>ROUND(I1327*H1327,2)</f>
        <v>0</v>
      </c>
      <c r="K1327" s="92"/>
      <c r="L1327" s="12"/>
      <c r="M1327" s="93" t="s">
        <v>1</v>
      </c>
      <c r="N1327" s="94" t="s">
        <v>42</v>
      </c>
      <c r="P1327" s="95">
        <f>O1327*H1327</f>
        <v>0</v>
      </c>
      <c r="Q1327" s="95">
        <v>0</v>
      </c>
      <c r="R1327" s="95">
        <f>Q1327*H1327</f>
        <v>0</v>
      </c>
      <c r="S1327" s="95">
        <v>0</v>
      </c>
      <c r="T1327" s="99">
        <f>S1327*H1327</f>
        <v>0</v>
      </c>
      <c r="AR1327" s="101" t="s">
        <v>218</v>
      </c>
      <c r="AT1327" s="101" t="s">
        <v>214</v>
      </c>
      <c r="AU1327" s="101" t="s">
        <v>87</v>
      </c>
      <c r="AY1327" s="23" t="s">
        <v>211</v>
      </c>
      <c r="BE1327" s="104">
        <f>IF(N1327="základní",J1327,0)</f>
        <v>0</v>
      </c>
      <c r="BF1327" s="104">
        <f>IF(N1327="snížená",J1327,0)</f>
        <v>0</v>
      </c>
      <c r="BG1327" s="104">
        <f>IF(N1327="zákl. přenesená",J1327,0)</f>
        <v>0</v>
      </c>
      <c r="BH1327" s="104">
        <f>IF(N1327="sníž. přenesená",J1327,0)</f>
        <v>0</v>
      </c>
      <c r="BI1327" s="104">
        <f>IF(N1327="nulová",J1327,0)</f>
        <v>0</v>
      </c>
      <c r="BJ1327" s="23" t="s">
        <v>85</v>
      </c>
      <c r="BK1327" s="104">
        <f>ROUND(I1327*H1327,2)</f>
        <v>0</v>
      </c>
      <c r="BL1327" s="23" t="s">
        <v>218</v>
      </c>
      <c r="BM1327" s="101" t="s">
        <v>1867</v>
      </c>
    </row>
    <row r="1328" spans="2:65" s="1" customFormat="1" ht="76.8">
      <c r="B1328" s="12"/>
      <c r="D1328" s="105" t="s">
        <v>227</v>
      </c>
      <c r="F1328" s="106" t="s">
        <v>1673</v>
      </c>
      <c r="I1328" s="107"/>
      <c r="L1328" s="12"/>
      <c r="M1328" s="108"/>
      <c r="T1328" s="111"/>
      <c r="AT1328" s="23" t="s">
        <v>227</v>
      </c>
      <c r="AU1328" s="23" t="s">
        <v>87</v>
      </c>
    </row>
    <row r="1329" spans="2:65" s="1" customFormat="1" ht="62.85" customHeight="1">
      <c r="B1329" s="12"/>
      <c r="C1329" s="71" t="s">
        <v>1868</v>
      </c>
      <c r="D1329" s="71" t="s">
        <v>214</v>
      </c>
      <c r="E1329" s="72" t="s">
        <v>1869</v>
      </c>
      <c r="F1329" s="73" t="s">
        <v>1870</v>
      </c>
      <c r="G1329" s="74" t="s">
        <v>808</v>
      </c>
      <c r="H1329" s="75">
        <v>1</v>
      </c>
      <c r="I1329" s="90"/>
      <c r="J1329" s="91">
        <f>ROUND(I1329*H1329,2)</f>
        <v>0</v>
      </c>
      <c r="K1329" s="92"/>
      <c r="L1329" s="12"/>
      <c r="M1329" s="93" t="s">
        <v>1</v>
      </c>
      <c r="N1329" s="94" t="s">
        <v>42</v>
      </c>
      <c r="P1329" s="95">
        <f>O1329*H1329</f>
        <v>0</v>
      </c>
      <c r="Q1329" s="95">
        <v>0</v>
      </c>
      <c r="R1329" s="95">
        <f>Q1329*H1329</f>
        <v>0</v>
      </c>
      <c r="S1329" s="95">
        <v>0</v>
      </c>
      <c r="T1329" s="99">
        <f>S1329*H1329</f>
        <v>0</v>
      </c>
      <c r="AR1329" s="101" t="s">
        <v>218</v>
      </c>
      <c r="AT1329" s="101" t="s">
        <v>214</v>
      </c>
      <c r="AU1329" s="101" t="s">
        <v>87</v>
      </c>
      <c r="AY1329" s="23" t="s">
        <v>211</v>
      </c>
      <c r="BE1329" s="104">
        <f>IF(N1329="základní",J1329,0)</f>
        <v>0</v>
      </c>
      <c r="BF1329" s="104">
        <f>IF(N1329="snížená",J1329,0)</f>
        <v>0</v>
      </c>
      <c r="BG1329" s="104">
        <f>IF(N1329="zákl. přenesená",J1329,0)</f>
        <v>0</v>
      </c>
      <c r="BH1329" s="104">
        <f>IF(N1329="sníž. přenesená",J1329,0)</f>
        <v>0</v>
      </c>
      <c r="BI1329" s="104">
        <f>IF(N1329="nulová",J1329,0)</f>
        <v>0</v>
      </c>
      <c r="BJ1329" s="23" t="s">
        <v>85</v>
      </c>
      <c r="BK1329" s="104">
        <f>ROUND(I1329*H1329,2)</f>
        <v>0</v>
      </c>
      <c r="BL1329" s="23" t="s">
        <v>218</v>
      </c>
      <c r="BM1329" s="101" t="s">
        <v>1871</v>
      </c>
    </row>
    <row r="1330" spans="2:65" s="1" customFormat="1" ht="76.8">
      <c r="B1330" s="12"/>
      <c r="D1330" s="105" t="s">
        <v>227</v>
      </c>
      <c r="F1330" s="106" t="s">
        <v>1673</v>
      </c>
      <c r="I1330" s="107"/>
      <c r="L1330" s="12"/>
      <c r="M1330" s="108"/>
      <c r="T1330" s="111"/>
      <c r="AT1330" s="23" t="s">
        <v>227</v>
      </c>
      <c r="AU1330" s="23" t="s">
        <v>87</v>
      </c>
    </row>
    <row r="1331" spans="2:65" s="1" customFormat="1" ht="62.85" customHeight="1">
      <c r="B1331" s="12"/>
      <c r="C1331" s="71" t="s">
        <v>1872</v>
      </c>
      <c r="D1331" s="71" t="s">
        <v>214</v>
      </c>
      <c r="E1331" s="72" t="s">
        <v>1873</v>
      </c>
      <c r="F1331" s="73" t="s">
        <v>1874</v>
      </c>
      <c r="G1331" s="74" t="s">
        <v>808</v>
      </c>
      <c r="H1331" s="75">
        <v>1</v>
      </c>
      <c r="I1331" s="90"/>
      <c r="J1331" s="91">
        <f>ROUND(I1331*H1331,2)</f>
        <v>0</v>
      </c>
      <c r="K1331" s="92"/>
      <c r="L1331" s="12"/>
      <c r="M1331" s="93" t="s">
        <v>1</v>
      </c>
      <c r="N1331" s="94" t="s">
        <v>42</v>
      </c>
      <c r="P1331" s="95">
        <f>O1331*H1331</f>
        <v>0</v>
      </c>
      <c r="Q1331" s="95">
        <v>0</v>
      </c>
      <c r="R1331" s="95">
        <f>Q1331*H1331</f>
        <v>0</v>
      </c>
      <c r="S1331" s="95">
        <v>0</v>
      </c>
      <c r="T1331" s="99">
        <f>S1331*H1331</f>
        <v>0</v>
      </c>
      <c r="AR1331" s="101" t="s">
        <v>218</v>
      </c>
      <c r="AT1331" s="101" t="s">
        <v>214</v>
      </c>
      <c r="AU1331" s="101" t="s">
        <v>87</v>
      </c>
      <c r="AY1331" s="23" t="s">
        <v>211</v>
      </c>
      <c r="BE1331" s="104">
        <f>IF(N1331="základní",J1331,0)</f>
        <v>0</v>
      </c>
      <c r="BF1331" s="104">
        <f>IF(N1331="snížená",J1331,0)</f>
        <v>0</v>
      </c>
      <c r="BG1331" s="104">
        <f>IF(N1331="zákl. přenesená",J1331,0)</f>
        <v>0</v>
      </c>
      <c r="BH1331" s="104">
        <f>IF(N1331="sníž. přenesená",J1331,0)</f>
        <v>0</v>
      </c>
      <c r="BI1331" s="104">
        <f>IF(N1331="nulová",J1331,0)</f>
        <v>0</v>
      </c>
      <c r="BJ1331" s="23" t="s">
        <v>85</v>
      </c>
      <c r="BK1331" s="104">
        <f>ROUND(I1331*H1331,2)</f>
        <v>0</v>
      </c>
      <c r="BL1331" s="23" t="s">
        <v>218</v>
      </c>
      <c r="BM1331" s="101" t="s">
        <v>1875</v>
      </c>
    </row>
    <row r="1332" spans="2:65" s="1" customFormat="1" ht="76.8">
      <c r="B1332" s="12"/>
      <c r="D1332" s="105" t="s">
        <v>227</v>
      </c>
      <c r="F1332" s="106" t="s">
        <v>1673</v>
      </c>
      <c r="I1332" s="107"/>
      <c r="L1332" s="12"/>
      <c r="M1332" s="108"/>
      <c r="T1332" s="111"/>
      <c r="AT1332" s="23" t="s">
        <v>227</v>
      </c>
      <c r="AU1332" s="23" t="s">
        <v>87</v>
      </c>
    </row>
    <row r="1333" spans="2:65" s="1" customFormat="1" ht="62.85" customHeight="1">
      <c r="B1333" s="12"/>
      <c r="C1333" s="71" t="s">
        <v>1876</v>
      </c>
      <c r="D1333" s="71" t="s">
        <v>214</v>
      </c>
      <c r="E1333" s="72" t="s">
        <v>1877</v>
      </c>
      <c r="F1333" s="73" t="s">
        <v>1878</v>
      </c>
      <c r="G1333" s="74" t="s">
        <v>808</v>
      </c>
      <c r="H1333" s="75">
        <v>1</v>
      </c>
      <c r="I1333" s="90"/>
      <c r="J1333" s="91">
        <f>ROUND(I1333*H1333,2)</f>
        <v>0</v>
      </c>
      <c r="K1333" s="92"/>
      <c r="L1333" s="12"/>
      <c r="M1333" s="93" t="s">
        <v>1</v>
      </c>
      <c r="N1333" s="94" t="s">
        <v>42</v>
      </c>
      <c r="P1333" s="95">
        <f>O1333*H1333</f>
        <v>0</v>
      </c>
      <c r="Q1333" s="95">
        <v>0</v>
      </c>
      <c r="R1333" s="95">
        <f>Q1333*H1333</f>
        <v>0</v>
      </c>
      <c r="S1333" s="95">
        <v>0</v>
      </c>
      <c r="T1333" s="99">
        <f>S1333*H1333</f>
        <v>0</v>
      </c>
      <c r="AR1333" s="101" t="s">
        <v>218</v>
      </c>
      <c r="AT1333" s="101" t="s">
        <v>214</v>
      </c>
      <c r="AU1333" s="101" t="s">
        <v>87</v>
      </c>
      <c r="AY1333" s="23" t="s">
        <v>211</v>
      </c>
      <c r="BE1333" s="104">
        <f>IF(N1333="základní",J1333,0)</f>
        <v>0</v>
      </c>
      <c r="BF1333" s="104">
        <f>IF(N1333="snížená",J1333,0)</f>
        <v>0</v>
      </c>
      <c r="BG1333" s="104">
        <f>IF(N1333="zákl. přenesená",J1333,0)</f>
        <v>0</v>
      </c>
      <c r="BH1333" s="104">
        <f>IF(N1333="sníž. přenesená",J1333,0)</f>
        <v>0</v>
      </c>
      <c r="BI1333" s="104">
        <f>IF(N1333="nulová",J1333,0)</f>
        <v>0</v>
      </c>
      <c r="BJ1333" s="23" t="s">
        <v>85</v>
      </c>
      <c r="BK1333" s="104">
        <f>ROUND(I1333*H1333,2)</f>
        <v>0</v>
      </c>
      <c r="BL1333" s="23" t="s">
        <v>218</v>
      </c>
      <c r="BM1333" s="101" t="s">
        <v>1879</v>
      </c>
    </row>
    <row r="1334" spans="2:65" s="1" customFormat="1" ht="76.8">
      <c r="B1334" s="12"/>
      <c r="D1334" s="105" t="s">
        <v>227</v>
      </c>
      <c r="F1334" s="106" t="s">
        <v>1663</v>
      </c>
      <c r="I1334" s="107"/>
      <c r="L1334" s="12"/>
      <c r="M1334" s="108"/>
      <c r="T1334" s="111"/>
      <c r="AT1334" s="23" t="s">
        <v>227</v>
      </c>
      <c r="AU1334" s="23" t="s">
        <v>87</v>
      </c>
    </row>
    <row r="1335" spans="2:65" s="1" customFormat="1" ht="62.85" customHeight="1">
      <c r="B1335" s="12"/>
      <c r="C1335" s="71" t="s">
        <v>1880</v>
      </c>
      <c r="D1335" s="71" t="s">
        <v>214</v>
      </c>
      <c r="E1335" s="72" t="s">
        <v>1881</v>
      </c>
      <c r="F1335" s="73" t="s">
        <v>1882</v>
      </c>
      <c r="G1335" s="74" t="s">
        <v>808</v>
      </c>
      <c r="H1335" s="75">
        <v>1</v>
      </c>
      <c r="I1335" s="90"/>
      <c r="J1335" s="91">
        <f>ROUND(I1335*H1335,2)</f>
        <v>0</v>
      </c>
      <c r="K1335" s="92"/>
      <c r="L1335" s="12"/>
      <c r="M1335" s="93" t="s">
        <v>1</v>
      </c>
      <c r="N1335" s="94" t="s">
        <v>42</v>
      </c>
      <c r="P1335" s="95">
        <f>O1335*H1335</f>
        <v>0</v>
      </c>
      <c r="Q1335" s="95">
        <v>0</v>
      </c>
      <c r="R1335" s="95">
        <f>Q1335*H1335</f>
        <v>0</v>
      </c>
      <c r="S1335" s="95">
        <v>0</v>
      </c>
      <c r="T1335" s="99">
        <f>S1335*H1335</f>
        <v>0</v>
      </c>
      <c r="AR1335" s="101" t="s">
        <v>218</v>
      </c>
      <c r="AT1335" s="101" t="s">
        <v>214</v>
      </c>
      <c r="AU1335" s="101" t="s">
        <v>87</v>
      </c>
      <c r="AY1335" s="23" t="s">
        <v>211</v>
      </c>
      <c r="BE1335" s="104">
        <f>IF(N1335="základní",J1335,0)</f>
        <v>0</v>
      </c>
      <c r="BF1335" s="104">
        <f>IF(N1335="snížená",J1335,0)</f>
        <v>0</v>
      </c>
      <c r="BG1335" s="104">
        <f>IF(N1335="zákl. přenesená",J1335,0)</f>
        <v>0</v>
      </c>
      <c r="BH1335" s="104">
        <f>IF(N1335="sníž. přenesená",J1335,0)</f>
        <v>0</v>
      </c>
      <c r="BI1335" s="104">
        <f>IF(N1335="nulová",J1335,0)</f>
        <v>0</v>
      </c>
      <c r="BJ1335" s="23" t="s">
        <v>85</v>
      </c>
      <c r="BK1335" s="104">
        <f>ROUND(I1335*H1335,2)</f>
        <v>0</v>
      </c>
      <c r="BL1335" s="23" t="s">
        <v>218</v>
      </c>
      <c r="BM1335" s="101" t="s">
        <v>1883</v>
      </c>
    </row>
    <row r="1336" spans="2:65" s="1" customFormat="1" ht="76.8">
      <c r="B1336" s="12"/>
      <c r="D1336" s="105" t="s">
        <v>227</v>
      </c>
      <c r="F1336" s="106" t="s">
        <v>1673</v>
      </c>
      <c r="I1336" s="107"/>
      <c r="L1336" s="12"/>
      <c r="M1336" s="108"/>
      <c r="T1336" s="111"/>
      <c r="AT1336" s="23" t="s">
        <v>227</v>
      </c>
      <c r="AU1336" s="23" t="s">
        <v>87</v>
      </c>
    </row>
    <row r="1337" spans="2:65" s="1" customFormat="1" ht="62.85" customHeight="1">
      <c r="B1337" s="12"/>
      <c r="C1337" s="71" t="s">
        <v>1884</v>
      </c>
      <c r="D1337" s="71" t="s">
        <v>214</v>
      </c>
      <c r="E1337" s="72" t="s">
        <v>1885</v>
      </c>
      <c r="F1337" s="73" t="s">
        <v>1886</v>
      </c>
      <c r="G1337" s="74" t="s">
        <v>808</v>
      </c>
      <c r="H1337" s="75">
        <v>1</v>
      </c>
      <c r="I1337" s="90"/>
      <c r="J1337" s="91">
        <f>ROUND(I1337*H1337,2)</f>
        <v>0</v>
      </c>
      <c r="K1337" s="92"/>
      <c r="L1337" s="12"/>
      <c r="M1337" s="93" t="s">
        <v>1</v>
      </c>
      <c r="N1337" s="94" t="s">
        <v>42</v>
      </c>
      <c r="P1337" s="95">
        <f>O1337*H1337</f>
        <v>0</v>
      </c>
      <c r="Q1337" s="95">
        <v>0</v>
      </c>
      <c r="R1337" s="95">
        <f>Q1337*H1337</f>
        <v>0</v>
      </c>
      <c r="S1337" s="95">
        <v>0</v>
      </c>
      <c r="T1337" s="99">
        <f>S1337*H1337</f>
        <v>0</v>
      </c>
      <c r="AR1337" s="101" t="s">
        <v>218</v>
      </c>
      <c r="AT1337" s="101" t="s">
        <v>214</v>
      </c>
      <c r="AU1337" s="101" t="s">
        <v>87</v>
      </c>
      <c r="AY1337" s="23" t="s">
        <v>211</v>
      </c>
      <c r="BE1337" s="104">
        <f>IF(N1337="základní",J1337,0)</f>
        <v>0</v>
      </c>
      <c r="BF1337" s="104">
        <f>IF(N1337="snížená",J1337,0)</f>
        <v>0</v>
      </c>
      <c r="BG1337" s="104">
        <f>IF(N1337="zákl. přenesená",J1337,0)</f>
        <v>0</v>
      </c>
      <c r="BH1337" s="104">
        <f>IF(N1337="sníž. přenesená",J1337,0)</f>
        <v>0</v>
      </c>
      <c r="BI1337" s="104">
        <f>IF(N1337="nulová",J1337,0)</f>
        <v>0</v>
      </c>
      <c r="BJ1337" s="23" t="s">
        <v>85</v>
      </c>
      <c r="BK1337" s="104">
        <f>ROUND(I1337*H1337,2)</f>
        <v>0</v>
      </c>
      <c r="BL1337" s="23" t="s">
        <v>218</v>
      </c>
      <c r="BM1337" s="101" t="s">
        <v>1887</v>
      </c>
    </row>
    <row r="1338" spans="2:65" s="1" customFormat="1" ht="76.8">
      <c r="B1338" s="12"/>
      <c r="D1338" s="105" t="s">
        <v>227</v>
      </c>
      <c r="F1338" s="106" t="s">
        <v>1673</v>
      </c>
      <c r="I1338" s="107"/>
      <c r="L1338" s="12"/>
      <c r="M1338" s="108"/>
      <c r="T1338" s="111"/>
      <c r="AT1338" s="23" t="s">
        <v>227</v>
      </c>
      <c r="AU1338" s="23" t="s">
        <v>87</v>
      </c>
    </row>
    <row r="1339" spans="2:65" s="1" customFormat="1" ht="62.85" customHeight="1">
      <c r="B1339" s="12"/>
      <c r="C1339" s="71" t="s">
        <v>1888</v>
      </c>
      <c r="D1339" s="71" t="s">
        <v>214</v>
      </c>
      <c r="E1339" s="72" t="s">
        <v>1889</v>
      </c>
      <c r="F1339" s="73" t="s">
        <v>1890</v>
      </c>
      <c r="G1339" s="74" t="s">
        <v>808</v>
      </c>
      <c r="H1339" s="75">
        <v>1</v>
      </c>
      <c r="I1339" s="90"/>
      <c r="J1339" s="91">
        <f>ROUND(I1339*H1339,2)</f>
        <v>0</v>
      </c>
      <c r="K1339" s="92"/>
      <c r="L1339" s="12"/>
      <c r="M1339" s="93" t="s">
        <v>1</v>
      </c>
      <c r="N1339" s="94" t="s">
        <v>42</v>
      </c>
      <c r="P1339" s="95">
        <f>O1339*H1339</f>
        <v>0</v>
      </c>
      <c r="Q1339" s="95">
        <v>0</v>
      </c>
      <c r="R1339" s="95">
        <f>Q1339*H1339</f>
        <v>0</v>
      </c>
      <c r="S1339" s="95">
        <v>0</v>
      </c>
      <c r="T1339" s="99">
        <f>S1339*H1339</f>
        <v>0</v>
      </c>
      <c r="AR1339" s="101" t="s">
        <v>218</v>
      </c>
      <c r="AT1339" s="101" t="s">
        <v>214</v>
      </c>
      <c r="AU1339" s="101" t="s">
        <v>87</v>
      </c>
      <c r="AY1339" s="23" t="s">
        <v>211</v>
      </c>
      <c r="BE1339" s="104">
        <f>IF(N1339="základní",J1339,0)</f>
        <v>0</v>
      </c>
      <c r="BF1339" s="104">
        <f>IF(N1339="snížená",J1339,0)</f>
        <v>0</v>
      </c>
      <c r="BG1339" s="104">
        <f>IF(N1339="zákl. přenesená",J1339,0)</f>
        <v>0</v>
      </c>
      <c r="BH1339" s="104">
        <f>IF(N1339="sníž. přenesená",J1339,0)</f>
        <v>0</v>
      </c>
      <c r="BI1339" s="104">
        <f>IF(N1339="nulová",J1339,0)</f>
        <v>0</v>
      </c>
      <c r="BJ1339" s="23" t="s">
        <v>85</v>
      </c>
      <c r="BK1339" s="104">
        <f>ROUND(I1339*H1339,2)</f>
        <v>0</v>
      </c>
      <c r="BL1339" s="23" t="s">
        <v>218</v>
      </c>
      <c r="BM1339" s="101" t="s">
        <v>1891</v>
      </c>
    </row>
    <row r="1340" spans="2:65" s="1" customFormat="1" ht="76.8">
      <c r="B1340" s="12"/>
      <c r="D1340" s="105" t="s">
        <v>227</v>
      </c>
      <c r="F1340" s="106" t="s">
        <v>1673</v>
      </c>
      <c r="I1340" s="107"/>
      <c r="L1340" s="12"/>
      <c r="M1340" s="108"/>
      <c r="T1340" s="111"/>
      <c r="AT1340" s="23" t="s">
        <v>227</v>
      </c>
      <c r="AU1340" s="23" t="s">
        <v>87</v>
      </c>
    </row>
    <row r="1341" spans="2:65" s="1" customFormat="1" ht="62.85" customHeight="1">
      <c r="B1341" s="12"/>
      <c r="C1341" s="71" t="s">
        <v>1892</v>
      </c>
      <c r="D1341" s="71" t="s">
        <v>214</v>
      </c>
      <c r="E1341" s="72" t="s">
        <v>1893</v>
      </c>
      <c r="F1341" s="73" t="s">
        <v>1894</v>
      </c>
      <c r="G1341" s="74" t="s">
        <v>808</v>
      </c>
      <c r="H1341" s="75">
        <v>1</v>
      </c>
      <c r="I1341" s="90"/>
      <c r="J1341" s="91">
        <f>ROUND(I1341*H1341,2)</f>
        <v>0</v>
      </c>
      <c r="K1341" s="92"/>
      <c r="L1341" s="12"/>
      <c r="M1341" s="93" t="s">
        <v>1</v>
      </c>
      <c r="N1341" s="94" t="s">
        <v>42</v>
      </c>
      <c r="P1341" s="95">
        <f>O1341*H1341</f>
        <v>0</v>
      </c>
      <c r="Q1341" s="95">
        <v>0</v>
      </c>
      <c r="R1341" s="95">
        <f>Q1341*H1341</f>
        <v>0</v>
      </c>
      <c r="S1341" s="95">
        <v>0</v>
      </c>
      <c r="T1341" s="99">
        <f>S1341*H1341</f>
        <v>0</v>
      </c>
      <c r="AR1341" s="101" t="s">
        <v>218</v>
      </c>
      <c r="AT1341" s="101" t="s">
        <v>214</v>
      </c>
      <c r="AU1341" s="101" t="s">
        <v>87</v>
      </c>
      <c r="AY1341" s="23" t="s">
        <v>211</v>
      </c>
      <c r="BE1341" s="104">
        <f>IF(N1341="základní",J1341,0)</f>
        <v>0</v>
      </c>
      <c r="BF1341" s="104">
        <f>IF(N1341="snížená",J1341,0)</f>
        <v>0</v>
      </c>
      <c r="BG1341" s="104">
        <f>IF(N1341="zákl. přenesená",J1341,0)</f>
        <v>0</v>
      </c>
      <c r="BH1341" s="104">
        <f>IF(N1341="sníž. přenesená",J1341,0)</f>
        <v>0</v>
      </c>
      <c r="BI1341" s="104">
        <f>IF(N1341="nulová",J1341,0)</f>
        <v>0</v>
      </c>
      <c r="BJ1341" s="23" t="s">
        <v>85</v>
      </c>
      <c r="BK1341" s="104">
        <f>ROUND(I1341*H1341,2)</f>
        <v>0</v>
      </c>
      <c r="BL1341" s="23" t="s">
        <v>218</v>
      </c>
      <c r="BM1341" s="101" t="s">
        <v>1895</v>
      </c>
    </row>
    <row r="1342" spans="2:65" s="1" customFormat="1" ht="76.8">
      <c r="B1342" s="12"/>
      <c r="D1342" s="105" t="s">
        <v>227</v>
      </c>
      <c r="F1342" s="106" t="s">
        <v>1673</v>
      </c>
      <c r="I1342" s="107"/>
      <c r="L1342" s="12"/>
      <c r="M1342" s="108"/>
      <c r="T1342" s="111"/>
      <c r="AT1342" s="23" t="s">
        <v>227</v>
      </c>
      <c r="AU1342" s="23" t="s">
        <v>87</v>
      </c>
    </row>
    <row r="1343" spans="2:65" s="1" customFormat="1" ht="62.85" customHeight="1">
      <c r="B1343" s="12"/>
      <c r="C1343" s="71" t="s">
        <v>1896</v>
      </c>
      <c r="D1343" s="71" t="s">
        <v>214</v>
      </c>
      <c r="E1343" s="72" t="s">
        <v>1897</v>
      </c>
      <c r="F1343" s="73" t="s">
        <v>1898</v>
      </c>
      <c r="G1343" s="74" t="s">
        <v>808</v>
      </c>
      <c r="H1343" s="75">
        <v>1</v>
      </c>
      <c r="I1343" s="90"/>
      <c r="J1343" s="91">
        <f>ROUND(I1343*H1343,2)</f>
        <v>0</v>
      </c>
      <c r="K1343" s="92"/>
      <c r="L1343" s="12"/>
      <c r="M1343" s="93" t="s">
        <v>1</v>
      </c>
      <c r="N1343" s="94" t="s">
        <v>42</v>
      </c>
      <c r="P1343" s="95">
        <f>O1343*H1343</f>
        <v>0</v>
      </c>
      <c r="Q1343" s="95">
        <v>0</v>
      </c>
      <c r="R1343" s="95">
        <f>Q1343*H1343</f>
        <v>0</v>
      </c>
      <c r="S1343" s="95">
        <v>0</v>
      </c>
      <c r="T1343" s="99">
        <f>S1343*H1343</f>
        <v>0</v>
      </c>
      <c r="AR1343" s="101" t="s">
        <v>218</v>
      </c>
      <c r="AT1343" s="101" t="s">
        <v>214</v>
      </c>
      <c r="AU1343" s="101" t="s">
        <v>87</v>
      </c>
      <c r="AY1343" s="23" t="s">
        <v>211</v>
      </c>
      <c r="BE1343" s="104">
        <f>IF(N1343="základní",J1343,0)</f>
        <v>0</v>
      </c>
      <c r="BF1343" s="104">
        <f>IF(N1343="snížená",J1343,0)</f>
        <v>0</v>
      </c>
      <c r="BG1343" s="104">
        <f>IF(N1343="zákl. přenesená",J1343,0)</f>
        <v>0</v>
      </c>
      <c r="BH1343" s="104">
        <f>IF(N1343="sníž. přenesená",J1343,0)</f>
        <v>0</v>
      </c>
      <c r="BI1343" s="104">
        <f>IF(N1343="nulová",J1343,0)</f>
        <v>0</v>
      </c>
      <c r="BJ1343" s="23" t="s">
        <v>85</v>
      </c>
      <c r="BK1343" s="104">
        <f>ROUND(I1343*H1343,2)</f>
        <v>0</v>
      </c>
      <c r="BL1343" s="23" t="s">
        <v>218</v>
      </c>
      <c r="BM1343" s="101" t="s">
        <v>1899</v>
      </c>
    </row>
    <row r="1344" spans="2:65" s="1" customFormat="1" ht="76.8">
      <c r="B1344" s="12"/>
      <c r="D1344" s="105" t="s">
        <v>227</v>
      </c>
      <c r="F1344" s="106" t="s">
        <v>1673</v>
      </c>
      <c r="I1344" s="107"/>
      <c r="L1344" s="12"/>
      <c r="M1344" s="108"/>
      <c r="T1344" s="111"/>
      <c r="AT1344" s="23" t="s">
        <v>227</v>
      </c>
      <c r="AU1344" s="23" t="s">
        <v>87</v>
      </c>
    </row>
    <row r="1345" spans="2:65" s="1" customFormat="1" ht="62.85" customHeight="1">
      <c r="B1345" s="12"/>
      <c r="C1345" s="71" t="s">
        <v>1900</v>
      </c>
      <c r="D1345" s="71" t="s">
        <v>214</v>
      </c>
      <c r="E1345" s="72" t="s">
        <v>1901</v>
      </c>
      <c r="F1345" s="73" t="s">
        <v>1902</v>
      </c>
      <c r="G1345" s="74" t="s">
        <v>808</v>
      </c>
      <c r="H1345" s="75">
        <v>1</v>
      </c>
      <c r="I1345" s="90"/>
      <c r="J1345" s="91">
        <f>ROUND(I1345*H1345,2)</f>
        <v>0</v>
      </c>
      <c r="K1345" s="92"/>
      <c r="L1345" s="12"/>
      <c r="M1345" s="93" t="s">
        <v>1</v>
      </c>
      <c r="N1345" s="94" t="s">
        <v>42</v>
      </c>
      <c r="P1345" s="95">
        <f>O1345*H1345</f>
        <v>0</v>
      </c>
      <c r="Q1345" s="95">
        <v>0</v>
      </c>
      <c r="R1345" s="95">
        <f>Q1345*H1345</f>
        <v>0</v>
      </c>
      <c r="S1345" s="95">
        <v>0</v>
      </c>
      <c r="T1345" s="99">
        <f>S1345*H1345</f>
        <v>0</v>
      </c>
      <c r="AR1345" s="101" t="s">
        <v>218</v>
      </c>
      <c r="AT1345" s="101" t="s">
        <v>214</v>
      </c>
      <c r="AU1345" s="101" t="s">
        <v>87</v>
      </c>
      <c r="AY1345" s="23" t="s">
        <v>211</v>
      </c>
      <c r="BE1345" s="104">
        <f>IF(N1345="základní",J1345,0)</f>
        <v>0</v>
      </c>
      <c r="BF1345" s="104">
        <f>IF(N1345="snížená",J1345,0)</f>
        <v>0</v>
      </c>
      <c r="BG1345" s="104">
        <f>IF(N1345="zákl. přenesená",J1345,0)</f>
        <v>0</v>
      </c>
      <c r="BH1345" s="104">
        <f>IF(N1345="sníž. přenesená",J1345,0)</f>
        <v>0</v>
      </c>
      <c r="BI1345" s="104">
        <f>IF(N1345="nulová",J1345,0)</f>
        <v>0</v>
      </c>
      <c r="BJ1345" s="23" t="s">
        <v>85</v>
      </c>
      <c r="BK1345" s="104">
        <f>ROUND(I1345*H1345,2)</f>
        <v>0</v>
      </c>
      <c r="BL1345" s="23" t="s">
        <v>218</v>
      </c>
      <c r="BM1345" s="101" t="s">
        <v>1903</v>
      </c>
    </row>
    <row r="1346" spans="2:65" s="1" customFormat="1" ht="76.8">
      <c r="B1346" s="12"/>
      <c r="D1346" s="105" t="s">
        <v>227</v>
      </c>
      <c r="F1346" s="106" t="s">
        <v>1673</v>
      </c>
      <c r="I1346" s="107"/>
      <c r="L1346" s="12"/>
      <c r="M1346" s="108"/>
      <c r="T1346" s="111"/>
      <c r="AT1346" s="23" t="s">
        <v>227</v>
      </c>
      <c r="AU1346" s="23" t="s">
        <v>87</v>
      </c>
    </row>
    <row r="1347" spans="2:65" s="1" customFormat="1" ht="62.85" customHeight="1">
      <c r="B1347" s="12"/>
      <c r="C1347" s="71" t="s">
        <v>1904</v>
      </c>
      <c r="D1347" s="71" t="s">
        <v>214</v>
      </c>
      <c r="E1347" s="72" t="s">
        <v>1905</v>
      </c>
      <c r="F1347" s="73" t="s">
        <v>1906</v>
      </c>
      <c r="G1347" s="74" t="s">
        <v>808</v>
      </c>
      <c r="H1347" s="75">
        <v>1</v>
      </c>
      <c r="I1347" s="90"/>
      <c r="J1347" s="91">
        <f>ROUND(I1347*H1347,2)</f>
        <v>0</v>
      </c>
      <c r="K1347" s="92"/>
      <c r="L1347" s="12"/>
      <c r="M1347" s="93" t="s">
        <v>1</v>
      </c>
      <c r="N1347" s="94" t="s">
        <v>42</v>
      </c>
      <c r="P1347" s="95">
        <f>O1347*H1347</f>
        <v>0</v>
      </c>
      <c r="Q1347" s="95">
        <v>0</v>
      </c>
      <c r="R1347" s="95">
        <f>Q1347*H1347</f>
        <v>0</v>
      </c>
      <c r="S1347" s="95">
        <v>0</v>
      </c>
      <c r="T1347" s="99">
        <f>S1347*H1347</f>
        <v>0</v>
      </c>
      <c r="AR1347" s="101" t="s">
        <v>218</v>
      </c>
      <c r="AT1347" s="101" t="s">
        <v>214</v>
      </c>
      <c r="AU1347" s="101" t="s">
        <v>87</v>
      </c>
      <c r="AY1347" s="23" t="s">
        <v>211</v>
      </c>
      <c r="BE1347" s="104">
        <f>IF(N1347="základní",J1347,0)</f>
        <v>0</v>
      </c>
      <c r="BF1347" s="104">
        <f>IF(N1347="snížená",J1347,0)</f>
        <v>0</v>
      </c>
      <c r="BG1347" s="104">
        <f>IF(N1347="zákl. přenesená",J1347,0)</f>
        <v>0</v>
      </c>
      <c r="BH1347" s="104">
        <f>IF(N1347="sníž. přenesená",J1347,0)</f>
        <v>0</v>
      </c>
      <c r="BI1347" s="104">
        <f>IF(N1347="nulová",J1347,0)</f>
        <v>0</v>
      </c>
      <c r="BJ1347" s="23" t="s">
        <v>85</v>
      </c>
      <c r="BK1347" s="104">
        <f>ROUND(I1347*H1347,2)</f>
        <v>0</v>
      </c>
      <c r="BL1347" s="23" t="s">
        <v>218</v>
      </c>
      <c r="BM1347" s="101" t="s">
        <v>1907</v>
      </c>
    </row>
    <row r="1348" spans="2:65" s="1" customFormat="1" ht="76.8">
      <c r="B1348" s="12"/>
      <c r="D1348" s="105" t="s">
        <v>227</v>
      </c>
      <c r="F1348" s="106" t="s">
        <v>1673</v>
      </c>
      <c r="I1348" s="107"/>
      <c r="L1348" s="12"/>
      <c r="M1348" s="108"/>
      <c r="T1348" s="111"/>
      <c r="AT1348" s="23" t="s">
        <v>227</v>
      </c>
      <c r="AU1348" s="23" t="s">
        <v>87</v>
      </c>
    </row>
    <row r="1349" spans="2:65" s="1" customFormat="1" ht="62.85" customHeight="1">
      <c r="B1349" s="12"/>
      <c r="C1349" s="71" t="s">
        <v>1908</v>
      </c>
      <c r="D1349" s="71" t="s">
        <v>214</v>
      </c>
      <c r="E1349" s="72" t="s">
        <v>1909</v>
      </c>
      <c r="F1349" s="73" t="s">
        <v>1910</v>
      </c>
      <c r="G1349" s="74" t="s">
        <v>808</v>
      </c>
      <c r="H1349" s="75">
        <v>1</v>
      </c>
      <c r="I1349" s="90"/>
      <c r="J1349" s="91">
        <f>ROUND(I1349*H1349,2)</f>
        <v>0</v>
      </c>
      <c r="K1349" s="92"/>
      <c r="L1349" s="12"/>
      <c r="M1349" s="93" t="s">
        <v>1</v>
      </c>
      <c r="N1349" s="94" t="s">
        <v>42</v>
      </c>
      <c r="P1349" s="95">
        <f>O1349*H1349</f>
        <v>0</v>
      </c>
      <c r="Q1349" s="95">
        <v>0</v>
      </c>
      <c r="R1349" s="95">
        <f>Q1349*H1349</f>
        <v>0</v>
      </c>
      <c r="S1349" s="95">
        <v>0</v>
      </c>
      <c r="T1349" s="99">
        <f>S1349*H1349</f>
        <v>0</v>
      </c>
      <c r="AR1349" s="101" t="s">
        <v>218</v>
      </c>
      <c r="AT1349" s="101" t="s">
        <v>214</v>
      </c>
      <c r="AU1349" s="101" t="s">
        <v>87</v>
      </c>
      <c r="AY1349" s="23" t="s">
        <v>211</v>
      </c>
      <c r="BE1349" s="104">
        <f>IF(N1349="základní",J1349,0)</f>
        <v>0</v>
      </c>
      <c r="BF1349" s="104">
        <f>IF(N1349="snížená",J1349,0)</f>
        <v>0</v>
      </c>
      <c r="BG1349" s="104">
        <f>IF(N1349="zákl. přenesená",J1349,0)</f>
        <v>0</v>
      </c>
      <c r="BH1349" s="104">
        <f>IF(N1349="sníž. přenesená",J1349,0)</f>
        <v>0</v>
      </c>
      <c r="BI1349" s="104">
        <f>IF(N1349="nulová",J1349,0)</f>
        <v>0</v>
      </c>
      <c r="BJ1349" s="23" t="s">
        <v>85</v>
      </c>
      <c r="BK1349" s="104">
        <f>ROUND(I1349*H1349,2)</f>
        <v>0</v>
      </c>
      <c r="BL1349" s="23" t="s">
        <v>218</v>
      </c>
      <c r="BM1349" s="101" t="s">
        <v>1911</v>
      </c>
    </row>
    <row r="1350" spans="2:65" s="1" customFormat="1" ht="76.8">
      <c r="B1350" s="12"/>
      <c r="D1350" s="105" t="s">
        <v>227</v>
      </c>
      <c r="F1350" s="106" t="s">
        <v>1673</v>
      </c>
      <c r="I1350" s="107"/>
      <c r="L1350" s="12"/>
      <c r="M1350" s="108"/>
      <c r="T1350" s="111"/>
      <c r="AT1350" s="23" t="s">
        <v>227</v>
      </c>
      <c r="AU1350" s="23" t="s">
        <v>87</v>
      </c>
    </row>
    <row r="1351" spans="2:65" s="1" customFormat="1" ht="62.85" customHeight="1">
      <c r="B1351" s="12"/>
      <c r="C1351" s="71" t="s">
        <v>1912</v>
      </c>
      <c r="D1351" s="71" t="s">
        <v>214</v>
      </c>
      <c r="E1351" s="72" t="s">
        <v>1913</v>
      </c>
      <c r="F1351" s="73" t="s">
        <v>1914</v>
      </c>
      <c r="G1351" s="74" t="s">
        <v>808</v>
      </c>
      <c r="H1351" s="75">
        <v>1</v>
      </c>
      <c r="I1351" s="90"/>
      <c r="J1351" s="91">
        <f>ROUND(I1351*H1351,2)</f>
        <v>0</v>
      </c>
      <c r="K1351" s="92"/>
      <c r="L1351" s="12"/>
      <c r="M1351" s="93" t="s">
        <v>1</v>
      </c>
      <c r="N1351" s="94" t="s">
        <v>42</v>
      </c>
      <c r="P1351" s="95">
        <f>O1351*H1351</f>
        <v>0</v>
      </c>
      <c r="Q1351" s="95">
        <v>0</v>
      </c>
      <c r="R1351" s="95">
        <f>Q1351*H1351</f>
        <v>0</v>
      </c>
      <c r="S1351" s="95">
        <v>0</v>
      </c>
      <c r="T1351" s="99">
        <f>S1351*H1351</f>
        <v>0</v>
      </c>
      <c r="AR1351" s="101" t="s">
        <v>218</v>
      </c>
      <c r="AT1351" s="101" t="s">
        <v>214</v>
      </c>
      <c r="AU1351" s="101" t="s">
        <v>87</v>
      </c>
      <c r="AY1351" s="23" t="s">
        <v>211</v>
      </c>
      <c r="BE1351" s="104">
        <f>IF(N1351="základní",J1351,0)</f>
        <v>0</v>
      </c>
      <c r="BF1351" s="104">
        <f>IF(N1351="snížená",J1351,0)</f>
        <v>0</v>
      </c>
      <c r="BG1351" s="104">
        <f>IF(N1351="zákl. přenesená",J1351,0)</f>
        <v>0</v>
      </c>
      <c r="BH1351" s="104">
        <f>IF(N1351="sníž. přenesená",J1351,0)</f>
        <v>0</v>
      </c>
      <c r="BI1351" s="104">
        <f>IF(N1351="nulová",J1351,0)</f>
        <v>0</v>
      </c>
      <c r="BJ1351" s="23" t="s">
        <v>85</v>
      </c>
      <c r="BK1351" s="104">
        <f>ROUND(I1351*H1351,2)</f>
        <v>0</v>
      </c>
      <c r="BL1351" s="23" t="s">
        <v>218</v>
      </c>
      <c r="BM1351" s="101" t="s">
        <v>1915</v>
      </c>
    </row>
    <row r="1352" spans="2:65" s="1" customFormat="1" ht="76.8">
      <c r="B1352" s="12"/>
      <c r="D1352" s="105" t="s">
        <v>227</v>
      </c>
      <c r="F1352" s="106" t="s">
        <v>1673</v>
      </c>
      <c r="I1352" s="107"/>
      <c r="L1352" s="12"/>
      <c r="M1352" s="108"/>
      <c r="T1352" s="111"/>
      <c r="AT1352" s="23" t="s">
        <v>227</v>
      </c>
      <c r="AU1352" s="23" t="s">
        <v>87</v>
      </c>
    </row>
    <row r="1353" spans="2:65" s="1" customFormat="1" ht="62.85" customHeight="1">
      <c r="B1353" s="12"/>
      <c r="C1353" s="71" t="s">
        <v>1916</v>
      </c>
      <c r="D1353" s="71" t="s">
        <v>214</v>
      </c>
      <c r="E1353" s="72" t="s">
        <v>1917</v>
      </c>
      <c r="F1353" s="73" t="s">
        <v>1918</v>
      </c>
      <c r="G1353" s="74" t="s">
        <v>808</v>
      </c>
      <c r="H1353" s="75">
        <v>1</v>
      </c>
      <c r="I1353" s="90"/>
      <c r="J1353" s="91">
        <f>ROUND(I1353*H1353,2)</f>
        <v>0</v>
      </c>
      <c r="K1353" s="92"/>
      <c r="L1353" s="12"/>
      <c r="M1353" s="93" t="s">
        <v>1</v>
      </c>
      <c r="N1353" s="94" t="s">
        <v>42</v>
      </c>
      <c r="P1353" s="95">
        <f>O1353*H1353</f>
        <v>0</v>
      </c>
      <c r="Q1353" s="95">
        <v>0</v>
      </c>
      <c r="R1353" s="95">
        <f>Q1353*H1353</f>
        <v>0</v>
      </c>
      <c r="S1353" s="95">
        <v>0</v>
      </c>
      <c r="T1353" s="99">
        <f>S1353*H1353</f>
        <v>0</v>
      </c>
      <c r="AR1353" s="101" t="s">
        <v>218</v>
      </c>
      <c r="AT1353" s="101" t="s">
        <v>214</v>
      </c>
      <c r="AU1353" s="101" t="s">
        <v>87</v>
      </c>
      <c r="AY1353" s="23" t="s">
        <v>211</v>
      </c>
      <c r="BE1353" s="104">
        <f>IF(N1353="základní",J1353,0)</f>
        <v>0</v>
      </c>
      <c r="BF1353" s="104">
        <f>IF(N1353="snížená",J1353,0)</f>
        <v>0</v>
      </c>
      <c r="BG1353" s="104">
        <f>IF(N1353="zákl. přenesená",J1353,0)</f>
        <v>0</v>
      </c>
      <c r="BH1353" s="104">
        <f>IF(N1353="sníž. přenesená",J1353,0)</f>
        <v>0</v>
      </c>
      <c r="BI1353" s="104">
        <f>IF(N1353="nulová",J1353,0)</f>
        <v>0</v>
      </c>
      <c r="BJ1353" s="23" t="s">
        <v>85</v>
      </c>
      <c r="BK1353" s="104">
        <f>ROUND(I1353*H1353,2)</f>
        <v>0</v>
      </c>
      <c r="BL1353" s="23" t="s">
        <v>218</v>
      </c>
      <c r="BM1353" s="101" t="s">
        <v>1919</v>
      </c>
    </row>
    <row r="1354" spans="2:65" s="1" customFormat="1" ht="76.8">
      <c r="B1354" s="12"/>
      <c r="D1354" s="105" t="s">
        <v>227</v>
      </c>
      <c r="F1354" s="106" t="s">
        <v>1673</v>
      </c>
      <c r="I1354" s="107"/>
      <c r="L1354" s="12"/>
      <c r="M1354" s="108"/>
      <c r="T1354" s="111"/>
      <c r="AT1354" s="23" t="s">
        <v>227</v>
      </c>
      <c r="AU1354" s="23" t="s">
        <v>87</v>
      </c>
    </row>
    <row r="1355" spans="2:65" s="1" customFormat="1" ht="62.85" customHeight="1">
      <c r="B1355" s="12"/>
      <c r="C1355" s="71" t="s">
        <v>1920</v>
      </c>
      <c r="D1355" s="71" t="s">
        <v>214</v>
      </c>
      <c r="E1355" s="72" t="s">
        <v>1921</v>
      </c>
      <c r="F1355" s="73" t="s">
        <v>1922</v>
      </c>
      <c r="G1355" s="74" t="s">
        <v>808</v>
      </c>
      <c r="H1355" s="75">
        <v>1</v>
      </c>
      <c r="I1355" s="90"/>
      <c r="J1355" s="91">
        <f>ROUND(I1355*H1355,2)</f>
        <v>0</v>
      </c>
      <c r="K1355" s="92"/>
      <c r="L1355" s="12"/>
      <c r="M1355" s="93" t="s">
        <v>1</v>
      </c>
      <c r="N1355" s="94" t="s">
        <v>42</v>
      </c>
      <c r="P1355" s="95">
        <f>O1355*H1355</f>
        <v>0</v>
      </c>
      <c r="Q1355" s="95">
        <v>0</v>
      </c>
      <c r="R1355" s="95">
        <f>Q1355*H1355</f>
        <v>0</v>
      </c>
      <c r="S1355" s="95">
        <v>0</v>
      </c>
      <c r="T1355" s="99">
        <f>S1355*H1355</f>
        <v>0</v>
      </c>
      <c r="AR1355" s="101" t="s">
        <v>218</v>
      </c>
      <c r="AT1355" s="101" t="s">
        <v>214</v>
      </c>
      <c r="AU1355" s="101" t="s">
        <v>87</v>
      </c>
      <c r="AY1355" s="23" t="s">
        <v>211</v>
      </c>
      <c r="BE1355" s="104">
        <f>IF(N1355="základní",J1355,0)</f>
        <v>0</v>
      </c>
      <c r="BF1355" s="104">
        <f>IF(N1355="snížená",J1355,0)</f>
        <v>0</v>
      </c>
      <c r="BG1355" s="104">
        <f>IF(N1355="zákl. přenesená",J1355,0)</f>
        <v>0</v>
      </c>
      <c r="BH1355" s="104">
        <f>IF(N1355="sníž. přenesená",J1355,0)</f>
        <v>0</v>
      </c>
      <c r="BI1355" s="104">
        <f>IF(N1355="nulová",J1355,0)</f>
        <v>0</v>
      </c>
      <c r="BJ1355" s="23" t="s">
        <v>85</v>
      </c>
      <c r="BK1355" s="104">
        <f>ROUND(I1355*H1355,2)</f>
        <v>0</v>
      </c>
      <c r="BL1355" s="23" t="s">
        <v>218</v>
      </c>
      <c r="BM1355" s="101" t="s">
        <v>1923</v>
      </c>
    </row>
    <row r="1356" spans="2:65" s="1" customFormat="1" ht="76.8">
      <c r="B1356" s="12"/>
      <c r="D1356" s="105" t="s">
        <v>227</v>
      </c>
      <c r="F1356" s="106" t="s">
        <v>1673</v>
      </c>
      <c r="I1356" s="107"/>
      <c r="L1356" s="12"/>
      <c r="M1356" s="108"/>
      <c r="T1356" s="111"/>
      <c r="AT1356" s="23" t="s">
        <v>227</v>
      </c>
      <c r="AU1356" s="23" t="s">
        <v>87</v>
      </c>
    </row>
    <row r="1357" spans="2:65" s="1" customFormat="1" ht="62.85" customHeight="1">
      <c r="B1357" s="12"/>
      <c r="C1357" s="71" t="s">
        <v>1924</v>
      </c>
      <c r="D1357" s="71" t="s">
        <v>214</v>
      </c>
      <c r="E1357" s="72" t="s">
        <v>1925</v>
      </c>
      <c r="F1357" s="73" t="s">
        <v>1926</v>
      </c>
      <c r="G1357" s="74" t="s">
        <v>808</v>
      </c>
      <c r="H1357" s="75">
        <v>1</v>
      </c>
      <c r="I1357" s="90"/>
      <c r="J1357" s="91">
        <f>ROUND(I1357*H1357,2)</f>
        <v>0</v>
      </c>
      <c r="K1357" s="92"/>
      <c r="L1357" s="12"/>
      <c r="M1357" s="93" t="s">
        <v>1</v>
      </c>
      <c r="N1357" s="94" t="s">
        <v>42</v>
      </c>
      <c r="P1357" s="95">
        <f>O1357*H1357</f>
        <v>0</v>
      </c>
      <c r="Q1357" s="95">
        <v>0</v>
      </c>
      <c r="R1357" s="95">
        <f>Q1357*H1357</f>
        <v>0</v>
      </c>
      <c r="S1357" s="95">
        <v>0</v>
      </c>
      <c r="T1357" s="99">
        <f>S1357*H1357</f>
        <v>0</v>
      </c>
      <c r="AR1357" s="101" t="s">
        <v>218</v>
      </c>
      <c r="AT1357" s="101" t="s">
        <v>214</v>
      </c>
      <c r="AU1357" s="101" t="s">
        <v>87</v>
      </c>
      <c r="AY1357" s="23" t="s">
        <v>211</v>
      </c>
      <c r="BE1357" s="104">
        <f>IF(N1357="základní",J1357,0)</f>
        <v>0</v>
      </c>
      <c r="BF1357" s="104">
        <f>IF(N1357="snížená",J1357,0)</f>
        <v>0</v>
      </c>
      <c r="BG1357" s="104">
        <f>IF(N1357="zákl. přenesená",J1357,0)</f>
        <v>0</v>
      </c>
      <c r="BH1357" s="104">
        <f>IF(N1357="sníž. přenesená",J1357,0)</f>
        <v>0</v>
      </c>
      <c r="BI1357" s="104">
        <f>IF(N1357="nulová",J1357,0)</f>
        <v>0</v>
      </c>
      <c r="BJ1357" s="23" t="s">
        <v>85</v>
      </c>
      <c r="BK1357" s="104">
        <f>ROUND(I1357*H1357,2)</f>
        <v>0</v>
      </c>
      <c r="BL1357" s="23" t="s">
        <v>218</v>
      </c>
      <c r="BM1357" s="101" t="s">
        <v>1927</v>
      </c>
    </row>
    <row r="1358" spans="2:65" s="1" customFormat="1" ht="76.8">
      <c r="B1358" s="12"/>
      <c r="D1358" s="105" t="s">
        <v>227</v>
      </c>
      <c r="F1358" s="106" t="s">
        <v>1673</v>
      </c>
      <c r="I1358" s="107"/>
      <c r="L1358" s="12"/>
      <c r="M1358" s="108"/>
      <c r="T1358" s="111"/>
      <c r="AT1358" s="23" t="s">
        <v>227</v>
      </c>
      <c r="AU1358" s="23" t="s">
        <v>87</v>
      </c>
    </row>
    <row r="1359" spans="2:65" s="1" customFormat="1" ht="62.85" customHeight="1">
      <c r="B1359" s="12"/>
      <c r="C1359" s="71" t="s">
        <v>1928</v>
      </c>
      <c r="D1359" s="71" t="s">
        <v>214</v>
      </c>
      <c r="E1359" s="72" t="s">
        <v>1929</v>
      </c>
      <c r="F1359" s="73" t="s">
        <v>1930</v>
      </c>
      <c r="G1359" s="74" t="s">
        <v>808</v>
      </c>
      <c r="H1359" s="75">
        <v>1</v>
      </c>
      <c r="I1359" s="90"/>
      <c r="J1359" s="91">
        <f>ROUND(I1359*H1359,2)</f>
        <v>0</v>
      </c>
      <c r="K1359" s="92"/>
      <c r="L1359" s="12"/>
      <c r="M1359" s="93" t="s">
        <v>1</v>
      </c>
      <c r="N1359" s="94" t="s">
        <v>42</v>
      </c>
      <c r="P1359" s="95">
        <f>O1359*H1359</f>
        <v>0</v>
      </c>
      <c r="Q1359" s="95">
        <v>0</v>
      </c>
      <c r="R1359" s="95">
        <f>Q1359*H1359</f>
        <v>0</v>
      </c>
      <c r="S1359" s="95">
        <v>0</v>
      </c>
      <c r="T1359" s="99">
        <f>S1359*H1359</f>
        <v>0</v>
      </c>
      <c r="AR1359" s="101" t="s">
        <v>218</v>
      </c>
      <c r="AT1359" s="101" t="s">
        <v>214</v>
      </c>
      <c r="AU1359" s="101" t="s">
        <v>87</v>
      </c>
      <c r="AY1359" s="23" t="s">
        <v>211</v>
      </c>
      <c r="BE1359" s="104">
        <f>IF(N1359="základní",J1359,0)</f>
        <v>0</v>
      </c>
      <c r="BF1359" s="104">
        <f>IF(N1359="snížená",J1359,0)</f>
        <v>0</v>
      </c>
      <c r="BG1359" s="104">
        <f>IF(N1359="zákl. přenesená",J1359,0)</f>
        <v>0</v>
      </c>
      <c r="BH1359" s="104">
        <f>IF(N1359="sníž. přenesená",J1359,0)</f>
        <v>0</v>
      </c>
      <c r="BI1359" s="104">
        <f>IF(N1359="nulová",J1359,0)</f>
        <v>0</v>
      </c>
      <c r="BJ1359" s="23" t="s">
        <v>85</v>
      </c>
      <c r="BK1359" s="104">
        <f>ROUND(I1359*H1359,2)</f>
        <v>0</v>
      </c>
      <c r="BL1359" s="23" t="s">
        <v>218</v>
      </c>
      <c r="BM1359" s="101" t="s">
        <v>1931</v>
      </c>
    </row>
    <row r="1360" spans="2:65" s="1" customFormat="1" ht="76.8">
      <c r="B1360" s="12"/>
      <c r="D1360" s="105" t="s">
        <v>227</v>
      </c>
      <c r="F1360" s="106" t="s">
        <v>1673</v>
      </c>
      <c r="I1360" s="107"/>
      <c r="L1360" s="12"/>
      <c r="M1360" s="108"/>
      <c r="T1360" s="111"/>
      <c r="AT1360" s="23" t="s">
        <v>227</v>
      </c>
      <c r="AU1360" s="23" t="s">
        <v>87</v>
      </c>
    </row>
    <row r="1361" spans="2:65" s="1" customFormat="1" ht="66.75" customHeight="1">
      <c r="B1361" s="12"/>
      <c r="C1361" s="71" t="s">
        <v>1932</v>
      </c>
      <c r="D1361" s="71" t="s">
        <v>214</v>
      </c>
      <c r="E1361" s="72" t="s">
        <v>1933</v>
      </c>
      <c r="F1361" s="73" t="s">
        <v>1934</v>
      </c>
      <c r="G1361" s="74" t="s">
        <v>808</v>
      </c>
      <c r="H1361" s="75">
        <v>1</v>
      </c>
      <c r="I1361" s="90"/>
      <c r="J1361" s="91">
        <f>ROUND(I1361*H1361,2)</f>
        <v>0</v>
      </c>
      <c r="K1361" s="92"/>
      <c r="L1361" s="12"/>
      <c r="M1361" s="93" t="s">
        <v>1</v>
      </c>
      <c r="N1361" s="94" t="s">
        <v>42</v>
      </c>
      <c r="P1361" s="95">
        <f>O1361*H1361</f>
        <v>0</v>
      </c>
      <c r="Q1361" s="95">
        <v>0</v>
      </c>
      <c r="R1361" s="95">
        <f>Q1361*H1361</f>
        <v>0</v>
      </c>
      <c r="S1361" s="95">
        <v>0</v>
      </c>
      <c r="T1361" s="99">
        <f>S1361*H1361</f>
        <v>0</v>
      </c>
      <c r="AR1361" s="101" t="s">
        <v>218</v>
      </c>
      <c r="AT1361" s="101" t="s">
        <v>214</v>
      </c>
      <c r="AU1361" s="101" t="s">
        <v>87</v>
      </c>
      <c r="AY1361" s="23" t="s">
        <v>211</v>
      </c>
      <c r="BE1361" s="104">
        <f>IF(N1361="základní",J1361,0)</f>
        <v>0</v>
      </c>
      <c r="BF1361" s="104">
        <f>IF(N1361="snížená",J1361,0)</f>
        <v>0</v>
      </c>
      <c r="BG1361" s="104">
        <f>IF(N1361="zákl. přenesená",J1361,0)</f>
        <v>0</v>
      </c>
      <c r="BH1361" s="104">
        <f>IF(N1361="sníž. přenesená",J1361,0)</f>
        <v>0</v>
      </c>
      <c r="BI1361" s="104">
        <f>IF(N1361="nulová",J1361,0)</f>
        <v>0</v>
      </c>
      <c r="BJ1361" s="23" t="s">
        <v>85</v>
      </c>
      <c r="BK1361" s="104">
        <f>ROUND(I1361*H1361,2)</f>
        <v>0</v>
      </c>
      <c r="BL1361" s="23" t="s">
        <v>218</v>
      </c>
      <c r="BM1361" s="101" t="s">
        <v>1935</v>
      </c>
    </row>
    <row r="1362" spans="2:65" s="1" customFormat="1" ht="86.4">
      <c r="B1362" s="12"/>
      <c r="D1362" s="105" t="s">
        <v>227</v>
      </c>
      <c r="F1362" s="106" t="s">
        <v>1936</v>
      </c>
      <c r="I1362" s="107"/>
      <c r="L1362" s="12"/>
      <c r="M1362" s="108"/>
      <c r="T1362" s="111"/>
      <c r="AT1362" s="23" t="s">
        <v>227</v>
      </c>
      <c r="AU1362" s="23" t="s">
        <v>87</v>
      </c>
    </row>
    <row r="1363" spans="2:65" s="1" customFormat="1" ht="76.349999999999994" customHeight="1">
      <c r="B1363" s="12"/>
      <c r="C1363" s="71" t="s">
        <v>1937</v>
      </c>
      <c r="D1363" s="71" t="s">
        <v>214</v>
      </c>
      <c r="E1363" s="72" t="s">
        <v>1938</v>
      </c>
      <c r="F1363" s="73" t="s">
        <v>1939</v>
      </c>
      <c r="G1363" s="74" t="s">
        <v>808</v>
      </c>
      <c r="H1363" s="75">
        <v>1</v>
      </c>
      <c r="I1363" s="90"/>
      <c r="J1363" s="91">
        <f>ROUND(I1363*H1363,2)</f>
        <v>0</v>
      </c>
      <c r="K1363" s="92"/>
      <c r="L1363" s="12"/>
      <c r="M1363" s="93" t="s">
        <v>1</v>
      </c>
      <c r="N1363" s="94" t="s">
        <v>42</v>
      </c>
      <c r="P1363" s="95">
        <f>O1363*H1363</f>
        <v>0</v>
      </c>
      <c r="Q1363" s="95">
        <v>0</v>
      </c>
      <c r="R1363" s="95">
        <f>Q1363*H1363</f>
        <v>0</v>
      </c>
      <c r="S1363" s="95">
        <v>0</v>
      </c>
      <c r="T1363" s="99">
        <f>S1363*H1363</f>
        <v>0</v>
      </c>
      <c r="AR1363" s="101" t="s">
        <v>218</v>
      </c>
      <c r="AT1363" s="101" t="s">
        <v>214</v>
      </c>
      <c r="AU1363" s="101" t="s">
        <v>87</v>
      </c>
      <c r="AY1363" s="23" t="s">
        <v>211</v>
      </c>
      <c r="BE1363" s="104">
        <f>IF(N1363="základní",J1363,0)</f>
        <v>0</v>
      </c>
      <c r="BF1363" s="104">
        <f>IF(N1363="snížená",J1363,0)</f>
        <v>0</v>
      </c>
      <c r="BG1363" s="104">
        <f>IF(N1363="zákl. přenesená",J1363,0)</f>
        <v>0</v>
      </c>
      <c r="BH1363" s="104">
        <f>IF(N1363="sníž. přenesená",J1363,0)</f>
        <v>0</v>
      </c>
      <c r="BI1363" s="104">
        <f>IF(N1363="nulová",J1363,0)</f>
        <v>0</v>
      </c>
      <c r="BJ1363" s="23" t="s">
        <v>85</v>
      </c>
      <c r="BK1363" s="104">
        <f>ROUND(I1363*H1363,2)</f>
        <v>0</v>
      </c>
      <c r="BL1363" s="23" t="s">
        <v>218</v>
      </c>
      <c r="BM1363" s="101" t="s">
        <v>1940</v>
      </c>
    </row>
    <row r="1364" spans="2:65" s="1" customFormat="1" ht="105.6">
      <c r="B1364" s="12"/>
      <c r="D1364" s="105" t="s">
        <v>227</v>
      </c>
      <c r="F1364" s="106" t="s">
        <v>1941</v>
      </c>
      <c r="I1364" s="107"/>
      <c r="L1364" s="12"/>
      <c r="M1364" s="108"/>
      <c r="T1364" s="111"/>
      <c r="AT1364" s="23" t="s">
        <v>227</v>
      </c>
      <c r="AU1364" s="23" t="s">
        <v>87</v>
      </c>
    </row>
    <row r="1365" spans="2:65" s="1" customFormat="1" ht="76.349999999999994" customHeight="1">
      <c r="B1365" s="12"/>
      <c r="C1365" s="71" t="s">
        <v>1942</v>
      </c>
      <c r="D1365" s="71" t="s">
        <v>214</v>
      </c>
      <c r="E1365" s="72" t="s">
        <v>1943</v>
      </c>
      <c r="F1365" s="73" t="s">
        <v>1944</v>
      </c>
      <c r="G1365" s="74" t="s">
        <v>808</v>
      </c>
      <c r="H1365" s="75">
        <v>1</v>
      </c>
      <c r="I1365" s="90"/>
      <c r="J1365" s="91">
        <f>ROUND(I1365*H1365,2)</f>
        <v>0</v>
      </c>
      <c r="K1365" s="92"/>
      <c r="L1365" s="12"/>
      <c r="M1365" s="93" t="s">
        <v>1</v>
      </c>
      <c r="N1365" s="94" t="s">
        <v>42</v>
      </c>
      <c r="P1365" s="95">
        <f>O1365*H1365</f>
        <v>0</v>
      </c>
      <c r="Q1365" s="95">
        <v>0</v>
      </c>
      <c r="R1365" s="95">
        <f>Q1365*H1365</f>
        <v>0</v>
      </c>
      <c r="S1365" s="95">
        <v>0</v>
      </c>
      <c r="T1365" s="99">
        <f>S1365*H1365</f>
        <v>0</v>
      </c>
      <c r="AR1365" s="101" t="s">
        <v>218</v>
      </c>
      <c r="AT1365" s="101" t="s">
        <v>214</v>
      </c>
      <c r="AU1365" s="101" t="s">
        <v>87</v>
      </c>
      <c r="AY1365" s="23" t="s">
        <v>211</v>
      </c>
      <c r="BE1365" s="104">
        <f>IF(N1365="základní",J1365,0)</f>
        <v>0</v>
      </c>
      <c r="BF1365" s="104">
        <f>IF(N1365="snížená",J1365,0)</f>
        <v>0</v>
      </c>
      <c r="BG1365" s="104">
        <f>IF(N1365="zákl. přenesená",J1365,0)</f>
        <v>0</v>
      </c>
      <c r="BH1365" s="104">
        <f>IF(N1365="sníž. přenesená",J1365,0)</f>
        <v>0</v>
      </c>
      <c r="BI1365" s="104">
        <f>IF(N1365="nulová",J1365,0)</f>
        <v>0</v>
      </c>
      <c r="BJ1365" s="23" t="s">
        <v>85</v>
      </c>
      <c r="BK1365" s="104">
        <f>ROUND(I1365*H1365,2)</f>
        <v>0</v>
      </c>
      <c r="BL1365" s="23" t="s">
        <v>218</v>
      </c>
      <c r="BM1365" s="101" t="s">
        <v>1945</v>
      </c>
    </row>
    <row r="1366" spans="2:65" s="1" customFormat="1" ht="76.8">
      <c r="B1366" s="12"/>
      <c r="D1366" s="105" t="s">
        <v>227</v>
      </c>
      <c r="F1366" s="106" t="s">
        <v>1946</v>
      </c>
      <c r="I1366" s="107"/>
      <c r="L1366" s="12"/>
      <c r="M1366" s="108"/>
      <c r="T1366" s="111"/>
      <c r="AT1366" s="23" t="s">
        <v>227</v>
      </c>
      <c r="AU1366" s="23" t="s">
        <v>87</v>
      </c>
    </row>
    <row r="1367" spans="2:65" s="1" customFormat="1" ht="55.5" customHeight="1">
      <c r="B1367" s="12"/>
      <c r="C1367" s="71" t="s">
        <v>1947</v>
      </c>
      <c r="D1367" s="71" t="s">
        <v>214</v>
      </c>
      <c r="E1367" s="72" t="s">
        <v>1948</v>
      </c>
      <c r="F1367" s="73" t="s">
        <v>1949</v>
      </c>
      <c r="G1367" s="74" t="s">
        <v>808</v>
      </c>
      <c r="H1367" s="75">
        <v>1</v>
      </c>
      <c r="I1367" s="90"/>
      <c r="J1367" s="91">
        <f>ROUND(I1367*H1367,2)</f>
        <v>0</v>
      </c>
      <c r="K1367" s="92"/>
      <c r="L1367" s="12"/>
      <c r="M1367" s="93" t="s">
        <v>1</v>
      </c>
      <c r="N1367" s="94" t="s">
        <v>42</v>
      </c>
      <c r="P1367" s="95">
        <f>O1367*H1367</f>
        <v>0</v>
      </c>
      <c r="Q1367" s="95">
        <v>0</v>
      </c>
      <c r="R1367" s="95">
        <f>Q1367*H1367</f>
        <v>0</v>
      </c>
      <c r="S1367" s="95">
        <v>0</v>
      </c>
      <c r="T1367" s="99">
        <f>S1367*H1367</f>
        <v>0</v>
      </c>
      <c r="AR1367" s="101" t="s">
        <v>218</v>
      </c>
      <c r="AT1367" s="101" t="s">
        <v>214</v>
      </c>
      <c r="AU1367" s="101" t="s">
        <v>87</v>
      </c>
      <c r="AY1367" s="23" t="s">
        <v>211</v>
      </c>
      <c r="BE1367" s="104">
        <f>IF(N1367="základní",J1367,0)</f>
        <v>0</v>
      </c>
      <c r="BF1367" s="104">
        <f>IF(N1367="snížená",J1367,0)</f>
        <v>0</v>
      </c>
      <c r="BG1367" s="104">
        <f>IF(N1367="zákl. přenesená",J1367,0)</f>
        <v>0</v>
      </c>
      <c r="BH1367" s="104">
        <f>IF(N1367="sníž. přenesená",J1367,0)</f>
        <v>0</v>
      </c>
      <c r="BI1367" s="104">
        <f>IF(N1367="nulová",J1367,0)</f>
        <v>0</v>
      </c>
      <c r="BJ1367" s="23" t="s">
        <v>85</v>
      </c>
      <c r="BK1367" s="104">
        <f>ROUND(I1367*H1367,2)</f>
        <v>0</v>
      </c>
      <c r="BL1367" s="23" t="s">
        <v>218</v>
      </c>
      <c r="BM1367" s="101" t="s">
        <v>1950</v>
      </c>
    </row>
    <row r="1368" spans="2:65" s="1" customFormat="1" ht="67.2">
      <c r="B1368" s="12"/>
      <c r="D1368" s="105" t="s">
        <v>227</v>
      </c>
      <c r="F1368" s="106" t="s">
        <v>1951</v>
      </c>
      <c r="I1368" s="107"/>
      <c r="L1368" s="12"/>
      <c r="M1368" s="108"/>
      <c r="T1368" s="111"/>
      <c r="AT1368" s="23" t="s">
        <v>227</v>
      </c>
      <c r="AU1368" s="23" t="s">
        <v>87</v>
      </c>
    </row>
    <row r="1369" spans="2:65" s="1" customFormat="1" ht="49.35" customHeight="1">
      <c r="B1369" s="12"/>
      <c r="C1369" s="71" t="s">
        <v>1952</v>
      </c>
      <c r="D1369" s="71" t="s">
        <v>214</v>
      </c>
      <c r="E1369" s="72" t="s">
        <v>1953</v>
      </c>
      <c r="F1369" s="73" t="s">
        <v>1954</v>
      </c>
      <c r="G1369" s="74" t="s">
        <v>808</v>
      </c>
      <c r="H1369" s="75">
        <v>1</v>
      </c>
      <c r="I1369" s="90"/>
      <c r="J1369" s="91">
        <f>ROUND(I1369*H1369,2)</f>
        <v>0</v>
      </c>
      <c r="K1369" s="92"/>
      <c r="L1369" s="12"/>
      <c r="M1369" s="93" t="s">
        <v>1</v>
      </c>
      <c r="N1369" s="94" t="s">
        <v>42</v>
      </c>
      <c r="P1369" s="95">
        <f>O1369*H1369</f>
        <v>0</v>
      </c>
      <c r="Q1369" s="95">
        <v>0</v>
      </c>
      <c r="R1369" s="95">
        <f>Q1369*H1369</f>
        <v>0</v>
      </c>
      <c r="S1369" s="95">
        <v>0</v>
      </c>
      <c r="T1369" s="99">
        <f>S1369*H1369</f>
        <v>0</v>
      </c>
      <c r="AR1369" s="101" t="s">
        <v>218</v>
      </c>
      <c r="AT1369" s="101" t="s">
        <v>214</v>
      </c>
      <c r="AU1369" s="101" t="s">
        <v>87</v>
      </c>
      <c r="AY1369" s="23" t="s">
        <v>211</v>
      </c>
      <c r="BE1369" s="104">
        <f>IF(N1369="základní",J1369,0)</f>
        <v>0</v>
      </c>
      <c r="BF1369" s="104">
        <f>IF(N1369="snížená",J1369,0)</f>
        <v>0</v>
      </c>
      <c r="BG1369" s="104">
        <f>IF(N1369="zákl. přenesená",J1369,0)</f>
        <v>0</v>
      </c>
      <c r="BH1369" s="104">
        <f>IF(N1369="sníž. přenesená",J1369,0)</f>
        <v>0</v>
      </c>
      <c r="BI1369" s="104">
        <f>IF(N1369="nulová",J1369,0)</f>
        <v>0</v>
      </c>
      <c r="BJ1369" s="23" t="s">
        <v>85</v>
      </c>
      <c r="BK1369" s="104">
        <f>ROUND(I1369*H1369,2)</f>
        <v>0</v>
      </c>
      <c r="BL1369" s="23" t="s">
        <v>218</v>
      </c>
      <c r="BM1369" s="101" t="s">
        <v>1955</v>
      </c>
    </row>
    <row r="1370" spans="2:65" s="1" customFormat="1" ht="86.4">
      <c r="B1370" s="12"/>
      <c r="D1370" s="105" t="s">
        <v>227</v>
      </c>
      <c r="F1370" s="106" t="s">
        <v>1956</v>
      </c>
      <c r="I1370" s="107"/>
      <c r="L1370" s="12"/>
      <c r="M1370" s="108"/>
      <c r="T1370" s="111"/>
      <c r="AT1370" s="23" t="s">
        <v>227</v>
      </c>
      <c r="AU1370" s="23" t="s">
        <v>87</v>
      </c>
    </row>
    <row r="1371" spans="2:65" s="1" customFormat="1" ht="55.5" customHeight="1">
      <c r="B1371" s="12"/>
      <c r="C1371" s="71" t="s">
        <v>1957</v>
      </c>
      <c r="D1371" s="71" t="s">
        <v>214</v>
      </c>
      <c r="E1371" s="72" t="s">
        <v>1958</v>
      </c>
      <c r="F1371" s="73" t="s">
        <v>1959</v>
      </c>
      <c r="G1371" s="74" t="s">
        <v>808</v>
      </c>
      <c r="H1371" s="75">
        <v>1</v>
      </c>
      <c r="I1371" s="90"/>
      <c r="J1371" s="91">
        <f>ROUND(I1371*H1371,2)</f>
        <v>0</v>
      </c>
      <c r="K1371" s="92"/>
      <c r="L1371" s="12"/>
      <c r="M1371" s="93" t="s">
        <v>1</v>
      </c>
      <c r="N1371" s="94" t="s">
        <v>42</v>
      </c>
      <c r="P1371" s="95">
        <f>O1371*H1371</f>
        <v>0</v>
      </c>
      <c r="Q1371" s="95">
        <v>0</v>
      </c>
      <c r="R1371" s="95">
        <f>Q1371*H1371</f>
        <v>0</v>
      </c>
      <c r="S1371" s="95">
        <v>0</v>
      </c>
      <c r="T1371" s="99">
        <f>S1371*H1371</f>
        <v>0</v>
      </c>
      <c r="AR1371" s="101" t="s">
        <v>218</v>
      </c>
      <c r="AT1371" s="101" t="s">
        <v>214</v>
      </c>
      <c r="AU1371" s="101" t="s">
        <v>87</v>
      </c>
      <c r="AY1371" s="23" t="s">
        <v>211</v>
      </c>
      <c r="BE1371" s="104">
        <f>IF(N1371="základní",J1371,0)</f>
        <v>0</v>
      </c>
      <c r="BF1371" s="104">
        <f>IF(N1371="snížená",J1371,0)</f>
        <v>0</v>
      </c>
      <c r="BG1371" s="104">
        <f>IF(N1371="zákl. přenesená",J1371,0)</f>
        <v>0</v>
      </c>
      <c r="BH1371" s="104">
        <f>IF(N1371="sníž. přenesená",J1371,0)</f>
        <v>0</v>
      </c>
      <c r="BI1371" s="104">
        <f>IF(N1371="nulová",J1371,0)</f>
        <v>0</v>
      </c>
      <c r="BJ1371" s="23" t="s">
        <v>85</v>
      </c>
      <c r="BK1371" s="104">
        <f>ROUND(I1371*H1371,2)</f>
        <v>0</v>
      </c>
      <c r="BL1371" s="23" t="s">
        <v>218</v>
      </c>
      <c r="BM1371" s="101" t="s">
        <v>1960</v>
      </c>
    </row>
    <row r="1372" spans="2:65" s="1" customFormat="1" ht="67.2">
      <c r="B1372" s="12"/>
      <c r="D1372" s="105" t="s">
        <v>227</v>
      </c>
      <c r="F1372" s="106" t="s">
        <v>1961</v>
      </c>
      <c r="I1372" s="107"/>
      <c r="L1372" s="12"/>
      <c r="M1372" s="108"/>
      <c r="T1372" s="111"/>
      <c r="AT1372" s="23" t="s">
        <v>227</v>
      </c>
      <c r="AU1372" s="23" t="s">
        <v>87</v>
      </c>
    </row>
    <row r="1373" spans="2:65" s="1" customFormat="1" ht="55.5" customHeight="1">
      <c r="B1373" s="12"/>
      <c r="C1373" s="71" t="s">
        <v>1962</v>
      </c>
      <c r="D1373" s="71" t="s">
        <v>214</v>
      </c>
      <c r="E1373" s="72" t="s">
        <v>1963</v>
      </c>
      <c r="F1373" s="73" t="s">
        <v>1964</v>
      </c>
      <c r="G1373" s="74" t="s">
        <v>808</v>
      </c>
      <c r="H1373" s="75">
        <v>1</v>
      </c>
      <c r="I1373" s="90"/>
      <c r="J1373" s="91">
        <f>ROUND(I1373*H1373,2)</f>
        <v>0</v>
      </c>
      <c r="K1373" s="92"/>
      <c r="L1373" s="12"/>
      <c r="M1373" s="93" t="s">
        <v>1</v>
      </c>
      <c r="N1373" s="94" t="s">
        <v>42</v>
      </c>
      <c r="P1373" s="95">
        <f>O1373*H1373</f>
        <v>0</v>
      </c>
      <c r="Q1373" s="95">
        <v>0</v>
      </c>
      <c r="R1373" s="95">
        <f>Q1373*H1373</f>
        <v>0</v>
      </c>
      <c r="S1373" s="95">
        <v>0</v>
      </c>
      <c r="T1373" s="99">
        <f>S1373*H1373</f>
        <v>0</v>
      </c>
      <c r="AR1373" s="101" t="s">
        <v>218</v>
      </c>
      <c r="AT1373" s="101" t="s">
        <v>214</v>
      </c>
      <c r="AU1373" s="101" t="s">
        <v>87</v>
      </c>
      <c r="AY1373" s="23" t="s">
        <v>211</v>
      </c>
      <c r="BE1373" s="104">
        <f>IF(N1373="základní",J1373,0)</f>
        <v>0</v>
      </c>
      <c r="BF1373" s="104">
        <f>IF(N1373="snížená",J1373,0)</f>
        <v>0</v>
      </c>
      <c r="BG1373" s="104">
        <f>IF(N1373="zákl. přenesená",J1373,0)</f>
        <v>0</v>
      </c>
      <c r="BH1373" s="104">
        <f>IF(N1373="sníž. přenesená",J1373,0)</f>
        <v>0</v>
      </c>
      <c r="BI1373" s="104">
        <f>IF(N1373="nulová",J1373,0)</f>
        <v>0</v>
      </c>
      <c r="BJ1373" s="23" t="s">
        <v>85</v>
      </c>
      <c r="BK1373" s="104">
        <f>ROUND(I1373*H1373,2)</f>
        <v>0</v>
      </c>
      <c r="BL1373" s="23" t="s">
        <v>218</v>
      </c>
      <c r="BM1373" s="101" t="s">
        <v>1965</v>
      </c>
    </row>
    <row r="1374" spans="2:65" s="1" customFormat="1" ht="67.2">
      <c r="B1374" s="12"/>
      <c r="D1374" s="105" t="s">
        <v>227</v>
      </c>
      <c r="F1374" s="106" t="s">
        <v>1966</v>
      </c>
      <c r="I1374" s="107"/>
      <c r="L1374" s="12"/>
      <c r="M1374" s="108"/>
      <c r="T1374" s="111"/>
      <c r="AT1374" s="23" t="s">
        <v>227</v>
      </c>
      <c r="AU1374" s="23" t="s">
        <v>87</v>
      </c>
    </row>
    <row r="1375" spans="2:65" s="1" customFormat="1" ht="76.349999999999994" customHeight="1">
      <c r="B1375" s="12"/>
      <c r="C1375" s="71" t="s">
        <v>1967</v>
      </c>
      <c r="D1375" s="71" t="s">
        <v>214</v>
      </c>
      <c r="E1375" s="72" t="s">
        <v>1968</v>
      </c>
      <c r="F1375" s="73" t="s">
        <v>1969</v>
      </c>
      <c r="G1375" s="74" t="s">
        <v>808</v>
      </c>
      <c r="H1375" s="75">
        <v>1</v>
      </c>
      <c r="I1375" s="90"/>
      <c r="J1375" s="91">
        <f>ROUND(I1375*H1375,2)</f>
        <v>0</v>
      </c>
      <c r="K1375" s="92"/>
      <c r="L1375" s="12"/>
      <c r="M1375" s="93" t="s">
        <v>1</v>
      </c>
      <c r="N1375" s="94" t="s">
        <v>42</v>
      </c>
      <c r="P1375" s="95">
        <f>O1375*H1375</f>
        <v>0</v>
      </c>
      <c r="Q1375" s="95">
        <v>0</v>
      </c>
      <c r="R1375" s="95">
        <f>Q1375*H1375</f>
        <v>0</v>
      </c>
      <c r="S1375" s="95">
        <v>0</v>
      </c>
      <c r="T1375" s="99">
        <f>S1375*H1375</f>
        <v>0</v>
      </c>
      <c r="AR1375" s="101" t="s">
        <v>218</v>
      </c>
      <c r="AT1375" s="101" t="s">
        <v>214</v>
      </c>
      <c r="AU1375" s="101" t="s">
        <v>87</v>
      </c>
      <c r="AY1375" s="23" t="s">
        <v>211</v>
      </c>
      <c r="BE1375" s="104">
        <f>IF(N1375="základní",J1375,0)</f>
        <v>0</v>
      </c>
      <c r="BF1375" s="104">
        <f>IF(N1375="snížená",J1375,0)</f>
        <v>0</v>
      </c>
      <c r="BG1375" s="104">
        <f>IF(N1375="zákl. přenesená",J1375,0)</f>
        <v>0</v>
      </c>
      <c r="BH1375" s="104">
        <f>IF(N1375="sníž. přenesená",J1375,0)</f>
        <v>0</v>
      </c>
      <c r="BI1375" s="104">
        <f>IF(N1375="nulová",J1375,0)</f>
        <v>0</v>
      </c>
      <c r="BJ1375" s="23" t="s">
        <v>85</v>
      </c>
      <c r="BK1375" s="104">
        <f>ROUND(I1375*H1375,2)</f>
        <v>0</v>
      </c>
      <c r="BL1375" s="23" t="s">
        <v>218</v>
      </c>
      <c r="BM1375" s="101" t="s">
        <v>1970</v>
      </c>
    </row>
    <row r="1376" spans="2:65" s="1" customFormat="1" ht="76.8">
      <c r="B1376" s="12"/>
      <c r="D1376" s="105" t="s">
        <v>227</v>
      </c>
      <c r="F1376" s="106" t="s">
        <v>1946</v>
      </c>
      <c r="I1376" s="107"/>
      <c r="L1376" s="12"/>
      <c r="M1376" s="108"/>
      <c r="T1376" s="111"/>
      <c r="AT1376" s="23" t="s">
        <v>227</v>
      </c>
      <c r="AU1376" s="23" t="s">
        <v>87</v>
      </c>
    </row>
    <row r="1377" spans="2:65" s="1" customFormat="1" ht="55.5" customHeight="1">
      <c r="B1377" s="12"/>
      <c r="C1377" s="71" t="s">
        <v>1971</v>
      </c>
      <c r="D1377" s="71" t="s">
        <v>214</v>
      </c>
      <c r="E1377" s="72" t="s">
        <v>1972</v>
      </c>
      <c r="F1377" s="73" t="s">
        <v>1973</v>
      </c>
      <c r="G1377" s="74" t="s">
        <v>808</v>
      </c>
      <c r="H1377" s="75">
        <v>1</v>
      </c>
      <c r="I1377" s="90"/>
      <c r="J1377" s="91">
        <f>ROUND(I1377*H1377,2)</f>
        <v>0</v>
      </c>
      <c r="K1377" s="92"/>
      <c r="L1377" s="12"/>
      <c r="M1377" s="93" t="s">
        <v>1</v>
      </c>
      <c r="N1377" s="94" t="s">
        <v>42</v>
      </c>
      <c r="P1377" s="95">
        <f>O1377*H1377</f>
        <v>0</v>
      </c>
      <c r="Q1377" s="95">
        <v>0</v>
      </c>
      <c r="R1377" s="95">
        <f>Q1377*H1377</f>
        <v>0</v>
      </c>
      <c r="S1377" s="95">
        <v>0</v>
      </c>
      <c r="T1377" s="99">
        <f>S1377*H1377</f>
        <v>0</v>
      </c>
      <c r="AR1377" s="101" t="s">
        <v>218</v>
      </c>
      <c r="AT1377" s="101" t="s">
        <v>214</v>
      </c>
      <c r="AU1377" s="101" t="s">
        <v>87</v>
      </c>
      <c r="AY1377" s="23" t="s">
        <v>211</v>
      </c>
      <c r="BE1377" s="104">
        <f>IF(N1377="základní",J1377,0)</f>
        <v>0</v>
      </c>
      <c r="BF1377" s="104">
        <f>IF(N1377="snížená",J1377,0)</f>
        <v>0</v>
      </c>
      <c r="BG1377" s="104">
        <f>IF(N1377="zákl. přenesená",J1377,0)</f>
        <v>0</v>
      </c>
      <c r="BH1377" s="104">
        <f>IF(N1377="sníž. přenesená",J1377,0)</f>
        <v>0</v>
      </c>
      <c r="BI1377" s="104">
        <f>IF(N1377="nulová",J1377,0)</f>
        <v>0</v>
      </c>
      <c r="BJ1377" s="23" t="s">
        <v>85</v>
      </c>
      <c r="BK1377" s="104">
        <f>ROUND(I1377*H1377,2)</f>
        <v>0</v>
      </c>
      <c r="BL1377" s="23" t="s">
        <v>218</v>
      </c>
      <c r="BM1377" s="101" t="s">
        <v>1974</v>
      </c>
    </row>
    <row r="1378" spans="2:65" s="1" customFormat="1" ht="67.2">
      <c r="B1378" s="12"/>
      <c r="D1378" s="105" t="s">
        <v>227</v>
      </c>
      <c r="F1378" s="106" t="s">
        <v>1951</v>
      </c>
      <c r="I1378" s="107"/>
      <c r="L1378" s="12"/>
      <c r="M1378" s="108"/>
      <c r="T1378" s="111"/>
      <c r="AT1378" s="23" t="s">
        <v>227</v>
      </c>
      <c r="AU1378" s="23" t="s">
        <v>87</v>
      </c>
    </row>
    <row r="1379" spans="2:65" s="1" customFormat="1" ht="62.85" customHeight="1">
      <c r="B1379" s="12"/>
      <c r="C1379" s="71" t="s">
        <v>1975</v>
      </c>
      <c r="D1379" s="71" t="s">
        <v>214</v>
      </c>
      <c r="E1379" s="72" t="s">
        <v>1976</v>
      </c>
      <c r="F1379" s="73" t="s">
        <v>1977</v>
      </c>
      <c r="G1379" s="74" t="s">
        <v>808</v>
      </c>
      <c r="H1379" s="75">
        <v>1</v>
      </c>
      <c r="I1379" s="90"/>
      <c r="J1379" s="91">
        <f>ROUND(I1379*H1379,2)</f>
        <v>0</v>
      </c>
      <c r="K1379" s="92"/>
      <c r="L1379" s="12"/>
      <c r="M1379" s="93" t="s">
        <v>1</v>
      </c>
      <c r="N1379" s="94" t="s">
        <v>42</v>
      </c>
      <c r="P1379" s="95">
        <f>O1379*H1379</f>
        <v>0</v>
      </c>
      <c r="Q1379" s="95">
        <v>0</v>
      </c>
      <c r="R1379" s="95">
        <f>Q1379*H1379</f>
        <v>0</v>
      </c>
      <c r="S1379" s="95">
        <v>0</v>
      </c>
      <c r="T1379" s="99">
        <f>S1379*H1379</f>
        <v>0</v>
      </c>
      <c r="AR1379" s="101" t="s">
        <v>218</v>
      </c>
      <c r="AT1379" s="101" t="s">
        <v>214</v>
      </c>
      <c r="AU1379" s="101" t="s">
        <v>87</v>
      </c>
      <c r="AY1379" s="23" t="s">
        <v>211</v>
      </c>
      <c r="BE1379" s="104">
        <f>IF(N1379="základní",J1379,0)</f>
        <v>0</v>
      </c>
      <c r="BF1379" s="104">
        <f>IF(N1379="snížená",J1379,0)</f>
        <v>0</v>
      </c>
      <c r="BG1379" s="104">
        <f>IF(N1379="zákl. přenesená",J1379,0)</f>
        <v>0</v>
      </c>
      <c r="BH1379" s="104">
        <f>IF(N1379="sníž. přenesená",J1379,0)</f>
        <v>0</v>
      </c>
      <c r="BI1379" s="104">
        <f>IF(N1379="nulová",J1379,0)</f>
        <v>0</v>
      </c>
      <c r="BJ1379" s="23" t="s">
        <v>85</v>
      </c>
      <c r="BK1379" s="104">
        <f>ROUND(I1379*H1379,2)</f>
        <v>0</v>
      </c>
      <c r="BL1379" s="23" t="s">
        <v>218</v>
      </c>
      <c r="BM1379" s="101" t="s">
        <v>1978</v>
      </c>
    </row>
    <row r="1380" spans="2:65" s="1" customFormat="1" ht="86.4">
      <c r="B1380" s="12"/>
      <c r="D1380" s="105" t="s">
        <v>227</v>
      </c>
      <c r="F1380" s="106" t="s">
        <v>1956</v>
      </c>
      <c r="I1380" s="107"/>
      <c r="L1380" s="12"/>
      <c r="M1380" s="108"/>
      <c r="T1380" s="111"/>
      <c r="AT1380" s="23" t="s">
        <v>227</v>
      </c>
      <c r="AU1380" s="23" t="s">
        <v>87</v>
      </c>
    </row>
    <row r="1381" spans="2:65" s="1" customFormat="1" ht="55.5" customHeight="1">
      <c r="B1381" s="12"/>
      <c r="C1381" s="71" t="s">
        <v>1979</v>
      </c>
      <c r="D1381" s="71" t="s">
        <v>214</v>
      </c>
      <c r="E1381" s="72" t="s">
        <v>1980</v>
      </c>
      <c r="F1381" s="73" t="s">
        <v>1981</v>
      </c>
      <c r="G1381" s="74" t="s">
        <v>808</v>
      </c>
      <c r="H1381" s="75">
        <v>1</v>
      </c>
      <c r="I1381" s="90"/>
      <c r="J1381" s="91">
        <f>ROUND(I1381*H1381,2)</f>
        <v>0</v>
      </c>
      <c r="K1381" s="92"/>
      <c r="L1381" s="12"/>
      <c r="M1381" s="93" t="s">
        <v>1</v>
      </c>
      <c r="N1381" s="94" t="s">
        <v>42</v>
      </c>
      <c r="P1381" s="95">
        <f>O1381*H1381</f>
        <v>0</v>
      </c>
      <c r="Q1381" s="95">
        <v>0</v>
      </c>
      <c r="R1381" s="95">
        <f>Q1381*H1381</f>
        <v>0</v>
      </c>
      <c r="S1381" s="95">
        <v>0</v>
      </c>
      <c r="T1381" s="99">
        <f>S1381*H1381</f>
        <v>0</v>
      </c>
      <c r="AR1381" s="101" t="s">
        <v>218</v>
      </c>
      <c r="AT1381" s="101" t="s">
        <v>214</v>
      </c>
      <c r="AU1381" s="101" t="s">
        <v>87</v>
      </c>
      <c r="AY1381" s="23" t="s">
        <v>211</v>
      </c>
      <c r="BE1381" s="104">
        <f>IF(N1381="základní",J1381,0)</f>
        <v>0</v>
      </c>
      <c r="BF1381" s="104">
        <f>IF(N1381="snížená",J1381,0)</f>
        <v>0</v>
      </c>
      <c r="BG1381" s="104">
        <f>IF(N1381="zákl. přenesená",J1381,0)</f>
        <v>0</v>
      </c>
      <c r="BH1381" s="104">
        <f>IF(N1381="sníž. přenesená",J1381,0)</f>
        <v>0</v>
      </c>
      <c r="BI1381" s="104">
        <f>IF(N1381="nulová",J1381,0)</f>
        <v>0</v>
      </c>
      <c r="BJ1381" s="23" t="s">
        <v>85</v>
      </c>
      <c r="BK1381" s="104">
        <f>ROUND(I1381*H1381,2)</f>
        <v>0</v>
      </c>
      <c r="BL1381" s="23" t="s">
        <v>218</v>
      </c>
      <c r="BM1381" s="101" t="s">
        <v>1982</v>
      </c>
    </row>
    <row r="1382" spans="2:65" s="1" customFormat="1" ht="67.2">
      <c r="B1382" s="12"/>
      <c r="D1382" s="105" t="s">
        <v>227</v>
      </c>
      <c r="F1382" s="106" t="s">
        <v>1951</v>
      </c>
      <c r="I1382" s="107"/>
      <c r="L1382" s="12"/>
      <c r="M1382" s="108"/>
      <c r="T1382" s="111"/>
      <c r="AT1382" s="23" t="s">
        <v>227</v>
      </c>
      <c r="AU1382" s="23" t="s">
        <v>87</v>
      </c>
    </row>
    <row r="1383" spans="2:65" s="1" customFormat="1" ht="55.5" customHeight="1">
      <c r="B1383" s="12"/>
      <c r="C1383" s="71" t="s">
        <v>1983</v>
      </c>
      <c r="D1383" s="71" t="s">
        <v>214</v>
      </c>
      <c r="E1383" s="72" t="s">
        <v>1984</v>
      </c>
      <c r="F1383" s="73" t="s">
        <v>1985</v>
      </c>
      <c r="G1383" s="74" t="s">
        <v>808</v>
      </c>
      <c r="H1383" s="75">
        <v>1</v>
      </c>
      <c r="I1383" s="90"/>
      <c r="J1383" s="91">
        <f>ROUND(I1383*H1383,2)</f>
        <v>0</v>
      </c>
      <c r="K1383" s="92"/>
      <c r="L1383" s="12"/>
      <c r="M1383" s="93" t="s">
        <v>1</v>
      </c>
      <c r="N1383" s="94" t="s">
        <v>42</v>
      </c>
      <c r="P1383" s="95">
        <f>O1383*H1383</f>
        <v>0</v>
      </c>
      <c r="Q1383" s="95">
        <v>0</v>
      </c>
      <c r="R1383" s="95">
        <f>Q1383*H1383</f>
        <v>0</v>
      </c>
      <c r="S1383" s="95">
        <v>0</v>
      </c>
      <c r="T1383" s="99">
        <f>S1383*H1383</f>
        <v>0</v>
      </c>
      <c r="AR1383" s="101" t="s">
        <v>218</v>
      </c>
      <c r="AT1383" s="101" t="s">
        <v>214</v>
      </c>
      <c r="AU1383" s="101" t="s">
        <v>87</v>
      </c>
      <c r="AY1383" s="23" t="s">
        <v>211</v>
      </c>
      <c r="BE1383" s="104">
        <f>IF(N1383="základní",J1383,0)</f>
        <v>0</v>
      </c>
      <c r="BF1383" s="104">
        <f>IF(N1383="snížená",J1383,0)</f>
        <v>0</v>
      </c>
      <c r="BG1383" s="104">
        <f>IF(N1383="zákl. přenesená",J1383,0)</f>
        <v>0</v>
      </c>
      <c r="BH1383" s="104">
        <f>IF(N1383="sníž. přenesená",J1383,0)</f>
        <v>0</v>
      </c>
      <c r="BI1383" s="104">
        <f>IF(N1383="nulová",J1383,0)</f>
        <v>0</v>
      </c>
      <c r="BJ1383" s="23" t="s">
        <v>85</v>
      </c>
      <c r="BK1383" s="104">
        <f>ROUND(I1383*H1383,2)</f>
        <v>0</v>
      </c>
      <c r="BL1383" s="23" t="s">
        <v>218</v>
      </c>
      <c r="BM1383" s="101" t="s">
        <v>1986</v>
      </c>
    </row>
    <row r="1384" spans="2:65" s="1" customFormat="1" ht="67.2">
      <c r="B1384" s="12"/>
      <c r="D1384" s="105" t="s">
        <v>227</v>
      </c>
      <c r="F1384" s="106" t="s">
        <v>1961</v>
      </c>
      <c r="I1384" s="107"/>
      <c r="L1384" s="12"/>
      <c r="M1384" s="108"/>
      <c r="T1384" s="111"/>
      <c r="AT1384" s="23" t="s">
        <v>227</v>
      </c>
      <c r="AU1384" s="23" t="s">
        <v>87</v>
      </c>
    </row>
    <row r="1385" spans="2:65" s="1" customFormat="1" ht="76.349999999999994" customHeight="1">
      <c r="B1385" s="12"/>
      <c r="C1385" s="71" t="s">
        <v>1987</v>
      </c>
      <c r="D1385" s="71" t="s">
        <v>214</v>
      </c>
      <c r="E1385" s="72" t="s">
        <v>1988</v>
      </c>
      <c r="F1385" s="73" t="s">
        <v>1989</v>
      </c>
      <c r="G1385" s="74" t="s">
        <v>808</v>
      </c>
      <c r="H1385" s="75">
        <v>1</v>
      </c>
      <c r="I1385" s="90"/>
      <c r="J1385" s="91">
        <f>ROUND(I1385*H1385,2)</f>
        <v>0</v>
      </c>
      <c r="K1385" s="92"/>
      <c r="L1385" s="12"/>
      <c r="M1385" s="93" t="s">
        <v>1</v>
      </c>
      <c r="N1385" s="94" t="s">
        <v>42</v>
      </c>
      <c r="P1385" s="95">
        <f>O1385*H1385</f>
        <v>0</v>
      </c>
      <c r="Q1385" s="95">
        <v>0</v>
      </c>
      <c r="R1385" s="95">
        <f>Q1385*H1385</f>
        <v>0</v>
      </c>
      <c r="S1385" s="95">
        <v>0</v>
      </c>
      <c r="T1385" s="99">
        <f>S1385*H1385</f>
        <v>0</v>
      </c>
      <c r="AR1385" s="101" t="s">
        <v>218</v>
      </c>
      <c r="AT1385" s="101" t="s">
        <v>214</v>
      </c>
      <c r="AU1385" s="101" t="s">
        <v>87</v>
      </c>
      <c r="AY1385" s="23" t="s">
        <v>211</v>
      </c>
      <c r="BE1385" s="104">
        <f>IF(N1385="základní",J1385,0)</f>
        <v>0</v>
      </c>
      <c r="BF1385" s="104">
        <f>IF(N1385="snížená",J1385,0)</f>
        <v>0</v>
      </c>
      <c r="BG1385" s="104">
        <f>IF(N1385="zákl. přenesená",J1385,0)</f>
        <v>0</v>
      </c>
      <c r="BH1385" s="104">
        <f>IF(N1385="sníž. přenesená",J1385,0)</f>
        <v>0</v>
      </c>
      <c r="BI1385" s="104">
        <f>IF(N1385="nulová",J1385,0)</f>
        <v>0</v>
      </c>
      <c r="BJ1385" s="23" t="s">
        <v>85</v>
      </c>
      <c r="BK1385" s="104">
        <f>ROUND(I1385*H1385,2)</f>
        <v>0</v>
      </c>
      <c r="BL1385" s="23" t="s">
        <v>218</v>
      </c>
      <c r="BM1385" s="101" t="s">
        <v>1990</v>
      </c>
    </row>
    <row r="1386" spans="2:65" s="1" customFormat="1" ht="76.8">
      <c r="B1386" s="12"/>
      <c r="D1386" s="105" t="s">
        <v>227</v>
      </c>
      <c r="F1386" s="106" t="s">
        <v>1946</v>
      </c>
      <c r="I1386" s="107"/>
      <c r="L1386" s="12"/>
      <c r="M1386" s="108"/>
      <c r="T1386" s="111"/>
      <c r="AT1386" s="23" t="s">
        <v>227</v>
      </c>
      <c r="AU1386" s="23" t="s">
        <v>87</v>
      </c>
    </row>
    <row r="1387" spans="2:65" s="1" customFormat="1" ht="55.5" customHeight="1">
      <c r="B1387" s="12"/>
      <c r="C1387" s="71" t="s">
        <v>1991</v>
      </c>
      <c r="D1387" s="71" t="s">
        <v>214</v>
      </c>
      <c r="E1387" s="72" t="s">
        <v>1992</v>
      </c>
      <c r="F1387" s="73" t="s">
        <v>1993</v>
      </c>
      <c r="G1387" s="74" t="s">
        <v>808</v>
      </c>
      <c r="H1387" s="75">
        <v>1</v>
      </c>
      <c r="I1387" s="90"/>
      <c r="J1387" s="91">
        <f>ROUND(I1387*H1387,2)</f>
        <v>0</v>
      </c>
      <c r="K1387" s="92"/>
      <c r="L1387" s="12"/>
      <c r="M1387" s="93" t="s">
        <v>1</v>
      </c>
      <c r="N1387" s="94" t="s">
        <v>42</v>
      </c>
      <c r="P1387" s="95">
        <f>O1387*H1387</f>
        <v>0</v>
      </c>
      <c r="Q1387" s="95">
        <v>0</v>
      </c>
      <c r="R1387" s="95">
        <f>Q1387*H1387</f>
        <v>0</v>
      </c>
      <c r="S1387" s="95">
        <v>0</v>
      </c>
      <c r="T1387" s="99">
        <f>S1387*H1387</f>
        <v>0</v>
      </c>
      <c r="AR1387" s="101" t="s">
        <v>218</v>
      </c>
      <c r="AT1387" s="101" t="s">
        <v>214</v>
      </c>
      <c r="AU1387" s="101" t="s">
        <v>87</v>
      </c>
      <c r="AY1387" s="23" t="s">
        <v>211</v>
      </c>
      <c r="BE1387" s="104">
        <f>IF(N1387="základní",J1387,0)</f>
        <v>0</v>
      </c>
      <c r="BF1387" s="104">
        <f>IF(N1387="snížená",J1387,0)</f>
        <v>0</v>
      </c>
      <c r="BG1387" s="104">
        <f>IF(N1387="zákl. přenesená",J1387,0)</f>
        <v>0</v>
      </c>
      <c r="BH1387" s="104">
        <f>IF(N1387="sníž. přenesená",J1387,0)</f>
        <v>0</v>
      </c>
      <c r="BI1387" s="104">
        <f>IF(N1387="nulová",J1387,0)</f>
        <v>0</v>
      </c>
      <c r="BJ1387" s="23" t="s">
        <v>85</v>
      </c>
      <c r="BK1387" s="104">
        <f>ROUND(I1387*H1387,2)</f>
        <v>0</v>
      </c>
      <c r="BL1387" s="23" t="s">
        <v>218</v>
      </c>
      <c r="BM1387" s="101" t="s">
        <v>1994</v>
      </c>
    </row>
    <row r="1388" spans="2:65" s="1" customFormat="1" ht="86.4">
      <c r="B1388" s="12"/>
      <c r="D1388" s="105" t="s">
        <v>227</v>
      </c>
      <c r="F1388" s="106" t="s">
        <v>1995</v>
      </c>
      <c r="I1388" s="107"/>
      <c r="L1388" s="12"/>
      <c r="M1388" s="108"/>
      <c r="T1388" s="111"/>
      <c r="AT1388" s="23" t="s">
        <v>227</v>
      </c>
      <c r="AU1388" s="23" t="s">
        <v>87</v>
      </c>
    </row>
    <row r="1389" spans="2:65" s="1" customFormat="1" ht="55.5" customHeight="1">
      <c r="B1389" s="12"/>
      <c r="C1389" s="71" t="s">
        <v>1996</v>
      </c>
      <c r="D1389" s="71" t="s">
        <v>214</v>
      </c>
      <c r="E1389" s="72" t="s">
        <v>1997</v>
      </c>
      <c r="F1389" s="73" t="s">
        <v>1998</v>
      </c>
      <c r="G1389" s="74" t="s">
        <v>808</v>
      </c>
      <c r="H1389" s="75">
        <v>1</v>
      </c>
      <c r="I1389" s="90"/>
      <c r="J1389" s="91">
        <f>ROUND(I1389*H1389,2)</f>
        <v>0</v>
      </c>
      <c r="K1389" s="92"/>
      <c r="L1389" s="12"/>
      <c r="M1389" s="93" t="s">
        <v>1</v>
      </c>
      <c r="N1389" s="94" t="s">
        <v>42</v>
      </c>
      <c r="P1389" s="95">
        <f>O1389*H1389</f>
        <v>0</v>
      </c>
      <c r="Q1389" s="95">
        <v>0</v>
      </c>
      <c r="R1389" s="95">
        <f>Q1389*H1389</f>
        <v>0</v>
      </c>
      <c r="S1389" s="95">
        <v>0</v>
      </c>
      <c r="T1389" s="99">
        <f>S1389*H1389</f>
        <v>0</v>
      </c>
      <c r="AR1389" s="101" t="s">
        <v>218</v>
      </c>
      <c r="AT1389" s="101" t="s">
        <v>214</v>
      </c>
      <c r="AU1389" s="101" t="s">
        <v>87</v>
      </c>
      <c r="AY1389" s="23" t="s">
        <v>211</v>
      </c>
      <c r="BE1389" s="104">
        <f>IF(N1389="základní",J1389,0)</f>
        <v>0</v>
      </c>
      <c r="BF1389" s="104">
        <f>IF(N1389="snížená",J1389,0)</f>
        <v>0</v>
      </c>
      <c r="BG1389" s="104">
        <f>IF(N1389="zákl. přenesená",J1389,0)</f>
        <v>0</v>
      </c>
      <c r="BH1389" s="104">
        <f>IF(N1389="sníž. přenesená",J1389,0)</f>
        <v>0</v>
      </c>
      <c r="BI1389" s="104">
        <f>IF(N1389="nulová",J1389,0)</f>
        <v>0</v>
      </c>
      <c r="BJ1389" s="23" t="s">
        <v>85</v>
      </c>
      <c r="BK1389" s="104">
        <f>ROUND(I1389*H1389,2)</f>
        <v>0</v>
      </c>
      <c r="BL1389" s="23" t="s">
        <v>218</v>
      </c>
      <c r="BM1389" s="101" t="s">
        <v>1999</v>
      </c>
    </row>
    <row r="1390" spans="2:65" s="1" customFormat="1" ht="67.2">
      <c r="B1390" s="12"/>
      <c r="D1390" s="105" t="s">
        <v>227</v>
      </c>
      <c r="F1390" s="106" t="s">
        <v>1951</v>
      </c>
      <c r="I1390" s="107"/>
      <c r="L1390" s="12"/>
      <c r="M1390" s="108"/>
      <c r="T1390" s="111"/>
      <c r="AT1390" s="23" t="s">
        <v>227</v>
      </c>
      <c r="AU1390" s="23" t="s">
        <v>87</v>
      </c>
    </row>
    <row r="1391" spans="2:65" s="1" customFormat="1" ht="55.5" customHeight="1">
      <c r="B1391" s="12"/>
      <c r="C1391" s="71" t="s">
        <v>2000</v>
      </c>
      <c r="D1391" s="71" t="s">
        <v>214</v>
      </c>
      <c r="E1391" s="72" t="s">
        <v>2001</v>
      </c>
      <c r="F1391" s="73" t="s">
        <v>2002</v>
      </c>
      <c r="G1391" s="74" t="s">
        <v>808</v>
      </c>
      <c r="H1391" s="75">
        <v>1</v>
      </c>
      <c r="I1391" s="90"/>
      <c r="J1391" s="91">
        <f>ROUND(I1391*H1391,2)</f>
        <v>0</v>
      </c>
      <c r="K1391" s="92"/>
      <c r="L1391" s="12"/>
      <c r="M1391" s="93" t="s">
        <v>1</v>
      </c>
      <c r="N1391" s="94" t="s">
        <v>42</v>
      </c>
      <c r="P1391" s="95">
        <f>O1391*H1391</f>
        <v>0</v>
      </c>
      <c r="Q1391" s="95">
        <v>0</v>
      </c>
      <c r="R1391" s="95">
        <f>Q1391*H1391</f>
        <v>0</v>
      </c>
      <c r="S1391" s="95">
        <v>0</v>
      </c>
      <c r="T1391" s="99">
        <f>S1391*H1391</f>
        <v>0</v>
      </c>
      <c r="AR1391" s="101" t="s">
        <v>218</v>
      </c>
      <c r="AT1391" s="101" t="s">
        <v>214</v>
      </c>
      <c r="AU1391" s="101" t="s">
        <v>87</v>
      </c>
      <c r="AY1391" s="23" t="s">
        <v>211</v>
      </c>
      <c r="BE1391" s="104">
        <f>IF(N1391="základní",J1391,0)</f>
        <v>0</v>
      </c>
      <c r="BF1391" s="104">
        <f>IF(N1391="snížená",J1391,0)</f>
        <v>0</v>
      </c>
      <c r="BG1391" s="104">
        <f>IF(N1391="zákl. přenesená",J1391,0)</f>
        <v>0</v>
      </c>
      <c r="BH1391" s="104">
        <f>IF(N1391="sníž. přenesená",J1391,0)</f>
        <v>0</v>
      </c>
      <c r="BI1391" s="104">
        <f>IF(N1391="nulová",J1391,0)</f>
        <v>0</v>
      </c>
      <c r="BJ1391" s="23" t="s">
        <v>85</v>
      </c>
      <c r="BK1391" s="104">
        <f>ROUND(I1391*H1391,2)</f>
        <v>0</v>
      </c>
      <c r="BL1391" s="23" t="s">
        <v>218</v>
      </c>
      <c r="BM1391" s="101" t="s">
        <v>2003</v>
      </c>
    </row>
    <row r="1392" spans="2:65" s="1" customFormat="1" ht="67.2">
      <c r="B1392" s="12"/>
      <c r="D1392" s="105" t="s">
        <v>227</v>
      </c>
      <c r="F1392" s="106" t="s">
        <v>1961</v>
      </c>
      <c r="I1392" s="107"/>
      <c r="L1392" s="12"/>
      <c r="M1392" s="108"/>
      <c r="T1392" s="111"/>
      <c r="AT1392" s="23" t="s">
        <v>227</v>
      </c>
      <c r="AU1392" s="23" t="s">
        <v>87</v>
      </c>
    </row>
    <row r="1393" spans="2:65" s="1" customFormat="1" ht="66.75" customHeight="1">
      <c r="B1393" s="12"/>
      <c r="C1393" s="71" t="s">
        <v>2004</v>
      </c>
      <c r="D1393" s="71" t="s">
        <v>214</v>
      </c>
      <c r="E1393" s="72" t="s">
        <v>2005</v>
      </c>
      <c r="F1393" s="73" t="s">
        <v>2006</v>
      </c>
      <c r="G1393" s="74" t="s">
        <v>808</v>
      </c>
      <c r="H1393" s="75">
        <v>1</v>
      </c>
      <c r="I1393" s="90"/>
      <c r="J1393" s="91">
        <f>ROUND(I1393*H1393,2)</f>
        <v>0</v>
      </c>
      <c r="K1393" s="92"/>
      <c r="L1393" s="12"/>
      <c r="M1393" s="93" t="s">
        <v>1</v>
      </c>
      <c r="N1393" s="94" t="s">
        <v>42</v>
      </c>
      <c r="P1393" s="95">
        <f>O1393*H1393</f>
        <v>0</v>
      </c>
      <c r="Q1393" s="95">
        <v>0</v>
      </c>
      <c r="R1393" s="95">
        <f>Q1393*H1393</f>
        <v>0</v>
      </c>
      <c r="S1393" s="95">
        <v>0</v>
      </c>
      <c r="T1393" s="99">
        <f>S1393*H1393</f>
        <v>0</v>
      </c>
      <c r="AR1393" s="101" t="s">
        <v>218</v>
      </c>
      <c r="AT1393" s="101" t="s">
        <v>214</v>
      </c>
      <c r="AU1393" s="101" t="s">
        <v>87</v>
      </c>
      <c r="AY1393" s="23" t="s">
        <v>211</v>
      </c>
      <c r="BE1393" s="104">
        <f>IF(N1393="základní",J1393,0)</f>
        <v>0</v>
      </c>
      <c r="BF1393" s="104">
        <f>IF(N1393="snížená",J1393,0)</f>
        <v>0</v>
      </c>
      <c r="BG1393" s="104">
        <f>IF(N1393="zákl. přenesená",J1393,0)</f>
        <v>0</v>
      </c>
      <c r="BH1393" s="104">
        <f>IF(N1393="sníž. přenesená",J1393,0)</f>
        <v>0</v>
      </c>
      <c r="BI1393" s="104">
        <f>IF(N1393="nulová",J1393,0)</f>
        <v>0</v>
      </c>
      <c r="BJ1393" s="23" t="s">
        <v>85</v>
      </c>
      <c r="BK1393" s="104">
        <f>ROUND(I1393*H1393,2)</f>
        <v>0</v>
      </c>
      <c r="BL1393" s="23" t="s">
        <v>218</v>
      </c>
      <c r="BM1393" s="101" t="s">
        <v>2007</v>
      </c>
    </row>
    <row r="1394" spans="2:65" s="1" customFormat="1" ht="76.8">
      <c r="B1394" s="12"/>
      <c r="D1394" s="105" t="s">
        <v>227</v>
      </c>
      <c r="F1394" s="106" t="s">
        <v>2008</v>
      </c>
      <c r="I1394" s="107"/>
      <c r="L1394" s="12"/>
      <c r="M1394" s="108"/>
      <c r="T1394" s="111"/>
      <c r="AT1394" s="23" t="s">
        <v>227</v>
      </c>
      <c r="AU1394" s="23" t="s">
        <v>87</v>
      </c>
    </row>
    <row r="1395" spans="2:65" s="1" customFormat="1" ht="66.75" customHeight="1">
      <c r="B1395" s="12"/>
      <c r="C1395" s="71" t="s">
        <v>2009</v>
      </c>
      <c r="D1395" s="71" t="s">
        <v>214</v>
      </c>
      <c r="E1395" s="72" t="s">
        <v>2010</v>
      </c>
      <c r="F1395" s="73" t="s">
        <v>2011</v>
      </c>
      <c r="G1395" s="74" t="s">
        <v>808</v>
      </c>
      <c r="H1395" s="75">
        <v>1</v>
      </c>
      <c r="I1395" s="90"/>
      <c r="J1395" s="91">
        <f>ROUND(I1395*H1395,2)</f>
        <v>0</v>
      </c>
      <c r="K1395" s="92"/>
      <c r="L1395" s="12"/>
      <c r="M1395" s="93" t="s">
        <v>1</v>
      </c>
      <c r="N1395" s="94" t="s">
        <v>42</v>
      </c>
      <c r="P1395" s="95">
        <f>O1395*H1395</f>
        <v>0</v>
      </c>
      <c r="Q1395" s="95">
        <v>0</v>
      </c>
      <c r="R1395" s="95">
        <f>Q1395*H1395</f>
        <v>0</v>
      </c>
      <c r="S1395" s="95">
        <v>0</v>
      </c>
      <c r="T1395" s="99">
        <f>S1395*H1395</f>
        <v>0</v>
      </c>
      <c r="AR1395" s="101" t="s">
        <v>218</v>
      </c>
      <c r="AT1395" s="101" t="s">
        <v>214</v>
      </c>
      <c r="AU1395" s="101" t="s">
        <v>87</v>
      </c>
      <c r="AY1395" s="23" t="s">
        <v>211</v>
      </c>
      <c r="BE1395" s="104">
        <f>IF(N1395="základní",J1395,0)</f>
        <v>0</v>
      </c>
      <c r="BF1395" s="104">
        <f>IF(N1395="snížená",J1395,0)</f>
        <v>0</v>
      </c>
      <c r="BG1395" s="104">
        <f>IF(N1395="zákl. přenesená",J1395,0)</f>
        <v>0</v>
      </c>
      <c r="BH1395" s="104">
        <f>IF(N1395="sníž. přenesená",J1395,0)</f>
        <v>0</v>
      </c>
      <c r="BI1395" s="104">
        <f>IF(N1395="nulová",J1395,0)</f>
        <v>0</v>
      </c>
      <c r="BJ1395" s="23" t="s">
        <v>85</v>
      </c>
      <c r="BK1395" s="104">
        <f>ROUND(I1395*H1395,2)</f>
        <v>0</v>
      </c>
      <c r="BL1395" s="23" t="s">
        <v>218</v>
      </c>
      <c r="BM1395" s="101" t="s">
        <v>2012</v>
      </c>
    </row>
    <row r="1396" spans="2:65" s="1" customFormat="1" ht="76.8">
      <c r="B1396" s="12"/>
      <c r="D1396" s="105" t="s">
        <v>227</v>
      </c>
      <c r="F1396" s="106" t="s">
        <v>2013</v>
      </c>
      <c r="I1396" s="107"/>
      <c r="L1396" s="12"/>
      <c r="M1396" s="108"/>
      <c r="T1396" s="111"/>
      <c r="AT1396" s="23" t="s">
        <v>227</v>
      </c>
      <c r="AU1396" s="23" t="s">
        <v>87</v>
      </c>
    </row>
    <row r="1397" spans="2:65" s="1" customFormat="1" ht="55.5" customHeight="1">
      <c r="B1397" s="12"/>
      <c r="C1397" s="71" t="s">
        <v>2014</v>
      </c>
      <c r="D1397" s="71" t="s">
        <v>214</v>
      </c>
      <c r="E1397" s="72" t="s">
        <v>2015</v>
      </c>
      <c r="F1397" s="73" t="s">
        <v>2016</v>
      </c>
      <c r="G1397" s="74" t="s">
        <v>808</v>
      </c>
      <c r="H1397" s="75">
        <v>1</v>
      </c>
      <c r="I1397" s="90"/>
      <c r="J1397" s="91">
        <f>ROUND(I1397*H1397,2)</f>
        <v>0</v>
      </c>
      <c r="K1397" s="92"/>
      <c r="L1397" s="12"/>
      <c r="M1397" s="93" t="s">
        <v>1</v>
      </c>
      <c r="N1397" s="94" t="s">
        <v>42</v>
      </c>
      <c r="P1397" s="95">
        <f>O1397*H1397</f>
        <v>0</v>
      </c>
      <c r="Q1397" s="95">
        <v>0</v>
      </c>
      <c r="R1397" s="95">
        <f>Q1397*H1397</f>
        <v>0</v>
      </c>
      <c r="S1397" s="95">
        <v>0</v>
      </c>
      <c r="T1397" s="99">
        <f>S1397*H1397</f>
        <v>0</v>
      </c>
      <c r="AR1397" s="101" t="s">
        <v>218</v>
      </c>
      <c r="AT1397" s="101" t="s">
        <v>214</v>
      </c>
      <c r="AU1397" s="101" t="s">
        <v>87</v>
      </c>
      <c r="AY1397" s="23" t="s">
        <v>211</v>
      </c>
      <c r="BE1397" s="104">
        <f>IF(N1397="základní",J1397,0)</f>
        <v>0</v>
      </c>
      <c r="BF1397" s="104">
        <f>IF(N1397="snížená",J1397,0)</f>
        <v>0</v>
      </c>
      <c r="BG1397" s="104">
        <f>IF(N1397="zákl. přenesená",J1397,0)</f>
        <v>0</v>
      </c>
      <c r="BH1397" s="104">
        <f>IF(N1397="sníž. přenesená",J1397,0)</f>
        <v>0</v>
      </c>
      <c r="BI1397" s="104">
        <f>IF(N1397="nulová",J1397,0)</f>
        <v>0</v>
      </c>
      <c r="BJ1397" s="23" t="s">
        <v>85</v>
      </c>
      <c r="BK1397" s="104">
        <f>ROUND(I1397*H1397,2)</f>
        <v>0</v>
      </c>
      <c r="BL1397" s="23" t="s">
        <v>218</v>
      </c>
      <c r="BM1397" s="101" t="s">
        <v>2017</v>
      </c>
    </row>
    <row r="1398" spans="2:65" s="1" customFormat="1" ht="67.2">
      <c r="B1398" s="12"/>
      <c r="D1398" s="105" t="s">
        <v>227</v>
      </c>
      <c r="F1398" s="106" t="s">
        <v>2018</v>
      </c>
      <c r="I1398" s="107"/>
      <c r="L1398" s="12"/>
      <c r="M1398" s="108"/>
      <c r="T1398" s="111"/>
      <c r="AT1398" s="23" t="s">
        <v>227</v>
      </c>
      <c r="AU1398" s="23" t="s">
        <v>87</v>
      </c>
    </row>
    <row r="1399" spans="2:65" s="1" customFormat="1" ht="55.5" customHeight="1">
      <c r="B1399" s="12"/>
      <c r="C1399" s="71" t="s">
        <v>2019</v>
      </c>
      <c r="D1399" s="71" t="s">
        <v>214</v>
      </c>
      <c r="E1399" s="72" t="s">
        <v>2020</v>
      </c>
      <c r="F1399" s="73" t="s">
        <v>2021</v>
      </c>
      <c r="G1399" s="74" t="s">
        <v>808</v>
      </c>
      <c r="H1399" s="75">
        <v>1</v>
      </c>
      <c r="I1399" s="90"/>
      <c r="J1399" s="91">
        <f>ROUND(I1399*H1399,2)</f>
        <v>0</v>
      </c>
      <c r="K1399" s="92"/>
      <c r="L1399" s="12"/>
      <c r="M1399" s="93" t="s">
        <v>1</v>
      </c>
      <c r="N1399" s="94" t="s">
        <v>42</v>
      </c>
      <c r="P1399" s="95">
        <f>O1399*H1399</f>
        <v>0</v>
      </c>
      <c r="Q1399" s="95">
        <v>0</v>
      </c>
      <c r="R1399" s="95">
        <f>Q1399*H1399</f>
        <v>0</v>
      </c>
      <c r="S1399" s="95">
        <v>0</v>
      </c>
      <c r="T1399" s="99">
        <f>S1399*H1399</f>
        <v>0</v>
      </c>
      <c r="AR1399" s="101" t="s">
        <v>218</v>
      </c>
      <c r="AT1399" s="101" t="s">
        <v>214</v>
      </c>
      <c r="AU1399" s="101" t="s">
        <v>87</v>
      </c>
      <c r="AY1399" s="23" t="s">
        <v>211</v>
      </c>
      <c r="BE1399" s="104">
        <f>IF(N1399="základní",J1399,0)</f>
        <v>0</v>
      </c>
      <c r="BF1399" s="104">
        <f>IF(N1399="snížená",J1399,0)</f>
        <v>0</v>
      </c>
      <c r="BG1399" s="104">
        <f>IF(N1399="zákl. přenesená",J1399,0)</f>
        <v>0</v>
      </c>
      <c r="BH1399" s="104">
        <f>IF(N1399="sníž. přenesená",J1399,0)</f>
        <v>0</v>
      </c>
      <c r="BI1399" s="104">
        <f>IF(N1399="nulová",J1399,0)</f>
        <v>0</v>
      </c>
      <c r="BJ1399" s="23" t="s">
        <v>85</v>
      </c>
      <c r="BK1399" s="104">
        <f>ROUND(I1399*H1399,2)</f>
        <v>0</v>
      </c>
      <c r="BL1399" s="23" t="s">
        <v>218</v>
      </c>
      <c r="BM1399" s="101" t="s">
        <v>2022</v>
      </c>
    </row>
    <row r="1400" spans="2:65" s="1" customFormat="1" ht="67.2">
      <c r="B1400" s="12"/>
      <c r="D1400" s="105" t="s">
        <v>227</v>
      </c>
      <c r="F1400" s="106" t="s">
        <v>2023</v>
      </c>
      <c r="I1400" s="107"/>
      <c r="L1400" s="12"/>
      <c r="M1400" s="108"/>
      <c r="T1400" s="111"/>
      <c r="AT1400" s="23" t="s">
        <v>227</v>
      </c>
      <c r="AU1400" s="23" t="s">
        <v>87</v>
      </c>
    </row>
    <row r="1401" spans="2:65" s="1" customFormat="1" ht="66.75" customHeight="1">
      <c r="B1401" s="12"/>
      <c r="C1401" s="71" t="s">
        <v>2024</v>
      </c>
      <c r="D1401" s="71" t="s">
        <v>214</v>
      </c>
      <c r="E1401" s="72" t="s">
        <v>2025</v>
      </c>
      <c r="F1401" s="73" t="s">
        <v>2026</v>
      </c>
      <c r="G1401" s="74" t="s">
        <v>808</v>
      </c>
      <c r="H1401" s="75">
        <v>1</v>
      </c>
      <c r="I1401" s="90"/>
      <c r="J1401" s="91">
        <f>ROUND(I1401*H1401,2)</f>
        <v>0</v>
      </c>
      <c r="K1401" s="92"/>
      <c r="L1401" s="12"/>
      <c r="M1401" s="93" t="s">
        <v>1</v>
      </c>
      <c r="N1401" s="94" t="s">
        <v>42</v>
      </c>
      <c r="P1401" s="95">
        <f>O1401*H1401</f>
        <v>0</v>
      </c>
      <c r="Q1401" s="95">
        <v>0</v>
      </c>
      <c r="R1401" s="95">
        <f>Q1401*H1401</f>
        <v>0</v>
      </c>
      <c r="S1401" s="95">
        <v>0</v>
      </c>
      <c r="T1401" s="99">
        <f>S1401*H1401</f>
        <v>0</v>
      </c>
      <c r="AR1401" s="101" t="s">
        <v>218</v>
      </c>
      <c r="AT1401" s="101" t="s">
        <v>214</v>
      </c>
      <c r="AU1401" s="101" t="s">
        <v>87</v>
      </c>
      <c r="AY1401" s="23" t="s">
        <v>211</v>
      </c>
      <c r="BE1401" s="104">
        <f>IF(N1401="základní",J1401,0)</f>
        <v>0</v>
      </c>
      <c r="BF1401" s="104">
        <f>IF(N1401="snížená",J1401,0)</f>
        <v>0</v>
      </c>
      <c r="BG1401" s="104">
        <f>IF(N1401="zákl. přenesená",J1401,0)</f>
        <v>0</v>
      </c>
      <c r="BH1401" s="104">
        <f>IF(N1401="sníž. přenesená",J1401,0)</f>
        <v>0</v>
      </c>
      <c r="BI1401" s="104">
        <f>IF(N1401="nulová",J1401,0)</f>
        <v>0</v>
      </c>
      <c r="BJ1401" s="23" t="s">
        <v>85</v>
      </c>
      <c r="BK1401" s="104">
        <f>ROUND(I1401*H1401,2)</f>
        <v>0</v>
      </c>
      <c r="BL1401" s="23" t="s">
        <v>218</v>
      </c>
      <c r="BM1401" s="101" t="s">
        <v>2027</v>
      </c>
    </row>
    <row r="1402" spans="2:65" s="1" customFormat="1" ht="76.8">
      <c r="B1402" s="12"/>
      <c r="D1402" s="105" t="s">
        <v>227</v>
      </c>
      <c r="F1402" s="106" t="s">
        <v>2028</v>
      </c>
      <c r="I1402" s="107"/>
      <c r="L1402" s="12"/>
      <c r="M1402" s="108"/>
      <c r="T1402" s="111"/>
      <c r="AT1402" s="23" t="s">
        <v>227</v>
      </c>
      <c r="AU1402" s="23" t="s">
        <v>87</v>
      </c>
    </row>
    <row r="1403" spans="2:65" s="1" customFormat="1" ht="55.5" customHeight="1">
      <c r="B1403" s="12"/>
      <c r="C1403" s="71" t="s">
        <v>2029</v>
      </c>
      <c r="D1403" s="71" t="s">
        <v>214</v>
      </c>
      <c r="E1403" s="72" t="s">
        <v>2030</v>
      </c>
      <c r="F1403" s="73" t="s">
        <v>2031</v>
      </c>
      <c r="G1403" s="74" t="s">
        <v>808</v>
      </c>
      <c r="H1403" s="75">
        <v>1</v>
      </c>
      <c r="I1403" s="90"/>
      <c r="J1403" s="91">
        <f>ROUND(I1403*H1403,2)</f>
        <v>0</v>
      </c>
      <c r="K1403" s="92"/>
      <c r="L1403" s="12"/>
      <c r="M1403" s="93" t="s">
        <v>1</v>
      </c>
      <c r="N1403" s="94" t="s">
        <v>42</v>
      </c>
      <c r="P1403" s="95">
        <f>O1403*H1403</f>
        <v>0</v>
      </c>
      <c r="Q1403" s="95">
        <v>0</v>
      </c>
      <c r="R1403" s="95">
        <f>Q1403*H1403</f>
        <v>0</v>
      </c>
      <c r="S1403" s="95">
        <v>0</v>
      </c>
      <c r="T1403" s="99">
        <f>S1403*H1403</f>
        <v>0</v>
      </c>
      <c r="AR1403" s="101" t="s">
        <v>218</v>
      </c>
      <c r="AT1403" s="101" t="s">
        <v>214</v>
      </c>
      <c r="AU1403" s="101" t="s">
        <v>87</v>
      </c>
      <c r="AY1403" s="23" t="s">
        <v>211</v>
      </c>
      <c r="BE1403" s="104">
        <f>IF(N1403="základní",J1403,0)</f>
        <v>0</v>
      </c>
      <c r="BF1403" s="104">
        <f>IF(N1403="snížená",J1403,0)</f>
        <v>0</v>
      </c>
      <c r="BG1403" s="104">
        <f>IF(N1403="zákl. přenesená",J1403,0)</f>
        <v>0</v>
      </c>
      <c r="BH1403" s="104">
        <f>IF(N1403="sníž. přenesená",J1403,0)</f>
        <v>0</v>
      </c>
      <c r="BI1403" s="104">
        <f>IF(N1403="nulová",J1403,0)</f>
        <v>0</v>
      </c>
      <c r="BJ1403" s="23" t="s">
        <v>85</v>
      </c>
      <c r="BK1403" s="104">
        <f>ROUND(I1403*H1403,2)</f>
        <v>0</v>
      </c>
      <c r="BL1403" s="23" t="s">
        <v>218</v>
      </c>
      <c r="BM1403" s="101" t="s">
        <v>2032</v>
      </c>
    </row>
    <row r="1404" spans="2:65" s="1" customFormat="1" ht="67.2">
      <c r="B1404" s="12"/>
      <c r="D1404" s="105" t="s">
        <v>227</v>
      </c>
      <c r="F1404" s="106" t="s">
        <v>2033</v>
      </c>
      <c r="I1404" s="107"/>
      <c r="L1404" s="12"/>
      <c r="M1404" s="108"/>
      <c r="T1404" s="111"/>
      <c r="AT1404" s="23" t="s">
        <v>227</v>
      </c>
      <c r="AU1404" s="23" t="s">
        <v>87</v>
      </c>
    </row>
    <row r="1405" spans="2:65" s="1" customFormat="1" ht="66.75" customHeight="1">
      <c r="B1405" s="12"/>
      <c r="C1405" s="71" t="s">
        <v>2034</v>
      </c>
      <c r="D1405" s="71" t="s">
        <v>214</v>
      </c>
      <c r="E1405" s="72" t="s">
        <v>2035</v>
      </c>
      <c r="F1405" s="73" t="s">
        <v>2036</v>
      </c>
      <c r="G1405" s="74" t="s">
        <v>808</v>
      </c>
      <c r="H1405" s="75">
        <v>1</v>
      </c>
      <c r="I1405" s="90"/>
      <c r="J1405" s="91">
        <f>ROUND(I1405*H1405,2)</f>
        <v>0</v>
      </c>
      <c r="K1405" s="92"/>
      <c r="L1405" s="12"/>
      <c r="M1405" s="93" t="s">
        <v>1</v>
      </c>
      <c r="N1405" s="94" t="s">
        <v>42</v>
      </c>
      <c r="P1405" s="95">
        <f>O1405*H1405</f>
        <v>0</v>
      </c>
      <c r="Q1405" s="95">
        <v>0</v>
      </c>
      <c r="R1405" s="95">
        <f>Q1405*H1405</f>
        <v>0</v>
      </c>
      <c r="S1405" s="95">
        <v>0</v>
      </c>
      <c r="T1405" s="99">
        <f>S1405*H1405</f>
        <v>0</v>
      </c>
      <c r="AR1405" s="101" t="s">
        <v>218</v>
      </c>
      <c r="AT1405" s="101" t="s">
        <v>214</v>
      </c>
      <c r="AU1405" s="101" t="s">
        <v>87</v>
      </c>
      <c r="AY1405" s="23" t="s">
        <v>211</v>
      </c>
      <c r="BE1405" s="104">
        <f>IF(N1405="základní",J1405,0)</f>
        <v>0</v>
      </c>
      <c r="BF1405" s="104">
        <f>IF(N1405="snížená",J1405,0)</f>
        <v>0</v>
      </c>
      <c r="BG1405" s="104">
        <f>IF(N1405="zákl. přenesená",J1405,0)</f>
        <v>0</v>
      </c>
      <c r="BH1405" s="104">
        <f>IF(N1405="sníž. přenesená",J1405,0)</f>
        <v>0</v>
      </c>
      <c r="BI1405" s="104">
        <f>IF(N1405="nulová",J1405,0)</f>
        <v>0</v>
      </c>
      <c r="BJ1405" s="23" t="s">
        <v>85</v>
      </c>
      <c r="BK1405" s="104">
        <f>ROUND(I1405*H1405,2)</f>
        <v>0</v>
      </c>
      <c r="BL1405" s="23" t="s">
        <v>218</v>
      </c>
      <c r="BM1405" s="101" t="s">
        <v>2037</v>
      </c>
    </row>
    <row r="1406" spans="2:65" s="1" customFormat="1" ht="76.8">
      <c r="B1406" s="12"/>
      <c r="D1406" s="105" t="s">
        <v>227</v>
      </c>
      <c r="F1406" s="106" t="s">
        <v>2013</v>
      </c>
      <c r="I1406" s="107"/>
      <c r="L1406" s="12"/>
      <c r="M1406" s="108"/>
      <c r="T1406" s="111"/>
      <c r="AT1406" s="23" t="s">
        <v>227</v>
      </c>
      <c r="AU1406" s="23" t="s">
        <v>87</v>
      </c>
    </row>
    <row r="1407" spans="2:65" s="1" customFormat="1" ht="55.5" customHeight="1">
      <c r="B1407" s="12"/>
      <c r="C1407" s="71" t="s">
        <v>2038</v>
      </c>
      <c r="D1407" s="71" t="s">
        <v>214</v>
      </c>
      <c r="E1407" s="72" t="s">
        <v>2039</v>
      </c>
      <c r="F1407" s="73" t="s">
        <v>2040</v>
      </c>
      <c r="G1407" s="74" t="s">
        <v>808</v>
      </c>
      <c r="H1407" s="75">
        <v>1</v>
      </c>
      <c r="I1407" s="90"/>
      <c r="J1407" s="91">
        <f>ROUND(I1407*H1407,2)</f>
        <v>0</v>
      </c>
      <c r="K1407" s="92"/>
      <c r="L1407" s="12"/>
      <c r="M1407" s="93" t="s">
        <v>1</v>
      </c>
      <c r="N1407" s="94" t="s">
        <v>42</v>
      </c>
      <c r="P1407" s="95">
        <f>O1407*H1407</f>
        <v>0</v>
      </c>
      <c r="Q1407" s="95">
        <v>0</v>
      </c>
      <c r="R1407" s="95">
        <f>Q1407*H1407</f>
        <v>0</v>
      </c>
      <c r="S1407" s="95">
        <v>0</v>
      </c>
      <c r="T1407" s="99">
        <f>S1407*H1407</f>
        <v>0</v>
      </c>
      <c r="AR1407" s="101" t="s">
        <v>218</v>
      </c>
      <c r="AT1407" s="101" t="s">
        <v>214</v>
      </c>
      <c r="AU1407" s="101" t="s">
        <v>87</v>
      </c>
      <c r="AY1407" s="23" t="s">
        <v>211</v>
      </c>
      <c r="BE1407" s="104">
        <f>IF(N1407="základní",J1407,0)</f>
        <v>0</v>
      </c>
      <c r="BF1407" s="104">
        <f>IF(N1407="snížená",J1407,0)</f>
        <v>0</v>
      </c>
      <c r="BG1407" s="104">
        <f>IF(N1407="zákl. přenesená",J1407,0)</f>
        <v>0</v>
      </c>
      <c r="BH1407" s="104">
        <f>IF(N1407="sníž. přenesená",J1407,0)</f>
        <v>0</v>
      </c>
      <c r="BI1407" s="104">
        <f>IF(N1407="nulová",J1407,0)</f>
        <v>0</v>
      </c>
      <c r="BJ1407" s="23" t="s">
        <v>85</v>
      </c>
      <c r="BK1407" s="104">
        <f>ROUND(I1407*H1407,2)</f>
        <v>0</v>
      </c>
      <c r="BL1407" s="23" t="s">
        <v>218</v>
      </c>
      <c r="BM1407" s="101" t="s">
        <v>2041</v>
      </c>
    </row>
    <row r="1408" spans="2:65" s="1" customFormat="1" ht="67.2">
      <c r="B1408" s="12"/>
      <c r="D1408" s="105" t="s">
        <v>227</v>
      </c>
      <c r="F1408" s="106" t="s">
        <v>2023</v>
      </c>
      <c r="I1408" s="107"/>
      <c r="L1408" s="12"/>
      <c r="M1408" s="108"/>
      <c r="T1408" s="111"/>
      <c r="AT1408" s="23" t="s">
        <v>227</v>
      </c>
      <c r="AU1408" s="23" t="s">
        <v>87</v>
      </c>
    </row>
    <row r="1409" spans="2:65" s="1" customFormat="1" ht="55.5" customHeight="1">
      <c r="B1409" s="12"/>
      <c r="C1409" s="71" t="s">
        <v>2042</v>
      </c>
      <c r="D1409" s="71" t="s">
        <v>214</v>
      </c>
      <c r="E1409" s="72" t="s">
        <v>2043</v>
      </c>
      <c r="F1409" s="73" t="s">
        <v>2044</v>
      </c>
      <c r="G1409" s="74" t="s">
        <v>808</v>
      </c>
      <c r="H1409" s="75">
        <v>1</v>
      </c>
      <c r="I1409" s="90"/>
      <c r="J1409" s="91">
        <f>ROUND(I1409*H1409,2)</f>
        <v>0</v>
      </c>
      <c r="K1409" s="92"/>
      <c r="L1409" s="12"/>
      <c r="M1409" s="93" t="s">
        <v>1</v>
      </c>
      <c r="N1409" s="94" t="s">
        <v>42</v>
      </c>
      <c r="P1409" s="95">
        <f>O1409*H1409</f>
        <v>0</v>
      </c>
      <c r="Q1409" s="95">
        <v>0</v>
      </c>
      <c r="R1409" s="95">
        <f>Q1409*H1409</f>
        <v>0</v>
      </c>
      <c r="S1409" s="95">
        <v>0</v>
      </c>
      <c r="T1409" s="99">
        <f>S1409*H1409</f>
        <v>0</v>
      </c>
      <c r="AR1409" s="101" t="s">
        <v>218</v>
      </c>
      <c r="AT1409" s="101" t="s">
        <v>214</v>
      </c>
      <c r="AU1409" s="101" t="s">
        <v>87</v>
      </c>
      <c r="AY1409" s="23" t="s">
        <v>211</v>
      </c>
      <c r="BE1409" s="104">
        <f>IF(N1409="základní",J1409,0)</f>
        <v>0</v>
      </c>
      <c r="BF1409" s="104">
        <f>IF(N1409="snížená",J1409,0)</f>
        <v>0</v>
      </c>
      <c r="BG1409" s="104">
        <f>IF(N1409="zákl. přenesená",J1409,0)</f>
        <v>0</v>
      </c>
      <c r="BH1409" s="104">
        <f>IF(N1409="sníž. přenesená",J1409,0)</f>
        <v>0</v>
      </c>
      <c r="BI1409" s="104">
        <f>IF(N1409="nulová",J1409,0)</f>
        <v>0</v>
      </c>
      <c r="BJ1409" s="23" t="s">
        <v>85</v>
      </c>
      <c r="BK1409" s="104">
        <f>ROUND(I1409*H1409,2)</f>
        <v>0</v>
      </c>
      <c r="BL1409" s="23" t="s">
        <v>218</v>
      </c>
      <c r="BM1409" s="101" t="s">
        <v>2045</v>
      </c>
    </row>
    <row r="1410" spans="2:65" s="1" customFormat="1" ht="67.2">
      <c r="B1410" s="12"/>
      <c r="D1410" s="105" t="s">
        <v>227</v>
      </c>
      <c r="F1410" s="106" t="s">
        <v>2018</v>
      </c>
      <c r="I1410" s="107"/>
      <c r="L1410" s="12"/>
      <c r="M1410" s="108"/>
      <c r="T1410" s="111"/>
      <c r="AT1410" s="23" t="s">
        <v>227</v>
      </c>
      <c r="AU1410" s="23" t="s">
        <v>87</v>
      </c>
    </row>
    <row r="1411" spans="2:65" s="1" customFormat="1" ht="66.75" customHeight="1">
      <c r="B1411" s="12"/>
      <c r="C1411" s="71" t="s">
        <v>2046</v>
      </c>
      <c r="D1411" s="71" t="s">
        <v>214</v>
      </c>
      <c r="E1411" s="72" t="s">
        <v>2047</v>
      </c>
      <c r="F1411" s="73" t="s">
        <v>2048</v>
      </c>
      <c r="G1411" s="74" t="s">
        <v>808</v>
      </c>
      <c r="H1411" s="75">
        <v>1</v>
      </c>
      <c r="I1411" s="90"/>
      <c r="J1411" s="91">
        <f>ROUND(I1411*H1411,2)</f>
        <v>0</v>
      </c>
      <c r="K1411" s="92"/>
      <c r="L1411" s="12"/>
      <c r="M1411" s="93" t="s">
        <v>1</v>
      </c>
      <c r="N1411" s="94" t="s">
        <v>42</v>
      </c>
      <c r="P1411" s="95">
        <f>O1411*H1411</f>
        <v>0</v>
      </c>
      <c r="Q1411" s="95">
        <v>0</v>
      </c>
      <c r="R1411" s="95">
        <f>Q1411*H1411</f>
        <v>0</v>
      </c>
      <c r="S1411" s="95">
        <v>0</v>
      </c>
      <c r="T1411" s="99">
        <f>S1411*H1411</f>
        <v>0</v>
      </c>
      <c r="AR1411" s="101" t="s">
        <v>218</v>
      </c>
      <c r="AT1411" s="101" t="s">
        <v>214</v>
      </c>
      <c r="AU1411" s="101" t="s">
        <v>87</v>
      </c>
      <c r="AY1411" s="23" t="s">
        <v>211</v>
      </c>
      <c r="BE1411" s="104">
        <f>IF(N1411="základní",J1411,0)</f>
        <v>0</v>
      </c>
      <c r="BF1411" s="104">
        <f>IF(N1411="snížená",J1411,0)</f>
        <v>0</v>
      </c>
      <c r="BG1411" s="104">
        <f>IF(N1411="zákl. přenesená",J1411,0)</f>
        <v>0</v>
      </c>
      <c r="BH1411" s="104">
        <f>IF(N1411="sníž. přenesená",J1411,0)</f>
        <v>0</v>
      </c>
      <c r="BI1411" s="104">
        <f>IF(N1411="nulová",J1411,0)</f>
        <v>0</v>
      </c>
      <c r="BJ1411" s="23" t="s">
        <v>85</v>
      </c>
      <c r="BK1411" s="104">
        <f>ROUND(I1411*H1411,2)</f>
        <v>0</v>
      </c>
      <c r="BL1411" s="23" t="s">
        <v>218</v>
      </c>
      <c r="BM1411" s="101" t="s">
        <v>2049</v>
      </c>
    </row>
    <row r="1412" spans="2:65" s="1" customFormat="1" ht="76.8">
      <c r="B1412" s="12"/>
      <c r="D1412" s="105" t="s">
        <v>227</v>
      </c>
      <c r="F1412" s="106" t="s">
        <v>2028</v>
      </c>
      <c r="I1412" s="107"/>
      <c r="L1412" s="12"/>
      <c r="M1412" s="108"/>
      <c r="T1412" s="111"/>
      <c r="AT1412" s="23" t="s">
        <v>227</v>
      </c>
      <c r="AU1412" s="23" t="s">
        <v>87</v>
      </c>
    </row>
    <row r="1413" spans="2:65" s="1" customFormat="1" ht="66.75" customHeight="1">
      <c r="B1413" s="12"/>
      <c r="C1413" s="71" t="s">
        <v>2050</v>
      </c>
      <c r="D1413" s="71" t="s">
        <v>214</v>
      </c>
      <c r="E1413" s="72" t="s">
        <v>2051</v>
      </c>
      <c r="F1413" s="73" t="s">
        <v>2052</v>
      </c>
      <c r="G1413" s="74" t="s">
        <v>808</v>
      </c>
      <c r="H1413" s="75">
        <v>1</v>
      </c>
      <c r="I1413" s="90"/>
      <c r="J1413" s="91">
        <f>ROUND(I1413*H1413,2)</f>
        <v>0</v>
      </c>
      <c r="K1413" s="92"/>
      <c r="L1413" s="12"/>
      <c r="M1413" s="93" t="s">
        <v>1</v>
      </c>
      <c r="N1413" s="94" t="s">
        <v>42</v>
      </c>
      <c r="P1413" s="95">
        <f>O1413*H1413</f>
        <v>0</v>
      </c>
      <c r="Q1413" s="95">
        <v>0</v>
      </c>
      <c r="R1413" s="95">
        <f>Q1413*H1413</f>
        <v>0</v>
      </c>
      <c r="S1413" s="95">
        <v>0</v>
      </c>
      <c r="T1413" s="99">
        <f>S1413*H1413</f>
        <v>0</v>
      </c>
      <c r="AR1413" s="101" t="s">
        <v>218</v>
      </c>
      <c r="AT1413" s="101" t="s">
        <v>214</v>
      </c>
      <c r="AU1413" s="101" t="s">
        <v>87</v>
      </c>
      <c r="AY1413" s="23" t="s">
        <v>211</v>
      </c>
      <c r="BE1413" s="104">
        <f>IF(N1413="základní",J1413,0)</f>
        <v>0</v>
      </c>
      <c r="BF1413" s="104">
        <f>IF(N1413="snížená",J1413,0)</f>
        <v>0</v>
      </c>
      <c r="BG1413" s="104">
        <f>IF(N1413="zákl. přenesená",J1413,0)</f>
        <v>0</v>
      </c>
      <c r="BH1413" s="104">
        <f>IF(N1413="sníž. přenesená",J1413,0)</f>
        <v>0</v>
      </c>
      <c r="BI1413" s="104">
        <f>IF(N1413="nulová",J1413,0)</f>
        <v>0</v>
      </c>
      <c r="BJ1413" s="23" t="s">
        <v>85</v>
      </c>
      <c r="BK1413" s="104">
        <f>ROUND(I1413*H1413,2)</f>
        <v>0</v>
      </c>
      <c r="BL1413" s="23" t="s">
        <v>218</v>
      </c>
      <c r="BM1413" s="101" t="s">
        <v>2053</v>
      </c>
    </row>
    <row r="1414" spans="2:65" s="1" customFormat="1" ht="76.8">
      <c r="B1414" s="12"/>
      <c r="D1414" s="105" t="s">
        <v>227</v>
      </c>
      <c r="F1414" s="106" t="s">
        <v>2013</v>
      </c>
      <c r="I1414" s="107"/>
      <c r="L1414" s="12"/>
      <c r="M1414" s="108"/>
      <c r="T1414" s="111"/>
      <c r="AT1414" s="23" t="s">
        <v>227</v>
      </c>
      <c r="AU1414" s="23" t="s">
        <v>87</v>
      </c>
    </row>
    <row r="1415" spans="2:65" s="1" customFormat="1" ht="55.5" customHeight="1">
      <c r="B1415" s="12"/>
      <c r="C1415" s="71" t="s">
        <v>2054</v>
      </c>
      <c r="D1415" s="71" t="s">
        <v>214</v>
      </c>
      <c r="E1415" s="72" t="s">
        <v>2055</v>
      </c>
      <c r="F1415" s="73" t="s">
        <v>2056</v>
      </c>
      <c r="G1415" s="74" t="s">
        <v>808</v>
      </c>
      <c r="H1415" s="75">
        <v>1</v>
      </c>
      <c r="I1415" s="90"/>
      <c r="J1415" s="91">
        <f>ROUND(I1415*H1415,2)</f>
        <v>0</v>
      </c>
      <c r="K1415" s="92"/>
      <c r="L1415" s="12"/>
      <c r="M1415" s="93" t="s">
        <v>1</v>
      </c>
      <c r="N1415" s="94" t="s">
        <v>42</v>
      </c>
      <c r="P1415" s="95">
        <f>O1415*H1415</f>
        <v>0</v>
      </c>
      <c r="Q1415" s="95">
        <v>0</v>
      </c>
      <c r="R1415" s="95">
        <f>Q1415*H1415</f>
        <v>0</v>
      </c>
      <c r="S1415" s="95">
        <v>0</v>
      </c>
      <c r="T1415" s="99">
        <f>S1415*H1415</f>
        <v>0</v>
      </c>
      <c r="AR1415" s="101" t="s">
        <v>218</v>
      </c>
      <c r="AT1415" s="101" t="s">
        <v>214</v>
      </c>
      <c r="AU1415" s="101" t="s">
        <v>87</v>
      </c>
      <c r="AY1415" s="23" t="s">
        <v>211</v>
      </c>
      <c r="BE1415" s="104">
        <f>IF(N1415="základní",J1415,0)</f>
        <v>0</v>
      </c>
      <c r="BF1415" s="104">
        <f>IF(N1415="snížená",J1415,0)</f>
        <v>0</v>
      </c>
      <c r="BG1415" s="104">
        <f>IF(N1415="zákl. přenesená",J1415,0)</f>
        <v>0</v>
      </c>
      <c r="BH1415" s="104">
        <f>IF(N1415="sníž. přenesená",J1415,0)</f>
        <v>0</v>
      </c>
      <c r="BI1415" s="104">
        <f>IF(N1415="nulová",J1415,0)</f>
        <v>0</v>
      </c>
      <c r="BJ1415" s="23" t="s">
        <v>85</v>
      </c>
      <c r="BK1415" s="104">
        <f>ROUND(I1415*H1415,2)</f>
        <v>0</v>
      </c>
      <c r="BL1415" s="23" t="s">
        <v>218</v>
      </c>
      <c r="BM1415" s="101" t="s">
        <v>2057</v>
      </c>
    </row>
    <row r="1416" spans="2:65" s="1" customFormat="1" ht="67.2">
      <c r="B1416" s="12"/>
      <c r="D1416" s="105" t="s">
        <v>227</v>
      </c>
      <c r="F1416" s="106" t="s">
        <v>2018</v>
      </c>
      <c r="I1416" s="107"/>
      <c r="L1416" s="12"/>
      <c r="M1416" s="108"/>
      <c r="T1416" s="111"/>
      <c r="AT1416" s="23" t="s">
        <v>227</v>
      </c>
      <c r="AU1416" s="23" t="s">
        <v>87</v>
      </c>
    </row>
    <row r="1417" spans="2:65" s="1" customFormat="1" ht="66.75" customHeight="1">
      <c r="B1417" s="12"/>
      <c r="C1417" s="71" t="s">
        <v>2058</v>
      </c>
      <c r="D1417" s="71" t="s">
        <v>214</v>
      </c>
      <c r="E1417" s="72" t="s">
        <v>2059</v>
      </c>
      <c r="F1417" s="73" t="s">
        <v>2060</v>
      </c>
      <c r="G1417" s="74" t="s">
        <v>808</v>
      </c>
      <c r="H1417" s="75">
        <v>1</v>
      </c>
      <c r="I1417" s="90"/>
      <c r="J1417" s="91">
        <f>ROUND(I1417*H1417,2)</f>
        <v>0</v>
      </c>
      <c r="K1417" s="92"/>
      <c r="L1417" s="12"/>
      <c r="M1417" s="93" t="s">
        <v>1</v>
      </c>
      <c r="N1417" s="94" t="s">
        <v>42</v>
      </c>
      <c r="P1417" s="95">
        <f>O1417*H1417</f>
        <v>0</v>
      </c>
      <c r="Q1417" s="95">
        <v>0</v>
      </c>
      <c r="R1417" s="95">
        <f>Q1417*H1417</f>
        <v>0</v>
      </c>
      <c r="S1417" s="95">
        <v>0</v>
      </c>
      <c r="T1417" s="99">
        <f>S1417*H1417</f>
        <v>0</v>
      </c>
      <c r="AR1417" s="101" t="s">
        <v>218</v>
      </c>
      <c r="AT1417" s="101" t="s">
        <v>214</v>
      </c>
      <c r="AU1417" s="101" t="s">
        <v>87</v>
      </c>
      <c r="AY1417" s="23" t="s">
        <v>211</v>
      </c>
      <c r="BE1417" s="104">
        <f>IF(N1417="základní",J1417,0)</f>
        <v>0</v>
      </c>
      <c r="BF1417" s="104">
        <f>IF(N1417="snížená",J1417,0)</f>
        <v>0</v>
      </c>
      <c r="BG1417" s="104">
        <f>IF(N1417="zákl. přenesená",J1417,0)</f>
        <v>0</v>
      </c>
      <c r="BH1417" s="104">
        <f>IF(N1417="sníž. přenesená",J1417,0)</f>
        <v>0</v>
      </c>
      <c r="BI1417" s="104">
        <f>IF(N1417="nulová",J1417,0)</f>
        <v>0</v>
      </c>
      <c r="BJ1417" s="23" t="s">
        <v>85</v>
      </c>
      <c r="BK1417" s="104">
        <f>ROUND(I1417*H1417,2)</f>
        <v>0</v>
      </c>
      <c r="BL1417" s="23" t="s">
        <v>218</v>
      </c>
      <c r="BM1417" s="101" t="s">
        <v>2061</v>
      </c>
    </row>
    <row r="1418" spans="2:65" s="1" customFormat="1" ht="76.8">
      <c r="B1418" s="12"/>
      <c r="D1418" s="105" t="s">
        <v>227</v>
      </c>
      <c r="F1418" s="106" t="s">
        <v>2062</v>
      </c>
      <c r="I1418" s="107"/>
      <c r="L1418" s="12"/>
      <c r="M1418" s="108"/>
      <c r="T1418" s="111"/>
      <c r="AT1418" s="23" t="s">
        <v>227</v>
      </c>
      <c r="AU1418" s="23" t="s">
        <v>87</v>
      </c>
    </row>
    <row r="1419" spans="2:65" s="1" customFormat="1" ht="55.5" customHeight="1">
      <c r="B1419" s="12"/>
      <c r="C1419" s="71" t="s">
        <v>2063</v>
      </c>
      <c r="D1419" s="71" t="s">
        <v>214</v>
      </c>
      <c r="E1419" s="72" t="s">
        <v>2064</v>
      </c>
      <c r="F1419" s="73" t="s">
        <v>2065</v>
      </c>
      <c r="G1419" s="74" t="s">
        <v>808</v>
      </c>
      <c r="H1419" s="75">
        <v>1</v>
      </c>
      <c r="I1419" s="90"/>
      <c r="J1419" s="91">
        <f>ROUND(I1419*H1419,2)</f>
        <v>0</v>
      </c>
      <c r="K1419" s="92"/>
      <c r="L1419" s="12"/>
      <c r="M1419" s="93" t="s">
        <v>1</v>
      </c>
      <c r="N1419" s="94" t="s">
        <v>42</v>
      </c>
      <c r="P1419" s="95">
        <f>O1419*H1419</f>
        <v>0</v>
      </c>
      <c r="Q1419" s="95">
        <v>0</v>
      </c>
      <c r="R1419" s="95">
        <f>Q1419*H1419</f>
        <v>0</v>
      </c>
      <c r="S1419" s="95">
        <v>0</v>
      </c>
      <c r="T1419" s="99">
        <f>S1419*H1419</f>
        <v>0</v>
      </c>
      <c r="AR1419" s="101" t="s">
        <v>218</v>
      </c>
      <c r="AT1419" s="101" t="s">
        <v>214</v>
      </c>
      <c r="AU1419" s="101" t="s">
        <v>87</v>
      </c>
      <c r="AY1419" s="23" t="s">
        <v>211</v>
      </c>
      <c r="BE1419" s="104">
        <f>IF(N1419="základní",J1419,0)</f>
        <v>0</v>
      </c>
      <c r="BF1419" s="104">
        <f>IF(N1419="snížená",J1419,0)</f>
        <v>0</v>
      </c>
      <c r="BG1419" s="104">
        <f>IF(N1419="zákl. přenesená",J1419,0)</f>
        <v>0</v>
      </c>
      <c r="BH1419" s="104">
        <f>IF(N1419="sníž. přenesená",J1419,0)</f>
        <v>0</v>
      </c>
      <c r="BI1419" s="104">
        <f>IF(N1419="nulová",J1419,0)</f>
        <v>0</v>
      </c>
      <c r="BJ1419" s="23" t="s">
        <v>85</v>
      </c>
      <c r="BK1419" s="104">
        <f>ROUND(I1419*H1419,2)</f>
        <v>0</v>
      </c>
      <c r="BL1419" s="23" t="s">
        <v>218</v>
      </c>
      <c r="BM1419" s="101" t="s">
        <v>2066</v>
      </c>
    </row>
    <row r="1420" spans="2:65" s="1" customFormat="1" ht="67.2">
      <c r="B1420" s="12"/>
      <c r="D1420" s="105" t="s">
        <v>227</v>
      </c>
      <c r="F1420" s="106" t="s">
        <v>2023</v>
      </c>
      <c r="I1420" s="107"/>
      <c r="L1420" s="12"/>
      <c r="M1420" s="108"/>
      <c r="T1420" s="111"/>
      <c r="AT1420" s="23" t="s">
        <v>227</v>
      </c>
      <c r="AU1420" s="23" t="s">
        <v>87</v>
      </c>
    </row>
    <row r="1421" spans="2:65" s="1" customFormat="1" ht="66.75" customHeight="1">
      <c r="B1421" s="12"/>
      <c r="C1421" s="71" t="s">
        <v>2067</v>
      </c>
      <c r="D1421" s="71" t="s">
        <v>214</v>
      </c>
      <c r="E1421" s="72" t="s">
        <v>92</v>
      </c>
      <c r="F1421" s="73" t="s">
        <v>2068</v>
      </c>
      <c r="G1421" s="74" t="s">
        <v>808</v>
      </c>
      <c r="H1421" s="75">
        <v>1</v>
      </c>
      <c r="I1421" s="90"/>
      <c r="J1421" s="91">
        <f>ROUND(I1421*H1421,2)</f>
        <v>0</v>
      </c>
      <c r="K1421" s="92"/>
      <c r="L1421" s="12"/>
      <c r="M1421" s="93" t="s">
        <v>1</v>
      </c>
      <c r="N1421" s="94" t="s">
        <v>42</v>
      </c>
      <c r="P1421" s="95">
        <f>O1421*H1421</f>
        <v>0</v>
      </c>
      <c r="Q1421" s="95">
        <v>0</v>
      </c>
      <c r="R1421" s="95">
        <f>Q1421*H1421</f>
        <v>0</v>
      </c>
      <c r="S1421" s="95">
        <v>0</v>
      </c>
      <c r="T1421" s="99">
        <f>S1421*H1421</f>
        <v>0</v>
      </c>
      <c r="AR1421" s="101" t="s">
        <v>218</v>
      </c>
      <c r="AT1421" s="101" t="s">
        <v>214</v>
      </c>
      <c r="AU1421" s="101" t="s">
        <v>87</v>
      </c>
      <c r="AY1421" s="23" t="s">
        <v>211</v>
      </c>
      <c r="BE1421" s="104">
        <f>IF(N1421="základní",J1421,0)</f>
        <v>0</v>
      </c>
      <c r="BF1421" s="104">
        <f>IF(N1421="snížená",J1421,0)</f>
        <v>0</v>
      </c>
      <c r="BG1421" s="104">
        <f>IF(N1421="zákl. přenesená",J1421,0)</f>
        <v>0</v>
      </c>
      <c r="BH1421" s="104">
        <f>IF(N1421="sníž. přenesená",J1421,0)</f>
        <v>0</v>
      </c>
      <c r="BI1421" s="104">
        <f>IF(N1421="nulová",J1421,0)</f>
        <v>0</v>
      </c>
      <c r="BJ1421" s="23" t="s">
        <v>85</v>
      </c>
      <c r="BK1421" s="104">
        <f>ROUND(I1421*H1421,2)</f>
        <v>0</v>
      </c>
      <c r="BL1421" s="23" t="s">
        <v>218</v>
      </c>
      <c r="BM1421" s="101" t="s">
        <v>2069</v>
      </c>
    </row>
    <row r="1422" spans="2:65" s="1" customFormat="1" ht="76.8">
      <c r="B1422" s="12"/>
      <c r="D1422" s="105" t="s">
        <v>227</v>
      </c>
      <c r="F1422" s="106" t="s">
        <v>2013</v>
      </c>
      <c r="I1422" s="107"/>
      <c r="L1422" s="12"/>
      <c r="M1422" s="108"/>
      <c r="T1422" s="111"/>
      <c r="AT1422" s="23" t="s">
        <v>227</v>
      </c>
      <c r="AU1422" s="23" t="s">
        <v>87</v>
      </c>
    </row>
    <row r="1423" spans="2:65" s="1" customFormat="1" ht="55.5" customHeight="1">
      <c r="B1423" s="12"/>
      <c r="C1423" s="71" t="s">
        <v>2070</v>
      </c>
      <c r="D1423" s="71" t="s">
        <v>214</v>
      </c>
      <c r="E1423" s="72" t="s">
        <v>1044</v>
      </c>
      <c r="F1423" s="73" t="s">
        <v>2071</v>
      </c>
      <c r="G1423" s="74" t="s">
        <v>808</v>
      </c>
      <c r="H1423" s="75">
        <v>1</v>
      </c>
      <c r="I1423" s="90"/>
      <c r="J1423" s="91">
        <f>ROUND(I1423*H1423,2)</f>
        <v>0</v>
      </c>
      <c r="K1423" s="92"/>
      <c r="L1423" s="12"/>
      <c r="M1423" s="93" t="s">
        <v>1</v>
      </c>
      <c r="N1423" s="94" t="s">
        <v>42</v>
      </c>
      <c r="P1423" s="95">
        <f>O1423*H1423</f>
        <v>0</v>
      </c>
      <c r="Q1423" s="95">
        <v>0</v>
      </c>
      <c r="R1423" s="95">
        <f>Q1423*H1423</f>
        <v>0</v>
      </c>
      <c r="S1423" s="95">
        <v>0</v>
      </c>
      <c r="T1423" s="99">
        <f>S1423*H1423</f>
        <v>0</v>
      </c>
      <c r="AR1423" s="101" t="s">
        <v>218</v>
      </c>
      <c r="AT1423" s="101" t="s">
        <v>214</v>
      </c>
      <c r="AU1423" s="101" t="s">
        <v>87</v>
      </c>
      <c r="AY1423" s="23" t="s">
        <v>211</v>
      </c>
      <c r="BE1423" s="104">
        <f>IF(N1423="základní",J1423,0)</f>
        <v>0</v>
      </c>
      <c r="BF1423" s="104">
        <f>IF(N1423="snížená",J1423,0)</f>
        <v>0</v>
      </c>
      <c r="BG1423" s="104">
        <f>IF(N1423="zákl. přenesená",J1423,0)</f>
        <v>0</v>
      </c>
      <c r="BH1423" s="104">
        <f>IF(N1423="sníž. přenesená",J1423,0)</f>
        <v>0</v>
      </c>
      <c r="BI1423" s="104">
        <f>IF(N1423="nulová",J1423,0)</f>
        <v>0</v>
      </c>
      <c r="BJ1423" s="23" t="s">
        <v>85</v>
      </c>
      <c r="BK1423" s="104">
        <f>ROUND(I1423*H1423,2)</f>
        <v>0</v>
      </c>
      <c r="BL1423" s="23" t="s">
        <v>218</v>
      </c>
      <c r="BM1423" s="101" t="s">
        <v>2072</v>
      </c>
    </row>
    <row r="1424" spans="2:65" s="1" customFormat="1" ht="67.2">
      <c r="B1424" s="12"/>
      <c r="D1424" s="105" t="s">
        <v>227</v>
      </c>
      <c r="F1424" s="106" t="s">
        <v>2073</v>
      </c>
      <c r="I1424" s="107"/>
      <c r="L1424" s="12"/>
      <c r="M1424" s="108"/>
      <c r="T1424" s="111"/>
      <c r="AT1424" s="23" t="s">
        <v>227</v>
      </c>
      <c r="AU1424" s="23" t="s">
        <v>87</v>
      </c>
    </row>
    <row r="1425" spans="2:65" s="1" customFormat="1" ht="66.75" customHeight="1">
      <c r="B1425" s="12"/>
      <c r="C1425" s="71" t="s">
        <v>2074</v>
      </c>
      <c r="D1425" s="71" t="s">
        <v>214</v>
      </c>
      <c r="E1425" s="72" t="s">
        <v>1049</v>
      </c>
      <c r="F1425" s="73" t="s">
        <v>2075</v>
      </c>
      <c r="G1425" s="74" t="s">
        <v>808</v>
      </c>
      <c r="H1425" s="75">
        <v>1</v>
      </c>
      <c r="I1425" s="90"/>
      <c r="J1425" s="91">
        <f>ROUND(I1425*H1425,2)</f>
        <v>0</v>
      </c>
      <c r="K1425" s="92"/>
      <c r="L1425" s="12"/>
      <c r="M1425" s="93" t="s">
        <v>1</v>
      </c>
      <c r="N1425" s="94" t="s">
        <v>42</v>
      </c>
      <c r="P1425" s="95">
        <f>O1425*H1425</f>
        <v>0</v>
      </c>
      <c r="Q1425" s="95">
        <v>0</v>
      </c>
      <c r="R1425" s="95">
        <f>Q1425*H1425</f>
        <v>0</v>
      </c>
      <c r="S1425" s="95">
        <v>0</v>
      </c>
      <c r="T1425" s="99">
        <f>S1425*H1425</f>
        <v>0</v>
      </c>
      <c r="AR1425" s="101" t="s">
        <v>218</v>
      </c>
      <c r="AT1425" s="101" t="s">
        <v>214</v>
      </c>
      <c r="AU1425" s="101" t="s">
        <v>87</v>
      </c>
      <c r="AY1425" s="23" t="s">
        <v>211</v>
      </c>
      <c r="BE1425" s="104">
        <f>IF(N1425="základní",J1425,0)</f>
        <v>0</v>
      </c>
      <c r="BF1425" s="104">
        <f>IF(N1425="snížená",J1425,0)</f>
        <v>0</v>
      </c>
      <c r="BG1425" s="104">
        <f>IF(N1425="zákl. přenesená",J1425,0)</f>
        <v>0</v>
      </c>
      <c r="BH1425" s="104">
        <f>IF(N1425="sníž. přenesená",J1425,0)</f>
        <v>0</v>
      </c>
      <c r="BI1425" s="104">
        <f>IF(N1425="nulová",J1425,0)</f>
        <v>0</v>
      </c>
      <c r="BJ1425" s="23" t="s">
        <v>85</v>
      </c>
      <c r="BK1425" s="104">
        <f>ROUND(I1425*H1425,2)</f>
        <v>0</v>
      </c>
      <c r="BL1425" s="23" t="s">
        <v>218</v>
      </c>
      <c r="BM1425" s="101" t="s">
        <v>2076</v>
      </c>
    </row>
    <row r="1426" spans="2:65" s="1" customFormat="1" ht="76.8">
      <c r="B1426" s="12"/>
      <c r="D1426" s="105" t="s">
        <v>227</v>
      </c>
      <c r="F1426" s="106" t="s">
        <v>2028</v>
      </c>
      <c r="I1426" s="107"/>
      <c r="L1426" s="12"/>
      <c r="M1426" s="108"/>
      <c r="T1426" s="111"/>
      <c r="AT1426" s="23" t="s">
        <v>227</v>
      </c>
      <c r="AU1426" s="23" t="s">
        <v>87</v>
      </c>
    </row>
    <row r="1427" spans="2:65" s="1" customFormat="1" ht="55.5" customHeight="1">
      <c r="B1427" s="12"/>
      <c r="C1427" s="71" t="s">
        <v>2077</v>
      </c>
      <c r="D1427" s="71" t="s">
        <v>214</v>
      </c>
      <c r="E1427" s="72" t="s">
        <v>1058</v>
      </c>
      <c r="F1427" s="73" t="s">
        <v>2078</v>
      </c>
      <c r="G1427" s="74" t="s">
        <v>808</v>
      </c>
      <c r="H1427" s="75">
        <v>1</v>
      </c>
      <c r="I1427" s="90"/>
      <c r="J1427" s="91">
        <f>ROUND(I1427*H1427,2)</f>
        <v>0</v>
      </c>
      <c r="K1427" s="92"/>
      <c r="L1427" s="12"/>
      <c r="M1427" s="93" t="s">
        <v>1</v>
      </c>
      <c r="N1427" s="94" t="s">
        <v>42</v>
      </c>
      <c r="P1427" s="95">
        <f>O1427*H1427</f>
        <v>0</v>
      </c>
      <c r="Q1427" s="95">
        <v>0</v>
      </c>
      <c r="R1427" s="95">
        <f>Q1427*H1427</f>
        <v>0</v>
      </c>
      <c r="S1427" s="95">
        <v>0</v>
      </c>
      <c r="T1427" s="99">
        <f>S1427*H1427</f>
        <v>0</v>
      </c>
      <c r="AR1427" s="101" t="s">
        <v>218</v>
      </c>
      <c r="AT1427" s="101" t="s">
        <v>214</v>
      </c>
      <c r="AU1427" s="101" t="s">
        <v>87</v>
      </c>
      <c r="AY1427" s="23" t="s">
        <v>211</v>
      </c>
      <c r="BE1427" s="104">
        <f>IF(N1427="základní",J1427,0)</f>
        <v>0</v>
      </c>
      <c r="BF1427" s="104">
        <f>IF(N1427="snížená",J1427,0)</f>
        <v>0</v>
      </c>
      <c r="BG1427" s="104">
        <f>IF(N1427="zákl. přenesená",J1427,0)</f>
        <v>0</v>
      </c>
      <c r="BH1427" s="104">
        <f>IF(N1427="sníž. přenesená",J1427,0)</f>
        <v>0</v>
      </c>
      <c r="BI1427" s="104">
        <f>IF(N1427="nulová",J1427,0)</f>
        <v>0</v>
      </c>
      <c r="BJ1427" s="23" t="s">
        <v>85</v>
      </c>
      <c r="BK1427" s="104">
        <f>ROUND(I1427*H1427,2)</f>
        <v>0</v>
      </c>
      <c r="BL1427" s="23" t="s">
        <v>218</v>
      </c>
      <c r="BM1427" s="101" t="s">
        <v>2079</v>
      </c>
    </row>
    <row r="1428" spans="2:65" s="1" customFormat="1" ht="67.2">
      <c r="B1428" s="12"/>
      <c r="D1428" s="105" t="s">
        <v>227</v>
      </c>
      <c r="F1428" s="106" t="s">
        <v>2018</v>
      </c>
      <c r="I1428" s="107"/>
      <c r="L1428" s="12"/>
      <c r="M1428" s="108"/>
      <c r="T1428" s="111"/>
      <c r="AT1428" s="23" t="s">
        <v>227</v>
      </c>
      <c r="AU1428" s="23" t="s">
        <v>87</v>
      </c>
    </row>
    <row r="1429" spans="2:65" s="1" customFormat="1" ht="55.5" customHeight="1">
      <c r="B1429" s="12"/>
      <c r="C1429" s="71" t="s">
        <v>2080</v>
      </c>
      <c r="D1429" s="71" t="s">
        <v>214</v>
      </c>
      <c r="E1429" s="72" t="s">
        <v>1062</v>
      </c>
      <c r="F1429" s="73" t="s">
        <v>2081</v>
      </c>
      <c r="G1429" s="74" t="s">
        <v>808</v>
      </c>
      <c r="H1429" s="75">
        <v>1</v>
      </c>
      <c r="I1429" s="90"/>
      <c r="J1429" s="91">
        <f>ROUND(I1429*H1429,2)</f>
        <v>0</v>
      </c>
      <c r="K1429" s="92"/>
      <c r="L1429" s="12"/>
      <c r="M1429" s="93" t="s">
        <v>1</v>
      </c>
      <c r="N1429" s="94" t="s">
        <v>42</v>
      </c>
      <c r="P1429" s="95">
        <f>O1429*H1429</f>
        <v>0</v>
      </c>
      <c r="Q1429" s="95">
        <v>0</v>
      </c>
      <c r="R1429" s="95">
        <f>Q1429*H1429</f>
        <v>0</v>
      </c>
      <c r="S1429" s="95">
        <v>0</v>
      </c>
      <c r="T1429" s="99">
        <f>S1429*H1429</f>
        <v>0</v>
      </c>
      <c r="AR1429" s="101" t="s">
        <v>218</v>
      </c>
      <c r="AT1429" s="101" t="s">
        <v>214</v>
      </c>
      <c r="AU1429" s="101" t="s">
        <v>87</v>
      </c>
      <c r="AY1429" s="23" t="s">
        <v>211</v>
      </c>
      <c r="BE1429" s="104">
        <f>IF(N1429="základní",J1429,0)</f>
        <v>0</v>
      </c>
      <c r="BF1429" s="104">
        <f>IF(N1429="snížená",J1429,0)</f>
        <v>0</v>
      </c>
      <c r="BG1429" s="104">
        <f>IF(N1429="zákl. přenesená",J1429,0)</f>
        <v>0</v>
      </c>
      <c r="BH1429" s="104">
        <f>IF(N1429="sníž. přenesená",J1429,0)</f>
        <v>0</v>
      </c>
      <c r="BI1429" s="104">
        <f>IF(N1429="nulová",J1429,0)</f>
        <v>0</v>
      </c>
      <c r="BJ1429" s="23" t="s">
        <v>85</v>
      </c>
      <c r="BK1429" s="104">
        <f>ROUND(I1429*H1429,2)</f>
        <v>0</v>
      </c>
      <c r="BL1429" s="23" t="s">
        <v>218</v>
      </c>
      <c r="BM1429" s="101" t="s">
        <v>2082</v>
      </c>
    </row>
    <row r="1430" spans="2:65" s="1" customFormat="1" ht="67.2">
      <c r="B1430" s="12"/>
      <c r="D1430" s="105" t="s">
        <v>227</v>
      </c>
      <c r="F1430" s="106" t="s">
        <v>2023</v>
      </c>
      <c r="I1430" s="107"/>
      <c r="L1430" s="12"/>
      <c r="M1430" s="108"/>
      <c r="T1430" s="111"/>
      <c r="AT1430" s="23" t="s">
        <v>227</v>
      </c>
      <c r="AU1430" s="23" t="s">
        <v>87</v>
      </c>
    </row>
    <row r="1431" spans="2:65" s="1" customFormat="1" ht="66.75" customHeight="1">
      <c r="B1431" s="12"/>
      <c r="C1431" s="71" t="s">
        <v>2083</v>
      </c>
      <c r="D1431" s="71" t="s">
        <v>214</v>
      </c>
      <c r="E1431" s="72" t="s">
        <v>1067</v>
      </c>
      <c r="F1431" s="73" t="s">
        <v>2084</v>
      </c>
      <c r="G1431" s="74" t="s">
        <v>808</v>
      </c>
      <c r="H1431" s="75">
        <v>1</v>
      </c>
      <c r="I1431" s="90"/>
      <c r="J1431" s="91">
        <f>ROUND(I1431*H1431,2)</f>
        <v>0</v>
      </c>
      <c r="K1431" s="92"/>
      <c r="L1431" s="12"/>
      <c r="M1431" s="93" t="s">
        <v>1</v>
      </c>
      <c r="N1431" s="94" t="s">
        <v>42</v>
      </c>
      <c r="P1431" s="95">
        <f>O1431*H1431</f>
        <v>0</v>
      </c>
      <c r="Q1431" s="95">
        <v>0</v>
      </c>
      <c r="R1431" s="95">
        <f>Q1431*H1431</f>
        <v>0</v>
      </c>
      <c r="S1431" s="95">
        <v>0</v>
      </c>
      <c r="T1431" s="99">
        <f>S1431*H1431</f>
        <v>0</v>
      </c>
      <c r="AR1431" s="101" t="s">
        <v>218</v>
      </c>
      <c r="AT1431" s="101" t="s">
        <v>214</v>
      </c>
      <c r="AU1431" s="101" t="s">
        <v>87</v>
      </c>
      <c r="AY1431" s="23" t="s">
        <v>211</v>
      </c>
      <c r="BE1431" s="104">
        <f>IF(N1431="základní",J1431,0)</f>
        <v>0</v>
      </c>
      <c r="BF1431" s="104">
        <f>IF(N1431="snížená",J1431,0)</f>
        <v>0</v>
      </c>
      <c r="BG1431" s="104">
        <f>IF(N1431="zákl. přenesená",J1431,0)</f>
        <v>0</v>
      </c>
      <c r="BH1431" s="104">
        <f>IF(N1431="sníž. přenesená",J1431,0)</f>
        <v>0</v>
      </c>
      <c r="BI1431" s="104">
        <f>IF(N1431="nulová",J1431,0)</f>
        <v>0</v>
      </c>
      <c r="BJ1431" s="23" t="s">
        <v>85</v>
      </c>
      <c r="BK1431" s="104">
        <f>ROUND(I1431*H1431,2)</f>
        <v>0</v>
      </c>
      <c r="BL1431" s="23" t="s">
        <v>218</v>
      </c>
      <c r="BM1431" s="101" t="s">
        <v>2085</v>
      </c>
    </row>
    <row r="1432" spans="2:65" s="1" customFormat="1" ht="76.8">
      <c r="B1432" s="12"/>
      <c r="D1432" s="105" t="s">
        <v>227</v>
      </c>
      <c r="F1432" s="106" t="s">
        <v>2028</v>
      </c>
      <c r="I1432" s="107"/>
      <c r="L1432" s="12"/>
      <c r="M1432" s="108"/>
      <c r="T1432" s="111"/>
      <c r="AT1432" s="23" t="s">
        <v>227</v>
      </c>
      <c r="AU1432" s="23" t="s">
        <v>87</v>
      </c>
    </row>
    <row r="1433" spans="2:65" s="1" customFormat="1" ht="55.5" customHeight="1">
      <c r="B1433" s="12"/>
      <c r="C1433" s="71" t="s">
        <v>2086</v>
      </c>
      <c r="D1433" s="71" t="s">
        <v>214</v>
      </c>
      <c r="E1433" s="72" t="s">
        <v>1072</v>
      </c>
      <c r="F1433" s="73" t="s">
        <v>2087</v>
      </c>
      <c r="G1433" s="74" t="s">
        <v>808</v>
      </c>
      <c r="H1433" s="75">
        <v>1</v>
      </c>
      <c r="I1433" s="90"/>
      <c r="J1433" s="91">
        <f>ROUND(I1433*H1433,2)</f>
        <v>0</v>
      </c>
      <c r="K1433" s="92"/>
      <c r="L1433" s="12"/>
      <c r="M1433" s="93" t="s">
        <v>1</v>
      </c>
      <c r="N1433" s="94" t="s">
        <v>42</v>
      </c>
      <c r="P1433" s="95">
        <f>O1433*H1433</f>
        <v>0</v>
      </c>
      <c r="Q1433" s="95">
        <v>0</v>
      </c>
      <c r="R1433" s="95">
        <f>Q1433*H1433</f>
        <v>0</v>
      </c>
      <c r="S1433" s="95">
        <v>0</v>
      </c>
      <c r="T1433" s="99">
        <f>S1433*H1433</f>
        <v>0</v>
      </c>
      <c r="AR1433" s="101" t="s">
        <v>218</v>
      </c>
      <c r="AT1433" s="101" t="s">
        <v>214</v>
      </c>
      <c r="AU1433" s="101" t="s">
        <v>87</v>
      </c>
      <c r="AY1433" s="23" t="s">
        <v>211</v>
      </c>
      <c r="BE1433" s="104">
        <f>IF(N1433="základní",J1433,0)</f>
        <v>0</v>
      </c>
      <c r="BF1433" s="104">
        <f>IF(N1433="snížená",J1433,0)</f>
        <v>0</v>
      </c>
      <c r="BG1433" s="104">
        <f>IF(N1433="zákl. přenesená",J1433,0)</f>
        <v>0</v>
      </c>
      <c r="BH1433" s="104">
        <f>IF(N1433="sníž. přenesená",J1433,0)</f>
        <v>0</v>
      </c>
      <c r="BI1433" s="104">
        <f>IF(N1433="nulová",J1433,0)</f>
        <v>0</v>
      </c>
      <c r="BJ1433" s="23" t="s">
        <v>85</v>
      </c>
      <c r="BK1433" s="104">
        <f>ROUND(I1433*H1433,2)</f>
        <v>0</v>
      </c>
      <c r="BL1433" s="23" t="s">
        <v>218</v>
      </c>
      <c r="BM1433" s="101" t="s">
        <v>2088</v>
      </c>
    </row>
    <row r="1434" spans="2:65" s="1" customFormat="1" ht="67.2">
      <c r="B1434" s="12"/>
      <c r="D1434" s="105" t="s">
        <v>227</v>
      </c>
      <c r="F1434" s="106" t="s">
        <v>2089</v>
      </c>
      <c r="I1434" s="107"/>
      <c r="L1434" s="12"/>
      <c r="M1434" s="108"/>
      <c r="T1434" s="111"/>
      <c r="AT1434" s="23" t="s">
        <v>227</v>
      </c>
      <c r="AU1434" s="23" t="s">
        <v>87</v>
      </c>
    </row>
    <row r="1435" spans="2:65" s="1" customFormat="1" ht="66.75" customHeight="1">
      <c r="B1435" s="12"/>
      <c r="C1435" s="71" t="s">
        <v>2090</v>
      </c>
      <c r="D1435" s="71" t="s">
        <v>214</v>
      </c>
      <c r="E1435" s="72" t="s">
        <v>1083</v>
      </c>
      <c r="F1435" s="73" t="s">
        <v>2091</v>
      </c>
      <c r="G1435" s="74" t="s">
        <v>808</v>
      </c>
      <c r="H1435" s="75">
        <v>1</v>
      </c>
      <c r="I1435" s="90"/>
      <c r="J1435" s="91">
        <f>ROUND(I1435*H1435,2)</f>
        <v>0</v>
      </c>
      <c r="K1435" s="92"/>
      <c r="L1435" s="12"/>
      <c r="M1435" s="93" t="s">
        <v>1</v>
      </c>
      <c r="N1435" s="94" t="s">
        <v>42</v>
      </c>
      <c r="P1435" s="95">
        <f>O1435*H1435</f>
        <v>0</v>
      </c>
      <c r="Q1435" s="95">
        <v>0</v>
      </c>
      <c r="R1435" s="95">
        <f>Q1435*H1435</f>
        <v>0</v>
      </c>
      <c r="S1435" s="95">
        <v>0</v>
      </c>
      <c r="T1435" s="99">
        <f>S1435*H1435</f>
        <v>0</v>
      </c>
      <c r="AR1435" s="101" t="s">
        <v>218</v>
      </c>
      <c r="AT1435" s="101" t="s">
        <v>214</v>
      </c>
      <c r="AU1435" s="101" t="s">
        <v>87</v>
      </c>
      <c r="AY1435" s="23" t="s">
        <v>211</v>
      </c>
      <c r="BE1435" s="104">
        <f>IF(N1435="základní",J1435,0)</f>
        <v>0</v>
      </c>
      <c r="BF1435" s="104">
        <f>IF(N1435="snížená",J1435,0)</f>
        <v>0</v>
      </c>
      <c r="BG1435" s="104">
        <f>IF(N1435="zákl. přenesená",J1435,0)</f>
        <v>0</v>
      </c>
      <c r="BH1435" s="104">
        <f>IF(N1435="sníž. přenesená",J1435,0)</f>
        <v>0</v>
      </c>
      <c r="BI1435" s="104">
        <f>IF(N1435="nulová",J1435,0)</f>
        <v>0</v>
      </c>
      <c r="BJ1435" s="23" t="s">
        <v>85</v>
      </c>
      <c r="BK1435" s="104">
        <f>ROUND(I1435*H1435,2)</f>
        <v>0</v>
      </c>
      <c r="BL1435" s="23" t="s">
        <v>218</v>
      </c>
      <c r="BM1435" s="101" t="s">
        <v>2092</v>
      </c>
    </row>
    <row r="1436" spans="2:65" s="1" customFormat="1" ht="76.8">
      <c r="B1436" s="12"/>
      <c r="D1436" s="105" t="s">
        <v>227</v>
      </c>
      <c r="F1436" s="106" t="s">
        <v>2013</v>
      </c>
      <c r="I1436" s="107"/>
      <c r="L1436" s="12"/>
      <c r="M1436" s="108"/>
      <c r="T1436" s="111"/>
      <c r="AT1436" s="23" t="s">
        <v>227</v>
      </c>
      <c r="AU1436" s="23" t="s">
        <v>87</v>
      </c>
    </row>
    <row r="1437" spans="2:65" s="1" customFormat="1" ht="66.75" customHeight="1">
      <c r="B1437" s="12"/>
      <c r="C1437" s="71" t="s">
        <v>2093</v>
      </c>
      <c r="D1437" s="71" t="s">
        <v>214</v>
      </c>
      <c r="E1437" s="72" t="s">
        <v>1087</v>
      </c>
      <c r="F1437" s="73" t="s">
        <v>2094</v>
      </c>
      <c r="G1437" s="74" t="s">
        <v>808</v>
      </c>
      <c r="H1437" s="75">
        <v>1</v>
      </c>
      <c r="I1437" s="90"/>
      <c r="J1437" s="91">
        <f>ROUND(I1437*H1437,2)</f>
        <v>0</v>
      </c>
      <c r="K1437" s="92"/>
      <c r="L1437" s="12"/>
      <c r="M1437" s="93" t="s">
        <v>1</v>
      </c>
      <c r="N1437" s="94" t="s">
        <v>42</v>
      </c>
      <c r="P1437" s="95">
        <f>O1437*H1437</f>
        <v>0</v>
      </c>
      <c r="Q1437" s="95">
        <v>0</v>
      </c>
      <c r="R1437" s="95">
        <f>Q1437*H1437</f>
        <v>0</v>
      </c>
      <c r="S1437" s="95">
        <v>0</v>
      </c>
      <c r="T1437" s="99">
        <f>S1437*H1437</f>
        <v>0</v>
      </c>
      <c r="AR1437" s="101" t="s">
        <v>218</v>
      </c>
      <c r="AT1437" s="101" t="s">
        <v>214</v>
      </c>
      <c r="AU1437" s="101" t="s">
        <v>87</v>
      </c>
      <c r="AY1437" s="23" t="s">
        <v>211</v>
      </c>
      <c r="BE1437" s="104">
        <f>IF(N1437="základní",J1437,0)</f>
        <v>0</v>
      </c>
      <c r="BF1437" s="104">
        <f>IF(N1437="snížená",J1437,0)</f>
        <v>0</v>
      </c>
      <c r="BG1437" s="104">
        <f>IF(N1437="zákl. přenesená",J1437,0)</f>
        <v>0</v>
      </c>
      <c r="BH1437" s="104">
        <f>IF(N1437="sníž. přenesená",J1437,0)</f>
        <v>0</v>
      </c>
      <c r="BI1437" s="104">
        <f>IF(N1437="nulová",J1437,0)</f>
        <v>0</v>
      </c>
      <c r="BJ1437" s="23" t="s">
        <v>85</v>
      </c>
      <c r="BK1437" s="104">
        <f>ROUND(I1437*H1437,2)</f>
        <v>0</v>
      </c>
      <c r="BL1437" s="23" t="s">
        <v>218</v>
      </c>
      <c r="BM1437" s="101" t="s">
        <v>2095</v>
      </c>
    </row>
    <row r="1438" spans="2:65" s="1" customFormat="1" ht="76.8">
      <c r="B1438" s="12"/>
      <c r="D1438" s="105" t="s">
        <v>227</v>
      </c>
      <c r="F1438" s="106" t="s">
        <v>2013</v>
      </c>
      <c r="I1438" s="107"/>
      <c r="L1438" s="12"/>
      <c r="M1438" s="108"/>
      <c r="T1438" s="111"/>
      <c r="AT1438" s="23" t="s">
        <v>227</v>
      </c>
      <c r="AU1438" s="23" t="s">
        <v>87</v>
      </c>
    </row>
    <row r="1439" spans="2:65" s="1" customFormat="1" ht="66.75" customHeight="1">
      <c r="B1439" s="12"/>
      <c r="C1439" s="71" t="s">
        <v>2096</v>
      </c>
      <c r="D1439" s="71" t="s">
        <v>214</v>
      </c>
      <c r="E1439" s="72" t="s">
        <v>1098</v>
      </c>
      <c r="F1439" s="73" t="s">
        <v>2097</v>
      </c>
      <c r="G1439" s="74" t="s">
        <v>808</v>
      </c>
      <c r="H1439" s="75">
        <v>1</v>
      </c>
      <c r="I1439" s="90"/>
      <c r="J1439" s="91">
        <f>ROUND(I1439*H1439,2)</f>
        <v>0</v>
      </c>
      <c r="K1439" s="92"/>
      <c r="L1439" s="12"/>
      <c r="M1439" s="93" t="s">
        <v>1</v>
      </c>
      <c r="N1439" s="94" t="s">
        <v>42</v>
      </c>
      <c r="P1439" s="95">
        <f>O1439*H1439</f>
        <v>0</v>
      </c>
      <c r="Q1439" s="95">
        <v>0</v>
      </c>
      <c r="R1439" s="95">
        <f>Q1439*H1439</f>
        <v>0</v>
      </c>
      <c r="S1439" s="95">
        <v>0</v>
      </c>
      <c r="T1439" s="99">
        <f>S1439*H1439</f>
        <v>0</v>
      </c>
      <c r="AR1439" s="101" t="s">
        <v>218</v>
      </c>
      <c r="AT1439" s="101" t="s">
        <v>214</v>
      </c>
      <c r="AU1439" s="101" t="s">
        <v>87</v>
      </c>
      <c r="AY1439" s="23" t="s">
        <v>211</v>
      </c>
      <c r="BE1439" s="104">
        <f>IF(N1439="základní",J1439,0)</f>
        <v>0</v>
      </c>
      <c r="BF1439" s="104">
        <f>IF(N1439="snížená",J1439,0)</f>
        <v>0</v>
      </c>
      <c r="BG1439" s="104">
        <f>IF(N1439="zákl. přenesená",J1439,0)</f>
        <v>0</v>
      </c>
      <c r="BH1439" s="104">
        <f>IF(N1439="sníž. přenesená",J1439,0)</f>
        <v>0</v>
      </c>
      <c r="BI1439" s="104">
        <f>IF(N1439="nulová",J1439,0)</f>
        <v>0</v>
      </c>
      <c r="BJ1439" s="23" t="s">
        <v>85</v>
      </c>
      <c r="BK1439" s="104">
        <f>ROUND(I1439*H1439,2)</f>
        <v>0</v>
      </c>
      <c r="BL1439" s="23" t="s">
        <v>218</v>
      </c>
      <c r="BM1439" s="101" t="s">
        <v>2098</v>
      </c>
    </row>
    <row r="1440" spans="2:65" s="1" customFormat="1" ht="76.8">
      <c r="B1440" s="12"/>
      <c r="D1440" s="105" t="s">
        <v>227</v>
      </c>
      <c r="F1440" s="106" t="s">
        <v>2028</v>
      </c>
      <c r="I1440" s="107"/>
      <c r="L1440" s="12"/>
      <c r="M1440" s="108"/>
      <c r="T1440" s="111"/>
      <c r="AT1440" s="23" t="s">
        <v>227</v>
      </c>
      <c r="AU1440" s="23" t="s">
        <v>87</v>
      </c>
    </row>
    <row r="1441" spans="2:65" s="1" customFormat="1" ht="55.5" customHeight="1">
      <c r="B1441" s="12"/>
      <c r="C1441" s="71" t="s">
        <v>2099</v>
      </c>
      <c r="D1441" s="71" t="s">
        <v>214</v>
      </c>
      <c r="E1441" s="72" t="s">
        <v>1102</v>
      </c>
      <c r="F1441" s="73" t="s">
        <v>2100</v>
      </c>
      <c r="G1441" s="74" t="s">
        <v>808</v>
      </c>
      <c r="H1441" s="75">
        <v>1</v>
      </c>
      <c r="I1441" s="90"/>
      <c r="J1441" s="91">
        <f>ROUND(I1441*H1441,2)</f>
        <v>0</v>
      </c>
      <c r="K1441" s="92"/>
      <c r="L1441" s="12"/>
      <c r="M1441" s="93" t="s">
        <v>1</v>
      </c>
      <c r="N1441" s="94" t="s">
        <v>42</v>
      </c>
      <c r="P1441" s="95">
        <f>O1441*H1441</f>
        <v>0</v>
      </c>
      <c r="Q1441" s="95">
        <v>0</v>
      </c>
      <c r="R1441" s="95">
        <f>Q1441*H1441</f>
        <v>0</v>
      </c>
      <c r="S1441" s="95">
        <v>0</v>
      </c>
      <c r="T1441" s="99">
        <f>S1441*H1441</f>
        <v>0</v>
      </c>
      <c r="AR1441" s="101" t="s">
        <v>218</v>
      </c>
      <c r="AT1441" s="101" t="s">
        <v>214</v>
      </c>
      <c r="AU1441" s="101" t="s">
        <v>87</v>
      </c>
      <c r="AY1441" s="23" t="s">
        <v>211</v>
      </c>
      <c r="BE1441" s="104">
        <f>IF(N1441="základní",J1441,0)</f>
        <v>0</v>
      </c>
      <c r="BF1441" s="104">
        <f>IF(N1441="snížená",J1441,0)</f>
        <v>0</v>
      </c>
      <c r="BG1441" s="104">
        <f>IF(N1441="zákl. přenesená",J1441,0)</f>
        <v>0</v>
      </c>
      <c r="BH1441" s="104">
        <f>IF(N1441="sníž. přenesená",J1441,0)</f>
        <v>0</v>
      </c>
      <c r="BI1441" s="104">
        <f>IF(N1441="nulová",J1441,0)</f>
        <v>0</v>
      </c>
      <c r="BJ1441" s="23" t="s">
        <v>85</v>
      </c>
      <c r="BK1441" s="104">
        <f>ROUND(I1441*H1441,2)</f>
        <v>0</v>
      </c>
      <c r="BL1441" s="23" t="s">
        <v>218</v>
      </c>
      <c r="BM1441" s="101" t="s">
        <v>2101</v>
      </c>
    </row>
    <row r="1442" spans="2:65" s="1" customFormat="1" ht="67.2">
      <c r="B1442" s="12"/>
      <c r="D1442" s="105" t="s">
        <v>227</v>
      </c>
      <c r="F1442" s="106" t="s">
        <v>2023</v>
      </c>
      <c r="I1442" s="107"/>
      <c r="L1442" s="12"/>
      <c r="M1442" s="108"/>
      <c r="T1442" s="111"/>
      <c r="AT1442" s="23" t="s">
        <v>227</v>
      </c>
      <c r="AU1442" s="23" t="s">
        <v>87</v>
      </c>
    </row>
    <row r="1443" spans="2:65" s="1" customFormat="1" ht="55.5" customHeight="1">
      <c r="B1443" s="12"/>
      <c r="C1443" s="71" t="s">
        <v>2102</v>
      </c>
      <c r="D1443" s="71" t="s">
        <v>214</v>
      </c>
      <c r="E1443" s="72" t="s">
        <v>1112</v>
      </c>
      <c r="F1443" s="73" t="s">
        <v>2103</v>
      </c>
      <c r="G1443" s="74" t="s">
        <v>808</v>
      </c>
      <c r="H1443" s="75">
        <v>1</v>
      </c>
      <c r="I1443" s="90"/>
      <c r="J1443" s="91">
        <f>ROUND(I1443*H1443,2)</f>
        <v>0</v>
      </c>
      <c r="K1443" s="92"/>
      <c r="L1443" s="12"/>
      <c r="M1443" s="93" t="s">
        <v>1</v>
      </c>
      <c r="N1443" s="94" t="s">
        <v>42</v>
      </c>
      <c r="P1443" s="95">
        <f>O1443*H1443</f>
        <v>0</v>
      </c>
      <c r="Q1443" s="95">
        <v>0</v>
      </c>
      <c r="R1443" s="95">
        <f>Q1443*H1443</f>
        <v>0</v>
      </c>
      <c r="S1443" s="95">
        <v>0</v>
      </c>
      <c r="T1443" s="99">
        <f>S1443*H1443</f>
        <v>0</v>
      </c>
      <c r="AR1443" s="101" t="s">
        <v>218</v>
      </c>
      <c r="AT1443" s="101" t="s">
        <v>214</v>
      </c>
      <c r="AU1443" s="101" t="s">
        <v>87</v>
      </c>
      <c r="AY1443" s="23" t="s">
        <v>211</v>
      </c>
      <c r="BE1443" s="104">
        <f>IF(N1443="základní",J1443,0)</f>
        <v>0</v>
      </c>
      <c r="BF1443" s="104">
        <f>IF(N1443="snížená",J1443,0)</f>
        <v>0</v>
      </c>
      <c r="BG1443" s="104">
        <f>IF(N1443="zákl. přenesená",J1443,0)</f>
        <v>0</v>
      </c>
      <c r="BH1443" s="104">
        <f>IF(N1443="sníž. přenesená",J1443,0)</f>
        <v>0</v>
      </c>
      <c r="BI1443" s="104">
        <f>IF(N1443="nulová",J1443,0)</f>
        <v>0</v>
      </c>
      <c r="BJ1443" s="23" t="s">
        <v>85</v>
      </c>
      <c r="BK1443" s="104">
        <f>ROUND(I1443*H1443,2)</f>
        <v>0</v>
      </c>
      <c r="BL1443" s="23" t="s">
        <v>218</v>
      </c>
      <c r="BM1443" s="101" t="s">
        <v>2104</v>
      </c>
    </row>
    <row r="1444" spans="2:65" s="1" customFormat="1" ht="67.2">
      <c r="B1444" s="12"/>
      <c r="D1444" s="105" t="s">
        <v>227</v>
      </c>
      <c r="F1444" s="106" t="s">
        <v>2018</v>
      </c>
      <c r="I1444" s="107"/>
      <c r="L1444" s="12"/>
      <c r="M1444" s="108"/>
      <c r="T1444" s="111"/>
      <c r="AT1444" s="23" t="s">
        <v>227</v>
      </c>
      <c r="AU1444" s="23" t="s">
        <v>87</v>
      </c>
    </row>
    <row r="1445" spans="2:65" s="1" customFormat="1" ht="55.5" customHeight="1">
      <c r="B1445" s="12"/>
      <c r="C1445" s="71" t="s">
        <v>2105</v>
      </c>
      <c r="D1445" s="71" t="s">
        <v>214</v>
      </c>
      <c r="E1445" s="72" t="s">
        <v>1121</v>
      </c>
      <c r="F1445" s="73" t="s">
        <v>2106</v>
      </c>
      <c r="G1445" s="74" t="s">
        <v>808</v>
      </c>
      <c r="H1445" s="75">
        <v>1</v>
      </c>
      <c r="I1445" s="90"/>
      <c r="J1445" s="91">
        <f>ROUND(I1445*H1445,2)</f>
        <v>0</v>
      </c>
      <c r="K1445" s="92"/>
      <c r="L1445" s="12"/>
      <c r="M1445" s="93" t="s">
        <v>1</v>
      </c>
      <c r="N1445" s="94" t="s">
        <v>42</v>
      </c>
      <c r="P1445" s="95">
        <f>O1445*H1445</f>
        <v>0</v>
      </c>
      <c r="Q1445" s="95">
        <v>0</v>
      </c>
      <c r="R1445" s="95">
        <f>Q1445*H1445</f>
        <v>0</v>
      </c>
      <c r="S1445" s="95">
        <v>0</v>
      </c>
      <c r="T1445" s="99">
        <f>S1445*H1445</f>
        <v>0</v>
      </c>
      <c r="AR1445" s="101" t="s">
        <v>218</v>
      </c>
      <c r="AT1445" s="101" t="s">
        <v>214</v>
      </c>
      <c r="AU1445" s="101" t="s">
        <v>87</v>
      </c>
      <c r="AY1445" s="23" t="s">
        <v>211</v>
      </c>
      <c r="BE1445" s="104">
        <f>IF(N1445="základní",J1445,0)</f>
        <v>0</v>
      </c>
      <c r="BF1445" s="104">
        <f>IF(N1445="snížená",J1445,0)</f>
        <v>0</v>
      </c>
      <c r="BG1445" s="104">
        <f>IF(N1445="zákl. přenesená",J1445,0)</f>
        <v>0</v>
      </c>
      <c r="BH1445" s="104">
        <f>IF(N1445="sníž. přenesená",J1445,0)</f>
        <v>0</v>
      </c>
      <c r="BI1445" s="104">
        <f>IF(N1445="nulová",J1445,0)</f>
        <v>0</v>
      </c>
      <c r="BJ1445" s="23" t="s">
        <v>85</v>
      </c>
      <c r="BK1445" s="104">
        <f>ROUND(I1445*H1445,2)</f>
        <v>0</v>
      </c>
      <c r="BL1445" s="23" t="s">
        <v>218</v>
      </c>
      <c r="BM1445" s="101" t="s">
        <v>2107</v>
      </c>
    </row>
    <row r="1446" spans="2:65" s="1" customFormat="1" ht="67.2">
      <c r="B1446" s="12"/>
      <c r="D1446" s="105" t="s">
        <v>227</v>
      </c>
      <c r="F1446" s="106" t="s">
        <v>2023</v>
      </c>
      <c r="I1446" s="107"/>
      <c r="L1446" s="12"/>
      <c r="M1446" s="108"/>
      <c r="T1446" s="111"/>
      <c r="AT1446" s="23" t="s">
        <v>227</v>
      </c>
      <c r="AU1446" s="23" t="s">
        <v>87</v>
      </c>
    </row>
    <row r="1447" spans="2:65" s="1" customFormat="1" ht="66.75" customHeight="1">
      <c r="B1447" s="12"/>
      <c r="C1447" s="71" t="s">
        <v>2108</v>
      </c>
      <c r="D1447" s="71" t="s">
        <v>214</v>
      </c>
      <c r="E1447" s="72" t="s">
        <v>1129</v>
      </c>
      <c r="F1447" s="73" t="s">
        <v>2109</v>
      </c>
      <c r="G1447" s="74" t="s">
        <v>808</v>
      </c>
      <c r="H1447" s="75">
        <v>1</v>
      </c>
      <c r="I1447" s="90"/>
      <c r="J1447" s="91">
        <f>ROUND(I1447*H1447,2)</f>
        <v>0</v>
      </c>
      <c r="K1447" s="92"/>
      <c r="L1447" s="12"/>
      <c r="M1447" s="93" t="s">
        <v>1</v>
      </c>
      <c r="N1447" s="94" t="s">
        <v>42</v>
      </c>
      <c r="P1447" s="95">
        <f>O1447*H1447</f>
        <v>0</v>
      </c>
      <c r="Q1447" s="95">
        <v>0</v>
      </c>
      <c r="R1447" s="95">
        <f>Q1447*H1447</f>
        <v>0</v>
      </c>
      <c r="S1447" s="95">
        <v>0</v>
      </c>
      <c r="T1447" s="99">
        <f>S1447*H1447</f>
        <v>0</v>
      </c>
      <c r="AR1447" s="101" t="s">
        <v>218</v>
      </c>
      <c r="AT1447" s="101" t="s">
        <v>214</v>
      </c>
      <c r="AU1447" s="101" t="s">
        <v>87</v>
      </c>
      <c r="AY1447" s="23" t="s">
        <v>211</v>
      </c>
      <c r="BE1447" s="104">
        <f>IF(N1447="základní",J1447,0)</f>
        <v>0</v>
      </c>
      <c r="BF1447" s="104">
        <f>IF(N1447="snížená",J1447,0)</f>
        <v>0</v>
      </c>
      <c r="BG1447" s="104">
        <f>IF(N1447="zákl. přenesená",J1447,0)</f>
        <v>0</v>
      </c>
      <c r="BH1447" s="104">
        <f>IF(N1447="sníž. přenesená",J1447,0)</f>
        <v>0</v>
      </c>
      <c r="BI1447" s="104">
        <f>IF(N1447="nulová",J1447,0)</f>
        <v>0</v>
      </c>
      <c r="BJ1447" s="23" t="s">
        <v>85</v>
      </c>
      <c r="BK1447" s="104">
        <f>ROUND(I1447*H1447,2)</f>
        <v>0</v>
      </c>
      <c r="BL1447" s="23" t="s">
        <v>218</v>
      </c>
      <c r="BM1447" s="101" t="s">
        <v>2110</v>
      </c>
    </row>
    <row r="1448" spans="2:65" s="1" customFormat="1" ht="76.8">
      <c r="B1448" s="12"/>
      <c r="D1448" s="105" t="s">
        <v>227</v>
      </c>
      <c r="F1448" s="106" t="s">
        <v>2013</v>
      </c>
      <c r="I1448" s="107"/>
      <c r="L1448" s="12"/>
      <c r="M1448" s="108"/>
      <c r="T1448" s="111"/>
      <c r="AT1448" s="23" t="s">
        <v>227</v>
      </c>
      <c r="AU1448" s="23" t="s">
        <v>87</v>
      </c>
    </row>
    <row r="1449" spans="2:65" s="1" customFormat="1" ht="55.5" customHeight="1">
      <c r="B1449" s="12"/>
      <c r="C1449" s="71" t="s">
        <v>2111</v>
      </c>
      <c r="D1449" s="71" t="s">
        <v>214</v>
      </c>
      <c r="E1449" s="72" t="s">
        <v>1133</v>
      </c>
      <c r="F1449" s="73" t="s">
        <v>2112</v>
      </c>
      <c r="G1449" s="74" t="s">
        <v>808</v>
      </c>
      <c r="H1449" s="75">
        <v>1</v>
      </c>
      <c r="I1449" s="90"/>
      <c r="J1449" s="91">
        <f>ROUND(I1449*H1449,2)</f>
        <v>0</v>
      </c>
      <c r="K1449" s="92"/>
      <c r="L1449" s="12"/>
      <c r="M1449" s="93" t="s">
        <v>1</v>
      </c>
      <c r="N1449" s="94" t="s">
        <v>42</v>
      </c>
      <c r="P1449" s="95">
        <f>O1449*H1449</f>
        <v>0</v>
      </c>
      <c r="Q1449" s="95">
        <v>0</v>
      </c>
      <c r="R1449" s="95">
        <f>Q1449*H1449</f>
        <v>0</v>
      </c>
      <c r="S1449" s="95">
        <v>0</v>
      </c>
      <c r="T1449" s="99">
        <f>S1449*H1449</f>
        <v>0</v>
      </c>
      <c r="AR1449" s="101" t="s">
        <v>218</v>
      </c>
      <c r="AT1449" s="101" t="s">
        <v>214</v>
      </c>
      <c r="AU1449" s="101" t="s">
        <v>87</v>
      </c>
      <c r="AY1449" s="23" t="s">
        <v>211</v>
      </c>
      <c r="BE1449" s="104">
        <f>IF(N1449="základní",J1449,0)</f>
        <v>0</v>
      </c>
      <c r="BF1449" s="104">
        <f>IF(N1449="snížená",J1449,0)</f>
        <v>0</v>
      </c>
      <c r="BG1449" s="104">
        <f>IF(N1449="zákl. přenesená",J1449,0)</f>
        <v>0</v>
      </c>
      <c r="BH1449" s="104">
        <f>IF(N1449="sníž. přenesená",J1449,0)</f>
        <v>0</v>
      </c>
      <c r="BI1449" s="104">
        <f>IF(N1449="nulová",J1449,0)</f>
        <v>0</v>
      </c>
      <c r="BJ1449" s="23" t="s">
        <v>85</v>
      </c>
      <c r="BK1449" s="104">
        <f>ROUND(I1449*H1449,2)</f>
        <v>0</v>
      </c>
      <c r="BL1449" s="23" t="s">
        <v>218</v>
      </c>
      <c r="BM1449" s="101" t="s">
        <v>2113</v>
      </c>
    </row>
    <row r="1450" spans="2:65" s="1" customFormat="1" ht="67.2">
      <c r="B1450" s="12"/>
      <c r="D1450" s="105" t="s">
        <v>227</v>
      </c>
      <c r="F1450" s="106" t="s">
        <v>2023</v>
      </c>
      <c r="I1450" s="107"/>
      <c r="L1450" s="12"/>
      <c r="M1450" s="108"/>
      <c r="T1450" s="111"/>
      <c r="AT1450" s="23" t="s">
        <v>227</v>
      </c>
      <c r="AU1450" s="23" t="s">
        <v>87</v>
      </c>
    </row>
    <row r="1451" spans="2:65" s="1" customFormat="1" ht="55.5" customHeight="1">
      <c r="B1451" s="12"/>
      <c r="C1451" s="71" t="s">
        <v>2114</v>
      </c>
      <c r="D1451" s="71" t="s">
        <v>214</v>
      </c>
      <c r="E1451" s="72" t="s">
        <v>1141</v>
      </c>
      <c r="F1451" s="73" t="s">
        <v>2115</v>
      </c>
      <c r="G1451" s="74" t="s">
        <v>808</v>
      </c>
      <c r="H1451" s="75">
        <v>1</v>
      </c>
      <c r="I1451" s="90"/>
      <c r="J1451" s="91">
        <f>ROUND(I1451*H1451,2)</f>
        <v>0</v>
      </c>
      <c r="K1451" s="92"/>
      <c r="L1451" s="12"/>
      <c r="M1451" s="93" t="s">
        <v>1</v>
      </c>
      <c r="N1451" s="94" t="s">
        <v>42</v>
      </c>
      <c r="P1451" s="95">
        <f>O1451*H1451</f>
        <v>0</v>
      </c>
      <c r="Q1451" s="95">
        <v>0</v>
      </c>
      <c r="R1451" s="95">
        <f>Q1451*H1451</f>
        <v>0</v>
      </c>
      <c r="S1451" s="95">
        <v>0</v>
      </c>
      <c r="T1451" s="99">
        <f>S1451*H1451</f>
        <v>0</v>
      </c>
      <c r="AR1451" s="101" t="s">
        <v>218</v>
      </c>
      <c r="AT1451" s="101" t="s">
        <v>214</v>
      </c>
      <c r="AU1451" s="101" t="s">
        <v>87</v>
      </c>
      <c r="AY1451" s="23" t="s">
        <v>211</v>
      </c>
      <c r="BE1451" s="104">
        <f>IF(N1451="základní",J1451,0)</f>
        <v>0</v>
      </c>
      <c r="BF1451" s="104">
        <f>IF(N1451="snížená",J1451,0)</f>
        <v>0</v>
      </c>
      <c r="BG1451" s="104">
        <f>IF(N1451="zákl. přenesená",J1451,0)</f>
        <v>0</v>
      </c>
      <c r="BH1451" s="104">
        <f>IF(N1451="sníž. přenesená",J1451,0)</f>
        <v>0</v>
      </c>
      <c r="BI1451" s="104">
        <f>IF(N1451="nulová",J1451,0)</f>
        <v>0</v>
      </c>
      <c r="BJ1451" s="23" t="s">
        <v>85</v>
      </c>
      <c r="BK1451" s="104">
        <f>ROUND(I1451*H1451,2)</f>
        <v>0</v>
      </c>
      <c r="BL1451" s="23" t="s">
        <v>218</v>
      </c>
      <c r="BM1451" s="101" t="s">
        <v>2116</v>
      </c>
    </row>
    <row r="1452" spans="2:65" s="1" customFormat="1" ht="67.2">
      <c r="B1452" s="12"/>
      <c r="D1452" s="105" t="s">
        <v>227</v>
      </c>
      <c r="F1452" s="106" t="s">
        <v>2018</v>
      </c>
      <c r="I1452" s="107"/>
      <c r="L1452" s="12"/>
      <c r="M1452" s="108"/>
      <c r="T1452" s="111"/>
      <c r="AT1452" s="23" t="s">
        <v>227</v>
      </c>
      <c r="AU1452" s="23" t="s">
        <v>87</v>
      </c>
    </row>
    <row r="1453" spans="2:65" s="1" customFormat="1" ht="55.5" customHeight="1">
      <c r="B1453" s="12"/>
      <c r="C1453" s="71" t="s">
        <v>2117</v>
      </c>
      <c r="D1453" s="71" t="s">
        <v>214</v>
      </c>
      <c r="E1453" s="72" t="s">
        <v>1148</v>
      </c>
      <c r="F1453" s="73" t="s">
        <v>2118</v>
      </c>
      <c r="G1453" s="74" t="s">
        <v>808</v>
      </c>
      <c r="H1453" s="75">
        <v>1</v>
      </c>
      <c r="I1453" s="90"/>
      <c r="J1453" s="91">
        <f>ROUND(I1453*H1453,2)</f>
        <v>0</v>
      </c>
      <c r="K1453" s="92"/>
      <c r="L1453" s="12"/>
      <c r="M1453" s="93" t="s">
        <v>1</v>
      </c>
      <c r="N1453" s="94" t="s">
        <v>42</v>
      </c>
      <c r="P1453" s="95">
        <f>O1453*H1453</f>
        <v>0</v>
      </c>
      <c r="Q1453" s="95">
        <v>0</v>
      </c>
      <c r="R1453" s="95">
        <f>Q1453*H1453</f>
        <v>0</v>
      </c>
      <c r="S1453" s="95">
        <v>0</v>
      </c>
      <c r="T1453" s="99">
        <f>S1453*H1453</f>
        <v>0</v>
      </c>
      <c r="AR1453" s="101" t="s">
        <v>218</v>
      </c>
      <c r="AT1453" s="101" t="s">
        <v>214</v>
      </c>
      <c r="AU1453" s="101" t="s">
        <v>87</v>
      </c>
      <c r="AY1453" s="23" t="s">
        <v>211</v>
      </c>
      <c r="BE1453" s="104">
        <f>IF(N1453="základní",J1453,0)</f>
        <v>0</v>
      </c>
      <c r="BF1453" s="104">
        <f>IF(N1453="snížená",J1453,0)</f>
        <v>0</v>
      </c>
      <c r="BG1453" s="104">
        <f>IF(N1453="zákl. přenesená",J1453,0)</f>
        <v>0</v>
      </c>
      <c r="BH1453" s="104">
        <f>IF(N1453="sníž. přenesená",J1453,0)</f>
        <v>0</v>
      </c>
      <c r="BI1453" s="104">
        <f>IF(N1453="nulová",J1453,0)</f>
        <v>0</v>
      </c>
      <c r="BJ1453" s="23" t="s">
        <v>85</v>
      </c>
      <c r="BK1453" s="104">
        <f>ROUND(I1453*H1453,2)</f>
        <v>0</v>
      </c>
      <c r="BL1453" s="23" t="s">
        <v>218</v>
      </c>
      <c r="BM1453" s="101" t="s">
        <v>2119</v>
      </c>
    </row>
    <row r="1454" spans="2:65" s="1" customFormat="1" ht="67.2">
      <c r="B1454" s="12"/>
      <c r="D1454" s="105" t="s">
        <v>227</v>
      </c>
      <c r="F1454" s="106" t="s">
        <v>2018</v>
      </c>
      <c r="I1454" s="107"/>
      <c r="L1454" s="12"/>
      <c r="M1454" s="108"/>
      <c r="T1454" s="111"/>
      <c r="AT1454" s="23" t="s">
        <v>227</v>
      </c>
      <c r="AU1454" s="23" t="s">
        <v>87</v>
      </c>
    </row>
    <row r="1455" spans="2:65" s="1" customFormat="1" ht="55.5" customHeight="1">
      <c r="B1455" s="12"/>
      <c r="C1455" s="71" t="s">
        <v>2120</v>
      </c>
      <c r="D1455" s="71" t="s">
        <v>214</v>
      </c>
      <c r="E1455" s="72" t="s">
        <v>1153</v>
      </c>
      <c r="F1455" s="73" t="s">
        <v>2121</v>
      </c>
      <c r="G1455" s="74" t="s">
        <v>808</v>
      </c>
      <c r="H1455" s="75">
        <v>1</v>
      </c>
      <c r="I1455" s="90"/>
      <c r="J1455" s="91">
        <f>ROUND(I1455*H1455,2)</f>
        <v>0</v>
      </c>
      <c r="K1455" s="92"/>
      <c r="L1455" s="12"/>
      <c r="M1455" s="93" t="s">
        <v>1</v>
      </c>
      <c r="N1455" s="94" t="s">
        <v>42</v>
      </c>
      <c r="P1455" s="95">
        <f>O1455*H1455</f>
        <v>0</v>
      </c>
      <c r="Q1455" s="95">
        <v>0</v>
      </c>
      <c r="R1455" s="95">
        <f>Q1455*H1455</f>
        <v>0</v>
      </c>
      <c r="S1455" s="95">
        <v>0</v>
      </c>
      <c r="T1455" s="99">
        <f>S1455*H1455</f>
        <v>0</v>
      </c>
      <c r="AR1455" s="101" t="s">
        <v>218</v>
      </c>
      <c r="AT1455" s="101" t="s">
        <v>214</v>
      </c>
      <c r="AU1455" s="101" t="s">
        <v>87</v>
      </c>
      <c r="AY1455" s="23" t="s">
        <v>211</v>
      </c>
      <c r="BE1455" s="104">
        <f>IF(N1455="základní",J1455,0)</f>
        <v>0</v>
      </c>
      <c r="BF1455" s="104">
        <f>IF(N1455="snížená",J1455,0)</f>
        <v>0</v>
      </c>
      <c r="BG1455" s="104">
        <f>IF(N1455="zákl. přenesená",J1455,0)</f>
        <v>0</v>
      </c>
      <c r="BH1455" s="104">
        <f>IF(N1455="sníž. přenesená",J1455,0)</f>
        <v>0</v>
      </c>
      <c r="BI1455" s="104">
        <f>IF(N1455="nulová",J1455,0)</f>
        <v>0</v>
      </c>
      <c r="BJ1455" s="23" t="s">
        <v>85</v>
      </c>
      <c r="BK1455" s="104">
        <f>ROUND(I1455*H1455,2)</f>
        <v>0</v>
      </c>
      <c r="BL1455" s="23" t="s">
        <v>218</v>
      </c>
      <c r="BM1455" s="101" t="s">
        <v>2122</v>
      </c>
    </row>
    <row r="1456" spans="2:65" s="1" customFormat="1" ht="67.2">
      <c r="B1456" s="12"/>
      <c r="D1456" s="105" t="s">
        <v>227</v>
      </c>
      <c r="F1456" s="106" t="s">
        <v>2023</v>
      </c>
      <c r="I1456" s="107"/>
      <c r="L1456" s="12"/>
      <c r="M1456" s="108"/>
      <c r="T1456" s="111"/>
      <c r="AT1456" s="23" t="s">
        <v>227</v>
      </c>
      <c r="AU1456" s="23" t="s">
        <v>87</v>
      </c>
    </row>
    <row r="1457" spans="2:65" s="1" customFormat="1" ht="55.5" customHeight="1">
      <c r="B1457" s="12"/>
      <c r="C1457" s="71" t="s">
        <v>2123</v>
      </c>
      <c r="D1457" s="71" t="s">
        <v>214</v>
      </c>
      <c r="E1457" s="72" t="s">
        <v>1163</v>
      </c>
      <c r="F1457" s="73" t="s">
        <v>2124</v>
      </c>
      <c r="G1457" s="74" t="s">
        <v>808</v>
      </c>
      <c r="H1457" s="75">
        <v>1</v>
      </c>
      <c r="I1457" s="90"/>
      <c r="J1457" s="91">
        <f>ROUND(I1457*H1457,2)</f>
        <v>0</v>
      </c>
      <c r="K1457" s="92"/>
      <c r="L1457" s="12"/>
      <c r="M1457" s="93" t="s">
        <v>1</v>
      </c>
      <c r="N1457" s="94" t="s">
        <v>42</v>
      </c>
      <c r="P1457" s="95">
        <f>O1457*H1457</f>
        <v>0</v>
      </c>
      <c r="Q1457" s="95">
        <v>0</v>
      </c>
      <c r="R1457" s="95">
        <f>Q1457*H1457</f>
        <v>0</v>
      </c>
      <c r="S1457" s="95">
        <v>0</v>
      </c>
      <c r="T1457" s="99">
        <f>S1457*H1457</f>
        <v>0</v>
      </c>
      <c r="AR1457" s="101" t="s">
        <v>218</v>
      </c>
      <c r="AT1457" s="101" t="s">
        <v>214</v>
      </c>
      <c r="AU1457" s="101" t="s">
        <v>87</v>
      </c>
      <c r="AY1457" s="23" t="s">
        <v>211</v>
      </c>
      <c r="BE1457" s="104">
        <f>IF(N1457="základní",J1457,0)</f>
        <v>0</v>
      </c>
      <c r="BF1457" s="104">
        <f>IF(N1457="snížená",J1457,0)</f>
        <v>0</v>
      </c>
      <c r="BG1457" s="104">
        <f>IF(N1457="zákl. přenesená",J1457,0)</f>
        <v>0</v>
      </c>
      <c r="BH1457" s="104">
        <f>IF(N1457="sníž. přenesená",J1457,0)</f>
        <v>0</v>
      </c>
      <c r="BI1457" s="104">
        <f>IF(N1457="nulová",J1457,0)</f>
        <v>0</v>
      </c>
      <c r="BJ1457" s="23" t="s">
        <v>85</v>
      </c>
      <c r="BK1457" s="104">
        <f>ROUND(I1457*H1457,2)</f>
        <v>0</v>
      </c>
      <c r="BL1457" s="23" t="s">
        <v>218</v>
      </c>
      <c r="BM1457" s="101" t="s">
        <v>2125</v>
      </c>
    </row>
    <row r="1458" spans="2:65" s="1" customFormat="1" ht="67.2">
      <c r="B1458" s="12"/>
      <c r="D1458" s="105" t="s">
        <v>227</v>
      </c>
      <c r="F1458" s="106" t="s">
        <v>2018</v>
      </c>
      <c r="I1458" s="107"/>
      <c r="L1458" s="12"/>
      <c r="M1458" s="108"/>
      <c r="T1458" s="111"/>
      <c r="AT1458" s="23" t="s">
        <v>227</v>
      </c>
      <c r="AU1458" s="23" t="s">
        <v>87</v>
      </c>
    </row>
    <row r="1459" spans="2:65" s="1" customFormat="1" ht="66.75" customHeight="1">
      <c r="B1459" s="12"/>
      <c r="C1459" s="71" t="s">
        <v>2126</v>
      </c>
      <c r="D1459" s="71" t="s">
        <v>214</v>
      </c>
      <c r="E1459" s="72" t="s">
        <v>1167</v>
      </c>
      <c r="F1459" s="73" t="s">
        <v>2127</v>
      </c>
      <c r="G1459" s="74" t="s">
        <v>808</v>
      </c>
      <c r="H1459" s="75">
        <v>1</v>
      </c>
      <c r="I1459" s="90"/>
      <c r="J1459" s="91">
        <f>ROUND(I1459*H1459,2)</f>
        <v>0</v>
      </c>
      <c r="K1459" s="92"/>
      <c r="L1459" s="12"/>
      <c r="M1459" s="93" t="s">
        <v>1</v>
      </c>
      <c r="N1459" s="94" t="s">
        <v>42</v>
      </c>
      <c r="P1459" s="95">
        <f>O1459*H1459</f>
        <v>0</v>
      </c>
      <c r="Q1459" s="95">
        <v>0</v>
      </c>
      <c r="R1459" s="95">
        <f>Q1459*H1459</f>
        <v>0</v>
      </c>
      <c r="S1459" s="95">
        <v>0</v>
      </c>
      <c r="T1459" s="99">
        <f>S1459*H1459</f>
        <v>0</v>
      </c>
      <c r="AR1459" s="101" t="s">
        <v>218</v>
      </c>
      <c r="AT1459" s="101" t="s">
        <v>214</v>
      </c>
      <c r="AU1459" s="101" t="s">
        <v>87</v>
      </c>
      <c r="AY1459" s="23" t="s">
        <v>211</v>
      </c>
      <c r="BE1459" s="104">
        <f>IF(N1459="základní",J1459,0)</f>
        <v>0</v>
      </c>
      <c r="BF1459" s="104">
        <f>IF(N1459="snížená",J1459,0)</f>
        <v>0</v>
      </c>
      <c r="BG1459" s="104">
        <f>IF(N1459="zákl. přenesená",J1459,0)</f>
        <v>0</v>
      </c>
      <c r="BH1459" s="104">
        <f>IF(N1459="sníž. přenesená",J1459,0)</f>
        <v>0</v>
      </c>
      <c r="BI1459" s="104">
        <f>IF(N1459="nulová",J1459,0)</f>
        <v>0</v>
      </c>
      <c r="BJ1459" s="23" t="s">
        <v>85</v>
      </c>
      <c r="BK1459" s="104">
        <f>ROUND(I1459*H1459,2)</f>
        <v>0</v>
      </c>
      <c r="BL1459" s="23" t="s">
        <v>218</v>
      </c>
      <c r="BM1459" s="101" t="s">
        <v>2128</v>
      </c>
    </row>
    <row r="1460" spans="2:65" s="1" customFormat="1" ht="86.4">
      <c r="B1460" s="12"/>
      <c r="D1460" s="105" t="s">
        <v>227</v>
      </c>
      <c r="F1460" s="106" t="s">
        <v>2129</v>
      </c>
      <c r="I1460" s="107"/>
      <c r="L1460" s="12"/>
      <c r="M1460" s="108"/>
      <c r="T1460" s="111"/>
      <c r="AT1460" s="23" t="s">
        <v>227</v>
      </c>
      <c r="AU1460" s="23" t="s">
        <v>87</v>
      </c>
    </row>
    <row r="1461" spans="2:65" s="1" customFormat="1" ht="76.349999999999994" customHeight="1">
      <c r="B1461" s="12"/>
      <c r="C1461" s="71" t="s">
        <v>2130</v>
      </c>
      <c r="D1461" s="71" t="s">
        <v>214</v>
      </c>
      <c r="E1461" s="72" t="s">
        <v>1175</v>
      </c>
      <c r="F1461" s="73" t="s">
        <v>2131</v>
      </c>
      <c r="G1461" s="74" t="s">
        <v>808</v>
      </c>
      <c r="H1461" s="75">
        <v>1</v>
      </c>
      <c r="I1461" s="90"/>
      <c r="J1461" s="91">
        <f>ROUND(I1461*H1461,2)</f>
        <v>0</v>
      </c>
      <c r="K1461" s="92"/>
      <c r="L1461" s="12"/>
      <c r="M1461" s="93" t="s">
        <v>1</v>
      </c>
      <c r="N1461" s="94" t="s">
        <v>42</v>
      </c>
      <c r="P1461" s="95">
        <f>O1461*H1461</f>
        <v>0</v>
      </c>
      <c r="Q1461" s="95">
        <v>0</v>
      </c>
      <c r="R1461" s="95">
        <f>Q1461*H1461</f>
        <v>0</v>
      </c>
      <c r="S1461" s="95">
        <v>0</v>
      </c>
      <c r="T1461" s="99">
        <f>S1461*H1461</f>
        <v>0</v>
      </c>
      <c r="AR1461" s="101" t="s">
        <v>218</v>
      </c>
      <c r="AT1461" s="101" t="s">
        <v>214</v>
      </c>
      <c r="AU1461" s="101" t="s">
        <v>87</v>
      </c>
      <c r="AY1461" s="23" t="s">
        <v>211</v>
      </c>
      <c r="BE1461" s="104">
        <f>IF(N1461="základní",J1461,0)</f>
        <v>0</v>
      </c>
      <c r="BF1461" s="104">
        <f>IF(N1461="snížená",J1461,0)</f>
        <v>0</v>
      </c>
      <c r="BG1461" s="104">
        <f>IF(N1461="zákl. přenesená",J1461,0)</f>
        <v>0</v>
      </c>
      <c r="BH1461" s="104">
        <f>IF(N1461="sníž. přenesená",J1461,0)</f>
        <v>0</v>
      </c>
      <c r="BI1461" s="104">
        <f>IF(N1461="nulová",J1461,0)</f>
        <v>0</v>
      </c>
      <c r="BJ1461" s="23" t="s">
        <v>85</v>
      </c>
      <c r="BK1461" s="104">
        <f>ROUND(I1461*H1461,2)</f>
        <v>0</v>
      </c>
      <c r="BL1461" s="23" t="s">
        <v>218</v>
      </c>
      <c r="BM1461" s="101" t="s">
        <v>2132</v>
      </c>
    </row>
    <row r="1462" spans="2:65" s="1" customFormat="1" ht="105.6">
      <c r="B1462" s="12"/>
      <c r="D1462" s="105" t="s">
        <v>227</v>
      </c>
      <c r="F1462" s="106" t="s">
        <v>1941</v>
      </c>
      <c r="I1462" s="107"/>
      <c r="L1462" s="12"/>
      <c r="M1462" s="108"/>
      <c r="T1462" s="111"/>
      <c r="AT1462" s="23" t="s">
        <v>227</v>
      </c>
      <c r="AU1462" s="23" t="s">
        <v>87</v>
      </c>
    </row>
    <row r="1463" spans="2:65" s="1" customFormat="1" ht="66.75" customHeight="1">
      <c r="B1463" s="12"/>
      <c r="C1463" s="71" t="s">
        <v>2133</v>
      </c>
      <c r="D1463" s="71" t="s">
        <v>214</v>
      </c>
      <c r="E1463" s="72" t="s">
        <v>1179</v>
      </c>
      <c r="F1463" s="73" t="s">
        <v>2134</v>
      </c>
      <c r="G1463" s="74" t="s">
        <v>808</v>
      </c>
      <c r="H1463" s="75">
        <v>1</v>
      </c>
      <c r="I1463" s="90"/>
      <c r="J1463" s="91">
        <f>ROUND(I1463*H1463,2)</f>
        <v>0</v>
      </c>
      <c r="K1463" s="92"/>
      <c r="L1463" s="12"/>
      <c r="M1463" s="93" t="s">
        <v>1</v>
      </c>
      <c r="N1463" s="94" t="s">
        <v>42</v>
      </c>
      <c r="P1463" s="95">
        <f>O1463*H1463</f>
        <v>0</v>
      </c>
      <c r="Q1463" s="95">
        <v>0</v>
      </c>
      <c r="R1463" s="95">
        <f>Q1463*H1463</f>
        <v>0</v>
      </c>
      <c r="S1463" s="95">
        <v>0</v>
      </c>
      <c r="T1463" s="99">
        <f>S1463*H1463</f>
        <v>0</v>
      </c>
      <c r="AR1463" s="101" t="s">
        <v>218</v>
      </c>
      <c r="AT1463" s="101" t="s">
        <v>214</v>
      </c>
      <c r="AU1463" s="101" t="s">
        <v>87</v>
      </c>
      <c r="AY1463" s="23" t="s">
        <v>211</v>
      </c>
      <c r="BE1463" s="104">
        <f>IF(N1463="základní",J1463,0)</f>
        <v>0</v>
      </c>
      <c r="BF1463" s="104">
        <f>IF(N1463="snížená",J1463,0)</f>
        <v>0</v>
      </c>
      <c r="BG1463" s="104">
        <f>IF(N1463="zákl. přenesená",J1463,0)</f>
        <v>0</v>
      </c>
      <c r="BH1463" s="104">
        <f>IF(N1463="sníž. přenesená",J1463,0)</f>
        <v>0</v>
      </c>
      <c r="BI1463" s="104">
        <f>IF(N1463="nulová",J1463,0)</f>
        <v>0</v>
      </c>
      <c r="BJ1463" s="23" t="s">
        <v>85</v>
      </c>
      <c r="BK1463" s="104">
        <f>ROUND(I1463*H1463,2)</f>
        <v>0</v>
      </c>
      <c r="BL1463" s="23" t="s">
        <v>218</v>
      </c>
      <c r="BM1463" s="101" t="s">
        <v>2135</v>
      </c>
    </row>
    <row r="1464" spans="2:65" s="1" customFormat="1" ht="76.8">
      <c r="B1464" s="12"/>
      <c r="D1464" s="105" t="s">
        <v>227</v>
      </c>
      <c r="F1464" s="106" t="s">
        <v>2013</v>
      </c>
      <c r="I1464" s="107"/>
      <c r="L1464" s="12"/>
      <c r="M1464" s="108"/>
      <c r="T1464" s="111"/>
      <c r="AT1464" s="23" t="s">
        <v>227</v>
      </c>
      <c r="AU1464" s="23" t="s">
        <v>87</v>
      </c>
    </row>
    <row r="1465" spans="2:65" s="1" customFormat="1" ht="55.5" customHeight="1">
      <c r="B1465" s="12"/>
      <c r="C1465" s="71" t="s">
        <v>2136</v>
      </c>
      <c r="D1465" s="71" t="s">
        <v>214</v>
      </c>
      <c r="E1465" s="72" t="s">
        <v>1183</v>
      </c>
      <c r="F1465" s="73" t="s">
        <v>2137</v>
      </c>
      <c r="G1465" s="74" t="s">
        <v>808</v>
      </c>
      <c r="H1465" s="75">
        <v>1</v>
      </c>
      <c r="I1465" s="90"/>
      <c r="J1465" s="91">
        <f>ROUND(I1465*H1465,2)</f>
        <v>0</v>
      </c>
      <c r="K1465" s="92"/>
      <c r="L1465" s="12"/>
      <c r="M1465" s="93" t="s">
        <v>1</v>
      </c>
      <c r="N1465" s="94" t="s">
        <v>42</v>
      </c>
      <c r="P1465" s="95">
        <f>O1465*H1465</f>
        <v>0</v>
      </c>
      <c r="Q1465" s="95">
        <v>0</v>
      </c>
      <c r="R1465" s="95">
        <f>Q1465*H1465</f>
        <v>0</v>
      </c>
      <c r="S1465" s="95">
        <v>0</v>
      </c>
      <c r="T1465" s="99">
        <f>S1465*H1465</f>
        <v>0</v>
      </c>
      <c r="AR1465" s="101" t="s">
        <v>218</v>
      </c>
      <c r="AT1465" s="101" t="s">
        <v>214</v>
      </c>
      <c r="AU1465" s="101" t="s">
        <v>87</v>
      </c>
      <c r="AY1465" s="23" t="s">
        <v>211</v>
      </c>
      <c r="BE1465" s="104">
        <f>IF(N1465="základní",J1465,0)</f>
        <v>0</v>
      </c>
      <c r="BF1465" s="104">
        <f>IF(N1465="snížená",J1465,0)</f>
        <v>0</v>
      </c>
      <c r="BG1465" s="104">
        <f>IF(N1465="zákl. přenesená",J1465,0)</f>
        <v>0</v>
      </c>
      <c r="BH1465" s="104">
        <f>IF(N1465="sníž. přenesená",J1465,0)</f>
        <v>0</v>
      </c>
      <c r="BI1465" s="104">
        <f>IF(N1465="nulová",J1465,0)</f>
        <v>0</v>
      </c>
      <c r="BJ1465" s="23" t="s">
        <v>85</v>
      </c>
      <c r="BK1465" s="104">
        <f>ROUND(I1465*H1465,2)</f>
        <v>0</v>
      </c>
      <c r="BL1465" s="23" t="s">
        <v>218</v>
      </c>
      <c r="BM1465" s="101" t="s">
        <v>2138</v>
      </c>
    </row>
    <row r="1466" spans="2:65" s="1" customFormat="1" ht="67.2">
      <c r="B1466" s="12"/>
      <c r="D1466" s="105" t="s">
        <v>227</v>
      </c>
      <c r="F1466" s="106" t="s">
        <v>2018</v>
      </c>
      <c r="I1466" s="107"/>
      <c r="L1466" s="12"/>
      <c r="M1466" s="108"/>
      <c r="T1466" s="111"/>
      <c r="AT1466" s="23" t="s">
        <v>227</v>
      </c>
      <c r="AU1466" s="23" t="s">
        <v>87</v>
      </c>
    </row>
    <row r="1467" spans="2:65" s="1" customFormat="1" ht="66.75" customHeight="1">
      <c r="B1467" s="12"/>
      <c r="C1467" s="71" t="s">
        <v>2139</v>
      </c>
      <c r="D1467" s="71" t="s">
        <v>214</v>
      </c>
      <c r="E1467" s="72" t="s">
        <v>1187</v>
      </c>
      <c r="F1467" s="73" t="s">
        <v>2140</v>
      </c>
      <c r="G1467" s="74" t="s">
        <v>808</v>
      </c>
      <c r="H1467" s="75">
        <v>1</v>
      </c>
      <c r="I1467" s="90"/>
      <c r="J1467" s="91">
        <f>ROUND(I1467*H1467,2)</f>
        <v>0</v>
      </c>
      <c r="K1467" s="92"/>
      <c r="L1467" s="12"/>
      <c r="M1467" s="93" t="s">
        <v>1</v>
      </c>
      <c r="N1467" s="94" t="s">
        <v>42</v>
      </c>
      <c r="P1467" s="95">
        <f>O1467*H1467</f>
        <v>0</v>
      </c>
      <c r="Q1467" s="95">
        <v>0</v>
      </c>
      <c r="R1467" s="95">
        <f>Q1467*H1467</f>
        <v>0</v>
      </c>
      <c r="S1467" s="95">
        <v>0</v>
      </c>
      <c r="T1467" s="99">
        <f>S1467*H1467</f>
        <v>0</v>
      </c>
      <c r="AR1467" s="101" t="s">
        <v>218</v>
      </c>
      <c r="AT1467" s="101" t="s">
        <v>214</v>
      </c>
      <c r="AU1467" s="101" t="s">
        <v>87</v>
      </c>
      <c r="AY1467" s="23" t="s">
        <v>211</v>
      </c>
      <c r="BE1467" s="104">
        <f>IF(N1467="základní",J1467,0)</f>
        <v>0</v>
      </c>
      <c r="BF1467" s="104">
        <f>IF(N1467="snížená",J1467,0)</f>
        <v>0</v>
      </c>
      <c r="BG1467" s="104">
        <f>IF(N1467="zákl. přenesená",J1467,0)</f>
        <v>0</v>
      </c>
      <c r="BH1467" s="104">
        <f>IF(N1467="sníž. přenesená",J1467,0)</f>
        <v>0</v>
      </c>
      <c r="BI1467" s="104">
        <f>IF(N1467="nulová",J1467,0)</f>
        <v>0</v>
      </c>
      <c r="BJ1467" s="23" t="s">
        <v>85</v>
      </c>
      <c r="BK1467" s="104">
        <f>ROUND(I1467*H1467,2)</f>
        <v>0</v>
      </c>
      <c r="BL1467" s="23" t="s">
        <v>218</v>
      </c>
      <c r="BM1467" s="101" t="s">
        <v>2141</v>
      </c>
    </row>
    <row r="1468" spans="2:65" s="1" customFormat="1" ht="76.8">
      <c r="B1468" s="12"/>
      <c r="D1468" s="105" t="s">
        <v>227</v>
      </c>
      <c r="F1468" s="106" t="s">
        <v>2028</v>
      </c>
      <c r="I1468" s="107"/>
      <c r="L1468" s="12"/>
      <c r="M1468" s="108"/>
      <c r="T1468" s="111"/>
      <c r="AT1468" s="23" t="s">
        <v>227</v>
      </c>
      <c r="AU1468" s="23" t="s">
        <v>87</v>
      </c>
    </row>
    <row r="1469" spans="2:65" s="1" customFormat="1" ht="55.5" customHeight="1">
      <c r="B1469" s="12"/>
      <c r="C1469" s="71" t="s">
        <v>2142</v>
      </c>
      <c r="D1469" s="71" t="s">
        <v>214</v>
      </c>
      <c r="E1469" s="72" t="s">
        <v>1191</v>
      </c>
      <c r="F1469" s="73" t="s">
        <v>2143</v>
      </c>
      <c r="G1469" s="74" t="s">
        <v>808</v>
      </c>
      <c r="H1469" s="75">
        <v>1</v>
      </c>
      <c r="I1469" s="90"/>
      <c r="J1469" s="91">
        <f>ROUND(I1469*H1469,2)</f>
        <v>0</v>
      </c>
      <c r="K1469" s="92"/>
      <c r="L1469" s="12"/>
      <c r="M1469" s="93" t="s">
        <v>1</v>
      </c>
      <c r="N1469" s="94" t="s">
        <v>42</v>
      </c>
      <c r="P1469" s="95">
        <f>O1469*H1469</f>
        <v>0</v>
      </c>
      <c r="Q1469" s="95">
        <v>0</v>
      </c>
      <c r="R1469" s="95">
        <f>Q1469*H1469</f>
        <v>0</v>
      </c>
      <c r="S1469" s="95">
        <v>0</v>
      </c>
      <c r="T1469" s="99">
        <f>S1469*H1469</f>
        <v>0</v>
      </c>
      <c r="AR1469" s="101" t="s">
        <v>218</v>
      </c>
      <c r="AT1469" s="101" t="s">
        <v>214</v>
      </c>
      <c r="AU1469" s="101" t="s">
        <v>87</v>
      </c>
      <c r="AY1469" s="23" t="s">
        <v>211</v>
      </c>
      <c r="BE1469" s="104">
        <f>IF(N1469="základní",J1469,0)</f>
        <v>0</v>
      </c>
      <c r="BF1469" s="104">
        <f>IF(N1469="snížená",J1469,0)</f>
        <v>0</v>
      </c>
      <c r="BG1469" s="104">
        <f>IF(N1469="zákl. přenesená",J1469,0)</f>
        <v>0</v>
      </c>
      <c r="BH1469" s="104">
        <f>IF(N1469="sníž. přenesená",J1469,0)</f>
        <v>0</v>
      </c>
      <c r="BI1469" s="104">
        <f>IF(N1469="nulová",J1469,0)</f>
        <v>0</v>
      </c>
      <c r="BJ1469" s="23" t="s">
        <v>85</v>
      </c>
      <c r="BK1469" s="104">
        <f>ROUND(I1469*H1469,2)</f>
        <v>0</v>
      </c>
      <c r="BL1469" s="23" t="s">
        <v>218</v>
      </c>
      <c r="BM1469" s="101" t="s">
        <v>2144</v>
      </c>
    </row>
    <row r="1470" spans="2:65" s="1" customFormat="1" ht="67.2">
      <c r="B1470" s="12"/>
      <c r="D1470" s="105" t="s">
        <v>227</v>
      </c>
      <c r="F1470" s="106" t="s">
        <v>2023</v>
      </c>
      <c r="I1470" s="107"/>
      <c r="L1470" s="12"/>
      <c r="M1470" s="108"/>
      <c r="T1470" s="111"/>
      <c r="AT1470" s="23" t="s">
        <v>227</v>
      </c>
      <c r="AU1470" s="23" t="s">
        <v>87</v>
      </c>
    </row>
    <row r="1471" spans="2:65" s="1" customFormat="1" ht="55.5" customHeight="1">
      <c r="B1471" s="12"/>
      <c r="C1471" s="71" t="s">
        <v>2145</v>
      </c>
      <c r="D1471" s="71" t="s">
        <v>214</v>
      </c>
      <c r="E1471" s="72" t="s">
        <v>1195</v>
      </c>
      <c r="F1471" s="73" t="s">
        <v>2146</v>
      </c>
      <c r="G1471" s="74" t="s">
        <v>808</v>
      </c>
      <c r="H1471" s="75">
        <v>1</v>
      </c>
      <c r="I1471" s="90"/>
      <c r="J1471" s="91">
        <f>ROUND(I1471*H1471,2)</f>
        <v>0</v>
      </c>
      <c r="K1471" s="92"/>
      <c r="L1471" s="12"/>
      <c r="M1471" s="93" t="s">
        <v>1</v>
      </c>
      <c r="N1471" s="94" t="s">
        <v>42</v>
      </c>
      <c r="P1471" s="95">
        <f>O1471*H1471</f>
        <v>0</v>
      </c>
      <c r="Q1471" s="95">
        <v>0</v>
      </c>
      <c r="R1471" s="95">
        <f>Q1471*H1471</f>
        <v>0</v>
      </c>
      <c r="S1471" s="95">
        <v>0</v>
      </c>
      <c r="T1471" s="99">
        <f>S1471*H1471</f>
        <v>0</v>
      </c>
      <c r="AR1471" s="101" t="s">
        <v>218</v>
      </c>
      <c r="AT1471" s="101" t="s">
        <v>214</v>
      </c>
      <c r="AU1471" s="101" t="s">
        <v>87</v>
      </c>
      <c r="AY1471" s="23" t="s">
        <v>211</v>
      </c>
      <c r="BE1471" s="104">
        <f>IF(N1471="základní",J1471,0)</f>
        <v>0</v>
      </c>
      <c r="BF1471" s="104">
        <f>IF(N1471="snížená",J1471,0)</f>
        <v>0</v>
      </c>
      <c r="BG1471" s="104">
        <f>IF(N1471="zákl. přenesená",J1471,0)</f>
        <v>0</v>
      </c>
      <c r="BH1471" s="104">
        <f>IF(N1471="sníž. přenesená",J1471,0)</f>
        <v>0</v>
      </c>
      <c r="BI1471" s="104">
        <f>IF(N1471="nulová",J1471,0)</f>
        <v>0</v>
      </c>
      <c r="BJ1471" s="23" t="s">
        <v>85</v>
      </c>
      <c r="BK1471" s="104">
        <f>ROUND(I1471*H1471,2)</f>
        <v>0</v>
      </c>
      <c r="BL1471" s="23" t="s">
        <v>218</v>
      </c>
      <c r="BM1471" s="101" t="s">
        <v>2147</v>
      </c>
    </row>
    <row r="1472" spans="2:65" s="1" customFormat="1" ht="67.2">
      <c r="B1472" s="12"/>
      <c r="D1472" s="105" t="s">
        <v>227</v>
      </c>
      <c r="F1472" s="106" t="s">
        <v>2018</v>
      </c>
      <c r="I1472" s="107"/>
      <c r="L1472" s="12"/>
      <c r="M1472" s="108"/>
      <c r="T1472" s="111"/>
      <c r="AT1472" s="23" t="s">
        <v>227</v>
      </c>
      <c r="AU1472" s="23" t="s">
        <v>87</v>
      </c>
    </row>
    <row r="1473" spans="2:65" s="1" customFormat="1" ht="66.75" customHeight="1">
      <c r="B1473" s="12"/>
      <c r="C1473" s="71" t="s">
        <v>2148</v>
      </c>
      <c r="D1473" s="71" t="s">
        <v>214</v>
      </c>
      <c r="E1473" s="72" t="s">
        <v>1206</v>
      </c>
      <c r="F1473" s="73" t="s">
        <v>2149</v>
      </c>
      <c r="G1473" s="74" t="s">
        <v>808</v>
      </c>
      <c r="H1473" s="75">
        <v>1</v>
      </c>
      <c r="I1473" s="90"/>
      <c r="J1473" s="91">
        <f>ROUND(I1473*H1473,2)</f>
        <v>0</v>
      </c>
      <c r="K1473" s="92"/>
      <c r="L1473" s="12"/>
      <c r="M1473" s="93" t="s">
        <v>1</v>
      </c>
      <c r="N1473" s="94" t="s">
        <v>42</v>
      </c>
      <c r="P1473" s="95">
        <f>O1473*H1473</f>
        <v>0</v>
      </c>
      <c r="Q1473" s="95">
        <v>0</v>
      </c>
      <c r="R1473" s="95">
        <f>Q1473*H1473</f>
        <v>0</v>
      </c>
      <c r="S1473" s="95">
        <v>0</v>
      </c>
      <c r="T1473" s="99">
        <f>S1473*H1473</f>
        <v>0</v>
      </c>
      <c r="AR1473" s="101" t="s">
        <v>218</v>
      </c>
      <c r="AT1473" s="101" t="s">
        <v>214</v>
      </c>
      <c r="AU1473" s="101" t="s">
        <v>87</v>
      </c>
      <c r="AY1473" s="23" t="s">
        <v>211</v>
      </c>
      <c r="BE1473" s="104">
        <f>IF(N1473="základní",J1473,0)</f>
        <v>0</v>
      </c>
      <c r="BF1473" s="104">
        <f>IF(N1473="snížená",J1473,0)</f>
        <v>0</v>
      </c>
      <c r="BG1473" s="104">
        <f>IF(N1473="zákl. přenesená",J1473,0)</f>
        <v>0</v>
      </c>
      <c r="BH1473" s="104">
        <f>IF(N1473="sníž. přenesená",J1473,0)</f>
        <v>0</v>
      </c>
      <c r="BI1473" s="104">
        <f>IF(N1473="nulová",J1473,0)</f>
        <v>0</v>
      </c>
      <c r="BJ1473" s="23" t="s">
        <v>85</v>
      </c>
      <c r="BK1473" s="104">
        <f>ROUND(I1473*H1473,2)</f>
        <v>0</v>
      </c>
      <c r="BL1473" s="23" t="s">
        <v>218</v>
      </c>
      <c r="BM1473" s="101" t="s">
        <v>2150</v>
      </c>
    </row>
    <row r="1474" spans="2:65" s="1" customFormat="1" ht="76.8">
      <c r="B1474" s="12"/>
      <c r="D1474" s="105" t="s">
        <v>227</v>
      </c>
      <c r="F1474" s="106" t="s">
        <v>2013</v>
      </c>
      <c r="I1474" s="107"/>
      <c r="L1474" s="12"/>
      <c r="M1474" s="108"/>
      <c r="T1474" s="111"/>
      <c r="AT1474" s="23" t="s">
        <v>227</v>
      </c>
      <c r="AU1474" s="23" t="s">
        <v>87</v>
      </c>
    </row>
    <row r="1475" spans="2:65" s="1" customFormat="1" ht="66.75" customHeight="1">
      <c r="B1475" s="12"/>
      <c r="C1475" s="71" t="s">
        <v>2151</v>
      </c>
      <c r="D1475" s="71" t="s">
        <v>214</v>
      </c>
      <c r="E1475" s="72" t="s">
        <v>1211</v>
      </c>
      <c r="F1475" s="73" t="s">
        <v>2152</v>
      </c>
      <c r="G1475" s="74" t="s">
        <v>808</v>
      </c>
      <c r="H1475" s="75">
        <v>1</v>
      </c>
      <c r="I1475" s="90"/>
      <c r="J1475" s="91">
        <f>ROUND(I1475*H1475,2)</f>
        <v>0</v>
      </c>
      <c r="K1475" s="92"/>
      <c r="L1475" s="12"/>
      <c r="M1475" s="93" t="s">
        <v>1</v>
      </c>
      <c r="N1475" s="94" t="s">
        <v>42</v>
      </c>
      <c r="P1475" s="95">
        <f>O1475*H1475</f>
        <v>0</v>
      </c>
      <c r="Q1475" s="95">
        <v>0</v>
      </c>
      <c r="R1475" s="95">
        <f>Q1475*H1475</f>
        <v>0</v>
      </c>
      <c r="S1475" s="95">
        <v>0</v>
      </c>
      <c r="T1475" s="99">
        <f>S1475*H1475</f>
        <v>0</v>
      </c>
      <c r="AR1475" s="101" t="s">
        <v>218</v>
      </c>
      <c r="AT1475" s="101" t="s">
        <v>214</v>
      </c>
      <c r="AU1475" s="101" t="s">
        <v>87</v>
      </c>
      <c r="AY1475" s="23" t="s">
        <v>211</v>
      </c>
      <c r="BE1475" s="104">
        <f>IF(N1475="základní",J1475,0)</f>
        <v>0</v>
      </c>
      <c r="BF1475" s="104">
        <f>IF(N1475="snížená",J1475,0)</f>
        <v>0</v>
      </c>
      <c r="BG1475" s="104">
        <f>IF(N1475="zákl. přenesená",J1475,0)</f>
        <v>0</v>
      </c>
      <c r="BH1475" s="104">
        <f>IF(N1475="sníž. přenesená",J1475,0)</f>
        <v>0</v>
      </c>
      <c r="BI1475" s="104">
        <f>IF(N1475="nulová",J1475,0)</f>
        <v>0</v>
      </c>
      <c r="BJ1475" s="23" t="s">
        <v>85</v>
      </c>
      <c r="BK1475" s="104">
        <f>ROUND(I1475*H1475,2)</f>
        <v>0</v>
      </c>
      <c r="BL1475" s="23" t="s">
        <v>218</v>
      </c>
      <c r="BM1475" s="101" t="s">
        <v>2153</v>
      </c>
    </row>
    <row r="1476" spans="2:65" s="1" customFormat="1" ht="76.8">
      <c r="B1476" s="12"/>
      <c r="D1476" s="105" t="s">
        <v>227</v>
      </c>
      <c r="F1476" s="106" t="s">
        <v>2013</v>
      </c>
      <c r="I1476" s="107"/>
      <c r="L1476" s="12"/>
      <c r="M1476" s="108"/>
      <c r="T1476" s="111"/>
      <c r="AT1476" s="23" t="s">
        <v>227</v>
      </c>
      <c r="AU1476" s="23" t="s">
        <v>87</v>
      </c>
    </row>
    <row r="1477" spans="2:65" s="1" customFormat="1" ht="66.75" customHeight="1">
      <c r="B1477" s="12"/>
      <c r="C1477" s="71" t="s">
        <v>2154</v>
      </c>
      <c r="D1477" s="71" t="s">
        <v>214</v>
      </c>
      <c r="E1477" s="72" t="s">
        <v>1220</v>
      </c>
      <c r="F1477" s="73" t="s">
        <v>2155</v>
      </c>
      <c r="G1477" s="74" t="s">
        <v>808</v>
      </c>
      <c r="H1477" s="75">
        <v>1</v>
      </c>
      <c r="I1477" s="90"/>
      <c r="J1477" s="91">
        <f>ROUND(I1477*H1477,2)</f>
        <v>0</v>
      </c>
      <c r="K1477" s="92"/>
      <c r="L1477" s="12"/>
      <c r="M1477" s="93" t="s">
        <v>1</v>
      </c>
      <c r="N1477" s="94" t="s">
        <v>42</v>
      </c>
      <c r="P1477" s="95">
        <f>O1477*H1477</f>
        <v>0</v>
      </c>
      <c r="Q1477" s="95">
        <v>0</v>
      </c>
      <c r="R1477" s="95">
        <f>Q1477*H1477</f>
        <v>0</v>
      </c>
      <c r="S1477" s="95">
        <v>0</v>
      </c>
      <c r="T1477" s="99">
        <f>S1477*H1477</f>
        <v>0</v>
      </c>
      <c r="AR1477" s="101" t="s">
        <v>218</v>
      </c>
      <c r="AT1477" s="101" t="s">
        <v>214</v>
      </c>
      <c r="AU1477" s="101" t="s">
        <v>87</v>
      </c>
      <c r="AY1477" s="23" t="s">
        <v>211</v>
      </c>
      <c r="BE1477" s="104">
        <f>IF(N1477="základní",J1477,0)</f>
        <v>0</v>
      </c>
      <c r="BF1477" s="104">
        <f>IF(N1477="snížená",J1477,0)</f>
        <v>0</v>
      </c>
      <c r="BG1477" s="104">
        <f>IF(N1477="zákl. přenesená",J1477,0)</f>
        <v>0</v>
      </c>
      <c r="BH1477" s="104">
        <f>IF(N1477="sníž. přenesená",J1477,0)</f>
        <v>0</v>
      </c>
      <c r="BI1477" s="104">
        <f>IF(N1477="nulová",J1477,0)</f>
        <v>0</v>
      </c>
      <c r="BJ1477" s="23" t="s">
        <v>85</v>
      </c>
      <c r="BK1477" s="104">
        <f>ROUND(I1477*H1477,2)</f>
        <v>0</v>
      </c>
      <c r="BL1477" s="23" t="s">
        <v>218</v>
      </c>
      <c r="BM1477" s="101" t="s">
        <v>2156</v>
      </c>
    </row>
    <row r="1478" spans="2:65" s="1" customFormat="1" ht="76.8">
      <c r="B1478" s="12"/>
      <c r="D1478" s="105" t="s">
        <v>227</v>
      </c>
      <c r="F1478" s="106" t="s">
        <v>2028</v>
      </c>
      <c r="I1478" s="107"/>
      <c r="L1478" s="12"/>
      <c r="M1478" s="108"/>
      <c r="T1478" s="111"/>
      <c r="AT1478" s="23" t="s">
        <v>227</v>
      </c>
      <c r="AU1478" s="23" t="s">
        <v>87</v>
      </c>
    </row>
    <row r="1479" spans="2:65" s="1" customFormat="1" ht="66.75" customHeight="1">
      <c r="B1479" s="12"/>
      <c r="C1479" s="71" t="s">
        <v>2157</v>
      </c>
      <c r="D1479" s="71" t="s">
        <v>214</v>
      </c>
      <c r="E1479" s="72" t="s">
        <v>1224</v>
      </c>
      <c r="F1479" s="73" t="s">
        <v>2158</v>
      </c>
      <c r="G1479" s="74" t="s">
        <v>808</v>
      </c>
      <c r="H1479" s="75">
        <v>1</v>
      </c>
      <c r="I1479" s="90"/>
      <c r="J1479" s="91">
        <f>ROUND(I1479*H1479,2)</f>
        <v>0</v>
      </c>
      <c r="K1479" s="92"/>
      <c r="L1479" s="12"/>
      <c r="M1479" s="93" t="s">
        <v>1</v>
      </c>
      <c r="N1479" s="94" t="s">
        <v>42</v>
      </c>
      <c r="P1479" s="95">
        <f>O1479*H1479</f>
        <v>0</v>
      </c>
      <c r="Q1479" s="95">
        <v>0</v>
      </c>
      <c r="R1479" s="95">
        <f>Q1479*H1479</f>
        <v>0</v>
      </c>
      <c r="S1479" s="95">
        <v>0</v>
      </c>
      <c r="T1479" s="99">
        <f>S1479*H1479</f>
        <v>0</v>
      </c>
      <c r="AR1479" s="101" t="s">
        <v>218</v>
      </c>
      <c r="AT1479" s="101" t="s">
        <v>214</v>
      </c>
      <c r="AU1479" s="101" t="s">
        <v>87</v>
      </c>
      <c r="AY1479" s="23" t="s">
        <v>211</v>
      </c>
      <c r="BE1479" s="104">
        <f>IF(N1479="základní",J1479,0)</f>
        <v>0</v>
      </c>
      <c r="BF1479" s="104">
        <f>IF(N1479="snížená",J1479,0)</f>
        <v>0</v>
      </c>
      <c r="BG1479" s="104">
        <f>IF(N1479="zákl. přenesená",J1479,0)</f>
        <v>0</v>
      </c>
      <c r="BH1479" s="104">
        <f>IF(N1479="sníž. přenesená",J1479,0)</f>
        <v>0</v>
      </c>
      <c r="BI1479" s="104">
        <f>IF(N1479="nulová",J1479,0)</f>
        <v>0</v>
      </c>
      <c r="BJ1479" s="23" t="s">
        <v>85</v>
      </c>
      <c r="BK1479" s="104">
        <f>ROUND(I1479*H1479,2)</f>
        <v>0</v>
      </c>
      <c r="BL1479" s="23" t="s">
        <v>218</v>
      </c>
      <c r="BM1479" s="101" t="s">
        <v>2159</v>
      </c>
    </row>
    <row r="1480" spans="2:65" s="1" customFormat="1" ht="76.8">
      <c r="B1480" s="12"/>
      <c r="D1480" s="105" t="s">
        <v>227</v>
      </c>
      <c r="F1480" s="106" t="s">
        <v>2160</v>
      </c>
      <c r="I1480" s="107"/>
      <c r="L1480" s="12"/>
      <c r="M1480" s="108"/>
      <c r="T1480" s="111"/>
      <c r="AT1480" s="23" t="s">
        <v>227</v>
      </c>
      <c r="AU1480" s="23" t="s">
        <v>87</v>
      </c>
    </row>
    <row r="1481" spans="2:65" s="1" customFormat="1" ht="55.5" customHeight="1">
      <c r="B1481" s="12"/>
      <c r="C1481" s="71" t="s">
        <v>2161</v>
      </c>
      <c r="D1481" s="71" t="s">
        <v>214</v>
      </c>
      <c r="E1481" s="72" t="s">
        <v>1239</v>
      </c>
      <c r="F1481" s="73" t="s">
        <v>2162</v>
      </c>
      <c r="G1481" s="74" t="s">
        <v>808</v>
      </c>
      <c r="H1481" s="75">
        <v>1</v>
      </c>
      <c r="I1481" s="90"/>
      <c r="J1481" s="91">
        <f>ROUND(I1481*H1481,2)</f>
        <v>0</v>
      </c>
      <c r="K1481" s="92"/>
      <c r="L1481" s="12"/>
      <c r="M1481" s="93" t="s">
        <v>1</v>
      </c>
      <c r="N1481" s="94" t="s">
        <v>42</v>
      </c>
      <c r="P1481" s="95">
        <f>O1481*H1481</f>
        <v>0</v>
      </c>
      <c r="Q1481" s="95">
        <v>0</v>
      </c>
      <c r="R1481" s="95">
        <f>Q1481*H1481</f>
        <v>0</v>
      </c>
      <c r="S1481" s="95">
        <v>0</v>
      </c>
      <c r="T1481" s="99">
        <f>S1481*H1481</f>
        <v>0</v>
      </c>
      <c r="AR1481" s="101" t="s">
        <v>218</v>
      </c>
      <c r="AT1481" s="101" t="s">
        <v>214</v>
      </c>
      <c r="AU1481" s="101" t="s">
        <v>87</v>
      </c>
      <c r="AY1481" s="23" t="s">
        <v>211</v>
      </c>
      <c r="BE1481" s="104">
        <f>IF(N1481="základní",J1481,0)</f>
        <v>0</v>
      </c>
      <c r="BF1481" s="104">
        <f>IF(N1481="snížená",J1481,0)</f>
        <v>0</v>
      </c>
      <c r="BG1481" s="104">
        <f>IF(N1481="zákl. přenesená",J1481,0)</f>
        <v>0</v>
      </c>
      <c r="BH1481" s="104">
        <f>IF(N1481="sníž. přenesená",J1481,0)</f>
        <v>0</v>
      </c>
      <c r="BI1481" s="104">
        <f>IF(N1481="nulová",J1481,0)</f>
        <v>0</v>
      </c>
      <c r="BJ1481" s="23" t="s">
        <v>85</v>
      </c>
      <c r="BK1481" s="104">
        <f>ROUND(I1481*H1481,2)</f>
        <v>0</v>
      </c>
      <c r="BL1481" s="23" t="s">
        <v>218</v>
      </c>
      <c r="BM1481" s="101" t="s">
        <v>2163</v>
      </c>
    </row>
    <row r="1482" spans="2:65" s="1" customFormat="1" ht="67.2">
      <c r="B1482" s="12"/>
      <c r="D1482" s="105" t="s">
        <v>227</v>
      </c>
      <c r="F1482" s="106" t="s">
        <v>2023</v>
      </c>
      <c r="I1482" s="107"/>
      <c r="L1482" s="12"/>
      <c r="M1482" s="108"/>
      <c r="T1482" s="111"/>
      <c r="AT1482" s="23" t="s">
        <v>227</v>
      </c>
      <c r="AU1482" s="23" t="s">
        <v>87</v>
      </c>
    </row>
    <row r="1483" spans="2:65" s="1" customFormat="1" ht="55.5" customHeight="1">
      <c r="B1483" s="12"/>
      <c r="C1483" s="71" t="s">
        <v>2164</v>
      </c>
      <c r="D1483" s="71" t="s">
        <v>214</v>
      </c>
      <c r="E1483" s="72" t="s">
        <v>1245</v>
      </c>
      <c r="F1483" s="73" t="s">
        <v>2165</v>
      </c>
      <c r="G1483" s="74" t="s">
        <v>808</v>
      </c>
      <c r="H1483" s="75">
        <v>1</v>
      </c>
      <c r="I1483" s="90"/>
      <c r="J1483" s="91">
        <f>ROUND(I1483*H1483,2)</f>
        <v>0</v>
      </c>
      <c r="K1483" s="92"/>
      <c r="L1483" s="12"/>
      <c r="M1483" s="93" t="s">
        <v>1</v>
      </c>
      <c r="N1483" s="94" t="s">
        <v>42</v>
      </c>
      <c r="P1483" s="95">
        <f>O1483*H1483</f>
        <v>0</v>
      </c>
      <c r="Q1483" s="95">
        <v>0</v>
      </c>
      <c r="R1483" s="95">
        <f>Q1483*H1483</f>
        <v>0</v>
      </c>
      <c r="S1483" s="95">
        <v>0</v>
      </c>
      <c r="T1483" s="99">
        <f>S1483*H1483</f>
        <v>0</v>
      </c>
      <c r="AR1483" s="101" t="s">
        <v>218</v>
      </c>
      <c r="AT1483" s="101" t="s">
        <v>214</v>
      </c>
      <c r="AU1483" s="101" t="s">
        <v>87</v>
      </c>
      <c r="AY1483" s="23" t="s">
        <v>211</v>
      </c>
      <c r="BE1483" s="104">
        <f>IF(N1483="základní",J1483,0)</f>
        <v>0</v>
      </c>
      <c r="BF1483" s="104">
        <f>IF(N1483="snížená",J1483,0)</f>
        <v>0</v>
      </c>
      <c r="BG1483" s="104">
        <f>IF(N1483="zákl. přenesená",J1483,0)</f>
        <v>0</v>
      </c>
      <c r="BH1483" s="104">
        <f>IF(N1483="sníž. přenesená",J1483,0)</f>
        <v>0</v>
      </c>
      <c r="BI1483" s="104">
        <f>IF(N1483="nulová",J1483,0)</f>
        <v>0</v>
      </c>
      <c r="BJ1483" s="23" t="s">
        <v>85</v>
      </c>
      <c r="BK1483" s="104">
        <f>ROUND(I1483*H1483,2)</f>
        <v>0</v>
      </c>
      <c r="BL1483" s="23" t="s">
        <v>218</v>
      </c>
      <c r="BM1483" s="101" t="s">
        <v>2166</v>
      </c>
    </row>
    <row r="1484" spans="2:65" s="1" customFormat="1" ht="67.2">
      <c r="B1484" s="12"/>
      <c r="D1484" s="105" t="s">
        <v>227</v>
      </c>
      <c r="F1484" s="106" t="s">
        <v>2018</v>
      </c>
      <c r="I1484" s="107"/>
      <c r="L1484" s="12"/>
      <c r="M1484" s="108"/>
      <c r="T1484" s="111"/>
      <c r="AT1484" s="23" t="s">
        <v>227</v>
      </c>
      <c r="AU1484" s="23" t="s">
        <v>87</v>
      </c>
    </row>
    <row r="1485" spans="2:65" s="1" customFormat="1" ht="66.75" customHeight="1">
      <c r="B1485" s="12"/>
      <c r="C1485" s="71" t="s">
        <v>2167</v>
      </c>
      <c r="D1485" s="71" t="s">
        <v>214</v>
      </c>
      <c r="E1485" s="72" t="s">
        <v>1260</v>
      </c>
      <c r="F1485" s="73" t="s">
        <v>2168</v>
      </c>
      <c r="G1485" s="74" t="s">
        <v>808</v>
      </c>
      <c r="H1485" s="75">
        <v>1</v>
      </c>
      <c r="I1485" s="90"/>
      <c r="J1485" s="91">
        <f>ROUND(I1485*H1485,2)</f>
        <v>0</v>
      </c>
      <c r="K1485" s="92"/>
      <c r="L1485" s="12"/>
      <c r="M1485" s="93" t="s">
        <v>1</v>
      </c>
      <c r="N1485" s="94" t="s">
        <v>42</v>
      </c>
      <c r="P1485" s="95">
        <f>O1485*H1485</f>
        <v>0</v>
      </c>
      <c r="Q1485" s="95">
        <v>0</v>
      </c>
      <c r="R1485" s="95">
        <f>Q1485*H1485</f>
        <v>0</v>
      </c>
      <c r="S1485" s="95">
        <v>0</v>
      </c>
      <c r="T1485" s="99">
        <f>S1485*H1485</f>
        <v>0</v>
      </c>
      <c r="AR1485" s="101" t="s">
        <v>218</v>
      </c>
      <c r="AT1485" s="101" t="s">
        <v>214</v>
      </c>
      <c r="AU1485" s="101" t="s">
        <v>87</v>
      </c>
      <c r="AY1485" s="23" t="s">
        <v>211</v>
      </c>
      <c r="BE1485" s="104">
        <f>IF(N1485="základní",J1485,0)</f>
        <v>0</v>
      </c>
      <c r="BF1485" s="104">
        <f>IF(N1485="snížená",J1485,0)</f>
        <v>0</v>
      </c>
      <c r="BG1485" s="104">
        <f>IF(N1485="zákl. přenesená",J1485,0)</f>
        <v>0</v>
      </c>
      <c r="BH1485" s="104">
        <f>IF(N1485="sníž. přenesená",J1485,0)</f>
        <v>0</v>
      </c>
      <c r="BI1485" s="104">
        <f>IF(N1485="nulová",J1485,0)</f>
        <v>0</v>
      </c>
      <c r="BJ1485" s="23" t="s">
        <v>85</v>
      </c>
      <c r="BK1485" s="104">
        <f>ROUND(I1485*H1485,2)</f>
        <v>0</v>
      </c>
      <c r="BL1485" s="23" t="s">
        <v>218</v>
      </c>
      <c r="BM1485" s="101" t="s">
        <v>2169</v>
      </c>
    </row>
    <row r="1486" spans="2:65" s="1" customFormat="1" ht="76.8">
      <c r="B1486" s="12"/>
      <c r="D1486" s="105" t="s">
        <v>227</v>
      </c>
      <c r="F1486" s="106" t="s">
        <v>2013</v>
      </c>
      <c r="I1486" s="107"/>
      <c r="L1486" s="12"/>
      <c r="M1486" s="108"/>
      <c r="T1486" s="111"/>
      <c r="AT1486" s="23" t="s">
        <v>227</v>
      </c>
      <c r="AU1486" s="23" t="s">
        <v>87</v>
      </c>
    </row>
    <row r="1487" spans="2:65" s="1" customFormat="1" ht="55.5" customHeight="1">
      <c r="B1487" s="12"/>
      <c r="C1487" s="71" t="s">
        <v>1251</v>
      </c>
      <c r="D1487" s="71" t="s">
        <v>214</v>
      </c>
      <c r="E1487" s="72" t="s">
        <v>1265</v>
      </c>
      <c r="F1487" s="73" t="s">
        <v>2170</v>
      </c>
      <c r="G1487" s="74" t="s">
        <v>808</v>
      </c>
      <c r="H1487" s="75">
        <v>1</v>
      </c>
      <c r="I1487" s="90"/>
      <c r="J1487" s="91">
        <f>ROUND(I1487*H1487,2)</f>
        <v>0</v>
      </c>
      <c r="K1487" s="92"/>
      <c r="L1487" s="12"/>
      <c r="M1487" s="93" t="s">
        <v>1</v>
      </c>
      <c r="N1487" s="94" t="s">
        <v>42</v>
      </c>
      <c r="P1487" s="95">
        <f>O1487*H1487</f>
        <v>0</v>
      </c>
      <c r="Q1487" s="95">
        <v>0</v>
      </c>
      <c r="R1487" s="95">
        <f>Q1487*H1487</f>
        <v>0</v>
      </c>
      <c r="S1487" s="95">
        <v>0</v>
      </c>
      <c r="T1487" s="99">
        <f>S1487*H1487</f>
        <v>0</v>
      </c>
      <c r="AR1487" s="101" t="s">
        <v>218</v>
      </c>
      <c r="AT1487" s="101" t="s">
        <v>214</v>
      </c>
      <c r="AU1487" s="101" t="s">
        <v>87</v>
      </c>
      <c r="AY1487" s="23" t="s">
        <v>211</v>
      </c>
      <c r="BE1487" s="104">
        <f>IF(N1487="základní",J1487,0)</f>
        <v>0</v>
      </c>
      <c r="BF1487" s="104">
        <f>IF(N1487="snížená",J1487,0)</f>
        <v>0</v>
      </c>
      <c r="BG1487" s="104">
        <f>IF(N1487="zákl. přenesená",J1487,0)</f>
        <v>0</v>
      </c>
      <c r="BH1487" s="104">
        <f>IF(N1487="sníž. přenesená",J1487,0)</f>
        <v>0</v>
      </c>
      <c r="BI1487" s="104">
        <f>IF(N1487="nulová",J1487,0)</f>
        <v>0</v>
      </c>
      <c r="BJ1487" s="23" t="s">
        <v>85</v>
      </c>
      <c r="BK1487" s="104">
        <f>ROUND(I1487*H1487,2)</f>
        <v>0</v>
      </c>
      <c r="BL1487" s="23" t="s">
        <v>218</v>
      </c>
      <c r="BM1487" s="101" t="s">
        <v>2171</v>
      </c>
    </row>
    <row r="1488" spans="2:65" s="1" customFormat="1" ht="67.2">
      <c r="B1488" s="12"/>
      <c r="D1488" s="105" t="s">
        <v>227</v>
      </c>
      <c r="F1488" s="106" t="s">
        <v>2172</v>
      </c>
      <c r="I1488" s="107"/>
      <c r="L1488" s="12"/>
      <c r="M1488" s="108"/>
      <c r="T1488" s="111"/>
      <c r="AT1488" s="23" t="s">
        <v>227</v>
      </c>
      <c r="AU1488" s="23" t="s">
        <v>87</v>
      </c>
    </row>
    <row r="1489" spans="2:65" s="1" customFormat="1" ht="55.5" customHeight="1">
      <c r="B1489" s="12"/>
      <c r="C1489" s="71" t="s">
        <v>2173</v>
      </c>
      <c r="D1489" s="71" t="s">
        <v>214</v>
      </c>
      <c r="E1489" s="72" t="s">
        <v>1269</v>
      </c>
      <c r="F1489" s="73" t="s">
        <v>2174</v>
      </c>
      <c r="G1489" s="74" t="s">
        <v>808</v>
      </c>
      <c r="H1489" s="75">
        <v>1</v>
      </c>
      <c r="I1489" s="90"/>
      <c r="J1489" s="91">
        <f>ROUND(I1489*H1489,2)</f>
        <v>0</v>
      </c>
      <c r="K1489" s="92"/>
      <c r="L1489" s="12"/>
      <c r="M1489" s="93" t="s">
        <v>1</v>
      </c>
      <c r="N1489" s="94" t="s">
        <v>42</v>
      </c>
      <c r="P1489" s="95">
        <f>O1489*H1489</f>
        <v>0</v>
      </c>
      <c r="Q1489" s="95">
        <v>0</v>
      </c>
      <c r="R1489" s="95">
        <f>Q1489*H1489</f>
        <v>0</v>
      </c>
      <c r="S1489" s="95">
        <v>0</v>
      </c>
      <c r="T1489" s="99">
        <f>S1489*H1489</f>
        <v>0</v>
      </c>
      <c r="AR1489" s="101" t="s">
        <v>218</v>
      </c>
      <c r="AT1489" s="101" t="s">
        <v>214</v>
      </c>
      <c r="AU1489" s="101" t="s">
        <v>87</v>
      </c>
      <c r="AY1489" s="23" t="s">
        <v>211</v>
      </c>
      <c r="BE1489" s="104">
        <f>IF(N1489="základní",J1489,0)</f>
        <v>0</v>
      </c>
      <c r="BF1489" s="104">
        <f>IF(N1489="snížená",J1489,0)</f>
        <v>0</v>
      </c>
      <c r="BG1489" s="104">
        <f>IF(N1489="zákl. přenesená",J1489,0)</f>
        <v>0</v>
      </c>
      <c r="BH1489" s="104">
        <f>IF(N1489="sníž. přenesená",J1489,0)</f>
        <v>0</v>
      </c>
      <c r="BI1489" s="104">
        <f>IF(N1489="nulová",J1489,0)</f>
        <v>0</v>
      </c>
      <c r="BJ1489" s="23" t="s">
        <v>85</v>
      </c>
      <c r="BK1489" s="104">
        <f>ROUND(I1489*H1489,2)</f>
        <v>0</v>
      </c>
      <c r="BL1489" s="23" t="s">
        <v>218</v>
      </c>
      <c r="BM1489" s="101" t="s">
        <v>2175</v>
      </c>
    </row>
    <row r="1490" spans="2:65" s="1" customFormat="1" ht="67.2">
      <c r="B1490" s="12"/>
      <c r="D1490" s="105" t="s">
        <v>227</v>
      </c>
      <c r="F1490" s="106" t="s">
        <v>2023</v>
      </c>
      <c r="I1490" s="107"/>
      <c r="L1490" s="12"/>
      <c r="M1490" s="108"/>
      <c r="T1490" s="111"/>
      <c r="AT1490" s="23" t="s">
        <v>227</v>
      </c>
      <c r="AU1490" s="23" t="s">
        <v>87</v>
      </c>
    </row>
    <row r="1491" spans="2:65" s="1" customFormat="1" ht="66.75" customHeight="1">
      <c r="B1491" s="12"/>
      <c r="C1491" s="71" t="s">
        <v>2176</v>
      </c>
      <c r="D1491" s="71" t="s">
        <v>214</v>
      </c>
      <c r="E1491" s="72" t="s">
        <v>1273</v>
      </c>
      <c r="F1491" s="73" t="s">
        <v>2177</v>
      </c>
      <c r="G1491" s="74" t="s">
        <v>808</v>
      </c>
      <c r="H1491" s="75">
        <v>1</v>
      </c>
      <c r="I1491" s="90"/>
      <c r="J1491" s="91">
        <f>ROUND(I1491*H1491,2)</f>
        <v>0</v>
      </c>
      <c r="K1491" s="92"/>
      <c r="L1491" s="12"/>
      <c r="M1491" s="93" t="s">
        <v>1</v>
      </c>
      <c r="N1491" s="94" t="s">
        <v>42</v>
      </c>
      <c r="P1491" s="95">
        <f>O1491*H1491</f>
        <v>0</v>
      </c>
      <c r="Q1491" s="95">
        <v>0</v>
      </c>
      <c r="R1491" s="95">
        <f>Q1491*H1491</f>
        <v>0</v>
      </c>
      <c r="S1491" s="95">
        <v>0</v>
      </c>
      <c r="T1491" s="99">
        <f>S1491*H1491</f>
        <v>0</v>
      </c>
      <c r="AR1491" s="101" t="s">
        <v>218</v>
      </c>
      <c r="AT1491" s="101" t="s">
        <v>214</v>
      </c>
      <c r="AU1491" s="101" t="s">
        <v>87</v>
      </c>
      <c r="AY1491" s="23" t="s">
        <v>211</v>
      </c>
      <c r="BE1491" s="104">
        <f>IF(N1491="základní",J1491,0)</f>
        <v>0</v>
      </c>
      <c r="BF1491" s="104">
        <f>IF(N1491="snížená",J1491,0)</f>
        <v>0</v>
      </c>
      <c r="BG1491" s="104">
        <f>IF(N1491="zákl. přenesená",J1491,0)</f>
        <v>0</v>
      </c>
      <c r="BH1491" s="104">
        <f>IF(N1491="sníž. přenesená",J1491,0)</f>
        <v>0</v>
      </c>
      <c r="BI1491" s="104">
        <f>IF(N1491="nulová",J1491,0)</f>
        <v>0</v>
      </c>
      <c r="BJ1491" s="23" t="s">
        <v>85</v>
      </c>
      <c r="BK1491" s="104">
        <f>ROUND(I1491*H1491,2)</f>
        <v>0</v>
      </c>
      <c r="BL1491" s="23" t="s">
        <v>218</v>
      </c>
      <c r="BM1491" s="101" t="s">
        <v>2178</v>
      </c>
    </row>
    <row r="1492" spans="2:65" s="1" customFormat="1" ht="76.8">
      <c r="B1492" s="12"/>
      <c r="D1492" s="105" t="s">
        <v>227</v>
      </c>
      <c r="F1492" s="106" t="s">
        <v>2028</v>
      </c>
      <c r="I1492" s="107"/>
      <c r="L1492" s="12"/>
      <c r="M1492" s="108"/>
      <c r="T1492" s="111"/>
      <c r="AT1492" s="23" t="s">
        <v>227</v>
      </c>
      <c r="AU1492" s="23" t="s">
        <v>87</v>
      </c>
    </row>
    <row r="1493" spans="2:65" s="1" customFormat="1" ht="55.5" customHeight="1">
      <c r="B1493" s="12"/>
      <c r="C1493" s="71" t="s">
        <v>2179</v>
      </c>
      <c r="D1493" s="71" t="s">
        <v>214</v>
      </c>
      <c r="E1493" s="72" t="s">
        <v>1277</v>
      </c>
      <c r="F1493" s="73" t="s">
        <v>2180</v>
      </c>
      <c r="G1493" s="74" t="s">
        <v>808</v>
      </c>
      <c r="H1493" s="75">
        <v>1</v>
      </c>
      <c r="I1493" s="90"/>
      <c r="J1493" s="91">
        <f>ROUND(I1493*H1493,2)</f>
        <v>0</v>
      </c>
      <c r="K1493" s="92"/>
      <c r="L1493" s="12"/>
      <c r="M1493" s="93" t="s">
        <v>1</v>
      </c>
      <c r="N1493" s="94" t="s">
        <v>42</v>
      </c>
      <c r="P1493" s="95">
        <f>O1493*H1493</f>
        <v>0</v>
      </c>
      <c r="Q1493" s="95">
        <v>0</v>
      </c>
      <c r="R1493" s="95">
        <f>Q1493*H1493</f>
        <v>0</v>
      </c>
      <c r="S1493" s="95">
        <v>0</v>
      </c>
      <c r="T1493" s="99">
        <f>S1493*H1493</f>
        <v>0</v>
      </c>
      <c r="AR1493" s="101" t="s">
        <v>218</v>
      </c>
      <c r="AT1493" s="101" t="s">
        <v>214</v>
      </c>
      <c r="AU1493" s="101" t="s">
        <v>87</v>
      </c>
      <c r="AY1493" s="23" t="s">
        <v>211</v>
      </c>
      <c r="BE1493" s="104">
        <f>IF(N1493="základní",J1493,0)</f>
        <v>0</v>
      </c>
      <c r="BF1493" s="104">
        <f>IF(N1493="snížená",J1493,0)</f>
        <v>0</v>
      </c>
      <c r="BG1493" s="104">
        <f>IF(N1493="zákl. přenesená",J1493,0)</f>
        <v>0</v>
      </c>
      <c r="BH1493" s="104">
        <f>IF(N1493="sníž. přenesená",J1493,0)</f>
        <v>0</v>
      </c>
      <c r="BI1493" s="104">
        <f>IF(N1493="nulová",J1493,0)</f>
        <v>0</v>
      </c>
      <c r="BJ1493" s="23" t="s">
        <v>85</v>
      </c>
      <c r="BK1493" s="104">
        <f>ROUND(I1493*H1493,2)</f>
        <v>0</v>
      </c>
      <c r="BL1493" s="23" t="s">
        <v>218</v>
      </c>
      <c r="BM1493" s="101" t="s">
        <v>2181</v>
      </c>
    </row>
    <row r="1494" spans="2:65" s="1" customFormat="1" ht="67.2">
      <c r="B1494" s="12"/>
      <c r="D1494" s="105" t="s">
        <v>227</v>
      </c>
      <c r="F1494" s="106" t="s">
        <v>2018</v>
      </c>
      <c r="I1494" s="107"/>
      <c r="L1494" s="12"/>
      <c r="M1494" s="108"/>
      <c r="T1494" s="111"/>
      <c r="AT1494" s="23" t="s">
        <v>227</v>
      </c>
      <c r="AU1494" s="23" t="s">
        <v>87</v>
      </c>
    </row>
    <row r="1495" spans="2:65" s="1" customFormat="1" ht="55.5" customHeight="1">
      <c r="B1495" s="12"/>
      <c r="C1495" s="71" t="s">
        <v>2182</v>
      </c>
      <c r="D1495" s="71" t="s">
        <v>214</v>
      </c>
      <c r="E1495" s="72" t="s">
        <v>1291</v>
      </c>
      <c r="F1495" s="73" t="s">
        <v>2183</v>
      </c>
      <c r="G1495" s="74" t="s">
        <v>808</v>
      </c>
      <c r="H1495" s="75">
        <v>1</v>
      </c>
      <c r="I1495" s="90"/>
      <c r="J1495" s="91">
        <f>ROUND(I1495*H1495,2)</f>
        <v>0</v>
      </c>
      <c r="K1495" s="92"/>
      <c r="L1495" s="12"/>
      <c r="M1495" s="93" t="s">
        <v>1</v>
      </c>
      <c r="N1495" s="94" t="s">
        <v>42</v>
      </c>
      <c r="P1495" s="95">
        <f>O1495*H1495</f>
        <v>0</v>
      </c>
      <c r="Q1495" s="95">
        <v>0</v>
      </c>
      <c r="R1495" s="95">
        <f>Q1495*H1495</f>
        <v>0</v>
      </c>
      <c r="S1495" s="95">
        <v>0</v>
      </c>
      <c r="T1495" s="99">
        <f>S1495*H1495</f>
        <v>0</v>
      </c>
      <c r="AR1495" s="101" t="s">
        <v>218</v>
      </c>
      <c r="AT1495" s="101" t="s">
        <v>214</v>
      </c>
      <c r="AU1495" s="101" t="s">
        <v>87</v>
      </c>
      <c r="AY1495" s="23" t="s">
        <v>211</v>
      </c>
      <c r="BE1495" s="104">
        <f>IF(N1495="základní",J1495,0)</f>
        <v>0</v>
      </c>
      <c r="BF1495" s="104">
        <f>IF(N1495="snížená",J1495,0)</f>
        <v>0</v>
      </c>
      <c r="BG1495" s="104">
        <f>IF(N1495="zákl. přenesená",J1495,0)</f>
        <v>0</v>
      </c>
      <c r="BH1495" s="104">
        <f>IF(N1495="sníž. přenesená",J1495,0)</f>
        <v>0</v>
      </c>
      <c r="BI1495" s="104">
        <f>IF(N1495="nulová",J1495,0)</f>
        <v>0</v>
      </c>
      <c r="BJ1495" s="23" t="s">
        <v>85</v>
      </c>
      <c r="BK1495" s="104">
        <f>ROUND(I1495*H1495,2)</f>
        <v>0</v>
      </c>
      <c r="BL1495" s="23" t="s">
        <v>218</v>
      </c>
      <c r="BM1495" s="101" t="s">
        <v>2184</v>
      </c>
    </row>
    <row r="1496" spans="2:65" s="1" customFormat="1" ht="67.2">
      <c r="B1496" s="12"/>
      <c r="D1496" s="105" t="s">
        <v>227</v>
      </c>
      <c r="F1496" s="106" t="s">
        <v>2023</v>
      </c>
      <c r="I1496" s="107"/>
      <c r="L1496" s="12"/>
      <c r="M1496" s="108"/>
      <c r="T1496" s="111"/>
      <c r="AT1496" s="23" t="s">
        <v>227</v>
      </c>
      <c r="AU1496" s="23" t="s">
        <v>87</v>
      </c>
    </row>
    <row r="1497" spans="2:65" s="1" customFormat="1" ht="55.5" customHeight="1">
      <c r="B1497" s="12"/>
      <c r="C1497" s="71" t="s">
        <v>2185</v>
      </c>
      <c r="D1497" s="71" t="s">
        <v>214</v>
      </c>
      <c r="E1497" s="72" t="s">
        <v>1296</v>
      </c>
      <c r="F1497" s="73" t="s">
        <v>2186</v>
      </c>
      <c r="G1497" s="74" t="s">
        <v>808</v>
      </c>
      <c r="H1497" s="75">
        <v>1</v>
      </c>
      <c r="I1497" s="90"/>
      <c r="J1497" s="91">
        <f>ROUND(I1497*H1497,2)</f>
        <v>0</v>
      </c>
      <c r="K1497" s="92"/>
      <c r="L1497" s="12"/>
      <c r="M1497" s="93" t="s">
        <v>1</v>
      </c>
      <c r="N1497" s="94" t="s">
        <v>42</v>
      </c>
      <c r="P1497" s="95">
        <f>O1497*H1497</f>
        <v>0</v>
      </c>
      <c r="Q1497" s="95">
        <v>0</v>
      </c>
      <c r="R1497" s="95">
        <f>Q1497*H1497</f>
        <v>0</v>
      </c>
      <c r="S1497" s="95">
        <v>0</v>
      </c>
      <c r="T1497" s="99">
        <f>S1497*H1497</f>
        <v>0</v>
      </c>
      <c r="AR1497" s="101" t="s">
        <v>218</v>
      </c>
      <c r="AT1497" s="101" t="s">
        <v>214</v>
      </c>
      <c r="AU1497" s="101" t="s">
        <v>87</v>
      </c>
      <c r="AY1497" s="23" t="s">
        <v>211</v>
      </c>
      <c r="BE1497" s="104">
        <f>IF(N1497="základní",J1497,0)</f>
        <v>0</v>
      </c>
      <c r="BF1497" s="104">
        <f>IF(N1497="snížená",J1497,0)</f>
        <v>0</v>
      </c>
      <c r="BG1497" s="104">
        <f>IF(N1497="zákl. přenesená",J1497,0)</f>
        <v>0</v>
      </c>
      <c r="BH1497" s="104">
        <f>IF(N1497="sníž. přenesená",J1497,0)</f>
        <v>0</v>
      </c>
      <c r="BI1497" s="104">
        <f>IF(N1497="nulová",J1497,0)</f>
        <v>0</v>
      </c>
      <c r="BJ1497" s="23" t="s">
        <v>85</v>
      </c>
      <c r="BK1497" s="104">
        <f>ROUND(I1497*H1497,2)</f>
        <v>0</v>
      </c>
      <c r="BL1497" s="23" t="s">
        <v>218</v>
      </c>
      <c r="BM1497" s="101" t="s">
        <v>2187</v>
      </c>
    </row>
    <row r="1498" spans="2:65" s="1" customFormat="1" ht="67.2">
      <c r="B1498" s="12"/>
      <c r="D1498" s="105" t="s">
        <v>227</v>
      </c>
      <c r="F1498" s="106" t="s">
        <v>2018</v>
      </c>
      <c r="I1498" s="107"/>
      <c r="L1498" s="12"/>
      <c r="M1498" s="108"/>
      <c r="T1498" s="111"/>
      <c r="AT1498" s="23" t="s">
        <v>227</v>
      </c>
      <c r="AU1498" s="23" t="s">
        <v>87</v>
      </c>
    </row>
    <row r="1499" spans="2:65" s="1" customFormat="1" ht="55.5" customHeight="1">
      <c r="B1499" s="12"/>
      <c r="C1499" s="71" t="s">
        <v>2188</v>
      </c>
      <c r="D1499" s="71" t="s">
        <v>214</v>
      </c>
      <c r="E1499" s="72" t="s">
        <v>1306</v>
      </c>
      <c r="F1499" s="73" t="s">
        <v>2189</v>
      </c>
      <c r="G1499" s="74" t="s">
        <v>808</v>
      </c>
      <c r="H1499" s="75">
        <v>1</v>
      </c>
      <c r="I1499" s="90"/>
      <c r="J1499" s="91">
        <f>ROUND(I1499*H1499,2)</f>
        <v>0</v>
      </c>
      <c r="K1499" s="92"/>
      <c r="L1499" s="12"/>
      <c r="M1499" s="93" t="s">
        <v>1</v>
      </c>
      <c r="N1499" s="94" t="s">
        <v>42</v>
      </c>
      <c r="P1499" s="95">
        <f>O1499*H1499</f>
        <v>0</v>
      </c>
      <c r="Q1499" s="95">
        <v>0</v>
      </c>
      <c r="R1499" s="95">
        <f>Q1499*H1499</f>
        <v>0</v>
      </c>
      <c r="S1499" s="95">
        <v>0</v>
      </c>
      <c r="T1499" s="99">
        <f>S1499*H1499</f>
        <v>0</v>
      </c>
      <c r="AR1499" s="101" t="s">
        <v>218</v>
      </c>
      <c r="AT1499" s="101" t="s">
        <v>214</v>
      </c>
      <c r="AU1499" s="101" t="s">
        <v>87</v>
      </c>
      <c r="AY1499" s="23" t="s">
        <v>211</v>
      </c>
      <c r="BE1499" s="104">
        <f>IF(N1499="základní",J1499,0)</f>
        <v>0</v>
      </c>
      <c r="BF1499" s="104">
        <f>IF(N1499="snížená",J1499,0)</f>
        <v>0</v>
      </c>
      <c r="BG1499" s="104">
        <f>IF(N1499="zákl. přenesená",J1499,0)</f>
        <v>0</v>
      </c>
      <c r="BH1499" s="104">
        <f>IF(N1499="sníž. přenesená",J1499,0)</f>
        <v>0</v>
      </c>
      <c r="BI1499" s="104">
        <f>IF(N1499="nulová",J1499,0)</f>
        <v>0</v>
      </c>
      <c r="BJ1499" s="23" t="s">
        <v>85</v>
      </c>
      <c r="BK1499" s="104">
        <f>ROUND(I1499*H1499,2)</f>
        <v>0</v>
      </c>
      <c r="BL1499" s="23" t="s">
        <v>218</v>
      </c>
      <c r="BM1499" s="101" t="s">
        <v>2190</v>
      </c>
    </row>
    <row r="1500" spans="2:65" s="1" customFormat="1" ht="67.2">
      <c r="B1500" s="12"/>
      <c r="D1500" s="105" t="s">
        <v>227</v>
      </c>
      <c r="F1500" s="106" t="s">
        <v>2018</v>
      </c>
      <c r="I1500" s="107"/>
      <c r="L1500" s="12"/>
      <c r="M1500" s="108"/>
      <c r="T1500" s="111"/>
      <c r="AT1500" s="23" t="s">
        <v>227</v>
      </c>
      <c r="AU1500" s="23" t="s">
        <v>87</v>
      </c>
    </row>
    <row r="1501" spans="2:65" s="1" customFormat="1" ht="55.5" customHeight="1">
      <c r="B1501" s="12"/>
      <c r="C1501" s="71" t="s">
        <v>2191</v>
      </c>
      <c r="D1501" s="71" t="s">
        <v>214</v>
      </c>
      <c r="E1501" s="72" t="s">
        <v>1312</v>
      </c>
      <c r="F1501" s="73" t="s">
        <v>2192</v>
      </c>
      <c r="G1501" s="74" t="s">
        <v>808</v>
      </c>
      <c r="H1501" s="75">
        <v>1</v>
      </c>
      <c r="I1501" s="90"/>
      <c r="J1501" s="91">
        <f>ROUND(I1501*H1501,2)</f>
        <v>0</v>
      </c>
      <c r="K1501" s="92"/>
      <c r="L1501" s="12"/>
      <c r="M1501" s="93" t="s">
        <v>1</v>
      </c>
      <c r="N1501" s="94" t="s">
        <v>42</v>
      </c>
      <c r="P1501" s="95">
        <f>O1501*H1501</f>
        <v>0</v>
      </c>
      <c r="Q1501" s="95">
        <v>0</v>
      </c>
      <c r="R1501" s="95">
        <f>Q1501*H1501</f>
        <v>0</v>
      </c>
      <c r="S1501" s="95">
        <v>0</v>
      </c>
      <c r="T1501" s="99">
        <f>S1501*H1501</f>
        <v>0</v>
      </c>
      <c r="AR1501" s="101" t="s">
        <v>218</v>
      </c>
      <c r="AT1501" s="101" t="s">
        <v>214</v>
      </c>
      <c r="AU1501" s="101" t="s">
        <v>87</v>
      </c>
      <c r="AY1501" s="23" t="s">
        <v>211</v>
      </c>
      <c r="BE1501" s="104">
        <f>IF(N1501="základní",J1501,0)</f>
        <v>0</v>
      </c>
      <c r="BF1501" s="104">
        <f>IF(N1501="snížená",J1501,0)</f>
        <v>0</v>
      </c>
      <c r="BG1501" s="104">
        <f>IF(N1501="zákl. přenesená",J1501,0)</f>
        <v>0</v>
      </c>
      <c r="BH1501" s="104">
        <f>IF(N1501="sníž. přenesená",J1501,0)</f>
        <v>0</v>
      </c>
      <c r="BI1501" s="104">
        <f>IF(N1501="nulová",J1501,0)</f>
        <v>0</v>
      </c>
      <c r="BJ1501" s="23" t="s">
        <v>85</v>
      </c>
      <c r="BK1501" s="104">
        <f>ROUND(I1501*H1501,2)</f>
        <v>0</v>
      </c>
      <c r="BL1501" s="23" t="s">
        <v>218</v>
      </c>
      <c r="BM1501" s="101" t="s">
        <v>2193</v>
      </c>
    </row>
    <row r="1502" spans="2:65" s="1" customFormat="1" ht="67.2">
      <c r="B1502" s="12"/>
      <c r="D1502" s="105" t="s">
        <v>227</v>
      </c>
      <c r="F1502" s="106" t="s">
        <v>2023</v>
      </c>
      <c r="I1502" s="107"/>
      <c r="L1502" s="12"/>
      <c r="M1502" s="108"/>
      <c r="T1502" s="111"/>
      <c r="AT1502" s="23" t="s">
        <v>227</v>
      </c>
      <c r="AU1502" s="23" t="s">
        <v>87</v>
      </c>
    </row>
    <row r="1503" spans="2:65" s="1" customFormat="1" ht="55.5" customHeight="1">
      <c r="B1503" s="12"/>
      <c r="C1503" s="71" t="s">
        <v>2194</v>
      </c>
      <c r="D1503" s="71" t="s">
        <v>214</v>
      </c>
      <c r="E1503" s="72" t="s">
        <v>1318</v>
      </c>
      <c r="F1503" s="73" t="s">
        <v>2195</v>
      </c>
      <c r="G1503" s="74" t="s">
        <v>808</v>
      </c>
      <c r="H1503" s="75">
        <v>1</v>
      </c>
      <c r="I1503" s="90"/>
      <c r="J1503" s="91">
        <f>ROUND(I1503*H1503,2)</f>
        <v>0</v>
      </c>
      <c r="K1503" s="92"/>
      <c r="L1503" s="12"/>
      <c r="M1503" s="93" t="s">
        <v>1</v>
      </c>
      <c r="N1503" s="94" t="s">
        <v>42</v>
      </c>
      <c r="P1503" s="95">
        <f>O1503*H1503</f>
        <v>0</v>
      </c>
      <c r="Q1503" s="95">
        <v>0</v>
      </c>
      <c r="R1503" s="95">
        <f>Q1503*H1503</f>
        <v>0</v>
      </c>
      <c r="S1503" s="95">
        <v>0</v>
      </c>
      <c r="T1503" s="99">
        <f>S1503*H1503</f>
        <v>0</v>
      </c>
      <c r="AR1503" s="101" t="s">
        <v>218</v>
      </c>
      <c r="AT1503" s="101" t="s">
        <v>214</v>
      </c>
      <c r="AU1503" s="101" t="s">
        <v>87</v>
      </c>
      <c r="AY1503" s="23" t="s">
        <v>211</v>
      </c>
      <c r="BE1503" s="104">
        <f>IF(N1503="základní",J1503,0)</f>
        <v>0</v>
      </c>
      <c r="BF1503" s="104">
        <f>IF(N1503="snížená",J1503,0)</f>
        <v>0</v>
      </c>
      <c r="BG1503" s="104">
        <f>IF(N1503="zákl. přenesená",J1503,0)</f>
        <v>0</v>
      </c>
      <c r="BH1503" s="104">
        <f>IF(N1503="sníž. přenesená",J1503,0)</f>
        <v>0</v>
      </c>
      <c r="BI1503" s="104">
        <f>IF(N1503="nulová",J1503,0)</f>
        <v>0</v>
      </c>
      <c r="BJ1503" s="23" t="s">
        <v>85</v>
      </c>
      <c r="BK1503" s="104">
        <f>ROUND(I1503*H1503,2)</f>
        <v>0</v>
      </c>
      <c r="BL1503" s="23" t="s">
        <v>218</v>
      </c>
      <c r="BM1503" s="101" t="s">
        <v>2196</v>
      </c>
    </row>
    <row r="1504" spans="2:65" s="1" customFormat="1" ht="67.2">
      <c r="B1504" s="12"/>
      <c r="D1504" s="105" t="s">
        <v>227</v>
      </c>
      <c r="F1504" s="106" t="s">
        <v>2089</v>
      </c>
      <c r="I1504" s="107"/>
      <c r="L1504" s="12"/>
      <c r="M1504" s="108"/>
      <c r="T1504" s="111"/>
      <c r="AT1504" s="23" t="s">
        <v>227</v>
      </c>
      <c r="AU1504" s="23" t="s">
        <v>87</v>
      </c>
    </row>
    <row r="1505" spans="2:65" s="1" customFormat="1" ht="66.75" customHeight="1">
      <c r="B1505" s="12"/>
      <c r="C1505" s="71" t="s">
        <v>2197</v>
      </c>
      <c r="D1505" s="71" t="s">
        <v>214</v>
      </c>
      <c r="E1505" s="72" t="s">
        <v>1323</v>
      </c>
      <c r="F1505" s="73" t="s">
        <v>2198</v>
      </c>
      <c r="G1505" s="74" t="s">
        <v>808</v>
      </c>
      <c r="H1505" s="75">
        <v>1</v>
      </c>
      <c r="I1505" s="90"/>
      <c r="J1505" s="91">
        <f>ROUND(I1505*H1505,2)</f>
        <v>0</v>
      </c>
      <c r="K1505" s="92"/>
      <c r="L1505" s="12"/>
      <c r="M1505" s="93" t="s">
        <v>1</v>
      </c>
      <c r="N1505" s="94" t="s">
        <v>42</v>
      </c>
      <c r="P1505" s="95">
        <f>O1505*H1505</f>
        <v>0</v>
      </c>
      <c r="Q1505" s="95">
        <v>0</v>
      </c>
      <c r="R1505" s="95">
        <f>Q1505*H1505</f>
        <v>0</v>
      </c>
      <c r="S1505" s="95">
        <v>0</v>
      </c>
      <c r="T1505" s="99">
        <f>S1505*H1505</f>
        <v>0</v>
      </c>
      <c r="AR1505" s="101" t="s">
        <v>218</v>
      </c>
      <c r="AT1505" s="101" t="s">
        <v>214</v>
      </c>
      <c r="AU1505" s="101" t="s">
        <v>87</v>
      </c>
      <c r="AY1505" s="23" t="s">
        <v>211</v>
      </c>
      <c r="BE1505" s="104">
        <f>IF(N1505="základní",J1505,0)</f>
        <v>0</v>
      </c>
      <c r="BF1505" s="104">
        <f>IF(N1505="snížená",J1505,0)</f>
        <v>0</v>
      </c>
      <c r="BG1505" s="104">
        <f>IF(N1505="zákl. přenesená",J1505,0)</f>
        <v>0</v>
      </c>
      <c r="BH1505" s="104">
        <f>IF(N1505="sníž. přenesená",J1505,0)</f>
        <v>0</v>
      </c>
      <c r="BI1505" s="104">
        <f>IF(N1505="nulová",J1505,0)</f>
        <v>0</v>
      </c>
      <c r="BJ1505" s="23" t="s">
        <v>85</v>
      </c>
      <c r="BK1505" s="104">
        <f>ROUND(I1505*H1505,2)</f>
        <v>0</v>
      </c>
      <c r="BL1505" s="23" t="s">
        <v>218</v>
      </c>
      <c r="BM1505" s="101" t="s">
        <v>2199</v>
      </c>
    </row>
    <row r="1506" spans="2:65" s="1" customFormat="1" ht="76.8">
      <c r="B1506" s="12"/>
      <c r="D1506" s="105" t="s">
        <v>227</v>
      </c>
      <c r="F1506" s="106" t="s">
        <v>2013</v>
      </c>
      <c r="I1506" s="107"/>
      <c r="L1506" s="12"/>
      <c r="M1506" s="108"/>
      <c r="T1506" s="111"/>
      <c r="AT1506" s="23" t="s">
        <v>227</v>
      </c>
      <c r="AU1506" s="23" t="s">
        <v>87</v>
      </c>
    </row>
    <row r="1507" spans="2:65" s="1" customFormat="1" ht="55.5" customHeight="1">
      <c r="B1507" s="12"/>
      <c r="C1507" s="71" t="s">
        <v>2200</v>
      </c>
      <c r="D1507" s="71" t="s">
        <v>214</v>
      </c>
      <c r="E1507" s="72" t="s">
        <v>1328</v>
      </c>
      <c r="F1507" s="73" t="s">
        <v>2201</v>
      </c>
      <c r="G1507" s="74" t="s">
        <v>808</v>
      </c>
      <c r="H1507" s="75">
        <v>1</v>
      </c>
      <c r="I1507" s="90"/>
      <c r="J1507" s="91">
        <f>ROUND(I1507*H1507,2)</f>
        <v>0</v>
      </c>
      <c r="K1507" s="92"/>
      <c r="L1507" s="12"/>
      <c r="M1507" s="93" t="s">
        <v>1</v>
      </c>
      <c r="N1507" s="94" t="s">
        <v>42</v>
      </c>
      <c r="P1507" s="95">
        <f>O1507*H1507</f>
        <v>0</v>
      </c>
      <c r="Q1507" s="95">
        <v>0</v>
      </c>
      <c r="R1507" s="95">
        <f>Q1507*H1507</f>
        <v>0</v>
      </c>
      <c r="S1507" s="95">
        <v>0</v>
      </c>
      <c r="T1507" s="99">
        <f>S1507*H1507</f>
        <v>0</v>
      </c>
      <c r="AR1507" s="101" t="s">
        <v>218</v>
      </c>
      <c r="AT1507" s="101" t="s">
        <v>214</v>
      </c>
      <c r="AU1507" s="101" t="s">
        <v>87</v>
      </c>
      <c r="AY1507" s="23" t="s">
        <v>211</v>
      </c>
      <c r="BE1507" s="104">
        <f>IF(N1507="základní",J1507,0)</f>
        <v>0</v>
      </c>
      <c r="BF1507" s="104">
        <f>IF(N1507="snížená",J1507,0)</f>
        <v>0</v>
      </c>
      <c r="BG1507" s="104">
        <f>IF(N1507="zákl. přenesená",J1507,0)</f>
        <v>0</v>
      </c>
      <c r="BH1507" s="104">
        <f>IF(N1507="sníž. přenesená",J1507,0)</f>
        <v>0</v>
      </c>
      <c r="BI1507" s="104">
        <f>IF(N1507="nulová",J1507,0)</f>
        <v>0</v>
      </c>
      <c r="BJ1507" s="23" t="s">
        <v>85</v>
      </c>
      <c r="BK1507" s="104">
        <f>ROUND(I1507*H1507,2)</f>
        <v>0</v>
      </c>
      <c r="BL1507" s="23" t="s">
        <v>218</v>
      </c>
      <c r="BM1507" s="101" t="s">
        <v>2202</v>
      </c>
    </row>
    <row r="1508" spans="2:65" s="1" customFormat="1" ht="67.2">
      <c r="B1508" s="12"/>
      <c r="D1508" s="105" t="s">
        <v>227</v>
      </c>
      <c r="F1508" s="106" t="s">
        <v>2018</v>
      </c>
      <c r="I1508" s="107"/>
      <c r="L1508" s="12"/>
      <c r="M1508" s="108"/>
      <c r="T1508" s="111"/>
      <c r="AT1508" s="23" t="s">
        <v>227</v>
      </c>
      <c r="AU1508" s="23" t="s">
        <v>87</v>
      </c>
    </row>
    <row r="1509" spans="2:65" s="1" customFormat="1" ht="55.5" customHeight="1">
      <c r="B1509" s="12"/>
      <c r="C1509" s="71" t="s">
        <v>2203</v>
      </c>
      <c r="D1509" s="71" t="s">
        <v>214</v>
      </c>
      <c r="E1509" s="72" t="s">
        <v>1332</v>
      </c>
      <c r="F1509" s="73" t="s">
        <v>2204</v>
      </c>
      <c r="G1509" s="74" t="s">
        <v>808</v>
      </c>
      <c r="H1509" s="75">
        <v>1</v>
      </c>
      <c r="I1509" s="90"/>
      <c r="J1509" s="91">
        <f>ROUND(I1509*H1509,2)</f>
        <v>0</v>
      </c>
      <c r="K1509" s="92"/>
      <c r="L1509" s="12"/>
      <c r="M1509" s="93" t="s">
        <v>1</v>
      </c>
      <c r="N1509" s="94" t="s">
        <v>42</v>
      </c>
      <c r="P1509" s="95">
        <f>O1509*H1509</f>
        <v>0</v>
      </c>
      <c r="Q1509" s="95">
        <v>0</v>
      </c>
      <c r="R1509" s="95">
        <f>Q1509*H1509</f>
        <v>0</v>
      </c>
      <c r="S1509" s="95">
        <v>0</v>
      </c>
      <c r="T1509" s="99">
        <f>S1509*H1509</f>
        <v>0</v>
      </c>
      <c r="AR1509" s="101" t="s">
        <v>218</v>
      </c>
      <c r="AT1509" s="101" t="s">
        <v>214</v>
      </c>
      <c r="AU1509" s="101" t="s">
        <v>87</v>
      </c>
      <c r="AY1509" s="23" t="s">
        <v>211</v>
      </c>
      <c r="BE1509" s="104">
        <f>IF(N1509="základní",J1509,0)</f>
        <v>0</v>
      </c>
      <c r="BF1509" s="104">
        <f>IF(N1509="snížená",J1509,0)</f>
        <v>0</v>
      </c>
      <c r="BG1509" s="104">
        <f>IF(N1509="zákl. přenesená",J1509,0)</f>
        <v>0</v>
      </c>
      <c r="BH1509" s="104">
        <f>IF(N1509="sníž. přenesená",J1509,0)</f>
        <v>0</v>
      </c>
      <c r="BI1509" s="104">
        <f>IF(N1509="nulová",J1509,0)</f>
        <v>0</v>
      </c>
      <c r="BJ1509" s="23" t="s">
        <v>85</v>
      </c>
      <c r="BK1509" s="104">
        <f>ROUND(I1509*H1509,2)</f>
        <v>0</v>
      </c>
      <c r="BL1509" s="23" t="s">
        <v>218</v>
      </c>
      <c r="BM1509" s="101" t="s">
        <v>2205</v>
      </c>
    </row>
    <row r="1510" spans="2:65" s="1" customFormat="1" ht="67.2">
      <c r="B1510" s="12"/>
      <c r="D1510" s="105" t="s">
        <v>227</v>
      </c>
      <c r="F1510" s="106" t="s">
        <v>2018</v>
      </c>
      <c r="I1510" s="107"/>
      <c r="L1510" s="12"/>
      <c r="M1510" s="108"/>
      <c r="T1510" s="111"/>
      <c r="AT1510" s="23" t="s">
        <v>227</v>
      </c>
      <c r="AU1510" s="23" t="s">
        <v>87</v>
      </c>
    </row>
    <row r="1511" spans="2:65" s="1" customFormat="1" ht="55.5" customHeight="1">
      <c r="B1511" s="12"/>
      <c r="C1511" s="71" t="s">
        <v>2206</v>
      </c>
      <c r="D1511" s="71" t="s">
        <v>214</v>
      </c>
      <c r="E1511" s="72" t="s">
        <v>1337</v>
      </c>
      <c r="F1511" s="73" t="s">
        <v>2207</v>
      </c>
      <c r="G1511" s="74" t="s">
        <v>808</v>
      </c>
      <c r="H1511" s="75">
        <v>1</v>
      </c>
      <c r="I1511" s="90"/>
      <c r="J1511" s="91">
        <f>ROUND(I1511*H1511,2)</f>
        <v>0</v>
      </c>
      <c r="K1511" s="92"/>
      <c r="L1511" s="12"/>
      <c r="M1511" s="93" t="s">
        <v>1</v>
      </c>
      <c r="N1511" s="94" t="s">
        <v>42</v>
      </c>
      <c r="P1511" s="95">
        <f>O1511*H1511</f>
        <v>0</v>
      </c>
      <c r="Q1511" s="95">
        <v>0</v>
      </c>
      <c r="R1511" s="95">
        <f>Q1511*H1511</f>
        <v>0</v>
      </c>
      <c r="S1511" s="95">
        <v>0</v>
      </c>
      <c r="T1511" s="99">
        <f>S1511*H1511</f>
        <v>0</v>
      </c>
      <c r="AR1511" s="101" t="s">
        <v>218</v>
      </c>
      <c r="AT1511" s="101" t="s">
        <v>214</v>
      </c>
      <c r="AU1511" s="101" t="s">
        <v>87</v>
      </c>
      <c r="AY1511" s="23" t="s">
        <v>211</v>
      </c>
      <c r="BE1511" s="104">
        <f>IF(N1511="základní",J1511,0)</f>
        <v>0</v>
      </c>
      <c r="BF1511" s="104">
        <f>IF(N1511="snížená",J1511,0)</f>
        <v>0</v>
      </c>
      <c r="BG1511" s="104">
        <f>IF(N1511="zákl. přenesená",J1511,0)</f>
        <v>0</v>
      </c>
      <c r="BH1511" s="104">
        <f>IF(N1511="sníž. přenesená",J1511,0)</f>
        <v>0</v>
      </c>
      <c r="BI1511" s="104">
        <f>IF(N1511="nulová",J1511,0)</f>
        <v>0</v>
      </c>
      <c r="BJ1511" s="23" t="s">
        <v>85</v>
      </c>
      <c r="BK1511" s="104">
        <f>ROUND(I1511*H1511,2)</f>
        <v>0</v>
      </c>
      <c r="BL1511" s="23" t="s">
        <v>218</v>
      </c>
      <c r="BM1511" s="101" t="s">
        <v>2208</v>
      </c>
    </row>
    <row r="1512" spans="2:65" s="1" customFormat="1" ht="67.2">
      <c r="B1512" s="12"/>
      <c r="D1512" s="105" t="s">
        <v>227</v>
      </c>
      <c r="F1512" s="106" t="s">
        <v>2023</v>
      </c>
      <c r="I1512" s="107"/>
      <c r="L1512" s="12"/>
      <c r="M1512" s="108"/>
      <c r="T1512" s="111"/>
      <c r="AT1512" s="23" t="s">
        <v>227</v>
      </c>
      <c r="AU1512" s="23" t="s">
        <v>87</v>
      </c>
    </row>
    <row r="1513" spans="2:65" s="1" customFormat="1" ht="55.5" customHeight="1">
      <c r="B1513" s="12"/>
      <c r="C1513" s="71" t="s">
        <v>2209</v>
      </c>
      <c r="D1513" s="71" t="s">
        <v>214</v>
      </c>
      <c r="E1513" s="72" t="s">
        <v>1342</v>
      </c>
      <c r="F1513" s="73" t="s">
        <v>2210</v>
      </c>
      <c r="G1513" s="74" t="s">
        <v>808</v>
      </c>
      <c r="H1513" s="75">
        <v>1</v>
      </c>
      <c r="I1513" s="90"/>
      <c r="J1513" s="91">
        <f>ROUND(I1513*H1513,2)</f>
        <v>0</v>
      </c>
      <c r="K1513" s="92"/>
      <c r="L1513" s="12"/>
      <c r="M1513" s="93" t="s">
        <v>1</v>
      </c>
      <c r="N1513" s="94" t="s">
        <v>42</v>
      </c>
      <c r="P1513" s="95">
        <f>O1513*H1513</f>
        <v>0</v>
      </c>
      <c r="Q1513" s="95">
        <v>0</v>
      </c>
      <c r="R1513" s="95">
        <f>Q1513*H1513</f>
        <v>0</v>
      </c>
      <c r="S1513" s="95">
        <v>0</v>
      </c>
      <c r="T1513" s="99">
        <f>S1513*H1513</f>
        <v>0</v>
      </c>
      <c r="AR1513" s="101" t="s">
        <v>218</v>
      </c>
      <c r="AT1513" s="101" t="s">
        <v>214</v>
      </c>
      <c r="AU1513" s="101" t="s">
        <v>87</v>
      </c>
      <c r="AY1513" s="23" t="s">
        <v>211</v>
      </c>
      <c r="BE1513" s="104">
        <f>IF(N1513="základní",J1513,0)</f>
        <v>0</v>
      </c>
      <c r="BF1513" s="104">
        <f>IF(N1513="snížená",J1513,0)</f>
        <v>0</v>
      </c>
      <c r="BG1513" s="104">
        <f>IF(N1513="zákl. přenesená",J1513,0)</f>
        <v>0</v>
      </c>
      <c r="BH1513" s="104">
        <f>IF(N1513="sníž. přenesená",J1513,0)</f>
        <v>0</v>
      </c>
      <c r="BI1513" s="104">
        <f>IF(N1513="nulová",J1513,0)</f>
        <v>0</v>
      </c>
      <c r="BJ1513" s="23" t="s">
        <v>85</v>
      </c>
      <c r="BK1513" s="104">
        <f>ROUND(I1513*H1513,2)</f>
        <v>0</v>
      </c>
      <c r="BL1513" s="23" t="s">
        <v>218</v>
      </c>
      <c r="BM1513" s="101" t="s">
        <v>2211</v>
      </c>
    </row>
    <row r="1514" spans="2:65" s="1" customFormat="1" ht="67.2">
      <c r="B1514" s="12"/>
      <c r="D1514" s="105" t="s">
        <v>227</v>
      </c>
      <c r="F1514" s="106" t="s">
        <v>2023</v>
      </c>
      <c r="I1514" s="107"/>
      <c r="L1514" s="12"/>
      <c r="M1514" s="108"/>
      <c r="T1514" s="111"/>
      <c r="AT1514" s="23" t="s">
        <v>227</v>
      </c>
      <c r="AU1514" s="23" t="s">
        <v>87</v>
      </c>
    </row>
    <row r="1515" spans="2:65" s="1" customFormat="1" ht="66.75" customHeight="1">
      <c r="B1515" s="12"/>
      <c r="C1515" s="71" t="s">
        <v>2212</v>
      </c>
      <c r="D1515" s="71" t="s">
        <v>214</v>
      </c>
      <c r="E1515" s="72" t="s">
        <v>1347</v>
      </c>
      <c r="F1515" s="73" t="s">
        <v>2213</v>
      </c>
      <c r="G1515" s="74" t="s">
        <v>808</v>
      </c>
      <c r="H1515" s="75">
        <v>1</v>
      </c>
      <c r="I1515" s="90"/>
      <c r="J1515" s="91">
        <f>ROUND(I1515*H1515,2)</f>
        <v>0</v>
      </c>
      <c r="K1515" s="92"/>
      <c r="L1515" s="12"/>
      <c r="M1515" s="93" t="s">
        <v>1</v>
      </c>
      <c r="N1515" s="94" t="s">
        <v>42</v>
      </c>
      <c r="P1515" s="95">
        <f>O1515*H1515</f>
        <v>0</v>
      </c>
      <c r="Q1515" s="95">
        <v>0</v>
      </c>
      <c r="R1515" s="95">
        <f>Q1515*H1515</f>
        <v>0</v>
      </c>
      <c r="S1515" s="95">
        <v>0</v>
      </c>
      <c r="T1515" s="99">
        <f>S1515*H1515</f>
        <v>0</v>
      </c>
      <c r="AR1515" s="101" t="s">
        <v>218</v>
      </c>
      <c r="AT1515" s="101" t="s">
        <v>214</v>
      </c>
      <c r="AU1515" s="101" t="s">
        <v>87</v>
      </c>
      <c r="AY1515" s="23" t="s">
        <v>211</v>
      </c>
      <c r="BE1515" s="104">
        <f>IF(N1515="základní",J1515,0)</f>
        <v>0</v>
      </c>
      <c r="BF1515" s="104">
        <f>IF(N1515="snížená",J1515,0)</f>
        <v>0</v>
      </c>
      <c r="BG1515" s="104">
        <f>IF(N1515="zákl. přenesená",J1515,0)</f>
        <v>0</v>
      </c>
      <c r="BH1515" s="104">
        <f>IF(N1515="sníž. přenesená",J1515,0)</f>
        <v>0</v>
      </c>
      <c r="BI1515" s="104">
        <f>IF(N1515="nulová",J1515,0)</f>
        <v>0</v>
      </c>
      <c r="BJ1515" s="23" t="s">
        <v>85</v>
      </c>
      <c r="BK1515" s="104">
        <f>ROUND(I1515*H1515,2)</f>
        <v>0</v>
      </c>
      <c r="BL1515" s="23" t="s">
        <v>218</v>
      </c>
      <c r="BM1515" s="101" t="s">
        <v>2214</v>
      </c>
    </row>
    <row r="1516" spans="2:65" s="1" customFormat="1" ht="76.8">
      <c r="B1516" s="12"/>
      <c r="D1516" s="105" t="s">
        <v>227</v>
      </c>
      <c r="F1516" s="106" t="s">
        <v>2028</v>
      </c>
      <c r="I1516" s="107"/>
      <c r="L1516" s="12"/>
      <c r="M1516" s="108"/>
      <c r="T1516" s="111"/>
      <c r="AT1516" s="23" t="s">
        <v>227</v>
      </c>
      <c r="AU1516" s="23" t="s">
        <v>87</v>
      </c>
    </row>
    <row r="1517" spans="2:65" s="1" customFormat="1" ht="66.75" customHeight="1">
      <c r="B1517" s="12"/>
      <c r="C1517" s="71" t="s">
        <v>2215</v>
      </c>
      <c r="D1517" s="71" t="s">
        <v>214</v>
      </c>
      <c r="E1517" s="72" t="s">
        <v>1352</v>
      </c>
      <c r="F1517" s="73" t="s">
        <v>2216</v>
      </c>
      <c r="G1517" s="74" t="s">
        <v>808</v>
      </c>
      <c r="H1517" s="75">
        <v>1</v>
      </c>
      <c r="I1517" s="90"/>
      <c r="J1517" s="91">
        <f>ROUND(I1517*H1517,2)</f>
        <v>0</v>
      </c>
      <c r="K1517" s="92"/>
      <c r="L1517" s="12"/>
      <c r="M1517" s="93" t="s">
        <v>1</v>
      </c>
      <c r="N1517" s="94" t="s">
        <v>42</v>
      </c>
      <c r="P1517" s="95">
        <f>O1517*H1517</f>
        <v>0</v>
      </c>
      <c r="Q1517" s="95">
        <v>0</v>
      </c>
      <c r="R1517" s="95">
        <f>Q1517*H1517</f>
        <v>0</v>
      </c>
      <c r="S1517" s="95">
        <v>0</v>
      </c>
      <c r="T1517" s="99">
        <f>S1517*H1517</f>
        <v>0</v>
      </c>
      <c r="AR1517" s="101" t="s">
        <v>218</v>
      </c>
      <c r="AT1517" s="101" t="s">
        <v>214</v>
      </c>
      <c r="AU1517" s="101" t="s">
        <v>87</v>
      </c>
      <c r="AY1517" s="23" t="s">
        <v>211</v>
      </c>
      <c r="BE1517" s="104">
        <f>IF(N1517="základní",J1517,0)</f>
        <v>0</v>
      </c>
      <c r="BF1517" s="104">
        <f>IF(N1517="snížená",J1517,0)</f>
        <v>0</v>
      </c>
      <c r="BG1517" s="104">
        <f>IF(N1517="zákl. přenesená",J1517,0)</f>
        <v>0</v>
      </c>
      <c r="BH1517" s="104">
        <f>IF(N1517="sníž. přenesená",J1517,0)</f>
        <v>0</v>
      </c>
      <c r="BI1517" s="104">
        <f>IF(N1517="nulová",J1517,0)</f>
        <v>0</v>
      </c>
      <c r="BJ1517" s="23" t="s">
        <v>85</v>
      </c>
      <c r="BK1517" s="104">
        <f>ROUND(I1517*H1517,2)</f>
        <v>0</v>
      </c>
      <c r="BL1517" s="23" t="s">
        <v>218</v>
      </c>
      <c r="BM1517" s="101" t="s">
        <v>2217</v>
      </c>
    </row>
    <row r="1518" spans="2:65" s="1" customFormat="1" ht="76.8">
      <c r="B1518" s="12"/>
      <c r="D1518" s="105" t="s">
        <v>227</v>
      </c>
      <c r="F1518" s="106" t="s">
        <v>2013</v>
      </c>
      <c r="I1518" s="107"/>
      <c r="L1518" s="12"/>
      <c r="M1518" s="108"/>
      <c r="T1518" s="111"/>
      <c r="AT1518" s="23" t="s">
        <v>227</v>
      </c>
      <c r="AU1518" s="23" t="s">
        <v>87</v>
      </c>
    </row>
    <row r="1519" spans="2:65" s="1" customFormat="1" ht="66.75" customHeight="1">
      <c r="B1519" s="12"/>
      <c r="C1519" s="71" t="s">
        <v>2218</v>
      </c>
      <c r="D1519" s="71" t="s">
        <v>214</v>
      </c>
      <c r="E1519" s="72" t="s">
        <v>1357</v>
      </c>
      <c r="F1519" s="73" t="s">
        <v>2219</v>
      </c>
      <c r="G1519" s="74" t="s">
        <v>808</v>
      </c>
      <c r="H1519" s="75">
        <v>1</v>
      </c>
      <c r="I1519" s="90"/>
      <c r="J1519" s="91">
        <f>ROUND(I1519*H1519,2)</f>
        <v>0</v>
      </c>
      <c r="K1519" s="92"/>
      <c r="L1519" s="12"/>
      <c r="M1519" s="93" t="s">
        <v>1</v>
      </c>
      <c r="N1519" s="94" t="s">
        <v>42</v>
      </c>
      <c r="P1519" s="95">
        <f>O1519*H1519</f>
        <v>0</v>
      </c>
      <c r="Q1519" s="95">
        <v>0</v>
      </c>
      <c r="R1519" s="95">
        <f>Q1519*H1519</f>
        <v>0</v>
      </c>
      <c r="S1519" s="95">
        <v>0</v>
      </c>
      <c r="T1519" s="99">
        <f>S1519*H1519</f>
        <v>0</v>
      </c>
      <c r="AR1519" s="101" t="s">
        <v>218</v>
      </c>
      <c r="AT1519" s="101" t="s">
        <v>214</v>
      </c>
      <c r="AU1519" s="101" t="s">
        <v>87</v>
      </c>
      <c r="AY1519" s="23" t="s">
        <v>211</v>
      </c>
      <c r="BE1519" s="104">
        <f>IF(N1519="základní",J1519,0)</f>
        <v>0</v>
      </c>
      <c r="BF1519" s="104">
        <f>IF(N1519="snížená",J1519,0)</f>
        <v>0</v>
      </c>
      <c r="BG1519" s="104">
        <f>IF(N1519="zákl. přenesená",J1519,0)</f>
        <v>0</v>
      </c>
      <c r="BH1519" s="104">
        <f>IF(N1519="sníž. přenesená",J1519,0)</f>
        <v>0</v>
      </c>
      <c r="BI1519" s="104">
        <f>IF(N1519="nulová",J1519,0)</f>
        <v>0</v>
      </c>
      <c r="BJ1519" s="23" t="s">
        <v>85</v>
      </c>
      <c r="BK1519" s="104">
        <f>ROUND(I1519*H1519,2)</f>
        <v>0</v>
      </c>
      <c r="BL1519" s="23" t="s">
        <v>218</v>
      </c>
      <c r="BM1519" s="101" t="s">
        <v>2220</v>
      </c>
    </row>
    <row r="1520" spans="2:65" s="1" customFormat="1" ht="76.8">
      <c r="B1520" s="12"/>
      <c r="D1520" s="105" t="s">
        <v>227</v>
      </c>
      <c r="F1520" s="106" t="s">
        <v>2013</v>
      </c>
      <c r="I1520" s="107"/>
      <c r="L1520" s="12"/>
      <c r="M1520" s="108"/>
      <c r="T1520" s="111"/>
      <c r="AT1520" s="23" t="s">
        <v>227</v>
      </c>
      <c r="AU1520" s="23" t="s">
        <v>87</v>
      </c>
    </row>
    <row r="1521" spans="2:65" s="1" customFormat="1" ht="55.5" customHeight="1">
      <c r="B1521" s="12"/>
      <c r="C1521" s="71" t="s">
        <v>2221</v>
      </c>
      <c r="D1521" s="71" t="s">
        <v>214</v>
      </c>
      <c r="E1521" s="72" t="s">
        <v>1361</v>
      </c>
      <c r="F1521" s="73" t="s">
        <v>2222</v>
      </c>
      <c r="G1521" s="74" t="s">
        <v>808</v>
      </c>
      <c r="H1521" s="75">
        <v>1</v>
      </c>
      <c r="I1521" s="90"/>
      <c r="J1521" s="91">
        <f>ROUND(I1521*H1521,2)</f>
        <v>0</v>
      </c>
      <c r="K1521" s="92"/>
      <c r="L1521" s="12"/>
      <c r="M1521" s="93" t="s">
        <v>1</v>
      </c>
      <c r="N1521" s="94" t="s">
        <v>42</v>
      </c>
      <c r="P1521" s="95">
        <f>O1521*H1521</f>
        <v>0</v>
      </c>
      <c r="Q1521" s="95">
        <v>0</v>
      </c>
      <c r="R1521" s="95">
        <f>Q1521*H1521</f>
        <v>0</v>
      </c>
      <c r="S1521" s="95">
        <v>0</v>
      </c>
      <c r="T1521" s="99">
        <f>S1521*H1521</f>
        <v>0</v>
      </c>
      <c r="AR1521" s="101" t="s">
        <v>218</v>
      </c>
      <c r="AT1521" s="101" t="s">
        <v>214</v>
      </c>
      <c r="AU1521" s="101" t="s">
        <v>87</v>
      </c>
      <c r="AY1521" s="23" t="s">
        <v>211</v>
      </c>
      <c r="BE1521" s="104">
        <f>IF(N1521="základní",J1521,0)</f>
        <v>0</v>
      </c>
      <c r="BF1521" s="104">
        <f>IF(N1521="snížená",J1521,0)</f>
        <v>0</v>
      </c>
      <c r="BG1521" s="104">
        <f>IF(N1521="zákl. přenesená",J1521,0)</f>
        <v>0</v>
      </c>
      <c r="BH1521" s="104">
        <f>IF(N1521="sníž. přenesená",J1521,0)</f>
        <v>0</v>
      </c>
      <c r="BI1521" s="104">
        <f>IF(N1521="nulová",J1521,0)</f>
        <v>0</v>
      </c>
      <c r="BJ1521" s="23" t="s">
        <v>85</v>
      </c>
      <c r="BK1521" s="104">
        <f>ROUND(I1521*H1521,2)</f>
        <v>0</v>
      </c>
      <c r="BL1521" s="23" t="s">
        <v>218</v>
      </c>
      <c r="BM1521" s="101" t="s">
        <v>2223</v>
      </c>
    </row>
    <row r="1522" spans="2:65" s="1" customFormat="1" ht="67.2">
      <c r="B1522" s="12"/>
      <c r="D1522" s="105" t="s">
        <v>227</v>
      </c>
      <c r="F1522" s="106" t="s">
        <v>2018</v>
      </c>
      <c r="I1522" s="107"/>
      <c r="L1522" s="12"/>
      <c r="M1522" s="108"/>
      <c r="T1522" s="111"/>
      <c r="AT1522" s="23" t="s">
        <v>227</v>
      </c>
      <c r="AU1522" s="23" t="s">
        <v>87</v>
      </c>
    </row>
    <row r="1523" spans="2:65" s="1" customFormat="1" ht="66.75" customHeight="1">
      <c r="B1523" s="12"/>
      <c r="C1523" s="71" t="s">
        <v>2224</v>
      </c>
      <c r="D1523" s="71" t="s">
        <v>214</v>
      </c>
      <c r="E1523" s="72" t="s">
        <v>1370</v>
      </c>
      <c r="F1523" s="73" t="s">
        <v>2225</v>
      </c>
      <c r="G1523" s="74" t="s">
        <v>808</v>
      </c>
      <c r="H1523" s="75">
        <v>1</v>
      </c>
      <c r="I1523" s="90"/>
      <c r="J1523" s="91">
        <f>ROUND(I1523*H1523,2)</f>
        <v>0</v>
      </c>
      <c r="K1523" s="92"/>
      <c r="L1523" s="12"/>
      <c r="M1523" s="93" t="s">
        <v>1</v>
      </c>
      <c r="N1523" s="94" t="s">
        <v>42</v>
      </c>
      <c r="P1523" s="95">
        <f>O1523*H1523</f>
        <v>0</v>
      </c>
      <c r="Q1523" s="95">
        <v>0</v>
      </c>
      <c r="R1523" s="95">
        <f>Q1523*H1523</f>
        <v>0</v>
      </c>
      <c r="S1523" s="95">
        <v>0</v>
      </c>
      <c r="T1523" s="99">
        <f>S1523*H1523</f>
        <v>0</v>
      </c>
      <c r="AR1523" s="101" t="s">
        <v>218</v>
      </c>
      <c r="AT1523" s="101" t="s">
        <v>214</v>
      </c>
      <c r="AU1523" s="101" t="s">
        <v>87</v>
      </c>
      <c r="AY1523" s="23" t="s">
        <v>211</v>
      </c>
      <c r="BE1523" s="104">
        <f>IF(N1523="základní",J1523,0)</f>
        <v>0</v>
      </c>
      <c r="BF1523" s="104">
        <f>IF(N1523="snížená",J1523,0)</f>
        <v>0</v>
      </c>
      <c r="BG1523" s="104">
        <f>IF(N1523="zákl. přenesená",J1523,0)</f>
        <v>0</v>
      </c>
      <c r="BH1523" s="104">
        <f>IF(N1523="sníž. přenesená",J1523,0)</f>
        <v>0</v>
      </c>
      <c r="BI1523" s="104">
        <f>IF(N1523="nulová",J1523,0)</f>
        <v>0</v>
      </c>
      <c r="BJ1523" s="23" t="s">
        <v>85</v>
      </c>
      <c r="BK1523" s="104">
        <f>ROUND(I1523*H1523,2)</f>
        <v>0</v>
      </c>
      <c r="BL1523" s="23" t="s">
        <v>218</v>
      </c>
      <c r="BM1523" s="101" t="s">
        <v>2226</v>
      </c>
    </row>
    <row r="1524" spans="2:65" s="1" customFormat="1" ht="76.8">
      <c r="B1524" s="12"/>
      <c r="D1524" s="105" t="s">
        <v>227</v>
      </c>
      <c r="F1524" s="106" t="s">
        <v>2013</v>
      </c>
      <c r="I1524" s="107"/>
      <c r="L1524" s="12"/>
      <c r="M1524" s="108"/>
      <c r="T1524" s="111"/>
      <c r="AT1524" s="23" t="s">
        <v>227</v>
      </c>
      <c r="AU1524" s="23" t="s">
        <v>87</v>
      </c>
    </row>
    <row r="1525" spans="2:65" s="1" customFormat="1" ht="66.75" customHeight="1">
      <c r="B1525" s="12"/>
      <c r="C1525" s="71" t="s">
        <v>2227</v>
      </c>
      <c r="D1525" s="71" t="s">
        <v>214</v>
      </c>
      <c r="E1525" s="72" t="s">
        <v>1374</v>
      </c>
      <c r="F1525" s="73" t="s">
        <v>2228</v>
      </c>
      <c r="G1525" s="74" t="s">
        <v>808</v>
      </c>
      <c r="H1525" s="75">
        <v>1</v>
      </c>
      <c r="I1525" s="90"/>
      <c r="J1525" s="91">
        <f>ROUND(I1525*H1525,2)</f>
        <v>0</v>
      </c>
      <c r="K1525" s="92"/>
      <c r="L1525" s="12"/>
      <c r="M1525" s="93" t="s">
        <v>1</v>
      </c>
      <c r="N1525" s="94" t="s">
        <v>42</v>
      </c>
      <c r="P1525" s="95">
        <f>O1525*H1525</f>
        <v>0</v>
      </c>
      <c r="Q1525" s="95">
        <v>0</v>
      </c>
      <c r="R1525" s="95">
        <f>Q1525*H1525</f>
        <v>0</v>
      </c>
      <c r="S1525" s="95">
        <v>0</v>
      </c>
      <c r="T1525" s="99">
        <f>S1525*H1525</f>
        <v>0</v>
      </c>
      <c r="AR1525" s="101" t="s">
        <v>218</v>
      </c>
      <c r="AT1525" s="101" t="s">
        <v>214</v>
      </c>
      <c r="AU1525" s="101" t="s">
        <v>87</v>
      </c>
      <c r="AY1525" s="23" t="s">
        <v>211</v>
      </c>
      <c r="BE1525" s="104">
        <f>IF(N1525="základní",J1525,0)</f>
        <v>0</v>
      </c>
      <c r="BF1525" s="104">
        <f>IF(N1525="snížená",J1525,0)</f>
        <v>0</v>
      </c>
      <c r="BG1525" s="104">
        <f>IF(N1525="zákl. přenesená",J1525,0)</f>
        <v>0</v>
      </c>
      <c r="BH1525" s="104">
        <f>IF(N1525="sníž. přenesená",J1525,0)</f>
        <v>0</v>
      </c>
      <c r="BI1525" s="104">
        <f>IF(N1525="nulová",J1525,0)</f>
        <v>0</v>
      </c>
      <c r="BJ1525" s="23" t="s">
        <v>85</v>
      </c>
      <c r="BK1525" s="104">
        <f>ROUND(I1525*H1525,2)</f>
        <v>0</v>
      </c>
      <c r="BL1525" s="23" t="s">
        <v>218</v>
      </c>
      <c r="BM1525" s="101" t="s">
        <v>2229</v>
      </c>
    </row>
    <row r="1526" spans="2:65" s="1" customFormat="1" ht="76.8">
      <c r="B1526" s="12"/>
      <c r="D1526" s="105" t="s">
        <v>227</v>
      </c>
      <c r="F1526" s="106" t="s">
        <v>2028</v>
      </c>
      <c r="I1526" s="107"/>
      <c r="L1526" s="12"/>
      <c r="M1526" s="108"/>
      <c r="T1526" s="111"/>
      <c r="AT1526" s="23" t="s">
        <v>227</v>
      </c>
      <c r="AU1526" s="23" t="s">
        <v>87</v>
      </c>
    </row>
    <row r="1527" spans="2:65" s="1" customFormat="1" ht="55.5" customHeight="1">
      <c r="B1527" s="12"/>
      <c r="C1527" s="71" t="s">
        <v>2230</v>
      </c>
      <c r="D1527" s="71" t="s">
        <v>214</v>
      </c>
      <c r="E1527" s="72" t="s">
        <v>1378</v>
      </c>
      <c r="F1527" s="73" t="s">
        <v>2231</v>
      </c>
      <c r="G1527" s="74" t="s">
        <v>808</v>
      </c>
      <c r="H1527" s="75">
        <v>1</v>
      </c>
      <c r="I1527" s="90"/>
      <c r="J1527" s="91">
        <f>ROUND(I1527*H1527,2)</f>
        <v>0</v>
      </c>
      <c r="K1527" s="92"/>
      <c r="L1527" s="12"/>
      <c r="M1527" s="93" t="s">
        <v>1</v>
      </c>
      <c r="N1527" s="94" t="s">
        <v>42</v>
      </c>
      <c r="P1527" s="95">
        <f>O1527*H1527</f>
        <v>0</v>
      </c>
      <c r="Q1527" s="95">
        <v>0</v>
      </c>
      <c r="R1527" s="95">
        <f>Q1527*H1527</f>
        <v>0</v>
      </c>
      <c r="S1527" s="95">
        <v>0</v>
      </c>
      <c r="T1527" s="99">
        <f>S1527*H1527</f>
        <v>0</v>
      </c>
      <c r="AR1527" s="101" t="s">
        <v>218</v>
      </c>
      <c r="AT1527" s="101" t="s">
        <v>214</v>
      </c>
      <c r="AU1527" s="101" t="s">
        <v>87</v>
      </c>
      <c r="AY1527" s="23" t="s">
        <v>211</v>
      </c>
      <c r="BE1527" s="104">
        <f>IF(N1527="základní",J1527,0)</f>
        <v>0</v>
      </c>
      <c r="BF1527" s="104">
        <f>IF(N1527="snížená",J1527,0)</f>
        <v>0</v>
      </c>
      <c r="BG1527" s="104">
        <f>IF(N1527="zákl. přenesená",J1527,0)</f>
        <v>0</v>
      </c>
      <c r="BH1527" s="104">
        <f>IF(N1527="sníž. přenesená",J1527,0)</f>
        <v>0</v>
      </c>
      <c r="BI1527" s="104">
        <f>IF(N1527="nulová",J1527,0)</f>
        <v>0</v>
      </c>
      <c r="BJ1527" s="23" t="s">
        <v>85</v>
      </c>
      <c r="BK1527" s="104">
        <f>ROUND(I1527*H1527,2)</f>
        <v>0</v>
      </c>
      <c r="BL1527" s="23" t="s">
        <v>218</v>
      </c>
      <c r="BM1527" s="101" t="s">
        <v>2232</v>
      </c>
    </row>
    <row r="1528" spans="2:65" s="1" customFormat="1" ht="67.2">
      <c r="B1528" s="12"/>
      <c r="D1528" s="105" t="s">
        <v>227</v>
      </c>
      <c r="F1528" s="106" t="s">
        <v>2018</v>
      </c>
      <c r="I1528" s="107"/>
      <c r="L1528" s="12"/>
      <c r="M1528" s="108"/>
      <c r="T1528" s="111"/>
      <c r="AT1528" s="23" t="s">
        <v>227</v>
      </c>
      <c r="AU1528" s="23" t="s">
        <v>87</v>
      </c>
    </row>
    <row r="1529" spans="2:65" s="1" customFormat="1" ht="55.5" customHeight="1">
      <c r="B1529" s="12"/>
      <c r="C1529" s="71" t="s">
        <v>2233</v>
      </c>
      <c r="D1529" s="71" t="s">
        <v>214</v>
      </c>
      <c r="E1529" s="72" t="s">
        <v>1383</v>
      </c>
      <c r="F1529" s="73" t="s">
        <v>2234</v>
      </c>
      <c r="G1529" s="74" t="s">
        <v>808</v>
      </c>
      <c r="H1529" s="75">
        <v>1</v>
      </c>
      <c r="I1529" s="90"/>
      <c r="J1529" s="91">
        <f>ROUND(I1529*H1529,2)</f>
        <v>0</v>
      </c>
      <c r="K1529" s="92"/>
      <c r="L1529" s="12"/>
      <c r="M1529" s="93" t="s">
        <v>1</v>
      </c>
      <c r="N1529" s="94" t="s">
        <v>42</v>
      </c>
      <c r="P1529" s="95">
        <f>O1529*H1529</f>
        <v>0</v>
      </c>
      <c r="Q1529" s="95">
        <v>0</v>
      </c>
      <c r="R1529" s="95">
        <f>Q1529*H1529</f>
        <v>0</v>
      </c>
      <c r="S1529" s="95">
        <v>0</v>
      </c>
      <c r="T1529" s="99">
        <f>S1529*H1529</f>
        <v>0</v>
      </c>
      <c r="AR1529" s="101" t="s">
        <v>218</v>
      </c>
      <c r="AT1529" s="101" t="s">
        <v>214</v>
      </c>
      <c r="AU1529" s="101" t="s">
        <v>87</v>
      </c>
      <c r="AY1529" s="23" t="s">
        <v>211</v>
      </c>
      <c r="BE1529" s="104">
        <f>IF(N1529="základní",J1529,0)</f>
        <v>0</v>
      </c>
      <c r="BF1529" s="104">
        <f>IF(N1529="snížená",J1529,0)</f>
        <v>0</v>
      </c>
      <c r="BG1529" s="104">
        <f>IF(N1529="zákl. přenesená",J1529,0)</f>
        <v>0</v>
      </c>
      <c r="BH1529" s="104">
        <f>IF(N1529="sníž. přenesená",J1529,0)</f>
        <v>0</v>
      </c>
      <c r="BI1529" s="104">
        <f>IF(N1529="nulová",J1529,0)</f>
        <v>0</v>
      </c>
      <c r="BJ1529" s="23" t="s">
        <v>85</v>
      </c>
      <c r="BK1529" s="104">
        <f>ROUND(I1529*H1529,2)</f>
        <v>0</v>
      </c>
      <c r="BL1529" s="23" t="s">
        <v>218</v>
      </c>
      <c r="BM1529" s="101" t="s">
        <v>2235</v>
      </c>
    </row>
    <row r="1530" spans="2:65" s="1" customFormat="1" ht="67.2">
      <c r="B1530" s="12"/>
      <c r="D1530" s="105" t="s">
        <v>227</v>
      </c>
      <c r="F1530" s="106" t="s">
        <v>2023</v>
      </c>
      <c r="I1530" s="107"/>
      <c r="L1530" s="12"/>
      <c r="M1530" s="108"/>
      <c r="T1530" s="111"/>
      <c r="AT1530" s="23" t="s">
        <v>227</v>
      </c>
      <c r="AU1530" s="23" t="s">
        <v>87</v>
      </c>
    </row>
    <row r="1531" spans="2:65" s="1" customFormat="1" ht="66.75" customHeight="1">
      <c r="B1531" s="12"/>
      <c r="C1531" s="71" t="s">
        <v>2236</v>
      </c>
      <c r="D1531" s="71" t="s">
        <v>214</v>
      </c>
      <c r="E1531" s="72" t="s">
        <v>1387</v>
      </c>
      <c r="F1531" s="73" t="s">
        <v>2237</v>
      </c>
      <c r="G1531" s="74" t="s">
        <v>808</v>
      </c>
      <c r="H1531" s="75">
        <v>1</v>
      </c>
      <c r="I1531" s="90"/>
      <c r="J1531" s="91">
        <f>ROUND(I1531*H1531,2)</f>
        <v>0</v>
      </c>
      <c r="K1531" s="92"/>
      <c r="L1531" s="12"/>
      <c r="M1531" s="93" t="s">
        <v>1</v>
      </c>
      <c r="N1531" s="94" t="s">
        <v>42</v>
      </c>
      <c r="P1531" s="95">
        <f>O1531*H1531</f>
        <v>0</v>
      </c>
      <c r="Q1531" s="95">
        <v>0</v>
      </c>
      <c r="R1531" s="95">
        <f>Q1531*H1531</f>
        <v>0</v>
      </c>
      <c r="S1531" s="95">
        <v>0</v>
      </c>
      <c r="T1531" s="99">
        <f>S1531*H1531</f>
        <v>0</v>
      </c>
      <c r="AR1531" s="101" t="s">
        <v>218</v>
      </c>
      <c r="AT1531" s="101" t="s">
        <v>214</v>
      </c>
      <c r="AU1531" s="101" t="s">
        <v>87</v>
      </c>
      <c r="AY1531" s="23" t="s">
        <v>211</v>
      </c>
      <c r="BE1531" s="104">
        <f>IF(N1531="základní",J1531,0)</f>
        <v>0</v>
      </c>
      <c r="BF1531" s="104">
        <f>IF(N1531="snížená",J1531,0)</f>
        <v>0</v>
      </c>
      <c r="BG1531" s="104">
        <f>IF(N1531="zákl. přenesená",J1531,0)</f>
        <v>0</v>
      </c>
      <c r="BH1531" s="104">
        <f>IF(N1531="sníž. přenesená",J1531,0)</f>
        <v>0</v>
      </c>
      <c r="BI1531" s="104">
        <f>IF(N1531="nulová",J1531,0)</f>
        <v>0</v>
      </c>
      <c r="BJ1531" s="23" t="s">
        <v>85</v>
      </c>
      <c r="BK1531" s="104">
        <f>ROUND(I1531*H1531,2)</f>
        <v>0</v>
      </c>
      <c r="BL1531" s="23" t="s">
        <v>218</v>
      </c>
      <c r="BM1531" s="101" t="s">
        <v>2238</v>
      </c>
    </row>
    <row r="1532" spans="2:65" s="1" customFormat="1" ht="76.8">
      <c r="B1532" s="12"/>
      <c r="D1532" s="105" t="s">
        <v>227</v>
      </c>
      <c r="F1532" s="106" t="s">
        <v>2013</v>
      </c>
      <c r="I1532" s="107"/>
      <c r="L1532" s="12"/>
      <c r="M1532" s="108"/>
      <c r="T1532" s="111"/>
      <c r="AT1532" s="23" t="s">
        <v>227</v>
      </c>
      <c r="AU1532" s="23" t="s">
        <v>87</v>
      </c>
    </row>
    <row r="1533" spans="2:65" s="1" customFormat="1" ht="55.5" customHeight="1">
      <c r="B1533" s="12"/>
      <c r="C1533" s="71" t="s">
        <v>2239</v>
      </c>
      <c r="D1533" s="71" t="s">
        <v>214</v>
      </c>
      <c r="E1533" s="72" t="s">
        <v>1391</v>
      </c>
      <c r="F1533" s="73" t="s">
        <v>2240</v>
      </c>
      <c r="G1533" s="74" t="s">
        <v>808</v>
      </c>
      <c r="H1533" s="75">
        <v>1</v>
      </c>
      <c r="I1533" s="90"/>
      <c r="J1533" s="91">
        <f>ROUND(I1533*H1533,2)</f>
        <v>0</v>
      </c>
      <c r="K1533" s="92"/>
      <c r="L1533" s="12"/>
      <c r="M1533" s="93" t="s">
        <v>1</v>
      </c>
      <c r="N1533" s="94" t="s">
        <v>42</v>
      </c>
      <c r="P1533" s="95">
        <f>O1533*H1533</f>
        <v>0</v>
      </c>
      <c r="Q1533" s="95">
        <v>0</v>
      </c>
      <c r="R1533" s="95">
        <f>Q1533*H1533</f>
        <v>0</v>
      </c>
      <c r="S1533" s="95">
        <v>0</v>
      </c>
      <c r="T1533" s="99">
        <f>S1533*H1533</f>
        <v>0</v>
      </c>
      <c r="AR1533" s="101" t="s">
        <v>218</v>
      </c>
      <c r="AT1533" s="101" t="s">
        <v>214</v>
      </c>
      <c r="AU1533" s="101" t="s">
        <v>87</v>
      </c>
      <c r="AY1533" s="23" t="s">
        <v>211</v>
      </c>
      <c r="BE1533" s="104">
        <f>IF(N1533="základní",J1533,0)</f>
        <v>0</v>
      </c>
      <c r="BF1533" s="104">
        <f>IF(N1533="snížená",J1533,0)</f>
        <v>0</v>
      </c>
      <c r="BG1533" s="104">
        <f>IF(N1533="zákl. přenesená",J1533,0)</f>
        <v>0</v>
      </c>
      <c r="BH1533" s="104">
        <f>IF(N1533="sníž. přenesená",J1533,0)</f>
        <v>0</v>
      </c>
      <c r="BI1533" s="104">
        <f>IF(N1533="nulová",J1533,0)</f>
        <v>0</v>
      </c>
      <c r="BJ1533" s="23" t="s">
        <v>85</v>
      </c>
      <c r="BK1533" s="104">
        <f>ROUND(I1533*H1533,2)</f>
        <v>0</v>
      </c>
      <c r="BL1533" s="23" t="s">
        <v>218</v>
      </c>
      <c r="BM1533" s="101" t="s">
        <v>2241</v>
      </c>
    </row>
    <row r="1534" spans="2:65" s="1" customFormat="1" ht="67.2">
      <c r="B1534" s="12"/>
      <c r="D1534" s="105" t="s">
        <v>227</v>
      </c>
      <c r="F1534" s="106" t="s">
        <v>2018</v>
      </c>
      <c r="I1534" s="107"/>
      <c r="L1534" s="12"/>
      <c r="M1534" s="108"/>
      <c r="T1534" s="111"/>
      <c r="AT1534" s="23" t="s">
        <v>227</v>
      </c>
      <c r="AU1534" s="23" t="s">
        <v>87</v>
      </c>
    </row>
    <row r="1535" spans="2:65" s="1" customFormat="1" ht="55.5" customHeight="1">
      <c r="B1535" s="12"/>
      <c r="C1535" s="71" t="s">
        <v>2242</v>
      </c>
      <c r="D1535" s="71" t="s">
        <v>214</v>
      </c>
      <c r="E1535" s="72" t="s">
        <v>1394</v>
      </c>
      <c r="F1535" s="73" t="s">
        <v>2243</v>
      </c>
      <c r="G1535" s="74" t="s">
        <v>808</v>
      </c>
      <c r="H1535" s="75">
        <v>1</v>
      </c>
      <c r="I1535" s="90"/>
      <c r="J1535" s="91">
        <f>ROUND(I1535*H1535,2)</f>
        <v>0</v>
      </c>
      <c r="K1535" s="92"/>
      <c r="L1535" s="12"/>
      <c r="M1535" s="93" t="s">
        <v>1</v>
      </c>
      <c r="N1535" s="94" t="s">
        <v>42</v>
      </c>
      <c r="P1535" s="95">
        <f>O1535*H1535</f>
        <v>0</v>
      </c>
      <c r="Q1535" s="95">
        <v>0</v>
      </c>
      <c r="R1535" s="95">
        <f>Q1535*H1535</f>
        <v>0</v>
      </c>
      <c r="S1535" s="95">
        <v>0</v>
      </c>
      <c r="T1535" s="99">
        <f>S1535*H1535</f>
        <v>0</v>
      </c>
      <c r="AR1535" s="101" t="s">
        <v>218</v>
      </c>
      <c r="AT1535" s="101" t="s">
        <v>214</v>
      </c>
      <c r="AU1535" s="101" t="s">
        <v>87</v>
      </c>
      <c r="AY1535" s="23" t="s">
        <v>211</v>
      </c>
      <c r="BE1535" s="104">
        <f>IF(N1535="základní",J1535,0)</f>
        <v>0</v>
      </c>
      <c r="BF1535" s="104">
        <f>IF(N1535="snížená",J1535,0)</f>
        <v>0</v>
      </c>
      <c r="BG1535" s="104">
        <f>IF(N1535="zákl. přenesená",J1535,0)</f>
        <v>0</v>
      </c>
      <c r="BH1535" s="104">
        <f>IF(N1535="sníž. přenesená",J1535,0)</f>
        <v>0</v>
      </c>
      <c r="BI1535" s="104">
        <f>IF(N1535="nulová",J1535,0)</f>
        <v>0</v>
      </c>
      <c r="BJ1535" s="23" t="s">
        <v>85</v>
      </c>
      <c r="BK1535" s="104">
        <f>ROUND(I1535*H1535,2)</f>
        <v>0</v>
      </c>
      <c r="BL1535" s="23" t="s">
        <v>218</v>
      </c>
      <c r="BM1535" s="101" t="s">
        <v>2244</v>
      </c>
    </row>
    <row r="1536" spans="2:65" s="1" customFormat="1" ht="67.2">
      <c r="B1536" s="12"/>
      <c r="D1536" s="105" t="s">
        <v>227</v>
      </c>
      <c r="F1536" s="106" t="s">
        <v>2018</v>
      </c>
      <c r="I1536" s="107"/>
      <c r="L1536" s="12"/>
      <c r="M1536" s="108"/>
      <c r="T1536" s="111"/>
      <c r="AT1536" s="23" t="s">
        <v>227</v>
      </c>
      <c r="AU1536" s="23" t="s">
        <v>87</v>
      </c>
    </row>
    <row r="1537" spans="2:65" s="1" customFormat="1" ht="55.5" customHeight="1">
      <c r="B1537" s="12"/>
      <c r="C1537" s="71" t="s">
        <v>2245</v>
      </c>
      <c r="D1537" s="71" t="s">
        <v>214</v>
      </c>
      <c r="E1537" s="72" t="s">
        <v>1397</v>
      </c>
      <c r="F1537" s="73" t="s">
        <v>2246</v>
      </c>
      <c r="G1537" s="74" t="s">
        <v>808</v>
      </c>
      <c r="H1537" s="75">
        <v>1</v>
      </c>
      <c r="I1537" s="90"/>
      <c r="J1537" s="91">
        <f>ROUND(I1537*H1537,2)</f>
        <v>0</v>
      </c>
      <c r="K1537" s="92"/>
      <c r="L1537" s="12"/>
      <c r="M1537" s="93" t="s">
        <v>1</v>
      </c>
      <c r="N1537" s="94" t="s">
        <v>42</v>
      </c>
      <c r="P1537" s="95">
        <f>O1537*H1537</f>
        <v>0</v>
      </c>
      <c r="Q1537" s="95">
        <v>0</v>
      </c>
      <c r="R1537" s="95">
        <f>Q1537*H1537</f>
        <v>0</v>
      </c>
      <c r="S1537" s="95">
        <v>0</v>
      </c>
      <c r="T1537" s="99">
        <f>S1537*H1537</f>
        <v>0</v>
      </c>
      <c r="AR1537" s="101" t="s">
        <v>218</v>
      </c>
      <c r="AT1537" s="101" t="s">
        <v>214</v>
      </c>
      <c r="AU1537" s="101" t="s">
        <v>87</v>
      </c>
      <c r="AY1537" s="23" t="s">
        <v>211</v>
      </c>
      <c r="BE1537" s="104">
        <f>IF(N1537="základní",J1537,0)</f>
        <v>0</v>
      </c>
      <c r="BF1537" s="104">
        <f>IF(N1537="snížená",J1537,0)</f>
        <v>0</v>
      </c>
      <c r="BG1537" s="104">
        <f>IF(N1537="zákl. přenesená",J1537,0)</f>
        <v>0</v>
      </c>
      <c r="BH1537" s="104">
        <f>IF(N1537="sníž. přenesená",J1537,0)</f>
        <v>0</v>
      </c>
      <c r="BI1537" s="104">
        <f>IF(N1537="nulová",J1537,0)</f>
        <v>0</v>
      </c>
      <c r="BJ1537" s="23" t="s">
        <v>85</v>
      </c>
      <c r="BK1537" s="104">
        <f>ROUND(I1537*H1537,2)</f>
        <v>0</v>
      </c>
      <c r="BL1537" s="23" t="s">
        <v>218</v>
      </c>
      <c r="BM1537" s="101" t="s">
        <v>2247</v>
      </c>
    </row>
    <row r="1538" spans="2:65" s="1" customFormat="1" ht="67.2">
      <c r="B1538" s="12"/>
      <c r="D1538" s="105" t="s">
        <v>227</v>
      </c>
      <c r="F1538" s="106" t="s">
        <v>2023</v>
      </c>
      <c r="I1538" s="107"/>
      <c r="L1538" s="12"/>
      <c r="M1538" s="108"/>
      <c r="T1538" s="111"/>
      <c r="AT1538" s="23" t="s">
        <v>227</v>
      </c>
      <c r="AU1538" s="23" t="s">
        <v>87</v>
      </c>
    </row>
    <row r="1539" spans="2:65" s="1" customFormat="1" ht="55.5" customHeight="1">
      <c r="B1539" s="12"/>
      <c r="C1539" s="71" t="s">
        <v>2248</v>
      </c>
      <c r="D1539" s="71" t="s">
        <v>214</v>
      </c>
      <c r="E1539" s="72" t="s">
        <v>1401</v>
      </c>
      <c r="F1539" s="73" t="s">
        <v>2249</v>
      </c>
      <c r="G1539" s="74" t="s">
        <v>808</v>
      </c>
      <c r="H1539" s="75">
        <v>1</v>
      </c>
      <c r="I1539" s="90"/>
      <c r="J1539" s="91">
        <f>ROUND(I1539*H1539,2)</f>
        <v>0</v>
      </c>
      <c r="K1539" s="92"/>
      <c r="L1539" s="12"/>
      <c r="M1539" s="93" t="s">
        <v>1</v>
      </c>
      <c r="N1539" s="94" t="s">
        <v>42</v>
      </c>
      <c r="P1539" s="95">
        <f>O1539*H1539</f>
        <v>0</v>
      </c>
      <c r="Q1539" s="95">
        <v>0</v>
      </c>
      <c r="R1539" s="95">
        <f>Q1539*H1539</f>
        <v>0</v>
      </c>
      <c r="S1539" s="95">
        <v>0</v>
      </c>
      <c r="T1539" s="99">
        <f>S1539*H1539</f>
        <v>0</v>
      </c>
      <c r="AR1539" s="101" t="s">
        <v>218</v>
      </c>
      <c r="AT1539" s="101" t="s">
        <v>214</v>
      </c>
      <c r="AU1539" s="101" t="s">
        <v>87</v>
      </c>
      <c r="AY1539" s="23" t="s">
        <v>211</v>
      </c>
      <c r="BE1539" s="104">
        <f>IF(N1539="základní",J1539,0)</f>
        <v>0</v>
      </c>
      <c r="BF1539" s="104">
        <f>IF(N1539="snížená",J1539,0)</f>
        <v>0</v>
      </c>
      <c r="BG1539" s="104">
        <f>IF(N1539="zákl. přenesená",J1539,0)</f>
        <v>0</v>
      </c>
      <c r="BH1539" s="104">
        <f>IF(N1539="sníž. přenesená",J1539,0)</f>
        <v>0</v>
      </c>
      <c r="BI1539" s="104">
        <f>IF(N1539="nulová",J1539,0)</f>
        <v>0</v>
      </c>
      <c r="BJ1539" s="23" t="s">
        <v>85</v>
      </c>
      <c r="BK1539" s="104">
        <f>ROUND(I1539*H1539,2)</f>
        <v>0</v>
      </c>
      <c r="BL1539" s="23" t="s">
        <v>218</v>
      </c>
      <c r="BM1539" s="101" t="s">
        <v>2250</v>
      </c>
    </row>
    <row r="1540" spans="2:65" s="1" customFormat="1" ht="67.2">
      <c r="B1540" s="12"/>
      <c r="D1540" s="105" t="s">
        <v>227</v>
      </c>
      <c r="F1540" s="106" t="s">
        <v>2023</v>
      </c>
      <c r="I1540" s="107"/>
      <c r="L1540" s="12"/>
      <c r="M1540" s="108"/>
      <c r="T1540" s="111"/>
      <c r="AT1540" s="23" t="s">
        <v>227</v>
      </c>
      <c r="AU1540" s="23" t="s">
        <v>87</v>
      </c>
    </row>
    <row r="1541" spans="2:65" s="1" customFormat="1" ht="66.75" customHeight="1">
      <c r="B1541" s="12"/>
      <c r="C1541" s="71" t="s">
        <v>2251</v>
      </c>
      <c r="D1541" s="71" t="s">
        <v>214</v>
      </c>
      <c r="E1541" s="72" t="s">
        <v>1405</v>
      </c>
      <c r="F1541" s="73" t="s">
        <v>2252</v>
      </c>
      <c r="G1541" s="74" t="s">
        <v>808</v>
      </c>
      <c r="H1541" s="75">
        <v>1</v>
      </c>
      <c r="I1541" s="90"/>
      <c r="J1541" s="91">
        <f>ROUND(I1541*H1541,2)</f>
        <v>0</v>
      </c>
      <c r="K1541" s="92"/>
      <c r="L1541" s="12"/>
      <c r="M1541" s="93" t="s">
        <v>1</v>
      </c>
      <c r="N1541" s="94" t="s">
        <v>42</v>
      </c>
      <c r="P1541" s="95">
        <f>O1541*H1541</f>
        <v>0</v>
      </c>
      <c r="Q1541" s="95">
        <v>0</v>
      </c>
      <c r="R1541" s="95">
        <f>Q1541*H1541</f>
        <v>0</v>
      </c>
      <c r="S1541" s="95">
        <v>0</v>
      </c>
      <c r="T1541" s="99">
        <f>S1541*H1541</f>
        <v>0</v>
      </c>
      <c r="AR1541" s="101" t="s">
        <v>218</v>
      </c>
      <c r="AT1541" s="101" t="s">
        <v>214</v>
      </c>
      <c r="AU1541" s="101" t="s">
        <v>87</v>
      </c>
      <c r="AY1541" s="23" t="s">
        <v>211</v>
      </c>
      <c r="BE1541" s="104">
        <f>IF(N1541="základní",J1541,0)</f>
        <v>0</v>
      </c>
      <c r="BF1541" s="104">
        <f>IF(N1541="snížená",J1541,0)</f>
        <v>0</v>
      </c>
      <c r="BG1541" s="104">
        <f>IF(N1541="zákl. přenesená",J1541,0)</f>
        <v>0</v>
      </c>
      <c r="BH1541" s="104">
        <f>IF(N1541="sníž. přenesená",J1541,0)</f>
        <v>0</v>
      </c>
      <c r="BI1541" s="104">
        <f>IF(N1541="nulová",J1541,0)</f>
        <v>0</v>
      </c>
      <c r="BJ1541" s="23" t="s">
        <v>85</v>
      </c>
      <c r="BK1541" s="104">
        <f>ROUND(I1541*H1541,2)</f>
        <v>0</v>
      </c>
      <c r="BL1541" s="23" t="s">
        <v>218</v>
      </c>
      <c r="BM1541" s="101" t="s">
        <v>2253</v>
      </c>
    </row>
    <row r="1542" spans="2:65" s="1" customFormat="1" ht="76.8">
      <c r="B1542" s="12"/>
      <c r="D1542" s="105" t="s">
        <v>227</v>
      </c>
      <c r="F1542" s="106" t="s">
        <v>2028</v>
      </c>
      <c r="I1542" s="107"/>
      <c r="L1542" s="12"/>
      <c r="M1542" s="108"/>
      <c r="T1542" s="111"/>
      <c r="AT1542" s="23" t="s">
        <v>227</v>
      </c>
      <c r="AU1542" s="23" t="s">
        <v>87</v>
      </c>
    </row>
    <row r="1543" spans="2:65" s="1" customFormat="1" ht="66.75" customHeight="1">
      <c r="B1543" s="12"/>
      <c r="C1543" s="71" t="s">
        <v>2254</v>
      </c>
      <c r="D1543" s="71" t="s">
        <v>214</v>
      </c>
      <c r="E1543" s="72" t="s">
        <v>1408</v>
      </c>
      <c r="F1543" s="73" t="s">
        <v>2255</v>
      </c>
      <c r="G1543" s="74" t="s">
        <v>808</v>
      </c>
      <c r="H1543" s="75">
        <v>1</v>
      </c>
      <c r="I1543" s="90"/>
      <c r="J1543" s="91">
        <f>ROUND(I1543*H1543,2)</f>
        <v>0</v>
      </c>
      <c r="K1543" s="92"/>
      <c r="L1543" s="12"/>
      <c r="M1543" s="93" t="s">
        <v>1</v>
      </c>
      <c r="N1543" s="94" t="s">
        <v>42</v>
      </c>
      <c r="P1543" s="95">
        <f>O1543*H1543</f>
        <v>0</v>
      </c>
      <c r="Q1543" s="95">
        <v>0</v>
      </c>
      <c r="R1543" s="95">
        <f>Q1543*H1543</f>
        <v>0</v>
      </c>
      <c r="S1543" s="95">
        <v>0</v>
      </c>
      <c r="T1543" s="99">
        <f>S1543*H1543</f>
        <v>0</v>
      </c>
      <c r="AR1543" s="101" t="s">
        <v>218</v>
      </c>
      <c r="AT1543" s="101" t="s">
        <v>214</v>
      </c>
      <c r="AU1543" s="101" t="s">
        <v>87</v>
      </c>
      <c r="AY1543" s="23" t="s">
        <v>211</v>
      </c>
      <c r="BE1543" s="104">
        <f>IF(N1543="základní",J1543,0)</f>
        <v>0</v>
      </c>
      <c r="BF1543" s="104">
        <f>IF(N1543="snížená",J1543,0)</f>
        <v>0</v>
      </c>
      <c r="BG1543" s="104">
        <f>IF(N1543="zákl. přenesená",J1543,0)</f>
        <v>0</v>
      </c>
      <c r="BH1543" s="104">
        <f>IF(N1543="sníž. přenesená",J1543,0)</f>
        <v>0</v>
      </c>
      <c r="BI1543" s="104">
        <f>IF(N1543="nulová",J1543,0)</f>
        <v>0</v>
      </c>
      <c r="BJ1543" s="23" t="s">
        <v>85</v>
      </c>
      <c r="BK1543" s="104">
        <f>ROUND(I1543*H1543,2)</f>
        <v>0</v>
      </c>
      <c r="BL1543" s="23" t="s">
        <v>218</v>
      </c>
      <c r="BM1543" s="101" t="s">
        <v>2256</v>
      </c>
    </row>
    <row r="1544" spans="2:65" s="1" customFormat="1" ht="76.8">
      <c r="B1544" s="12"/>
      <c r="D1544" s="105" t="s">
        <v>227</v>
      </c>
      <c r="F1544" s="106" t="s">
        <v>2013</v>
      </c>
      <c r="I1544" s="107"/>
      <c r="L1544" s="12"/>
      <c r="M1544" s="108"/>
      <c r="T1544" s="111"/>
      <c r="AT1544" s="23" t="s">
        <v>227</v>
      </c>
      <c r="AU1544" s="23" t="s">
        <v>87</v>
      </c>
    </row>
    <row r="1545" spans="2:65" s="1" customFormat="1" ht="55.5" customHeight="1">
      <c r="B1545" s="12"/>
      <c r="C1545" s="71" t="s">
        <v>2257</v>
      </c>
      <c r="D1545" s="71" t="s">
        <v>214</v>
      </c>
      <c r="E1545" s="72" t="s">
        <v>1411</v>
      </c>
      <c r="F1545" s="73" t="s">
        <v>2258</v>
      </c>
      <c r="G1545" s="74" t="s">
        <v>808</v>
      </c>
      <c r="H1545" s="75">
        <v>1</v>
      </c>
      <c r="I1545" s="90"/>
      <c r="J1545" s="91">
        <f>ROUND(I1545*H1545,2)</f>
        <v>0</v>
      </c>
      <c r="K1545" s="92"/>
      <c r="L1545" s="12"/>
      <c r="M1545" s="93" t="s">
        <v>1</v>
      </c>
      <c r="N1545" s="94" t="s">
        <v>42</v>
      </c>
      <c r="P1545" s="95">
        <f>O1545*H1545</f>
        <v>0</v>
      </c>
      <c r="Q1545" s="95">
        <v>0</v>
      </c>
      <c r="R1545" s="95">
        <f>Q1545*H1545</f>
        <v>0</v>
      </c>
      <c r="S1545" s="95">
        <v>0</v>
      </c>
      <c r="T1545" s="99">
        <f>S1545*H1545</f>
        <v>0</v>
      </c>
      <c r="AR1545" s="101" t="s">
        <v>218</v>
      </c>
      <c r="AT1545" s="101" t="s">
        <v>214</v>
      </c>
      <c r="AU1545" s="101" t="s">
        <v>87</v>
      </c>
      <c r="AY1545" s="23" t="s">
        <v>211</v>
      </c>
      <c r="BE1545" s="104">
        <f>IF(N1545="základní",J1545,0)</f>
        <v>0</v>
      </c>
      <c r="BF1545" s="104">
        <f>IF(N1545="snížená",J1545,0)</f>
        <v>0</v>
      </c>
      <c r="BG1545" s="104">
        <f>IF(N1545="zákl. přenesená",J1545,0)</f>
        <v>0</v>
      </c>
      <c r="BH1545" s="104">
        <f>IF(N1545="sníž. přenesená",J1545,0)</f>
        <v>0</v>
      </c>
      <c r="BI1545" s="104">
        <f>IF(N1545="nulová",J1545,0)</f>
        <v>0</v>
      </c>
      <c r="BJ1545" s="23" t="s">
        <v>85</v>
      </c>
      <c r="BK1545" s="104">
        <f>ROUND(I1545*H1545,2)</f>
        <v>0</v>
      </c>
      <c r="BL1545" s="23" t="s">
        <v>218</v>
      </c>
      <c r="BM1545" s="101" t="s">
        <v>2259</v>
      </c>
    </row>
    <row r="1546" spans="2:65" s="1" customFormat="1" ht="67.2">
      <c r="B1546" s="12"/>
      <c r="D1546" s="105" t="s">
        <v>227</v>
      </c>
      <c r="F1546" s="106" t="s">
        <v>2023</v>
      </c>
      <c r="I1546" s="107"/>
      <c r="L1546" s="12"/>
      <c r="M1546" s="108"/>
      <c r="T1546" s="111"/>
      <c r="AT1546" s="23" t="s">
        <v>227</v>
      </c>
      <c r="AU1546" s="23" t="s">
        <v>87</v>
      </c>
    </row>
    <row r="1547" spans="2:65" s="1" customFormat="1" ht="66.75" customHeight="1">
      <c r="B1547" s="12"/>
      <c r="C1547" s="71" t="s">
        <v>2260</v>
      </c>
      <c r="D1547" s="71" t="s">
        <v>214</v>
      </c>
      <c r="E1547" s="72" t="s">
        <v>1415</v>
      </c>
      <c r="F1547" s="73" t="s">
        <v>2261</v>
      </c>
      <c r="G1547" s="74" t="s">
        <v>808</v>
      </c>
      <c r="H1547" s="75">
        <v>1</v>
      </c>
      <c r="I1547" s="90"/>
      <c r="J1547" s="91">
        <f>ROUND(I1547*H1547,2)</f>
        <v>0</v>
      </c>
      <c r="K1547" s="92"/>
      <c r="L1547" s="12"/>
      <c r="M1547" s="93" t="s">
        <v>1</v>
      </c>
      <c r="N1547" s="94" t="s">
        <v>42</v>
      </c>
      <c r="P1547" s="95">
        <f>O1547*H1547</f>
        <v>0</v>
      </c>
      <c r="Q1547" s="95">
        <v>0</v>
      </c>
      <c r="R1547" s="95">
        <f>Q1547*H1547</f>
        <v>0</v>
      </c>
      <c r="S1547" s="95">
        <v>0</v>
      </c>
      <c r="T1547" s="99">
        <f>S1547*H1547</f>
        <v>0</v>
      </c>
      <c r="AR1547" s="101" t="s">
        <v>218</v>
      </c>
      <c r="AT1547" s="101" t="s">
        <v>214</v>
      </c>
      <c r="AU1547" s="101" t="s">
        <v>87</v>
      </c>
      <c r="AY1547" s="23" t="s">
        <v>211</v>
      </c>
      <c r="BE1547" s="104">
        <f>IF(N1547="základní",J1547,0)</f>
        <v>0</v>
      </c>
      <c r="BF1547" s="104">
        <f>IF(N1547="snížená",J1547,0)</f>
        <v>0</v>
      </c>
      <c r="BG1547" s="104">
        <f>IF(N1547="zákl. přenesená",J1547,0)</f>
        <v>0</v>
      </c>
      <c r="BH1547" s="104">
        <f>IF(N1547="sníž. přenesená",J1547,0)</f>
        <v>0</v>
      </c>
      <c r="BI1547" s="104">
        <f>IF(N1547="nulová",J1547,0)</f>
        <v>0</v>
      </c>
      <c r="BJ1547" s="23" t="s">
        <v>85</v>
      </c>
      <c r="BK1547" s="104">
        <f>ROUND(I1547*H1547,2)</f>
        <v>0</v>
      </c>
      <c r="BL1547" s="23" t="s">
        <v>218</v>
      </c>
      <c r="BM1547" s="101" t="s">
        <v>2262</v>
      </c>
    </row>
    <row r="1548" spans="2:65" s="1" customFormat="1" ht="76.8">
      <c r="B1548" s="12"/>
      <c r="D1548" s="105" t="s">
        <v>227</v>
      </c>
      <c r="F1548" s="106" t="s">
        <v>2263</v>
      </c>
      <c r="I1548" s="107"/>
      <c r="L1548" s="12"/>
      <c r="M1548" s="108"/>
      <c r="T1548" s="111"/>
      <c r="AT1548" s="23" t="s">
        <v>227</v>
      </c>
      <c r="AU1548" s="23" t="s">
        <v>87</v>
      </c>
    </row>
    <row r="1549" spans="2:65" s="1" customFormat="1" ht="66.75" customHeight="1">
      <c r="B1549" s="12"/>
      <c r="C1549" s="71" t="s">
        <v>2264</v>
      </c>
      <c r="D1549" s="71" t="s">
        <v>214</v>
      </c>
      <c r="E1549" s="72" t="s">
        <v>1419</v>
      </c>
      <c r="F1549" s="73" t="s">
        <v>2265</v>
      </c>
      <c r="G1549" s="74" t="s">
        <v>808</v>
      </c>
      <c r="H1549" s="75">
        <v>1</v>
      </c>
      <c r="I1549" s="90"/>
      <c r="J1549" s="91">
        <f>ROUND(I1549*H1549,2)</f>
        <v>0</v>
      </c>
      <c r="K1549" s="92"/>
      <c r="L1549" s="12"/>
      <c r="M1549" s="93" t="s">
        <v>1</v>
      </c>
      <c r="N1549" s="94" t="s">
        <v>42</v>
      </c>
      <c r="P1549" s="95">
        <f>O1549*H1549</f>
        <v>0</v>
      </c>
      <c r="Q1549" s="95">
        <v>0</v>
      </c>
      <c r="R1549" s="95">
        <f>Q1549*H1549</f>
        <v>0</v>
      </c>
      <c r="S1549" s="95">
        <v>0</v>
      </c>
      <c r="T1549" s="99">
        <f>S1549*H1549</f>
        <v>0</v>
      </c>
      <c r="AR1549" s="101" t="s">
        <v>218</v>
      </c>
      <c r="AT1549" s="101" t="s">
        <v>214</v>
      </c>
      <c r="AU1549" s="101" t="s">
        <v>87</v>
      </c>
      <c r="AY1549" s="23" t="s">
        <v>211</v>
      </c>
      <c r="BE1549" s="104">
        <f>IF(N1549="základní",J1549,0)</f>
        <v>0</v>
      </c>
      <c r="BF1549" s="104">
        <f>IF(N1549="snížená",J1549,0)</f>
        <v>0</v>
      </c>
      <c r="BG1549" s="104">
        <f>IF(N1549="zákl. přenesená",J1549,0)</f>
        <v>0</v>
      </c>
      <c r="BH1549" s="104">
        <f>IF(N1549="sníž. přenesená",J1549,0)</f>
        <v>0</v>
      </c>
      <c r="BI1549" s="104">
        <f>IF(N1549="nulová",J1549,0)</f>
        <v>0</v>
      </c>
      <c r="BJ1549" s="23" t="s">
        <v>85</v>
      </c>
      <c r="BK1549" s="104">
        <f>ROUND(I1549*H1549,2)</f>
        <v>0</v>
      </c>
      <c r="BL1549" s="23" t="s">
        <v>218</v>
      </c>
      <c r="BM1549" s="101" t="s">
        <v>2266</v>
      </c>
    </row>
    <row r="1550" spans="2:65" s="1" customFormat="1" ht="76.8">
      <c r="B1550" s="12"/>
      <c r="D1550" s="105" t="s">
        <v>227</v>
      </c>
      <c r="F1550" s="106" t="s">
        <v>2028</v>
      </c>
      <c r="I1550" s="107"/>
      <c r="L1550" s="12"/>
      <c r="M1550" s="108"/>
      <c r="T1550" s="111"/>
      <c r="AT1550" s="23" t="s">
        <v>227</v>
      </c>
      <c r="AU1550" s="23" t="s">
        <v>87</v>
      </c>
    </row>
    <row r="1551" spans="2:65" s="1" customFormat="1" ht="55.5" customHeight="1">
      <c r="B1551" s="12"/>
      <c r="C1551" s="71" t="s">
        <v>2267</v>
      </c>
      <c r="D1551" s="71" t="s">
        <v>214</v>
      </c>
      <c r="E1551" s="72" t="s">
        <v>1423</v>
      </c>
      <c r="F1551" s="73" t="s">
        <v>2268</v>
      </c>
      <c r="G1551" s="74" t="s">
        <v>808</v>
      </c>
      <c r="H1551" s="75">
        <v>1</v>
      </c>
      <c r="I1551" s="90"/>
      <c r="J1551" s="91">
        <f>ROUND(I1551*H1551,2)</f>
        <v>0</v>
      </c>
      <c r="K1551" s="92"/>
      <c r="L1551" s="12"/>
      <c r="M1551" s="93" t="s">
        <v>1</v>
      </c>
      <c r="N1551" s="94" t="s">
        <v>42</v>
      </c>
      <c r="P1551" s="95">
        <f>O1551*H1551</f>
        <v>0</v>
      </c>
      <c r="Q1551" s="95">
        <v>0</v>
      </c>
      <c r="R1551" s="95">
        <f>Q1551*H1551</f>
        <v>0</v>
      </c>
      <c r="S1551" s="95">
        <v>0</v>
      </c>
      <c r="T1551" s="99">
        <f>S1551*H1551</f>
        <v>0</v>
      </c>
      <c r="AR1551" s="101" t="s">
        <v>218</v>
      </c>
      <c r="AT1551" s="101" t="s">
        <v>214</v>
      </c>
      <c r="AU1551" s="101" t="s">
        <v>87</v>
      </c>
      <c r="AY1551" s="23" t="s">
        <v>211</v>
      </c>
      <c r="BE1551" s="104">
        <f>IF(N1551="základní",J1551,0)</f>
        <v>0</v>
      </c>
      <c r="BF1551" s="104">
        <f>IF(N1551="snížená",J1551,0)</f>
        <v>0</v>
      </c>
      <c r="BG1551" s="104">
        <f>IF(N1551="zákl. přenesená",J1551,0)</f>
        <v>0</v>
      </c>
      <c r="BH1551" s="104">
        <f>IF(N1551="sníž. přenesená",J1551,0)</f>
        <v>0</v>
      </c>
      <c r="BI1551" s="104">
        <f>IF(N1551="nulová",J1551,0)</f>
        <v>0</v>
      </c>
      <c r="BJ1551" s="23" t="s">
        <v>85</v>
      </c>
      <c r="BK1551" s="104">
        <f>ROUND(I1551*H1551,2)</f>
        <v>0</v>
      </c>
      <c r="BL1551" s="23" t="s">
        <v>218</v>
      </c>
      <c r="BM1551" s="101" t="s">
        <v>2269</v>
      </c>
    </row>
    <row r="1552" spans="2:65" s="1" customFormat="1" ht="67.2">
      <c r="B1552" s="12"/>
      <c r="D1552" s="105" t="s">
        <v>227</v>
      </c>
      <c r="F1552" s="106" t="s">
        <v>2018</v>
      </c>
      <c r="I1552" s="107"/>
      <c r="L1552" s="12"/>
      <c r="M1552" s="108"/>
      <c r="T1552" s="111"/>
      <c r="AT1552" s="23" t="s">
        <v>227</v>
      </c>
      <c r="AU1552" s="23" t="s">
        <v>87</v>
      </c>
    </row>
    <row r="1553" spans="2:65" s="1" customFormat="1" ht="55.5" customHeight="1">
      <c r="B1553" s="12"/>
      <c r="C1553" s="71" t="s">
        <v>2270</v>
      </c>
      <c r="D1553" s="71" t="s">
        <v>214</v>
      </c>
      <c r="E1553" s="72" t="s">
        <v>1428</v>
      </c>
      <c r="F1553" s="73" t="s">
        <v>2271</v>
      </c>
      <c r="G1553" s="74" t="s">
        <v>808</v>
      </c>
      <c r="H1553" s="75">
        <v>1</v>
      </c>
      <c r="I1553" s="90"/>
      <c r="J1553" s="91">
        <f>ROUND(I1553*H1553,2)</f>
        <v>0</v>
      </c>
      <c r="K1553" s="92"/>
      <c r="L1553" s="12"/>
      <c r="M1553" s="93" t="s">
        <v>1</v>
      </c>
      <c r="N1553" s="94" t="s">
        <v>42</v>
      </c>
      <c r="P1553" s="95">
        <f>O1553*H1553</f>
        <v>0</v>
      </c>
      <c r="Q1553" s="95">
        <v>0</v>
      </c>
      <c r="R1553" s="95">
        <f>Q1553*H1553</f>
        <v>0</v>
      </c>
      <c r="S1553" s="95">
        <v>0</v>
      </c>
      <c r="T1553" s="99">
        <f>S1553*H1553</f>
        <v>0</v>
      </c>
      <c r="AR1553" s="101" t="s">
        <v>218</v>
      </c>
      <c r="AT1553" s="101" t="s">
        <v>214</v>
      </c>
      <c r="AU1553" s="101" t="s">
        <v>87</v>
      </c>
      <c r="AY1553" s="23" t="s">
        <v>211</v>
      </c>
      <c r="BE1553" s="104">
        <f>IF(N1553="základní",J1553,0)</f>
        <v>0</v>
      </c>
      <c r="BF1553" s="104">
        <f>IF(N1553="snížená",J1553,0)</f>
        <v>0</v>
      </c>
      <c r="BG1553" s="104">
        <f>IF(N1553="zákl. přenesená",J1553,0)</f>
        <v>0</v>
      </c>
      <c r="BH1553" s="104">
        <f>IF(N1553="sníž. přenesená",J1553,0)</f>
        <v>0</v>
      </c>
      <c r="BI1553" s="104">
        <f>IF(N1553="nulová",J1553,0)</f>
        <v>0</v>
      </c>
      <c r="BJ1553" s="23" t="s">
        <v>85</v>
      </c>
      <c r="BK1553" s="104">
        <f>ROUND(I1553*H1553,2)</f>
        <v>0</v>
      </c>
      <c r="BL1553" s="23" t="s">
        <v>218</v>
      </c>
      <c r="BM1553" s="101" t="s">
        <v>2272</v>
      </c>
    </row>
    <row r="1554" spans="2:65" s="1" customFormat="1" ht="67.2">
      <c r="B1554" s="12"/>
      <c r="D1554" s="105" t="s">
        <v>227</v>
      </c>
      <c r="F1554" s="106" t="s">
        <v>2018</v>
      </c>
      <c r="I1554" s="107"/>
      <c r="L1554" s="12"/>
      <c r="M1554" s="108"/>
      <c r="T1554" s="111"/>
      <c r="AT1554" s="23" t="s">
        <v>227</v>
      </c>
      <c r="AU1554" s="23" t="s">
        <v>87</v>
      </c>
    </row>
    <row r="1555" spans="2:65" s="1" customFormat="1" ht="55.5" customHeight="1">
      <c r="B1555" s="12"/>
      <c r="C1555" s="71" t="s">
        <v>2273</v>
      </c>
      <c r="D1555" s="71" t="s">
        <v>214</v>
      </c>
      <c r="E1555" s="72" t="s">
        <v>1433</v>
      </c>
      <c r="F1555" s="73" t="s">
        <v>2274</v>
      </c>
      <c r="G1555" s="74" t="s">
        <v>808</v>
      </c>
      <c r="H1555" s="75">
        <v>1</v>
      </c>
      <c r="I1555" s="90"/>
      <c r="J1555" s="91">
        <f>ROUND(I1555*H1555,2)</f>
        <v>0</v>
      </c>
      <c r="K1555" s="92"/>
      <c r="L1555" s="12"/>
      <c r="M1555" s="93" t="s">
        <v>1</v>
      </c>
      <c r="N1555" s="94" t="s">
        <v>42</v>
      </c>
      <c r="P1555" s="95">
        <f>O1555*H1555</f>
        <v>0</v>
      </c>
      <c r="Q1555" s="95">
        <v>0</v>
      </c>
      <c r="R1555" s="95">
        <f>Q1555*H1555</f>
        <v>0</v>
      </c>
      <c r="S1555" s="95">
        <v>0</v>
      </c>
      <c r="T1555" s="99">
        <f>S1555*H1555</f>
        <v>0</v>
      </c>
      <c r="AR1555" s="101" t="s">
        <v>218</v>
      </c>
      <c r="AT1555" s="101" t="s">
        <v>214</v>
      </c>
      <c r="AU1555" s="101" t="s">
        <v>87</v>
      </c>
      <c r="AY1555" s="23" t="s">
        <v>211</v>
      </c>
      <c r="BE1555" s="104">
        <f>IF(N1555="základní",J1555,0)</f>
        <v>0</v>
      </c>
      <c r="BF1555" s="104">
        <f>IF(N1555="snížená",J1555,0)</f>
        <v>0</v>
      </c>
      <c r="BG1555" s="104">
        <f>IF(N1555="zákl. přenesená",J1555,0)</f>
        <v>0</v>
      </c>
      <c r="BH1555" s="104">
        <f>IF(N1555="sníž. přenesená",J1555,0)</f>
        <v>0</v>
      </c>
      <c r="BI1555" s="104">
        <f>IF(N1555="nulová",J1555,0)</f>
        <v>0</v>
      </c>
      <c r="BJ1555" s="23" t="s">
        <v>85</v>
      </c>
      <c r="BK1555" s="104">
        <f>ROUND(I1555*H1555,2)</f>
        <v>0</v>
      </c>
      <c r="BL1555" s="23" t="s">
        <v>218</v>
      </c>
      <c r="BM1555" s="101" t="s">
        <v>2275</v>
      </c>
    </row>
    <row r="1556" spans="2:65" s="1" customFormat="1" ht="67.2">
      <c r="B1556" s="12"/>
      <c r="D1556" s="105" t="s">
        <v>227</v>
      </c>
      <c r="F1556" s="106" t="s">
        <v>2023</v>
      </c>
      <c r="I1556" s="107"/>
      <c r="L1556" s="12"/>
      <c r="M1556" s="108"/>
      <c r="T1556" s="111"/>
      <c r="AT1556" s="23" t="s">
        <v>227</v>
      </c>
      <c r="AU1556" s="23" t="s">
        <v>87</v>
      </c>
    </row>
    <row r="1557" spans="2:65" s="1" customFormat="1" ht="66.75" customHeight="1">
      <c r="B1557" s="12"/>
      <c r="C1557" s="71" t="s">
        <v>2276</v>
      </c>
      <c r="D1557" s="71" t="s">
        <v>214</v>
      </c>
      <c r="E1557" s="72" t="s">
        <v>1437</v>
      </c>
      <c r="F1557" s="73" t="s">
        <v>2277</v>
      </c>
      <c r="G1557" s="74" t="s">
        <v>808</v>
      </c>
      <c r="H1557" s="75">
        <v>1</v>
      </c>
      <c r="I1557" s="90"/>
      <c r="J1557" s="91">
        <f>ROUND(I1557*H1557,2)</f>
        <v>0</v>
      </c>
      <c r="K1557" s="92"/>
      <c r="L1557" s="12"/>
      <c r="M1557" s="93" t="s">
        <v>1</v>
      </c>
      <c r="N1557" s="94" t="s">
        <v>42</v>
      </c>
      <c r="P1557" s="95">
        <f>O1557*H1557</f>
        <v>0</v>
      </c>
      <c r="Q1557" s="95">
        <v>0</v>
      </c>
      <c r="R1557" s="95">
        <f>Q1557*H1557</f>
        <v>0</v>
      </c>
      <c r="S1557" s="95">
        <v>0</v>
      </c>
      <c r="T1557" s="99">
        <f>S1557*H1557</f>
        <v>0</v>
      </c>
      <c r="AR1557" s="101" t="s">
        <v>218</v>
      </c>
      <c r="AT1557" s="101" t="s">
        <v>214</v>
      </c>
      <c r="AU1557" s="101" t="s">
        <v>87</v>
      </c>
      <c r="AY1557" s="23" t="s">
        <v>211</v>
      </c>
      <c r="BE1557" s="104">
        <f>IF(N1557="základní",J1557,0)</f>
        <v>0</v>
      </c>
      <c r="BF1557" s="104">
        <f>IF(N1557="snížená",J1557,0)</f>
        <v>0</v>
      </c>
      <c r="BG1557" s="104">
        <f>IF(N1557="zákl. přenesená",J1557,0)</f>
        <v>0</v>
      </c>
      <c r="BH1557" s="104">
        <f>IF(N1557="sníž. přenesená",J1557,0)</f>
        <v>0</v>
      </c>
      <c r="BI1557" s="104">
        <f>IF(N1557="nulová",J1557,0)</f>
        <v>0</v>
      </c>
      <c r="BJ1557" s="23" t="s">
        <v>85</v>
      </c>
      <c r="BK1557" s="104">
        <f>ROUND(I1557*H1557,2)</f>
        <v>0</v>
      </c>
      <c r="BL1557" s="23" t="s">
        <v>218</v>
      </c>
      <c r="BM1557" s="101" t="s">
        <v>2278</v>
      </c>
    </row>
    <row r="1558" spans="2:65" s="1" customFormat="1" ht="76.8">
      <c r="B1558" s="12"/>
      <c r="D1558" s="105" t="s">
        <v>227</v>
      </c>
      <c r="F1558" s="106" t="s">
        <v>2013</v>
      </c>
      <c r="I1558" s="107"/>
      <c r="L1558" s="12"/>
      <c r="M1558" s="108"/>
      <c r="T1558" s="111"/>
      <c r="AT1558" s="23" t="s">
        <v>227</v>
      </c>
      <c r="AU1558" s="23" t="s">
        <v>87</v>
      </c>
    </row>
    <row r="1559" spans="2:65" s="1" customFormat="1" ht="55.5" customHeight="1">
      <c r="B1559" s="12"/>
      <c r="C1559" s="71" t="s">
        <v>2279</v>
      </c>
      <c r="D1559" s="71" t="s">
        <v>214</v>
      </c>
      <c r="E1559" s="72" t="s">
        <v>1441</v>
      </c>
      <c r="F1559" s="73" t="s">
        <v>2280</v>
      </c>
      <c r="G1559" s="74" t="s">
        <v>808</v>
      </c>
      <c r="H1559" s="75">
        <v>1</v>
      </c>
      <c r="I1559" s="90"/>
      <c r="J1559" s="91">
        <f>ROUND(I1559*H1559,2)</f>
        <v>0</v>
      </c>
      <c r="K1559" s="92"/>
      <c r="L1559" s="12"/>
      <c r="M1559" s="93" t="s">
        <v>1</v>
      </c>
      <c r="N1559" s="94" t="s">
        <v>42</v>
      </c>
      <c r="P1559" s="95">
        <f>O1559*H1559</f>
        <v>0</v>
      </c>
      <c r="Q1559" s="95">
        <v>0</v>
      </c>
      <c r="R1559" s="95">
        <f>Q1559*H1559</f>
        <v>0</v>
      </c>
      <c r="S1559" s="95">
        <v>0</v>
      </c>
      <c r="T1559" s="99">
        <f>S1559*H1559</f>
        <v>0</v>
      </c>
      <c r="AR1559" s="101" t="s">
        <v>218</v>
      </c>
      <c r="AT1559" s="101" t="s">
        <v>214</v>
      </c>
      <c r="AU1559" s="101" t="s">
        <v>87</v>
      </c>
      <c r="AY1559" s="23" t="s">
        <v>211</v>
      </c>
      <c r="BE1559" s="104">
        <f>IF(N1559="základní",J1559,0)</f>
        <v>0</v>
      </c>
      <c r="BF1559" s="104">
        <f>IF(N1559="snížená",J1559,0)</f>
        <v>0</v>
      </c>
      <c r="BG1559" s="104">
        <f>IF(N1559="zákl. přenesená",J1559,0)</f>
        <v>0</v>
      </c>
      <c r="BH1559" s="104">
        <f>IF(N1559="sníž. přenesená",J1559,0)</f>
        <v>0</v>
      </c>
      <c r="BI1559" s="104">
        <f>IF(N1559="nulová",J1559,0)</f>
        <v>0</v>
      </c>
      <c r="BJ1559" s="23" t="s">
        <v>85</v>
      </c>
      <c r="BK1559" s="104">
        <f>ROUND(I1559*H1559,2)</f>
        <v>0</v>
      </c>
      <c r="BL1559" s="23" t="s">
        <v>218</v>
      </c>
      <c r="BM1559" s="101" t="s">
        <v>2281</v>
      </c>
    </row>
    <row r="1560" spans="2:65" s="1" customFormat="1" ht="67.2">
      <c r="B1560" s="12"/>
      <c r="D1560" s="105" t="s">
        <v>227</v>
      </c>
      <c r="F1560" s="106" t="s">
        <v>2023</v>
      </c>
      <c r="I1560" s="107"/>
      <c r="L1560" s="12"/>
      <c r="M1560" s="108"/>
      <c r="T1560" s="111"/>
      <c r="AT1560" s="23" t="s">
        <v>227</v>
      </c>
      <c r="AU1560" s="23" t="s">
        <v>87</v>
      </c>
    </row>
    <row r="1561" spans="2:65" s="1" customFormat="1" ht="66.75" customHeight="1">
      <c r="B1561" s="12"/>
      <c r="C1561" s="71" t="s">
        <v>2282</v>
      </c>
      <c r="D1561" s="71" t="s">
        <v>214</v>
      </c>
      <c r="E1561" s="72" t="s">
        <v>1445</v>
      </c>
      <c r="F1561" s="73" t="s">
        <v>2283</v>
      </c>
      <c r="G1561" s="74" t="s">
        <v>808</v>
      </c>
      <c r="H1561" s="75">
        <v>1</v>
      </c>
      <c r="I1561" s="90"/>
      <c r="J1561" s="91">
        <f>ROUND(I1561*H1561,2)</f>
        <v>0</v>
      </c>
      <c r="K1561" s="92"/>
      <c r="L1561" s="12"/>
      <c r="M1561" s="93" t="s">
        <v>1</v>
      </c>
      <c r="N1561" s="94" t="s">
        <v>42</v>
      </c>
      <c r="P1561" s="95">
        <f>O1561*H1561</f>
        <v>0</v>
      </c>
      <c r="Q1561" s="95">
        <v>0</v>
      </c>
      <c r="R1561" s="95">
        <f>Q1561*H1561</f>
        <v>0</v>
      </c>
      <c r="S1561" s="95">
        <v>0</v>
      </c>
      <c r="T1561" s="99">
        <f>S1561*H1561</f>
        <v>0</v>
      </c>
      <c r="AR1561" s="101" t="s">
        <v>218</v>
      </c>
      <c r="AT1561" s="101" t="s">
        <v>214</v>
      </c>
      <c r="AU1561" s="101" t="s">
        <v>87</v>
      </c>
      <c r="AY1561" s="23" t="s">
        <v>211</v>
      </c>
      <c r="BE1561" s="104">
        <f>IF(N1561="základní",J1561,0)</f>
        <v>0</v>
      </c>
      <c r="BF1561" s="104">
        <f>IF(N1561="snížená",J1561,0)</f>
        <v>0</v>
      </c>
      <c r="BG1561" s="104">
        <f>IF(N1561="zákl. přenesená",J1561,0)</f>
        <v>0</v>
      </c>
      <c r="BH1561" s="104">
        <f>IF(N1561="sníž. přenesená",J1561,0)</f>
        <v>0</v>
      </c>
      <c r="BI1561" s="104">
        <f>IF(N1561="nulová",J1561,0)</f>
        <v>0</v>
      </c>
      <c r="BJ1561" s="23" t="s">
        <v>85</v>
      </c>
      <c r="BK1561" s="104">
        <f>ROUND(I1561*H1561,2)</f>
        <v>0</v>
      </c>
      <c r="BL1561" s="23" t="s">
        <v>218</v>
      </c>
      <c r="BM1561" s="101" t="s">
        <v>2284</v>
      </c>
    </row>
    <row r="1562" spans="2:65" s="1" customFormat="1" ht="76.8">
      <c r="B1562" s="12"/>
      <c r="D1562" s="105" t="s">
        <v>227</v>
      </c>
      <c r="F1562" s="106" t="s">
        <v>2263</v>
      </c>
      <c r="I1562" s="107"/>
      <c r="L1562" s="12"/>
      <c r="M1562" s="108"/>
      <c r="T1562" s="111"/>
      <c r="AT1562" s="23" t="s">
        <v>227</v>
      </c>
      <c r="AU1562" s="23" t="s">
        <v>87</v>
      </c>
    </row>
    <row r="1563" spans="2:65" s="1" customFormat="1" ht="66.75" customHeight="1">
      <c r="B1563" s="12"/>
      <c r="C1563" s="71" t="s">
        <v>2285</v>
      </c>
      <c r="D1563" s="71" t="s">
        <v>214</v>
      </c>
      <c r="E1563" s="72" t="s">
        <v>1449</v>
      </c>
      <c r="F1563" s="73" t="s">
        <v>2286</v>
      </c>
      <c r="G1563" s="74" t="s">
        <v>808</v>
      </c>
      <c r="H1563" s="75">
        <v>1</v>
      </c>
      <c r="I1563" s="90"/>
      <c r="J1563" s="91">
        <f>ROUND(I1563*H1563,2)</f>
        <v>0</v>
      </c>
      <c r="K1563" s="92"/>
      <c r="L1563" s="12"/>
      <c r="M1563" s="93" t="s">
        <v>1</v>
      </c>
      <c r="N1563" s="94" t="s">
        <v>42</v>
      </c>
      <c r="P1563" s="95">
        <f>O1563*H1563</f>
        <v>0</v>
      </c>
      <c r="Q1563" s="95">
        <v>0</v>
      </c>
      <c r="R1563" s="95">
        <f>Q1563*H1563</f>
        <v>0</v>
      </c>
      <c r="S1563" s="95">
        <v>0</v>
      </c>
      <c r="T1563" s="99">
        <f>S1563*H1563</f>
        <v>0</v>
      </c>
      <c r="AR1563" s="101" t="s">
        <v>218</v>
      </c>
      <c r="AT1563" s="101" t="s">
        <v>214</v>
      </c>
      <c r="AU1563" s="101" t="s">
        <v>87</v>
      </c>
      <c r="AY1563" s="23" t="s">
        <v>211</v>
      </c>
      <c r="BE1563" s="104">
        <f>IF(N1563="základní",J1563,0)</f>
        <v>0</v>
      </c>
      <c r="BF1563" s="104">
        <f>IF(N1563="snížená",J1563,0)</f>
        <v>0</v>
      </c>
      <c r="BG1563" s="104">
        <f>IF(N1563="zákl. přenesená",J1563,0)</f>
        <v>0</v>
      </c>
      <c r="BH1563" s="104">
        <f>IF(N1563="sníž. přenesená",J1563,0)</f>
        <v>0</v>
      </c>
      <c r="BI1563" s="104">
        <f>IF(N1563="nulová",J1563,0)</f>
        <v>0</v>
      </c>
      <c r="BJ1563" s="23" t="s">
        <v>85</v>
      </c>
      <c r="BK1563" s="104">
        <f>ROUND(I1563*H1563,2)</f>
        <v>0</v>
      </c>
      <c r="BL1563" s="23" t="s">
        <v>218</v>
      </c>
      <c r="BM1563" s="101" t="s">
        <v>2287</v>
      </c>
    </row>
    <row r="1564" spans="2:65" s="1" customFormat="1" ht="76.8">
      <c r="B1564" s="12"/>
      <c r="D1564" s="105" t="s">
        <v>227</v>
      </c>
      <c r="F1564" s="106" t="s">
        <v>2028</v>
      </c>
      <c r="I1564" s="107"/>
      <c r="L1564" s="12"/>
      <c r="M1564" s="108"/>
      <c r="T1564" s="111"/>
      <c r="AT1564" s="23" t="s">
        <v>227</v>
      </c>
      <c r="AU1564" s="23" t="s">
        <v>87</v>
      </c>
    </row>
    <row r="1565" spans="2:65" s="1" customFormat="1" ht="55.5" customHeight="1">
      <c r="B1565" s="12"/>
      <c r="C1565" s="71" t="s">
        <v>2288</v>
      </c>
      <c r="D1565" s="71" t="s">
        <v>214</v>
      </c>
      <c r="E1565" s="72" t="s">
        <v>1453</v>
      </c>
      <c r="F1565" s="73" t="s">
        <v>2289</v>
      </c>
      <c r="G1565" s="74" t="s">
        <v>808</v>
      </c>
      <c r="H1565" s="75">
        <v>1</v>
      </c>
      <c r="I1565" s="90"/>
      <c r="J1565" s="91">
        <f>ROUND(I1565*H1565,2)</f>
        <v>0</v>
      </c>
      <c r="K1565" s="92"/>
      <c r="L1565" s="12"/>
      <c r="M1565" s="93" t="s">
        <v>1</v>
      </c>
      <c r="N1565" s="94" t="s">
        <v>42</v>
      </c>
      <c r="P1565" s="95">
        <f>O1565*H1565</f>
        <v>0</v>
      </c>
      <c r="Q1565" s="95">
        <v>0</v>
      </c>
      <c r="R1565" s="95">
        <f>Q1565*H1565</f>
        <v>0</v>
      </c>
      <c r="S1565" s="95">
        <v>0</v>
      </c>
      <c r="T1565" s="99">
        <f>S1565*H1565</f>
        <v>0</v>
      </c>
      <c r="AR1565" s="101" t="s">
        <v>218</v>
      </c>
      <c r="AT1565" s="101" t="s">
        <v>214</v>
      </c>
      <c r="AU1565" s="101" t="s">
        <v>87</v>
      </c>
      <c r="AY1565" s="23" t="s">
        <v>211</v>
      </c>
      <c r="BE1565" s="104">
        <f>IF(N1565="základní",J1565,0)</f>
        <v>0</v>
      </c>
      <c r="BF1565" s="104">
        <f>IF(N1565="snížená",J1565,0)</f>
        <v>0</v>
      </c>
      <c r="BG1565" s="104">
        <f>IF(N1565="zákl. přenesená",J1565,0)</f>
        <v>0</v>
      </c>
      <c r="BH1565" s="104">
        <f>IF(N1565="sníž. přenesená",J1565,0)</f>
        <v>0</v>
      </c>
      <c r="BI1565" s="104">
        <f>IF(N1565="nulová",J1565,0)</f>
        <v>0</v>
      </c>
      <c r="BJ1565" s="23" t="s">
        <v>85</v>
      </c>
      <c r="BK1565" s="104">
        <f>ROUND(I1565*H1565,2)</f>
        <v>0</v>
      </c>
      <c r="BL1565" s="23" t="s">
        <v>218</v>
      </c>
      <c r="BM1565" s="101" t="s">
        <v>2290</v>
      </c>
    </row>
    <row r="1566" spans="2:65" s="1" customFormat="1" ht="67.2">
      <c r="B1566" s="12"/>
      <c r="D1566" s="105" t="s">
        <v>227</v>
      </c>
      <c r="F1566" s="106" t="s">
        <v>2023</v>
      </c>
      <c r="I1566" s="107"/>
      <c r="L1566" s="12"/>
      <c r="M1566" s="108"/>
      <c r="T1566" s="111"/>
      <c r="AT1566" s="23" t="s">
        <v>227</v>
      </c>
      <c r="AU1566" s="23" t="s">
        <v>87</v>
      </c>
    </row>
    <row r="1567" spans="2:65" s="1" customFormat="1" ht="55.5" customHeight="1">
      <c r="B1567" s="12"/>
      <c r="C1567" s="71" t="s">
        <v>2291</v>
      </c>
      <c r="D1567" s="71" t="s">
        <v>214</v>
      </c>
      <c r="E1567" s="72" t="s">
        <v>1457</v>
      </c>
      <c r="F1567" s="73" t="s">
        <v>2292</v>
      </c>
      <c r="G1567" s="74" t="s">
        <v>808</v>
      </c>
      <c r="H1567" s="75">
        <v>1</v>
      </c>
      <c r="I1567" s="90"/>
      <c r="J1567" s="91">
        <f>ROUND(I1567*H1567,2)</f>
        <v>0</v>
      </c>
      <c r="K1567" s="92"/>
      <c r="L1567" s="12"/>
      <c r="M1567" s="93" t="s">
        <v>1</v>
      </c>
      <c r="N1567" s="94" t="s">
        <v>42</v>
      </c>
      <c r="P1567" s="95">
        <f>O1567*H1567</f>
        <v>0</v>
      </c>
      <c r="Q1567" s="95">
        <v>0</v>
      </c>
      <c r="R1567" s="95">
        <f>Q1567*H1567</f>
        <v>0</v>
      </c>
      <c r="S1567" s="95">
        <v>0</v>
      </c>
      <c r="T1567" s="99">
        <f>S1567*H1567</f>
        <v>0</v>
      </c>
      <c r="AR1567" s="101" t="s">
        <v>218</v>
      </c>
      <c r="AT1567" s="101" t="s">
        <v>214</v>
      </c>
      <c r="AU1567" s="101" t="s">
        <v>87</v>
      </c>
      <c r="AY1567" s="23" t="s">
        <v>211</v>
      </c>
      <c r="BE1567" s="104">
        <f>IF(N1567="základní",J1567,0)</f>
        <v>0</v>
      </c>
      <c r="BF1567" s="104">
        <f>IF(N1567="snížená",J1567,0)</f>
        <v>0</v>
      </c>
      <c r="BG1567" s="104">
        <f>IF(N1567="zákl. přenesená",J1567,0)</f>
        <v>0</v>
      </c>
      <c r="BH1567" s="104">
        <f>IF(N1567="sníž. přenesená",J1567,0)</f>
        <v>0</v>
      </c>
      <c r="BI1567" s="104">
        <f>IF(N1567="nulová",J1567,0)</f>
        <v>0</v>
      </c>
      <c r="BJ1567" s="23" t="s">
        <v>85</v>
      </c>
      <c r="BK1567" s="104">
        <f>ROUND(I1567*H1567,2)</f>
        <v>0</v>
      </c>
      <c r="BL1567" s="23" t="s">
        <v>218</v>
      </c>
      <c r="BM1567" s="101" t="s">
        <v>2293</v>
      </c>
    </row>
    <row r="1568" spans="2:65" s="1" customFormat="1" ht="67.2">
      <c r="B1568" s="12"/>
      <c r="D1568" s="105" t="s">
        <v>227</v>
      </c>
      <c r="F1568" s="106" t="s">
        <v>2018</v>
      </c>
      <c r="I1568" s="107"/>
      <c r="L1568" s="12"/>
      <c r="M1568" s="108"/>
      <c r="T1568" s="111"/>
      <c r="AT1568" s="23" t="s">
        <v>227</v>
      </c>
      <c r="AU1568" s="23" t="s">
        <v>87</v>
      </c>
    </row>
    <row r="1569" spans="2:65" s="1" customFormat="1" ht="55.5" customHeight="1">
      <c r="B1569" s="12"/>
      <c r="C1569" s="71" t="s">
        <v>2294</v>
      </c>
      <c r="D1569" s="71" t="s">
        <v>214</v>
      </c>
      <c r="E1569" s="72" t="s">
        <v>1462</v>
      </c>
      <c r="F1569" s="73" t="s">
        <v>2295</v>
      </c>
      <c r="G1569" s="74" t="s">
        <v>808</v>
      </c>
      <c r="H1569" s="75">
        <v>1</v>
      </c>
      <c r="I1569" s="90"/>
      <c r="J1569" s="91">
        <f>ROUND(I1569*H1569,2)</f>
        <v>0</v>
      </c>
      <c r="K1569" s="92"/>
      <c r="L1569" s="12"/>
      <c r="M1569" s="93" t="s">
        <v>1</v>
      </c>
      <c r="N1569" s="94" t="s">
        <v>42</v>
      </c>
      <c r="P1569" s="95">
        <f>O1569*H1569</f>
        <v>0</v>
      </c>
      <c r="Q1569" s="95">
        <v>0</v>
      </c>
      <c r="R1569" s="95">
        <f>Q1569*H1569</f>
        <v>0</v>
      </c>
      <c r="S1569" s="95">
        <v>0</v>
      </c>
      <c r="T1569" s="99">
        <f>S1569*H1569</f>
        <v>0</v>
      </c>
      <c r="AR1569" s="101" t="s">
        <v>218</v>
      </c>
      <c r="AT1569" s="101" t="s">
        <v>214</v>
      </c>
      <c r="AU1569" s="101" t="s">
        <v>87</v>
      </c>
      <c r="AY1569" s="23" t="s">
        <v>211</v>
      </c>
      <c r="BE1569" s="104">
        <f>IF(N1569="základní",J1569,0)</f>
        <v>0</v>
      </c>
      <c r="BF1569" s="104">
        <f>IF(N1569="snížená",J1569,0)</f>
        <v>0</v>
      </c>
      <c r="BG1569" s="104">
        <f>IF(N1569="zákl. přenesená",J1569,0)</f>
        <v>0</v>
      </c>
      <c r="BH1569" s="104">
        <f>IF(N1569="sníž. přenesená",J1569,0)</f>
        <v>0</v>
      </c>
      <c r="BI1569" s="104">
        <f>IF(N1569="nulová",J1569,0)</f>
        <v>0</v>
      </c>
      <c r="BJ1569" s="23" t="s">
        <v>85</v>
      </c>
      <c r="BK1569" s="104">
        <f>ROUND(I1569*H1569,2)</f>
        <v>0</v>
      </c>
      <c r="BL1569" s="23" t="s">
        <v>218</v>
      </c>
      <c r="BM1569" s="101" t="s">
        <v>2296</v>
      </c>
    </row>
    <row r="1570" spans="2:65" s="1" customFormat="1" ht="67.2">
      <c r="B1570" s="12"/>
      <c r="D1570" s="105" t="s">
        <v>227</v>
      </c>
      <c r="F1570" s="106" t="s">
        <v>2018</v>
      </c>
      <c r="I1570" s="107"/>
      <c r="L1570" s="12"/>
      <c r="M1570" s="108"/>
      <c r="T1570" s="111"/>
      <c r="AT1570" s="23" t="s">
        <v>227</v>
      </c>
      <c r="AU1570" s="23" t="s">
        <v>87</v>
      </c>
    </row>
    <row r="1571" spans="2:65" s="1" customFormat="1" ht="76.349999999999994" customHeight="1">
      <c r="B1571" s="12"/>
      <c r="C1571" s="71" t="s">
        <v>2297</v>
      </c>
      <c r="D1571" s="71" t="s">
        <v>214</v>
      </c>
      <c r="E1571" s="72" t="s">
        <v>1470</v>
      </c>
      <c r="F1571" s="73" t="s">
        <v>2298</v>
      </c>
      <c r="G1571" s="74" t="s">
        <v>808</v>
      </c>
      <c r="H1571" s="75">
        <v>1</v>
      </c>
      <c r="I1571" s="90"/>
      <c r="J1571" s="91">
        <f>ROUND(I1571*H1571,2)</f>
        <v>0</v>
      </c>
      <c r="K1571" s="92"/>
      <c r="L1571" s="12"/>
      <c r="M1571" s="93" t="s">
        <v>1</v>
      </c>
      <c r="N1571" s="94" t="s">
        <v>42</v>
      </c>
      <c r="P1571" s="95">
        <f>O1571*H1571</f>
        <v>0</v>
      </c>
      <c r="Q1571" s="95">
        <v>0</v>
      </c>
      <c r="R1571" s="95">
        <f>Q1571*H1571</f>
        <v>0</v>
      </c>
      <c r="S1571" s="95">
        <v>0</v>
      </c>
      <c r="T1571" s="99">
        <f>S1571*H1571</f>
        <v>0</v>
      </c>
      <c r="AR1571" s="101" t="s">
        <v>218</v>
      </c>
      <c r="AT1571" s="101" t="s">
        <v>214</v>
      </c>
      <c r="AU1571" s="101" t="s">
        <v>87</v>
      </c>
      <c r="AY1571" s="23" t="s">
        <v>211</v>
      </c>
      <c r="BE1571" s="104">
        <f>IF(N1571="základní",J1571,0)</f>
        <v>0</v>
      </c>
      <c r="BF1571" s="104">
        <f>IF(N1571="snížená",J1571,0)</f>
        <v>0</v>
      </c>
      <c r="BG1571" s="104">
        <f>IF(N1571="zákl. přenesená",J1571,0)</f>
        <v>0</v>
      </c>
      <c r="BH1571" s="104">
        <f>IF(N1571="sníž. přenesená",J1571,0)</f>
        <v>0</v>
      </c>
      <c r="BI1571" s="104">
        <f>IF(N1571="nulová",J1571,0)</f>
        <v>0</v>
      </c>
      <c r="BJ1571" s="23" t="s">
        <v>85</v>
      </c>
      <c r="BK1571" s="104">
        <f>ROUND(I1571*H1571,2)</f>
        <v>0</v>
      </c>
      <c r="BL1571" s="23" t="s">
        <v>218</v>
      </c>
      <c r="BM1571" s="101" t="s">
        <v>2299</v>
      </c>
    </row>
    <row r="1572" spans="2:65" s="1" customFormat="1" ht="105.6">
      <c r="B1572" s="12"/>
      <c r="D1572" s="105" t="s">
        <v>227</v>
      </c>
      <c r="F1572" s="106" t="s">
        <v>2300</v>
      </c>
      <c r="I1572" s="107"/>
      <c r="L1572" s="12"/>
      <c r="M1572" s="108"/>
      <c r="T1572" s="111"/>
      <c r="AT1572" s="23" t="s">
        <v>227</v>
      </c>
      <c r="AU1572" s="23" t="s">
        <v>87</v>
      </c>
    </row>
    <row r="1573" spans="2:65" s="1" customFormat="1" ht="66.75" customHeight="1">
      <c r="B1573" s="12"/>
      <c r="C1573" s="71" t="s">
        <v>2301</v>
      </c>
      <c r="D1573" s="71" t="s">
        <v>214</v>
      </c>
      <c r="E1573" s="72" t="s">
        <v>1475</v>
      </c>
      <c r="F1573" s="73" t="s">
        <v>2302</v>
      </c>
      <c r="G1573" s="74" t="s">
        <v>808</v>
      </c>
      <c r="H1573" s="75">
        <v>1</v>
      </c>
      <c r="I1573" s="90"/>
      <c r="J1573" s="91">
        <f>ROUND(I1573*H1573,2)</f>
        <v>0</v>
      </c>
      <c r="K1573" s="92"/>
      <c r="L1573" s="12"/>
      <c r="M1573" s="93" t="s">
        <v>1</v>
      </c>
      <c r="N1573" s="94" t="s">
        <v>42</v>
      </c>
      <c r="P1573" s="95">
        <f>O1573*H1573</f>
        <v>0</v>
      </c>
      <c r="Q1573" s="95">
        <v>0</v>
      </c>
      <c r="R1573" s="95">
        <f>Q1573*H1573</f>
        <v>0</v>
      </c>
      <c r="S1573" s="95">
        <v>0</v>
      </c>
      <c r="T1573" s="99">
        <f>S1573*H1573</f>
        <v>0</v>
      </c>
      <c r="AR1573" s="101" t="s">
        <v>218</v>
      </c>
      <c r="AT1573" s="101" t="s">
        <v>214</v>
      </c>
      <c r="AU1573" s="101" t="s">
        <v>87</v>
      </c>
      <c r="AY1573" s="23" t="s">
        <v>211</v>
      </c>
      <c r="BE1573" s="104">
        <f>IF(N1573="základní",J1573,0)</f>
        <v>0</v>
      </c>
      <c r="BF1573" s="104">
        <f>IF(N1573="snížená",J1573,0)</f>
        <v>0</v>
      </c>
      <c r="BG1573" s="104">
        <f>IF(N1573="zákl. přenesená",J1573,0)</f>
        <v>0</v>
      </c>
      <c r="BH1573" s="104">
        <f>IF(N1573="sníž. přenesená",J1573,0)</f>
        <v>0</v>
      </c>
      <c r="BI1573" s="104">
        <f>IF(N1573="nulová",J1573,0)</f>
        <v>0</v>
      </c>
      <c r="BJ1573" s="23" t="s">
        <v>85</v>
      </c>
      <c r="BK1573" s="104">
        <f>ROUND(I1573*H1573,2)</f>
        <v>0</v>
      </c>
      <c r="BL1573" s="23" t="s">
        <v>218</v>
      </c>
      <c r="BM1573" s="101" t="s">
        <v>2303</v>
      </c>
    </row>
    <row r="1574" spans="2:65" s="1" customFormat="1" ht="76.8">
      <c r="B1574" s="12"/>
      <c r="D1574" s="105" t="s">
        <v>227</v>
      </c>
      <c r="F1574" s="106" t="s">
        <v>2013</v>
      </c>
      <c r="I1574" s="107"/>
      <c r="L1574" s="12"/>
      <c r="M1574" s="108"/>
      <c r="T1574" s="111"/>
      <c r="AT1574" s="23" t="s">
        <v>227</v>
      </c>
      <c r="AU1574" s="23" t="s">
        <v>87</v>
      </c>
    </row>
    <row r="1575" spans="2:65" s="1" customFormat="1" ht="55.5" customHeight="1">
      <c r="B1575" s="12"/>
      <c r="C1575" s="71" t="s">
        <v>2304</v>
      </c>
      <c r="D1575" s="71" t="s">
        <v>214</v>
      </c>
      <c r="E1575" s="72" t="s">
        <v>1479</v>
      </c>
      <c r="F1575" s="73" t="s">
        <v>2305</v>
      </c>
      <c r="G1575" s="74" t="s">
        <v>808</v>
      </c>
      <c r="H1575" s="75">
        <v>1</v>
      </c>
      <c r="I1575" s="90"/>
      <c r="J1575" s="91">
        <f>ROUND(I1575*H1575,2)</f>
        <v>0</v>
      </c>
      <c r="K1575" s="92"/>
      <c r="L1575" s="12"/>
      <c r="M1575" s="93" t="s">
        <v>1</v>
      </c>
      <c r="N1575" s="94" t="s">
        <v>42</v>
      </c>
      <c r="P1575" s="95">
        <f>O1575*H1575</f>
        <v>0</v>
      </c>
      <c r="Q1575" s="95">
        <v>0</v>
      </c>
      <c r="R1575" s="95">
        <f>Q1575*H1575</f>
        <v>0</v>
      </c>
      <c r="S1575" s="95">
        <v>0</v>
      </c>
      <c r="T1575" s="99">
        <f>S1575*H1575</f>
        <v>0</v>
      </c>
      <c r="AR1575" s="101" t="s">
        <v>218</v>
      </c>
      <c r="AT1575" s="101" t="s">
        <v>214</v>
      </c>
      <c r="AU1575" s="101" t="s">
        <v>87</v>
      </c>
      <c r="AY1575" s="23" t="s">
        <v>211</v>
      </c>
      <c r="BE1575" s="104">
        <f>IF(N1575="základní",J1575,0)</f>
        <v>0</v>
      </c>
      <c r="BF1575" s="104">
        <f>IF(N1575="snížená",J1575,0)</f>
        <v>0</v>
      </c>
      <c r="BG1575" s="104">
        <f>IF(N1575="zákl. přenesená",J1575,0)</f>
        <v>0</v>
      </c>
      <c r="BH1575" s="104">
        <f>IF(N1575="sníž. přenesená",J1575,0)</f>
        <v>0</v>
      </c>
      <c r="BI1575" s="104">
        <f>IF(N1575="nulová",J1575,0)</f>
        <v>0</v>
      </c>
      <c r="BJ1575" s="23" t="s">
        <v>85</v>
      </c>
      <c r="BK1575" s="104">
        <f>ROUND(I1575*H1575,2)</f>
        <v>0</v>
      </c>
      <c r="BL1575" s="23" t="s">
        <v>218</v>
      </c>
      <c r="BM1575" s="101" t="s">
        <v>2306</v>
      </c>
    </row>
    <row r="1576" spans="2:65" s="1" customFormat="1" ht="67.2">
      <c r="B1576" s="12"/>
      <c r="D1576" s="105" t="s">
        <v>227</v>
      </c>
      <c r="F1576" s="106" t="s">
        <v>2018</v>
      </c>
      <c r="I1576" s="107"/>
      <c r="L1576" s="12"/>
      <c r="M1576" s="108"/>
      <c r="T1576" s="111"/>
      <c r="AT1576" s="23" t="s">
        <v>227</v>
      </c>
      <c r="AU1576" s="23" t="s">
        <v>87</v>
      </c>
    </row>
    <row r="1577" spans="2:65" s="1" customFormat="1" ht="55.5" customHeight="1">
      <c r="B1577" s="12"/>
      <c r="C1577" s="71" t="s">
        <v>2307</v>
      </c>
      <c r="D1577" s="71" t="s">
        <v>214</v>
      </c>
      <c r="E1577" s="72" t="s">
        <v>1483</v>
      </c>
      <c r="F1577" s="73" t="s">
        <v>2308</v>
      </c>
      <c r="G1577" s="74" t="s">
        <v>808</v>
      </c>
      <c r="H1577" s="75">
        <v>1</v>
      </c>
      <c r="I1577" s="90"/>
      <c r="J1577" s="91">
        <f>ROUND(I1577*H1577,2)</f>
        <v>0</v>
      </c>
      <c r="K1577" s="92"/>
      <c r="L1577" s="12"/>
      <c r="M1577" s="93" t="s">
        <v>1</v>
      </c>
      <c r="N1577" s="94" t="s">
        <v>42</v>
      </c>
      <c r="P1577" s="95">
        <f>O1577*H1577</f>
        <v>0</v>
      </c>
      <c r="Q1577" s="95">
        <v>0</v>
      </c>
      <c r="R1577" s="95">
        <f>Q1577*H1577</f>
        <v>0</v>
      </c>
      <c r="S1577" s="95">
        <v>0</v>
      </c>
      <c r="T1577" s="99">
        <f>S1577*H1577</f>
        <v>0</v>
      </c>
      <c r="AR1577" s="101" t="s">
        <v>218</v>
      </c>
      <c r="AT1577" s="101" t="s">
        <v>214</v>
      </c>
      <c r="AU1577" s="101" t="s">
        <v>87</v>
      </c>
      <c r="AY1577" s="23" t="s">
        <v>211</v>
      </c>
      <c r="BE1577" s="104">
        <f>IF(N1577="základní",J1577,0)</f>
        <v>0</v>
      </c>
      <c r="BF1577" s="104">
        <f>IF(N1577="snížená",J1577,0)</f>
        <v>0</v>
      </c>
      <c r="BG1577" s="104">
        <f>IF(N1577="zákl. přenesená",J1577,0)</f>
        <v>0</v>
      </c>
      <c r="BH1577" s="104">
        <f>IF(N1577="sníž. přenesená",J1577,0)</f>
        <v>0</v>
      </c>
      <c r="BI1577" s="104">
        <f>IF(N1577="nulová",J1577,0)</f>
        <v>0</v>
      </c>
      <c r="BJ1577" s="23" t="s">
        <v>85</v>
      </c>
      <c r="BK1577" s="104">
        <f>ROUND(I1577*H1577,2)</f>
        <v>0</v>
      </c>
      <c r="BL1577" s="23" t="s">
        <v>218</v>
      </c>
      <c r="BM1577" s="101" t="s">
        <v>2309</v>
      </c>
    </row>
    <row r="1578" spans="2:65" s="1" customFormat="1" ht="67.2">
      <c r="B1578" s="12"/>
      <c r="D1578" s="105" t="s">
        <v>227</v>
      </c>
      <c r="F1578" s="106" t="s">
        <v>2023</v>
      </c>
      <c r="I1578" s="107"/>
      <c r="L1578" s="12"/>
      <c r="M1578" s="108"/>
      <c r="T1578" s="111"/>
      <c r="AT1578" s="23" t="s">
        <v>227</v>
      </c>
      <c r="AU1578" s="23" t="s">
        <v>87</v>
      </c>
    </row>
    <row r="1579" spans="2:65" s="1" customFormat="1" ht="55.5" customHeight="1">
      <c r="B1579" s="12"/>
      <c r="C1579" s="71" t="s">
        <v>2310</v>
      </c>
      <c r="D1579" s="71" t="s">
        <v>214</v>
      </c>
      <c r="E1579" s="72" t="s">
        <v>1487</v>
      </c>
      <c r="F1579" s="73" t="s">
        <v>2311</v>
      </c>
      <c r="G1579" s="74" t="s">
        <v>808</v>
      </c>
      <c r="H1579" s="75">
        <v>1</v>
      </c>
      <c r="I1579" s="90"/>
      <c r="J1579" s="91">
        <f>ROUND(I1579*H1579,2)</f>
        <v>0</v>
      </c>
      <c r="K1579" s="92"/>
      <c r="L1579" s="12"/>
      <c r="M1579" s="93" t="s">
        <v>1</v>
      </c>
      <c r="N1579" s="94" t="s">
        <v>42</v>
      </c>
      <c r="P1579" s="95">
        <f>O1579*H1579</f>
        <v>0</v>
      </c>
      <c r="Q1579" s="95">
        <v>0</v>
      </c>
      <c r="R1579" s="95">
        <f>Q1579*H1579</f>
        <v>0</v>
      </c>
      <c r="S1579" s="95">
        <v>0</v>
      </c>
      <c r="T1579" s="99">
        <f>S1579*H1579</f>
        <v>0</v>
      </c>
      <c r="AR1579" s="101" t="s">
        <v>218</v>
      </c>
      <c r="AT1579" s="101" t="s">
        <v>214</v>
      </c>
      <c r="AU1579" s="101" t="s">
        <v>87</v>
      </c>
      <c r="AY1579" s="23" t="s">
        <v>211</v>
      </c>
      <c r="BE1579" s="104">
        <f>IF(N1579="základní",J1579,0)</f>
        <v>0</v>
      </c>
      <c r="BF1579" s="104">
        <f>IF(N1579="snížená",J1579,0)</f>
        <v>0</v>
      </c>
      <c r="BG1579" s="104">
        <f>IF(N1579="zákl. přenesená",J1579,0)</f>
        <v>0</v>
      </c>
      <c r="BH1579" s="104">
        <f>IF(N1579="sníž. přenesená",J1579,0)</f>
        <v>0</v>
      </c>
      <c r="BI1579" s="104">
        <f>IF(N1579="nulová",J1579,0)</f>
        <v>0</v>
      </c>
      <c r="BJ1579" s="23" t="s">
        <v>85</v>
      </c>
      <c r="BK1579" s="104">
        <f>ROUND(I1579*H1579,2)</f>
        <v>0</v>
      </c>
      <c r="BL1579" s="23" t="s">
        <v>218</v>
      </c>
      <c r="BM1579" s="101" t="s">
        <v>2312</v>
      </c>
    </row>
    <row r="1580" spans="2:65" s="1" customFormat="1" ht="67.2">
      <c r="B1580" s="12"/>
      <c r="D1580" s="105" t="s">
        <v>227</v>
      </c>
      <c r="F1580" s="106" t="s">
        <v>2313</v>
      </c>
      <c r="I1580" s="107"/>
      <c r="L1580" s="12"/>
      <c r="M1580" s="108"/>
      <c r="T1580" s="111"/>
      <c r="AT1580" s="23" t="s">
        <v>227</v>
      </c>
      <c r="AU1580" s="23" t="s">
        <v>87</v>
      </c>
    </row>
    <row r="1581" spans="2:65" s="1" customFormat="1" ht="66.75" customHeight="1">
      <c r="B1581" s="12"/>
      <c r="C1581" s="71" t="s">
        <v>2314</v>
      </c>
      <c r="D1581" s="71" t="s">
        <v>214</v>
      </c>
      <c r="E1581" s="72" t="s">
        <v>1491</v>
      </c>
      <c r="F1581" s="73" t="s">
        <v>2315</v>
      </c>
      <c r="G1581" s="74" t="s">
        <v>808</v>
      </c>
      <c r="H1581" s="75">
        <v>1</v>
      </c>
      <c r="I1581" s="90"/>
      <c r="J1581" s="91">
        <f>ROUND(I1581*H1581,2)</f>
        <v>0</v>
      </c>
      <c r="K1581" s="92"/>
      <c r="L1581" s="12"/>
      <c r="M1581" s="93" t="s">
        <v>1</v>
      </c>
      <c r="N1581" s="94" t="s">
        <v>42</v>
      </c>
      <c r="P1581" s="95">
        <f>O1581*H1581</f>
        <v>0</v>
      </c>
      <c r="Q1581" s="95">
        <v>0</v>
      </c>
      <c r="R1581" s="95">
        <f>Q1581*H1581</f>
        <v>0</v>
      </c>
      <c r="S1581" s="95">
        <v>0</v>
      </c>
      <c r="T1581" s="99">
        <f>S1581*H1581</f>
        <v>0</v>
      </c>
      <c r="AR1581" s="101" t="s">
        <v>218</v>
      </c>
      <c r="AT1581" s="101" t="s">
        <v>214</v>
      </c>
      <c r="AU1581" s="101" t="s">
        <v>87</v>
      </c>
      <c r="AY1581" s="23" t="s">
        <v>211</v>
      </c>
      <c r="BE1581" s="104">
        <f>IF(N1581="základní",J1581,0)</f>
        <v>0</v>
      </c>
      <c r="BF1581" s="104">
        <f>IF(N1581="snížená",J1581,0)</f>
        <v>0</v>
      </c>
      <c r="BG1581" s="104">
        <f>IF(N1581="zákl. přenesená",J1581,0)</f>
        <v>0</v>
      </c>
      <c r="BH1581" s="104">
        <f>IF(N1581="sníž. přenesená",J1581,0)</f>
        <v>0</v>
      </c>
      <c r="BI1581" s="104">
        <f>IF(N1581="nulová",J1581,0)</f>
        <v>0</v>
      </c>
      <c r="BJ1581" s="23" t="s">
        <v>85</v>
      </c>
      <c r="BK1581" s="104">
        <f>ROUND(I1581*H1581,2)</f>
        <v>0</v>
      </c>
      <c r="BL1581" s="23" t="s">
        <v>218</v>
      </c>
      <c r="BM1581" s="101" t="s">
        <v>2316</v>
      </c>
    </row>
    <row r="1582" spans="2:65" s="1" customFormat="1" ht="76.8">
      <c r="B1582" s="12"/>
      <c r="D1582" s="105" t="s">
        <v>227</v>
      </c>
      <c r="F1582" s="106" t="s">
        <v>2013</v>
      </c>
      <c r="I1582" s="107"/>
      <c r="L1582" s="12"/>
      <c r="M1582" s="108"/>
      <c r="T1582" s="111"/>
      <c r="AT1582" s="23" t="s">
        <v>227</v>
      </c>
      <c r="AU1582" s="23" t="s">
        <v>87</v>
      </c>
    </row>
    <row r="1583" spans="2:65" s="1" customFormat="1" ht="55.5" customHeight="1">
      <c r="B1583" s="12"/>
      <c r="C1583" s="71" t="s">
        <v>2317</v>
      </c>
      <c r="D1583" s="71" t="s">
        <v>214</v>
      </c>
      <c r="E1583" s="72" t="s">
        <v>1496</v>
      </c>
      <c r="F1583" s="73" t="s">
        <v>2318</v>
      </c>
      <c r="G1583" s="74" t="s">
        <v>808</v>
      </c>
      <c r="H1583" s="75">
        <v>1</v>
      </c>
      <c r="I1583" s="90"/>
      <c r="J1583" s="91">
        <f>ROUND(I1583*H1583,2)</f>
        <v>0</v>
      </c>
      <c r="K1583" s="92"/>
      <c r="L1583" s="12"/>
      <c r="M1583" s="93" t="s">
        <v>1</v>
      </c>
      <c r="N1583" s="94" t="s">
        <v>42</v>
      </c>
      <c r="P1583" s="95">
        <f>O1583*H1583</f>
        <v>0</v>
      </c>
      <c r="Q1583" s="95">
        <v>0</v>
      </c>
      <c r="R1583" s="95">
        <f>Q1583*H1583</f>
        <v>0</v>
      </c>
      <c r="S1583" s="95">
        <v>0</v>
      </c>
      <c r="T1583" s="99">
        <f>S1583*H1583</f>
        <v>0</v>
      </c>
      <c r="AR1583" s="101" t="s">
        <v>218</v>
      </c>
      <c r="AT1583" s="101" t="s">
        <v>214</v>
      </c>
      <c r="AU1583" s="101" t="s">
        <v>87</v>
      </c>
      <c r="AY1583" s="23" t="s">
        <v>211</v>
      </c>
      <c r="BE1583" s="104">
        <f>IF(N1583="základní",J1583,0)</f>
        <v>0</v>
      </c>
      <c r="BF1583" s="104">
        <f>IF(N1583="snížená",J1583,0)</f>
        <v>0</v>
      </c>
      <c r="BG1583" s="104">
        <f>IF(N1583="zákl. přenesená",J1583,0)</f>
        <v>0</v>
      </c>
      <c r="BH1583" s="104">
        <f>IF(N1583="sníž. přenesená",J1583,0)</f>
        <v>0</v>
      </c>
      <c r="BI1583" s="104">
        <f>IF(N1583="nulová",J1583,0)</f>
        <v>0</v>
      </c>
      <c r="BJ1583" s="23" t="s">
        <v>85</v>
      </c>
      <c r="BK1583" s="104">
        <f>ROUND(I1583*H1583,2)</f>
        <v>0</v>
      </c>
      <c r="BL1583" s="23" t="s">
        <v>218</v>
      </c>
      <c r="BM1583" s="101" t="s">
        <v>2319</v>
      </c>
    </row>
    <row r="1584" spans="2:65" s="1" customFormat="1" ht="67.2">
      <c r="B1584" s="12"/>
      <c r="D1584" s="105" t="s">
        <v>227</v>
      </c>
      <c r="F1584" s="106" t="s">
        <v>2023</v>
      </c>
      <c r="I1584" s="107"/>
      <c r="L1584" s="12"/>
      <c r="M1584" s="108"/>
      <c r="T1584" s="111"/>
      <c r="AT1584" s="23" t="s">
        <v>227</v>
      </c>
      <c r="AU1584" s="23" t="s">
        <v>87</v>
      </c>
    </row>
    <row r="1585" spans="2:65" s="1" customFormat="1" ht="55.5" customHeight="1">
      <c r="B1585" s="12"/>
      <c r="C1585" s="71" t="s">
        <v>2320</v>
      </c>
      <c r="D1585" s="71" t="s">
        <v>214</v>
      </c>
      <c r="E1585" s="72" t="s">
        <v>1500</v>
      </c>
      <c r="F1585" s="73" t="s">
        <v>2321</v>
      </c>
      <c r="G1585" s="74" t="s">
        <v>808</v>
      </c>
      <c r="H1585" s="75">
        <v>1</v>
      </c>
      <c r="I1585" s="90"/>
      <c r="J1585" s="91">
        <f>ROUND(I1585*H1585,2)</f>
        <v>0</v>
      </c>
      <c r="K1585" s="92"/>
      <c r="L1585" s="12"/>
      <c r="M1585" s="93" t="s">
        <v>1</v>
      </c>
      <c r="N1585" s="94" t="s">
        <v>42</v>
      </c>
      <c r="P1585" s="95">
        <f>O1585*H1585</f>
        <v>0</v>
      </c>
      <c r="Q1585" s="95">
        <v>0</v>
      </c>
      <c r="R1585" s="95">
        <f>Q1585*H1585</f>
        <v>0</v>
      </c>
      <c r="S1585" s="95">
        <v>0</v>
      </c>
      <c r="T1585" s="99">
        <f>S1585*H1585</f>
        <v>0</v>
      </c>
      <c r="AR1585" s="101" t="s">
        <v>218</v>
      </c>
      <c r="AT1585" s="101" t="s">
        <v>214</v>
      </c>
      <c r="AU1585" s="101" t="s">
        <v>87</v>
      </c>
      <c r="AY1585" s="23" t="s">
        <v>211</v>
      </c>
      <c r="BE1585" s="104">
        <f>IF(N1585="základní",J1585,0)</f>
        <v>0</v>
      </c>
      <c r="BF1585" s="104">
        <f>IF(N1585="snížená",J1585,0)</f>
        <v>0</v>
      </c>
      <c r="BG1585" s="104">
        <f>IF(N1585="zákl. přenesená",J1585,0)</f>
        <v>0</v>
      </c>
      <c r="BH1585" s="104">
        <f>IF(N1585="sníž. přenesená",J1585,0)</f>
        <v>0</v>
      </c>
      <c r="BI1585" s="104">
        <f>IF(N1585="nulová",J1585,0)</f>
        <v>0</v>
      </c>
      <c r="BJ1585" s="23" t="s">
        <v>85</v>
      </c>
      <c r="BK1585" s="104">
        <f>ROUND(I1585*H1585,2)</f>
        <v>0</v>
      </c>
      <c r="BL1585" s="23" t="s">
        <v>218</v>
      </c>
      <c r="BM1585" s="101" t="s">
        <v>2322</v>
      </c>
    </row>
    <row r="1586" spans="2:65" s="1" customFormat="1" ht="67.2">
      <c r="B1586" s="12"/>
      <c r="D1586" s="105" t="s">
        <v>227</v>
      </c>
      <c r="F1586" s="106" t="s">
        <v>2018</v>
      </c>
      <c r="I1586" s="107"/>
      <c r="L1586" s="12"/>
      <c r="M1586" s="108"/>
      <c r="T1586" s="111"/>
      <c r="AT1586" s="23" t="s">
        <v>227</v>
      </c>
      <c r="AU1586" s="23" t="s">
        <v>87</v>
      </c>
    </row>
    <row r="1587" spans="2:65" s="1" customFormat="1" ht="66.75" customHeight="1">
      <c r="B1587" s="12"/>
      <c r="C1587" s="71" t="s">
        <v>2323</v>
      </c>
      <c r="D1587" s="71" t="s">
        <v>214</v>
      </c>
      <c r="E1587" s="72" t="s">
        <v>1505</v>
      </c>
      <c r="F1587" s="73" t="s">
        <v>2324</v>
      </c>
      <c r="G1587" s="74" t="s">
        <v>808</v>
      </c>
      <c r="H1587" s="75">
        <v>1</v>
      </c>
      <c r="I1587" s="90"/>
      <c r="J1587" s="91">
        <f>ROUND(I1587*H1587,2)</f>
        <v>0</v>
      </c>
      <c r="K1587" s="92"/>
      <c r="L1587" s="12"/>
      <c r="M1587" s="93" t="s">
        <v>1</v>
      </c>
      <c r="N1587" s="94" t="s">
        <v>42</v>
      </c>
      <c r="P1587" s="95">
        <f>O1587*H1587</f>
        <v>0</v>
      </c>
      <c r="Q1587" s="95">
        <v>0</v>
      </c>
      <c r="R1587" s="95">
        <f>Q1587*H1587</f>
        <v>0</v>
      </c>
      <c r="S1587" s="95">
        <v>0</v>
      </c>
      <c r="T1587" s="99">
        <f>S1587*H1587</f>
        <v>0</v>
      </c>
      <c r="AR1587" s="101" t="s">
        <v>218</v>
      </c>
      <c r="AT1587" s="101" t="s">
        <v>214</v>
      </c>
      <c r="AU1587" s="101" t="s">
        <v>87</v>
      </c>
      <c r="AY1587" s="23" t="s">
        <v>211</v>
      </c>
      <c r="BE1587" s="104">
        <f>IF(N1587="základní",J1587,0)</f>
        <v>0</v>
      </c>
      <c r="BF1587" s="104">
        <f>IF(N1587="snížená",J1587,0)</f>
        <v>0</v>
      </c>
      <c r="BG1587" s="104">
        <f>IF(N1587="zákl. přenesená",J1587,0)</f>
        <v>0</v>
      </c>
      <c r="BH1587" s="104">
        <f>IF(N1587="sníž. přenesená",J1587,0)</f>
        <v>0</v>
      </c>
      <c r="BI1587" s="104">
        <f>IF(N1587="nulová",J1587,0)</f>
        <v>0</v>
      </c>
      <c r="BJ1587" s="23" t="s">
        <v>85</v>
      </c>
      <c r="BK1587" s="104">
        <f>ROUND(I1587*H1587,2)</f>
        <v>0</v>
      </c>
      <c r="BL1587" s="23" t="s">
        <v>218</v>
      </c>
      <c r="BM1587" s="101" t="s">
        <v>2325</v>
      </c>
    </row>
    <row r="1588" spans="2:65" s="1" customFormat="1" ht="76.8">
      <c r="B1588" s="12"/>
      <c r="D1588" s="105" t="s">
        <v>227</v>
      </c>
      <c r="F1588" s="106" t="s">
        <v>2028</v>
      </c>
      <c r="I1588" s="107"/>
      <c r="L1588" s="12"/>
      <c r="M1588" s="108"/>
      <c r="T1588" s="111"/>
      <c r="AT1588" s="23" t="s">
        <v>227</v>
      </c>
      <c r="AU1588" s="23" t="s">
        <v>87</v>
      </c>
    </row>
    <row r="1589" spans="2:65" s="1" customFormat="1" ht="66.75" customHeight="1">
      <c r="B1589" s="12"/>
      <c r="C1589" s="71" t="s">
        <v>2326</v>
      </c>
      <c r="D1589" s="71" t="s">
        <v>214</v>
      </c>
      <c r="E1589" s="72" t="s">
        <v>1509</v>
      </c>
      <c r="F1589" s="73" t="s">
        <v>2327</v>
      </c>
      <c r="G1589" s="74" t="s">
        <v>808</v>
      </c>
      <c r="H1589" s="75">
        <v>1</v>
      </c>
      <c r="I1589" s="90"/>
      <c r="J1589" s="91">
        <f>ROUND(I1589*H1589,2)</f>
        <v>0</v>
      </c>
      <c r="K1589" s="92"/>
      <c r="L1589" s="12"/>
      <c r="M1589" s="93" t="s">
        <v>1</v>
      </c>
      <c r="N1589" s="94" t="s">
        <v>42</v>
      </c>
      <c r="P1589" s="95">
        <f>O1589*H1589</f>
        <v>0</v>
      </c>
      <c r="Q1589" s="95">
        <v>0</v>
      </c>
      <c r="R1589" s="95">
        <f>Q1589*H1589</f>
        <v>0</v>
      </c>
      <c r="S1589" s="95">
        <v>0</v>
      </c>
      <c r="T1589" s="99">
        <f>S1589*H1589</f>
        <v>0</v>
      </c>
      <c r="AR1589" s="101" t="s">
        <v>218</v>
      </c>
      <c r="AT1589" s="101" t="s">
        <v>214</v>
      </c>
      <c r="AU1589" s="101" t="s">
        <v>87</v>
      </c>
      <c r="AY1589" s="23" t="s">
        <v>211</v>
      </c>
      <c r="BE1589" s="104">
        <f>IF(N1589="základní",J1589,0)</f>
        <v>0</v>
      </c>
      <c r="BF1589" s="104">
        <f>IF(N1589="snížená",J1589,0)</f>
        <v>0</v>
      </c>
      <c r="BG1589" s="104">
        <f>IF(N1589="zákl. přenesená",J1589,0)</f>
        <v>0</v>
      </c>
      <c r="BH1589" s="104">
        <f>IF(N1589="sníž. přenesená",J1589,0)</f>
        <v>0</v>
      </c>
      <c r="BI1589" s="104">
        <f>IF(N1589="nulová",J1589,0)</f>
        <v>0</v>
      </c>
      <c r="BJ1589" s="23" t="s">
        <v>85</v>
      </c>
      <c r="BK1589" s="104">
        <f>ROUND(I1589*H1589,2)</f>
        <v>0</v>
      </c>
      <c r="BL1589" s="23" t="s">
        <v>218</v>
      </c>
      <c r="BM1589" s="101" t="s">
        <v>2328</v>
      </c>
    </row>
    <row r="1590" spans="2:65" s="1" customFormat="1" ht="76.8">
      <c r="B1590" s="12"/>
      <c r="D1590" s="105" t="s">
        <v>227</v>
      </c>
      <c r="F1590" s="106" t="s">
        <v>2013</v>
      </c>
      <c r="I1590" s="107"/>
      <c r="L1590" s="12"/>
      <c r="M1590" s="108"/>
      <c r="T1590" s="111"/>
      <c r="AT1590" s="23" t="s">
        <v>227</v>
      </c>
      <c r="AU1590" s="23" t="s">
        <v>87</v>
      </c>
    </row>
    <row r="1591" spans="2:65" s="1" customFormat="1" ht="55.5" customHeight="1">
      <c r="B1591" s="12"/>
      <c r="C1591" s="71" t="s">
        <v>2329</v>
      </c>
      <c r="D1591" s="71" t="s">
        <v>214</v>
      </c>
      <c r="E1591" s="72" t="s">
        <v>1512</v>
      </c>
      <c r="F1591" s="73" t="s">
        <v>2330</v>
      </c>
      <c r="G1591" s="74" t="s">
        <v>808</v>
      </c>
      <c r="H1591" s="75">
        <v>1</v>
      </c>
      <c r="I1591" s="90"/>
      <c r="J1591" s="91">
        <f>ROUND(I1591*H1591,2)</f>
        <v>0</v>
      </c>
      <c r="K1591" s="92"/>
      <c r="L1591" s="12"/>
      <c r="M1591" s="93" t="s">
        <v>1</v>
      </c>
      <c r="N1591" s="94" t="s">
        <v>42</v>
      </c>
      <c r="P1591" s="95">
        <f>O1591*H1591</f>
        <v>0</v>
      </c>
      <c r="Q1591" s="95">
        <v>0</v>
      </c>
      <c r="R1591" s="95">
        <f>Q1591*H1591</f>
        <v>0</v>
      </c>
      <c r="S1591" s="95">
        <v>0</v>
      </c>
      <c r="T1591" s="99">
        <f>S1591*H1591</f>
        <v>0</v>
      </c>
      <c r="AR1591" s="101" t="s">
        <v>218</v>
      </c>
      <c r="AT1591" s="101" t="s">
        <v>214</v>
      </c>
      <c r="AU1591" s="101" t="s">
        <v>87</v>
      </c>
      <c r="AY1591" s="23" t="s">
        <v>211</v>
      </c>
      <c r="BE1591" s="104">
        <f>IF(N1591="základní",J1591,0)</f>
        <v>0</v>
      </c>
      <c r="BF1591" s="104">
        <f>IF(N1591="snížená",J1591,0)</f>
        <v>0</v>
      </c>
      <c r="BG1591" s="104">
        <f>IF(N1591="zákl. přenesená",J1591,0)</f>
        <v>0</v>
      </c>
      <c r="BH1591" s="104">
        <f>IF(N1591="sníž. přenesená",J1591,0)</f>
        <v>0</v>
      </c>
      <c r="BI1591" s="104">
        <f>IF(N1591="nulová",J1591,0)</f>
        <v>0</v>
      </c>
      <c r="BJ1591" s="23" t="s">
        <v>85</v>
      </c>
      <c r="BK1591" s="104">
        <f>ROUND(I1591*H1591,2)</f>
        <v>0</v>
      </c>
      <c r="BL1591" s="23" t="s">
        <v>218</v>
      </c>
      <c r="BM1591" s="101" t="s">
        <v>2331</v>
      </c>
    </row>
    <row r="1592" spans="2:65" s="1" customFormat="1" ht="67.2">
      <c r="B1592" s="12"/>
      <c r="D1592" s="105" t="s">
        <v>227</v>
      </c>
      <c r="F1592" s="106" t="s">
        <v>2023</v>
      </c>
      <c r="I1592" s="107"/>
      <c r="L1592" s="12"/>
      <c r="M1592" s="108"/>
      <c r="T1592" s="111"/>
      <c r="AT1592" s="23" t="s">
        <v>227</v>
      </c>
      <c r="AU1592" s="23" t="s">
        <v>87</v>
      </c>
    </row>
    <row r="1593" spans="2:65" s="1" customFormat="1" ht="55.5" customHeight="1">
      <c r="B1593" s="12"/>
      <c r="C1593" s="71" t="s">
        <v>2332</v>
      </c>
      <c r="D1593" s="71" t="s">
        <v>214</v>
      </c>
      <c r="E1593" s="72" t="s">
        <v>1515</v>
      </c>
      <c r="F1593" s="73" t="s">
        <v>2333</v>
      </c>
      <c r="G1593" s="74" t="s">
        <v>808</v>
      </c>
      <c r="H1593" s="75">
        <v>1</v>
      </c>
      <c r="I1593" s="90"/>
      <c r="J1593" s="91">
        <f>ROUND(I1593*H1593,2)</f>
        <v>0</v>
      </c>
      <c r="K1593" s="92"/>
      <c r="L1593" s="12"/>
      <c r="M1593" s="93" t="s">
        <v>1</v>
      </c>
      <c r="N1593" s="94" t="s">
        <v>42</v>
      </c>
      <c r="P1593" s="95">
        <f>O1593*H1593</f>
        <v>0</v>
      </c>
      <c r="Q1593" s="95">
        <v>0</v>
      </c>
      <c r="R1593" s="95">
        <f>Q1593*H1593</f>
        <v>0</v>
      </c>
      <c r="S1593" s="95">
        <v>0</v>
      </c>
      <c r="T1593" s="99">
        <f>S1593*H1593</f>
        <v>0</v>
      </c>
      <c r="AR1593" s="101" t="s">
        <v>218</v>
      </c>
      <c r="AT1593" s="101" t="s">
        <v>214</v>
      </c>
      <c r="AU1593" s="101" t="s">
        <v>87</v>
      </c>
      <c r="AY1593" s="23" t="s">
        <v>211</v>
      </c>
      <c r="BE1593" s="104">
        <f>IF(N1593="základní",J1593,0)</f>
        <v>0</v>
      </c>
      <c r="BF1593" s="104">
        <f>IF(N1593="snížená",J1593,0)</f>
        <v>0</v>
      </c>
      <c r="BG1593" s="104">
        <f>IF(N1593="zákl. přenesená",J1593,0)</f>
        <v>0</v>
      </c>
      <c r="BH1593" s="104">
        <f>IF(N1593="sníž. přenesená",J1593,0)</f>
        <v>0</v>
      </c>
      <c r="BI1593" s="104">
        <f>IF(N1593="nulová",J1593,0)</f>
        <v>0</v>
      </c>
      <c r="BJ1593" s="23" t="s">
        <v>85</v>
      </c>
      <c r="BK1593" s="104">
        <f>ROUND(I1593*H1593,2)</f>
        <v>0</v>
      </c>
      <c r="BL1593" s="23" t="s">
        <v>218</v>
      </c>
      <c r="BM1593" s="101" t="s">
        <v>2334</v>
      </c>
    </row>
    <row r="1594" spans="2:65" s="1" customFormat="1" ht="67.2">
      <c r="B1594" s="12"/>
      <c r="D1594" s="105" t="s">
        <v>227</v>
      </c>
      <c r="F1594" s="106" t="s">
        <v>2018</v>
      </c>
      <c r="I1594" s="107"/>
      <c r="L1594" s="12"/>
      <c r="M1594" s="108"/>
      <c r="T1594" s="111"/>
      <c r="AT1594" s="23" t="s">
        <v>227</v>
      </c>
      <c r="AU1594" s="23" t="s">
        <v>87</v>
      </c>
    </row>
    <row r="1595" spans="2:65" s="1" customFormat="1" ht="66.75" customHeight="1">
      <c r="B1595" s="12"/>
      <c r="C1595" s="71" t="s">
        <v>2335</v>
      </c>
      <c r="D1595" s="71" t="s">
        <v>214</v>
      </c>
      <c r="E1595" s="72" t="s">
        <v>1520</v>
      </c>
      <c r="F1595" s="73" t="s">
        <v>2336</v>
      </c>
      <c r="G1595" s="74" t="s">
        <v>808</v>
      </c>
      <c r="H1595" s="75">
        <v>1</v>
      </c>
      <c r="I1595" s="90"/>
      <c r="J1595" s="91">
        <f>ROUND(I1595*H1595,2)</f>
        <v>0</v>
      </c>
      <c r="K1595" s="92"/>
      <c r="L1595" s="12"/>
      <c r="M1595" s="93" t="s">
        <v>1</v>
      </c>
      <c r="N1595" s="94" t="s">
        <v>42</v>
      </c>
      <c r="P1595" s="95">
        <f>O1595*H1595</f>
        <v>0</v>
      </c>
      <c r="Q1595" s="95">
        <v>0</v>
      </c>
      <c r="R1595" s="95">
        <f>Q1595*H1595</f>
        <v>0</v>
      </c>
      <c r="S1595" s="95">
        <v>0</v>
      </c>
      <c r="T1595" s="99">
        <f>S1595*H1595</f>
        <v>0</v>
      </c>
      <c r="AR1595" s="101" t="s">
        <v>218</v>
      </c>
      <c r="AT1595" s="101" t="s">
        <v>214</v>
      </c>
      <c r="AU1595" s="101" t="s">
        <v>87</v>
      </c>
      <c r="AY1595" s="23" t="s">
        <v>211</v>
      </c>
      <c r="BE1595" s="104">
        <f>IF(N1595="základní",J1595,0)</f>
        <v>0</v>
      </c>
      <c r="BF1595" s="104">
        <f>IF(N1595="snížená",J1595,0)</f>
        <v>0</v>
      </c>
      <c r="BG1595" s="104">
        <f>IF(N1595="zákl. přenesená",J1595,0)</f>
        <v>0</v>
      </c>
      <c r="BH1595" s="104">
        <f>IF(N1595="sníž. přenesená",J1595,0)</f>
        <v>0</v>
      </c>
      <c r="BI1595" s="104">
        <f>IF(N1595="nulová",J1595,0)</f>
        <v>0</v>
      </c>
      <c r="BJ1595" s="23" t="s">
        <v>85</v>
      </c>
      <c r="BK1595" s="104">
        <f>ROUND(I1595*H1595,2)</f>
        <v>0</v>
      </c>
      <c r="BL1595" s="23" t="s">
        <v>218</v>
      </c>
      <c r="BM1595" s="101" t="s">
        <v>2337</v>
      </c>
    </row>
    <row r="1596" spans="2:65" s="1" customFormat="1" ht="76.8">
      <c r="B1596" s="12"/>
      <c r="D1596" s="105" t="s">
        <v>227</v>
      </c>
      <c r="F1596" s="106" t="s">
        <v>2028</v>
      </c>
      <c r="I1596" s="107"/>
      <c r="L1596" s="12"/>
      <c r="M1596" s="108"/>
      <c r="T1596" s="111"/>
      <c r="AT1596" s="23" t="s">
        <v>227</v>
      </c>
      <c r="AU1596" s="23" t="s">
        <v>87</v>
      </c>
    </row>
    <row r="1597" spans="2:65" s="1" customFormat="1" ht="55.5" customHeight="1">
      <c r="B1597" s="12"/>
      <c r="C1597" s="71" t="s">
        <v>2338</v>
      </c>
      <c r="D1597" s="71" t="s">
        <v>214</v>
      </c>
      <c r="E1597" s="72" t="s">
        <v>1524</v>
      </c>
      <c r="F1597" s="73" t="s">
        <v>2339</v>
      </c>
      <c r="G1597" s="74" t="s">
        <v>808</v>
      </c>
      <c r="H1597" s="75">
        <v>1</v>
      </c>
      <c r="I1597" s="90"/>
      <c r="J1597" s="91">
        <f>ROUND(I1597*H1597,2)</f>
        <v>0</v>
      </c>
      <c r="K1597" s="92"/>
      <c r="L1597" s="12"/>
      <c r="M1597" s="93" t="s">
        <v>1</v>
      </c>
      <c r="N1597" s="94" t="s">
        <v>42</v>
      </c>
      <c r="P1597" s="95">
        <f>O1597*H1597</f>
        <v>0</v>
      </c>
      <c r="Q1597" s="95">
        <v>0</v>
      </c>
      <c r="R1597" s="95">
        <f>Q1597*H1597</f>
        <v>0</v>
      </c>
      <c r="S1597" s="95">
        <v>0</v>
      </c>
      <c r="T1597" s="99">
        <f>S1597*H1597</f>
        <v>0</v>
      </c>
      <c r="AR1597" s="101" t="s">
        <v>218</v>
      </c>
      <c r="AT1597" s="101" t="s">
        <v>214</v>
      </c>
      <c r="AU1597" s="101" t="s">
        <v>87</v>
      </c>
      <c r="AY1597" s="23" t="s">
        <v>211</v>
      </c>
      <c r="BE1597" s="104">
        <f>IF(N1597="základní",J1597,0)</f>
        <v>0</v>
      </c>
      <c r="BF1597" s="104">
        <f>IF(N1597="snížená",J1597,0)</f>
        <v>0</v>
      </c>
      <c r="BG1597" s="104">
        <f>IF(N1597="zákl. přenesená",J1597,0)</f>
        <v>0</v>
      </c>
      <c r="BH1597" s="104">
        <f>IF(N1597="sníž. přenesená",J1597,0)</f>
        <v>0</v>
      </c>
      <c r="BI1597" s="104">
        <f>IF(N1597="nulová",J1597,0)</f>
        <v>0</v>
      </c>
      <c r="BJ1597" s="23" t="s">
        <v>85</v>
      </c>
      <c r="BK1597" s="104">
        <f>ROUND(I1597*H1597,2)</f>
        <v>0</v>
      </c>
      <c r="BL1597" s="23" t="s">
        <v>218</v>
      </c>
      <c r="BM1597" s="101" t="s">
        <v>2340</v>
      </c>
    </row>
    <row r="1598" spans="2:65" s="1" customFormat="1" ht="67.2">
      <c r="B1598" s="12"/>
      <c r="D1598" s="105" t="s">
        <v>227</v>
      </c>
      <c r="F1598" s="106" t="s">
        <v>2023</v>
      </c>
      <c r="I1598" s="107"/>
      <c r="L1598" s="12"/>
      <c r="M1598" s="108"/>
      <c r="T1598" s="111"/>
      <c r="AT1598" s="23" t="s">
        <v>227</v>
      </c>
      <c r="AU1598" s="23" t="s">
        <v>87</v>
      </c>
    </row>
    <row r="1599" spans="2:65" s="1" customFormat="1" ht="66.75" customHeight="1">
      <c r="B1599" s="12"/>
      <c r="C1599" s="71" t="s">
        <v>2341</v>
      </c>
      <c r="D1599" s="71" t="s">
        <v>214</v>
      </c>
      <c r="E1599" s="72" t="s">
        <v>1532</v>
      </c>
      <c r="F1599" s="73" t="s">
        <v>2342</v>
      </c>
      <c r="G1599" s="74" t="s">
        <v>808</v>
      </c>
      <c r="H1599" s="75">
        <v>1</v>
      </c>
      <c r="I1599" s="90"/>
      <c r="J1599" s="91">
        <f>ROUND(I1599*H1599,2)</f>
        <v>0</v>
      </c>
      <c r="K1599" s="92"/>
      <c r="L1599" s="12"/>
      <c r="M1599" s="93" t="s">
        <v>1</v>
      </c>
      <c r="N1599" s="94" t="s">
        <v>42</v>
      </c>
      <c r="P1599" s="95">
        <f>O1599*H1599</f>
        <v>0</v>
      </c>
      <c r="Q1599" s="95">
        <v>0</v>
      </c>
      <c r="R1599" s="95">
        <f>Q1599*H1599</f>
        <v>0</v>
      </c>
      <c r="S1599" s="95">
        <v>0</v>
      </c>
      <c r="T1599" s="99">
        <f>S1599*H1599</f>
        <v>0</v>
      </c>
      <c r="AR1599" s="101" t="s">
        <v>218</v>
      </c>
      <c r="AT1599" s="101" t="s">
        <v>214</v>
      </c>
      <c r="AU1599" s="101" t="s">
        <v>87</v>
      </c>
      <c r="AY1599" s="23" t="s">
        <v>211</v>
      </c>
      <c r="BE1599" s="104">
        <f>IF(N1599="základní",J1599,0)</f>
        <v>0</v>
      </c>
      <c r="BF1599" s="104">
        <f>IF(N1599="snížená",J1599,0)</f>
        <v>0</v>
      </c>
      <c r="BG1599" s="104">
        <f>IF(N1599="zákl. přenesená",J1599,0)</f>
        <v>0</v>
      </c>
      <c r="BH1599" s="104">
        <f>IF(N1599="sníž. přenesená",J1599,0)</f>
        <v>0</v>
      </c>
      <c r="BI1599" s="104">
        <f>IF(N1599="nulová",J1599,0)</f>
        <v>0</v>
      </c>
      <c r="BJ1599" s="23" t="s">
        <v>85</v>
      </c>
      <c r="BK1599" s="104">
        <f>ROUND(I1599*H1599,2)</f>
        <v>0</v>
      </c>
      <c r="BL1599" s="23" t="s">
        <v>218</v>
      </c>
      <c r="BM1599" s="101" t="s">
        <v>2343</v>
      </c>
    </row>
    <row r="1600" spans="2:65" s="1" customFormat="1" ht="76.8">
      <c r="B1600" s="12"/>
      <c r="D1600" s="105" t="s">
        <v>227</v>
      </c>
      <c r="F1600" s="106" t="s">
        <v>2013</v>
      </c>
      <c r="I1600" s="107"/>
      <c r="L1600" s="12"/>
      <c r="M1600" s="108"/>
      <c r="T1600" s="111"/>
      <c r="AT1600" s="23" t="s">
        <v>227</v>
      </c>
      <c r="AU1600" s="23" t="s">
        <v>87</v>
      </c>
    </row>
    <row r="1601" spans="2:65" s="1" customFormat="1" ht="55.5" customHeight="1">
      <c r="B1601" s="12"/>
      <c r="C1601" s="71" t="s">
        <v>2344</v>
      </c>
      <c r="D1601" s="71" t="s">
        <v>214</v>
      </c>
      <c r="E1601" s="72" t="s">
        <v>1536</v>
      </c>
      <c r="F1601" s="73" t="s">
        <v>2345</v>
      </c>
      <c r="G1601" s="74" t="s">
        <v>808</v>
      </c>
      <c r="H1601" s="75">
        <v>1</v>
      </c>
      <c r="I1601" s="90"/>
      <c r="J1601" s="91">
        <f>ROUND(I1601*H1601,2)</f>
        <v>0</v>
      </c>
      <c r="K1601" s="92"/>
      <c r="L1601" s="12"/>
      <c r="M1601" s="93" t="s">
        <v>1</v>
      </c>
      <c r="N1601" s="94" t="s">
        <v>42</v>
      </c>
      <c r="P1601" s="95">
        <f>O1601*H1601</f>
        <v>0</v>
      </c>
      <c r="Q1601" s="95">
        <v>0</v>
      </c>
      <c r="R1601" s="95">
        <f>Q1601*H1601</f>
        <v>0</v>
      </c>
      <c r="S1601" s="95">
        <v>0</v>
      </c>
      <c r="T1601" s="99">
        <f>S1601*H1601</f>
        <v>0</v>
      </c>
      <c r="AR1601" s="101" t="s">
        <v>218</v>
      </c>
      <c r="AT1601" s="101" t="s">
        <v>214</v>
      </c>
      <c r="AU1601" s="101" t="s">
        <v>87</v>
      </c>
      <c r="AY1601" s="23" t="s">
        <v>211</v>
      </c>
      <c r="BE1601" s="104">
        <f>IF(N1601="základní",J1601,0)</f>
        <v>0</v>
      </c>
      <c r="BF1601" s="104">
        <f>IF(N1601="snížená",J1601,0)</f>
        <v>0</v>
      </c>
      <c r="BG1601" s="104">
        <f>IF(N1601="zákl. přenesená",J1601,0)</f>
        <v>0</v>
      </c>
      <c r="BH1601" s="104">
        <f>IF(N1601="sníž. přenesená",J1601,0)</f>
        <v>0</v>
      </c>
      <c r="BI1601" s="104">
        <f>IF(N1601="nulová",J1601,0)</f>
        <v>0</v>
      </c>
      <c r="BJ1601" s="23" t="s">
        <v>85</v>
      </c>
      <c r="BK1601" s="104">
        <f>ROUND(I1601*H1601,2)</f>
        <v>0</v>
      </c>
      <c r="BL1601" s="23" t="s">
        <v>218</v>
      </c>
      <c r="BM1601" s="101" t="s">
        <v>2346</v>
      </c>
    </row>
    <row r="1602" spans="2:65" s="1" customFormat="1" ht="67.2">
      <c r="B1602" s="12"/>
      <c r="D1602" s="105" t="s">
        <v>227</v>
      </c>
      <c r="F1602" s="106" t="s">
        <v>2018</v>
      </c>
      <c r="I1602" s="107"/>
      <c r="L1602" s="12"/>
      <c r="M1602" s="108"/>
      <c r="T1602" s="111"/>
      <c r="AT1602" s="23" t="s">
        <v>227</v>
      </c>
      <c r="AU1602" s="23" t="s">
        <v>87</v>
      </c>
    </row>
    <row r="1603" spans="2:65" s="1" customFormat="1" ht="55.5" customHeight="1">
      <c r="B1603" s="12"/>
      <c r="C1603" s="71" t="s">
        <v>2347</v>
      </c>
      <c r="D1603" s="71" t="s">
        <v>214</v>
      </c>
      <c r="E1603" s="72" t="s">
        <v>1540</v>
      </c>
      <c r="F1603" s="73" t="s">
        <v>2348</v>
      </c>
      <c r="G1603" s="74" t="s">
        <v>808</v>
      </c>
      <c r="H1603" s="75">
        <v>1</v>
      </c>
      <c r="I1603" s="90"/>
      <c r="J1603" s="91">
        <f>ROUND(I1603*H1603,2)</f>
        <v>0</v>
      </c>
      <c r="K1603" s="92"/>
      <c r="L1603" s="12"/>
      <c r="M1603" s="93" t="s">
        <v>1</v>
      </c>
      <c r="N1603" s="94" t="s">
        <v>42</v>
      </c>
      <c r="P1603" s="95">
        <f>O1603*H1603</f>
        <v>0</v>
      </c>
      <c r="Q1603" s="95">
        <v>0</v>
      </c>
      <c r="R1603" s="95">
        <f>Q1603*H1603</f>
        <v>0</v>
      </c>
      <c r="S1603" s="95">
        <v>0</v>
      </c>
      <c r="T1603" s="99">
        <f>S1603*H1603</f>
        <v>0</v>
      </c>
      <c r="AR1603" s="101" t="s">
        <v>218</v>
      </c>
      <c r="AT1603" s="101" t="s">
        <v>214</v>
      </c>
      <c r="AU1603" s="101" t="s">
        <v>87</v>
      </c>
      <c r="AY1603" s="23" t="s">
        <v>211</v>
      </c>
      <c r="BE1603" s="104">
        <f>IF(N1603="základní",J1603,0)</f>
        <v>0</v>
      </c>
      <c r="BF1603" s="104">
        <f>IF(N1603="snížená",J1603,0)</f>
        <v>0</v>
      </c>
      <c r="BG1603" s="104">
        <f>IF(N1603="zákl. přenesená",J1603,0)</f>
        <v>0</v>
      </c>
      <c r="BH1603" s="104">
        <f>IF(N1603="sníž. přenesená",J1603,0)</f>
        <v>0</v>
      </c>
      <c r="BI1603" s="104">
        <f>IF(N1603="nulová",J1603,0)</f>
        <v>0</v>
      </c>
      <c r="BJ1603" s="23" t="s">
        <v>85</v>
      </c>
      <c r="BK1603" s="104">
        <f>ROUND(I1603*H1603,2)</f>
        <v>0</v>
      </c>
      <c r="BL1603" s="23" t="s">
        <v>218</v>
      </c>
      <c r="BM1603" s="101" t="s">
        <v>2349</v>
      </c>
    </row>
    <row r="1604" spans="2:65" s="1" customFormat="1" ht="67.2">
      <c r="B1604" s="12"/>
      <c r="D1604" s="105" t="s">
        <v>227</v>
      </c>
      <c r="F1604" s="106" t="s">
        <v>2018</v>
      </c>
      <c r="I1604" s="107"/>
      <c r="L1604" s="12"/>
      <c r="M1604" s="108"/>
      <c r="T1604" s="111"/>
      <c r="AT1604" s="23" t="s">
        <v>227</v>
      </c>
      <c r="AU1604" s="23" t="s">
        <v>87</v>
      </c>
    </row>
    <row r="1605" spans="2:65" s="1" customFormat="1" ht="55.5" customHeight="1">
      <c r="B1605" s="12"/>
      <c r="C1605" s="71" t="s">
        <v>2350</v>
      </c>
      <c r="D1605" s="71" t="s">
        <v>214</v>
      </c>
      <c r="E1605" s="72" t="s">
        <v>1544</v>
      </c>
      <c r="F1605" s="73" t="s">
        <v>2351</v>
      </c>
      <c r="G1605" s="74" t="s">
        <v>808</v>
      </c>
      <c r="H1605" s="75">
        <v>1</v>
      </c>
      <c r="I1605" s="90"/>
      <c r="J1605" s="91">
        <f>ROUND(I1605*H1605,2)</f>
        <v>0</v>
      </c>
      <c r="K1605" s="92"/>
      <c r="L1605" s="12"/>
      <c r="M1605" s="93" t="s">
        <v>1</v>
      </c>
      <c r="N1605" s="94" t="s">
        <v>42</v>
      </c>
      <c r="P1605" s="95">
        <f>O1605*H1605</f>
        <v>0</v>
      </c>
      <c r="Q1605" s="95">
        <v>0</v>
      </c>
      <c r="R1605" s="95">
        <f>Q1605*H1605</f>
        <v>0</v>
      </c>
      <c r="S1605" s="95">
        <v>0</v>
      </c>
      <c r="T1605" s="99">
        <f>S1605*H1605</f>
        <v>0</v>
      </c>
      <c r="AR1605" s="101" t="s">
        <v>218</v>
      </c>
      <c r="AT1605" s="101" t="s">
        <v>214</v>
      </c>
      <c r="AU1605" s="101" t="s">
        <v>87</v>
      </c>
      <c r="AY1605" s="23" t="s">
        <v>211</v>
      </c>
      <c r="BE1605" s="104">
        <f>IF(N1605="základní",J1605,0)</f>
        <v>0</v>
      </c>
      <c r="BF1605" s="104">
        <f>IF(N1605="snížená",J1605,0)</f>
        <v>0</v>
      </c>
      <c r="BG1605" s="104">
        <f>IF(N1605="zákl. přenesená",J1605,0)</f>
        <v>0</v>
      </c>
      <c r="BH1605" s="104">
        <f>IF(N1605="sníž. přenesená",J1605,0)</f>
        <v>0</v>
      </c>
      <c r="BI1605" s="104">
        <f>IF(N1605="nulová",J1605,0)</f>
        <v>0</v>
      </c>
      <c r="BJ1605" s="23" t="s">
        <v>85</v>
      </c>
      <c r="BK1605" s="104">
        <f>ROUND(I1605*H1605,2)</f>
        <v>0</v>
      </c>
      <c r="BL1605" s="23" t="s">
        <v>218</v>
      </c>
      <c r="BM1605" s="101" t="s">
        <v>2352</v>
      </c>
    </row>
    <row r="1606" spans="2:65" s="1" customFormat="1" ht="67.2">
      <c r="B1606" s="12"/>
      <c r="D1606" s="105" t="s">
        <v>227</v>
      </c>
      <c r="F1606" s="106" t="s">
        <v>2023</v>
      </c>
      <c r="I1606" s="107"/>
      <c r="L1606" s="12"/>
      <c r="M1606" s="108"/>
      <c r="T1606" s="111"/>
      <c r="AT1606" s="23" t="s">
        <v>227</v>
      </c>
      <c r="AU1606" s="23" t="s">
        <v>87</v>
      </c>
    </row>
    <row r="1607" spans="2:65" s="1" customFormat="1" ht="55.5" customHeight="1">
      <c r="B1607" s="12"/>
      <c r="C1607" s="71" t="s">
        <v>2353</v>
      </c>
      <c r="D1607" s="71" t="s">
        <v>214</v>
      </c>
      <c r="E1607" s="72" t="s">
        <v>1548</v>
      </c>
      <c r="F1607" s="73" t="s">
        <v>2354</v>
      </c>
      <c r="G1607" s="74" t="s">
        <v>808</v>
      </c>
      <c r="H1607" s="75">
        <v>1</v>
      </c>
      <c r="I1607" s="90"/>
      <c r="J1607" s="91">
        <f>ROUND(I1607*H1607,2)</f>
        <v>0</v>
      </c>
      <c r="K1607" s="92"/>
      <c r="L1607" s="12"/>
      <c r="M1607" s="93" t="s">
        <v>1</v>
      </c>
      <c r="N1607" s="94" t="s">
        <v>42</v>
      </c>
      <c r="P1607" s="95">
        <f>O1607*H1607</f>
        <v>0</v>
      </c>
      <c r="Q1607" s="95">
        <v>0</v>
      </c>
      <c r="R1607" s="95">
        <f>Q1607*H1607</f>
        <v>0</v>
      </c>
      <c r="S1607" s="95">
        <v>0</v>
      </c>
      <c r="T1607" s="99">
        <f>S1607*H1607</f>
        <v>0</v>
      </c>
      <c r="AR1607" s="101" t="s">
        <v>218</v>
      </c>
      <c r="AT1607" s="101" t="s">
        <v>214</v>
      </c>
      <c r="AU1607" s="101" t="s">
        <v>87</v>
      </c>
      <c r="AY1607" s="23" t="s">
        <v>211</v>
      </c>
      <c r="BE1607" s="104">
        <f>IF(N1607="základní",J1607,0)</f>
        <v>0</v>
      </c>
      <c r="BF1607" s="104">
        <f>IF(N1607="snížená",J1607,0)</f>
        <v>0</v>
      </c>
      <c r="BG1607" s="104">
        <f>IF(N1607="zákl. přenesená",J1607,0)</f>
        <v>0</v>
      </c>
      <c r="BH1607" s="104">
        <f>IF(N1607="sníž. přenesená",J1607,0)</f>
        <v>0</v>
      </c>
      <c r="BI1607" s="104">
        <f>IF(N1607="nulová",J1607,0)</f>
        <v>0</v>
      </c>
      <c r="BJ1607" s="23" t="s">
        <v>85</v>
      </c>
      <c r="BK1607" s="104">
        <f>ROUND(I1607*H1607,2)</f>
        <v>0</v>
      </c>
      <c r="BL1607" s="23" t="s">
        <v>218</v>
      </c>
      <c r="BM1607" s="101" t="s">
        <v>2355</v>
      </c>
    </row>
    <row r="1608" spans="2:65" s="1" customFormat="1" ht="67.2">
      <c r="B1608" s="12"/>
      <c r="D1608" s="105" t="s">
        <v>227</v>
      </c>
      <c r="F1608" s="106" t="s">
        <v>2023</v>
      </c>
      <c r="I1608" s="107"/>
      <c r="L1608" s="12"/>
      <c r="M1608" s="108"/>
      <c r="T1608" s="111"/>
      <c r="AT1608" s="23" t="s">
        <v>227</v>
      </c>
      <c r="AU1608" s="23" t="s">
        <v>87</v>
      </c>
    </row>
    <row r="1609" spans="2:65" s="1" customFormat="1" ht="55.5" customHeight="1">
      <c r="B1609" s="12"/>
      <c r="C1609" s="71" t="s">
        <v>2356</v>
      </c>
      <c r="D1609" s="71" t="s">
        <v>214</v>
      </c>
      <c r="E1609" s="72" t="s">
        <v>1552</v>
      </c>
      <c r="F1609" s="73" t="s">
        <v>2357</v>
      </c>
      <c r="G1609" s="74" t="s">
        <v>808</v>
      </c>
      <c r="H1609" s="75">
        <v>1</v>
      </c>
      <c r="I1609" s="90"/>
      <c r="J1609" s="91">
        <f>ROUND(I1609*H1609,2)</f>
        <v>0</v>
      </c>
      <c r="K1609" s="92"/>
      <c r="L1609" s="12"/>
      <c r="M1609" s="93" t="s">
        <v>1</v>
      </c>
      <c r="N1609" s="94" t="s">
        <v>42</v>
      </c>
      <c r="P1609" s="95">
        <f>O1609*H1609</f>
        <v>0</v>
      </c>
      <c r="Q1609" s="95">
        <v>0</v>
      </c>
      <c r="R1609" s="95">
        <f>Q1609*H1609</f>
        <v>0</v>
      </c>
      <c r="S1609" s="95">
        <v>0</v>
      </c>
      <c r="T1609" s="99">
        <f>S1609*H1609</f>
        <v>0</v>
      </c>
      <c r="AR1609" s="101" t="s">
        <v>218</v>
      </c>
      <c r="AT1609" s="101" t="s">
        <v>214</v>
      </c>
      <c r="AU1609" s="101" t="s">
        <v>87</v>
      </c>
      <c r="AY1609" s="23" t="s">
        <v>211</v>
      </c>
      <c r="BE1609" s="104">
        <f>IF(N1609="základní",J1609,0)</f>
        <v>0</v>
      </c>
      <c r="BF1609" s="104">
        <f>IF(N1609="snížená",J1609,0)</f>
        <v>0</v>
      </c>
      <c r="BG1609" s="104">
        <f>IF(N1609="zákl. přenesená",J1609,0)</f>
        <v>0</v>
      </c>
      <c r="BH1609" s="104">
        <f>IF(N1609="sníž. přenesená",J1609,0)</f>
        <v>0</v>
      </c>
      <c r="BI1609" s="104">
        <f>IF(N1609="nulová",J1609,0)</f>
        <v>0</v>
      </c>
      <c r="BJ1609" s="23" t="s">
        <v>85</v>
      </c>
      <c r="BK1609" s="104">
        <f>ROUND(I1609*H1609,2)</f>
        <v>0</v>
      </c>
      <c r="BL1609" s="23" t="s">
        <v>218</v>
      </c>
      <c r="BM1609" s="101" t="s">
        <v>2358</v>
      </c>
    </row>
    <row r="1610" spans="2:65" s="1" customFormat="1" ht="67.2">
      <c r="B1610" s="12"/>
      <c r="D1610" s="105" t="s">
        <v>227</v>
      </c>
      <c r="F1610" s="106" t="s">
        <v>2033</v>
      </c>
      <c r="I1610" s="107"/>
      <c r="L1610" s="12"/>
      <c r="M1610" s="108"/>
      <c r="T1610" s="111"/>
      <c r="AT1610" s="23" t="s">
        <v>227</v>
      </c>
      <c r="AU1610" s="23" t="s">
        <v>87</v>
      </c>
    </row>
    <row r="1611" spans="2:65" s="1" customFormat="1" ht="66.75" customHeight="1">
      <c r="B1611" s="12"/>
      <c r="C1611" s="71" t="s">
        <v>2359</v>
      </c>
      <c r="D1611" s="71" t="s">
        <v>214</v>
      </c>
      <c r="E1611" s="72" t="s">
        <v>1556</v>
      </c>
      <c r="F1611" s="73" t="s">
        <v>2360</v>
      </c>
      <c r="G1611" s="74" t="s">
        <v>808</v>
      </c>
      <c r="H1611" s="75">
        <v>1</v>
      </c>
      <c r="I1611" s="90"/>
      <c r="J1611" s="91">
        <f>ROUND(I1611*H1611,2)</f>
        <v>0</v>
      </c>
      <c r="K1611" s="92"/>
      <c r="L1611" s="12"/>
      <c r="M1611" s="93" t="s">
        <v>1</v>
      </c>
      <c r="N1611" s="94" t="s">
        <v>42</v>
      </c>
      <c r="P1611" s="95">
        <f>O1611*H1611</f>
        <v>0</v>
      </c>
      <c r="Q1611" s="95">
        <v>0</v>
      </c>
      <c r="R1611" s="95">
        <f>Q1611*H1611</f>
        <v>0</v>
      </c>
      <c r="S1611" s="95">
        <v>0</v>
      </c>
      <c r="T1611" s="99">
        <f>S1611*H1611</f>
        <v>0</v>
      </c>
      <c r="AR1611" s="101" t="s">
        <v>218</v>
      </c>
      <c r="AT1611" s="101" t="s">
        <v>214</v>
      </c>
      <c r="AU1611" s="101" t="s">
        <v>87</v>
      </c>
      <c r="AY1611" s="23" t="s">
        <v>211</v>
      </c>
      <c r="BE1611" s="104">
        <f>IF(N1611="základní",J1611,0)</f>
        <v>0</v>
      </c>
      <c r="BF1611" s="104">
        <f>IF(N1611="snížená",J1611,0)</f>
        <v>0</v>
      </c>
      <c r="BG1611" s="104">
        <f>IF(N1611="zákl. přenesená",J1611,0)</f>
        <v>0</v>
      </c>
      <c r="BH1611" s="104">
        <f>IF(N1611="sníž. přenesená",J1611,0)</f>
        <v>0</v>
      </c>
      <c r="BI1611" s="104">
        <f>IF(N1611="nulová",J1611,0)</f>
        <v>0</v>
      </c>
      <c r="BJ1611" s="23" t="s">
        <v>85</v>
      </c>
      <c r="BK1611" s="104">
        <f>ROUND(I1611*H1611,2)</f>
        <v>0</v>
      </c>
      <c r="BL1611" s="23" t="s">
        <v>218</v>
      </c>
      <c r="BM1611" s="101" t="s">
        <v>2361</v>
      </c>
    </row>
    <row r="1612" spans="2:65" s="1" customFormat="1" ht="76.8">
      <c r="B1612" s="12"/>
      <c r="D1612" s="105" t="s">
        <v>227</v>
      </c>
      <c r="F1612" s="106" t="s">
        <v>2028</v>
      </c>
      <c r="I1612" s="107"/>
      <c r="L1612" s="12"/>
      <c r="M1612" s="108"/>
      <c r="T1612" s="111"/>
      <c r="AT1612" s="23" t="s">
        <v>227</v>
      </c>
      <c r="AU1612" s="23" t="s">
        <v>87</v>
      </c>
    </row>
    <row r="1613" spans="2:65" s="1" customFormat="1" ht="66.75" customHeight="1">
      <c r="B1613" s="12"/>
      <c r="C1613" s="71" t="s">
        <v>2362</v>
      </c>
      <c r="D1613" s="71" t="s">
        <v>214</v>
      </c>
      <c r="E1613" s="72" t="s">
        <v>1560</v>
      </c>
      <c r="F1613" s="73" t="s">
        <v>2363</v>
      </c>
      <c r="G1613" s="74" t="s">
        <v>808</v>
      </c>
      <c r="H1613" s="75">
        <v>1</v>
      </c>
      <c r="I1613" s="90"/>
      <c r="J1613" s="91">
        <f>ROUND(I1613*H1613,2)</f>
        <v>0</v>
      </c>
      <c r="K1613" s="92"/>
      <c r="L1613" s="12"/>
      <c r="M1613" s="93" t="s">
        <v>1</v>
      </c>
      <c r="N1613" s="94" t="s">
        <v>42</v>
      </c>
      <c r="P1613" s="95">
        <f>O1613*H1613</f>
        <v>0</v>
      </c>
      <c r="Q1613" s="95">
        <v>0</v>
      </c>
      <c r="R1613" s="95">
        <f>Q1613*H1613</f>
        <v>0</v>
      </c>
      <c r="S1613" s="95">
        <v>0</v>
      </c>
      <c r="T1613" s="99">
        <f>S1613*H1613</f>
        <v>0</v>
      </c>
      <c r="AR1613" s="101" t="s">
        <v>218</v>
      </c>
      <c r="AT1613" s="101" t="s">
        <v>214</v>
      </c>
      <c r="AU1613" s="101" t="s">
        <v>87</v>
      </c>
      <c r="AY1613" s="23" t="s">
        <v>211</v>
      </c>
      <c r="BE1613" s="104">
        <f>IF(N1613="základní",J1613,0)</f>
        <v>0</v>
      </c>
      <c r="BF1613" s="104">
        <f>IF(N1613="snížená",J1613,0)</f>
        <v>0</v>
      </c>
      <c r="BG1613" s="104">
        <f>IF(N1613="zákl. přenesená",J1613,0)</f>
        <v>0</v>
      </c>
      <c r="BH1613" s="104">
        <f>IF(N1613="sníž. přenesená",J1613,0)</f>
        <v>0</v>
      </c>
      <c r="BI1613" s="104">
        <f>IF(N1613="nulová",J1613,0)</f>
        <v>0</v>
      </c>
      <c r="BJ1613" s="23" t="s">
        <v>85</v>
      </c>
      <c r="BK1613" s="104">
        <f>ROUND(I1613*H1613,2)</f>
        <v>0</v>
      </c>
      <c r="BL1613" s="23" t="s">
        <v>218</v>
      </c>
      <c r="BM1613" s="101" t="s">
        <v>2364</v>
      </c>
    </row>
    <row r="1614" spans="2:65" s="1" customFormat="1" ht="76.8">
      <c r="B1614" s="12"/>
      <c r="D1614" s="105" t="s">
        <v>227</v>
      </c>
      <c r="F1614" s="106" t="s">
        <v>2013</v>
      </c>
      <c r="I1614" s="107"/>
      <c r="L1614" s="12"/>
      <c r="M1614" s="108"/>
      <c r="T1614" s="111"/>
      <c r="AT1614" s="23" t="s">
        <v>227</v>
      </c>
      <c r="AU1614" s="23" t="s">
        <v>87</v>
      </c>
    </row>
    <row r="1615" spans="2:65" s="1" customFormat="1" ht="55.5" customHeight="1">
      <c r="B1615" s="12"/>
      <c r="C1615" s="71" t="s">
        <v>2365</v>
      </c>
      <c r="D1615" s="71" t="s">
        <v>214</v>
      </c>
      <c r="E1615" s="72" t="s">
        <v>1564</v>
      </c>
      <c r="F1615" s="73" t="s">
        <v>2366</v>
      </c>
      <c r="G1615" s="74" t="s">
        <v>808</v>
      </c>
      <c r="H1615" s="75">
        <v>1</v>
      </c>
      <c r="I1615" s="90"/>
      <c r="J1615" s="91">
        <f>ROUND(I1615*H1615,2)</f>
        <v>0</v>
      </c>
      <c r="K1615" s="92"/>
      <c r="L1615" s="12"/>
      <c r="M1615" s="93" t="s">
        <v>1</v>
      </c>
      <c r="N1615" s="94" t="s">
        <v>42</v>
      </c>
      <c r="P1615" s="95">
        <f>O1615*H1615</f>
        <v>0</v>
      </c>
      <c r="Q1615" s="95">
        <v>0</v>
      </c>
      <c r="R1615" s="95">
        <f>Q1615*H1615</f>
        <v>0</v>
      </c>
      <c r="S1615" s="95">
        <v>0</v>
      </c>
      <c r="T1615" s="99">
        <f>S1615*H1615</f>
        <v>0</v>
      </c>
      <c r="AR1615" s="101" t="s">
        <v>218</v>
      </c>
      <c r="AT1615" s="101" t="s">
        <v>214</v>
      </c>
      <c r="AU1615" s="101" t="s">
        <v>87</v>
      </c>
      <c r="AY1615" s="23" t="s">
        <v>211</v>
      </c>
      <c r="BE1615" s="104">
        <f>IF(N1615="základní",J1615,0)</f>
        <v>0</v>
      </c>
      <c r="BF1615" s="104">
        <f>IF(N1615="snížená",J1615,0)</f>
        <v>0</v>
      </c>
      <c r="BG1615" s="104">
        <f>IF(N1615="zákl. přenesená",J1615,0)</f>
        <v>0</v>
      </c>
      <c r="BH1615" s="104">
        <f>IF(N1615="sníž. přenesená",J1615,0)</f>
        <v>0</v>
      </c>
      <c r="BI1615" s="104">
        <f>IF(N1615="nulová",J1615,0)</f>
        <v>0</v>
      </c>
      <c r="BJ1615" s="23" t="s">
        <v>85</v>
      </c>
      <c r="BK1615" s="104">
        <f>ROUND(I1615*H1615,2)</f>
        <v>0</v>
      </c>
      <c r="BL1615" s="23" t="s">
        <v>218</v>
      </c>
      <c r="BM1615" s="101" t="s">
        <v>2367</v>
      </c>
    </row>
    <row r="1616" spans="2:65" s="1" customFormat="1" ht="67.2">
      <c r="B1616" s="12"/>
      <c r="D1616" s="105" t="s">
        <v>227</v>
      </c>
      <c r="F1616" s="106" t="s">
        <v>2023</v>
      </c>
      <c r="I1616" s="107"/>
      <c r="L1616" s="12"/>
      <c r="M1616" s="108"/>
      <c r="T1616" s="111"/>
      <c r="AT1616" s="23" t="s">
        <v>227</v>
      </c>
      <c r="AU1616" s="23" t="s">
        <v>87</v>
      </c>
    </row>
    <row r="1617" spans="2:65" s="1" customFormat="1" ht="55.5" customHeight="1">
      <c r="B1617" s="12"/>
      <c r="C1617" s="71" t="s">
        <v>2368</v>
      </c>
      <c r="D1617" s="71" t="s">
        <v>214</v>
      </c>
      <c r="E1617" s="72" t="s">
        <v>1568</v>
      </c>
      <c r="F1617" s="73" t="s">
        <v>2369</v>
      </c>
      <c r="G1617" s="74" t="s">
        <v>808</v>
      </c>
      <c r="H1617" s="75">
        <v>1</v>
      </c>
      <c r="I1617" s="90"/>
      <c r="J1617" s="91">
        <f>ROUND(I1617*H1617,2)</f>
        <v>0</v>
      </c>
      <c r="K1617" s="92"/>
      <c r="L1617" s="12"/>
      <c r="M1617" s="93" t="s">
        <v>1</v>
      </c>
      <c r="N1617" s="94" t="s">
        <v>42</v>
      </c>
      <c r="P1617" s="95">
        <f>O1617*H1617</f>
        <v>0</v>
      </c>
      <c r="Q1617" s="95">
        <v>0</v>
      </c>
      <c r="R1617" s="95">
        <f>Q1617*H1617</f>
        <v>0</v>
      </c>
      <c r="S1617" s="95">
        <v>0</v>
      </c>
      <c r="T1617" s="99">
        <f>S1617*H1617</f>
        <v>0</v>
      </c>
      <c r="AR1617" s="101" t="s">
        <v>218</v>
      </c>
      <c r="AT1617" s="101" t="s">
        <v>214</v>
      </c>
      <c r="AU1617" s="101" t="s">
        <v>87</v>
      </c>
      <c r="AY1617" s="23" t="s">
        <v>211</v>
      </c>
      <c r="BE1617" s="104">
        <f>IF(N1617="základní",J1617,0)</f>
        <v>0</v>
      </c>
      <c r="BF1617" s="104">
        <f>IF(N1617="snížená",J1617,0)</f>
        <v>0</v>
      </c>
      <c r="BG1617" s="104">
        <f>IF(N1617="zákl. přenesená",J1617,0)</f>
        <v>0</v>
      </c>
      <c r="BH1617" s="104">
        <f>IF(N1617="sníž. přenesená",J1617,0)</f>
        <v>0</v>
      </c>
      <c r="BI1617" s="104">
        <f>IF(N1617="nulová",J1617,0)</f>
        <v>0</v>
      </c>
      <c r="BJ1617" s="23" t="s">
        <v>85</v>
      </c>
      <c r="BK1617" s="104">
        <f>ROUND(I1617*H1617,2)</f>
        <v>0</v>
      </c>
      <c r="BL1617" s="23" t="s">
        <v>218</v>
      </c>
      <c r="BM1617" s="101" t="s">
        <v>2370</v>
      </c>
    </row>
    <row r="1618" spans="2:65" s="1" customFormat="1" ht="67.2">
      <c r="B1618" s="12"/>
      <c r="D1618" s="105" t="s">
        <v>227</v>
      </c>
      <c r="F1618" s="106" t="s">
        <v>2018</v>
      </c>
      <c r="I1618" s="107"/>
      <c r="L1618" s="12"/>
      <c r="M1618" s="108"/>
      <c r="T1618" s="111"/>
      <c r="AT1618" s="23" t="s">
        <v>227</v>
      </c>
      <c r="AU1618" s="23" t="s">
        <v>87</v>
      </c>
    </row>
    <row r="1619" spans="2:65" s="1" customFormat="1" ht="66.75" customHeight="1">
      <c r="B1619" s="12"/>
      <c r="C1619" s="71" t="s">
        <v>2371</v>
      </c>
      <c r="D1619" s="71" t="s">
        <v>214</v>
      </c>
      <c r="E1619" s="72" t="s">
        <v>1572</v>
      </c>
      <c r="F1619" s="73" t="s">
        <v>2372</v>
      </c>
      <c r="G1619" s="74" t="s">
        <v>808</v>
      </c>
      <c r="H1619" s="75">
        <v>1</v>
      </c>
      <c r="I1619" s="90"/>
      <c r="J1619" s="91">
        <f>ROUND(I1619*H1619,2)</f>
        <v>0</v>
      </c>
      <c r="K1619" s="92"/>
      <c r="L1619" s="12"/>
      <c r="M1619" s="93" t="s">
        <v>1</v>
      </c>
      <c r="N1619" s="94" t="s">
        <v>42</v>
      </c>
      <c r="P1619" s="95">
        <f>O1619*H1619</f>
        <v>0</v>
      </c>
      <c r="Q1619" s="95">
        <v>0</v>
      </c>
      <c r="R1619" s="95">
        <f>Q1619*H1619</f>
        <v>0</v>
      </c>
      <c r="S1619" s="95">
        <v>0</v>
      </c>
      <c r="T1619" s="99">
        <f>S1619*H1619</f>
        <v>0</v>
      </c>
      <c r="AR1619" s="101" t="s">
        <v>218</v>
      </c>
      <c r="AT1619" s="101" t="s">
        <v>214</v>
      </c>
      <c r="AU1619" s="101" t="s">
        <v>87</v>
      </c>
      <c r="AY1619" s="23" t="s">
        <v>211</v>
      </c>
      <c r="BE1619" s="104">
        <f>IF(N1619="základní",J1619,0)</f>
        <v>0</v>
      </c>
      <c r="BF1619" s="104">
        <f>IF(N1619="snížená",J1619,0)</f>
        <v>0</v>
      </c>
      <c r="BG1619" s="104">
        <f>IF(N1619="zákl. přenesená",J1619,0)</f>
        <v>0</v>
      </c>
      <c r="BH1619" s="104">
        <f>IF(N1619="sníž. přenesená",J1619,0)</f>
        <v>0</v>
      </c>
      <c r="BI1619" s="104">
        <f>IF(N1619="nulová",J1619,0)</f>
        <v>0</v>
      </c>
      <c r="BJ1619" s="23" t="s">
        <v>85</v>
      </c>
      <c r="BK1619" s="104">
        <f>ROUND(I1619*H1619,2)</f>
        <v>0</v>
      </c>
      <c r="BL1619" s="23" t="s">
        <v>218</v>
      </c>
      <c r="BM1619" s="101" t="s">
        <v>2373</v>
      </c>
    </row>
    <row r="1620" spans="2:65" s="1" customFormat="1" ht="76.8">
      <c r="B1620" s="12"/>
      <c r="D1620" s="105" t="s">
        <v>227</v>
      </c>
      <c r="F1620" s="106" t="s">
        <v>2028</v>
      </c>
      <c r="I1620" s="107"/>
      <c r="L1620" s="12"/>
      <c r="M1620" s="108"/>
      <c r="T1620" s="111"/>
      <c r="AT1620" s="23" t="s">
        <v>227</v>
      </c>
      <c r="AU1620" s="23" t="s">
        <v>87</v>
      </c>
    </row>
    <row r="1621" spans="2:65" s="1" customFormat="1" ht="66.75" customHeight="1">
      <c r="B1621" s="12"/>
      <c r="C1621" s="71" t="s">
        <v>2374</v>
      </c>
      <c r="D1621" s="71" t="s">
        <v>214</v>
      </c>
      <c r="E1621" s="72" t="s">
        <v>1576</v>
      </c>
      <c r="F1621" s="73" t="s">
        <v>2375</v>
      </c>
      <c r="G1621" s="74" t="s">
        <v>808</v>
      </c>
      <c r="H1621" s="75">
        <v>1</v>
      </c>
      <c r="I1621" s="90"/>
      <c r="J1621" s="91">
        <f>ROUND(I1621*H1621,2)</f>
        <v>0</v>
      </c>
      <c r="K1621" s="92"/>
      <c r="L1621" s="12"/>
      <c r="M1621" s="93" t="s">
        <v>1</v>
      </c>
      <c r="N1621" s="94" t="s">
        <v>42</v>
      </c>
      <c r="P1621" s="95">
        <f>O1621*H1621</f>
        <v>0</v>
      </c>
      <c r="Q1621" s="95">
        <v>0</v>
      </c>
      <c r="R1621" s="95">
        <f>Q1621*H1621</f>
        <v>0</v>
      </c>
      <c r="S1621" s="95">
        <v>0</v>
      </c>
      <c r="T1621" s="99">
        <f>S1621*H1621</f>
        <v>0</v>
      </c>
      <c r="AR1621" s="101" t="s">
        <v>218</v>
      </c>
      <c r="AT1621" s="101" t="s">
        <v>214</v>
      </c>
      <c r="AU1621" s="101" t="s">
        <v>87</v>
      </c>
      <c r="AY1621" s="23" t="s">
        <v>211</v>
      </c>
      <c r="BE1621" s="104">
        <f>IF(N1621="základní",J1621,0)</f>
        <v>0</v>
      </c>
      <c r="BF1621" s="104">
        <f>IF(N1621="snížená",J1621,0)</f>
        <v>0</v>
      </c>
      <c r="BG1621" s="104">
        <f>IF(N1621="zákl. přenesená",J1621,0)</f>
        <v>0</v>
      </c>
      <c r="BH1621" s="104">
        <f>IF(N1621="sníž. přenesená",J1621,0)</f>
        <v>0</v>
      </c>
      <c r="BI1621" s="104">
        <f>IF(N1621="nulová",J1621,0)</f>
        <v>0</v>
      </c>
      <c r="BJ1621" s="23" t="s">
        <v>85</v>
      </c>
      <c r="BK1621" s="104">
        <f>ROUND(I1621*H1621,2)</f>
        <v>0</v>
      </c>
      <c r="BL1621" s="23" t="s">
        <v>218</v>
      </c>
      <c r="BM1621" s="101" t="s">
        <v>2376</v>
      </c>
    </row>
    <row r="1622" spans="2:65" s="1" customFormat="1" ht="76.8">
      <c r="B1622" s="12"/>
      <c r="D1622" s="105" t="s">
        <v>227</v>
      </c>
      <c r="F1622" s="106" t="s">
        <v>2013</v>
      </c>
      <c r="I1622" s="107"/>
      <c r="L1622" s="12"/>
      <c r="M1622" s="108"/>
      <c r="T1622" s="111"/>
      <c r="AT1622" s="23" t="s">
        <v>227</v>
      </c>
      <c r="AU1622" s="23" t="s">
        <v>87</v>
      </c>
    </row>
    <row r="1623" spans="2:65" s="1" customFormat="1" ht="55.5" customHeight="1">
      <c r="B1623" s="12"/>
      <c r="C1623" s="71" t="s">
        <v>2377</v>
      </c>
      <c r="D1623" s="71" t="s">
        <v>214</v>
      </c>
      <c r="E1623" s="72" t="s">
        <v>1580</v>
      </c>
      <c r="F1623" s="73" t="s">
        <v>2378</v>
      </c>
      <c r="G1623" s="74" t="s">
        <v>808</v>
      </c>
      <c r="H1623" s="75">
        <v>1</v>
      </c>
      <c r="I1623" s="90"/>
      <c r="J1623" s="91">
        <f>ROUND(I1623*H1623,2)</f>
        <v>0</v>
      </c>
      <c r="K1623" s="92"/>
      <c r="L1623" s="12"/>
      <c r="M1623" s="93" t="s">
        <v>1</v>
      </c>
      <c r="N1623" s="94" t="s">
        <v>42</v>
      </c>
      <c r="P1623" s="95">
        <f>O1623*H1623</f>
        <v>0</v>
      </c>
      <c r="Q1623" s="95">
        <v>0</v>
      </c>
      <c r="R1623" s="95">
        <f>Q1623*H1623</f>
        <v>0</v>
      </c>
      <c r="S1623" s="95">
        <v>0</v>
      </c>
      <c r="T1623" s="99">
        <f>S1623*H1623</f>
        <v>0</v>
      </c>
      <c r="AR1623" s="101" t="s">
        <v>218</v>
      </c>
      <c r="AT1623" s="101" t="s">
        <v>214</v>
      </c>
      <c r="AU1623" s="101" t="s">
        <v>87</v>
      </c>
      <c r="AY1623" s="23" t="s">
        <v>211</v>
      </c>
      <c r="BE1623" s="104">
        <f>IF(N1623="základní",J1623,0)</f>
        <v>0</v>
      </c>
      <c r="BF1623" s="104">
        <f>IF(N1623="snížená",J1623,0)</f>
        <v>0</v>
      </c>
      <c r="BG1623" s="104">
        <f>IF(N1623="zákl. přenesená",J1623,0)</f>
        <v>0</v>
      </c>
      <c r="BH1623" s="104">
        <f>IF(N1623="sníž. přenesená",J1623,0)</f>
        <v>0</v>
      </c>
      <c r="BI1623" s="104">
        <f>IF(N1623="nulová",J1623,0)</f>
        <v>0</v>
      </c>
      <c r="BJ1623" s="23" t="s">
        <v>85</v>
      </c>
      <c r="BK1623" s="104">
        <f>ROUND(I1623*H1623,2)</f>
        <v>0</v>
      </c>
      <c r="BL1623" s="23" t="s">
        <v>218</v>
      </c>
      <c r="BM1623" s="101" t="s">
        <v>2379</v>
      </c>
    </row>
    <row r="1624" spans="2:65" s="1" customFormat="1" ht="67.2">
      <c r="B1624" s="12"/>
      <c r="D1624" s="105" t="s">
        <v>227</v>
      </c>
      <c r="F1624" s="106" t="s">
        <v>2023</v>
      </c>
      <c r="I1624" s="107"/>
      <c r="L1624" s="12"/>
      <c r="M1624" s="108"/>
      <c r="T1624" s="111"/>
      <c r="AT1624" s="23" t="s">
        <v>227</v>
      </c>
      <c r="AU1624" s="23" t="s">
        <v>87</v>
      </c>
    </row>
    <row r="1625" spans="2:65" s="1" customFormat="1" ht="55.5" customHeight="1">
      <c r="B1625" s="12"/>
      <c r="C1625" s="71" t="s">
        <v>2380</v>
      </c>
      <c r="D1625" s="71" t="s">
        <v>214</v>
      </c>
      <c r="E1625" s="72" t="s">
        <v>1584</v>
      </c>
      <c r="F1625" s="73" t="s">
        <v>2381</v>
      </c>
      <c r="G1625" s="74" t="s">
        <v>808</v>
      </c>
      <c r="H1625" s="75">
        <v>1</v>
      </c>
      <c r="I1625" s="90"/>
      <c r="J1625" s="91">
        <f>ROUND(I1625*H1625,2)</f>
        <v>0</v>
      </c>
      <c r="K1625" s="92"/>
      <c r="L1625" s="12"/>
      <c r="M1625" s="93" t="s">
        <v>1</v>
      </c>
      <c r="N1625" s="94" t="s">
        <v>42</v>
      </c>
      <c r="P1625" s="95">
        <f>O1625*H1625</f>
        <v>0</v>
      </c>
      <c r="Q1625" s="95">
        <v>0</v>
      </c>
      <c r="R1625" s="95">
        <f>Q1625*H1625</f>
        <v>0</v>
      </c>
      <c r="S1625" s="95">
        <v>0</v>
      </c>
      <c r="T1625" s="99">
        <f>S1625*H1625</f>
        <v>0</v>
      </c>
      <c r="AR1625" s="101" t="s">
        <v>218</v>
      </c>
      <c r="AT1625" s="101" t="s">
        <v>214</v>
      </c>
      <c r="AU1625" s="101" t="s">
        <v>87</v>
      </c>
      <c r="AY1625" s="23" t="s">
        <v>211</v>
      </c>
      <c r="BE1625" s="104">
        <f>IF(N1625="základní",J1625,0)</f>
        <v>0</v>
      </c>
      <c r="BF1625" s="104">
        <f>IF(N1625="snížená",J1625,0)</f>
        <v>0</v>
      </c>
      <c r="BG1625" s="104">
        <f>IF(N1625="zákl. přenesená",J1625,0)</f>
        <v>0</v>
      </c>
      <c r="BH1625" s="104">
        <f>IF(N1625="sníž. přenesená",J1625,0)</f>
        <v>0</v>
      </c>
      <c r="BI1625" s="104">
        <f>IF(N1625="nulová",J1625,0)</f>
        <v>0</v>
      </c>
      <c r="BJ1625" s="23" t="s">
        <v>85</v>
      </c>
      <c r="BK1625" s="104">
        <f>ROUND(I1625*H1625,2)</f>
        <v>0</v>
      </c>
      <c r="BL1625" s="23" t="s">
        <v>218</v>
      </c>
      <c r="BM1625" s="101" t="s">
        <v>2382</v>
      </c>
    </row>
    <row r="1626" spans="2:65" s="1" customFormat="1" ht="67.2">
      <c r="B1626" s="12"/>
      <c r="D1626" s="105" t="s">
        <v>227</v>
      </c>
      <c r="F1626" s="106" t="s">
        <v>2018</v>
      </c>
      <c r="I1626" s="107"/>
      <c r="L1626" s="12"/>
      <c r="M1626" s="108"/>
      <c r="T1626" s="111"/>
      <c r="AT1626" s="23" t="s">
        <v>227</v>
      </c>
      <c r="AU1626" s="23" t="s">
        <v>87</v>
      </c>
    </row>
    <row r="1627" spans="2:65" s="1" customFormat="1" ht="66.75" customHeight="1">
      <c r="B1627" s="12"/>
      <c r="C1627" s="71" t="s">
        <v>2383</v>
      </c>
      <c r="D1627" s="71" t="s">
        <v>214</v>
      </c>
      <c r="E1627" s="72" t="s">
        <v>1588</v>
      </c>
      <c r="F1627" s="73" t="s">
        <v>2384</v>
      </c>
      <c r="G1627" s="74" t="s">
        <v>808</v>
      </c>
      <c r="H1627" s="75">
        <v>1</v>
      </c>
      <c r="I1627" s="90"/>
      <c r="J1627" s="91">
        <f>ROUND(I1627*H1627,2)</f>
        <v>0</v>
      </c>
      <c r="K1627" s="92"/>
      <c r="L1627" s="12"/>
      <c r="M1627" s="93" t="s">
        <v>1</v>
      </c>
      <c r="N1627" s="94" t="s">
        <v>42</v>
      </c>
      <c r="P1627" s="95">
        <f>O1627*H1627</f>
        <v>0</v>
      </c>
      <c r="Q1627" s="95">
        <v>0</v>
      </c>
      <c r="R1627" s="95">
        <f>Q1627*H1627</f>
        <v>0</v>
      </c>
      <c r="S1627" s="95">
        <v>0</v>
      </c>
      <c r="T1627" s="99">
        <f>S1627*H1627</f>
        <v>0</v>
      </c>
      <c r="AR1627" s="101" t="s">
        <v>218</v>
      </c>
      <c r="AT1627" s="101" t="s">
        <v>214</v>
      </c>
      <c r="AU1627" s="101" t="s">
        <v>87</v>
      </c>
      <c r="AY1627" s="23" t="s">
        <v>211</v>
      </c>
      <c r="BE1627" s="104">
        <f>IF(N1627="základní",J1627,0)</f>
        <v>0</v>
      </c>
      <c r="BF1627" s="104">
        <f>IF(N1627="snížená",J1627,0)</f>
        <v>0</v>
      </c>
      <c r="BG1627" s="104">
        <f>IF(N1627="zákl. přenesená",J1627,0)</f>
        <v>0</v>
      </c>
      <c r="BH1627" s="104">
        <f>IF(N1627="sníž. přenesená",J1627,0)</f>
        <v>0</v>
      </c>
      <c r="BI1627" s="104">
        <f>IF(N1627="nulová",J1627,0)</f>
        <v>0</v>
      </c>
      <c r="BJ1627" s="23" t="s">
        <v>85</v>
      </c>
      <c r="BK1627" s="104">
        <f>ROUND(I1627*H1627,2)</f>
        <v>0</v>
      </c>
      <c r="BL1627" s="23" t="s">
        <v>218</v>
      </c>
      <c r="BM1627" s="101" t="s">
        <v>2385</v>
      </c>
    </row>
    <row r="1628" spans="2:65" s="1" customFormat="1" ht="76.8">
      <c r="B1628" s="12"/>
      <c r="D1628" s="105" t="s">
        <v>227</v>
      </c>
      <c r="F1628" s="106" t="s">
        <v>2028</v>
      </c>
      <c r="I1628" s="107"/>
      <c r="L1628" s="12"/>
      <c r="M1628" s="108"/>
      <c r="T1628" s="111"/>
      <c r="AT1628" s="23" t="s">
        <v>227</v>
      </c>
      <c r="AU1628" s="23" t="s">
        <v>87</v>
      </c>
    </row>
    <row r="1629" spans="2:65" s="1" customFormat="1" ht="55.5" customHeight="1">
      <c r="B1629" s="12"/>
      <c r="C1629" s="71" t="s">
        <v>2386</v>
      </c>
      <c r="D1629" s="71" t="s">
        <v>214</v>
      </c>
      <c r="E1629" s="72" t="s">
        <v>1592</v>
      </c>
      <c r="F1629" s="73" t="s">
        <v>2387</v>
      </c>
      <c r="G1629" s="74" t="s">
        <v>808</v>
      </c>
      <c r="H1629" s="75">
        <v>1</v>
      </c>
      <c r="I1629" s="90"/>
      <c r="J1629" s="91">
        <f>ROUND(I1629*H1629,2)</f>
        <v>0</v>
      </c>
      <c r="K1629" s="92"/>
      <c r="L1629" s="12"/>
      <c r="M1629" s="93" t="s">
        <v>1</v>
      </c>
      <c r="N1629" s="94" t="s">
        <v>42</v>
      </c>
      <c r="P1629" s="95">
        <f>O1629*H1629</f>
        <v>0</v>
      </c>
      <c r="Q1629" s="95">
        <v>0</v>
      </c>
      <c r="R1629" s="95">
        <f>Q1629*H1629</f>
        <v>0</v>
      </c>
      <c r="S1629" s="95">
        <v>0</v>
      </c>
      <c r="T1629" s="99">
        <f>S1629*H1629</f>
        <v>0</v>
      </c>
      <c r="AR1629" s="101" t="s">
        <v>218</v>
      </c>
      <c r="AT1629" s="101" t="s">
        <v>214</v>
      </c>
      <c r="AU1629" s="101" t="s">
        <v>87</v>
      </c>
      <c r="AY1629" s="23" t="s">
        <v>211</v>
      </c>
      <c r="BE1629" s="104">
        <f>IF(N1629="základní",J1629,0)</f>
        <v>0</v>
      </c>
      <c r="BF1629" s="104">
        <f>IF(N1629="snížená",J1629,0)</f>
        <v>0</v>
      </c>
      <c r="BG1629" s="104">
        <f>IF(N1629="zákl. přenesená",J1629,0)</f>
        <v>0</v>
      </c>
      <c r="BH1629" s="104">
        <f>IF(N1629="sníž. přenesená",J1629,0)</f>
        <v>0</v>
      </c>
      <c r="BI1629" s="104">
        <f>IF(N1629="nulová",J1629,0)</f>
        <v>0</v>
      </c>
      <c r="BJ1629" s="23" t="s">
        <v>85</v>
      </c>
      <c r="BK1629" s="104">
        <f>ROUND(I1629*H1629,2)</f>
        <v>0</v>
      </c>
      <c r="BL1629" s="23" t="s">
        <v>218</v>
      </c>
      <c r="BM1629" s="101" t="s">
        <v>2388</v>
      </c>
    </row>
    <row r="1630" spans="2:65" s="1" customFormat="1" ht="67.2">
      <c r="B1630" s="12"/>
      <c r="D1630" s="105" t="s">
        <v>227</v>
      </c>
      <c r="F1630" s="106" t="s">
        <v>2023</v>
      </c>
      <c r="I1630" s="107"/>
      <c r="L1630" s="12"/>
      <c r="M1630" s="108"/>
      <c r="T1630" s="111"/>
      <c r="AT1630" s="23" t="s">
        <v>227</v>
      </c>
      <c r="AU1630" s="23" t="s">
        <v>87</v>
      </c>
    </row>
    <row r="1631" spans="2:65" s="1" customFormat="1" ht="66.75" customHeight="1">
      <c r="B1631" s="12"/>
      <c r="C1631" s="71" t="s">
        <v>2389</v>
      </c>
      <c r="D1631" s="71" t="s">
        <v>214</v>
      </c>
      <c r="E1631" s="72" t="s">
        <v>1601</v>
      </c>
      <c r="F1631" s="73" t="s">
        <v>2390</v>
      </c>
      <c r="G1631" s="74" t="s">
        <v>808</v>
      </c>
      <c r="H1631" s="75">
        <v>1</v>
      </c>
      <c r="I1631" s="90"/>
      <c r="J1631" s="91">
        <f>ROUND(I1631*H1631,2)</f>
        <v>0</v>
      </c>
      <c r="K1631" s="92"/>
      <c r="L1631" s="12"/>
      <c r="M1631" s="93" t="s">
        <v>1</v>
      </c>
      <c r="N1631" s="94" t="s">
        <v>42</v>
      </c>
      <c r="P1631" s="95">
        <f>O1631*H1631</f>
        <v>0</v>
      </c>
      <c r="Q1631" s="95">
        <v>0</v>
      </c>
      <c r="R1631" s="95">
        <f>Q1631*H1631</f>
        <v>0</v>
      </c>
      <c r="S1631" s="95">
        <v>0</v>
      </c>
      <c r="T1631" s="99">
        <f>S1631*H1631</f>
        <v>0</v>
      </c>
      <c r="AR1631" s="101" t="s">
        <v>218</v>
      </c>
      <c r="AT1631" s="101" t="s">
        <v>214</v>
      </c>
      <c r="AU1631" s="101" t="s">
        <v>87</v>
      </c>
      <c r="AY1631" s="23" t="s">
        <v>211</v>
      </c>
      <c r="BE1631" s="104">
        <f>IF(N1631="základní",J1631,0)</f>
        <v>0</v>
      </c>
      <c r="BF1631" s="104">
        <f>IF(N1631="snížená",J1631,0)</f>
        <v>0</v>
      </c>
      <c r="BG1631" s="104">
        <f>IF(N1631="zákl. přenesená",J1631,0)</f>
        <v>0</v>
      </c>
      <c r="BH1631" s="104">
        <f>IF(N1631="sníž. přenesená",J1631,0)</f>
        <v>0</v>
      </c>
      <c r="BI1631" s="104">
        <f>IF(N1631="nulová",J1631,0)</f>
        <v>0</v>
      </c>
      <c r="BJ1631" s="23" t="s">
        <v>85</v>
      </c>
      <c r="BK1631" s="104">
        <f>ROUND(I1631*H1631,2)</f>
        <v>0</v>
      </c>
      <c r="BL1631" s="23" t="s">
        <v>218</v>
      </c>
      <c r="BM1631" s="101" t="s">
        <v>2391</v>
      </c>
    </row>
    <row r="1632" spans="2:65" s="1" customFormat="1" ht="76.8">
      <c r="B1632" s="12"/>
      <c r="D1632" s="105" t="s">
        <v>227</v>
      </c>
      <c r="F1632" s="106" t="s">
        <v>2013</v>
      </c>
      <c r="I1632" s="107"/>
      <c r="L1632" s="12"/>
      <c r="M1632" s="108"/>
      <c r="T1632" s="111"/>
      <c r="AT1632" s="23" t="s">
        <v>227</v>
      </c>
      <c r="AU1632" s="23" t="s">
        <v>87</v>
      </c>
    </row>
    <row r="1633" spans="2:65" s="1" customFormat="1" ht="55.5" customHeight="1">
      <c r="B1633" s="12"/>
      <c r="C1633" s="71" t="s">
        <v>2392</v>
      </c>
      <c r="D1633" s="71" t="s">
        <v>214</v>
      </c>
      <c r="E1633" s="72" t="s">
        <v>1605</v>
      </c>
      <c r="F1633" s="73" t="s">
        <v>2393</v>
      </c>
      <c r="G1633" s="74" t="s">
        <v>808</v>
      </c>
      <c r="H1633" s="75">
        <v>1</v>
      </c>
      <c r="I1633" s="90"/>
      <c r="J1633" s="91">
        <f>ROUND(I1633*H1633,2)</f>
        <v>0</v>
      </c>
      <c r="K1633" s="92"/>
      <c r="L1633" s="12"/>
      <c r="M1633" s="93" t="s">
        <v>1</v>
      </c>
      <c r="N1633" s="94" t="s">
        <v>42</v>
      </c>
      <c r="P1633" s="95">
        <f>O1633*H1633</f>
        <v>0</v>
      </c>
      <c r="Q1633" s="95">
        <v>0</v>
      </c>
      <c r="R1633" s="95">
        <f>Q1633*H1633</f>
        <v>0</v>
      </c>
      <c r="S1633" s="95">
        <v>0</v>
      </c>
      <c r="T1633" s="99">
        <f>S1633*H1633</f>
        <v>0</v>
      </c>
      <c r="AR1633" s="101" t="s">
        <v>218</v>
      </c>
      <c r="AT1633" s="101" t="s">
        <v>214</v>
      </c>
      <c r="AU1633" s="101" t="s">
        <v>87</v>
      </c>
      <c r="AY1633" s="23" t="s">
        <v>211</v>
      </c>
      <c r="BE1633" s="104">
        <f>IF(N1633="základní",J1633,0)</f>
        <v>0</v>
      </c>
      <c r="BF1633" s="104">
        <f>IF(N1633="snížená",J1633,0)</f>
        <v>0</v>
      </c>
      <c r="BG1633" s="104">
        <f>IF(N1633="zákl. přenesená",J1633,0)</f>
        <v>0</v>
      </c>
      <c r="BH1633" s="104">
        <f>IF(N1633="sníž. přenesená",J1633,0)</f>
        <v>0</v>
      </c>
      <c r="BI1633" s="104">
        <f>IF(N1633="nulová",J1633,0)</f>
        <v>0</v>
      </c>
      <c r="BJ1633" s="23" t="s">
        <v>85</v>
      </c>
      <c r="BK1633" s="104">
        <f>ROUND(I1633*H1633,2)</f>
        <v>0</v>
      </c>
      <c r="BL1633" s="23" t="s">
        <v>218</v>
      </c>
      <c r="BM1633" s="101" t="s">
        <v>2394</v>
      </c>
    </row>
    <row r="1634" spans="2:65" s="1" customFormat="1" ht="67.2">
      <c r="B1634" s="12"/>
      <c r="D1634" s="105" t="s">
        <v>227</v>
      </c>
      <c r="F1634" s="106" t="s">
        <v>2073</v>
      </c>
      <c r="I1634" s="107"/>
      <c r="L1634" s="12"/>
      <c r="M1634" s="108"/>
      <c r="T1634" s="111"/>
      <c r="AT1634" s="23" t="s">
        <v>227</v>
      </c>
      <c r="AU1634" s="23" t="s">
        <v>87</v>
      </c>
    </row>
    <row r="1635" spans="2:65" s="1" customFormat="1" ht="55.5" customHeight="1">
      <c r="B1635" s="12"/>
      <c r="C1635" s="71" t="s">
        <v>2395</v>
      </c>
      <c r="D1635" s="71" t="s">
        <v>214</v>
      </c>
      <c r="E1635" s="72" t="s">
        <v>1612</v>
      </c>
      <c r="F1635" s="73" t="s">
        <v>2396</v>
      </c>
      <c r="G1635" s="74" t="s">
        <v>808</v>
      </c>
      <c r="H1635" s="75">
        <v>1</v>
      </c>
      <c r="I1635" s="90"/>
      <c r="J1635" s="91">
        <f>ROUND(I1635*H1635,2)</f>
        <v>0</v>
      </c>
      <c r="K1635" s="92"/>
      <c r="L1635" s="12"/>
      <c r="M1635" s="93" t="s">
        <v>1</v>
      </c>
      <c r="N1635" s="94" t="s">
        <v>42</v>
      </c>
      <c r="P1635" s="95">
        <f>O1635*H1635</f>
        <v>0</v>
      </c>
      <c r="Q1635" s="95">
        <v>0</v>
      </c>
      <c r="R1635" s="95">
        <f>Q1635*H1635</f>
        <v>0</v>
      </c>
      <c r="S1635" s="95">
        <v>0</v>
      </c>
      <c r="T1635" s="99">
        <f>S1635*H1635</f>
        <v>0</v>
      </c>
      <c r="AR1635" s="101" t="s">
        <v>218</v>
      </c>
      <c r="AT1635" s="101" t="s">
        <v>214</v>
      </c>
      <c r="AU1635" s="101" t="s">
        <v>87</v>
      </c>
      <c r="AY1635" s="23" t="s">
        <v>211</v>
      </c>
      <c r="BE1635" s="104">
        <f>IF(N1635="základní",J1635,0)</f>
        <v>0</v>
      </c>
      <c r="BF1635" s="104">
        <f>IF(N1635="snížená",J1635,0)</f>
        <v>0</v>
      </c>
      <c r="BG1635" s="104">
        <f>IF(N1635="zákl. přenesená",J1635,0)</f>
        <v>0</v>
      </c>
      <c r="BH1635" s="104">
        <f>IF(N1635="sníž. přenesená",J1635,0)</f>
        <v>0</v>
      </c>
      <c r="BI1635" s="104">
        <f>IF(N1635="nulová",J1635,0)</f>
        <v>0</v>
      </c>
      <c r="BJ1635" s="23" t="s">
        <v>85</v>
      </c>
      <c r="BK1635" s="104">
        <f>ROUND(I1635*H1635,2)</f>
        <v>0</v>
      </c>
      <c r="BL1635" s="23" t="s">
        <v>218</v>
      </c>
      <c r="BM1635" s="101" t="s">
        <v>2397</v>
      </c>
    </row>
    <row r="1636" spans="2:65" s="1" customFormat="1" ht="67.2">
      <c r="B1636" s="12"/>
      <c r="D1636" s="105" t="s">
        <v>227</v>
      </c>
      <c r="F1636" s="106" t="s">
        <v>2018</v>
      </c>
      <c r="I1636" s="107"/>
      <c r="L1636" s="12"/>
      <c r="M1636" s="108"/>
      <c r="T1636" s="111"/>
      <c r="AT1636" s="23" t="s">
        <v>227</v>
      </c>
      <c r="AU1636" s="23" t="s">
        <v>87</v>
      </c>
    </row>
    <row r="1637" spans="2:65" s="1" customFormat="1" ht="55.5" customHeight="1">
      <c r="B1637" s="12"/>
      <c r="C1637" s="71" t="s">
        <v>2398</v>
      </c>
      <c r="D1637" s="71" t="s">
        <v>214</v>
      </c>
      <c r="E1637" s="72" t="s">
        <v>1650</v>
      </c>
      <c r="F1637" s="73" t="s">
        <v>2399</v>
      </c>
      <c r="G1637" s="74" t="s">
        <v>808</v>
      </c>
      <c r="H1637" s="75">
        <v>1</v>
      </c>
      <c r="I1637" s="90"/>
      <c r="J1637" s="91">
        <f>ROUND(I1637*H1637,2)</f>
        <v>0</v>
      </c>
      <c r="K1637" s="92"/>
      <c r="L1637" s="12"/>
      <c r="M1637" s="93" t="s">
        <v>1</v>
      </c>
      <c r="N1637" s="94" t="s">
        <v>42</v>
      </c>
      <c r="P1637" s="95">
        <f>O1637*H1637</f>
        <v>0</v>
      </c>
      <c r="Q1637" s="95">
        <v>0</v>
      </c>
      <c r="R1637" s="95">
        <f>Q1637*H1637</f>
        <v>0</v>
      </c>
      <c r="S1637" s="95">
        <v>0</v>
      </c>
      <c r="T1637" s="99">
        <f>S1637*H1637</f>
        <v>0</v>
      </c>
      <c r="AR1637" s="101" t="s">
        <v>218</v>
      </c>
      <c r="AT1637" s="101" t="s">
        <v>214</v>
      </c>
      <c r="AU1637" s="101" t="s">
        <v>87</v>
      </c>
      <c r="AY1637" s="23" t="s">
        <v>211</v>
      </c>
      <c r="BE1637" s="104">
        <f>IF(N1637="základní",J1637,0)</f>
        <v>0</v>
      </c>
      <c r="BF1637" s="104">
        <f>IF(N1637="snížená",J1637,0)</f>
        <v>0</v>
      </c>
      <c r="BG1637" s="104">
        <f>IF(N1637="zákl. přenesená",J1637,0)</f>
        <v>0</v>
      </c>
      <c r="BH1637" s="104">
        <f>IF(N1637="sníž. přenesená",J1637,0)</f>
        <v>0</v>
      </c>
      <c r="BI1637" s="104">
        <f>IF(N1637="nulová",J1637,0)</f>
        <v>0</v>
      </c>
      <c r="BJ1637" s="23" t="s">
        <v>85</v>
      </c>
      <c r="BK1637" s="104">
        <f>ROUND(I1637*H1637,2)</f>
        <v>0</v>
      </c>
      <c r="BL1637" s="23" t="s">
        <v>218</v>
      </c>
      <c r="BM1637" s="101" t="s">
        <v>2400</v>
      </c>
    </row>
    <row r="1638" spans="2:65" s="1" customFormat="1" ht="67.2">
      <c r="B1638" s="12"/>
      <c r="D1638" s="105" t="s">
        <v>227</v>
      </c>
      <c r="F1638" s="106" t="s">
        <v>2023</v>
      </c>
      <c r="I1638" s="107"/>
      <c r="L1638" s="12"/>
      <c r="M1638" s="108"/>
      <c r="T1638" s="111"/>
      <c r="AT1638" s="23" t="s">
        <v>227</v>
      </c>
      <c r="AU1638" s="23" t="s">
        <v>87</v>
      </c>
    </row>
    <row r="1639" spans="2:65" s="1" customFormat="1" ht="66.75" customHeight="1">
      <c r="B1639" s="12"/>
      <c r="C1639" s="71" t="s">
        <v>2401</v>
      </c>
      <c r="D1639" s="71" t="s">
        <v>214</v>
      </c>
      <c r="E1639" s="72" t="s">
        <v>1655</v>
      </c>
      <c r="F1639" s="73" t="s">
        <v>2402</v>
      </c>
      <c r="G1639" s="74" t="s">
        <v>808</v>
      </c>
      <c r="H1639" s="75">
        <v>1</v>
      </c>
      <c r="I1639" s="90"/>
      <c r="J1639" s="91">
        <f>ROUND(I1639*H1639,2)</f>
        <v>0</v>
      </c>
      <c r="K1639" s="92"/>
      <c r="L1639" s="12"/>
      <c r="M1639" s="93" t="s">
        <v>1</v>
      </c>
      <c r="N1639" s="94" t="s">
        <v>42</v>
      </c>
      <c r="P1639" s="95">
        <f>O1639*H1639</f>
        <v>0</v>
      </c>
      <c r="Q1639" s="95">
        <v>0</v>
      </c>
      <c r="R1639" s="95">
        <f>Q1639*H1639</f>
        <v>0</v>
      </c>
      <c r="S1639" s="95">
        <v>0</v>
      </c>
      <c r="T1639" s="99">
        <f>S1639*H1639</f>
        <v>0</v>
      </c>
      <c r="AR1639" s="101" t="s">
        <v>218</v>
      </c>
      <c r="AT1639" s="101" t="s">
        <v>214</v>
      </c>
      <c r="AU1639" s="101" t="s">
        <v>87</v>
      </c>
      <c r="AY1639" s="23" t="s">
        <v>211</v>
      </c>
      <c r="BE1639" s="104">
        <f>IF(N1639="základní",J1639,0)</f>
        <v>0</v>
      </c>
      <c r="BF1639" s="104">
        <f>IF(N1639="snížená",J1639,0)</f>
        <v>0</v>
      </c>
      <c r="BG1639" s="104">
        <f>IF(N1639="zákl. přenesená",J1639,0)</f>
        <v>0</v>
      </c>
      <c r="BH1639" s="104">
        <f>IF(N1639="sníž. přenesená",J1639,0)</f>
        <v>0</v>
      </c>
      <c r="BI1639" s="104">
        <f>IF(N1639="nulová",J1639,0)</f>
        <v>0</v>
      </c>
      <c r="BJ1639" s="23" t="s">
        <v>85</v>
      </c>
      <c r="BK1639" s="104">
        <f>ROUND(I1639*H1639,2)</f>
        <v>0</v>
      </c>
      <c r="BL1639" s="23" t="s">
        <v>218</v>
      </c>
      <c r="BM1639" s="101" t="s">
        <v>2403</v>
      </c>
    </row>
    <row r="1640" spans="2:65" s="1" customFormat="1" ht="76.8">
      <c r="B1640" s="12"/>
      <c r="D1640" s="105" t="s">
        <v>227</v>
      </c>
      <c r="F1640" s="106" t="s">
        <v>2028</v>
      </c>
      <c r="I1640" s="107"/>
      <c r="L1640" s="12"/>
      <c r="M1640" s="108"/>
      <c r="T1640" s="111"/>
      <c r="AT1640" s="23" t="s">
        <v>227</v>
      </c>
      <c r="AU1640" s="23" t="s">
        <v>87</v>
      </c>
    </row>
    <row r="1641" spans="2:65" s="1" customFormat="1" ht="55.5" customHeight="1">
      <c r="B1641" s="12"/>
      <c r="C1641" s="71" t="s">
        <v>2404</v>
      </c>
      <c r="D1641" s="71" t="s">
        <v>214</v>
      </c>
      <c r="E1641" s="72" t="s">
        <v>1659</v>
      </c>
      <c r="F1641" s="73" t="s">
        <v>2405</v>
      </c>
      <c r="G1641" s="74" t="s">
        <v>808</v>
      </c>
      <c r="H1641" s="75">
        <v>1</v>
      </c>
      <c r="I1641" s="90"/>
      <c r="J1641" s="91">
        <f>ROUND(I1641*H1641,2)</f>
        <v>0</v>
      </c>
      <c r="K1641" s="92"/>
      <c r="L1641" s="12"/>
      <c r="M1641" s="93" t="s">
        <v>1</v>
      </c>
      <c r="N1641" s="94" t="s">
        <v>42</v>
      </c>
      <c r="P1641" s="95">
        <f>O1641*H1641</f>
        <v>0</v>
      </c>
      <c r="Q1641" s="95">
        <v>0</v>
      </c>
      <c r="R1641" s="95">
        <f>Q1641*H1641</f>
        <v>0</v>
      </c>
      <c r="S1641" s="95">
        <v>0</v>
      </c>
      <c r="T1641" s="99">
        <f>S1641*H1641</f>
        <v>0</v>
      </c>
      <c r="AR1641" s="101" t="s">
        <v>218</v>
      </c>
      <c r="AT1641" s="101" t="s">
        <v>214</v>
      </c>
      <c r="AU1641" s="101" t="s">
        <v>87</v>
      </c>
      <c r="AY1641" s="23" t="s">
        <v>211</v>
      </c>
      <c r="BE1641" s="104">
        <f>IF(N1641="základní",J1641,0)</f>
        <v>0</v>
      </c>
      <c r="BF1641" s="104">
        <f>IF(N1641="snížená",J1641,0)</f>
        <v>0</v>
      </c>
      <c r="BG1641" s="104">
        <f>IF(N1641="zákl. přenesená",J1641,0)</f>
        <v>0</v>
      </c>
      <c r="BH1641" s="104">
        <f>IF(N1641="sníž. přenesená",J1641,0)</f>
        <v>0</v>
      </c>
      <c r="BI1641" s="104">
        <f>IF(N1641="nulová",J1641,0)</f>
        <v>0</v>
      </c>
      <c r="BJ1641" s="23" t="s">
        <v>85</v>
      </c>
      <c r="BK1641" s="104">
        <f>ROUND(I1641*H1641,2)</f>
        <v>0</v>
      </c>
      <c r="BL1641" s="23" t="s">
        <v>218</v>
      </c>
      <c r="BM1641" s="101" t="s">
        <v>2406</v>
      </c>
    </row>
    <row r="1642" spans="2:65" s="1" customFormat="1" ht="67.2">
      <c r="B1642" s="12"/>
      <c r="D1642" s="105" t="s">
        <v>227</v>
      </c>
      <c r="F1642" s="106" t="s">
        <v>2018</v>
      </c>
      <c r="I1642" s="107"/>
      <c r="L1642" s="12"/>
      <c r="M1642" s="108"/>
      <c r="T1642" s="111"/>
      <c r="AT1642" s="23" t="s">
        <v>227</v>
      </c>
      <c r="AU1642" s="23" t="s">
        <v>87</v>
      </c>
    </row>
    <row r="1643" spans="2:65" s="1" customFormat="1" ht="55.5" customHeight="1">
      <c r="B1643" s="12"/>
      <c r="C1643" s="71" t="s">
        <v>2407</v>
      </c>
      <c r="D1643" s="71" t="s">
        <v>214</v>
      </c>
      <c r="E1643" s="72" t="s">
        <v>1664</v>
      </c>
      <c r="F1643" s="73" t="s">
        <v>2408</v>
      </c>
      <c r="G1643" s="74" t="s">
        <v>808</v>
      </c>
      <c r="H1643" s="75">
        <v>1</v>
      </c>
      <c r="I1643" s="90"/>
      <c r="J1643" s="91">
        <f>ROUND(I1643*H1643,2)</f>
        <v>0</v>
      </c>
      <c r="K1643" s="92"/>
      <c r="L1643" s="12"/>
      <c r="M1643" s="93" t="s">
        <v>1</v>
      </c>
      <c r="N1643" s="94" t="s">
        <v>42</v>
      </c>
      <c r="P1643" s="95">
        <f>O1643*H1643</f>
        <v>0</v>
      </c>
      <c r="Q1643" s="95">
        <v>0</v>
      </c>
      <c r="R1643" s="95">
        <f>Q1643*H1643</f>
        <v>0</v>
      </c>
      <c r="S1643" s="95">
        <v>0</v>
      </c>
      <c r="T1643" s="99">
        <f>S1643*H1643</f>
        <v>0</v>
      </c>
      <c r="AR1643" s="101" t="s">
        <v>218</v>
      </c>
      <c r="AT1643" s="101" t="s">
        <v>214</v>
      </c>
      <c r="AU1643" s="101" t="s">
        <v>87</v>
      </c>
      <c r="AY1643" s="23" t="s">
        <v>211</v>
      </c>
      <c r="BE1643" s="104">
        <f>IF(N1643="základní",J1643,0)</f>
        <v>0</v>
      </c>
      <c r="BF1643" s="104">
        <f>IF(N1643="snížená",J1643,0)</f>
        <v>0</v>
      </c>
      <c r="BG1643" s="104">
        <f>IF(N1643="zákl. přenesená",J1643,0)</f>
        <v>0</v>
      </c>
      <c r="BH1643" s="104">
        <f>IF(N1643="sníž. přenesená",J1643,0)</f>
        <v>0</v>
      </c>
      <c r="BI1643" s="104">
        <f>IF(N1643="nulová",J1643,0)</f>
        <v>0</v>
      </c>
      <c r="BJ1643" s="23" t="s">
        <v>85</v>
      </c>
      <c r="BK1643" s="104">
        <f>ROUND(I1643*H1643,2)</f>
        <v>0</v>
      </c>
      <c r="BL1643" s="23" t="s">
        <v>218</v>
      </c>
      <c r="BM1643" s="101" t="s">
        <v>2409</v>
      </c>
    </row>
    <row r="1644" spans="2:65" s="1" customFormat="1" ht="67.2">
      <c r="B1644" s="12"/>
      <c r="D1644" s="105" t="s">
        <v>227</v>
      </c>
      <c r="F1644" s="106" t="s">
        <v>2033</v>
      </c>
      <c r="I1644" s="107"/>
      <c r="L1644" s="12"/>
      <c r="M1644" s="108"/>
      <c r="T1644" s="111"/>
      <c r="AT1644" s="23" t="s">
        <v>227</v>
      </c>
      <c r="AU1644" s="23" t="s">
        <v>87</v>
      </c>
    </row>
    <row r="1645" spans="2:65" s="1" customFormat="1" ht="55.5" customHeight="1">
      <c r="B1645" s="12"/>
      <c r="C1645" s="71" t="s">
        <v>2410</v>
      </c>
      <c r="D1645" s="71" t="s">
        <v>214</v>
      </c>
      <c r="E1645" s="72" t="s">
        <v>1669</v>
      </c>
      <c r="F1645" s="73" t="s">
        <v>2411</v>
      </c>
      <c r="G1645" s="74" t="s">
        <v>808</v>
      </c>
      <c r="H1645" s="75">
        <v>1</v>
      </c>
      <c r="I1645" s="90"/>
      <c r="J1645" s="91">
        <f>ROUND(I1645*H1645,2)</f>
        <v>0</v>
      </c>
      <c r="K1645" s="92"/>
      <c r="L1645" s="12"/>
      <c r="M1645" s="93" t="s">
        <v>1</v>
      </c>
      <c r="N1645" s="94" t="s">
        <v>42</v>
      </c>
      <c r="P1645" s="95">
        <f>O1645*H1645</f>
        <v>0</v>
      </c>
      <c r="Q1645" s="95">
        <v>0</v>
      </c>
      <c r="R1645" s="95">
        <f>Q1645*H1645</f>
        <v>0</v>
      </c>
      <c r="S1645" s="95">
        <v>0</v>
      </c>
      <c r="T1645" s="99">
        <f>S1645*H1645</f>
        <v>0</v>
      </c>
      <c r="AR1645" s="101" t="s">
        <v>218</v>
      </c>
      <c r="AT1645" s="101" t="s">
        <v>214</v>
      </c>
      <c r="AU1645" s="101" t="s">
        <v>87</v>
      </c>
      <c r="AY1645" s="23" t="s">
        <v>211</v>
      </c>
      <c r="BE1645" s="104">
        <f>IF(N1645="základní",J1645,0)</f>
        <v>0</v>
      </c>
      <c r="BF1645" s="104">
        <f>IF(N1645="snížená",J1645,0)</f>
        <v>0</v>
      </c>
      <c r="BG1645" s="104">
        <f>IF(N1645="zákl. přenesená",J1645,0)</f>
        <v>0</v>
      </c>
      <c r="BH1645" s="104">
        <f>IF(N1645="sníž. přenesená",J1645,0)</f>
        <v>0</v>
      </c>
      <c r="BI1645" s="104">
        <f>IF(N1645="nulová",J1645,0)</f>
        <v>0</v>
      </c>
      <c r="BJ1645" s="23" t="s">
        <v>85</v>
      </c>
      <c r="BK1645" s="104">
        <f>ROUND(I1645*H1645,2)</f>
        <v>0</v>
      </c>
      <c r="BL1645" s="23" t="s">
        <v>218</v>
      </c>
      <c r="BM1645" s="101" t="s">
        <v>2412</v>
      </c>
    </row>
    <row r="1646" spans="2:65" s="1" customFormat="1" ht="67.2">
      <c r="B1646" s="12"/>
      <c r="D1646" s="105" t="s">
        <v>227</v>
      </c>
      <c r="F1646" s="106" t="s">
        <v>2023</v>
      </c>
      <c r="I1646" s="107"/>
      <c r="L1646" s="12"/>
      <c r="M1646" s="108"/>
      <c r="T1646" s="111"/>
      <c r="AT1646" s="23" t="s">
        <v>227</v>
      </c>
      <c r="AU1646" s="23" t="s">
        <v>87</v>
      </c>
    </row>
    <row r="1647" spans="2:65" s="1" customFormat="1" ht="66.75" customHeight="1">
      <c r="B1647" s="12"/>
      <c r="C1647" s="71" t="s">
        <v>2413</v>
      </c>
      <c r="D1647" s="71" t="s">
        <v>214</v>
      </c>
      <c r="E1647" s="72" t="s">
        <v>1674</v>
      </c>
      <c r="F1647" s="73" t="s">
        <v>2414</v>
      </c>
      <c r="G1647" s="74" t="s">
        <v>808</v>
      </c>
      <c r="H1647" s="75">
        <v>1</v>
      </c>
      <c r="I1647" s="90"/>
      <c r="J1647" s="91">
        <f>ROUND(I1647*H1647,2)</f>
        <v>0</v>
      </c>
      <c r="K1647" s="92"/>
      <c r="L1647" s="12"/>
      <c r="M1647" s="93" t="s">
        <v>1</v>
      </c>
      <c r="N1647" s="94" t="s">
        <v>42</v>
      </c>
      <c r="P1647" s="95">
        <f>O1647*H1647</f>
        <v>0</v>
      </c>
      <c r="Q1647" s="95">
        <v>0</v>
      </c>
      <c r="R1647" s="95">
        <f>Q1647*H1647</f>
        <v>0</v>
      </c>
      <c r="S1647" s="95">
        <v>0</v>
      </c>
      <c r="T1647" s="99">
        <f>S1647*H1647</f>
        <v>0</v>
      </c>
      <c r="AR1647" s="101" t="s">
        <v>218</v>
      </c>
      <c r="AT1647" s="101" t="s">
        <v>214</v>
      </c>
      <c r="AU1647" s="101" t="s">
        <v>87</v>
      </c>
      <c r="AY1647" s="23" t="s">
        <v>211</v>
      </c>
      <c r="BE1647" s="104">
        <f>IF(N1647="základní",J1647,0)</f>
        <v>0</v>
      </c>
      <c r="BF1647" s="104">
        <f>IF(N1647="snížená",J1647,0)</f>
        <v>0</v>
      </c>
      <c r="BG1647" s="104">
        <f>IF(N1647="zákl. přenesená",J1647,0)</f>
        <v>0</v>
      </c>
      <c r="BH1647" s="104">
        <f>IF(N1647="sníž. přenesená",J1647,0)</f>
        <v>0</v>
      </c>
      <c r="BI1647" s="104">
        <f>IF(N1647="nulová",J1647,0)</f>
        <v>0</v>
      </c>
      <c r="BJ1647" s="23" t="s">
        <v>85</v>
      </c>
      <c r="BK1647" s="104">
        <f>ROUND(I1647*H1647,2)</f>
        <v>0</v>
      </c>
      <c r="BL1647" s="23" t="s">
        <v>218</v>
      </c>
      <c r="BM1647" s="101" t="s">
        <v>2415</v>
      </c>
    </row>
    <row r="1648" spans="2:65" s="1" customFormat="1" ht="76.8">
      <c r="B1648" s="12"/>
      <c r="D1648" s="105" t="s">
        <v>227</v>
      </c>
      <c r="F1648" s="106" t="s">
        <v>2013</v>
      </c>
      <c r="I1648" s="107"/>
      <c r="L1648" s="12"/>
      <c r="M1648" s="108"/>
      <c r="T1648" s="111"/>
      <c r="AT1648" s="23" t="s">
        <v>227</v>
      </c>
      <c r="AU1648" s="23" t="s">
        <v>87</v>
      </c>
    </row>
    <row r="1649" spans="2:65" s="1" customFormat="1" ht="55.5" customHeight="1">
      <c r="B1649" s="12"/>
      <c r="C1649" s="71" t="s">
        <v>2416</v>
      </c>
      <c r="D1649" s="71" t="s">
        <v>214</v>
      </c>
      <c r="E1649" s="72" t="s">
        <v>1678</v>
      </c>
      <c r="F1649" s="73" t="s">
        <v>2417</v>
      </c>
      <c r="G1649" s="74" t="s">
        <v>808</v>
      </c>
      <c r="H1649" s="75">
        <v>1</v>
      </c>
      <c r="I1649" s="90"/>
      <c r="J1649" s="91">
        <f>ROUND(I1649*H1649,2)</f>
        <v>0</v>
      </c>
      <c r="K1649" s="92"/>
      <c r="L1649" s="12"/>
      <c r="M1649" s="93" t="s">
        <v>1</v>
      </c>
      <c r="N1649" s="94" t="s">
        <v>42</v>
      </c>
      <c r="P1649" s="95">
        <f>O1649*H1649</f>
        <v>0</v>
      </c>
      <c r="Q1649" s="95">
        <v>0</v>
      </c>
      <c r="R1649" s="95">
        <f>Q1649*H1649</f>
        <v>0</v>
      </c>
      <c r="S1649" s="95">
        <v>0</v>
      </c>
      <c r="T1649" s="99">
        <f>S1649*H1649</f>
        <v>0</v>
      </c>
      <c r="AR1649" s="101" t="s">
        <v>218</v>
      </c>
      <c r="AT1649" s="101" t="s">
        <v>214</v>
      </c>
      <c r="AU1649" s="101" t="s">
        <v>87</v>
      </c>
      <c r="AY1649" s="23" t="s">
        <v>211</v>
      </c>
      <c r="BE1649" s="104">
        <f>IF(N1649="základní",J1649,0)</f>
        <v>0</v>
      </c>
      <c r="BF1649" s="104">
        <f>IF(N1649="snížená",J1649,0)</f>
        <v>0</v>
      </c>
      <c r="BG1649" s="104">
        <f>IF(N1649="zákl. přenesená",J1649,0)</f>
        <v>0</v>
      </c>
      <c r="BH1649" s="104">
        <f>IF(N1649="sníž. přenesená",J1649,0)</f>
        <v>0</v>
      </c>
      <c r="BI1649" s="104">
        <f>IF(N1649="nulová",J1649,0)</f>
        <v>0</v>
      </c>
      <c r="BJ1649" s="23" t="s">
        <v>85</v>
      </c>
      <c r="BK1649" s="104">
        <f>ROUND(I1649*H1649,2)</f>
        <v>0</v>
      </c>
      <c r="BL1649" s="23" t="s">
        <v>218</v>
      </c>
      <c r="BM1649" s="101" t="s">
        <v>2418</v>
      </c>
    </row>
    <row r="1650" spans="2:65" s="1" customFormat="1" ht="67.2">
      <c r="B1650" s="12"/>
      <c r="D1650" s="105" t="s">
        <v>227</v>
      </c>
      <c r="F1650" s="106" t="s">
        <v>2023</v>
      </c>
      <c r="I1650" s="107"/>
      <c r="L1650" s="12"/>
      <c r="M1650" s="108"/>
      <c r="T1650" s="111"/>
      <c r="AT1650" s="23" t="s">
        <v>227</v>
      </c>
      <c r="AU1650" s="23" t="s">
        <v>87</v>
      </c>
    </row>
    <row r="1651" spans="2:65" s="1" customFormat="1" ht="55.5" customHeight="1">
      <c r="B1651" s="12"/>
      <c r="C1651" s="71" t="s">
        <v>2419</v>
      </c>
      <c r="D1651" s="71" t="s">
        <v>214</v>
      </c>
      <c r="E1651" s="72" t="s">
        <v>1682</v>
      </c>
      <c r="F1651" s="73" t="s">
        <v>2420</v>
      </c>
      <c r="G1651" s="74" t="s">
        <v>808</v>
      </c>
      <c r="H1651" s="75">
        <v>1</v>
      </c>
      <c r="I1651" s="90"/>
      <c r="J1651" s="91">
        <f>ROUND(I1651*H1651,2)</f>
        <v>0</v>
      </c>
      <c r="K1651" s="92"/>
      <c r="L1651" s="12"/>
      <c r="M1651" s="93" t="s">
        <v>1</v>
      </c>
      <c r="N1651" s="94" t="s">
        <v>42</v>
      </c>
      <c r="P1651" s="95">
        <f>O1651*H1651</f>
        <v>0</v>
      </c>
      <c r="Q1651" s="95">
        <v>0</v>
      </c>
      <c r="R1651" s="95">
        <f>Q1651*H1651</f>
        <v>0</v>
      </c>
      <c r="S1651" s="95">
        <v>0</v>
      </c>
      <c r="T1651" s="99">
        <f>S1651*H1651</f>
        <v>0</v>
      </c>
      <c r="AR1651" s="101" t="s">
        <v>218</v>
      </c>
      <c r="AT1651" s="101" t="s">
        <v>214</v>
      </c>
      <c r="AU1651" s="101" t="s">
        <v>87</v>
      </c>
      <c r="AY1651" s="23" t="s">
        <v>211</v>
      </c>
      <c r="BE1651" s="104">
        <f>IF(N1651="základní",J1651,0)</f>
        <v>0</v>
      </c>
      <c r="BF1651" s="104">
        <f>IF(N1651="snížená",J1651,0)</f>
        <v>0</v>
      </c>
      <c r="BG1651" s="104">
        <f>IF(N1651="zákl. přenesená",J1651,0)</f>
        <v>0</v>
      </c>
      <c r="BH1651" s="104">
        <f>IF(N1651="sníž. přenesená",J1651,0)</f>
        <v>0</v>
      </c>
      <c r="BI1651" s="104">
        <f>IF(N1651="nulová",J1651,0)</f>
        <v>0</v>
      </c>
      <c r="BJ1651" s="23" t="s">
        <v>85</v>
      </c>
      <c r="BK1651" s="104">
        <f>ROUND(I1651*H1651,2)</f>
        <v>0</v>
      </c>
      <c r="BL1651" s="23" t="s">
        <v>218</v>
      </c>
      <c r="BM1651" s="101" t="s">
        <v>2421</v>
      </c>
    </row>
    <row r="1652" spans="2:65" s="1" customFormat="1" ht="67.2">
      <c r="B1652" s="12"/>
      <c r="D1652" s="105" t="s">
        <v>227</v>
      </c>
      <c r="F1652" s="106" t="s">
        <v>2018</v>
      </c>
      <c r="I1652" s="107"/>
      <c r="L1652" s="12"/>
      <c r="M1652" s="108"/>
      <c r="T1652" s="111"/>
      <c r="AT1652" s="23" t="s">
        <v>227</v>
      </c>
      <c r="AU1652" s="23" t="s">
        <v>87</v>
      </c>
    </row>
    <row r="1653" spans="2:65" s="1" customFormat="1" ht="66.75" customHeight="1">
      <c r="B1653" s="12"/>
      <c r="C1653" s="71" t="s">
        <v>2422</v>
      </c>
      <c r="D1653" s="71" t="s">
        <v>214</v>
      </c>
      <c r="E1653" s="72" t="s">
        <v>1686</v>
      </c>
      <c r="F1653" s="73" t="s">
        <v>2423</v>
      </c>
      <c r="G1653" s="74" t="s">
        <v>808</v>
      </c>
      <c r="H1653" s="75">
        <v>1</v>
      </c>
      <c r="I1653" s="90"/>
      <c r="J1653" s="91">
        <f>ROUND(I1653*H1653,2)</f>
        <v>0</v>
      </c>
      <c r="K1653" s="92"/>
      <c r="L1653" s="12"/>
      <c r="M1653" s="93" t="s">
        <v>1</v>
      </c>
      <c r="N1653" s="94" t="s">
        <v>42</v>
      </c>
      <c r="P1653" s="95">
        <f>O1653*H1653</f>
        <v>0</v>
      </c>
      <c r="Q1653" s="95">
        <v>0</v>
      </c>
      <c r="R1653" s="95">
        <f>Q1653*H1653</f>
        <v>0</v>
      </c>
      <c r="S1653" s="95">
        <v>0</v>
      </c>
      <c r="T1653" s="99">
        <f>S1653*H1653</f>
        <v>0</v>
      </c>
      <c r="AR1653" s="101" t="s">
        <v>218</v>
      </c>
      <c r="AT1653" s="101" t="s">
        <v>214</v>
      </c>
      <c r="AU1653" s="101" t="s">
        <v>87</v>
      </c>
      <c r="AY1653" s="23" t="s">
        <v>211</v>
      </c>
      <c r="BE1653" s="104">
        <f>IF(N1653="základní",J1653,0)</f>
        <v>0</v>
      </c>
      <c r="BF1653" s="104">
        <f>IF(N1653="snížená",J1653,0)</f>
        <v>0</v>
      </c>
      <c r="BG1653" s="104">
        <f>IF(N1653="zákl. přenesená",J1653,0)</f>
        <v>0</v>
      </c>
      <c r="BH1653" s="104">
        <f>IF(N1653="sníž. přenesená",J1653,0)</f>
        <v>0</v>
      </c>
      <c r="BI1653" s="104">
        <f>IF(N1653="nulová",J1653,0)</f>
        <v>0</v>
      </c>
      <c r="BJ1653" s="23" t="s">
        <v>85</v>
      </c>
      <c r="BK1653" s="104">
        <f>ROUND(I1653*H1653,2)</f>
        <v>0</v>
      </c>
      <c r="BL1653" s="23" t="s">
        <v>218</v>
      </c>
      <c r="BM1653" s="101" t="s">
        <v>2424</v>
      </c>
    </row>
    <row r="1654" spans="2:65" s="1" customFormat="1" ht="76.8">
      <c r="B1654" s="12"/>
      <c r="D1654" s="105" t="s">
        <v>227</v>
      </c>
      <c r="F1654" s="106" t="s">
        <v>2028</v>
      </c>
      <c r="I1654" s="107"/>
      <c r="L1654" s="12"/>
      <c r="M1654" s="108"/>
      <c r="T1654" s="111"/>
      <c r="AT1654" s="23" t="s">
        <v>227</v>
      </c>
      <c r="AU1654" s="23" t="s">
        <v>87</v>
      </c>
    </row>
    <row r="1655" spans="2:65" s="1" customFormat="1" ht="55.5" customHeight="1">
      <c r="B1655" s="12"/>
      <c r="C1655" s="71" t="s">
        <v>2425</v>
      </c>
      <c r="D1655" s="71" t="s">
        <v>214</v>
      </c>
      <c r="E1655" s="72" t="s">
        <v>1690</v>
      </c>
      <c r="F1655" s="73" t="s">
        <v>2426</v>
      </c>
      <c r="G1655" s="74" t="s">
        <v>808</v>
      </c>
      <c r="H1655" s="75">
        <v>1</v>
      </c>
      <c r="I1655" s="90"/>
      <c r="J1655" s="91">
        <f>ROUND(I1655*H1655,2)</f>
        <v>0</v>
      </c>
      <c r="K1655" s="92"/>
      <c r="L1655" s="12"/>
      <c r="M1655" s="93" t="s">
        <v>1</v>
      </c>
      <c r="N1655" s="94" t="s">
        <v>42</v>
      </c>
      <c r="P1655" s="95">
        <f>O1655*H1655</f>
        <v>0</v>
      </c>
      <c r="Q1655" s="95">
        <v>0</v>
      </c>
      <c r="R1655" s="95">
        <f>Q1655*H1655</f>
        <v>0</v>
      </c>
      <c r="S1655" s="95">
        <v>0</v>
      </c>
      <c r="T1655" s="99">
        <f>S1655*H1655</f>
        <v>0</v>
      </c>
      <c r="AR1655" s="101" t="s">
        <v>218</v>
      </c>
      <c r="AT1655" s="101" t="s">
        <v>214</v>
      </c>
      <c r="AU1655" s="101" t="s">
        <v>87</v>
      </c>
      <c r="AY1655" s="23" t="s">
        <v>211</v>
      </c>
      <c r="BE1655" s="104">
        <f>IF(N1655="základní",J1655,0)</f>
        <v>0</v>
      </c>
      <c r="BF1655" s="104">
        <f>IF(N1655="snížená",J1655,0)</f>
        <v>0</v>
      </c>
      <c r="BG1655" s="104">
        <f>IF(N1655="zákl. přenesená",J1655,0)</f>
        <v>0</v>
      </c>
      <c r="BH1655" s="104">
        <f>IF(N1655="sníž. přenesená",J1655,0)</f>
        <v>0</v>
      </c>
      <c r="BI1655" s="104">
        <f>IF(N1655="nulová",J1655,0)</f>
        <v>0</v>
      </c>
      <c r="BJ1655" s="23" t="s">
        <v>85</v>
      </c>
      <c r="BK1655" s="104">
        <f>ROUND(I1655*H1655,2)</f>
        <v>0</v>
      </c>
      <c r="BL1655" s="23" t="s">
        <v>218</v>
      </c>
      <c r="BM1655" s="101" t="s">
        <v>2427</v>
      </c>
    </row>
    <row r="1656" spans="2:65" s="1" customFormat="1" ht="67.2">
      <c r="B1656" s="12"/>
      <c r="D1656" s="105" t="s">
        <v>227</v>
      </c>
      <c r="F1656" s="106" t="s">
        <v>2023</v>
      </c>
      <c r="I1656" s="107"/>
      <c r="L1656" s="12"/>
      <c r="M1656" s="108"/>
      <c r="T1656" s="111"/>
      <c r="AT1656" s="23" t="s">
        <v>227</v>
      </c>
      <c r="AU1656" s="23" t="s">
        <v>87</v>
      </c>
    </row>
    <row r="1657" spans="2:65" s="1" customFormat="1" ht="66.75" customHeight="1">
      <c r="B1657" s="12"/>
      <c r="C1657" s="71" t="s">
        <v>2428</v>
      </c>
      <c r="D1657" s="71" t="s">
        <v>214</v>
      </c>
      <c r="E1657" s="72" t="s">
        <v>1698</v>
      </c>
      <c r="F1657" s="73" t="s">
        <v>2429</v>
      </c>
      <c r="G1657" s="74" t="s">
        <v>808</v>
      </c>
      <c r="H1657" s="75">
        <v>1</v>
      </c>
      <c r="I1657" s="90"/>
      <c r="J1657" s="91">
        <f>ROUND(I1657*H1657,2)</f>
        <v>0</v>
      </c>
      <c r="K1657" s="92"/>
      <c r="L1657" s="12"/>
      <c r="M1657" s="93" t="s">
        <v>1</v>
      </c>
      <c r="N1657" s="94" t="s">
        <v>42</v>
      </c>
      <c r="P1657" s="95">
        <f>O1657*H1657</f>
        <v>0</v>
      </c>
      <c r="Q1657" s="95">
        <v>0</v>
      </c>
      <c r="R1657" s="95">
        <f>Q1657*H1657</f>
        <v>0</v>
      </c>
      <c r="S1657" s="95">
        <v>0</v>
      </c>
      <c r="T1657" s="99">
        <f>S1657*H1657</f>
        <v>0</v>
      </c>
      <c r="AR1657" s="101" t="s">
        <v>218</v>
      </c>
      <c r="AT1657" s="101" t="s">
        <v>214</v>
      </c>
      <c r="AU1657" s="101" t="s">
        <v>87</v>
      </c>
      <c r="AY1657" s="23" t="s">
        <v>211</v>
      </c>
      <c r="BE1657" s="104">
        <f>IF(N1657="základní",J1657,0)</f>
        <v>0</v>
      </c>
      <c r="BF1657" s="104">
        <f>IF(N1657="snížená",J1657,0)</f>
        <v>0</v>
      </c>
      <c r="BG1657" s="104">
        <f>IF(N1657="zákl. přenesená",J1657,0)</f>
        <v>0</v>
      </c>
      <c r="BH1657" s="104">
        <f>IF(N1657="sníž. přenesená",J1657,0)</f>
        <v>0</v>
      </c>
      <c r="BI1657" s="104">
        <f>IF(N1657="nulová",J1657,0)</f>
        <v>0</v>
      </c>
      <c r="BJ1657" s="23" t="s">
        <v>85</v>
      </c>
      <c r="BK1657" s="104">
        <f>ROUND(I1657*H1657,2)</f>
        <v>0</v>
      </c>
      <c r="BL1657" s="23" t="s">
        <v>218</v>
      </c>
      <c r="BM1657" s="101" t="s">
        <v>2430</v>
      </c>
    </row>
    <row r="1658" spans="2:65" s="1" customFormat="1" ht="76.8">
      <c r="B1658" s="12"/>
      <c r="D1658" s="105" t="s">
        <v>227</v>
      </c>
      <c r="F1658" s="106" t="s">
        <v>2013</v>
      </c>
      <c r="I1658" s="107"/>
      <c r="L1658" s="12"/>
      <c r="M1658" s="108"/>
      <c r="T1658" s="111"/>
      <c r="AT1658" s="23" t="s">
        <v>227</v>
      </c>
      <c r="AU1658" s="23" t="s">
        <v>87</v>
      </c>
    </row>
    <row r="1659" spans="2:65" s="1" customFormat="1" ht="76.349999999999994" customHeight="1">
      <c r="B1659" s="12"/>
      <c r="C1659" s="71" t="s">
        <v>2431</v>
      </c>
      <c r="D1659" s="71" t="s">
        <v>214</v>
      </c>
      <c r="E1659" s="72" t="s">
        <v>1702</v>
      </c>
      <c r="F1659" s="73" t="s">
        <v>2432</v>
      </c>
      <c r="G1659" s="74" t="s">
        <v>808</v>
      </c>
      <c r="H1659" s="75">
        <v>1</v>
      </c>
      <c r="I1659" s="90"/>
      <c r="J1659" s="91">
        <f>ROUND(I1659*H1659,2)</f>
        <v>0</v>
      </c>
      <c r="K1659" s="92"/>
      <c r="L1659" s="12"/>
      <c r="M1659" s="93" t="s">
        <v>1</v>
      </c>
      <c r="N1659" s="94" t="s">
        <v>42</v>
      </c>
      <c r="P1659" s="95">
        <f>O1659*H1659</f>
        <v>0</v>
      </c>
      <c r="Q1659" s="95">
        <v>0</v>
      </c>
      <c r="R1659" s="95">
        <f>Q1659*H1659</f>
        <v>0</v>
      </c>
      <c r="S1659" s="95">
        <v>0</v>
      </c>
      <c r="T1659" s="99">
        <f>S1659*H1659</f>
        <v>0</v>
      </c>
      <c r="AR1659" s="101" t="s">
        <v>218</v>
      </c>
      <c r="AT1659" s="101" t="s">
        <v>214</v>
      </c>
      <c r="AU1659" s="101" t="s">
        <v>87</v>
      </c>
      <c r="AY1659" s="23" t="s">
        <v>211</v>
      </c>
      <c r="BE1659" s="104">
        <f>IF(N1659="základní",J1659,0)</f>
        <v>0</v>
      </c>
      <c r="BF1659" s="104">
        <f>IF(N1659="snížená",J1659,0)</f>
        <v>0</v>
      </c>
      <c r="BG1659" s="104">
        <f>IF(N1659="zákl. přenesená",J1659,0)</f>
        <v>0</v>
      </c>
      <c r="BH1659" s="104">
        <f>IF(N1659="sníž. přenesená",J1659,0)</f>
        <v>0</v>
      </c>
      <c r="BI1659" s="104">
        <f>IF(N1659="nulová",J1659,0)</f>
        <v>0</v>
      </c>
      <c r="BJ1659" s="23" t="s">
        <v>85</v>
      </c>
      <c r="BK1659" s="104">
        <f>ROUND(I1659*H1659,2)</f>
        <v>0</v>
      </c>
      <c r="BL1659" s="23" t="s">
        <v>218</v>
      </c>
      <c r="BM1659" s="101" t="s">
        <v>2433</v>
      </c>
    </row>
    <row r="1660" spans="2:65" s="1" customFormat="1" ht="105.6">
      <c r="B1660" s="12"/>
      <c r="D1660" s="105" t="s">
        <v>227</v>
      </c>
      <c r="F1660" s="106" t="s">
        <v>2300</v>
      </c>
      <c r="I1660" s="107"/>
      <c r="L1660" s="12"/>
      <c r="M1660" s="108"/>
      <c r="T1660" s="111"/>
      <c r="AT1660" s="23" t="s">
        <v>227</v>
      </c>
      <c r="AU1660" s="23" t="s">
        <v>87</v>
      </c>
    </row>
    <row r="1661" spans="2:65" s="1" customFormat="1" ht="55.5" customHeight="1">
      <c r="B1661" s="12"/>
      <c r="C1661" s="71" t="s">
        <v>2434</v>
      </c>
      <c r="D1661" s="71" t="s">
        <v>214</v>
      </c>
      <c r="E1661" s="72" t="s">
        <v>2435</v>
      </c>
      <c r="F1661" s="73" t="s">
        <v>2436</v>
      </c>
      <c r="G1661" s="74" t="s">
        <v>808</v>
      </c>
      <c r="H1661" s="75">
        <v>1</v>
      </c>
      <c r="I1661" s="90"/>
      <c r="J1661" s="91">
        <f>ROUND(I1661*H1661,2)</f>
        <v>0</v>
      </c>
      <c r="K1661" s="92"/>
      <c r="L1661" s="12"/>
      <c r="M1661" s="93" t="s">
        <v>1</v>
      </c>
      <c r="N1661" s="94" t="s">
        <v>42</v>
      </c>
      <c r="P1661" s="95">
        <f>O1661*H1661</f>
        <v>0</v>
      </c>
      <c r="Q1661" s="95">
        <v>0</v>
      </c>
      <c r="R1661" s="95">
        <f>Q1661*H1661</f>
        <v>0</v>
      </c>
      <c r="S1661" s="95">
        <v>0</v>
      </c>
      <c r="T1661" s="99">
        <f>S1661*H1661</f>
        <v>0</v>
      </c>
      <c r="AR1661" s="101" t="s">
        <v>218</v>
      </c>
      <c r="AT1661" s="101" t="s">
        <v>214</v>
      </c>
      <c r="AU1661" s="101" t="s">
        <v>87</v>
      </c>
      <c r="AY1661" s="23" t="s">
        <v>211</v>
      </c>
      <c r="BE1661" s="104">
        <f>IF(N1661="základní",J1661,0)</f>
        <v>0</v>
      </c>
      <c r="BF1661" s="104">
        <f>IF(N1661="snížená",J1661,0)</f>
        <v>0</v>
      </c>
      <c r="BG1661" s="104">
        <f>IF(N1661="zákl. přenesená",J1661,0)</f>
        <v>0</v>
      </c>
      <c r="BH1661" s="104">
        <f>IF(N1661="sníž. přenesená",J1661,0)</f>
        <v>0</v>
      </c>
      <c r="BI1661" s="104">
        <f>IF(N1661="nulová",J1661,0)</f>
        <v>0</v>
      </c>
      <c r="BJ1661" s="23" t="s">
        <v>85</v>
      </c>
      <c r="BK1661" s="104">
        <f>ROUND(I1661*H1661,2)</f>
        <v>0</v>
      </c>
      <c r="BL1661" s="23" t="s">
        <v>218</v>
      </c>
      <c r="BM1661" s="101" t="s">
        <v>2437</v>
      </c>
    </row>
    <row r="1662" spans="2:65" s="1" customFormat="1" ht="67.2">
      <c r="B1662" s="12"/>
      <c r="D1662" s="105" t="s">
        <v>227</v>
      </c>
      <c r="F1662" s="106" t="s">
        <v>2018</v>
      </c>
      <c r="I1662" s="107"/>
      <c r="L1662" s="12"/>
      <c r="M1662" s="108"/>
      <c r="T1662" s="111"/>
      <c r="AT1662" s="23" t="s">
        <v>227</v>
      </c>
      <c r="AU1662" s="23" t="s">
        <v>87</v>
      </c>
    </row>
    <row r="1663" spans="2:65" s="1" customFormat="1" ht="66.75" customHeight="1">
      <c r="B1663" s="12"/>
      <c r="C1663" s="71" t="s">
        <v>2438</v>
      </c>
      <c r="D1663" s="71" t="s">
        <v>214</v>
      </c>
      <c r="E1663" s="72" t="s">
        <v>1706</v>
      </c>
      <c r="F1663" s="73" t="s">
        <v>2439</v>
      </c>
      <c r="G1663" s="74" t="s">
        <v>808</v>
      </c>
      <c r="H1663" s="75">
        <v>1</v>
      </c>
      <c r="I1663" s="90"/>
      <c r="J1663" s="91">
        <f>ROUND(I1663*H1663,2)</f>
        <v>0</v>
      </c>
      <c r="K1663" s="92"/>
      <c r="L1663" s="12"/>
      <c r="M1663" s="93" t="s">
        <v>1</v>
      </c>
      <c r="N1663" s="94" t="s">
        <v>42</v>
      </c>
      <c r="P1663" s="95">
        <f>O1663*H1663</f>
        <v>0</v>
      </c>
      <c r="Q1663" s="95">
        <v>0</v>
      </c>
      <c r="R1663" s="95">
        <f>Q1663*H1663</f>
        <v>0</v>
      </c>
      <c r="S1663" s="95">
        <v>0</v>
      </c>
      <c r="T1663" s="99">
        <f>S1663*H1663</f>
        <v>0</v>
      </c>
      <c r="AR1663" s="101" t="s">
        <v>218</v>
      </c>
      <c r="AT1663" s="101" t="s">
        <v>214</v>
      </c>
      <c r="AU1663" s="101" t="s">
        <v>87</v>
      </c>
      <c r="AY1663" s="23" t="s">
        <v>211</v>
      </c>
      <c r="BE1663" s="104">
        <f>IF(N1663="základní",J1663,0)</f>
        <v>0</v>
      </c>
      <c r="BF1663" s="104">
        <f>IF(N1663="snížená",J1663,0)</f>
        <v>0</v>
      </c>
      <c r="BG1663" s="104">
        <f>IF(N1663="zákl. přenesená",J1663,0)</f>
        <v>0</v>
      </c>
      <c r="BH1663" s="104">
        <f>IF(N1663="sníž. přenesená",J1663,0)</f>
        <v>0</v>
      </c>
      <c r="BI1663" s="104">
        <f>IF(N1663="nulová",J1663,0)</f>
        <v>0</v>
      </c>
      <c r="BJ1663" s="23" t="s">
        <v>85</v>
      </c>
      <c r="BK1663" s="104">
        <f>ROUND(I1663*H1663,2)</f>
        <v>0</v>
      </c>
      <c r="BL1663" s="23" t="s">
        <v>218</v>
      </c>
      <c r="BM1663" s="101" t="s">
        <v>2440</v>
      </c>
    </row>
    <row r="1664" spans="2:65" s="1" customFormat="1" ht="76.8">
      <c r="B1664" s="12"/>
      <c r="D1664" s="105" t="s">
        <v>227</v>
      </c>
      <c r="F1664" s="106" t="s">
        <v>2013</v>
      </c>
      <c r="I1664" s="107"/>
      <c r="L1664" s="12"/>
      <c r="M1664" s="108"/>
      <c r="T1664" s="111"/>
      <c r="AT1664" s="23" t="s">
        <v>227</v>
      </c>
      <c r="AU1664" s="23" t="s">
        <v>87</v>
      </c>
    </row>
    <row r="1665" spans="2:65" s="1" customFormat="1" ht="55.5" customHeight="1">
      <c r="B1665" s="12"/>
      <c r="C1665" s="71" t="s">
        <v>2441</v>
      </c>
      <c r="D1665" s="71" t="s">
        <v>214</v>
      </c>
      <c r="E1665" s="72" t="s">
        <v>1710</v>
      </c>
      <c r="F1665" s="73" t="s">
        <v>2442</v>
      </c>
      <c r="G1665" s="74" t="s">
        <v>808</v>
      </c>
      <c r="H1665" s="75">
        <v>1</v>
      </c>
      <c r="I1665" s="90"/>
      <c r="J1665" s="91">
        <f>ROUND(I1665*H1665,2)</f>
        <v>0</v>
      </c>
      <c r="K1665" s="92"/>
      <c r="L1665" s="12"/>
      <c r="M1665" s="93" t="s">
        <v>1</v>
      </c>
      <c r="N1665" s="94" t="s">
        <v>42</v>
      </c>
      <c r="P1665" s="95">
        <f>O1665*H1665</f>
        <v>0</v>
      </c>
      <c r="Q1665" s="95">
        <v>0</v>
      </c>
      <c r="R1665" s="95">
        <f>Q1665*H1665</f>
        <v>0</v>
      </c>
      <c r="S1665" s="95">
        <v>0</v>
      </c>
      <c r="T1665" s="99">
        <f>S1665*H1665</f>
        <v>0</v>
      </c>
      <c r="AR1665" s="101" t="s">
        <v>218</v>
      </c>
      <c r="AT1665" s="101" t="s">
        <v>214</v>
      </c>
      <c r="AU1665" s="101" t="s">
        <v>87</v>
      </c>
      <c r="AY1665" s="23" t="s">
        <v>211</v>
      </c>
      <c r="BE1665" s="104">
        <f>IF(N1665="základní",J1665,0)</f>
        <v>0</v>
      </c>
      <c r="BF1665" s="104">
        <f>IF(N1665="snížená",J1665,0)</f>
        <v>0</v>
      </c>
      <c r="BG1665" s="104">
        <f>IF(N1665="zákl. přenesená",J1665,0)</f>
        <v>0</v>
      </c>
      <c r="BH1665" s="104">
        <f>IF(N1665="sníž. přenesená",J1665,0)</f>
        <v>0</v>
      </c>
      <c r="BI1665" s="104">
        <f>IF(N1665="nulová",J1665,0)</f>
        <v>0</v>
      </c>
      <c r="BJ1665" s="23" t="s">
        <v>85</v>
      </c>
      <c r="BK1665" s="104">
        <f>ROUND(I1665*H1665,2)</f>
        <v>0</v>
      </c>
      <c r="BL1665" s="23" t="s">
        <v>218</v>
      </c>
      <c r="BM1665" s="101" t="s">
        <v>2443</v>
      </c>
    </row>
    <row r="1666" spans="2:65" s="1" customFormat="1" ht="67.2">
      <c r="B1666" s="12"/>
      <c r="D1666" s="105" t="s">
        <v>227</v>
      </c>
      <c r="F1666" s="106" t="s">
        <v>2018</v>
      </c>
      <c r="I1666" s="107"/>
      <c r="L1666" s="12"/>
      <c r="M1666" s="108"/>
      <c r="T1666" s="111"/>
      <c r="AT1666" s="23" t="s">
        <v>227</v>
      </c>
      <c r="AU1666" s="23" t="s">
        <v>87</v>
      </c>
    </row>
    <row r="1667" spans="2:65" s="1" customFormat="1" ht="55.5" customHeight="1">
      <c r="B1667" s="12"/>
      <c r="C1667" s="71" t="s">
        <v>2444</v>
      </c>
      <c r="D1667" s="71" t="s">
        <v>214</v>
      </c>
      <c r="E1667" s="72" t="s">
        <v>1714</v>
      </c>
      <c r="F1667" s="73" t="s">
        <v>2445</v>
      </c>
      <c r="G1667" s="74" t="s">
        <v>808</v>
      </c>
      <c r="H1667" s="75">
        <v>1</v>
      </c>
      <c r="I1667" s="90"/>
      <c r="J1667" s="91">
        <f>ROUND(I1667*H1667,2)</f>
        <v>0</v>
      </c>
      <c r="K1667" s="92"/>
      <c r="L1667" s="12"/>
      <c r="M1667" s="93" t="s">
        <v>1</v>
      </c>
      <c r="N1667" s="94" t="s">
        <v>42</v>
      </c>
      <c r="P1667" s="95">
        <f>O1667*H1667</f>
        <v>0</v>
      </c>
      <c r="Q1667" s="95">
        <v>0</v>
      </c>
      <c r="R1667" s="95">
        <f>Q1667*H1667</f>
        <v>0</v>
      </c>
      <c r="S1667" s="95">
        <v>0</v>
      </c>
      <c r="T1667" s="99">
        <f>S1667*H1667</f>
        <v>0</v>
      </c>
      <c r="AR1667" s="101" t="s">
        <v>218</v>
      </c>
      <c r="AT1667" s="101" t="s">
        <v>214</v>
      </c>
      <c r="AU1667" s="101" t="s">
        <v>87</v>
      </c>
      <c r="AY1667" s="23" t="s">
        <v>211</v>
      </c>
      <c r="BE1667" s="104">
        <f>IF(N1667="základní",J1667,0)</f>
        <v>0</v>
      </c>
      <c r="BF1667" s="104">
        <f>IF(N1667="snížená",J1667,0)</f>
        <v>0</v>
      </c>
      <c r="BG1667" s="104">
        <f>IF(N1667="zákl. přenesená",J1667,0)</f>
        <v>0</v>
      </c>
      <c r="BH1667" s="104">
        <f>IF(N1667="sníž. přenesená",J1667,0)</f>
        <v>0</v>
      </c>
      <c r="BI1667" s="104">
        <f>IF(N1667="nulová",J1667,0)</f>
        <v>0</v>
      </c>
      <c r="BJ1667" s="23" t="s">
        <v>85</v>
      </c>
      <c r="BK1667" s="104">
        <f>ROUND(I1667*H1667,2)</f>
        <v>0</v>
      </c>
      <c r="BL1667" s="23" t="s">
        <v>218</v>
      </c>
      <c r="BM1667" s="101" t="s">
        <v>2446</v>
      </c>
    </row>
    <row r="1668" spans="2:65" s="1" customFormat="1" ht="67.2">
      <c r="B1668" s="12"/>
      <c r="D1668" s="105" t="s">
        <v>227</v>
      </c>
      <c r="F1668" s="106" t="s">
        <v>2023</v>
      </c>
      <c r="I1668" s="107"/>
      <c r="L1668" s="12"/>
      <c r="M1668" s="108"/>
      <c r="T1668" s="111"/>
      <c r="AT1668" s="23" t="s">
        <v>227</v>
      </c>
      <c r="AU1668" s="23" t="s">
        <v>87</v>
      </c>
    </row>
    <row r="1669" spans="2:65" s="1" customFormat="1" ht="66.75" customHeight="1">
      <c r="B1669" s="12"/>
      <c r="C1669" s="71" t="s">
        <v>2447</v>
      </c>
      <c r="D1669" s="71" t="s">
        <v>214</v>
      </c>
      <c r="E1669" s="72" t="s">
        <v>1718</v>
      </c>
      <c r="F1669" s="73" t="s">
        <v>2448</v>
      </c>
      <c r="G1669" s="74" t="s">
        <v>808</v>
      </c>
      <c r="H1669" s="75">
        <v>1</v>
      </c>
      <c r="I1669" s="90"/>
      <c r="J1669" s="91">
        <f>ROUND(I1669*H1669,2)</f>
        <v>0</v>
      </c>
      <c r="K1669" s="92"/>
      <c r="L1669" s="12"/>
      <c r="M1669" s="93" t="s">
        <v>1</v>
      </c>
      <c r="N1669" s="94" t="s">
        <v>42</v>
      </c>
      <c r="P1669" s="95">
        <f>O1669*H1669</f>
        <v>0</v>
      </c>
      <c r="Q1669" s="95">
        <v>0</v>
      </c>
      <c r="R1669" s="95">
        <f>Q1669*H1669</f>
        <v>0</v>
      </c>
      <c r="S1669" s="95">
        <v>0</v>
      </c>
      <c r="T1669" s="99">
        <f>S1669*H1669</f>
        <v>0</v>
      </c>
      <c r="AR1669" s="101" t="s">
        <v>218</v>
      </c>
      <c r="AT1669" s="101" t="s">
        <v>214</v>
      </c>
      <c r="AU1669" s="101" t="s">
        <v>87</v>
      </c>
      <c r="AY1669" s="23" t="s">
        <v>211</v>
      </c>
      <c r="BE1669" s="104">
        <f>IF(N1669="základní",J1669,0)</f>
        <v>0</v>
      </c>
      <c r="BF1669" s="104">
        <f>IF(N1669="snížená",J1669,0)</f>
        <v>0</v>
      </c>
      <c r="BG1669" s="104">
        <f>IF(N1669="zákl. přenesená",J1669,0)</f>
        <v>0</v>
      </c>
      <c r="BH1669" s="104">
        <f>IF(N1669="sníž. přenesená",J1669,0)</f>
        <v>0</v>
      </c>
      <c r="BI1669" s="104">
        <f>IF(N1669="nulová",J1669,0)</f>
        <v>0</v>
      </c>
      <c r="BJ1669" s="23" t="s">
        <v>85</v>
      </c>
      <c r="BK1669" s="104">
        <f>ROUND(I1669*H1669,2)</f>
        <v>0</v>
      </c>
      <c r="BL1669" s="23" t="s">
        <v>218</v>
      </c>
      <c r="BM1669" s="101" t="s">
        <v>2449</v>
      </c>
    </row>
    <row r="1670" spans="2:65" s="1" customFormat="1" ht="76.8">
      <c r="B1670" s="12"/>
      <c r="D1670" s="105" t="s">
        <v>227</v>
      </c>
      <c r="F1670" s="106" t="s">
        <v>2028</v>
      </c>
      <c r="I1670" s="107"/>
      <c r="L1670" s="12"/>
      <c r="M1670" s="108"/>
      <c r="T1670" s="111"/>
      <c r="AT1670" s="23" t="s">
        <v>227</v>
      </c>
      <c r="AU1670" s="23" t="s">
        <v>87</v>
      </c>
    </row>
    <row r="1671" spans="2:65" s="1" customFormat="1" ht="66.75" customHeight="1">
      <c r="B1671" s="12"/>
      <c r="C1671" s="71" t="s">
        <v>2450</v>
      </c>
      <c r="D1671" s="71" t="s">
        <v>214</v>
      </c>
      <c r="E1671" s="72" t="s">
        <v>1722</v>
      </c>
      <c r="F1671" s="73" t="s">
        <v>2451</v>
      </c>
      <c r="G1671" s="74" t="s">
        <v>808</v>
      </c>
      <c r="H1671" s="75">
        <v>1</v>
      </c>
      <c r="I1671" s="90"/>
      <c r="J1671" s="91">
        <f>ROUND(I1671*H1671,2)</f>
        <v>0</v>
      </c>
      <c r="K1671" s="92"/>
      <c r="L1671" s="12"/>
      <c r="M1671" s="93" t="s">
        <v>1</v>
      </c>
      <c r="N1671" s="94" t="s">
        <v>42</v>
      </c>
      <c r="P1671" s="95">
        <f>O1671*H1671</f>
        <v>0</v>
      </c>
      <c r="Q1671" s="95">
        <v>0</v>
      </c>
      <c r="R1671" s="95">
        <f>Q1671*H1671</f>
        <v>0</v>
      </c>
      <c r="S1671" s="95">
        <v>0</v>
      </c>
      <c r="T1671" s="99">
        <f>S1671*H1671</f>
        <v>0</v>
      </c>
      <c r="AR1671" s="101" t="s">
        <v>218</v>
      </c>
      <c r="AT1671" s="101" t="s">
        <v>214</v>
      </c>
      <c r="AU1671" s="101" t="s">
        <v>87</v>
      </c>
      <c r="AY1671" s="23" t="s">
        <v>211</v>
      </c>
      <c r="BE1671" s="104">
        <f>IF(N1671="základní",J1671,0)</f>
        <v>0</v>
      </c>
      <c r="BF1671" s="104">
        <f>IF(N1671="snížená",J1671,0)</f>
        <v>0</v>
      </c>
      <c r="BG1671" s="104">
        <f>IF(N1671="zákl. přenesená",J1671,0)</f>
        <v>0</v>
      </c>
      <c r="BH1671" s="104">
        <f>IF(N1671="sníž. přenesená",J1671,0)</f>
        <v>0</v>
      </c>
      <c r="BI1671" s="104">
        <f>IF(N1671="nulová",J1671,0)</f>
        <v>0</v>
      </c>
      <c r="BJ1671" s="23" t="s">
        <v>85</v>
      </c>
      <c r="BK1671" s="104">
        <f>ROUND(I1671*H1671,2)</f>
        <v>0</v>
      </c>
      <c r="BL1671" s="23" t="s">
        <v>218</v>
      </c>
      <c r="BM1671" s="101" t="s">
        <v>2452</v>
      </c>
    </row>
    <row r="1672" spans="2:65" s="1" customFormat="1" ht="76.8">
      <c r="B1672" s="12"/>
      <c r="D1672" s="105" t="s">
        <v>227</v>
      </c>
      <c r="F1672" s="106" t="s">
        <v>2013</v>
      </c>
      <c r="I1672" s="107"/>
      <c r="L1672" s="12"/>
      <c r="M1672" s="108"/>
      <c r="T1672" s="111"/>
      <c r="AT1672" s="23" t="s">
        <v>227</v>
      </c>
      <c r="AU1672" s="23" t="s">
        <v>87</v>
      </c>
    </row>
    <row r="1673" spans="2:65" s="1" customFormat="1" ht="66.75" customHeight="1">
      <c r="B1673" s="12"/>
      <c r="C1673" s="71" t="s">
        <v>2453</v>
      </c>
      <c r="D1673" s="71" t="s">
        <v>214</v>
      </c>
      <c r="E1673" s="72" t="s">
        <v>1726</v>
      </c>
      <c r="F1673" s="73" t="s">
        <v>2454</v>
      </c>
      <c r="G1673" s="74" t="s">
        <v>808</v>
      </c>
      <c r="H1673" s="75">
        <v>1</v>
      </c>
      <c r="I1673" s="90"/>
      <c r="J1673" s="91">
        <f>ROUND(I1673*H1673,2)</f>
        <v>0</v>
      </c>
      <c r="K1673" s="92"/>
      <c r="L1673" s="12"/>
      <c r="M1673" s="93" t="s">
        <v>1</v>
      </c>
      <c r="N1673" s="94" t="s">
        <v>42</v>
      </c>
      <c r="P1673" s="95">
        <f>O1673*H1673</f>
        <v>0</v>
      </c>
      <c r="Q1673" s="95">
        <v>0</v>
      </c>
      <c r="R1673" s="95">
        <f>Q1673*H1673</f>
        <v>0</v>
      </c>
      <c r="S1673" s="95">
        <v>0</v>
      </c>
      <c r="T1673" s="99">
        <f>S1673*H1673</f>
        <v>0</v>
      </c>
      <c r="AR1673" s="101" t="s">
        <v>218</v>
      </c>
      <c r="AT1673" s="101" t="s">
        <v>214</v>
      </c>
      <c r="AU1673" s="101" t="s">
        <v>87</v>
      </c>
      <c r="AY1673" s="23" t="s">
        <v>211</v>
      </c>
      <c r="BE1673" s="104">
        <f>IF(N1673="základní",J1673,0)</f>
        <v>0</v>
      </c>
      <c r="BF1673" s="104">
        <f>IF(N1673="snížená",J1673,0)</f>
        <v>0</v>
      </c>
      <c r="BG1673" s="104">
        <f>IF(N1673="zákl. přenesená",J1673,0)</f>
        <v>0</v>
      </c>
      <c r="BH1673" s="104">
        <f>IF(N1673="sníž. přenesená",J1673,0)</f>
        <v>0</v>
      </c>
      <c r="BI1673" s="104">
        <f>IF(N1673="nulová",J1673,0)</f>
        <v>0</v>
      </c>
      <c r="BJ1673" s="23" t="s">
        <v>85</v>
      </c>
      <c r="BK1673" s="104">
        <f>ROUND(I1673*H1673,2)</f>
        <v>0</v>
      </c>
      <c r="BL1673" s="23" t="s">
        <v>218</v>
      </c>
      <c r="BM1673" s="101" t="s">
        <v>2455</v>
      </c>
    </row>
    <row r="1674" spans="2:65" s="1" customFormat="1" ht="76.8">
      <c r="B1674" s="12"/>
      <c r="D1674" s="105" t="s">
        <v>227</v>
      </c>
      <c r="F1674" s="106" t="s">
        <v>2028</v>
      </c>
      <c r="I1674" s="107"/>
      <c r="L1674" s="12"/>
      <c r="M1674" s="108"/>
      <c r="T1674" s="111"/>
      <c r="AT1674" s="23" t="s">
        <v>227</v>
      </c>
      <c r="AU1674" s="23" t="s">
        <v>87</v>
      </c>
    </row>
    <row r="1675" spans="2:65" s="1" customFormat="1" ht="55.5" customHeight="1">
      <c r="B1675" s="12"/>
      <c r="C1675" s="71" t="s">
        <v>2456</v>
      </c>
      <c r="D1675" s="71" t="s">
        <v>214</v>
      </c>
      <c r="E1675" s="72" t="s">
        <v>1730</v>
      </c>
      <c r="F1675" s="73" t="s">
        <v>2457</v>
      </c>
      <c r="G1675" s="74" t="s">
        <v>808</v>
      </c>
      <c r="H1675" s="75">
        <v>1</v>
      </c>
      <c r="I1675" s="90"/>
      <c r="J1675" s="91">
        <f>ROUND(I1675*H1675,2)</f>
        <v>0</v>
      </c>
      <c r="K1675" s="92"/>
      <c r="L1675" s="12"/>
      <c r="M1675" s="93" t="s">
        <v>1</v>
      </c>
      <c r="N1675" s="94" t="s">
        <v>42</v>
      </c>
      <c r="P1675" s="95">
        <f>O1675*H1675</f>
        <v>0</v>
      </c>
      <c r="Q1675" s="95">
        <v>0</v>
      </c>
      <c r="R1675" s="95">
        <f>Q1675*H1675</f>
        <v>0</v>
      </c>
      <c r="S1675" s="95">
        <v>0</v>
      </c>
      <c r="T1675" s="99">
        <f>S1675*H1675</f>
        <v>0</v>
      </c>
      <c r="AR1675" s="101" t="s">
        <v>218</v>
      </c>
      <c r="AT1675" s="101" t="s">
        <v>214</v>
      </c>
      <c r="AU1675" s="101" t="s">
        <v>87</v>
      </c>
      <c r="AY1675" s="23" t="s">
        <v>211</v>
      </c>
      <c r="BE1675" s="104">
        <f>IF(N1675="základní",J1675,0)</f>
        <v>0</v>
      </c>
      <c r="BF1675" s="104">
        <f>IF(N1675="snížená",J1675,0)</f>
        <v>0</v>
      </c>
      <c r="BG1675" s="104">
        <f>IF(N1675="zákl. přenesená",J1675,0)</f>
        <v>0</v>
      </c>
      <c r="BH1675" s="104">
        <f>IF(N1675="sníž. přenesená",J1675,0)</f>
        <v>0</v>
      </c>
      <c r="BI1675" s="104">
        <f>IF(N1675="nulová",J1675,0)</f>
        <v>0</v>
      </c>
      <c r="BJ1675" s="23" t="s">
        <v>85</v>
      </c>
      <c r="BK1675" s="104">
        <f>ROUND(I1675*H1675,2)</f>
        <v>0</v>
      </c>
      <c r="BL1675" s="23" t="s">
        <v>218</v>
      </c>
      <c r="BM1675" s="101" t="s">
        <v>2458</v>
      </c>
    </row>
    <row r="1676" spans="2:65" s="1" customFormat="1" ht="67.2">
      <c r="B1676" s="12"/>
      <c r="D1676" s="105" t="s">
        <v>227</v>
      </c>
      <c r="F1676" s="106" t="s">
        <v>2018</v>
      </c>
      <c r="I1676" s="107"/>
      <c r="L1676" s="12"/>
      <c r="M1676" s="108"/>
      <c r="T1676" s="111"/>
      <c r="AT1676" s="23" t="s">
        <v>227</v>
      </c>
      <c r="AU1676" s="23" t="s">
        <v>87</v>
      </c>
    </row>
    <row r="1677" spans="2:65" s="1" customFormat="1" ht="55.5" customHeight="1">
      <c r="B1677" s="12"/>
      <c r="C1677" s="71" t="s">
        <v>2459</v>
      </c>
      <c r="D1677" s="71" t="s">
        <v>214</v>
      </c>
      <c r="E1677" s="72" t="s">
        <v>1734</v>
      </c>
      <c r="F1677" s="73" t="s">
        <v>2460</v>
      </c>
      <c r="G1677" s="74" t="s">
        <v>808</v>
      </c>
      <c r="H1677" s="75">
        <v>1</v>
      </c>
      <c r="I1677" s="90"/>
      <c r="J1677" s="91">
        <f>ROUND(I1677*H1677,2)</f>
        <v>0</v>
      </c>
      <c r="K1677" s="92"/>
      <c r="L1677" s="12"/>
      <c r="M1677" s="93" t="s">
        <v>1</v>
      </c>
      <c r="N1677" s="94" t="s">
        <v>42</v>
      </c>
      <c r="P1677" s="95">
        <f>O1677*H1677</f>
        <v>0</v>
      </c>
      <c r="Q1677" s="95">
        <v>0</v>
      </c>
      <c r="R1677" s="95">
        <f>Q1677*H1677</f>
        <v>0</v>
      </c>
      <c r="S1677" s="95">
        <v>0</v>
      </c>
      <c r="T1677" s="99">
        <f>S1677*H1677</f>
        <v>0</v>
      </c>
      <c r="AR1677" s="101" t="s">
        <v>218</v>
      </c>
      <c r="AT1677" s="101" t="s">
        <v>214</v>
      </c>
      <c r="AU1677" s="101" t="s">
        <v>87</v>
      </c>
      <c r="AY1677" s="23" t="s">
        <v>211</v>
      </c>
      <c r="BE1677" s="104">
        <f>IF(N1677="základní",J1677,0)</f>
        <v>0</v>
      </c>
      <c r="BF1677" s="104">
        <f>IF(N1677="snížená",J1677,0)</f>
        <v>0</v>
      </c>
      <c r="BG1677" s="104">
        <f>IF(N1677="zákl. přenesená",J1677,0)</f>
        <v>0</v>
      </c>
      <c r="BH1677" s="104">
        <f>IF(N1677="sníž. přenesená",J1677,0)</f>
        <v>0</v>
      </c>
      <c r="BI1677" s="104">
        <f>IF(N1677="nulová",J1677,0)</f>
        <v>0</v>
      </c>
      <c r="BJ1677" s="23" t="s">
        <v>85</v>
      </c>
      <c r="BK1677" s="104">
        <f>ROUND(I1677*H1677,2)</f>
        <v>0</v>
      </c>
      <c r="BL1677" s="23" t="s">
        <v>218</v>
      </c>
      <c r="BM1677" s="101" t="s">
        <v>2461</v>
      </c>
    </row>
    <row r="1678" spans="2:65" s="1" customFormat="1" ht="67.2">
      <c r="B1678" s="12"/>
      <c r="D1678" s="105" t="s">
        <v>227</v>
      </c>
      <c r="F1678" s="106" t="s">
        <v>2023</v>
      </c>
      <c r="I1678" s="107"/>
      <c r="L1678" s="12"/>
      <c r="M1678" s="108"/>
      <c r="T1678" s="111"/>
      <c r="AT1678" s="23" t="s">
        <v>227</v>
      </c>
      <c r="AU1678" s="23" t="s">
        <v>87</v>
      </c>
    </row>
    <row r="1679" spans="2:65" s="1" customFormat="1" ht="66.75" customHeight="1">
      <c r="B1679" s="12"/>
      <c r="C1679" s="71" t="s">
        <v>2462</v>
      </c>
      <c r="D1679" s="71" t="s">
        <v>214</v>
      </c>
      <c r="E1679" s="72" t="s">
        <v>1738</v>
      </c>
      <c r="F1679" s="73" t="s">
        <v>2463</v>
      </c>
      <c r="G1679" s="74" t="s">
        <v>808</v>
      </c>
      <c r="H1679" s="75">
        <v>1</v>
      </c>
      <c r="I1679" s="90"/>
      <c r="J1679" s="91">
        <f>ROUND(I1679*H1679,2)</f>
        <v>0</v>
      </c>
      <c r="K1679" s="92"/>
      <c r="L1679" s="12"/>
      <c r="M1679" s="93" t="s">
        <v>1</v>
      </c>
      <c r="N1679" s="94" t="s">
        <v>42</v>
      </c>
      <c r="P1679" s="95">
        <f>O1679*H1679</f>
        <v>0</v>
      </c>
      <c r="Q1679" s="95">
        <v>0</v>
      </c>
      <c r="R1679" s="95">
        <f>Q1679*H1679</f>
        <v>0</v>
      </c>
      <c r="S1679" s="95">
        <v>0</v>
      </c>
      <c r="T1679" s="99">
        <f>S1679*H1679</f>
        <v>0</v>
      </c>
      <c r="AR1679" s="101" t="s">
        <v>218</v>
      </c>
      <c r="AT1679" s="101" t="s">
        <v>214</v>
      </c>
      <c r="AU1679" s="101" t="s">
        <v>87</v>
      </c>
      <c r="AY1679" s="23" t="s">
        <v>211</v>
      </c>
      <c r="BE1679" s="104">
        <f>IF(N1679="základní",J1679,0)</f>
        <v>0</v>
      </c>
      <c r="BF1679" s="104">
        <f>IF(N1679="snížená",J1679,0)</f>
        <v>0</v>
      </c>
      <c r="BG1679" s="104">
        <f>IF(N1679="zákl. přenesená",J1679,0)</f>
        <v>0</v>
      </c>
      <c r="BH1679" s="104">
        <f>IF(N1679="sníž. přenesená",J1679,0)</f>
        <v>0</v>
      </c>
      <c r="BI1679" s="104">
        <f>IF(N1679="nulová",J1679,0)</f>
        <v>0</v>
      </c>
      <c r="BJ1679" s="23" t="s">
        <v>85</v>
      </c>
      <c r="BK1679" s="104">
        <f>ROUND(I1679*H1679,2)</f>
        <v>0</v>
      </c>
      <c r="BL1679" s="23" t="s">
        <v>218</v>
      </c>
      <c r="BM1679" s="101" t="s">
        <v>2464</v>
      </c>
    </row>
    <row r="1680" spans="2:65" s="1" customFormat="1" ht="76.8">
      <c r="B1680" s="12"/>
      <c r="D1680" s="105" t="s">
        <v>227</v>
      </c>
      <c r="F1680" s="106" t="s">
        <v>2013</v>
      </c>
      <c r="I1680" s="107"/>
      <c r="L1680" s="12"/>
      <c r="M1680" s="108"/>
      <c r="T1680" s="111"/>
      <c r="AT1680" s="23" t="s">
        <v>227</v>
      </c>
      <c r="AU1680" s="23" t="s">
        <v>87</v>
      </c>
    </row>
    <row r="1681" spans="2:65" s="1" customFormat="1" ht="66.75" customHeight="1">
      <c r="B1681" s="12"/>
      <c r="C1681" s="71" t="s">
        <v>2465</v>
      </c>
      <c r="D1681" s="71" t="s">
        <v>214</v>
      </c>
      <c r="E1681" s="72" t="s">
        <v>1742</v>
      </c>
      <c r="F1681" s="73" t="s">
        <v>2466</v>
      </c>
      <c r="G1681" s="74" t="s">
        <v>808</v>
      </c>
      <c r="H1681" s="75">
        <v>1</v>
      </c>
      <c r="I1681" s="90"/>
      <c r="J1681" s="91">
        <f>ROUND(I1681*H1681,2)</f>
        <v>0</v>
      </c>
      <c r="K1681" s="92"/>
      <c r="L1681" s="12"/>
      <c r="M1681" s="93" t="s">
        <v>1</v>
      </c>
      <c r="N1681" s="94" t="s">
        <v>42</v>
      </c>
      <c r="P1681" s="95">
        <f>O1681*H1681</f>
        <v>0</v>
      </c>
      <c r="Q1681" s="95">
        <v>0</v>
      </c>
      <c r="R1681" s="95">
        <f>Q1681*H1681</f>
        <v>0</v>
      </c>
      <c r="S1681" s="95">
        <v>0</v>
      </c>
      <c r="T1681" s="99">
        <f>S1681*H1681</f>
        <v>0</v>
      </c>
      <c r="AR1681" s="101" t="s">
        <v>218</v>
      </c>
      <c r="AT1681" s="101" t="s">
        <v>214</v>
      </c>
      <c r="AU1681" s="101" t="s">
        <v>87</v>
      </c>
      <c r="AY1681" s="23" t="s">
        <v>211</v>
      </c>
      <c r="BE1681" s="104">
        <f>IF(N1681="základní",J1681,0)</f>
        <v>0</v>
      </c>
      <c r="BF1681" s="104">
        <f>IF(N1681="snížená",J1681,0)</f>
        <v>0</v>
      </c>
      <c r="BG1681" s="104">
        <f>IF(N1681="zákl. přenesená",J1681,0)</f>
        <v>0</v>
      </c>
      <c r="BH1681" s="104">
        <f>IF(N1681="sníž. přenesená",J1681,0)</f>
        <v>0</v>
      </c>
      <c r="BI1681" s="104">
        <f>IF(N1681="nulová",J1681,0)</f>
        <v>0</v>
      </c>
      <c r="BJ1681" s="23" t="s">
        <v>85</v>
      </c>
      <c r="BK1681" s="104">
        <f>ROUND(I1681*H1681,2)</f>
        <v>0</v>
      </c>
      <c r="BL1681" s="23" t="s">
        <v>218</v>
      </c>
      <c r="BM1681" s="101" t="s">
        <v>2467</v>
      </c>
    </row>
    <row r="1682" spans="2:65" s="1" customFormat="1" ht="76.8">
      <c r="B1682" s="12"/>
      <c r="D1682" s="105" t="s">
        <v>227</v>
      </c>
      <c r="F1682" s="106" t="s">
        <v>2028</v>
      </c>
      <c r="I1682" s="107"/>
      <c r="L1682" s="12"/>
      <c r="M1682" s="108"/>
      <c r="T1682" s="111"/>
      <c r="AT1682" s="23" t="s">
        <v>227</v>
      </c>
      <c r="AU1682" s="23" t="s">
        <v>87</v>
      </c>
    </row>
    <row r="1683" spans="2:65" s="1" customFormat="1" ht="55.5" customHeight="1">
      <c r="B1683" s="12"/>
      <c r="C1683" s="71" t="s">
        <v>2468</v>
      </c>
      <c r="D1683" s="71" t="s">
        <v>214</v>
      </c>
      <c r="E1683" s="72" t="s">
        <v>1746</v>
      </c>
      <c r="F1683" s="73" t="s">
        <v>2469</v>
      </c>
      <c r="G1683" s="74" t="s">
        <v>808</v>
      </c>
      <c r="H1683" s="75">
        <v>1</v>
      </c>
      <c r="I1683" s="90"/>
      <c r="J1683" s="91">
        <f>ROUND(I1683*H1683,2)</f>
        <v>0</v>
      </c>
      <c r="K1683" s="92"/>
      <c r="L1683" s="12"/>
      <c r="M1683" s="93" t="s">
        <v>1</v>
      </c>
      <c r="N1683" s="94" t="s">
        <v>42</v>
      </c>
      <c r="P1683" s="95">
        <f>O1683*H1683</f>
        <v>0</v>
      </c>
      <c r="Q1683" s="95">
        <v>0</v>
      </c>
      <c r="R1683" s="95">
        <f>Q1683*H1683</f>
        <v>0</v>
      </c>
      <c r="S1683" s="95">
        <v>0</v>
      </c>
      <c r="T1683" s="99">
        <f>S1683*H1683</f>
        <v>0</v>
      </c>
      <c r="AR1683" s="101" t="s">
        <v>218</v>
      </c>
      <c r="AT1683" s="101" t="s">
        <v>214</v>
      </c>
      <c r="AU1683" s="101" t="s">
        <v>87</v>
      </c>
      <c r="AY1683" s="23" t="s">
        <v>211</v>
      </c>
      <c r="BE1683" s="104">
        <f>IF(N1683="základní",J1683,0)</f>
        <v>0</v>
      </c>
      <c r="BF1683" s="104">
        <f>IF(N1683="snížená",J1683,0)</f>
        <v>0</v>
      </c>
      <c r="BG1683" s="104">
        <f>IF(N1683="zákl. přenesená",J1683,0)</f>
        <v>0</v>
      </c>
      <c r="BH1683" s="104">
        <f>IF(N1683="sníž. přenesená",J1683,0)</f>
        <v>0</v>
      </c>
      <c r="BI1683" s="104">
        <f>IF(N1683="nulová",J1683,0)</f>
        <v>0</v>
      </c>
      <c r="BJ1683" s="23" t="s">
        <v>85</v>
      </c>
      <c r="BK1683" s="104">
        <f>ROUND(I1683*H1683,2)</f>
        <v>0</v>
      </c>
      <c r="BL1683" s="23" t="s">
        <v>218</v>
      </c>
      <c r="BM1683" s="101" t="s">
        <v>2470</v>
      </c>
    </row>
    <row r="1684" spans="2:65" s="1" customFormat="1" ht="67.2">
      <c r="B1684" s="12"/>
      <c r="D1684" s="105" t="s">
        <v>227</v>
      </c>
      <c r="F1684" s="106" t="s">
        <v>2018</v>
      </c>
      <c r="I1684" s="107"/>
      <c r="L1684" s="12"/>
      <c r="M1684" s="108"/>
      <c r="T1684" s="111"/>
      <c r="AT1684" s="23" t="s">
        <v>227</v>
      </c>
      <c r="AU1684" s="23" t="s">
        <v>87</v>
      </c>
    </row>
    <row r="1685" spans="2:65" s="1" customFormat="1" ht="55.5" customHeight="1">
      <c r="B1685" s="12"/>
      <c r="C1685" s="71" t="s">
        <v>2471</v>
      </c>
      <c r="D1685" s="71" t="s">
        <v>214</v>
      </c>
      <c r="E1685" s="72" t="s">
        <v>1751</v>
      </c>
      <c r="F1685" s="73" t="s">
        <v>2472</v>
      </c>
      <c r="G1685" s="74" t="s">
        <v>808</v>
      </c>
      <c r="H1685" s="75">
        <v>1</v>
      </c>
      <c r="I1685" s="90"/>
      <c r="J1685" s="91">
        <f>ROUND(I1685*H1685,2)</f>
        <v>0</v>
      </c>
      <c r="K1685" s="92"/>
      <c r="L1685" s="12"/>
      <c r="M1685" s="93" t="s">
        <v>1</v>
      </c>
      <c r="N1685" s="94" t="s">
        <v>42</v>
      </c>
      <c r="P1685" s="95">
        <f>O1685*H1685</f>
        <v>0</v>
      </c>
      <c r="Q1685" s="95">
        <v>0</v>
      </c>
      <c r="R1685" s="95">
        <f>Q1685*H1685</f>
        <v>0</v>
      </c>
      <c r="S1685" s="95">
        <v>0</v>
      </c>
      <c r="T1685" s="99">
        <f>S1685*H1685</f>
        <v>0</v>
      </c>
      <c r="AR1685" s="101" t="s">
        <v>218</v>
      </c>
      <c r="AT1685" s="101" t="s">
        <v>214</v>
      </c>
      <c r="AU1685" s="101" t="s">
        <v>87</v>
      </c>
      <c r="AY1685" s="23" t="s">
        <v>211</v>
      </c>
      <c r="BE1685" s="104">
        <f>IF(N1685="základní",J1685,0)</f>
        <v>0</v>
      </c>
      <c r="BF1685" s="104">
        <f>IF(N1685="snížená",J1685,0)</f>
        <v>0</v>
      </c>
      <c r="BG1685" s="104">
        <f>IF(N1685="zákl. přenesená",J1685,0)</f>
        <v>0</v>
      </c>
      <c r="BH1685" s="104">
        <f>IF(N1685="sníž. přenesená",J1685,0)</f>
        <v>0</v>
      </c>
      <c r="BI1685" s="104">
        <f>IF(N1685="nulová",J1685,0)</f>
        <v>0</v>
      </c>
      <c r="BJ1685" s="23" t="s">
        <v>85</v>
      </c>
      <c r="BK1685" s="104">
        <f>ROUND(I1685*H1685,2)</f>
        <v>0</v>
      </c>
      <c r="BL1685" s="23" t="s">
        <v>218</v>
      </c>
      <c r="BM1685" s="101" t="s">
        <v>2473</v>
      </c>
    </row>
    <row r="1686" spans="2:65" s="1" customFormat="1" ht="67.2">
      <c r="B1686" s="12"/>
      <c r="D1686" s="105" t="s">
        <v>227</v>
      </c>
      <c r="F1686" s="106" t="s">
        <v>2023</v>
      </c>
      <c r="I1686" s="107"/>
      <c r="L1686" s="12"/>
      <c r="M1686" s="108"/>
      <c r="T1686" s="111"/>
      <c r="AT1686" s="23" t="s">
        <v>227</v>
      </c>
      <c r="AU1686" s="23" t="s">
        <v>87</v>
      </c>
    </row>
    <row r="1687" spans="2:65" s="1" customFormat="1" ht="66.75" customHeight="1">
      <c r="B1687" s="12"/>
      <c r="C1687" s="71" t="s">
        <v>2474</v>
      </c>
      <c r="D1687" s="71" t="s">
        <v>214</v>
      </c>
      <c r="E1687" s="72" t="s">
        <v>1756</v>
      </c>
      <c r="F1687" s="73" t="s">
        <v>2475</v>
      </c>
      <c r="G1687" s="74" t="s">
        <v>808</v>
      </c>
      <c r="H1687" s="75">
        <v>1</v>
      </c>
      <c r="I1687" s="90"/>
      <c r="J1687" s="91">
        <f>ROUND(I1687*H1687,2)</f>
        <v>0</v>
      </c>
      <c r="K1687" s="92"/>
      <c r="L1687" s="12"/>
      <c r="M1687" s="93" t="s">
        <v>1</v>
      </c>
      <c r="N1687" s="94" t="s">
        <v>42</v>
      </c>
      <c r="P1687" s="95">
        <f>O1687*H1687</f>
        <v>0</v>
      </c>
      <c r="Q1687" s="95">
        <v>0</v>
      </c>
      <c r="R1687" s="95">
        <f>Q1687*H1687</f>
        <v>0</v>
      </c>
      <c r="S1687" s="95">
        <v>0</v>
      </c>
      <c r="T1687" s="99">
        <f>S1687*H1687</f>
        <v>0</v>
      </c>
      <c r="AR1687" s="101" t="s">
        <v>218</v>
      </c>
      <c r="AT1687" s="101" t="s">
        <v>214</v>
      </c>
      <c r="AU1687" s="101" t="s">
        <v>87</v>
      </c>
      <c r="AY1687" s="23" t="s">
        <v>211</v>
      </c>
      <c r="BE1687" s="104">
        <f>IF(N1687="základní",J1687,0)</f>
        <v>0</v>
      </c>
      <c r="BF1687" s="104">
        <f>IF(N1687="snížená",J1687,0)</f>
        <v>0</v>
      </c>
      <c r="BG1687" s="104">
        <f>IF(N1687="zákl. přenesená",J1687,0)</f>
        <v>0</v>
      </c>
      <c r="BH1687" s="104">
        <f>IF(N1687="sníž. přenesená",J1687,0)</f>
        <v>0</v>
      </c>
      <c r="BI1687" s="104">
        <f>IF(N1687="nulová",J1687,0)</f>
        <v>0</v>
      </c>
      <c r="BJ1687" s="23" t="s">
        <v>85</v>
      </c>
      <c r="BK1687" s="104">
        <f>ROUND(I1687*H1687,2)</f>
        <v>0</v>
      </c>
      <c r="BL1687" s="23" t="s">
        <v>218</v>
      </c>
      <c r="BM1687" s="101" t="s">
        <v>2476</v>
      </c>
    </row>
    <row r="1688" spans="2:65" s="1" customFormat="1" ht="76.8">
      <c r="B1688" s="12"/>
      <c r="D1688" s="105" t="s">
        <v>227</v>
      </c>
      <c r="F1688" s="106" t="s">
        <v>2013</v>
      </c>
      <c r="I1688" s="107"/>
      <c r="L1688" s="12"/>
      <c r="M1688" s="108"/>
      <c r="T1688" s="111"/>
      <c r="AT1688" s="23" t="s">
        <v>227</v>
      </c>
      <c r="AU1688" s="23" t="s">
        <v>87</v>
      </c>
    </row>
    <row r="1689" spans="2:65" s="1" customFormat="1" ht="55.5" customHeight="1">
      <c r="B1689" s="12"/>
      <c r="C1689" s="71" t="s">
        <v>2477</v>
      </c>
      <c r="D1689" s="71" t="s">
        <v>214</v>
      </c>
      <c r="E1689" s="72" t="s">
        <v>1760</v>
      </c>
      <c r="F1689" s="73" t="s">
        <v>2478</v>
      </c>
      <c r="G1689" s="74" t="s">
        <v>808</v>
      </c>
      <c r="H1689" s="75">
        <v>1</v>
      </c>
      <c r="I1689" s="90"/>
      <c r="J1689" s="91">
        <f>ROUND(I1689*H1689,2)</f>
        <v>0</v>
      </c>
      <c r="K1689" s="92"/>
      <c r="L1689" s="12"/>
      <c r="M1689" s="93" t="s">
        <v>1</v>
      </c>
      <c r="N1689" s="94" t="s">
        <v>42</v>
      </c>
      <c r="P1689" s="95">
        <f>O1689*H1689</f>
        <v>0</v>
      </c>
      <c r="Q1689" s="95">
        <v>0</v>
      </c>
      <c r="R1689" s="95">
        <f>Q1689*H1689</f>
        <v>0</v>
      </c>
      <c r="S1689" s="95">
        <v>0</v>
      </c>
      <c r="T1689" s="99">
        <f>S1689*H1689</f>
        <v>0</v>
      </c>
      <c r="AR1689" s="101" t="s">
        <v>218</v>
      </c>
      <c r="AT1689" s="101" t="s">
        <v>214</v>
      </c>
      <c r="AU1689" s="101" t="s">
        <v>87</v>
      </c>
      <c r="AY1689" s="23" t="s">
        <v>211</v>
      </c>
      <c r="BE1689" s="104">
        <f>IF(N1689="základní",J1689,0)</f>
        <v>0</v>
      </c>
      <c r="BF1689" s="104">
        <f>IF(N1689="snížená",J1689,0)</f>
        <v>0</v>
      </c>
      <c r="BG1689" s="104">
        <f>IF(N1689="zákl. přenesená",J1689,0)</f>
        <v>0</v>
      </c>
      <c r="BH1689" s="104">
        <f>IF(N1689="sníž. přenesená",J1689,0)</f>
        <v>0</v>
      </c>
      <c r="BI1689" s="104">
        <f>IF(N1689="nulová",J1689,0)</f>
        <v>0</v>
      </c>
      <c r="BJ1689" s="23" t="s">
        <v>85</v>
      </c>
      <c r="BK1689" s="104">
        <f>ROUND(I1689*H1689,2)</f>
        <v>0</v>
      </c>
      <c r="BL1689" s="23" t="s">
        <v>218</v>
      </c>
      <c r="BM1689" s="101" t="s">
        <v>2479</v>
      </c>
    </row>
    <row r="1690" spans="2:65" s="1" customFormat="1" ht="67.2">
      <c r="B1690" s="12"/>
      <c r="D1690" s="105" t="s">
        <v>227</v>
      </c>
      <c r="F1690" s="106" t="s">
        <v>2018</v>
      </c>
      <c r="I1690" s="107"/>
      <c r="L1690" s="12"/>
      <c r="M1690" s="108"/>
      <c r="T1690" s="111"/>
      <c r="AT1690" s="23" t="s">
        <v>227</v>
      </c>
      <c r="AU1690" s="23" t="s">
        <v>87</v>
      </c>
    </row>
    <row r="1691" spans="2:65" s="1" customFormat="1" ht="55.5" customHeight="1">
      <c r="B1691" s="12"/>
      <c r="C1691" s="71" t="s">
        <v>2480</v>
      </c>
      <c r="D1691" s="71" t="s">
        <v>214</v>
      </c>
      <c r="E1691" s="72" t="s">
        <v>1764</v>
      </c>
      <c r="F1691" s="73" t="s">
        <v>2481</v>
      </c>
      <c r="G1691" s="74" t="s">
        <v>808</v>
      </c>
      <c r="H1691" s="75">
        <v>1</v>
      </c>
      <c r="I1691" s="90"/>
      <c r="J1691" s="91">
        <f>ROUND(I1691*H1691,2)</f>
        <v>0</v>
      </c>
      <c r="K1691" s="92"/>
      <c r="L1691" s="12"/>
      <c r="M1691" s="93" t="s">
        <v>1</v>
      </c>
      <c r="N1691" s="94" t="s">
        <v>42</v>
      </c>
      <c r="P1691" s="95">
        <f>O1691*H1691</f>
        <v>0</v>
      </c>
      <c r="Q1691" s="95">
        <v>0</v>
      </c>
      <c r="R1691" s="95">
        <f>Q1691*H1691</f>
        <v>0</v>
      </c>
      <c r="S1691" s="95">
        <v>0</v>
      </c>
      <c r="T1691" s="99">
        <f>S1691*H1691</f>
        <v>0</v>
      </c>
      <c r="AR1691" s="101" t="s">
        <v>218</v>
      </c>
      <c r="AT1691" s="101" t="s">
        <v>214</v>
      </c>
      <c r="AU1691" s="101" t="s">
        <v>87</v>
      </c>
      <c r="AY1691" s="23" t="s">
        <v>211</v>
      </c>
      <c r="BE1691" s="104">
        <f>IF(N1691="základní",J1691,0)</f>
        <v>0</v>
      </c>
      <c r="BF1691" s="104">
        <f>IF(N1691="snížená",J1691,0)</f>
        <v>0</v>
      </c>
      <c r="BG1691" s="104">
        <f>IF(N1691="zákl. přenesená",J1691,0)</f>
        <v>0</v>
      </c>
      <c r="BH1691" s="104">
        <f>IF(N1691="sníž. přenesená",J1691,0)</f>
        <v>0</v>
      </c>
      <c r="BI1691" s="104">
        <f>IF(N1691="nulová",J1691,0)</f>
        <v>0</v>
      </c>
      <c r="BJ1691" s="23" t="s">
        <v>85</v>
      </c>
      <c r="BK1691" s="104">
        <f>ROUND(I1691*H1691,2)</f>
        <v>0</v>
      </c>
      <c r="BL1691" s="23" t="s">
        <v>218</v>
      </c>
      <c r="BM1691" s="101" t="s">
        <v>2482</v>
      </c>
    </row>
    <row r="1692" spans="2:65" s="1" customFormat="1" ht="67.2">
      <c r="B1692" s="12"/>
      <c r="D1692" s="105" t="s">
        <v>227</v>
      </c>
      <c r="F1692" s="106" t="s">
        <v>2018</v>
      </c>
      <c r="I1692" s="107"/>
      <c r="L1692" s="12"/>
      <c r="M1692" s="108"/>
      <c r="T1692" s="111"/>
      <c r="AT1692" s="23" t="s">
        <v>227</v>
      </c>
      <c r="AU1692" s="23" t="s">
        <v>87</v>
      </c>
    </row>
    <row r="1693" spans="2:65" s="1" customFormat="1" ht="55.5" customHeight="1">
      <c r="B1693" s="12"/>
      <c r="C1693" s="71" t="s">
        <v>2483</v>
      </c>
      <c r="D1693" s="71" t="s">
        <v>214</v>
      </c>
      <c r="E1693" s="72" t="s">
        <v>1768</v>
      </c>
      <c r="F1693" s="73" t="s">
        <v>2484</v>
      </c>
      <c r="G1693" s="74" t="s">
        <v>808</v>
      </c>
      <c r="H1693" s="75">
        <v>1</v>
      </c>
      <c r="I1693" s="90"/>
      <c r="J1693" s="91">
        <f>ROUND(I1693*H1693,2)</f>
        <v>0</v>
      </c>
      <c r="K1693" s="92"/>
      <c r="L1693" s="12"/>
      <c r="M1693" s="93" t="s">
        <v>1</v>
      </c>
      <c r="N1693" s="94" t="s">
        <v>42</v>
      </c>
      <c r="P1693" s="95">
        <f>O1693*H1693</f>
        <v>0</v>
      </c>
      <c r="Q1693" s="95">
        <v>0</v>
      </c>
      <c r="R1693" s="95">
        <f>Q1693*H1693</f>
        <v>0</v>
      </c>
      <c r="S1693" s="95">
        <v>0</v>
      </c>
      <c r="T1693" s="99">
        <f>S1693*H1693</f>
        <v>0</v>
      </c>
      <c r="AR1693" s="101" t="s">
        <v>218</v>
      </c>
      <c r="AT1693" s="101" t="s">
        <v>214</v>
      </c>
      <c r="AU1693" s="101" t="s">
        <v>87</v>
      </c>
      <c r="AY1693" s="23" t="s">
        <v>211</v>
      </c>
      <c r="BE1693" s="104">
        <f>IF(N1693="základní",J1693,0)</f>
        <v>0</v>
      </c>
      <c r="BF1693" s="104">
        <f>IF(N1693="snížená",J1693,0)</f>
        <v>0</v>
      </c>
      <c r="BG1693" s="104">
        <f>IF(N1693="zákl. přenesená",J1693,0)</f>
        <v>0</v>
      </c>
      <c r="BH1693" s="104">
        <f>IF(N1693="sníž. přenesená",J1693,0)</f>
        <v>0</v>
      </c>
      <c r="BI1693" s="104">
        <f>IF(N1693="nulová",J1693,0)</f>
        <v>0</v>
      </c>
      <c r="BJ1693" s="23" t="s">
        <v>85</v>
      </c>
      <c r="BK1693" s="104">
        <f>ROUND(I1693*H1693,2)</f>
        <v>0</v>
      </c>
      <c r="BL1693" s="23" t="s">
        <v>218</v>
      </c>
      <c r="BM1693" s="101" t="s">
        <v>2485</v>
      </c>
    </row>
    <row r="1694" spans="2:65" s="1" customFormat="1" ht="67.2">
      <c r="B1694" s="12"/>
      <c r="D1694" s="105" t="s">
        <v>227</v>
      </c>
      <c r="F1694" s="106" t="s">
        <v>2023</v>
      </c>
      <c r="I1694" s="107"/>
      <c r="L1694" s="12"/>
      <c r="M1694" s="108"/>
      <c r="T1694" s="111"/>
      <c r="AT1694" s="23" t="s">
        <v>227</v>
      </c>
      <c r="AU1694" s="23" t="s">
        <v>87</v>
      </c>
    </row>
    <row r="1695" spans="2:65" s="1" customFormat="1" ht="55.5" customHeight="1">
      <c r="B1695" s="12"/>
      <c r="C1695" s="71" t="s">
        <v>2486</v>
      </c>
      <c r="D1695" s="71" t="s">
        <v>214</v>
      </c>
      <c r="E1695" s="72" t="s">
        <v>1772</v>
      </c>
      <c r="F1695" s="73" t="s">
        <v>2487</v>
      </c>
      <c r="G1695" s="74" t="s">
        <v>808</v>
      </c>
      <c r="H1695" s="75">
        <v>1</v>
      </c>
      <c r="I1695" s="90"/>
      <c r="J1695" s="91">
        <f>ROUND(I1695*H1695,2)</f>
        <v>0</v>
      </c>
      <c r="K1695" s="92"/>
      <c r="L1695" s="12"/>
      <c r="M1695" s="93" t="s">
        <v>1</v>
      </c>
      <c r="N1695" s="94" t="s">
        <v>42</v>
      </c>
      <c r="P1695" s="95">
        <f>O1695*H1695</f>
        <v>0</v>
      </c>
      <c r="Q1695" s="95">
        <v>0</v>
      </c>
      <c r="R1695" s="95">
        <f>Q1695*H1695</f>
        <v>0</v>
      </c>
      <c r="S1695" s="95">
        <v>0</v>
      </c>
      <c r="T1695" s="99">
        <f>S1695*H1695</f>
        <v>0</v>
      </c>
      <c r="AR1695" s="101" t="s">
        <v>218</v>
      </c>
      <c r="AT1695" s="101" t="s">
        <v>214</v>
      </c>
      <c r="AU1695" s="101" t="s">
        <v>87</v>
      </c>
      <c r="AY1695" s="23" t="s">
        <v>211</v>
      </c>
      <c r="BE1695" s="104">
        <f>IF(N1695="základní",J1695,0)</f>
        <v>0</v>
      </c>
      <c r="BF1695" s="104">
        <f>IF(N1695="snížená",J1695,0)</f>
        <v>0</v>
      </c>
      <c r="BG1695" s="104">
        <f>IF(N1695="zákl. přenesená",J1695,0)</f>
        <v>0</v>
      </c>
      <c r="BH1695" s="104">
        <f>IF(N1695="sníž. přenesená",J1695,0)</f>
        <v>0</v>
      </c>
      <c r="BI1695" s="104">
        <f>IF(N1695="nulová",J1695,0)</f>
        <v>0</v>
      </c>
      <c r="BJ1695" s="23" t="s">
        <v>85</v>
      </c>
      <c r="BK1695" s="104">
        <f>ROUND(I1695*H1695,2)</f>
        <v>0</v>
      </c>
      <c r="BL1695" s="23" t="s">
        <v>218</v>
      </c>
      <c r="BM1695" s="101" t="s">
        <v>2488</v>
      </c>
    </row>
    <row r="1696" spans="2:65" s="1" customFormat="1" ht="67.2">
      <c r="B1696" s="12"/>
      <c r="D1696" s="105" t="s">
        <v>227</v>
      </c>
      <c r="F1696" s="106" t="s">
        <v>2023</v>
      </c>
      <c r="I1696" s="107"/>
      <c r="L1696" s="12"/>
      <c r="M1696" s="108"/>
      <c r="T1696" s="111"/>
      <c r="AT1696" s="23" t="s">
        <v>227</v>
      </c>
      <c r="AU1696" s="23" t="s">
        <v>87</v>
      </c>
    </row>
    <row r="1697" spans="2:65" s="1" customFormat="1" ht="66.75" customHeight="1">
      <c r="B1697" s="12"/>
      <c r="C1697" s="71" t="s">
        <v>2489</v>
      </c>
      <c r="D1697" s="71" t="s">
        <v>214</v>
      </c>
      <c r="E1697" s="72" t="s">
        <v>1776</v>
      </c>
      <c r="F1697" s="73" t="s">
        <v>2490</v>
      </c>
      <c r="G1697" s="74" t="s">
        <v>808</v>
      </c>
      <c r="H1697" s="75">
        <v>1</v>
      </c>
      <c r="I1697" s="90"/>
      <c r="J1697" s="91">
        <f>ROUND(I1697*H1697,2)</f>
        <v>0</v>
      </c>
      <c r="K1697" s="92"/>
      <c r="L1697" s="12"/>
      <c r="M1697" s="93" t="s">
        <v>1</v>
      </c>
      <c r="N1697" s="94" t="s">
        <v>42</v>
      </c>
      <c r="P1697" s="95">
        <f>O1697*H1697</f>
        <v>0</v>
      </c>
      <c r="Q1697" s="95">
        <v>0</v>
      </c>
      <c r="R1697" s="95">
        <f>Q1697*H1697</f>
        <v>0</v>
      </c>
      <c r="S1697" s="95">
        <v>0</v>
      </c>
      <c r="T1697" s="99">
        <f>S1697*H1697</f>
        <v>0</v>
      </c>
      <c r="AR1697" s="101" t="s">
        <v>218</v>
      </c>
      <c r="AT1697" s="101" t="s">
        <v>214</v>
      </c>
      <c r="AU1697" s="101" t="s">
        <v>87</v>
      </c>
      <c r="AY1697" s="23" t="s">
        <v>211</v>
      </c>
      <c r="BE1697" s="104">
        <f>IF(N1697="základní",J1697,0)</f>
        <v>0</v>
      </c>
      <c r="BF1697" s="104">
        <f>IF(N1697="snížená",J1697,0)</f>
        <v>0</v>
      </c>
      <c r="BG1697" s="104">
        <f>IF(N1697="zákl. přenesená",J1697,0)</f>
        <v>0</v>
      </c>
      <c r="BH1697" s="104">
        <f>IF(N1697="sníž. přenesená",J1697,0)</f>
        <v>0</v>
      </c>
      <c r="BI1697" s="104">
        <f>IF(N1697="nulová",J1697,0)</f>
        <v>0</v>
      </c>
      <c r="BJ1697" s="23" t="s">
        <v>85</v>
      </c>
      <c r="BK1697" s="104">
        <f>ROUND(I1697*H1697,2)</f>
        <v>0</v>
      </c>
      <c r="BL1697" s="23" t="s">
        <v>218</v>
      </c>
      <c r="BM1697" s="101" t="s">
        <v>2491</v>
      </c>
    </row>
    <row r="1698" spans="2:65" s="1" customFormat="1" ht="76.8">
      <c r="B1698" s="12"/>
      <c r="D1698" s="105" t="s">
        <v>227</v>
      </c>
      <c r="F1698" s="106" t="s">
        <v>2028</v>
      </c>
      <c r="I1698" s="107"/>
      <c r="L1698" s="12"/>
      <c r="M1698" s="108"/>
      <c r="T1698" s="111"/>
      <c r="AT1698" s="23" t="s">
        <v>227</v>
      </c>
      <c r="AU1698" s="23" t="s">
        <v>87</v>
      </c>
    </row>
    <row r="1699" spans="2:65" s="1" customFormat="1" ht="66.75" customHeight="1">
      <c r="B1699" s="12"/>
      <c r="C1699" s="71" t="s">
        <v>2492</v>
      </c>
      <c r="D1699" s="71" t="s">
        <v>214</v>
      </c>
      <c r="E1699" s="72" t="s">
        <v>1780</v>
      </c>
      <c r="F1699" s="73" t="s">
        <v>2493</v>
      </c>
      <c r="G1699" s="74" t="s">
        <v>808</v>
      </c>
      <c r="H1699" s="75">
        <v>1</v>
      </c>
      <c r="I1699" s="90"/>
      <c r="J1699" s="91">
        <f>ROUND(I1699*H1699,2)</f>
        <v>0</v>
      </c>
      <c r="K1699" s="92"/>
      <c r="L1699" s="12"/>
      <c r="M1699" s="93" t="s">
        <v>1</v>
      </c>
      <c r="N1699" s="94" t="s">
        <v>42</v>
      </c>
      <c r="P1699" s="95">
        <f>O1699*H1699</f>
        <v>0</v>
      </c>
      <c r="Q1699" s="95">
        <v>0</v>
      </c>
      <c r="R1699" s="95">
        <f>Q1699*H1699</f>
        <v>0</v>
      </c>
      <c r="S1699" s="95">
        <v>0</v>
      </c>
      <c r="T1699" s="99">
        <f>S1699*H1699</f>
        <v>0</v>
      </c>
      <c r="AR1699" s="101" t="s">
        <v>218</v>
      </c>
      <c r="AT1699" s="101" t="s">
        <v>214</v>
      </c>
      <c r="AU1699" s="101" t="s">
        <v>87</v>
      </c>
      <c r="AY1699" s="23" t="s">
        <v>211</v>
      </c>
      <c r="BE1699" s="104">
        <f>IF(N1699="základní",J1699,0)</f>
        <v>0</v>
      </c>
      <c r="BF1699" s="104">
        <f>IF(N1699="snížená",J1699,0)</f>
        <v>0</v>
      </c>
      <c r="BG1699" s="104">
        <f>IF(N1699="zákl. přenesená",J1699,0)</f>
        <v>0</v>
      </c>
      <c r="BH1699" s="104">
        <f>IF(N1699="sníž. přenesená",J1699,0)</f>
        <v>0</v>
      </c>
      <c r="BI1699" s="104">
        <f>IF(N1699="nulová",J1699,0)</f>
        <v>0</v>
      </c>
      <c r="BJ1699" s="23" t="s">
        <v>85</v>
      </c>
      <c r="BK1699" s="104">
        <f>ROUND(I1699*H1699,2)</f>
        <v>0</v>
      </c>
      <c r="BL1699" s="23" t="s">
        <v>218</v>
      </c>
      <c r="BM1699" s="101" t="s">
        <v>2494</v>
      </c>
    </row>
    <row r="1700" spans="2:65" s="1" customFormat="1" ht="76.8">
      <c r="B1700" s="12"/>
      <c r="D1700" s="105" t="s">
        <v>227</v>
      </c>
      <c r="F1700" s="106" t="s">
        <v>2013</v>
      </c>
      <c r="I1700" s="107"/>
      <c r="L1700" s="12"/>
      <c r="M1700" s="108"/>
      <c r="T1700" s="111"/>
      <c r="AT1700" s="23" t="s">
        <v>227</v>
      </c>
      <c r="AU1700" s="23" t="s">
        <v>87</v>
      </c>
    </row>
    <row r="1701" spans="2:65" s="1" customFormat="1" ht="55.5" customHeight="1">
      <c r="B1701" s="12"/>
      <c r="C1701" s="71" t="s">
        <v>2495</v>
      </c>
      <c r="D1701" s="71" t="s">
        <v>214</v>
      </c>
      <c r="E1701" s="72" t="s">
        <v>1784</v>
      </c>
      <c r="F1701" s="73" t="s">
        <v>2496</v>
      </c>
      <c r="G1701" s="74" t="s">
        <v>808</v>
      </c>
      <c r="H1701" s="75">
        <v>1</v>
      </c>
      <c r="I1701" s="90"/>
      <c r="J1701" s="91">
        <f>ROUND(I1701*H1701,2)</f>
        <v>0</v>
      </c>
      <c r="K1701" s="92"/>
      <c r="L1701" s="12"/>
      <c r="M1701" s="93" t="s">
        <v>1</v>
      </c>
      <c r="N1701" s="94" t="s">
        <v>42</v>
      </c>
      <c r="P1701" s="95">
        <f>O1701*H1701</f>
        <v>0</v>
      </c>
      <c r="Q1701" s="95">
        <v>0</v>
      </c>
      <c r="R1701" s="95">
        <f>Q1701*H1701</f>
        <v>0</v>
      </c>
      <c r="S1701" s="95">
        <v>0</v>
      </c>
      <c r="T1701" s="99">
        <f>S1701*H1701</f>
        <v>0</v>
      </c>
      <c r="AR1701" s="101" t="s">
        <v>218</v>
      </c>
      <c r="AT1701" s="101" t="s">
        <v>214</v>
      </c>
      <c r="AU1701" s="101" t="s">
        <v>87</v>
      </c>
      <c r="AY1701" s="23" t="s">
        <v>211</v>
      </c>
      <c r="BE1701" s="104">
        <f>IF(N1701="základní",J1701,0)</f>
        <v>0</v>
      </c>
      <c r="BF1701" s="104">
        <f>IF(N1701="snížená",J1701,0)</f>
        <v>0</v>
      </c>
      <c r="BG1701" s="104">
        <f>IF(N1701="zákl. přenesená",J1701,0)</f>
        <v>0</v>
      </c>
      <c r="BH1701" s="104">
        <f>IF(N1701="sníž. přenesená",J1701,0)</f>
        <v>0</v>
      </c>
      <c r="BI1701" s="104">
        <f>IF(N1701="nulová",J1701,0)</f>
        <v>0</v>
      </c>
      <c r="BJ1701" s="23" t="s">
        <v>85</v>
      </c>
      <c r="BK1701" s="104">
        <f>ROUND(I1701*H1701,2)</f>
        <v>0</v>
      </c>
      <c r="BL1701" s="23" t="s">
        <v>218</v>
      </c>
      <c r="BM1701" s="101" t="s">
        <v>2497</v>
      </c>
    </row>
    <row r="1702" spans="2:65" s="1" customFormat="1" ht="67.2">
      <c r="B1702" s="12"/>
      <c r="D1702" s="105" t="s">
        <v>227</v>
      </c>
      <c r="F1702" s="106" t="s">
        <v>2018</v>
      </c>
      <c r="I1702" s="107"/>
      <c r="L1702" s="12"/>
      <c r="M1702" s="108"/>
      <c r="T1702" s="111"/>
      <c r="AT1702" s="23" t="s">
        <v>227</v>
      </c>
      <c r="AU1702" s="23" t="s">
        <v>87</v>
      </c>
    </row>
    <row r="1703" spans="2:65" s="1" customFormat="1" ht="55.5" customHeight="1">
      <c r="B1703" s="12"/>
      <c r="C1703" s="71" t="s">
        <v>2498</v>
      </c>
      <c r="D1703" s="71" t="s">
        <v>214</v>
      </c>
      <c r="E1703" s="72" t="s">
        <v>1788</v>
      </c>
      <c r="F1703" s="73" t="s">
        <v>2499</v>
      </c>
      <c r="G1703" s="74" t="s">
        <v>808</v>
      </c>
      <c r="H1703" s="75">
        <v>1</v>
      </c>
      <c r="I1703" s="90"/>
      <c r="J1703" s="91">
        <f>ROUND(I1703*H1703,2)</f>
        <v>0</v>
      </c>
      <c r="K1703" s="92"/>
      <c r="L1703" s="12"/>
      <c r="M1703" s="93" t="s">
        <v>1</v>
      </c>
      <c r="N1703" s="94" t="s">
        <v>42</v>
      </c>
      <c r="P1703" s="95">
        <f>O1703*H1703</f>
        <v>0</v>
      </c>
      <c r="Q1703" s="95">
        <v>0</v>
      </c>
      <c r="R1703" s="95">
        <f>Q1703*H1703</f>
        <v>0</v>
      </c>
      <c r="S1703" s="95">
        <v>0</v>
      </c>
      <c r="T1703" s="99">
        <f>S1703*H1703</f>
        <v>0</v>
      </c>
      <c r="AR1703" s="101" t="s">
        <v>218</v>
      </c>
      <c r="AT1703" s="101" t="s">
        <v>214</v>
      </c>
      <c r="AU1703" s="101" t="s">
        <v>87</v>
      </c>
      <c r="AY1703" s="23" t="s">
        <v>211</v>
      </c>
      <c r="BE1703" s="104">
        <f>IF(N1703="základní",J1703,0)</f>
        <v>0</v>
      </c>
      <c r="BF1703" s="104">
        <f>IF(N1703="snížená",J1703,0)</f>
        <v>0</v>
      </c>
      <c r="BG1703" s="104">
        <f>IF(N1703="zákl. přenesená",J1703,0)</f>
        <v>0</v>
      </c>
      <c r="BH1703" s="104">
        <f>IF(N1703="sníž. přenesená",J1703,0)</f>
        <v>0</v>
      </c>
      <c r="BI1703" s="104">
        <f>IF(N1703="nulová",J1703,0)</f>
        <v>0</v>
      </c>
      <c r="BJ1703" s="23" t="s">
        <v>85</v>
      </c>
      <c r="BK1703" s="104">
        <f>ROUND(I1703*H1703,2)</f>
        <v>0</v>
      </c>
      <c r="BL1703" s="23" t="s">
        <v>218</v>
      </c>
      <c r="BM1703" s="101" t="s">
        <v>2500</v>
      </c>
    </row>
    <row r="1704" spans="2:65" s="1" customFormat="1" ht="67.2">
      <c r="B1704" s="12"/>
      <c r="D1704" s="105" t="s">
        <v>227</v>
      </c>
      <c r="F1704" s="106" t="s">
        <v>2018</v>
      </c>
      <c r="I1704" s="107"/>
      <c r="L1704" s="12"/>
      <c r="M1704" s="108"/>
      <c r="T1704" s="111"/>
      <c r="AT1704" s="23" t="s">
        <v>227</v>
      </c>
      <c r="AU1704" s="23" t="s">
        <v>87</v>
      </c>
    </row>
    <row r="1705" spans="2:65" s="1" customFormat="1" ht="55.5" customHeight="1">
      <c r="B1705" s="12"/>
      <c r="C1705" s="71" t="s">
        <v>2501</v>
      </c>
      <c r="D1705" s="71" t="s">
        <v>214</v>
      </c>
      <c r="E1705" s="72" t="s">
        <v>1792</v>
      </c>
      <c r="F1705" s="73" t="s">
        <v>2502</v>
      </c>
      <c r="G1705" s="74" t="s">
        <v>808</v>
      </c>
      <c r="H1705" s="75">
        <v>1</v>
      </c>
      <c r="I1705" s="90"/>
      <c r="J1705" s="91">
        <f>ROUND(I1705*H1705,2)</f>
        <v>0</v>
      </c>
      <c r="K1705" s="92"/>
      <c r="L1705" s="12"/>
      <c r="M1705" s="93" t="s">
        <v>1</v>
      </c>
      <c r="N1705" s="94" t="s">
        <v>42</v>
      </c>
      <c r="P1705" s="95">
        <f>O1705*H1705</f>
        <v>0</v>
      </c>
      <c r="Q1705" s="95">
        <v>0</v>
      </c>
      <c r="R1705" s="95">
        <f>Q1705*H1705</f>
        <v>0</v>
      </c>
      <c r="S1705" s="95">
        <v>0</v>
      </c>
      <c r="T1705" s="99">
        <f>S1705*H1705</f>
        <v>0</v>
      </c>
      <c r="AR1705" s="101" t="s">
        <v>218</v>
      </c>
      <c r="AT1705" s="101" t="s">
        <v>214</v>
      </c>
      <c r="AU1705" s="101" t="s">
        <v>87</v>
      </c>
      <c r="AY1705" s="23" t="s">
        <v>211</v>
      </c>
      <c r="BE1705" s="104">
        <f>IF(N1705="základní",J1705,0)</f>
        <v>0</v>
      </c>
      <c r="BF1705" s="104">
        <f>IF(N1705="snížená",J1705,0)</f>
        <v>0</v>
      </c>
      <c r="BG1705" s="104">
        <f>IF(N1705="zákl. přenesená",J1705,0)</f>
        <v>0</v>
      </c>
      <c r="BH1705" s="104">
        <f>IF(N1705="sníž. přenesená",J1705,0)</f>
        <v>0</v>
      </c>
      <c r="BI1705" s="104">
        <f>IF(N1705="nulová",J1705,0)</f>
        <v>0</v>
      </c>
      <c r="BJ1705" s="23" t="s">
        <v>85</v>
      </c>
      <c r="BK1705" s="104">
        <f>ROUND(I1705*H1705,2)</f>
        <v>0</v>
      </c>
      <c r="BL1705" s="23" t="s">
        <v>218</v>
      </c>
      <c r="BM1705" s="101" t="s">
        <v>2503</v>
      </c>
    </row>
    <row r="1706" spans="2:65" s="1" customFormat="1" ht="67.2">
      <c r="B1706" s="12"/>
      <c r="D1706" s="105" t="s">
        <v>227</v>
      </c>
      <c r="F1706" s="106" t="s">
        <v>2023</v>
      </c>
      <c r="I1706" s="107"/>
      <c r="L1706" s="12"/>
      <c r="M1706" s="108"/>
      <c r="T1706" s="111"/>
      <c r="AT1706" s="23" t="s">
        <v>227</v>
      </c>
      <c r="AU1706" s="23" t="s">
        <v>87</v>
      </c>
    </row>
    <row r="1707" spans="2:65" s="1" customFormat="1" ht="55.5" customHeight="1">
      <c r="B1707" s="12"/>
      <c r="C1707" s="71" t="s">
        <v>2504</v>
      </c>
      <c r="D1707" s="71" t="s">
        <v>214</v>
      </c>
      <c r="E1707" s="72" t="s">
        <v>1796</v>
      </c>
      <c r="F1707" s="73" t="s">
        <v>2505</v>
      </c>
      <c r="G1707" s="74" t="s">
        <v>808</v>
      </c>
      <c r="H1707" s="75">
        <v>1</v>
      </c>
      <c r="I1707" s="90"/>
      <c r="J1707" s="91">
        <f>ROUND(I1707*H1707,2)</f>
        <v>0</v>
      </c>
      <c r="K1707" s="92"/>
      <c r="L1707" s="12"/>
      <c r="M1707" s="93" t="s">
        <v>1</v>
      </c>
      <c r="N1707" s="94" t="s">
        <v>42</v>
      </c>
      <c r="P1707" s="95">
        <f>O1707*H1707</f>
        <v>0</v>
      </c>
      <c r="Q1707" s="95">
        <v>0</v>
      </c>
      <c r="R1707" s="95">
        <f>Q1707*H1707</f>
        <v>0</v>
      </c>
      <c r="S1707" s="95">
        <v>0</v>
      </c>
      <c r="T1707" s="99">
        <f>S1707*H1707</f>
        <v>0</v>
      </c>
      <c r="AR1707" s="101" t="s">
        <v>218</v>
      </c>
      <c r="AT1707" s="101" t="s">
        <v>214</v>
      </c>
      <c r="AU1707" s="101" t="s">
        <v>87</v>
      </c>
      <c r="AY1707" s="23" t="s">
        <v>211</v>
      </c>
      <c r="BE1707" s="104">
        <f>IF(N1707="základní",J1707,0)</f>
        <v>0</v>
      </c>
      <c r="BF1707" s="104">
        <f>IF(N1707="snížená",J1707,0)</f>
        <v>0</v>
      </c>
      <c r="BG1707" s="104">
        <f>IF(N1707="zákl. přenesená",J1707,0)</f>
        <v>0</v>
      </c>
      <c r="BH1707" s="104">
        <f>IF(N1707="sníž. přenesená",J1707,0)</f>
        <v>0</v>
      </c>
      <c r="BI1707" s="104">
        <f>IF(N1707="nulová",J1707,0)</f>
        <v>0</v>
      </c>
      <c r="BJ1707" s="23" t="s">
        <v>85</v>
      </c>
      <c r="BK1707" s="104">
        <f>ROUND(I1707*H1707,2)</f>
        <v>0</v>
      </c>
      <c r="BL1707" s="23" t="s">
        <v>218</v>
      </c>
      <c r="BM1707" s="101" t="s">
        <v>2506</v>
      </c>
    </row>
    <row r="1708" spans="2:65" s="1" customFormat="1" ht="67.2">
      <c r="B1708" s="12"/>
      <c r="D1708" s="105" t="s">
        <v>227</v>
      </c>
      <c r="F1708" s="106" t="s">
        <v>2023</v>
      </c>
      <c r="I1708" s="107"/>
      <c r="L1708" s="12"/>
      <c r="M1708" s="108"/>
      <c r="T1708" s="111"/>
      <c r="AT1708" s="23" t="s">
        <v>227</v>
      </c>
      <c r="AU1708" s="23" t="s">
        <v>87</v>
      </c>
    </row>
    <row r="1709" spans="2:65" s="1" customFormat="1" ht="66.75" customHeight="1">
      <c r="B1709" s="12"/>
      <c r="C1709" s="71" t="s">
        <v>2507</v>
      </c>
      <c r="D1709" s="71" t="s">
        <v>214</v>
      </c>
      <c r="E1709" s="72" t="s">
        <v>1800</v>
      </c>
      <c r="F1709" s="73" t="s">
        <v>2508</v>
      </c>
      <c r="G1709" s="74" t="s">
        <v>808</v>
      </c>
      <c r="H1709" s="75">
        <v>1</v>
      </c>
      <c r="I1709" s="90"/>
      <c r="J1709" s="91">
        <f>ROUND(I1709*H1709,2)</f>
        <v>0</v>
      </c>
      <c r="K1709" s="92"/>
      <c r="L1709" s="12"/>
      <c r="M1709" s="93" t="s">
        <v>1</v>
      </c>
      <c r="N1709" s="94" t="s">
        <v>42</v>
      </c>
      <c r="P1709" s="95">
        <f>O1709*H1709</f>
        <v>0</v>
      </c>
      <c r="Q1709" s="95">
        <v>0</v>
      </c>
      <c r="R1709" s="95">
        <f>Q1709*H1709</f>
        <v>0</v>
      </c>
      <c r="S1709" s="95">
        <v>0</v>
      </c>
      <c r="T1709" s="99">
        <f>S1709*H1709</f>
        <v>0</v>
      </c>
      <c r="AR1709" s="101" t="s">
        <v>218</v>
      </c>
      <c r="AT1709" s="101" t="s">
        <v>214</v>
      </c>
      <c r="AU1709" s="101" t="s">
        <v>87</v>
      </c>
      <c r="AY1709" s="23" t="s">
        <v>211</v>
      </c>
      <c r="BE1709" s="104">
        <f>IF(N1709="základní",J1709,0)</f>
        <v>0</v>
      </c>
      <c r="BF1709" s="104">
        <f>IF(N1709="snížená",J1709,0)</f>
        <v>0</v>
      </c>
      <c r="BG1709" s="104">
        <f>IF(N1709="zákl. přenesená",J1709,0)</f>
        <v>0</v>
      </c>
      <c r="BH1709" s="104">
        <f>IF(N1709="sníž. přenesená",J1709,0)</f>
        <v>0</v>
      </c>
      <c r="BI1709" s="104">
        <f>IF(N1709="nulová",J1709,0)</f>
        <v>0</v>
      </c>
      <c r="BJ1709" s="23" t="s">
        <v>85</v>
      </c>
      <c r="BK1709" s="104">
        <f>ROUND(I1709*H1709,2)</f>
        <v>0</v>
      </c>
      <c r="BL1709" s="23" t="s">
        <v>218</v>
      </c>
      <c r="BM1709" s="101" t="s">
        <v>2509</v>
      </c>
    </row>
    <row r="1710" spans="2:65" s="1" customFormat="1" ht="76.8">
      <c r="B1710" s="12"/>
      <c r="D1710" s="105" t="s">
        <v>227</v>
      </c>
      <c r="F1710" s="106" t="s">
        <v>2028</v>
      </c>
      <c r="I1710" s="107"/>
      <c r="L1710" s="12"/>
      <c r="M1710" s="108"/>
      <c r="T1710" s="111"/>
      <c r="AT1710" s="23" t="s">
        <v>227</v>
      </c>
      <c r="AU1710" s="23" t="s">
        <v>87</v>
      </c>
    </row>
    <row r="1711" spans="2:65" s="1" customFormat="1" ht="66.75" customHeight="1">
      <c r="B1711" s="12"/>
      <c r="C1711" s="71" t="s">
        <v>2510</v>
      </c>
      <c r="D1711" s="71" t="s">
        <v>214</v>
      </c>
      <c r="E1711" s="72" t="s">
        <v>1804</v>
      </c>
      <c r="F1711" s="73" t="s">
        <v>2511</v>
      </c>
      <c r="G1711" s="74" t="s">
        <v>808</v>
      </c>
      <c r="H1711" s="75">
        <v>1</v>
      </c>
      <c r="I1711" s="90"/>
      <c r="J1711" s="91">
        <f>ROUND(I1711*H1711,2)</f>
        <v>0</v>
      </c>
      <c r="K1711" s="92"/>
      <c r="L1711" s="12"/>
      <c r="M1711" s="93" t="s">
        <v>1</v>
      </c>
      <c r="N1711" s="94" t="s">
        <v>42</v>
      </c>
      <c r="P1711" s="95">
        <f>O1711*H1711</f>
        <v>0</v>
      </c>
      <c r="Q1711" s="95">
        <v>0</v>
      </c>
      <c r="R1711" s="95">
        <f>Q1711*H1711</f>
        <v>0</v>
      </c>
      <c r="S1711" s="95">
        <v>0</v>
      </c>
      <c r="T1711" s="99">
        <f>S1711*H1711</f>
        <v>0</v>
      </c>
      <c r="AR1711" s="101" t="s">
        <v>218</v>
      </c>
      <c r="AT1711" s="101" t="s">
        <v>214</v>
      </c>
      <c r="AU1711" s="101" t="s">
        <v>87</v>
      </c>
      <c r="AY1711" s="23" t="s">
        <v>211</v>
      </c>
      <c r="BE1711" s="104">
        <f>IF(N1711="základní",J1711,0)</f>
        <v>0</v>
      </c>
      <c r="BF1711" s="104">
        <f>IF(N1711="snížená",J1711,0)</f>
        <v>0</v>
      </c>
      <c r="BG1711" s="104">
        <f>IF(N1711="zákl. přenesená",J1711,0)</f>
        <v>0</v>
      </c>
      <c r="BH1711" s="104">
        <f>IF(N1711="sníž. přenesená",J1711,0)</f>
        <v>0</v>
      </c>
      <c r="BI1711" s="104">
        <f>IF(N1711="nulová",J1711,0)</f>
        <v>0</v>
      </c>
      <c r="BJ1711" s="23" t="s">
        <v>85</v>
      </c>
      <c r="BK1711" s="104">
        <f>ROUND(I1711*H1711,2)</f>
        <v>0</v>
      </c>
      <c r="BL1711" s="23" t="s">
        <v>218</v>
      </c>
      <c r="BM1711" s="101" t="s">
        <v>2512</v>
      </c>
    </row>
    <row r="1712" spans="2:65" s="1" customFormat="1" ht="76.8">
      <c r="B1712" s="12"/>
      <c r="D1712" s="105" t="s">
        <v>227</v>
      </c>
      <c r="F1712" s="106" t="s">
        <v>2013</v>
      </c>
      <c r="I1712" s="107"/>
      <c r="L1712" s="12"/>
      <c r="M1712" s="108"/>
      <c r="T1712" s="111"/>
      <c r="AT1712" s="23" t="s">
        <v>227</v>
      </c>
      <c r="AU1712" s="23" t="s">
        <v>87</v>
      </c>
    </row>
    <row r="1713" spans="2:65" s="1" customFormat="1" ht="55.5" customHeight="1">
      <c r="B1713" s="12"/>
      <c r="C1713" s="71" t="s">
        <v>2513</v>
      </c>
      <c r="D1713" s="71" t="s">
        <v>214</v>
      </c>
      <c r="E1713" s="72" t="s">
        <v>1808</v>
      </c>
      <c r="F1713" s="73" t="s">
        <v>2514</v>
      </c>
      <c r="G1713" s="74" t="s">
        <v>808</v>
      </c>
      <c r="H1713" s="75">
        <v>1</v>
      </c>
      <c r="I1713" s="90"/>
      <c r="J1713" s="91">
        <f>ROUND(I1713*H1713,2)</f>
        <v>0</v>
      </c>
      <c r="K1713" s="92"/>
      <c r="L1713" s="12"/>
      <c r="M1713" s="93" t="s">
        <v>1</v>
      </c>
      <c r="N1713" s="94" t="s">
        <v>42</v>
      </c>
      <c r="P1713" s="95">
        <f>O1713*H1713</f>
        <v>0</v>
      </c>
      <c r="Q1713" s="95">
        <v>0</v>
      </c>
      <c r="R1713" s="95">
        <f>Q1713*H1713</f>
        <v>0</v>
      </c>
      <c r="S1713" s="95">
        <v>0</v>
      </c>
      <c r="T1713" s="99">
        <f>S1713*H1713</f>
        <v>0</v>
      </c>
      <c r="AR1713" s="101" t="s">
        <v>218</v>
      </c>
      <c r="AT1713" s="101" t="s">
        <v>214</v>
      </c>
      <c r="AU1713" s="101" t="s">
        <v>87</v>
      </c>
      <c r="AY1713" s="23" t="s">
        <v>211</v>
      </c>
      <c r="BE1713" s="104">
        <f>IF(N1713="základní",J1713,0)</f>
        <v>0</v>
      </c>
      <c r="BF1713" s="104">
        <f>IF(N1713="snížená",J1713,0)</f>
        <v>0</v>
      </c>
      <c r="BG1713" s="104">
        <f>IF(N1713="zákl. přenesená",J1713,0)</f>
        <v>0</v>
      </c>
      <c r="BH1713" s="104">
        <f>IF(N1713="sníž. přenesená",J1713,0)</f>
        <v>0</v>
      </c>
      <c r="BI1713" s="104">
        <f>IF(N1713="nulová",J1713,0)</f>
        <v>0</v>
      </c>
      <c r="BJ1713" s="23" t="s">
        <v>85</v>
      </c>
      <c r="BK1713" s="104">
        <f>ROUND(I1713*H1713,2)</f>
        <v>0</v>
      </c>
      <c r="BL1713" s="23" t="s">
        <v>218</v>
      </c>
      <c r="BM1713" s="101" t="s">
        <v>2515</v>
      </c>
    </row>
    <row r="1714" spans="2:65" s="1" customFormat="1" ht="67.2">
      <c r="B1714" s="12"/>
      <c r="D1714" s="105" t="s">
        <v>227</v>
      </c>
      <c r="F1714" s="106" t="s">
        <v>2023</v>
      </c>
      <c r="I1714" s="107"/>
      <c r="L1714" s="12"/>
      <c r="M1714" s="108"/>
      <c r="T1714" s="111"/>
      <c r="AT1714" s="23" t="s">
        <v>227</v>
      </c>
      <c r="AU1714" s="23" t="s">
        <v>87</v>
      </c>
    </row>
    <row r="1715" spans="2:65" s="1" customFormat="1" ht="55.5" customHeight="1">
      <c r="B1715" s="12"/>
      <c r="C1715" s="71" t="s">
        <v>2516</v>
      </c>
      <c r="D1715" s="71" t="s">
        <v>214</v>
      </c>
      <c r="E1715" s="72" t="s">
        <v>1812</v>
      </c>
      <c r="F1715" s="73" t="s">
        <v>2517</v>
      </c>
      <c r="G1715" s="74" t="s">
        <v>808</v>
      </c>
      <c r="H1715" s="75">
        <v>1</v>
      </c>
      <c r="I1715" s="90"/>
      <c r="J1715" s="91">
        <f>ROUND(I1715*H1715,2)</f>
        <v>0</v>
      </c>
      <c r="K1715" s="92"/>
      <c r="L1715" s="12"/>
      <c r="M1715" s="93" t="s">
        <v>1</v>
      </c>
      <c r="N1715" s="94" t="s">
        <v>42</v>
      </c>
      <c r="P1715" s="95">
        <f>O1715*H1715</f>
        <v>0</v>
      </c>
      <c r="Q1715" s="95">
        <v>0</v>
      </c>
      <c r="R1715" s="95">
        <f>Q1715*H1715</f>
        <v>0</v>
      </c>
      <c r="S1715" s="95">
        <v>0</v>
      </c>
      <c r="T1715" s="99">
        <f>S1715*H1715</f>
        <v>0</v>
      </c>
      <c r="AR1715" s="101" t="s">
        <v>218</v>
      </c>
      <c r="AT1715" s="101" t="s">
        <v>214</v>
      </c>
      <c r="AU1715" s="101" t="s">
        <v>87</v>
      </c>
      <c r="AY1715" s="23" t="s">
        <v>211</v>
      </c>
      <c r="BE1715" s="104">
        <f>IF(N1715="základní",J1715,0)</f>
        <v>0</v>
      </c>
      <c r="BF1715" s="104">
        <f>IF(N1715="snížená",J1715,0)</f>
        <v>0</v>
      </c>
      <c r="BG1715" s="104">
        <f>IF(N1715="zákl. přenesená",J1715,0)</f>
        <v>0</v>
      </c>
      <c r="BH1715" s="104">
        <f>IF(N1715="sníž. přenesená",J1715,0)</f>
        <v>0</v>
      </c>
      <c r="BI1715" s="104">
        <f>IF(N1715="nulová",J1715,0)</f>
        <v>0</v>
      </c>
      <c r="BJ1715" s="23" t="s">
        <v>85</v>
      </c>
      <c r="BK1715" s="104">
        <f>ROUND(I1715*H1715,2)</f>
        <v>0</v>
      </c>
      <c r="BL1715" s="23" t="s">
        <v>218</v>
      </c>
      <c r="BM1715" s="101" t="s">
        <v>2518</v>
      </c>
    </row>
    <row r="1716" spans="2:65" s="1" customFormat="1" ht="67.2">
      <c r="B1716" s="12"/>
      <c r="D1716" s="105" t="s">
        <v>227</v>
      </c>
      <c r="F1716" s="106" t="s">
        <v>2018</v>
      </c>
      <c r="I1716" s="107"/>
      <c r="L1716" s="12"/>
      <c r="M1716" s="108"/>
      <c r="T1716" s="111"/>
      <c r="AT1716" s="23" t="s">
        <v>227</v>
      </c>
      <c r="AU1716" s="23" t="s">
        <v>87</v>
      </c>
    </row>
    <row r="1717" spans="2:65" s="1" customFormat="1" ht="66.75" customHeight="1">
      <c r="B1717" s="12"/>
      <c r="C1717" s="71" t="s">
        <v>2519</v>
      </c>
      <c r="D1717" s="71" t="s">
        <v>214</v>
      </c>
      <c r="E1717" s="72" t="s">
        <v>1816</v>
      </c>
      <c r="F1717" s="73" t="s">
        <v>2520</v>
      </c>
      <c r="G1717" s="74" t="s">
        <v>808</v>
      </c>
      <c r="H1717" s="75">
        <v>1</v>
      </c>
      <c r="I1717" s="90"/>
      <c r="J1717" s="91">
        <f>ROUND(I1717*H1717,2)</f>
        <v>0</v>
      </c>
      <c r="K1717" s="92"/>
      <c r="L1717" s="12"/>
      <c r="M1717" s="93" t="s">
        <v>1</v>
      </c>
      <c r="N1717" s="94" t="s">
        <v>42</v>
      </c>
      <c r="P1717" s="95">
        <f>O1717*H1717</f>
        <v>0</v>
      </c>
      <c r="Q1717" s="95">
        <v>0</v>
      </c>
      <c r="R1717" s="95">
        <f>Q1717*H1717</f>
        <v>0</v>
      </c>
      <c r="S1717" s="95">
        <v>0</v>
      </c>
      <c r="T1717" s="99">
        <f>S1717*H1717</f>
        <v>0</v>
      </c>
      <c r="AR1717" s="101" t="s">
        <v>218</v>
      </c>
      <c r="AT1717" s="101" t="s">
        <v>214</v>
      </c>
      <c r="AU1717" s="101" t="s">
        <v>87</v>
      </c>
      <c r="AY1717" s="23" t="s">
        <v>211</v>
      </c>
      <c r="BE1717" s="104">
        <f>IF(N1717="základní",J1717,0)</f>
        <v>0</v>
      </c>
      <c r="BF1717" s="104">
        <f>IF(N1717="snížená",J1717,0)</f>
        <v>0</v>
      </c>
      <c r="BG1717" s="104">
        <f>IF(N1717="zákl. přenesená",J1717,0)</f>
        <v>0</v>
      </c>
      <c r="BH1717" s="104">
        <f>IF(N1717="sníž. přenesená",J1717,0)</f>
        <v>0</v>
      </c>
      <c r="BI1717" s="104">
        <f>IF(N1717="nulová",J1717,0)</f>
        <v>0</v>
      </c>
      <c r="BJ1717" s="23" t="s">
        <v>85</v>
      </c>
      <c r="BK1717" s="104">
        <f>ROUND(I1717*H1717,2)</f>
        <v>0</v>
      </c>
      <c r="BL1717" s="23" t="s">
        <v>218</v>
      </c>
      <c r="BM1717" s="101" t="s">
        <v>2521</v>
      </c>
    </row>
    <row r="1718" spans="2:65" s="1" customFormat="1" ht="76.8">
      <c r="B1718" s="12"/>
      <c r="D1718" s="105" t="s">
        <v>227</v>
      </c>
      <c r="F1718" s="106" t="s">
        <v>2028</v>
      </c>
      <c r="I1718" s="107"/>
      <c r="L1718" s="12"/>
      <c r="M1718" s="108"/>
      <c r="T1718" s="111"/>
      <c r="AT1718" s="23" t="s">
        <v>227</v>
      </c>
      <c r="AU1718" s="23" t="s">
        <v>87</v>
      </c>
    </row>
    <row r="1719" spans="2:65" s="1" customFormat="1" ht="66.75" customHeight="1">
      <c r="B1719" s="12"/>
      <c r="C1719" s="71" t="s">
        <v>2522</v>
      </c>
      <c r="D1719" s="71" t="s">
        <v>214</v>
      </c>
      <c r="E1719" s="72" t="s">
        <v>1820</v>
      </c>
      <c r="F1719" s="73" t="s">
        <v>2523</v>
      </c>
      <c r="G1719" s="74" t="s">
        <v>808</v>
      </c>
      <c r="H1719" s="75">
        <v>1</v>
      </c>
      <c r="I1719" s="90"/>
      <c r="J1719" s="91">
        <f>ROUND(I1719*H1719,2)</f>
        <v>0</v>
      </c>
      <c r="K1719" s="92"/>
      <c r="L1719" s="12"/>
      <c r="M1719" s="93" t="s">
        <v>1</v>
      </c>
      <c r="N1719" s="94" t="s">
        <v>42</v>
      </c>
      <c r="P1719" s="95">
        <f>O1719*H1719</f>
        <v>0</v>
      </c>
      <c r="Q1719" s="95">
        <v>0</v>
      </c>
      <c r="R1719" s="95">
        <f>Q1719*H1719</f>
        <v>0</v>
      </c>
      <c r="S1719" s="95">
        <v>0</v>
      </c>
      <c r="T1719" s="99">
        <f>S1719*H1719</f>
        <v>0</v>
      </c>
      <c r="AR1719" s="101" t="s">
        <v>218</v>
      </c>
      <c r="AT1719" s="101" t="s">
        <v>214</v>
      </c>
      <c r="AU1719" s="101" t="s">
        <v>87</v>
      </c>
      <c r="AY1719" s="23" t="s">
        <v>211</v>
      </c>
      <c r="BE1719" s="104">
        <f>IF(N1719="základní",J1719,0)</f>
        <v>0</v>
      </c>
      <c r="BF1719" s="104">
        <f>IF(N1719="snížená",J1719,0)</f>
        <v>0</v>
      </c>
      <c r="BG1719" s="104">
        <f>IF(N1719="zákl. přenesená",J1719,0)</f>
        <v>0</v>
      </c>
      <c r="BH1719" s="104">
        <f>IF(N1719="sníž. přenesená",J1719,0)</f>
        <v>0</v>
      </c>
      <c r="BI1719" s="104">
        <f>IF(N1719="nulová",J1719,0)</f>
        <v>0</v>
      </c>
      <c r="BJ1719" s="23" t="s">
        <v>85</v>
      </c>
      <c r="BK1719" s="104">
        <f>ROUND(I1719*H1719,2)</f>
        <v>0</v>
      </c>
      <c r="BL1719" s="23" t="s">
        <v>218</v>
      </c>
      <c r="BM1719" s="101" t="s">
        <v>2524</v>
      </c>
    </row>
    <row r="1720" spans="2:65" s="1" customFormat="1" ht="76.8">
      <c r="B1720" s="12"/>
      <c r="D1720" s="105" t="s">
        <v>227</v>
      </c>
      <c r="F1720" s="106" t="s">
        <v>2013</v>
      </c>
      <c r="I1720" s="107"/>
      <c r="L1720" s="12"/>
      <c r="M1720" s="108"/>
      <c r="T1720" s="111"/>
      <c r="AT1720" s="23" t="s">
        <v>227</v>
      </c>
      <c r="AU1720" s="23" t="s">
        <v>87</v>
      </c>
    </row>
    <row r="1721" spans="2:65" s="1" customFormat="1" ht="55.5" customHeight="1">
      <c r="B1721" s="12"/>
      <c r="C1721" s="71" t="s">
        <v>2525</v>
      </c>
      <c r="D1721" s="71" t="s">
        <v>214</v>
      </c>
      <c r="E1721" s="72" t="s">
        <v>1824</v>
      </c>
      <c r="F1721" s="73" t="s">
        <v>2526</v>
      </c>
      <c r="G1721" s="74" t="s">
        <v>808</v>
      </c>
      <c r="H1721" s="75">
        <v>1</v>
      </c>
      <c r="I1721" s="90"/>
      <c r="J1721" s="91">
        <f>ROUND(I1721*H1721,2)</f>
        <v>0</v>
      </c>
      <c r="K1721" s="92"/>
      <c r="L1721" s="12"/>
      <c r="M1721" s="93" t="s">
        <v>1</v>
      </c>
      <c r="N1721" s="94" t="s">
        <v>42</v>
      </c>
      <c r="P1721" s="95">
        <f>O1721*H1721</f>
        <v>0</v>
      </c>
      <c r="Q1721" s="95">
        <v>0</v>
      </c>
      <c r="R1721" s="95">
        <f>Q1721*H1721</f>
        <v>0</v>
      </c>
      <c r="S1721" s="95">
        <v>0</v>
      </c>
      <c r="T1721" s="99">
        <f>S1721*H1721</f>
        <v>0</v>
      </c>
      <c r="AR1721" s="101" t="s">
        <v>218</v>
      </c>
      <c r="AT1721" s="101" t="s">
        <v>214</v>
      </c>
      <c r="AU1721" s="101" t="s">
        <v>87</v>
      </c>
      <c r="AY1721" s="23" t="s">
        <v>211</v>
      </c>
      <c r="BE1721" s="104">
        <f>IF(N1721="základní",J1721,0)</f>
        <v>0</v>
      </c>
      <c r="BF1721" s="104">
        <f>IF(N1721="snížená",J1721,0)</f>
        <v>0</v>
      </c>
      <c r="BG1721" s="104">
        <f>IF(N1721="zákl. přenesená",J1721,0)</f>
        <v>0</v>
      </c>
      <c r="BH1721" s="104">
        <f>IF(N1721="sníž. přenesená",J1721,0)</f>
        <v>0</v>
      </c>
      <c r="BI1721" s="104">
        <f>IF(N1721="nulová",J1721,0)</f>
        <v>0</v>
      </c>
      <c r="BJ1721" s="23" t="s">
        <v>85</v>
      </c>
      <c r="BK1721" s="104">
        <f>ROUND(I1721*H1721,2)</f>
        <v>0</v>
      </c>
      <c r="BL1721" s="23" t="s">
        <v>218</v>
      </c>
      <c r="BM1721" s="101" t="s">
        <v>2527</v>
      </c>
    </row>
    <row r="1722" spans="2:65" s="1" customFormat="1" ht="67.2">
      <c r="B1722" s="12"/>
      <c r="D1722" s="105" t="s">
        <v>227</v>
      </c>
      <c r="F1722" s="106" t="s">
        <v>2023</v>
      </c>
      <c r="I1722" s="107"/>
      <c r="L1722" s="12"/>
      <c r="M1722" s="108"/>
      <c r="T1722" s="111"/>
      <c r="AT1722" s="23" t="s">
        <v>227</v>
      </c>
      <c r="AU1722" s="23" t="s">
        <v>87</v>
      </c>
    </row>
    <row r="1723" spans="2:65" s="1" customFormat="1" ht="55.5" customHeight="1">
      <c r="B1723" s="12"/>
      <c r="C1723" s="71" t="s">
        <v>2528</v>
      </c>
      <c r="D1723" s="71" t="s">
        <v>214</v>
      </c>
      <c r="E1723" s="72" t="s">
        <v>1828</v>
      </c>
      <c r="F1723" s="73" t="s">
        <v>2529</v>
      </c>
      <c r="G1723" s="74" t="s">
        <v>808</v>
      </c>
      <c r="H1723" s="75">
        <v>1</v>
      </c>
      <c r="I1723" s="90"/>
      <c r="J1723" s="91">
        <f>ROUND(I1723*H1723,2)</f>
        <v>0</v>
      </c>
      <c r="K1723" s="92"/>
      <c r="L1723" s="12"/>
      <c r="M1723" s="93" t="s">
        <v>1</v>
      </c>
      <c r="N1723" s="94" t="s">
        <v>42</v>
      </c>
      <c r="P1723" s="95">
        <f>O1723*H1723</f>
        <v>0</v>
      </c>
      <c r="Q1723" s="95">
        <v>0</v>
      </c>
      <c r="R1723" s="95">
        <f>Q1723*H1723</f>
        <v>0</v>
      </c>
      <c r="S1723" s="95">
        <v>0</v>
      </c>
      <c r="T1723" s="99">
        <f>S1723*H1723</f>
        <v>0</v>
      </c>
      <c r="AR1723" s="101" t="s">
        <v>218</v>
      </c>
      <c r="AT1723" s="101" t="s">
        <v>214</v>
      </c>
      <c r="AU1723" s="101" t="s">
        <v>87</v>
      </c>
      <c r="AY1723" s="23" t="s">
        <v>211</v>
      </c>
      <c r="BE1723" s="104">
        <f>IF(N1723="základní",J1723,0)</f>
        <v>0</v>
      </c>
      <c r="BF1723" s="104">
        <f>IF(N1723="snížená",J1723,0)</f>
        <v>0</v>
      </c>
      <c r="BG1723" s="104">
        <f>IF(N1723="zákl. přenesená",J1723,0)</f>
        <v>0</v>
      </c>
      <c r="BH1723" s="104">
        <f>IF(N1723="sníž. přenesená",J1723,0)</f>
        <v>0</v>
      </c>
      <c r="BI1723" s="104">
        <f>IF(N1723="nulová",J1723,0)</f>
        <v>0</v>
      </c>
      <c r="BJ1723" s="23" t="s">
        <v>85</v>
      </c>
      <c r="BK1723" s="104">
        <f>ROUND(I1723*H1723,2)</f>
        <v>0</v>
      </c>
      <c r="BL1723" s="23" t="s">
        <v>218</v>
      </c>
      <c r="BM1723" s="101" t="s">
        <v>2530</v>
      </c>
    </row>
    <row r="1724" spans="2:65" s="1" customFormat="1" ht="67.2">
      <c r="B1724" s="12"/>
      <c r="D1724" s="105" t="s">
        <v>227</v>
      </c>
      <c r="F1724" s="106" t="s">
        <v>2018</v>
      </c>
      <c r="I1724" s="107"/>
      <c r="L1724" s="12"/>
      <c r="M1724" s="108"/>
      <c r="T1724" s="111"/>
      <c r="AT1724" s="23" t="s">
        <v>227</v>
      </c>
      <c r="AU1724" s="23" t="s">
        <v>87</v>
      </c>
    </row>
    <row r="1725" spans="2:65" s="1" customFormat="1" ht="66.75" customHeight="1">
      <c r="B1725" s="12"/>
      <c r="C1725" s="71" t="s">
        <v>2531</v>
      </c>
      <c r="D1725" s="71" t="s">
        <v>214</v>
      </c>
      <c r="E1725" s="72" t="s">
        <v>1832</v>
      </c>
      <c r="F1725" s="73" t="s">
        <v>2532</v>
      </c>
      <c r="G1725" s="74" t="s">
        <v>808</v>
      </c>
      <c r="H1725" s="75">
        <v>1</v>
      </c>
      <c r="I1725" s="90"/>
      <c r="J1725" s="91">
        <f>ROUND(I1725*H1725,2)</f>
        <v>0</v>
      </c>
      <c r="K1725" s="92"/>
      <c r="L1725" s="12"/>
      <c r="M1725" s="93" t="s">
        <v>1</v>
      </c>
      <c r="N1725" s="94" t="s">
        <v>42</v>
      </c>
      <c r="P1725" s="95">
        <f>O1725*H1725</f>
        <v>0</v>
      </c>
      <c r="Q1725" s="95">
        <v>0</v>
      </c>
      <c r="R1725" s="95">
        <f>Q1725*H1725</f>
        <v>0</v>
      </c>
      <c r="S1725" s="95">
        <v>0</v>
      </c>
      <c r="T1725" s="99">
        <f>S1725*H1725</f>
        <v>0</v>
      </c>
      <c r="AR1725" s="101" t="s">
        <v>218</v>
      </c>
      <c r="AT1725" s="101" t="s">
        <v>214</v>
      </c>
      <c r="AU1725" s="101" t="s">
        <v>87</v>
      </c>
      <c r="AY1725" s="23" t="s">
        <v>211</v>
      </c>
      <c r="BE1725" s="104">
        <f>IF(N1725="základní",J1725,0)</f>
        <v>0</v>
      </c>
      <c r="BF1725" s="104">
        <f>IF(N1725="snížená",J1725,0)</f>
        <v>0</v>
      </c>
      <c r="BG1725" s="104">
        <f>IF(N1725="zákl. přenesená",J1725,0)</f>
        <v>0</v>
      </c>
      <c r="BH1725" s="104">
        <f>IF(N1725="sníž. přenesená",J1725,0)</f>
        <v>0</v>
      </c>
      <c r="BI1725" s="104">
        <f>IF(N1725="nulová",J1725,0)</f>
        <v>0</v>
      </c>
      <c r="BJ1725" s="23" t="s">
        <v>85</v>
      </c>
      <c r="BK1725" s="104">
        <f>ROUND(I1725*H1725,2)</f>
        <v>0</v>
      </c>
      <c r="BL1725" s="23" t="s">
        <v>218</v>
      </c>
      <c r="BM1725" s="101" t="s">
        <v>2533</v>
      </c>
    </row>
    <row r="1726" spans="2:65" s="1" customFormat="1" ht="76.8">
      <c r="B1726" s="12"/>
      <c r="D1726" s="105" t="s">
        <v>227</v>
      </c>
      <c r="F1726" s="106" t="s">
        <v>2028</v>
      </c>
      <c r="I1726" s="107"/>
      <c r="L1726" s="12"/>
      <c r="M1726" s="108"/>
      <c r="T1726" s="111"/>
      <c r="AT1726" s="23" t="s">
        <v>227</v>
      </c>
      <c r="AU1726" s="23" t="s">
        <v>87</v>
      </c>
    </row>
    <row r="1727" spans="2:65" s="1" customFormat="1" ht="66.75" customHeight="1">
      <c r="B1727" s="12"/>
      <c r="C1727" s="71" t="s">
        <v>2534</v>
      </c>
      <c r="D1727" s="71" t="s">
        <v>214</v>
      </c>
      <c r="E1727" s="72" t="s">
        <v>1836</v>
      </c>
      <c r="F1727" s="73" t="s">
        <v>2535</v>
      </c>
      <c r="G1727" s="74" t="s">
        <v>808</v>
      </c>
      <c r="H1727" s="75">
        <v>1</v>
      </c>
      <c r="I1727" s="90"/>
      <c r="J1727" s="91">
        <f>ROUND(I1727*H1727,2)</f>
        <v>0</v>
      </c>
      <c r="K1727" s="92"/>
      <c r="L1727" s="12"/>
      <c r="M1727" s="93" t="s">
        <v>1</v>
      </c>
      <c r="N1727" s="94" t="s">
        <v>42</v>
      </c>
      <c r="P1727" s="95">
        <f>O1727*H1727</f>
        <v>0</v>
      </c>
      <c r="Q1727" s="95">
        <v>0</v>
      </c>
      <c r="R1727" s="95">
        <f>Q1727*H1727</f>
        <v>0</v>
      </c>
      <c r="S1727" s="95">
        <v>0</v>
      </c>
      <c r="T1727" s="99">
        <f>S1727*H1727</f>
        <v>0</v>
      </c>
      <c r="AR1727" s="101" t="s">
        <v>218</v>
      </c>
      <c r="AT1727" s="101" t="s">
        <v>214</v>
      </c>
      <c r="AU1727" s="101" t="s">
        <v>87</v>
      </c>
      <c r="AY1727" s="23" t="s">
        <v>211</v>
      </c>
      <c r="BE1727" s="104">
        <f>IF(N1727="základní",J1727,0)</f>
        <v>0</v>
      </c>
      <c r="BF1727" s="104">
        <f>IF(N1727="snížená",J1727,0)</f>
        <v>0</v>
      </c>
      <c r="BG1727" s="104">
        <f>IF(N1727="zákl. přenesená",J1727,0)</f>
        <v>0</v>
      </c>
      <c r="BH1727" s="104">
        <f>IF(N1727="sníž. přenesená",J1727,0)</f>
        <v>0</v>
      </c>
      <c r="BI1727" s="104">
        <f>IF(N1727="nulová",J1727,0)</f>
        <v>0</v>
      </c>
      <c r="BJ1727" s="23" t="s">
        <v>85</v>
      </c>
      <c r="BK1727" s="104">
        <f>ROUND(I1727*H1727,2)</f>
        <v>0</v>
      </c>
      <c r="BL1727" s="23" t="s">
        <v>218</v>
      </c>
      <c r="BM1727" s="101" t="s">
        <v>2536</v>
      </c>
    </row>
    <row r="1728" spans="2:65" s="1" customFormat="1" ht="76.8">
      <c r="B1728" s="12"/>
      <c r="D1728" s="105" t="s">
        <v>227</v>
      </c>
      <c r="F1728" s="106" t="s">
        <v>2013</v>
      </c>
      <c r="I1728" s="107"/>
      <c r="L1728" s="12"/>
      <c r="M1728" s="108"/>
      <c r="T1728" s="111"/>
      <c r="AT1728" s="23" t="s">
        <v>227</v>
      </c>
      <c r="AU1728" s="23" t="s">
        <v>87</v>
      </c>
    </row>
    <row r="1729" spans="2:65" s="1" customFormat="1" ht="55.5" customHeight="1">
      <c r="B1729" s="12"/>
      <c r="C1729" s="71" t="s">
        <v>2537</v>
      </c>
      <c r="D1729" s="71" t="s">
        <v>214</v>
      </c>
      <c r="E1729" s="72" t="s">
        <v>1840</v>
      </c>
      <c r="F1729" s="73" t="s">
        <v>2538</v>
      </c>
      <c r="G1729" s="74" t="s">
        <v>808</v>
      </c>
      <c r="H1729" s="75">
        <v>1</v>
      </c>
      <c r="I1729" s="90"/>
      <c r="J1729" s="91">
        <f>ROUND(I1729*H1729,2)</f>
        <v>0</v>
      </c>
      <c r="K1729" s="92"/>
      <c r="L1729" s="12"/>
      <c r="M1729" s="93" t="s">
        <v>1</v>
      </c>
      <c r="N1729" s="94" t="s">
        <v>42</v>
      </c>
      <c r="P1729" s="95">
        <f>O1729*H1729</f>
        <v>0</v>
      </c>
      <c r="Q1729" s="95">
        <v>0</v>
      </c>
      <c r="R1729" s="95">
        <f>Q1729*H1729</f>
        <v>0</v>
      </c>
      <c r="S1729" s="95">
        <v>0</v>
      </c>
      <c r="T1729" s="99">
        <f>S1729*H1729</f>
        <v>0</v>
      </c>
      <c r="AR1729" s="101" t="s">
        <v>218</v>
      </c>
      <c r="AT1729" s="101" t="s">
        <v>214</v>
      </c>
      <c r="AU1729" s="101" t="s">
        <v>87</v>
      </c>
      <c r="AY1729" s="23" t="s">
        <v>211</v>
      </c>
      <c r="BE1729" s="104">
        <f>IF(N1729="základní",J1729,0)</f>
        <v>0</v>
      </c>
      <c r="BF1729" s="104">
        <f>IF(N1729="snížená",J1729,0)</f>
        <v>0</v>
      </c>
      <c r="BG1729" s="104">
        <f>IF(N1729="zákl. přenesená",J1729,0)</f>
        <v>0</v>
      </c>
      <c r="BH1729" s="104">
        <f>IF(N1729="sníž. přenesená",J1729,0)</f>
        <v>0</v>
      </c>
      <c r="BI1729" s="104">
        <f>IF(N1729="nulová",J1729,0)</f>
        <v>0</v>
      </c>
      <c r="BJ1729" s="23" t="s">
        <v>85</v>
      </c>
      <c r="BK1729" s="104">
        <f>ROUND(I1729*H1729,2)</f>
        <v>0</v>
      </c>
      <c r="BL1729" s="23" t="s">
        <v>218</v>
      </c>
      <c r="BM1729" s="101" t="s">
        <v>2539</v>
      </c>
    </row>
    <row r="1730" spans="2:65" s="1" customFormat="1" ht="67.2">
      <c r="B1730" s="12"/>
      <c r="D1730" s="105" t="s">
        <v>227</v>
      </c>
      <c r="F1730" s="106" t="s">
        <v>2018</v>
      </c>
      <c r="I1730" s="107"/>
      <c r="L1730" s="12"/>
      <c r="M1730" s="108"/>
      <c r="T1730" s="111"/>
      <c r="AT1730" s="23" t="s">
        <v>227</v>
      </c>
      <c r="AU1730" s="23" t="s">
        <v>87</v>
      </c>
    </row>
    <row r="1731" spans="2:65" s="1" customFormat="1" ht="55.5" customHeight="1">
      <c r="B1731" s="12"/>
      <c r="C1731" s="71" t="s">
        <v>2540</v>
      </c>
      <c r="D1731" s="71" t="s">
        <v>214</v>
      </c>
      <c r="E1731" s="72" t="s">
        <v>1844</v>
      </c>
      <c r="F1731" s="73" t="s">
        <v>2541</v>
      </c>
      <c r="G1731" s="74" t="s">
        <v>808</v>
      </c>
      <c r="H1731" s="75">
        <v>1</v>
      </c>
      <c r="I1731" s="90"/>
      <c r="J1731" s="91">
        <f>ROUND(I1731*H1731,2)</f>
        <v>0</v>
      </c>
      <c r="K1731" s="92"/>
      <c r="L1731" s="12"/>
      <c r="M1731" s="93" t="s">
        <v>1</v>
      </c>
      <c r="N1731" s="94" t="s">
        <v>42</v>
      </c>
      <c r="P1731" s="95">
        <f>O1731*H1731</f>
        <v>0</v>
      </c>
      <c r="Q1731" s="95">
        <v>0</v>
      </c>
      <c r="R1731" s="95">
        <f>Q1731*H1731</f>
        <v>0</v>
      </c>
      <c r="S1731" s="95">
        <v>0</v>
      </c>
      <c r="T1731" s="99">
        <f>S1731*H1731</f>
        <v>0</v>
      </c>
      <c r="AR1731" s="101" t="s">
        <v>218</v>
      </c>
      <c r="AT1731" s="101" t="s">
        <v>214</v>
      </c>
      <c r="AU1731" s="101" t="s">
        <v>87</v>
      </c>
      <c r="AY1731" s="23" t="s">
        <v>211</v>
      </c>
      <c r="BE1731" s="104">
        <f>IF(N1731="základní",J1731,0)</f>
        <v>0</v>
      </c>
      <c r="BF1731" s="104">
        <f>IF(N1731="snížená",J1731,0)</f>
        <v>0</v>
      </c>
      <c r="BG1731" s="104">
        <f>IF(N1731="zákl. přenesená",J1731,0)</f>
        <v>0</v>
      </c>
      <c r="BH1731" s="104">
        <f>IF(N1731="sníž. přenesená",J1731,0)</f>
        <v>0</v>
      </c>
      <c r="BI1731" s="104">
        <f>IF(N1731="nulová",J1731,0)</f>
        <v>0</v>
      </c>
      <c r="BJ1731" s="23" t="s">
        <v>85</v>
      </c>
      <c r="BK1731" s="104">
        <f>ROUND(I1731*H1731,2)</f>
        <v>0</v>
      </c>
      <c r="BL1731" s="23" t="s">
        <v>218</v>
      </c>
      <c r="BM1731" s="101" t="s">
        <v>2542</v>
      </c>
    </row>
    <row r="1732" spans="2:65" s="1" customFormat="1" ht="67.2">
      <c r="B1732" s="12"/>
      <c r="D1732" s="105" t="s">
        <v>227</v>
      </c>
      <c r="F1732" s="106" t="s">
        <v>2018</v>
      </c>
      <c r="I1732" s="107"/>
      <c r="L1732" s="12"/>
      <c r="M1732" s="108"/>
      <c r="T1732" s="111"/>
      <c r="AT1732" s="23" t="s">
        <v>227</v>
      </c>
      <c r="AU1732" s="23" t="s">
        <v>87</v>
      </c>
    </row>
    <row r="1733" spans="2:65" s="1" customFormat="1" ht="55.5" customHeight="1">
      <c r="B1733" s="12"/>
      <c r="C1733" s="71" t="s">
        <v>2543</v>
      </c>
      <c r="D1733" s="71" t="s">
        <v>214</v>
      </c>
      <c r="E1733" s="72" t="s">
        <v>1848</v>
      </c>
      <c r="F1733" s="73" t="s">
        <v>2544</v>
      </c>
      <c r="G1733" s="74" t="s">
        <v>808</v>
      </c>
      <c r="H1733" s="75">
        <v>1</v>
      </c>
      <c r="I1733" s="90"/>
      <c r="J1733" s="91">
        <f>ROUND(I1733*H1733,2)</f>
        <v>0</v>
      </c>
      <c r="K1733" s="92"/>
      <c r="L1733" s="12"/>
      <c r="M1733" s="93" t="s">
        <v>1</v>
      </c>
      <c r="N1733" s="94" t="s">
        <v>42</v>
      </c>
      <c r="P1733" s="95">
        <f>O1733*H1733</f>
        <v>0</v>
      </c>
      <c r="Q1733" s="95">
        <v>0</v>
      </c>
      <c r="R1733" s="95">
        <f>Q1733*H1733</f>
        <v>0</v>
      </c>
      <c r="S1733" s="95">
        <v>0</v>
      </c>
      <c r="T1733" s="99">
        <f>S1733*H1733</f>
        <v>0</v>
      </c>
      <c r="AR1733" s="101" t="s">
        <v>218</v>
      </c>
      <c r="AT1733" s="101" t="s">
        <v>214</v>
      </c>
      <c r="AU1733" s="101" t="s">
        <v>87</v>
      </c>
      <c r="AY1733" s="23" t="s">
        <v>211</v>
      </c>
      <c r="BE1733" s="104">
        <f>IF(N1733="základní",J1733,0)</f>
        <v>0</v>
      </c>
      <c r="BF1733" s="104">
        <f>IF(N1733="snížená",J1733,0)</f>
        <v>0</v>
      </c>
      <c r="BG1733" s="104">
        <f>IF(N1733="zákl. přenesená",J1733,0)</f>
        <v>0</v>
      </c>
      <c r="BH1733" s="104">
        <f>IF(N1733="sníž. přenesená",J1733,0)</f>
        <v>0</v>
      </c>
      <c r="BI1733" s="104">
        <f>IF(N1733="nulová",J1733,0)</f>
        <v>0</v>
      </c>
      <c r="BJ1733" s="23" t="s">
        <v>85</v>
      </c>
      <c r="BK1733" s="104">
        <f>ROUND(I1733*H1733,2)</f>
        <v>0</v>
      </c>
      <c r="BL1733" s="23" t="s">
        <v>218</v>
      </c>
      <c r="BM1733" s="101" t="s">
        <v>2545</v>
      </c>
    </row>
    <row r="1734" spans="2:65" s="1" customFormat="1" ht="67.2">
      <c r="B1734" s="12"/>
      <c r="D1734" s="105" t="s">
        <v>227</v>
      </c>
      <c r="F1734" s="106" t="s">
        <v>2023</v>
      </c>
      <c r="I1734" s="107"/>
      <c r="L1734" s="12"/>
      <c r="M1734" s="108"/>
      <c r="T1734" s="111"/>
      <c r="AT1734" s="23" t="s">
        <v>227</v>
      </c>
      <c r="AU1734" s="23" t="s">
        <v>87</v>
      </c>
    </row>
    <row r="1735" spans="2:65" s="1" customFormat="1" ht="55.5" customHeight="1">
      <c r="B1735" s="12"/>
      <c r="C1735" s="71" t="s">
        <v>2546</v>
      </c>
      <c r="D1735" s="71" t="s">
        <v>214</v>
      </c>
      <c r="E1735" s="72" t="s">
        <v>1852</v>
      </c>
      <c r="F1735" s="73" t="s">
        <v>2547</v>
      </c>
      <c r="G1735" s="74" t="s">
        <v>808</v>
      </c>
      <c r="H1735" s="75">
        <v>1</v>
      </c>
      <c r="I1735" s="90"/>
      <c r="J1735" s="91">
        <f>ROUND(I1735*H1735,2)</f>
        <v>0</v>
      </c>
      <c r="K1735" s="92"/>
      <c r="L1735" s="12"/>
      <c r="M1735" s="93" t="s">
        <v>1</v>
      </c>
      <c r="N1735" s="94" t="s">
        <v>42</v>
      </c>
      <c r="P1735" s="95">
        <f>O1735*H1735</f>
        <v>0</v>
      </c>
      <c r="Q1735" s="95">
        <v>0</v>
      </c>
      <c r="R1735" s="95">
        <f>Q1735*H1735</f>
        <v>0</v>
      </c>
      <c r="S1735" s="95">
        <v>0</v>
      </c>
      <c r="T1735" s="99">
        <f>S1735*H1735</f>
        <v>0</v>
      </c>
      <c r="AR1735" s="101" t="s">
        <v>218</v>
      </c>
      <c r="AT1735" s="101" t="s">
        <v>214</v>
      </c>
      <c r="AU1735" s="101" t="s">
        <v>87</v>
      </c>
      <c r="AY1735" s="23" t="s">
        <v>211</v>
      </c>
      <c r="BE1735" s="104">
        <f>IF(N1735="základní",J1735,0)</f>
        <v>0</v>
      </c>
      <c r="BF1735" s="104">
        <f>IF(N1735="snížená",J1735,0)</f>
        <v>0</v>
      </c>
      <c r="BG1735" s="104">
        <f>IF(N1735="zákl. přenesená",J1735,0)</f>
        <v>0</v>
      </c>
      <c r="BH1735" s="104">
        <f>IF(N1735="sníž. přenesená",J1735,0)</f>
        <v>0</v>
      </c>
      <c r="BI1735" s="104">
        <f>IF(N1735="nulová",J1735,0)</f>
        <v>0</v>
      </c>
      <c r="BJ1735" s="23" t="s">
        <v>85</v>
      </c>
      <c r="BK1735" s="104">
        <f>ROUND(I1735*H1735,2)</f>
        <v>0</v>
      </c>
      <c r="BL1735" s="23" t="s">
        <v>218</v>
      </c>
      <c r="BM1735" s="101" t="s">
        <v>2548</v>
      </c>
    </row>
    <row r="1736" spans="2:65" s="1" customFormat="1" ht="67.2">
      <c r="B1736" s="12"/>
      <c r="D1736" s="105" t="s">
        <v>227</v>
      </c>
      <c r="F1736" s="106" t="s">
        <v>2023</v>
      </c>
      <c r="I1736" s="107"/>
      <c r="L1736" s="12"/>
      <c r="M1736" s="108"/>
      <c r="T1736" s="111"/>
      <c r="AT1736" s="23" t="s">
        <v>227</v>
      </c>
      <c r="AU1736" s="23" t="s">
        <v>87</v>
      </c>
    </row>
    <row r="1737" spans="2:65" s="1" customFormat="1" ht="66.75" customHeight="1">
      <c r="B1737" s="12"/>
      <c r="C1737" s="71" t="s">
        <v>2549</v>
      </c>
      <c r="D1737" s="71" t="s">
        <v>214</v>
      </c>
      <c r="E1737" s="72" t="s">
        <v>1856</v>
      </c>
      <c r="F1737" s="73" t="s">
        <v>2550</v>
      </c>
      <c r="G1737" s="74" t="s">
        <v>808</v>
      </c>
      <c r="H1737" s="75">
        <v>1</v>
      </c>
      <c r="I1737" s="90"/>
      <c r="J1737" s="91">
        <f>ROUND(I1737*H1737,2)</f>
        <v>0</v>
      </c>
      <c r="K1737" s="92"/>
      <c r="L1737" s="12"/>
      <c r="M1737" s="93" t="s">
        <v>1</v>
      </c>
      <c r="N1737" s="94" t="s">
        <v>42</v>
      </c>
      <c r="P1737" s="95">
        <f>O1737*H1737</f>
        <v>0</v>
      </c>
      <c r="Q1737" s="95">
        <v>0</v>
      </c>
      <c r="R1737" s="95">
        <f>Q1737*H1737</f>
        <v>0</v>
      </c>
      <c r="S1737" s="95">
        <v>0</v>
      </c>
      <c r="T1737" s="99">
        <f>S1737*H1737</f>
        <v>0</v>
      </c>
      <c r="AR1737" s="101" t="s">
        <v>218</v>
      </c>
      <c r="AT1737" s="101" t="s">
        <v>214</v>
      </c>
      <c r="AU1737" s="101" t="s">
        <v>87</v>
      </c>
      <c r="AY1737" s="23" t="s">
        <v>211</v>
      </c>
      <c r="BE1737" s="104">
        <f>IF(N1737="základní",J1737,0)</f>
        <v>0</v>
      </c>
      <c r="BF1737" s="104">
        <f>IF(N1737="snížená",J1737,0)</f>
        <v>0</v>
      </c>
      <c r="BG1737" s="104">
        <f>IF(N1737="zákl. přenesená",J1737,0)</f>
        <v>0</v>
      </c>
      <c r="BH1737" s="104">
        <f>IF(N1737="sníž. přenesená",J1737,0)</f>
        <v>0</v>
      </c>
      <c r="BI1737" s="104">
        <f>IF(N1737="nulová",J1737,0)</f>
        <v>0</v>
      </c>
      <c r="BJ1737" s="23" t="s">
        <v>85</v>
      </c>
      <c r="BK1737" s="104">
        <f>ROUND(I1737*H1737,2)</f>
        <v>0</v>
      </c>
      <c r="BL1737" s="23" t="s">
        <v>218</v>
      </c>
      <c r="BM1737" s="101" t="s">
        <v>2551</v>
      </c>
    </row>
    <row r="1738" spans="2:65" s="1" customFormat="1" ht="76.8">
      <c r="B1738" s="12"/>
      <c r="D1738" s="105" t="s">
        <v>227</v>
      </c>
      <c r="F1738" s="106" t="s">
        <v>2028</v>
      </c>
      <c r="I1738" s="107"/>
      <c r="L1738" s="12"/>
      <c r="M1738" s="108"/>
      <c r="T1738" s="111"/>
      <c r="AT1738" s="23" t="s">
        <v>227</v>
      </c>
      <c r="AU1738" s="23" t="s">
        <v>87</v>
      </c>
    </row>
    <row r="1739" spans="2:65" s="1" customFormat="1" ht="66.75" customHeight="1">
      <c r="B1739" s="12"/>
      <c r="C1739" s="71" t="s">
        <v>2552</v>
      </c>
      <c r="D1739" s="71" t="s">
        <v>214</v>
      </c>
      <c r="E1739" s="72" t="s">
        <v>1860</v>
      </c>
      <c r="F1739" s="73" t="s">
        <v>2553</v>
      </c>
      <c r="G1739" s="74" t="s">
        <v>808</v>
      </c>
      <c r="H1739" s="75">
        <v>1</v>
      </c>
      <c r="I1739" s="90"/>
      <c r="J1739" s="91">
        <f>ROUND(I1739*H1739,2)</f>
        <v>0</v>
      </c>
      <c r="K1739" s="92"/>
      <c r="L1739" s="12"/>
      <c r="M1739" s="93" t="s">
        <v>1</v>
      </c>
      <c r="N1739" s="94" t="s">
        <v>42</v>
      </c>
      <c r="P1739" s="95">
        <f>O1739*H1739</f>
        <v>0</v>
      </c>
      <c r="Q1739" s="95">
        <v>0</v>
      </c>
      <c r="R1739" s="95">
        <f>Q1739*H1739</f>
        <v>0</v>
      </c>
      <c r="S1739" s="95">
        <v>0</v>
      </c>
      <c r="T1739" s="99">
        <f>S1739*H1739</f>
        <v>0</v>
      </c>
      <c r="AR1739" s="101" t="s">
        <v>218</v>
      </c>
      <c r="AT1739" s="101" t="s">
        <v>214</v>
      </c>
      <c r="AU1739" s="101" t="s">
        <v>87</v>
      </c>
      <c r="AY1739" s="23" t="s">
        <v>211</v>
      </c>
      <c r="BE1739" s="104">
        <f>IF(N1739="základní",J1739,0)</f>
        <v>0</v>
      </c>
      <c r="BF1739" s="104">
        <f>IF(N1739="snížená",J1739,0)</f>
        <v>0</v>
      </c>
      <c r="BG1739" s="104">
        <f>IF(N1739="zákl. přenesená",J1739,0)</f>
        <v>0</v>
      </c>
      <c r="BH1739" s="104">
        <f>IF(N1739="sníž. přenesená",J1739,0)</f>
        <v>0</v>
      </c>
      <c r="BI1739" s="104">
        <f>IF(N1739="nulová",J1739,0)</f>
        <v>0</v>
      </c>
      <c r="BJ1739" s="23" t="s">
        <v>85</v>
      </c>
      <c r="BK1739" s="104">
        <f>ROUND(I1739*H1739,2)</f>
        <v>0</v>
      </c>
      <c r="BL1739" s="23" t="s">
        <v>218</v>
      </c>
      <c r="BM1739" s="101" t="s">
        <v>2554</v>
      </c>
    </row>
    <row r="1740" spans="2:65" s="1" customFormat="1" ht="76.8">
      <c r="B1740" s="12"/>
      <c r="D1740" s="105" t="s">
        <v>227</v>
      </c>
      <c r="F1740" s="106" t="s">
        <v>2013</v>
      </c>
      <c r="I1740" s="107"/>
      <c r="L1740" s="12"/>
      <c r="M1740" s="108"/>
      <c r="T1740" s="111"/>
      <c r="AT1740" s="23" t="s">
        <v>227</v>
      </c>
      <c r="AU1740" s="23" t="s">
        <v>87</v>
      </c>
    </row>
    <row r="1741" spans="2:65" s="1" customFormat="1" ht="55.5" customHeight="1">
      <c r="B1741" s="12"/>
      <c r="C1741" s="71" t="s">
        <v>2555</v>
      </c>
      <c r="D1741" s="71" t="s">
        <v>214</v>
      </c>
      <c r="E1741" s="72" t="s">
        <v>1864</v>
      </c>
      <c r="F1741" s="73" t="s">
        <v>2556</v>
      </c>
      <c r="G1741" s="74" t="s">
        <v>808</v>
      </c>
      <c r="H1741" s="75">
        <v>1</v>
      </c>
      <c r="I1741" s="90"/>
      <c r="J1741" s="91">
        <f>ROUND(I1741*H1741,2)</f>
        <v>0</v>
      </c>
      <c r="K1741" s="92"/>
      <c r="L1741" s="12"/>
      <c r="M1741" s="93" t="s">
        <v>1</v>
      </c>
      <c r="N1741" s="94" t="s">
        <v>42</v>
      </c>
      <c r="P1741" s="95">
        <f>O1741*H1741</f>
        <v>0</v>
      </c>
      <c r="Q1741" s="95">
        <v>0</v>
      </c>
      <c r="R1741" s="95">
        <f>Q1741*H1741</f>
        <v>0</v>
      </c>
      <c r="S1741" s="95">
        <v>0</v>
      </c>
      <c r="T1741" s="99">
        <f>S1741*H1741</f>
        <v>0</v>
      </c>
      <c r="AR1741" s="101" t="s">
        <v>218</v>
      </c>
      <c r="AT1741" s="101" t="s">
        <v>214</v>
      </c>
      <c r="AU1741" s="101" t="s">
        <v>87</v>
      </c>
      <c r="AY1741" s="23" t="s">
        <v>211</v>
      </c>
      <c r="BE1741" s="104">
        <f>IF(N1741="základní",J1741,0)</f>
        <v>0</v>
      </c>
      <c r="BF1741" s="104">
        <f>IF(N1741="snížená",J1741,0)</f>
        <v>0</v>
      </c>
      <c r="BG1741" s="104">
        <f>IF(N1741="zákl. přenesená",J1741,0)</f>
        <v>0</v>
      </c>
      <c r="BH1741" s="104">
        <f>IF(N1741="sníž. přenesená",J1741,0)</f>
        <v>0</v>
      </c>
      <c r="BI1741" s="104">
        <f>IF(N1741="nulová",J1741,0)</f>
        <v>0</v>
      </c>
      <c r="BJ1741" s="23" t="s">
        <v>85</v>
      </c>
      <c r="BK1741" s="104">
        <f>ROUND(I1741*H1741,2)</f>
        <v>0</v>
      </c>
      <c r="BL1741" s="23" t="s">
        <v>218</v>
      </c>
      <c r="BM1741" s="101" t="s">
        <v>2557</v>
      </c>
    </row>
    <row r="1742" spans="2:65" s="1" customFormat="1" ht="67.2">
      <c r="B1742" s="12"/>
      <c r="D1742" s="105" t="s">
        <v>227</v>
      </c>
      <c r="F1742" s="106" t="s">
        <v>2033</v>
      </c>
      <c r="I1742" s="107"/>
      <c r="L1742" s="12"/>
      <c r="M1742" s="108"/>
      <c r="T1742" s="111"/>
      <c r="AT1742" s="23" t="s">
        <v>227</v>
      </c>
      <c r="AU1742" s="23" t="s">
        <v>87</v>
      </c>
    </row>
    <row r="1743" spans="2:65" s="1" customFormat="1" ht="55.5" customHeight="1">
      <c r="B1743" s="12"/>
      <c r="C1743" s="71" t="s">
        <v>2558</v>
      </c>
      <c r="D1743" s="71" t="s">
        <v>214</v>
      </c>
      <c r="E1743" s="72" t="s">
        <v>1868</v>
      </c>
      <c r="F1743" s="73" t="s">
        <v>2559</v>
      </c>
      <c r="G1743" s="74" t="s">
        <v>808</v>
      </c>
      <c r="H1743" s="75">
        <v>1</v>
      </c>
      <c r="I1743" s="90"/>
      <c r="J1743" s="91">
        <f>ROUND(I1743*H1743,2)</f>
        <v>0</v>
      </c>
      <c r="K1743" s="92"/>
      <c r="L1743" s="12"/>
      <c r="M1743" s="93" t="s">
        <v>1</v>
      </c>
      <c r="N1743" s="94" t="s">
        <v>42</v>
      </c>
      <c r="P1743" s="95">
        <f>O1743*H1743</f>
        <v>0</v>
      </c>
      <c r="Q1743" s="95">
        <v>0</v>
      </c>
      <c r="R1743" s="95">
        <f>Q1743*H1743</f>
        <v>0</v>
      </c>
      <c r="S1743" s="95">
        <v>0</v>
      </c>
      <c r="T1743" s="99">
        <f>S1743*H1743</f>
        <v>0</v>
      </c>
      <c r="AR1743" s="101" t="s">
        <v>218</v>
      </c>
      <c r="AT1743" s="101" t="s">
        <v>214</v>
      </c>
      <c r="AU1743" s="101" t="s">
        <v>87</v>
      </c>
      <c r="AY1743" s="23" t="s">
        <v>211</v>
      </c>
      <c r="BE1743" s="104">
        <f>IF(N1743="základní",J1743,0)</f>
        <v>0</v>
      </c>
      <c r="BF1743" s="104">
        <f>IF(N1743="snížená",J1743,0)</f>
        <v>0</v>
      </c>
      <c r="BG1743" s="104">
        <f>IF(N1743="zákl. přenesená",J1743,0)</f>
        <v>0</v>
      </c>
      <c r="BH1743" s="104">
        <f>IF(N1743="sníž. přenesená",J1743,0)</f>
        <v>0</v>
      </c>
      <c r="BI1743" s="104">
        <f>IF(N1743="nulová",J1743,0)</f>
        <v>0</v>
      </c>
      <c r="BJ1743" s="23" t="s">
        <v>85</v>
      </c>
      <c r="BK1743" s="104">
        <f>ROUND(I1743*H1743,2)</f>
        <v>0</v>
      </c>
      <c r="BL1743" s="23" t="s">
        <v>218</v>
      </c>
      <c r="BM1743" s="101" t="s">
        <v>2560</v>
      </c>
    </row>
    <row r="1744" spans="2:65" s="1" customFormat="1" ht="67.2">
      <c r="B1744" s="12"/>
      <c r="D1744" s="105" t="s">
        <v>227</v>
      </c>
      <c r="F1744" s="106" t="s">
        <v>2018</v>
      </c>
      <c r="I1744" s="107"/>
      <c r="L1744" s="12"/>
      <c r="M1744" s="108"/>
      <c r="T1744" s="111"/>
      <c r="AT1744" s="23" t="s">
        <v>227</v>
      </c>
      <c r="AU1744" s="23" t="s">
        <v>87</v>
      </c>
    </row>
    <row r="1745" spans="2:65" s="1" customFormat="1" ht="55.5" customHeight="1">
      <c r="B1745" s="12"/>
      <c r="C1745" s="71" t="s">
        <v>2561</v>
      </c>
      <c r="D1745" s="71" t="s">
        <v>214</v>
      </c>
      <c r="E1745" s="72" t="s">
        <v>1872</v>
      </c>
      <c r="F1745" s="73" t="s">
        <v>2562</v>
      </c>
      <c r="G1745" s="74" t="s">
        <v>808</v>
      </c>
      <c r="H1745" s="75">
        <v>1</v>
      </c>
      <c r="I1745" s="90"/>
      <c r="J1745" s="91">
        <f>ROUND(I1745*H1745,2)</f>
        <v>0</v>
      </c>
      <c r="K1745" s="92"/>
      <c r="L1745" s="12"/>
      <c r="M1745" s="93" t="s">
        <v>1</v>
      </c>
      <c r="N1745" s="94" t="s">
        <v>42</v>
      </c>
      <c r="P1745" s="95">
        <f>O1745*H1745</f>
        <v>0</v>
      </c>
      <c r="Q1745" s="95">
        <v>0</v>
      </c>
      <c r="R1745" s="95">
        <f>Q1745*H1745</f>
        <v>0</v>
      </c>
      <c r="S1745" s="95">
        <v>0</v>
      </c>
      <c r="T1745" s="99">
        <f>S1745*H1745</f>
        <v>0</v>
      </c>
      <c r="AR1745" s="101" t="s">
        <v>218</v>
      </c>
      <c r="AT1745" s="101" t="s">
        <v>214</v>
      </c>
      <c r="AU1745" s="101" t="s">
        <v>87</v>
      </c>
      <c r="AY1745" s="23" t="s">
        <v>211</v>
      </c>
      <c r="BE1745" s="104">
        <f>IF(N1745="základní",J1745,0)</f>
        <v>0</v>
      </c>
      <c r="BF1745" s="104">
        <f>IF(N1745="snížená",J1745,0)</f>
        <v>0</v>
      </c>
      <c r="BG1745" s="104">
        <f>IF(N1745="zákl. přenesená",J1745,0)</f>
        <v>0</v>
      </c>
      <c r="BH1745" s="104">
        <f>IF(N1745="sníž. přenesená",J1745,0)</f>
        <v>0</v>
      </c>
      <c r="BI1745" s="104">
        <f>IF(N1745="nulová",J1745,0)</f>
        <v>0</v>
      </c>
      <c r="BJ1745" s="23" t="s">
        <v>85</v>
      </c>
      <c r="BK1745" s="104">
        <f>ROUND(I1745*H1745,2)</f>
        <v>0</v>
      </c>
      <c r="BL1745" s="23" t="s">
        <v>218</v>
      </c>
      <c r="BM1745" s="101" t="s">
        <v>2563</v>
      </c>
    </row>
    <row r="1746" spans="2:65" s="1" customFormat="1" ht="67.2">
      <c r="B1746" s="12"/>
      <c r="D1746" s="105" t="s">
        <v>227</v>
      </c>
      <c r="F1746" s="106" t="s">
        <v>2018</v>
      </c>
      <c r="I1746" s="107"/>
      <c r="L1746" s="12"/>
      <c r="M1746" s="108"/>
      <c r="T1746" s="111"/>
      <c r="AT1746" s="23" t="s">
        <v>227</v>
      </c>
      <c r="AU1746" s="23" t="s">
        <v>87</v>
      </c>
    </row>
    <row r="1747" spans="2:65" s="1" customFormat="1" ht="55.5" customHeight="1">
      <c r="B1747" s="12"/>
      <c r="C1747" s="71" t="s">
        <v>2564</v>
      </c>
      <c r="D1747" s="71" t="s">
        <v>214</v>
      </c>
      <c r="E1747" s="72" t="s">
        <v>1876</v>
      </c>
      <c r="F1747" s="73" t="s">
        <v>2565</v>
      </c>
      <c r="G1747" s="74" t="s">
        <v>808</v>
      </c>
      <c r="H1747" s="75">
        <v>1</v>
      </c>
      <c r="I1747" s="90"/>
      <c r="J1747" s="91">
        <f>ROUND(I1747*H1747,2)</f>
        <v>0</v>
      </c>
      <c r="K1747" s="92"/>
      <c r="L1747" s="12"/>
      <c r="M1747" s="93" t="s">
        <v>1</v>
      </c>
      <c r="N1747" s="94" t="s">
        <v>42</v>
      </c>
      <c r="P1747" s="95">
        <f>O1747*H1747</f>
        <v>0</v>
      </c>
      <c r="Q1747" s="95">
        <v>0</v>
      </c>
      <c r="R1747" s="95">
        <f>Q1747*H1747</f>
        <v>0</v>
      </c>
      <c r="S1747" s="95">
        <v>0</v>
      </c>
      <c r="T1747" s="99">
        <f>S1747*H1747</f>
        <v>0</v>
      </c>
      <c r="AR1747" s="101" t="s">
        <v>218</v>
      </c>
      <c r="AT1747" s="101" t="s">
        <v>214</v>
      </c>
      <c r="AU1747" s="101" t="s">
        <v>87</v>
      </c>
      <c r="AY1747" s="23" t="s">
        <v>211</v>
      </c>
      <c r="BE1747" s="104">
        <f>IF(N1747="základní",J1747,0)</f>
        <v>0</v>
      </c>
      <c r="BF1747" s="104">
        <f>IF(N1747="snížená",J1747,0)</f>
        <v>0</v>
      </c>
      <c r="BG1747" s="104">
        <f>IF(N1747="zákl. přenesená",J1747,0)</f>
        <v>0</v>
      </c>
      <c r="BH1747" s="104">
        <f>IF(N1747="sníž. přenesená",J1747,0)</f>
        <v>0</v>
      </c>
      <c r="BI1747" s="104">
        <f>IF(N1747="nulová",J1747,0)</f>
        <v>0</v>
      </c>
      <c r="BJ1747" s="23" t="s">
        <v>85</v>
      </c>
      <c r="BK1747" s="104">
        <f>ROUND(I1747*H1747,2)</f>
        <v>0</v>
      </c>
      <c r="BL1747" s="23" t="s">
        <v>218</v>
      </c>
      <c r="BM1747" s="101" t="s">
        <v>2566</v>
      </c>
    </row>
    <row r="1748" spans="2:65" s="1" customFormat="1" ht="67.2">
      <c r="B1748" s="12"/>
      <c r="D1748" s="105" t="s">
        <v>227</v>
      </c>
      <c r="F1748" s="106" t="s">
        <v>2023</v>
      </c>
      <c r="I1748" s="107"/>
      <c r="L1748" s="12"/>
      <c r="M1748" s="108"/>
      <c r="T1748" s="111"/>
      <c r="AT1748" s="23" t="s">
        <v>227</v>
      </c>
      <c r="AU1748" s="23" t="s">
        <v>87</v>
      </c>
    </row>
    <row r="1749" spans="2:65" s="1" customFormat="1" ht="55.5" customHeight="1">
      <c r="B1749" s="12"/>
      <c r="C1749" s="71" t="s">
        <v>2567</v>
      </c>
      <c r="D1749" s="71" t="s">
        <v>214</v>
      </c>
      <c r="E1749" s="72" t="s">
        <v>1880</v>
      </c>
      <c r="F1749" s="73" t="s">
        <v>2568</v>
      </c>
      <c r="G1749" s="74" t="s">
        <v>808</v>
      </c>
      <c r="H1749" s="75">
        <v>1</v>
      </c>
      <c r="I1749" s="90"/>
      <c r="J1749" s="91">
        <f>ROUND(I1749*H1749,2)</f>
        <v>0</v>
      </c>
      <c r="K1749" s="92"/>
      <c r="L1749" s="12"/>
      <c r="M1749" s="93" t="s">
        <v>1</v>
      </c>
      <c r="N1749" s="94" t="s">
        <v>42</v>
      </c>
      <c r="P1749" s="95">
        <f>O1749*H1749</f>
        <v>0</v>
      </c>
      <c r="Q1749" s="95">
        <v>0</v>
      </c>
      <c r="R1749" s="95">
        <f>Q1749*H1749</f>
        <v>0</v>
      </c>
      <c r="S1749" s="95">
        <v>0</v>
      </c>
      <c r="T1749" s="99">
        <f>S1749*H1749</f>
        <v>0</v>
      </c>
      <c r="AR1749" s="101" t="s">
        <v>218</v>
      </c>
      <c r="AT1749" s="101" t="s">
        <v>214</v>
      </c>
      <c r="AU1749" s="101" t="s">
        <v>87</v>
      </c>
      <c r="AY1749" s="23" t="s">
        <v>211</v>
      </c>
      <c r="BE1749" s="104">
        <f>IF(N1749="základní",J1749,0)</f>
        <v>0</v>
      </c>
      <c r="BF1749" s="104">
        <f>IF(N1749="snížená",J1749,0)</f>
        <v>0</v>
      </c>
      <c r="BG1749" s="104">
        <f>IF(N1749="zákl. přenesená",J1749,0)</f>
        <v>0</v>
      </c>
      <c r="BH1749" s="104">
        <f>IF(N1749="sníž. přenesená",J1749,0)</f>
        <v>0</v>
      </c>
      <c r="BI1749" s="104">
        <f>IF(N1749="nulová",J1749,0)</f>
        <v>0</v>
      </c>
      <c r="BJ1749" s="23" t="s">
        <v>85</v>
      </c>
      <c r="BK1749" s="104">
        <f>ROUND(I1749*H1749,2)</f>
        <v>0</v>
      </c>
      <c r="BL1749" s="23" t="s">
        <v>218</v>
      </c>
      <c r="BM1749" s="101" t="s">
        <v>2569</v>
      </c>
    </row>
    <row r="1750" spans="2:65" s="1" customFormat="1" ht="67.2">
      <c r="B1750" s="12"/>
      <c r="D1750" s="105" t="s">
        <v>227</v>
      </c>
      <c r="F1750" s="106" t="s">
        <v>2023</v>
      </c>
      <c r="I1750" s="107"/>
      <c r="L1750" s="12"/>
      <c r="M1750" s="108"/>
      <c r="T1750" s="111"/>
      <c r="AT1750" s="23" t="s">
        <v>227</v>
      </c>
      <c r="AU1750" s="23" t="s">
        <v>87</v>
      </c>
    </row>
    <row r="1751" spans="2:65" s="1" customFormat="1" ht="66.75" customHeight="1">
      <c r="B1751" s="12"/>
      <c r="C1751" s="71" t="s">
        <v>2570</v>
      </c>
      <c r="D1751" s="71" t="s">
        <v>214</v>
      </c>
      <c r="E1751" s="72" t="s">
        <v>1884</v>
      </c>
      <c r="F1751" s="73" t="s">
        <v>2571</v>
      </c>
      <c r="G1751" s="74" t="s">
        <v>808</v>
      </c>
      <c r="H1751" s="75">
        <v>1</v>
      </c>
      <c r="I1751" s="90"/>
      <c r="J1751" s="91">
        <f>ROUND(I1751*H1751,2)</f>
        <v>0</v>
      </c>
      <c r="K1751" s="92"/>
      <c r="L1751" s="12"/>
      <c r="M1751" s="93" t="s">
        <v>1</v>
      </c>
      <c r="N1751" s="94" t="s">
        <v>42</v>
      </c>
      <c r="P1751" s="95">
        <f>O1751*H1751</f>
        <v>0</v>
      </c>
      <c r="Q1751" s="95">
        <v>0</v>
      </c>
      <c r="R1751" s="95">
        <f>Q1751*H1751</f>
        <v>0</v>
      </c>
      <c r="S1751" s="95">
        <v>0</v>
      </c>
      <c r="T1751" s="99">
        <f>S1751*H1751</f>
        <v>0</v>
      </c>
      <c r="AR1751" s="101" t="s">
        <v>218</v>
      </c>
      <c r="AT1751" s="101" t="s">
        <v>214</v>
      </c>
      <c r="AU1751" s="101" t="s">
        <v>87</v>
      </c>
      <c r="AY1751" s="23" t="s">
        <v>211</v>
      </c>
      <c r="BE1751" s="104">
        <f>IF(N1751="základní",J1751,0)</f>
        <v>0</v>
      </c>
      <c r="BF1751" s="104">
        <f>IF(N1751="snížená",J1751,0)</f>
        <v>0</v>
      </c>
      <c r="BG1751" s="104">
        <f>IF(N1751="zákl. přenesená",J1751,0)</f>
        <v>0</v>
      </c>
      <c r="BH1751" s="104">
        <f>IF(N1751="sníž. přenesená",J1751,0)</f>
        <v>0</v>
      </c>
      <c r="BI1751" s="104">
        <f>IF(N1751="nulová",J1751,0)</f>
        <v>0</v>
      </c>
      <c r="BJ1751" s="23" t="s">
        <v>85</v>
      </c>
      <c r="BK1751" s="104">
        <f>ROUND(I1751*H1751,2)</f>
        <v>0</v>
      </c>
      <c r="BL1751" s="23" t="s">
        <v>218</v>
      </c>
      <c r="BM1751" s="101" t="s">
        <v>2572</v>
      </c>
    </row>
    <row r="1752" spans="2:65" s="1" customFormat="1" ht="76.8">
      <c r="B1752" s="12"/>
      <c r="D1752" s="105" t="s">
        <v>227</v>
      </c>
      <c r="F1752" s="106" t="s">
        <v>2028</v>
      </c>
      <c r="I1752" s="107"/>
      <c r="L1752" s="12"/>
      <c r="M1752" s="108"/>
      <c r="T1752" s="111"/>
      <c r="AT1752" s="23" t="s">
        <v>227</v>
      </c>
      <c r="AU1752" s="23" t="s">
        <v>87</v>
      </c>
    </row>
    <row r="1753" spans="2:65" s="1" customFormat="1" ht="55.5" customHeight="1">
      <c r="B1753" s="12"/>
      <c r="C1753" s="71" t="s">
        <v>2573</v>
      </c>
      <c r="D1753" s="71" t="s">
        <v>214</v>
      </c>
      <c r="E1753" s="72" t="s">
        <v>1892</v>
      </c>
      <c r="F1753" s="73" t="s">
        <v>2574</v>
      </c>
      <c r="G1753" s="74" t="s">
        <v>808</v>
      </c>
      <c r="H1753" s="75">
        <v>1</v>
      </c>
      <c r="I1753" s="90"/>
      <c r="J1753" s="91">
        <f>ROUND(I1753*H1753,2)</f>
        <v>0</v>
      </c>
      <c r="K1753" s="92"/>
      <c r="L1753" s="12"/>
      <c r="M1753" s="93" t="s">
        <v>1</v>
      </c>
      <c r="N1753" s="94" t="s">
        <v>42</v>
      </c>
      <c r="P1753" s="95">
        <f>O1753*H1753</f>
        <v>0</v>
      </c>
      <c r="Q1753" s="95">
        <v>0</v>
      </c>
      <c r="R1753" s="95">
        <f>Q1753*H1753</f>
        <v>0</v>
      </c>
      <c r="S1753" s="95">
        <v>0</v>
      </c>
      <c r="T1753" s="99">
        <f>S1753*H1753</f>
        <v>0</v>
      </c>
      <c r="AR1753" s="101" t="s">
        <v>218</v>
      </c>
      <c r="AT1753" s="101" t="s">
        <v>214</v>
      </c>
      <c r="AU1753" s="101" t="s">
        <v>87</v>
      </c>
      <c r="AY1753" s="23" t="s">
        <v>211</v>
      </c>
      <c r="BE1753" s="104">
        <f>IF(N1753="základní",J1753,0)</f>
        <v>0</v>
      </c>
      <c r="BF1753" s="104">
        <f>IF(N1753="snížená",J1753,0)</f>
        <v>0</v>
      </c>
      <c r="BG1753" s="104">
        <f>IF(N1753="zákl. přenesená",J1753,0)</f>
        <v>0</v>
      </c>
      <c r="BH1753" s="104">
        <f>IF(N1753="sníž. přenesená",J1753,0)</f>
        <v>0</v>
      </c>
      <c r="BI1753" s="104">
        <f>IF(N1753="nulová",J1753,0)</f>
        <v>0</v>
      </c>
      <c r="BJ1753" s="23" t="s">
        <v>85</v>
      </c>
      <c r="BK1753" s="104">
        <f>ROUND(I1753*H1753,2)</f>
        <v>0</v>
      </c>
      <c r="BL1753" s="23" t="s">
        <v>218</v>
      </c>
      <c r="BM1753" s="101" t="s">
        <v>2575</v>
      </c>
    </row>
    <row r="1754" spans="2:65" s="1" customFormat="1" ht="67.2">
      <c r="B1754" s="12"/>
      <c r="D1754" s="105" t="s">
        <v>227</v>
      </c>
      <c r="F1754" s="106" t="s">
        <v>2023</v>
      </c>
      <c r="I1754" s="107"/>
      <c r="L1754" s="12"/>
      <c r="M1754" s="108"/>
      <c r="T1754" s="111"/>
      <c r="AT1754" s="23" t="s">
        <v>227</v>
      </c>
      <c r="AU1754" s="23" t="s">
        <v>87</v>
      </c>
    </row>
    <row r="1755" spans="2:65" s="1" customFormat="1" ht="55.5" customHeight="1">
      <c r="B1755" s="12"/>
      <c r="C1755" s="71" t="s">
        <v>2576</v>
      </c>
      <c r="D1755" s="71" t="s">
        <v>214</v>
      </c>
      <c r="E1755" s="72" t="s">
        <v>1896</v>
      </c>
      <c r="F1755" s="73" t="s">
        <v>2577</v>
      </c>
      <c r="G1755" s="74" t="s">
        <v>808</v>
      </c>
      <c r="H1755" s="75">
        <v>1</v>
      </c>
      <c r="I1755" s="90"/>
      <c r="J1755" s="91">
        <f>ROUND(I1755*H1755,2)</f>
        <v>0</v>
      </c>
      <c r="K1755" s="92"/>
      <c r="L1755" s="12"/>
      <c r="M1755" s="93" t="s">
        <v>1</v>
      </c>
      <c r="N1755" s="94" t="s">
        <v>42</v>
      </c>
      <c r="P1755" s="95">
        <f>O1755*H1755</f>
        <v>0</v>
      </c>
      <c r="Q1755" s="95">
        <v>0</v>
      </c>
      <c r="R1755" s="95">
        <f>Q1755*H1755</f>
        <v>0</v>
      </c>
      <c r="S1755" s="95">
        <v>0</v>
      </c>
      <c r="T1755" s="99">
        <f>S1755*H1755</f>
        <v>0</v>
      </c>
      <c r="AR1755" s="101" t="s">
        <v>218</v>
      </c>
      <c r="AT1755" s="101" t="s">
        <v>214</v>
      </c>
      <c r="AU1755" s="101" t="s">
        <v>87</v>
      </c>
      <c r="AY1755" s="23" t="s">
        <v>211</v>
      </c>
      <c r="BE1755" s="104">
        <f>IF(N1755="základní",J1755,0)</f>
        <v>0</v>
      </c>
      <c r="BF1755" s="104">
        <f>IF(N1755="snížená",J1755,0)</f>
        <v>0</v>
      </c>
      <c r="BG1755" s="104">
        <f>IF(N1755="zákl. přenesená",J1755,0)</f>
        <v>0</v>
      </c>
      <c r="BH1755" s="104">
        <f>IF(N1755="sníž. přenesená",J1755,0)</f>
        <v>0</v>
      </c>
      <c r="BI1755" s="104">
        <f>IF(N1755="nulová",J1755,0)</f>
        <v>0</v>
      </c>
      <c r="BJ1755" s="23" t="s">
        <v>85</v>
      </c>
      <c r="BK1755" s="104">
        <f>ROUND(I1755*H1755,2)</f>
        <v>0</v>
      </c>
      <c r="BL1755" s="23" t="s">
        <v>218</v>
      </c>
      <c r="BM1755" s="101" t="s">
        <v>2578</v>
      </c>
    </row>
    <row r="1756" spans="2:65" s="1" customFormat="1" ht="67.2">
      <c r="B1756" s="12"/>
      <c r="D1756" s="105" t="s">
        <v>227</v>
      </c>
      <c r="F1756" s="106" t="s">
        <v>2313</v>
      </c>
      <c r="I1756" s="107"/>
      <c r="L1756" s="12"/>
      <c r="M1756" s="108"/>
      <c r="T1756" s="111"/>
      <c r="AT1756" s="23" t="s">
        <v>227</v>
      </c>
      <c r="AU1756" s="23" t="s">
        <v>87</v>
      </c>
    </row>
    <row r="1757" spans="2:65" s="1" customFormat="1" ht="55.5" customHeight="1">
      <c r="B1757" s="12"/>
      <c r="C1757" s="71" t="s">
        <v>2579</v>
      </c>
      <c r="D1757" s="71" t="s">
        <v>214</v>
      </c>
      <c r="E1757" s="72" t="s">
        <v>1900</v>
      </c>
      <c r="F1757" s="73" t="s">
        <v>2580</v>
      </c>
      <c r="G1757" s="74" t="s">
        <v>808</v>
      </c>
      <c r="H1757" s="75">
        <v>1</v>
      </c>
      <c r="I1757" s="90"/>
      <c r="J1757" s="91">
        <f>ROUND(I1757*H1757,2)</f>
        <v>0</v>
      </c>
      <c r="K1757" s="92"/>
      <c r="L1757" s="12"/>
      <c r="M1757" s="93" t="s">
        <v>1</v>
      </c>
      <c r="N1757" s="94" t="s">
        <v>42</v>
      </c>
      <c r="P1757" s="95">
        <f>O1757*H1757</f>
        <v>0</v>
      </c>
      <c r="Q1757" s="95">
        <v>0</v>
      </c>
      <c r="R1757" s="95">
        <f>Q1757*H1757</f>
        <v>0</v>
      </c>
      <c r="S1757" s="95">
        <v>0</v>
      </c>
      <c r="T1757" s="99">
        <f>S1757*H1757</f>
        <v>0</v>
      </c>
      <c r="AR1757" s="101" t="s">
        <v>218</v>
      </c>
      <c r="AT1757" s="101" t="s">
        <v>214</v>
      </c>
      <c r="AU1757" s="101" t="s">
        <v>87</v>
      </c>
      <c r="AY1757" s="23" t="s">
        <v>211</v>
      </c>
      <c r="BE1757" s="104">
        <f>IF(N1757="základní",J1757,0)</f>
        <v>0</v>
      </c>
      <c r="BF1757" s="104">
        <f>IF(N1757="snížená",J1757,0)</f>
        <v>0</v>
      </c>
      <c r="BG1757" s="104">
        <f>IF(N1757="zákl. přenesená",J1757,0)</f>
        <v>0</v>
      </c>
      <c r="BH1757" s="104">
        <f>IF(N1757="sníž. přenesená",J1757,0)</f>
        <v>0</v>
      </c>
      <c r="BI1757" s="104">
        <f>IF(N1757="nulová",J1757,0)</f>
        <v>0</v>
      </c>
      <c r="BJ1757" s="23" t="s">
        <v>85</v>
      </c>
      <c r="BK1757" s="104">
        <f>ROUND(I1757*H1757,2)</f>
        <v>0</v>
      </c>
      <c r="BL1757" s="23" t="s">
        <v>218</v>
      </c>
      <c r="BM1757" s="101" t="s">
        <v>2581</v>
      </c>
    </row>
    <row r="1758" spans="2:65" s="1" customFormat="1" ht="67.2">
      <c r="B1758" s="12"/>
      <c r="D1758" s="105" t="s">
        <v>227</v>
      </c>
      <c r="F1758" s="106" t="s">
        <v>2018</v>
      </c>
      <c r="I1758" s="107"/>
      <c r="L1758" s="12"/>
      <c r="M1758" s="108"/>
      <c r="T1758" s="111"/>
      <c r="AT1758" s="23" t="s">
        <v>227</v>
      </c>
      <c r="AU1758" s="23" t="s">
        <v>87</v>
      </c>
    </row>
    <row r="1759" spans="2:65" s="1" customFormat="1" ht="55.5" customHeight="1">
      <c r="B1759" s="12"/>
      <c r="C1759" s="71" t="s">
        <v>2582</v>
      </c>
      <c r="D1759" s="71" t="s">
        <v>214</v>
      </c>
      <c r="E1759" s="72" t="s">
        <v>1904</v>
      </c>
      <c r="F1759" s="73" t="s">
        <v>2583</v>
      </c>
      <c r="G1759" s="74" t="s">
        <v>808</v>
      </c>
      <c r="H1759" s="75">
        <v>1</v>
      </c>
      <c r="I1759" s="90"/>
      <c r="J1759" s="91">
        <f>ROUND(I1759*H1759,2)</f>
        <v>0</v>
      </c>
      <c r="K1759" s="92"/>
      <c r="L1759" s="12"/>
      <c r="M1759" s="93" t="s">
        <v>1</v>
      </c>
      <c r="N1759" s="94" t="s">
        <v>42</v>
      </c>
      <c r="P1759" s="95">
        <f>O1759*H1759</f>
        <v>0</v>
      </c>
      <c r="Q1759" s="95">
        <v>0</v>
      </c>
      <c r="R1759" s="95">
        <f>Q1759*H1759</f>
        <v>0</v>
      </c>
      <c r="S1759" s="95">
        <v>0</v>
      </c>
      <c r="T1759" s="99">
        <f>S1759*H1759</f>
        <v>0</v>
      </c>
      <c r="AR1759" s="101" t="s">
        <v>218</v>
      </c>
      <c r="AT1759" s="101" t="s">
        <v>214</v>
      </c>
      <c r="AU1759" s="101" t="s">
        <v>87</v>
      </c>
      <c r="AY1759" s="23" t="s">
        <v>211</v>
      </c>
      <c r="BE1759" s="104">
        <f>IF(N1759="základní",J1759,0)</f>
        <v>0</v>
      </c>
      <c r="BF1759" s="104">
        <f>IF(N1759="snížená",J1759,0)</f>
        <v>0</v>
      </c>
      <c r="BG1759" s="104">
        <f>IF(N1759="zákl. přenesená",J1759,0)</f>
        <v>0</v>
      </c>
      <c r="BH1759" s="104">
        <f>IF(N1759="sníž. přenesená",J1759,0)</f>
        <v>0</v>
      </c>
      <c r="BI1759" s="104">
        <f>IF(N1759="nulová",J1759,0)</f>
        <v>0</v>
      </c>
      <c r="BJ1759" s="23" t="s">
        <v>85</v>
      </c>
      <c r="BK1759" s="104">
        <f>ROUND(I1759*H1759,2)</f>
        <v>0</v>
      </c>
      <c r="BL1759" s="23" t="s">
        <v>218</v>
      </c>
      <c r="BM1759" s="101" t="s">
        <v>2584</v>
      </c>
    </row>
    <row r="1760" spans="2:65" s="1" customFormat="1" ht="67.2">
      <c r="B1760" s="12"/>
      <c r="D1760" s="105" t="s">
        <v>227</v>
      </c>
      <c r="F1760" s="106" t="s">
        <v>2585</v>
      </c>
      <c r="I1760" s="107"/>
      <c r="L1760" s="12"/>
      <c r="M1760" s="108"/>
      <c r="T1760" s="111"/>
      <c r="AT1760" s="23" t="s">
        <v>227</v>
      </c>
      <c r="AU1760" s="23" t="s">
        <v>87</v>
      </c>
    </row>
    <row r="1761" spans="2:65" s="1" customFormat="1" ht="66.75" customHeight="1">
      <c r="B1761" s="12"/>
      <c r="C1761" s="71" t="s">
        <v>2586</v>
      </c>
      <c r="D1761" s="71" t="s">
        <v>214</v>
      </c>
      <c r="E1761" s="72" t="s">
        <v>1908</v>
      </c>
      <c r="F1761" s="73" t="s">
        <v>2587</v>
      </c>
      <c r="G1761" s="74" t="s">
        <v>808</v>
      </c>
      <c r="H1761" s="75">
        <v>1</v>
      </c>
      <c r="I1761" s="90"/>
      <c r="J1761" s="91">
        <f>ROUND(I1761*H1761,2)</f>
        <v>0</v>
      </c>
      <c r="K1761" s="92"/>
      <c r="L1761" s="12"/>
      <c r="M1761" s="93" t="s">
        <v>1</v>
      </c>
      <c r="N1761" s="94" t="s">
        <v>42</v>
      </c>
      <c r="P1761" s="95">
        <f>O1761*H1761</f>
        <v>0</v>
      </c>
      <c r="Q1761" s="95">
        <v>0</v>
      </c>
      <c r="R1761" s="95">
        <f>Q1761*H1761</f>
        <v>0</v>
      </c>
      <c r="S1761" s="95">
        <v>0</v>
      </c>
      <c r="T1761" s="99">
        <f>S1761*H1761</f>
        <v>0</v>
      </c>
      <c r="AR1761" s="101" t="s">
        <v>218</v>
      </c>
      <c r="AT1761" s="101" t="s">
        <v>214</v>
      </c>
      <c r="AU1761" s="101" t="s">
        <v>87</v>
      </c>
      <c r="AY1761" s="23" t="s">
        <v>211</v>
      </c>
      <c r="BE1761" s="104">
        <f>IF(N1761="základní",J1761,0)</f>
        <v>0</v>
      </c>
      <c r="BF1761" s="104">
        <f>IF(N1761="snížená",J1761,0)</f>
        <v>0</v>
      </c>
      <c r="BG1761" s="104">
        <f>IF(N1761="zákl. přenesená",J1761,0)</f>
        <v>0</v>
      </c>
      <c r="BH1761" s="104">
        <f>IF(N1761="sníž. přenesená",J1761,0)</f>
        <v>0</v>
      </c>
      <c r="BI1761" s="104">
        <f>IF(N1761="nulová",J1761,0)</f>
        <v>0</v>
      </c>
      <c r="BJ1761" s="23" t="s">
        <v>85</v>
      </c>
      <c r="BK1761" s="104">
        <f>ROUND(I1761*H1761,2)</f>
        <v>0</v>
      </c>
      <c r="BL1761" s="23" t="s">
        <v>218</v>
      </c>
      <c r="BM1761" s="101" t="s">
        <v>2588</v>
      </c>
    </row>
    <row r="1762" spans="2:65" s="1" customFormat="1" ht="76.8">
      <c r="B1762" s="12"/>
      <c r="D1762" s="105" t="s">
        <v>227</v>
      </c>
      <c r="F1762" s="106" t="s">
        <v>2013</v>
      </c>
      <c r="I1762" s="107"/>
      <c r="L1762" s="12"/>
      <c r="M1762" s="108"/>
      <c r="T1762" s="111"/>
      <c r="AT1762" s="23" t="s">
        <v>227</v>
      </c>
      <c r="AU1762" s="23" t="s">
        <v>87</v>
      </c>
    </row>
    <row r="1763" spans="2:65" s="1" customFormat="1" ht="55.5" customHeight="1">
      <c r="B1763" s="12"/>
      <c r="C1763" s="71" t="s">
        <v>2589</v>
      </c>
      <c r="D1763" s="71" t="s">
        <v>214</v>
      </c>
      <c r="E1763" s="72" t="s">
        <v>1912</v>
      </c>
      <c r="F1763" s="73" t="s">
        <v>2590</v>
      </c>
      <c r="G1763" s="74" t="s">
        <v>808</v>
      </c>
      <c r="H1763" s="75">
        <v>1</v>
      </c>
      <c r="I1763" s="90"/>
      <c r="J1763" s="91">
        <f>ROUND(I1763*H1763,2)</f>
        <v>0</v>
      </c>
      <c r="K1763" s="92"/>
      <c r="L1763" s="12"/>
      <c r="M1763" s="93" t="s">
        <v>1</v>
      </c>
      <c r="N1763" s="94" t="s">
        <v>42</v>
      </c>
      <c r="P1763" s="95">
        <f>O1763*H1763</f>
        <v>0</v>
      </c>
      <c r="Q1763" s="95">
        <v>0</v>
      </c>
      <c r="R1763" s="95">
        <f>Q1763*H1763</f>
        <v>0</v>
      </c>
      <c r="S1763" s="95">
        <v>0</v>
      </c>
      <c r="T1763" s="99">
        <f>S1763*H1763</f>
        <v>0</v>
      </c>
      <c r="AR1763" s="101" t="s">
        <v>218</v>
      </c>
      <c r="AT1763" s="101" t="s">
        <v>214</v>
      </c>
      <c r="AU1763" s="101" t="s">
        <v>87</v>
      </c>
      <c r="AY1763" s="23" t="s">
        <v>211</v>
      </c>
      <c r="BE1763" s="104">
        <f>IF(N1763="základní",J1763,0)</f>
        <v>0</v>
      </c>
      <c r="BF1763" s="104">
        <f>IF(N1763="snížená",J1763,0)</f>
        <v>0</v>
      </c>
      <c r="BG1763" s="104">
        <f>IF(N1763="zákl. přenesená",J1763,0)</f>
        <v>0</v>
      </c>
      <c r="BH1763" s="104">
        <f>IF(N1763="sníž. přenesená",J1763,0)</f>
        <v>0</v>
      </c>
      <c r="BI1763" s="104">
        <f>IF(N1763="nulová",J1763,0)</f>
        <v>0</v>
      </c>
      <c r="BJ1763" s="23" t="s">
        <v>85</v>
      </c>
      <c r="BK1763" s="104">
        <f>ROUND(I1763*H1763,2)</f>
        <v>0</v>
      </c>
      <c r="BL1763" s="23" t="s">
        <v>218</v>
      </c>
      <c r="BM1763" s="101" t="s">
        <v>2591</v>
      </c>
    </row>
    <row r="1764" spans="2:65" s="1" customFormat="1" ht="67.2">
      <c r="B1764" s="12"/>
      <c r="D1764" s="105" t="s">
        <v>227</v>
      </c>
      <c r="F1764" s="106" t="s">
        <v>2033</v>
      </c>
      <c r="I1764" s="107"/>
      <c r="L1764" s="12"/>
      <c r="M1764" s="108"/>
      <c r="T1764" s="111"/>
      <c r="AT1764" s="23" t="s">
        <v>227</v>
      </c>
      <c r="AU1764" s="23" t="s">
        <v>87</v>
      </c>
    </row>
    <row r="1765" spans="2:65" s="1" customFormat="1" ht="55.5" customHeight="1">
      <c r="B1765" s="12"/>
      <c r="C1765" s="71" t="s">
        <v>2592</v>
      </c>
      <c r="D1765" s="71" t="s">
        <v>214</v>
      </c>
      <c r="E1765" s="72" t="s">
        <v>1916</v>
      </c>
      <c r="F1765" s="73" t="s">
        <v>2593</v>
      </c>
      <c r="G1765" s="74" t="s">
        <v>808</v>
      </c>
      <c r="H1765" s="75">
        <v>1</v>
      </c>
      <c r="I1765" s="90"/>
      <c r="J1765" s="91">
        <f>ROUND(I1765*H1765,2)</f>
        <v>0</v>
      </c>
      <c r="K1765" s="92"/>
      <c r="L1765" s="12"/>
      <c r="M1765" s="93" t="s">
        <v>1</v>
      </c>
      <c r="N1765" s="94" t="s">
        <v>42</v>
      </c>
      <c r="P1765" s="95">
        <f>O1765*H1765</f>
        <v>0</v>
      </c>
      <c r="Q1765" s="95">
        <v>0</v>
      </c>
      <c r="R1765" s="95">
        <f>Q1765*H1765</f>
        <v>0</v>
      </c>
      <c r="S1765" s="95">
        <v>0</v>
      </c>
      <c r="T1765" s="99">
        <f>S1765*H1765</f>
        <v>0</v>
      </c>
      <c r="AR1765" s="101" t="s">
        <v>218</v>
      </c>
      <c r="AT1765" s="101" t="s">
        <v>214</v>
      </c>
      <c r="AU1765" s="101" t="s">
        <v>87</v>
      </c>
      <c r="AY1765" s="23" t="s">
        <v>211</v>
      </c>
      <c r="BE1765" s="104">
        <f>IF(N1765="základní",J1765,0)</f>
        <v>0</v>
      </c>
      <c r="BF1765" s="104">
        <f>IF(N1765="snížená",J1765,0)</f>
        <v>0</v>
      </c>
      <c r="BG1765" s="104">
        <f>IF(N1765="zákl. přenesená",J1765,0)</f>
        <v>0</v>
      </c>
      <c r="BH1765" s="104">
        <f>IF(N1765="sníž. přenesená",J1765,0)</f>
        <v>0</v>
      </c>
      <c r="BI1765" s="104">
        <f>IF(N1765="nulová",J1765,0)</f>
        <v>0</v>
      </c>
      <c r="BJ1765" s="23" t="s">
        <v>85</v>
      </c>
      <c r="BK1765" s="104">
        <f>ROUND(I1765*H1765,2)</f>
        <v>0</v>
      </c>
      <c r="BL1765" s="23" t="s">
        <v>218</v>
      </c>
      <c r="BM1765" s="101" t="s">
        <v>2594</v>
      </c>
    </row>
    <row r="1766" spans="2:65" s="1" customFormat="1" ht="67.2">
      <c r="B1766" s="12"/>
      <c r="D1766" s="105" t="s">
        <v>227</v>
      </c>
      <c r="F1766" s="106" t="s">
        <v>2018</v>
      </c>
      <c r="I1766" s="107"/>
      <c r="L1766" s="12"/>
      <c r="M1766" s="108"/>
      <c r="T1766" s="111"/>
      <c r="AT1766" s="23" t="s">
        <v>227</v>
      </c>
      <c r="AU1766" s="23" t="s">
        <v>87</v>
      </c>
    </row>
    <row r="1767" spans="2:65" s="1" customFormat="1" ht="55.5" customHeight="1">
      <c r="B1767" s="12"/>
      <c r="C1767" s="71" t="s">
        <v>2595</v>
      </c>
      <c r="D1767" s="71" t="s">
        <v>214</v>
      </c>
      <c r="E1767" s="72" t="s">
        <v>1920</v>
      </c>
      <c r="F1767" s="73" t="s">
        <v>2596</v>
      </c>
      <c r="G1767" s="74" t="s">
        <v>808</v>
      </c>
      <c r="H1767" s="75">
        <v>1</v>
      </c>
      <c r="I1767" s="90"/>
      <c r="J1767" s="91">
        <f>ROUND(I1767*H1767,2)</f>
        <v>0</v>
      </c>
      <c r="K1767" s="92"/>
      <c r="L1767" s="12"/>
      <c r="M1767" s="93" t="s">
        <v>1</v>
      </c>
      <c r="N1767" s="94" t="s">
        <v>42</v>
      </c>
      <c r="P1767" s="95">
        <f>O1767*H1767</f>
        <v>0</v>
      </c>
      <c r="Q1767" s="95">
        <v>0</v>
      </c>
      <c r="R1767" s="95">
        <f>Q1767*H1767</f>
        <v>0</v>
      </c>
      <c r="S1767" s="95">
        <v>0</v>
      </c>
      <c r="T1767" s="99">
        <f>S1767*H1767</f>
        <v>0</v>
      </c>
      <c r="AR1767" s="101" t="s">
        <v>218</v>
      </c>
      <c r="AT1767" s="101" t="s">
        <v>214</v>
      </c>
      <c r="AU1767" s="101" t="s">
        <v>87</v>
      </c>
      <c r="AY1767" s="23" t="s">
        <v>211</v>
      </c>
      <c r="BE1767" s="104">
        <f>IF(N1767="základní",J1767,0)</f>
        <v>0</v>
      </c>
      <c r="BF1767" s="104">
        <f>IF(N1767="snížená",J1767,0)</f>
        <v>0</v>
      </c>
      <c r="BG1767" s="104">
        <f>IF(N1767="zákl. přenesená",J1767,0)</f>
        <v>0</v>
      </c>
      <c r="BH1767" s="104">
        <f>IF(N1767="sníž. přenesená",J1767,0)</f>
        <v>0</v>
      </c>
      <c r="BI1767" s="104">
        <f>IF(N1767="nulová",J1767,0)</f>
        <v>0</v>
      </c>
      <c r="BJ1767" s="23" t="s">
        <v>85</v>
      </c>
      <c r="BK1767" s="104">
        <f>ROUND(I1767*H1767,2)</f>
        <v>0</v>
      </c>
      <c r="BL1767" s="23" t="s">
        <v>218</v>
      </c>
      <c r="BM1767" s="101" t="s">
        <v>2597</v>
      </c>
    </row>
    <row r="1768" spans="2:65" s="1" customFormat="1" ht="67.2">
      <c r="B1768" s="12"/>
      <c r="D1768" s="105" t="s">
        <v>227</v>
      </c>
      <c r="F1768" s="106" t="s">
        <v>2018</v>
      </c>
      <c r="I1768" s="107"/>
      <c r="L1768" s="12"/>
      <c r="M1768" s="108"/>
      <c r="T1768" s="111"/>
      <c r="AT1768" s="23" t="s">
        <v>227</v>
      </c>
      <c r="AU1768" s="23" t="s">
        <v>87</v>
      </c>
    </row>
    <row r="1769" spans="2:65" s="1" customFormat="1" ht="55.5" customHeight="1">
      <c r="B1769" s="12"/>
      <c r="C1769" s="71" t="s">
        <v>2598</v>
      </c>
      <c r="D1769" s="71" t="s">
        <v>214</v>
      </c>
      <c r="E1769" s="72" t="s">
        <v>1924</v>
      </c>
      <c r="F1769" s="73" t="s">
        <v>2599</v>
      </c>
      <c r="G1769" s="74" t="s">
        <v>808</v>
      </c>
      <c r="H1769" s="75">
        <v>1</v>
      </c>
      <c r="I1769" s="90"/>
      <c r="J1769" s="91">
        <f>ROUND(I1769*H1769,2)</f>
        <v>0</v>
      </c>
      <c r="K1769" s="92"/>
      <c r="L1769" s="12"/>
      <c r="M1769" s="93" t="s">
        <v>1</v>
      </c>
      <c r="N1769" s="94" t="s">
        <v>42</v>
      </c>
      <c r="P1769" s="95">
        <f>O1769*H1769</f>
        <v>0</v>
      </c>
      <c r="Q1769" s="95">
        <v>0</v>
      </c>
      <c r="R1769" s="95">
        <f>Q1769*H1769</f>
        <v>0</v>
      </c>
      <c r="S1769" s="95">
        <v>0</v>
      </c>
      <c r="T1769" s="99">
        <f>S1769*H1769</f>
        <v>0</v>
      </c>
      <c r="AR1769" s="101" t="s">
        <v>218</v>
      </c>
      <c r="AT1769" s="101" t="s">
        <v>214</v>
      </c>
      <c r="AU1769" s="101" t="s">
        <v>87</v>
      </c>
      <c r="AY1769" s="23" t="s">
        <v>211</v>
      </c>
      <c r="BE1769" s="104">
        <f>IF(N1769="základní",J1769,0)</f>
        <v>0</v>
      </c>
      <c r="BF1769" s="104">
        <f>IF(N1769="snížená",J1769,0)</f>
        <v>0</v>
      </c>
      <c r="BG1769" s="104">
        <f>IF(N1769="zákl. přenesená",J1769,0)</f>
        <v>0</v>
      </c>
      <c r="BH1769" s="104">
        <f>IF(N1769="sníž. přenesená",J1769,0)</f>
        <v>0</v>
      </c>
      <c r="BI1769" s="104">
        <f>IF(N1769="nulová",J1769,0)</f>
        <v>0</v>
      </c>
      <c r="BJ1769" s="23" t="s">
        <v>85</v>
      </c>
      <c r="BK1769" s="104">
        <f>ROUND(I1769*H1769,2)</f>
        <v>0</v>
      </c>
      <c r="BL1769" s="23" t="s">
        <v>218</v>
      </c>
      <c r="BM1769" s="101" t="s">
        <v>2600</v>
      </c>
    </row>
    <row r="1770" spans="2:65" s="1" customFormat="1" ht="67.2">
      <c r="B1770" s="12"/>
      <c r="D1770" s="105" t="s">
        <v>227</v>
      </c>
      <c r="F1770" s="106" t="s">
        <v>2023</v>
      </c>
      <c r="I1770" s="107"/>
      <c r="L1770" s="12"/>
      <c r="M1770" s="108"/>
      <c r="T1770" s="111"/>
      <c r="AT1770" s="23" t="s">
        <v>227</v>
      </c>
      <c r="AU1770" s="23" t="s">
        <v>87</v>
      </c>
    </row>
    <row r="1771" spans="2:65" s="1" customFormat="1" ht="55.5" customHeight="1">
      <c r="B1771" s="12"/>
      <c r="C1771" s="71" t="s">
        <v>2601</v>
      </c>
      <c r="D1771" s="71" t="s">
        <v>214</v>
      </c>
      <c r="E1771" s="72" t="s">
        <v>1928</v>
      </c>
      <c r="F1771" s="73" t="s">
        <v>2602</v>
      </c>
      <c r="G1771" s="74" t="s">
        <v>808</v>
      </c>
      <c r="H1771" s="75">
        <v>1</v>
      </c>
      <c r="I1771" s="90"/>
      <c r="J1771" s="91">
        <f>ROUND(I1771*H1771,2)</f>
        <v>0</v>
      </c>
      <c r="K1771" s="92"/>
      <c r="L1771" s="12"/>
      <c r="M1771" s="93" t="s">
        <v>1</v>
      </c>
      <c r="N1771" s="94" t="s">
        <v>42</v>
      </c>
      <c r="P1771" s="95">
        <f>O1771*H1771</f>
        <v>0</v>
      </c>
      <c r="Q1771" s="95">
        <v>0</v>
      </c>
      <c r="R1771" s="95">
        <f>Q1771*H1771</f>
        <v>0</v>
      </c>
      <c r="S1771" s="95">
        <v>0</v>
      </c>
      <c r="T1771" s="99">
        <f>S1771*H1771</f>
        <v>0</v>
      </c>
      <c r="AR1771" s="101" t="s">
        <v>218</v>
      </c>
      <c r="AT1771" s="101" t="s">
        <v>214</v>
      </c>
      <c r="AU1771" s="101" t="s">
        <v>87</v>
      </c>
      <c r="AY1771" s="23" t="s">
        <v>211</v>
      </c>
      <c r="BE1771" s="104">
        <f>IF(N1771="základní",J1771,0)</f>
        <v>0</v>
      </c>
      <c r="BF1771" s="104">
        <f>IF(N1771="snížená",J1771,0)</f>
        <v>0</v>
      </c>
      <c r="BG1771" s="104">
        <f>IF(N1771="zákl. přenesená",J1771,0)</f>
        <v>0</v>
      </c>
      <c r="BH1771" s="104">
        <f>IF(N1771="sníž. přenesená",J1771,0)</f>
        <v>0</v>
      </c>
      <c r="BI1771" s="104">
        <f>IF(N1771="nulová",J1771,0)</f>
        <v>0</v>
      </c>
      <c r="BJ1771" s="23" t="s">
        <v>85</v>
      </c>
      <c r="BK1771" s="104">
        <f>ROUND(I1771*H1771,2)</f>
        <v>0</v>
      </c>
      <c r="BL1771" s="23" t="s">
        <v>218</v>
      </c>
      <c r="BM1771" s="101" t="s">
        <v>2603</v>
      </c>
    </row>
    <row r="1772" spans="2:65" s="1" customFormat="1" ht="67.2">
      <c r="B1772" s="12"/>
      <c r="D1772" s="105" t="s">
        <v>227</v>
      </c>
      <c r="F1772" s="106" t="s">
        <v>2023</v>
      </c>
      <c r="I1772" s="107"/>
      <c r="L1772" s="12"/>
      <c r="M1772" s="108"/>
      <c r="T1772" s="111"/>
      <c r="AT1772" s="23" t="s">
        <v>227</v>
      </c>
      <c r="AU1772" s="23" t="s">
        <v>87</v>
      </c>
    </row>
    <row r="1773" spans="2:65" s="1" customFormat="1" ht="66.75" customHeight="1">
      <c r="B1773" s="12"/>
      <c r="C1773" s="71" t="s">
        <v>2604</v>
      </c>
      <c r="D1773" s="71" t="s">
        <v>214</v>
      </c>
      <c r="E1773" s="72" t="s">
        <v>1932</v>
      </c>
      <c r="F1773" s="73" t="s">
        <v>2605</v>
      </c>
      <c r="G1773" s="74" t="s">
        <v>808</v>
      </c>
      <c r="H1773" s="75">
        <v>1</v>
      </c>
      <c r="I1773" s="90"/>
      <c r="J1773" s="91">
        <f>ROUND(I1773*H1773,2)</f>
        <v>0</v>
      </c>
      <c r="K1773" s="92"/>
      <c r="L1773" s="12"/>
      <c r="M1773" s="93" t="s">
        <v>1</v>
      </c>
      <c r="N1773" s="94" t="s">
        <v>42</v>
      </c>
      <c r="P1773" s="95">
        <f>O1773*H1773</f>
        <v>0</v>
      </c>
      <c r="Q1773" s="95">
        <v>0</v>
      </c>
      <c r="R1773" s="95">
        <f>Q1773*H1773</f>
        <v>0</v>
      </c>
      <c r="S1773" s="95">
        <v>0</v>
      </c>
      <c r="T1773" s="99">
        <f>S1773*H1773</f>
        <v>0</v>
      </c>
      <c r="AR1773" s="101" t="s">
        <v>218</v>
      </c>
      <c r="AT1773" s="101" t="s">
        <v>214</v>
      </c>
      <c r="AU1773" s="101" t="s">
        <v>87</v>
      </c>
      <c r="AY1773" s="23" t="s">
        <v>211</v>
      </c>
      <c r="BE1773" s="104">
        <f>IF(N1773="základní",J1773,0)</f>
        <v>0</v>
      </c>
      <c r="BF1773" s="104">
        <f>IF(N1773="snížená",J1773,0)</f>
        <v>0</v>
      </c>
      <c r="BG1773" s="104">
        <f>IF(N1773="zákl. přenesená",J1773,0)</f>
        <v>0</v>
      </c>
      <c r="BH1773" s="104">
        <f>IF(N1773="sníž. přenesená",J1773,0)</f>
        <v>0</v>
      </c>
      <c r="BI1773" s="104">
        <f>IF(N1773="nulová",J1773,0)</f>
        <v>0</v>
      </c>
      <c r="BJ1773" s="23" t="s">
        <v>85</v>
      </c>
      <c r="BK1773" s="104">
        <f>ROUND(I1773*H1773,2)</f>
        <v>0</v>
      </c>
      <c r="BL1773" s="23" t="s">
        <v>218</v>
      </c>
      <c r="BM1773" s="101" t="s">
        <v>2606</v>
      </c>
    </row>
    <row r="1774" spans="2:65" s="1" customFormat="1" ht="76.8">
      <c r="B1774" s="12"/>
      <c r="D1774" s="105" t="s">
        <v>227</v>
      </c>
      <c r="F1774" s="106" t="s">
        <v>2028</v>
      </c>
      <c r="I1774" s="107"/>
      <c r="L1774" s="12"/>
      <c r="M1774" s="108"/>
      <c r="T1774" s="111"/>
      <c r="AT1774" s="23" t="s">
        <v>227</v>
      </c>
      <c r="AU1774" s="23" t="s">
        <v>87</v>
      </c>
    </row>
    <row r="1775" spans="2:65" s="1" customFormat="1" ht="55.5" customHeight="1">
      <c r="B1775" s="12"/>
      <c r="C1775" s="71" t="s">
        <v>2607</v>
      </c>
      <c r="D1775" s="71" t="s">
        <v>214</v>
      </c>
      <c r="E1775" s="72" t="s">
        <v>1947</v>
      </c>
      <c r="F1775" s="73" t="s">
        <v>2608</v>
      </c>
      <c r="G1775" s="74" t="s">
        <v>808</v>
      </c>
      <c r="H1775" s="75">
        <v>1</v>
      </c>
      <c r="I1775" s="90"/>
      <c r="J1775" s="91">
        <f>ROUND(I1775*H1775,2)</f>
        <v>0</v>
      </c>
      <c r="K1775" s="92"/>
      <c r="L1775" s="12"/>
      <c r="M1775" s="93" t="s">
        <v>1</v>
      </c>
      <c r="N1775" s="94" t="s">
        <v>42</v>
      </c>
      <c r="P1775" s="95">
        <f>O1775*H1775</f>
        <v>0</v>
      </c>
      <c r="Q1775" s="95">
        <v>0</v>
      </c>
      <c r="R1775" s="95">
        <f>Q1775*H1775</f>
        <v>0</v>
      </c>
      <c r="S1775" s="95">
        <v>0</v>
      </c>
      <c r="T1775" s="99">
        <f>S1775*H1775</f>
        <v>0</v>
      </c>
      <c r="AR1775" s="101" t="s">
        <v>218</v>
      </c>
      <c r="AT1775" s="101" t="s">
        <v>214</v>
      </c>
      <c r="AU1775" s="101" t="s">
        <v>87</v>
      </c>
      <c r="AY1775" s="23" t="s">
        <v>211</v>
      </c>
      <c r="BE1775" s="104">
        <f>IF(N1775="základní",J1775,0)</f>
        <v>0</v>
      </c>
      <c r="BF1775" s="104">
        <f>IF(N1775="snížená",J1775,0)</f>
        <v>0</v>
      </c>
      <c r="BG1775" s="104">
        <f>IF(N1775="zákl. přenesená",J1775,0)</f>
        <v>0</v>
      </c>
      <c r="BH1775" s="104">
        <f>IF(N1775="sníž. přenesená",J1775,0)</f>
        <v>0</v>
      </c>
      <c r="BI1775" s="104">
        <f>IF(N1775="nulová",J1775,0)</f>
        <v>0</v>
      </c>
      <c r="BJ1775" s="23" t="s">
        <v>85</v>
      </c>
      <c r="BK1775" s="104">
        <f>ROUND(I1775*H1775,2)</f>
        <v>0</v>
      </c>
      <c r="BL1775" s="23" t="s">
        <v>218</v>
      </c>
      <c r="BM1775" s="101" t="s">
        <v>2609</v>
      </c>
    </row>
    <row r="1776" spans="2:65" s="1" customFormat="1" ht="76.8">
      <c r="B1776" s="12"/>
      <c r="D1776" s="105" t="s">
        <v>227</v>
      </c>
      <c r="F1776" s="106" t="s">
        <v>2008</v>
      </c>
      <c r="I1776" s="107"/>
      <c r="L1776" s="12"/>
      <c r="M1776" s="108"/>
      <c r="T1776" s="111"/>
      <c r="AT1776" s="23" t="s">
        <v>227</v>
      </c>
      <c r="AU1776" s="23" t="s">
        <v>87</v>
      </c>
    </row>
    <row r="1777" spans="2:65" s="1" customFormat="1" ht="66.75" customHeight="1">
      <c r="B1777" s="12"/>
      <c r="C1777" s="71" t="s">
        <v>2610</v>
      </c>
      <c r="D1777" s="71" t="s">
        <v>214</v>
      </c>
      <c r="E1777" s="72" t="s">
        <v>1957</v>
      </c>
      <c r="F1777" s="73" t="s">
        <v>2611</v>
      </c>
      <c r="G1777" s="74" t="s">
        <v>808</v>
      </c>
      <c r="H1777" s="75">
        <v>1</v>
      </c>
      <c r="I1777" s="90"/>
      <c r="J1777" s="91">
        <f>ROUND(I1777*H1777,2)</f>
        <v>0</v>
      </c>
      <c r="K1777" s="92"/>
      <c r="L1777" s="12"/>
      <c r="M1777" s="93" t="s">
        <v>1</v>
      </c>
      <c r="N1777" s="94" t="s">
        <v>42</v>
      </c>
      <c r="P1777" s="95">
        <f>O1777*H1777</f>
        <v>0</v>
      </c>
      <c r="Q1777" s="95">
        <v>0</v>
      </c>
      <c r="R1777" s="95">
        <f>Q1777*H1777</f>
        <v>0</v>
      </c>
      <c r="S1777" s="95">
        <v>0</v>
      </c>
      <c r="T1777" s="99">
        <f>S1777*H1777</f>
        <v>0</v>
      </c>
      <c r="AR1777" s="101" t="s">
        <v>218</v>
      </c>
      <c r="AT1777" s="101" t="s">
        <v>214</v>
      </c>
      <c r="AU1777" s="101" t="s">
        <v>87</v>
      </c>
      <c r="AY1777" s="23" t="s">
        <v>211</v>
      </c>
      <c r="BE1777" s="104">
        <f>IF(N1777="základní",J1777,0)</f>
        <v>0</v>
      </c>
      <c r="BF1777" s="104">
        <f>IF(N1777="snížená",J1777,0)</f>
        <v>0</v>
      </c>
      <c r="BG1777" s="104">
        <f>IF(N1777="zákl. přenesená",J1777,0)</f>
        <v>0</v>
      </c>
      <c r="BH1777" s="104">
        <f>IF(N1777="sníž. přenesená",J1777,0)</f>
        <v>0</v>
      </c>
      <c r="BI1777" s="104">
        <f>IF(N1777="nulová",J1777,0)</f>
        <v>0</v>
      </c>
      <c r="BJ1777" s="23" t="s">
        <v>85</v>
      </c>
      <c r="BK1777" s="104">
        <f>ROUND(I1777*H1777,2)</f>
        <v>0</v>
      </c>
      <c r="BL1777" s="23" t="s">
        <v>218</v>
      </c>
      <c r="BM1777" s="101" t="s">
        <v>2612</v>
      </c>
    </row>
    <row r="1778" spans="2:65" s="1" customFormat="1" ht="76.8">
      <c r="B1778" s="12"/>
      <c r="D1778" s="105" t="s">
        <v>227</v>
      </c>
      <c r="F1778" s="106" t="s">
        <v>2613</v>
      </c>
      <c r="I1778" s="107"/>
      <c r="L1778" s="12"/>
      <c r="M1778" s="108"/>
      <c r="T1778" s="111"/>
      <c r="AT1778" s="23" t="s">
        <v>227</v>
      </c>
      <c r="AU1778" s="23" t="s">
        <v>87</v>
      </c>
    </row>
    <row r="1779" spans="2:65" s="1" customFormat="1" ht="66.75" customHeight="1">
      <c r="B1779" s="12"/>
      <c r="C1779" s="71" t="s">
        <v>2614</v>
      </c>
      <c r="D1779" s="71" t="s">
        <v>214</v>
      </c>
      <c r="E1779" s="72" t="s">
        <v>1962</v>
      </c>
      <c r="F1779" s="73" t="s">
        <v>2615</v>
      </c>
      <c r="G1779" s="74" t="s">
        <v>808</v>
      </c>
      <c r="H1779" s="75">
        <v>1</v>
      </c>
      <c r="I1779" s="90"/>
      <c r="J1779" s="91">
        <f>ROUND(I1779*H1779,2)</f>
        <v>0</v>
      </c>
      <c r="K1779" s="92"/>
      <c r="L1779" s="12"/>
      <c r="M1779" s="93" t="s">
        <v>1</v>
      </c>
      <c r="N1779" s="94" t="s">
        <v>42</v>
      </c>
      <c r="P1779" s="95">
        <f>O1779*H1779</f>
        <v>0</v>
      </c>
      <c r="Q1779" s="95">
        <v>0</v>
      </c>
      <c r="R1779" s="95">
        <f>Q1779*H1779</f>
        <v>0</v>
      </c>
      <c r="S1779" s="95">
        <v>0</v>
      </c>
      <c r="T1779" s="99">
        <f>S1779*H1779</f>
        <v>0</v>
      </c>
      <c r="AR1779" s="101" t="s">
        <v>218</v>
      </c>
      <c r="AT1779" s="101" t="s">
        <v>214</v>
      </c>
      <c r="AU1779" s="101" t="s">
        <v>87</v>
      </c>
      <c r="AY1779" s="23" t="s">
        <v>211</v>
      </c>
      <c r="BE1779" s="104">
        <f>IF(N1779="základní",J1779,0)</f>
        <v>0</v>
      </c>
      <c r="BF1779" s="104">
        <f>IF(N1779="snížená",J1779,0)</f>
        <v>0</v>
      </c>
      <c r="BG1779" s="104">
        <f>IF(N1779="zákl. přenesená",J1779,0)</f>
        <v>0</v>
      </c>
      <c r="BH1779" s="104">
        <f>IF(N1779="sníž. přenesená",J1779,0)</f>
        <v>0</v>
      </c>
      <c r="BI1779" s="104">
        <f>IF(N1779="nulová",J1779,0)</f>
        <v>0</v>
      </c>
      <c r="BJ1779" s="23" t="s">
        <v>85</v>
      </c>
      <c r="BK1779" s="104">
        <f>ROUND(I1779*H1779,2)</f>
        <v>0</v>
      </c>
      <c r="BL1779" s="23" t="s">
        <v>218</v>
      </c>
      <c r="BM1779" s="101" t="s">
        <v>2616</v>
      </c>
    </row>
    <row r="1780" spans="2:65" s="1" customFormat="1" ht="76.8">
      <c r="B1780" s="12"/>
      <c r="D1780" s="105" t="s">
        <v>227</v>
      </c>
      <c r="F1780" s="106" t="s">
        <v>2613</v>
      </c>
      <c r="I1780" s="107"/>
      <c r="L1780" s="12"/>
      <c r="M1780" s="108"/>
      <c r="T1780" s="111"/>
      <c r="AT1780" s="23" t="s">
        <v>227</v>
      </c>
      <c r="AU1780" s="23" t="s">
        <v>87</v>
      </c>
    </row>
    <row r="1781" spans="2:65" s="1" customFormat="1" ht="66.75" customHeight="1">
      <c r="B1781" s="12"/>
      <c r="C1781" s="71" t="s">
        <v>2617</v>
      </c>
      <c r="D1781" s="71" t="s">
        <v>214</v>
      </c>
      <c r="E1781" s="72" t="s">
        <v>1967</v>
      </c>
      <c r="F1781" s="73" t="s">
        <v>2618</v>
      </c>
      <c r="G1781" s="74" t="s">
        <v>808</v>
      </c>
      <c r="H1781" s="75">
        <v>1</v>
      </c>
      <c r="I1781" s="90"/>
      <c r="J1781" s="91">
        <f>ROUND(I1781*H1781,2)</f>
        <v>0</v>
      </c>
      <c r="K1781" s="92"/>
      <c r="L1781" s="12"/>
      <c r="M1781" s="93" t="s">
        <v>1</v>
      </c>
      <c r="N1781" s="94" t="s">
        <v>42</v>
      </c>
      <c r="P1781" s="95">
        <f>O1781*H1781</f>
        <v>0</v>
      </c>
      <c r="Q1781" s="95">
        <v>0</v>
      </c>
      <c r="R1781" s="95">
        <f>Q1781*H1781</f>
        <v>0</v>
      </c>
      <c r="S1781" s="95">
        <v>0</v>
      </c>
      <c r="T1781" s="99">
        <f>S1781*H1781</f>
        <v>0</v>
      </c>
      <c r="AR1781" s="101" t="s">
        <v>218</v>
      </c>
      <c r="AT1781" s="101" t="s">
        <v>214</v>
      </c>
      <c r="AU1781" s="101" t="s">
        <v>87</v>
      </c>
      <c r="AY1781" s="23" t="s">
        <v>211</v>
      </c>
      <c r="BE1781" s="104">
        <f>IF(N1781="základní",J1781,0)</f>
        <v>0</v>
      </c>
      <c r="BF1781" s="104">
        <f>IF(N1781="snížená",J1781,0)</f>
        <v>0</v>
      </c>
      <c r="BG1781" s="104">
        <f>IF(N1781="zákl. přenesená",J1781,0)</f>
        <v>0</v>
      </c>
      <c r="BH1781" s="104">
        <f>IF(N1781="sníž. přenesená",J1781,0)</f>
        <v>0</v>
      </c>
      <c r="BI1781" s="104">
        <f>IF(N1781="nulová",J1781,0)</f>
        <v>0</v>
      </c>
      <c r="BJ1781" s="23" t="s">
        <v>85</v>
      </c>
      <c r="BK1781" s="104">
        <f>ROUND(I1781*H1781,2)</f>
        <v>0</v>
      </c>
      <c r="BL1781" s="23" t="s">
        <v>218</v>
      </c>
      <c r="BM1781" s="101" t="s">
        <v>2619</v>
      </c>
    </row>
    <row r="1782" spans="2:65" s="1" customFormat="1" ht="76.8">
      <c r="B1782" s="12"/>
      <c r="D1782" s="105" t="s">
        <v>227</v>
      </c>
      <c r="F1782" s="106" t="s">
        <v>2613</v>
      </c>
      <c r="I1782" s="107"/>
      <c r="L1782" s="12"/>
      <c r="M1782" s="108"/>
      <c r="T1782" s="111"/>
      <c r="AT1782" s="23" t="s">
        <v>227</v>
      </c>
      <c r="AU1782" s="23" t="s">
        <v>87</v>
      </c>
    </row>
    <row r="1783" spans="2:65" s="1" customFormat="1" ht="66.75" customHeight="1">
      <c r="B1783" s="12"/>
      <c r="C1783" s="71" t="s">
        <v>2620</v>
      </c>
      <c r="D1783" s="71" t="s">
        <v>214</v>
      </c>
      <c r="E1783" s="72" t="s">
        <v>1971</v>
      </c>
      <c r="F1783" s="73" t="s">
        <v>2621</v>
      </c>
      <c r="G1783" s="74" t="s">
        <v>808</v>
      </c>
      <c r="H1783" s="75">
        <v>1</v>
      </c>
      <c r="I1783" s="90"/>
      <c r="J1783" s="91">
        <f>ROUND(I1783*H1783,2)</f>
        <v>0</v>
      </c>
      <c r="K1783" s="92"/>
      <c r="L1783" s="12"/>
      <c r="M1783" s="93" t="s">
        <v>1</v>
      </c>
      <c r="N1783" s="94" t="s">
        <v>42</v>
      </c>
      <c r="P1783" s="95">
        <f>O1783*H1783</f>
        <v>0</v>
      </c>
      <c r="Q1783" s="95">
        <v>0</v>
      </c>
      <c r="R1783" s="95">
        <f>Q1783*H1783</f>
        <v>0</v>
      </c>
      <c r="S1783" s="95">
        <v>0</v>
      </c>
      <c r="T1783" s="99">
        <f>S1783*H1783</f>
        <v>0</v>
      </c>
      <c r="AR1783" s="101" t="s">
        <v>218</v>
      </c>
      <c r="AT1783" s="101" t="s">
        <v>214</v>
      </c>
      <c r="AU1783" s="101" t="s">
        <v>87</v>
      </c>
      <c r="AY1783" s="23" t="s">
        <v>211</v>
      </c>
      <c r="BE1783" s="104">
        <f>IF(N1783="základní",J1783,0)</f>
        <v>0</v>
      </c>
      <c r="BF1783" s="104">
        <f>IF(N1783="snížená",J1783,0)</f>
        <v>0</v>
      </c>
      <c r="BG1783" s="104">
        <f>IF(N1783="zákl. přenesená",J1783,0)</f>
        <v>0</v>
      </c>
      <c r="BH1783" s="104">
        <f>IF(N1783="sníž. přenesená",J1783,0)</f>
        <v>0</v>
      </c>
      <c r="BI1783" s="104">
        <f>IF(N1783="nulová",J1783,0)</f>
        <v>0</v>
      </c>
      <c r="BJ1783" s="23" t="s">
        <v>85</v>
      </c>
      <c r="BK1783" s="104">
        <f>ROUND(I1783*H1783,2)</f>
        <v>0</v>
      </c>
      <c r="BL1783" s="23" t="s">
        <v>218</v>
      </c>
      <c r="BM1783" s="101" t="s">
        <v>2622</v>
      </c>
    </row>
    <row r="1784" spans="2:65" s="1" customFormat="1" ht="76.8">
      <c r="B1784" s="12"/>
      <c r="D1784" s="105" t="s">
        <v>227</v>
      </c>
      <c r="F1784" s="106" t="s">
        <v>2613</v>
      </c>
      <c r="I1784" s="107"/>
      <c r="L1784" s="12"/>
      <c r="M1784" s="108"/>
      <c r="T1784" s="111"/>
      <c r="AT1784" s="23" t="s">
        <v>227</v>
      </c>
      <c r="AU1784" s="23" t="s">
        <v>87</v>
      </c>
    </row>
    <row r="1785" spans="2:65" s="1" customFormat="1" ht="66.75" customHeight="1">
      <c r="B1785" s="12"/>
      <c r="C1785" s="71" t="s">
        <v>2623</v>
      </c>
      <c r="D1785" s="71" t="s">
        <v>214</v>
      </c>
      <c r="E1785" s="72" t="s">
        <v>1975</v>
      </c>
      <c r="F1785" s="73" t="s">
        <v>2624</v>
      </c>
      <c r="G1785" s="74" t="s">
        <v>808</v>
      </c>
      <c r="H1785" s="75">
        <v>1</v>
      </c>
      <c r="I1785" s="90"/>
      <c r="J1785" s="91">
        <f>ROUND(I1785*H1785,2)</f>
        <v>0</v>
      </c>
      <c r="K1785" s="92"/>
      <c r="L1785" s="12"/>
      <c r="M1785" s="93" t="s">
        <v>1</v>
      </c>
      <c r="N1785" s="94" t="s">
        <v>42</v>
      </c>
      <c r="P1785" s="95">
        <f>O1785*H1785</f>
        <v>0</v>
      </c>
      <c r="Q1785" s="95">
        <v>0</v>
      </c>
      <c r="R1785" s="95">
        <f>Q1785*H1785</f>
        <v>0</v>
      </c>
      <c r="S1785" s="95">
        <v>0</v>
      </c>
      <c r="T1785" s="99">
        <f>S1785*H1785</f>
        <v>0</v>
      </c>
      <c r="AR1785" s="101" t="s">
        <v>218</v>
      </c>
      <c r="AT1785" s="101" t="s">
        <v>214</v>
      </c>
      <c r="AU1785" s="101" t="s">
        <v>87</v>
      </c>
      <c r="AY1785" s="23" t="s">
        <v>211</v>
      </c>
      <c r="BE1785" s="104">
        <f>IF(N1785="základní",J1785,0)</f>
        <v>0</v>
      </c>
      <c r="BF1785" s="104">
        <f>IF(N1785="snížená",J1785,0)</f>
        <v>0</v>
      </c>
      <c r="BG1785" s="104">
        <f>IF(N1785="zákl. přenesená",J1785,0)</f>
        <v>0</v>
      </c>
      <c r="BH1785" s="104">
        <f>IF(N1785="sníž. přenesená",J1785,0)</f>
        <v>0</v>
      </c>
      <c r="BI1785" s="104">
        <f>IF(N1785="nulová",J1785,0)</f>
        <v>0</v>
      </c>
      <c r="BJ1785" s="23" t="s">
        <v>85</v>
      </c>
      <c r="BK1785" s="104">
        <f>ROUND(I1785*H1785,2)</f>
        <v>0</v>
      </c>
      <c r="BL1785" s="23" t="s">
        <v>218</v>
      </c>
      <c r="BM1785" s="101" t="s">
        <v>2625</v>
      </c>
    </row>
    <row r="1786" spans="2:65" s="1" customFormat="1" ht="76.8">
      <c r="B1786" s="12"/>
      <c r="D1786" s="105" t="s">
        <v>227</v>
      </c>
      <c r="F1786" s="106" t="s">
        <v>2028</v>
      </c>
      <c r="I1786" s="107"/>
      <c r="L1786" s="12"/>
      <c r="M1786" s="108"/>
      <c r="T1786" s="111"/>
      <c r="AT1786" s="23" t="s">
        <v>227</v>
      </c>
      <c r="AU1786" s="23" t="s">
        <v>87</v>
      </c>
    </row>
    <row r="1787" spans="2:65" s="1" customFormat="1" ht="55.5" customHeight="1">
      <c r="B1787" s="12"/>
      <c r="C1787" s="71" t="s">
        <v>2626</v>
      </c>
      <c r="D1787" s="71" t="s">
        <v>214</v>
      </c>
      <c r="E1787" s="72" t="s">
        <v>1979</v>
      </c>
      <c r="F1787" s="73" t="s">
        <v>2627</v>
      </c>
      <c r="G1787" s="74" t="s">
        <v>808</v>
      </c>
      <c r="H1787" s="75">
        <v>1</v>
      </c>
      <c r="I1787" s="90"/>
      <c r="J1787" s="91">
        <f>ROUND(I1787*H1787,2)</f>
        <v>0</v>
      </c>
      <c r="K1787" s="92"/>
      <c r="L1787" s="12"/>
      <c r="M1787" s="93" t="s">
        <v>1</v>
      </c>
      <c r="N1787" s="94" t="s">
        <v>42</v>
      </c>
      <c r="P1787" s="95">
        <f>O1787*H1787</f>
        <v>0</v>
      </c>
      <c r="Q1787" s="95">
        <v>0</v>
      </c>
      <c r="R1787" s="95">
        <f>Q1787*H1787</f>
        <v>0</v>
      </c>
      <c r="S1787" s="95">
        <v>0</v>
      </c>
      <c r="T1787" s="99">
        <f>S1787*H1787</f>
        <v>0</v>
      </c>
      <c r="AR1787" s="101" t="s">
        <v>218</v>
      </c>
      <c r="AT1787" s="101" t="s">
        <v>214</v>
      </c>
      <c r="AU1787" s="101" t="s">
        <v>87</v>
      </c>
      <c r="AY1787" s="23" t="s">
        <v>211</v>
      </c>
      <c r="BE1787" s="104">
        <f>IF(N1787="základní",J1787,0)</f>
        <v>0</v>
      </c>
      <c r="BF1787" s="104">
        <f>IF(N1787="snížená",J1787,0)</f>
        <v>0</v>
      </c>
      <c r="BG1787" s="104">
        <f>IF(N1787="zákl. přenesená",J1787,0)</f>
        <v>0</v>
      </c>
      <c r="BH1787" s="104">
        <f>IF(N1787="sníž. přenesená",J1787,0)</f>
        <v>0</v>
      </c>
      <c r="BI1787" s="104">
        <f>IF(N1787="nulová",J1787,0)</f>
        <v>0</v>
      </c>
      <c r="BJ1787" s="23" t="s">
        <v>85</v>
      </c>
      <c r="BK1787" s="104">
        <f>ROUND(I1787*H1787,2)</f>
        <v>0</v>
      </c>
      <c r="BL1787" s="23" t="s">
        <v>218</v>
      </c>
      <c r="BM1787" s="101" t="s">
        <v>2628</v>
      </c>
    </row>
    <row r="1788" spans="2:65" s="1" customFormat="1" ht="67.2">
      <c r="B1788" s="12"/>
      <c r="D1788" s="105" t="s">
        <v>227</v>
      </c>
      <c r="F1788" s="106" t="s">
        <v>2629</v>
      </c>
      <c r="I1788" s="107"/>
      <c r="L1788" s="12"/>
      <c r="M1788" s="108"/>
      <c r="T1788" s="111"/>
      <c r="AT1788" s="23" t="s">
        <v>227</v>
      </c>
      <c r="AU1788" s="23" t="s">
        <v>87</v>
      </c>
    </row>
    <row r="1789" spans="2:65" s="1" customFormat="1" ht="62.85" customHeight="1">
      <c r="B1789" s="12"/>
      <c r="C1789" s="71" t="s">
        <v>2630</v>
      </c>
      <c r="D1789" s="71" t="s">
        <v>214</v>
      </c>
      <c r="E1789" s="72" t="s">
        <v>1983</v>
      </c>
      <c r="F1789" s="73" t="s">
        <v>2631</v>
      </c>
      <c r="G1789" s="74" t="s">
        <v>808</v>
      </c>
      <c r="H1789" s="75">
        <v>1</v>
      </c>
      <c r="I1789" s="90"/>
      <c r="J1789" s="91">
        <f>ROUND(I1789*H1789,2)</f>
        <v>0</v>
      </c>
      <c r="K1789" s="92"/>
      <c r="L1789" s="12"/>
      <c r="M1789" s="93" t="s">
        <v>1</v>
      </c>
      <c r="N1789" s="94" t="s">
        <v>42</v>
      </c>
      <c r="P1789" s="95">
        <f>O1789*H1789</f>
        <v>0</v>
      </c>
      <c r="Q1789" s="95">
        <v>0</v>
      </c>
      <c r="R1789" s="95">
        <f>Q1789*H1789</f>
        <v>0</v>
      </c>
      <c r="S1789" s="95">
        <v>0</v>
      </c>
      <c r="T1789" s="99">
        <f>S1789*H1789</f>
        <v>0</v>
      </c>
      <c r="AR1789" s="101" t="s">
        <v>218</v>
      </c>
      <c r="AT1789" s="101" t="s">
        <v>214</v>
      </c>
      <c r="AU1789" s="101" t="s">
        <v>87</v>
      </c>
      <c r="AY1789" s="23" t="s">
        <v>211</v>
      </c>
      <c r="BE1789" s="104">
        <f>IF(N1789="základní",J1789,0)</f>
        <v>0</v>
      </c>
      <c r="BF1789" s="104">
        <f>IF(N1789="snížená",J1789,0)</f>
        <v>0</v>
      </c>
      <c r="BG1789" s="104">
        <f>IF(N1789="zákl. přenesená",J1789,0)</f>
        <v>0</v>
      </c>
      <c r="BH1789" s="104">
        <f>IF(N1789="sníž. přenesená",J1789,0)</f>
        <v>0</v>
      </c>
      <c r="BI1789" s="104">
        <f>IF(N1789="nulová",J1789,0)</f>
        <v>0</v>
      </c>
      <c r="BJ1789" s="23" t="s">
        <v>85</v>
      </c>
      <c r="BK1789" s="104">
        <f>ROUND(I1789*H1789,2)</f>
        <v>0</v>
      </c>
      <c r="BL1789" s="23" t="s">
        <v>218</v>
      </c>
      <c r="BM1789" s="101" t="s">
        <v>2632</v>
      </c>
    </row>
    <row r="1790" spans="2:65" s="1" customFormat="1" ht="76.8">
      <c r="B1790" s="12"/>
      <c r="D1790" s="105" t="s">
        <v>227</v>
      </c>
      <c r="F1790" s="106" t="s">
        <v>2633</v>
      </c>
      <c r="I1790" s="107"/>
      <c r="L1790" s="12"/>
      <c r="M1790" s="108"/>
      <c r="T1790" s="111"/>
      <c r="AT1790" s="23" t="s">
        <v>227</v>
      </c>
      <c r="AU1790" s="23" t="s">
        <v>87</v>
      </c>
    </row>
    <row r="1791" spans="2:65" s="1" customFormat="1" ht="55.5" customHeight="1">
      <c r="B1791" s="12"/>
      <c r="C1791" s="71" t="s">
        <v>2634</v>
      </c>
      <c r="D1791" s="71" t="s">
        <v>214</v>
      </c>
      <c r="E1791" s="72" t="s">
        <v>1987</v>
      </c>
      <c r="F1791" s="73" t="s">
        <v>2635</v>
      </c>
      <c r="G1791" s="74" t="s">
        <v>808</v>
      </c>
      <c r="H1791" s="75">
        <v>1</v>
      </c>
      <c r="I1791" s="90"/>
      <c r="J1791" s="91">
        <f>ROUND(I1791*H1791,2)</f>
        <v>0</v>
      </c>
      <c r="K1791" s="92"/>
      <c r="L1791" s="12"/>
      <c r="M1791" s="93" t="s">
        <v>1</v>
      </c>
      <c r="N1791" s="94" t="s">
        <v>42</v>
      </c>
      <c r="P1791" s="95">
        <f>O1791*H1791</f>
        <v>0</v>
      </c>
      <c r="Q1791" s="95">
        <v>0</v>
      </c>
      <c r="R1791" s="95">
        <f>Q1791*H1791</f>
        <v>0</v>
      </c>
      <c r="S1791" s="95">
        <v>0</v>
      </c>
      <c r="T1791" s="99">
        <f>S1791*H1791</f>
        <v>0</v>
      </c>
      <c r="AR1791" s="101" t="s">
        <v>218</v>
      </c>
      <c r="AT1791" s="101" t="s">
        <v>214</v>
      </c>
      <c r="AU1791" s="101" t="s">
        <v>87</v>
      </c>
      <c r="AY1791" s="23" t="s">
        <v>211</v>
      </c>
      <c r="BE1791" s="104">
        <f>IF(N1791="základní",J1791,0)</f>
        <v>0</v>
      </c>
      <c r="BF1791" s="104">
        <f>IF(N1791="snížená",J1791,0)</f>
        <v>0</v>
      </c>
      <c r="BG1791" s="104">
        <f>IF(N1791="zákl. přenesená",J1791,0)</f>
        <v>0</v>
      </c>
      <c r="BH1791" s="104">
        <f>IF(N1791="sníž. přenesená",J1791,0)</f>
        <v>0</v>
      </c>
      <c r="BI1791" s="104">
        <f>IF(N1791="nulová",J1791,0)</f>
        <v>0</v>
      </c>
      <c r="BJ1791" s="23" t="s">
        <v>85</v>
      </c>
      <c r="BK1791" s="104">
        <f>ROUND(I1791*H1791,2)</f>
        <v>0</v>
      </c>
      <c r="BL1791" s="23" t="s">
        <v>218</v>
      </c>
      <c r="BM1791" s="101" t="s">
        <v>2636</v>
      </c>
    </row>
    <row r="1792" spans="2:65" s="1" customFormat="1" ht="67.2">
      <c r="B1792" s="12"/>
      <c r="D1792" s="105" t="s">
        <v>227</v>
      </c>
      <c r="F1792" s="106" t="s">
        <v>2018</v>
      </c>
      <c r="I1792" s="107"/>
      <c r="L1792" s="12"/>
      <c r="M1792" s="108"/>
      <c r="T1792" s="111"/>
      <c r="AT1792" s="23" t="s">
        <v>227</v>
      </c>
      <c r="AU1792" s="23" t="s">
        <v>87</v>
      </c>
    </row>
    <row r="1793" spans="2:65" s="1" customFormat="1" ht="55.5" customHeight="1">
      <c r="B1793" s="12"/>
      <c r="C1793" s="71" t="s">
        <v>2637</v>
      </c>
      <c r="D1793" s="71" t="s">
        <v>214</v>
      </c>
      <c r="E1793" s="72" t="s">
        <v>1991</v>
      </c>
      <c r="F1793" s="73" t="s">
        <v>2638</v>
      </c>
      <c r="G1793" s="74" t="s">
        <v>808</v>
      </c>
      <c r="H1793" s="75">
        <v>1</v>
      </c>
      <c r="I1793" s="90"/>
      <c r="J1793" s="91">
        <f>ROUND(I1793*H1793,2)</f>
        <v>0</v>
      </c>
      <c r="K1793" s="92"/>
      <c r="L1793" s="12"/>
      <c r="M1793" s="93" t="s">
        <v>1</v>
      </c>
      <c r="N1793" s="94" t="s">
        <v>42</v>
      </c>
      <c r="P1793" s="95">
        <f>O1793*H1793</f>
        <v>0</v>
      </c>
      <c r="Q1793" s="95">
        <v>0</v>
      </c>
      <c r="R1793" s="95">
        <f>Q1793*H1793</f>
        <v>0</v>
      </c>
      <c r="S1793" s="95">
        <v>0</v>
      </c>
      <c r="T1793" s="99">
        <f>S1793*H1793</f>
        <v>0</v>
      </c>
      <c r="AR1793" s="101" t="s">
        <v>218</v>
      </c>
      <c r="AT1793" s="101" t="s">
        <v>214</v>
      </c>
      <c r="AU1793" s="101" t="s">
        <v>87</v>
      </c>
      <c r="AY1793" s="23" t="s">
        <v>211</v>
      </c>
      <c r="BE1793" s="104">
        <f>IF(N1793="základní",J1793,0)</f>
        <v>0</v>
      </c>
      <c r="BF1793" s="104">
        <f>IF(N1793="snížená",J1793,0)</f>
        <v>0</v>
      </c>
      <c r="BG1793" s="104">
        <f>IF(N1793="zákl. přenesená",J1793,0)</f>
        <v>0</v>
      </c>
      <c r="BH1793" s="104">
        <f>IF(N1793="sníž. přenesená",J1793,0)</f>
        <v>0</v>
      </c>
      <c r="BI1793" s="104">
        <f>IF(N1793="nulová",J1793,0)</f>
        <v>0</v>
      </c>
      <c r="BJ1793" s="23" t="s">
        <v>85</v>
      </c>
      <c r="BK1793" s="104">
        <f>ROUND(I1793*H1793,2)</f>
        <v>0</v>
      </c>
      <c r="BL1793" s="23" t="s">
        <v>218</v>
      </c>
      <c r="BM1793" s="101" t="s">
        <v>2639</v>
      </c>
    </row>
    <row r="1794" spans="2:65" s="1" customFormat="1" ht="67.2">
      <c r="B1794" s="12"/>
      <c r="D1794" s="105" t="s">
        <v>227</v>
      </c>
      <c r="F1794" s="106" t="s">
        <v>2018</v>
      </c>
      <c r="I1794" s="107"/>
      <c r="L1794" s="12"/>
      <c r="M1794" s="108"/>
      <c r="T1794" s="111"/>
      <c r="AT1794" s="23" t="s">
        <v>227</v>
      </c>
      <c r="AU1794" s="23" t="s">
        <v>87</v>
      </c>
    </row>
    <row r="1795" spans="2:65" s="1" customFormat="1" ht="55.5" customHeight="1">
      <c r="B1795" s="12"/>
      <c r="C1795" s="71" t="s">
        <v>2640</v>
      </c>
      <c r="D1795" s="71" t="s">
        <v>214</v>
      </c>
      <c r="E1795" s="72" t="s">
        <v>1996</v>
      </c>
      <c r="F1795" s="73" t="s">
        <v>2641</v>
      </c>
      <c r="G1795" s="74" t="s">
        <v>808</v>
      </c>
      <c r="H1795" s="75">
        <v>1</v>
      </c>
      <c r="I1795" s="90"/>
      <c r="J1795" s="91">
        <f>ROUND(I1795*H1795,2)</f>
        <v>0</v>
      </c>
      <c r="K1795" s="92"/>
      <c r="L1795" s="12"/>
      <c r="M1795" s="93" t="s">
        <v>1</v>
      </c>
      <c r="N1795" s="94" t="s">
        <v>42</v>
      </c>
      <c r="P1795" s="95">
        <f>O1795*H1795</f>
        <v>0</v>
      </c>
      <c r="Q1795" s="95">
        <v>0</v>
      </c>
      <c r="R1795" s="95">
        <f>Q1795*H1795</f>
        <v>0</v>
      </c>
      <c r="S1795" s="95">
        <v>0</v>
      </c>
      <c r="T1795" s="99">
        <f>S1795*H1795</f>
        <v>0</v>
      </c>
      <c r="AR1795" s="101" t="s">
        <v>218</v>
      </c>
      <c r="AT1795" s="101" t="s">
        <v>214</v>
      </c>
      <c r="AU1795" s="101" t="s">
        <v>87</v>
      </c>
      <c r="AY1795" s="23" t="s">
        <v>211</v>
      </c>
      <c r="BE1795" s="104">
        <f>IF(N1795="základní",J1795,0)</f>
        <v>0</v>
      </c>
      <c r="BF1795" s="104">
        <f>IF(N1795="snížená",J1795,0)</f>
        <v>0</v>
      </c>
      <c r="BG1795" s="104">
        <f>IF(N1795="zákl. přenesená",J1795,0)</f>
        <v>0</v>
      </c>
      <c r="BH1795" s="104">
        <f>IF(N1795="sníž. přenesená",J1795,0)</f>
        <v>0</v>
      </c>
      <c r="BI1795" s="104">
        <f>IF(N1795="nulová",J1795,0)</f>
        <v>0</v>
      </c>
      <c r="BJ1795" s="23" t="s">
        <v>85</v>
      </c>
      <c r="BK1795" s="104">
        <f>ROUND(I1795*H1795,2)</f>
        <v>0</v>
      </c>
      <c r="BL1795" s="23" t="s">
        <v>218</v>
      </c>
      <c r="BM1795" s="101" t="s">
        <v>2642</v>
      </c>
    </row>
    <row r="1796" spans="2:65" s="1" customFormat="1" ht="67.2">
      <c r="B1796" s="12"/>
      <c r="D1796" s="105" t="s">
        <v>227</v>
      </c>
      <c r="F1796" s="106" t="s">
        <v>2018</v>
      </c>
      <c r="I1796" s="107"/>
      <c r="L1796" s="12"/>
      <c r="M1796" s="108"/>
      <c r="T1796" s="111"/>
      <c r="AT1796" s="23" t="s">
        <v>227</v>
      </c>
      <c r="AU1796" s="23" t="s">
        <v>87</v>
      </c>
    </row>
    <row r="1797" spans="2:65" s="1" customFormat="1" ht="66.75" customHeight="1">
      <c r="B1797" s="12"/>
      <c r="C1797" s="71" t="s">
        <v>2643</v>
      </c>
      <c r="D1797" s="71" t="s">
        <v>214</v>
      </c>
      <c r="E1797" s="72" t="s">
        <v>2000</v>
      </c>
      <c r="F1797" s="73" t="s">
        <v>2644</v>
      </c>
      <c r="G1797" s="74" t="s">
        <v>808</v>
      </c>
      <c r="H1797" s="75">
        <v>1</v>
      </c>
      <c r="I1797" s="90"/>
      <c r="J1797" s="91">
        <f>ROUND(I1797*H1797,2)</f>
        <v>0</v>
      </c>
      <c r="K1797" s="92"/>
      <c r="L1797" s="12"/>
      <c r="M1797" s="93" t="s">
        <v>1</v>
      </c>
      <c r="N1797" s="94" t="s">
        <v>42</v>
      </c>
      <c r="P1797" s="95">
        <f>O1797*H1797</f>
        <v>0</v>
      </c>
      <c r="Q1797" s="95">
        <v>0</v>
      </c>
      <c r="R1797" s="95">
        <f>Q1797*H1797</f>
        <v>0</v>
      </c>
      <c r="S1797" s="95">
        <v>0</v>
      </c>
      <c r="T1797" s="99">
        <f>S1797*H1797</f>
        <v>0</v>
      </c>
      <c r="AR1797" s="101" t="s">
        <v>218</v>
      </c>
      <c r="AT1797" s="101" t="s">
        <v>214</v>
      </c>
      <c r="AU1797" s="101" t="s">
        <v>87</v>
      </c>
      <c r="AY1797" s="23" t="s">
        <v>211</v>
      </c>
      <c r="BE1797" s="104">
        <f>IF(N1797="základní",J1797,0)</f>
        <v>0</v>
      </c>
      <c r="BF1797" s="104">
        <f>IF(N1797="snížená",J1797,0)</f>
        <v>0</v>
      </c>
      <c r="BG1797" s="104">
        <f>IF(N1797="zákl. přenesená",J1797,0)</f>
        <v>0</v>
      </c>
      <c r="BH1797" s="104">
        <f>IF(N1797="sníž. přenesená",J1797,0)</f>
        <v>0</v>
      </c>
      <c r="BI1797" s="104">
        <f>IF(N1797="nulová",J1797,0)</f>
        <v>0</v>
      </c>
      <c r="BJ1797" s="23" t="s">
        <v>85</v>
      </c>
      <c r="BK1797" s="104">
        <f>ROUND(I1797*H1797,2)</f>
        <v>0</v>
      </c>
      <c r="BL1797" s="23" t="s">
        <v>218</v>
      </c>
      <c r="BM1797" s="101" t="s">
        <v>2645</v>
      </c>
    </row>
    <row r="1798" spans="2:65" s="1" customFormat="1" ht="76.8">
      <c r="B1798" s="12"/>
      <c r="D1798" s="105" t="s">
        <v>227</v>
      </c>
      <c r="F1798" s="106" t="s">
        <v>2646</v>
      </c>
      <c r="I1798" s="107"/>
      <c r="L1798" s="12"/>
      <c r="M1798" s="108"/>
      <c r="T1798" s="111"/>
      <c r="AT1798" s="23" t="s">
        <v>227</v>
      </c>
      <c r="AU1798" s="23" t="s">
        <v>87</v>
      </c>
    </row>
    <row r="1799" spans="2:65" s="1" customFormat="1" ht="55.5" customHeight="1">
      <c r="B1799" s="12"/>
      <c r="C1799" s="71" t="s">
        <v>2647</v>
      </c>
      <c r="D1799" s="71" t="s">
        <v>214</v>
      </c>
      <c r="E1799" s="72" t="s">
        <v>2004</v>
      </c>
      <c r="F1799" s="73" t="s">
        <v>2648</v>
      </c>
      <c r="G1799" s="74" t="s">
        <v>808</v>
      </c>
      <c r="H1799" s="75">
        <v>1</v>
      </c>
      <c r="I1799" s="90"/>
      <c r="J1799" s="91">
        <f>ROUND(I1799*H1799,2)</f>
        <v>0</v>
      </c>
      <c r="K1799" s="92"/>
      <c r="L1799" s="12"/>
      <c r="M1799" s="93" t="s">
        <v>1</v>
      </c>
      <c r="N1799" s="94" t="s">
        <v>42</v>
      </c>
      <c r="P1799" s="95">
        <f>O1799*H1799</f>
        <v>0</v>
      </c>
      <c r="Q1799" s="95">
        <v>0</v>
      </c>
      <c r="R1799" s="95">
        <f>Q1799*H1799</f>
        <v>0</v>
      </c>
      <c r="S1799" s="95">
        <v>0</v>
      </c>
      <c r="T1799" s="99">
        <f>S1799*H1799</f>
        <v>0</v>
      </c>
      <c r="AR1799" s="101" t="s">
        <v>218</v>
      </c>
      <c r="AT1799" s="101" t="s">
        <v>214</v>
      </c>
      <c r="AU1799" s="101" t="s">
        <v>87</v>
      </c>
      <c r="AY1799" s="23" t="s">
        <v>211</v>
      </c>
      <c r="BE1799" s="104">
        <f>IF(N1799="základní",J1799,0)</f>
        <v>0</v>
      </c>
      <c r="BF1799" s="104">
        <f>IF(N1799="snížená",J1799,0)</f>
        <v>0</v>
      </c>
      <c r="BG1799" s="104">
        <f>IF(N1799="zákl. přenesená",J1799,0)</f>
        <v>0</v>
      </c>
      <c r="BH1799" s="104">
        <f>IF(N1799="sníž. přenesená",J1799,0)</f>
        <v>0</v>
      </c>
      <c r="BI1799" s="104">
        <f>IF(N1799="nulová",J1799,0)</f>
        <v>0</v>
      </c>
      <c r="BJ1799" s="23" t="s">
        <v>85</v>
      </c>
      <c r="BK1799" s="104">
        <f>ROUND(I1799*H1799,2)</f>
        <v>0</v>
      </c>
      <c r="BL1799" s="23" t="s">
        <v>218</v>
      </c>
      <c r="BM1799" s="101" t="s">
        <v>2649</v>
      </c>
    </row>
    <row r="1800" spans="2:65" s="1" customFormat="1" ht="67.2">
      <c r="B1800" s="12"/>
      <c r="D1800" s="105" t="s">
        <v>227</v>
      </c>
      <c r="F1800" s="106" t="s">
        <v>2650</v>
      </c>
      <c r="I1800" s="107"/>
      <c r="L1800" s="12"/>
      <c r="M1800" s="108"/>
      <c r="T1800" s="111"/>
      <c r="AT1800" s="23" t="s">
        <v>227</v>
      </c>
      <c r="AU1800" s="23" t="s">
        <v>87</v>
      </c>
    </row>
    <row r="1801" spans="2:65" s="1" customFormat="1" ht="55.5" customHeight="1">
      <c r="B1801" s="12"/>
      <c r="C1801" s="71" t="s">
        <v>2651</v>
      </c>
      <c r="D1801" s="71" t="s">
        <v>214</v>
      </c>
      <c r="E1801" s="72" t="s">
        <v>2009</v>
      </c>
      <c r="F1801" s="73" t="s">
        <v>2652</v>
      </c>
      <c r="G1801" s="74" t="s">
        <v>808</v>
      </c>
      <c r="H1801" s="75">
        <v>1</v>
      </c>
      <c r="I1801" s="90"/>
      <c r="J1801" s="91">
        <f>ROUND(I1801*H1801,2)</f>
        <v>0</v>
      </c>
      <c r="K1801" s="92"/>
      <c r="L1801" s="12"/>
      <c r="M1801" s="93" t="s">
        <v>1</v>
      </c>
      <c r="N1801" s="94" t="s">
        <v>42</v>
      </c>
      <c r="P1801" s="95">
        <f>O1801*H1801</f>
        <v>0</v>
      </c>
      <c r="Q1801" s="95">
        <v>0</v>
      </c>
      <c r="R1801" s="95">
        <f>Q1801*H1801</f>
        <v>0</v>
      </c>
      <c r="S1801" s="95">
        <v>0</v>
      </c>
      <c r="T1801" s="99">
        <f>S1801*H1801</f>
        <v>0</v>
      </c>
      <c r="AR1801" s="101" t="s">
        <v>218</v>
      </c>
      <c r="AT1801" s="101" t="s">
        <v>214</v>
      </c>
      <c r="AU1801" s="101" t="s">
        <v>87</v>
      </c>
      <c r="AY1801" s="23" t="s">
        <v>211</v>
      </c>
      <c r="BE1801" s="104">
        <f>IF(N1801="základní",J1801,0)</f>
        <v>0</v>
      </c>
      <c r="BF1801" s="104">
        <f>IF(N1801="snížená",J1801,0)</f>
        <v>0</v>
      </c>
      <c r="BG1801" s="104">
        <f>IF(N1801="zákl. přenesená",J1801,0)</f>
        <v>0</v>
      </c>
      <c r="BH1801" s="104">
        <f>IF(N1801="sníž. přenesená",J1801,0)</f>
        <v>0</v>
      </c>
      <c r="BI1801" s="104">
        <f>IF(N1801="nulová",J1801,0)</f>
        <v>0</v>
      </c>
      <c r="BJ1801" s="23" t="s">
        <v>85</v>
      </c>
      <c r="BK1801" s="104">
        <f>ROUND(I1801*H1801,2)</f>
        <v>0</v>
      </c>
      <c r="BL1801" s="23" t="s">
        <v>218</v>
      </c>
      <c r="BM1801" s="101" t="s">
        <v>2653</v>
      </c>
    </row>
    <row r="1802" spans="2:65" s="1" customFormat="1" ht="67.2">
      <c r="B1802" s="12"/>
      <c r="D1802" s="105" t="s">
        <v>227</v>
      </c>
      <c r="F1802" s="106" t="s">
        <v>2023</v>
      </c>
      <c r="I1802" s="107"/>
      <c r="L1802" s="12"/>
      <c r="M1802" s="108"/>
      <c r="T1802" s="111"/>
      <c r="AT1802" s="23" t="s">
        <v>227</v>
      </c>
      <c r="AU1802" s="23" t="s">
        <v>87</v>
      </c>
    </row>
    <row r="1803" spans="2:65" s="31" customFormat="1" ht="23.1" customHeight="1">
      <c r="B1803" s="67"/>
      <c r="D1803" s="68" t="s">
        <v>76</v>
      </c>
      <c r="E1803" s="70" t="s">
        <v>2654</v>
      </c>
      <c r="F1803" s="70" t="s">
        <v>2655</v>
      </c>
      <c r="I1803" s="85"/>
      <c r="J1803" s="89">
        <f>BK1803</f>
        <v>2667800</v>
      </c>
      <c r="L1803" s="67"/>
      <c r="M1803" s="87"/>
      <c r="P1803" s="88">
        <f>SUM(P1804:P1837)</f>
        <v>0</v>
      </c>
      <c r="R1803" s="88">
        <f>SUM(R1804:R1837)</f>
        <v>0</v>
      </c>
      <c r="T1803" s="98">
        <f>SUM(T1804:T1837)</f>
        <v>0</v>
      </c>
      <c r="AR1803" s="68" t="s">
        <v>85</v>
      </c>
      <c r="AT1803" s="100" t="s">
        <v>76</v>
      </c>
      <c r="AU1803" s="100" t="s">
        <v>85</v>
      </c>
      <c r="AY1803" s="68" t="s">
        <v>211</v>
      </c>
      <c r="BK1803" s="103">
        <f>SUM(BK1804:BK1837)</f>
        <v>2667800</v>
      </c>
    </row>
    <row r="1804" spans="2:65" s="1" customFormat="1" ht="38.1" customHeight="1">
      <c r="B1804" s="12"/>
      <c r="C1804" s="71" t="s">
        <v>2656</v>
      </c>
      <c r="D1804" s="71" t="s">
        <v>214</v>
      </c>
      <c r="E1804" s="72" t="s">
        <v>2657</v>
      </c>
      <c r="F1804" s="73" t="s">
        <v>2658</v>
      </c>
      <c r="G1804" s="74" t="s">
        <v>808</v>
      </c>
      <c r="H1804" s="75">
        <v>16</v>
      </c>
      <c r="I1804" s="90">
        <v>24000</v>
      </c>
      <c r="J1804" s="91">
        <f>ROUND(I1804*H1804,2)</f>
        <v>384000</v>
      </c>
      <c r="K1804" s="92"/>
      <c r="L1804" s="12"/>
      <c r="M1804" s="93" t="s">
        <v>1</v>
      </c>
      <c r="N1804" s="94" t="s">
        <v>42</v>
      </c>
      <c r="P1804" s="95">
        <f>O1804*H1804</f>
        <v>0</v>
      </c>
      <c r="Q1804" s="95">
        <v>0</v>
      </c>
      <c r="R1804" s="95">
        <f>Q1804*H1804</f>
        <v>0</v>
      </c>
      <c r="S1804" s="95">
        <v>0</v>
      </c>
      <c r="T1804" s="99">
        <f>S1804*H1804</f>
        <v>0</v>
      </c>
      <c r="AR1804" s="101" t="s">
        <v>218</v>
      </c>
      <c r="AT1804" s="101" t="s">
        <v>214</v>
      </c>
      <c r="AU1804" s="101" t="s">
        <v>87</v>
      </c>
      <c r="AY1804" s="23" t="s">
        <v>211</v>
      </c>
      <c r="BE1804" s="104">
        <f>IF(N1804="základní",J1804,0)</f>
        <v>384000</v>
      </c>
      <c r="BF1804" s="104">
        <f>IF(N1804="snížená",J1804,0)</f>
        <v>0</v>
      </c>
      <c r="BG1804" s="104">
        <f>IF(N1804="zákl. přenesená",J1804,0)</f>
        <v>0</v>
      </c>
      <c r="BH1804" s="104">
        <f>IF(N1804="sníž. přenesená",J1804,0)</f>
        <v>0</v>
      </c>
      <c r="BI1804" s="104">
        <f>IF(N1804="nulová",J1804,0)</f>
        <v>0</v>
      </c>
      <c r="BJ1804" s="23" t="s">
        <v>85</v>
      </c>
      <c r="BK1804" s="104">
        <f>ROUND(I1804*H1804,2)</f>
        <v>384000</v>
      </c>
      <c r="BL1804" s="23" t="s">
        <v>218</v>
      </c>
      <c r="BM1804" s="101" t="s">
        <v>2659</v>
      </c>
    </row>
    <row r="1805" spans="2:65" s="1" customFormat="1" ht="86.4">
      <c r="B1805" s="12"/>
      <c r="D1805" s="105" t="s">
        <v>227</v>
      </c>
      <c r="F1805" s="106" t="s">
        <v>2660</v>
      </c>
      <c r="I1805" s="107"/>
      <c r="L1805" s="12"/>
      <c r="M1805" s="108"/>
      <c r="T1805" s="111"/>
      <c r="AT1805" s="23" t="s">
        <v>227</v>
      </c>
      <c r="AU1805" s="23" t="s">
        <v>87</v>
      </c>
    </row>
    <row r="1806" spans="2:65" s="1" customFormat="1" ht="38.1" customHeight="1">
      <c r="B1806" s="12"/>
      <c r="C1806" s="71" t="s">
        <v>2661</v>
      </c>
      <c r="D1806" s="71" t="s">
        <v>214</v>
      </c>
      <c r="E1806" s="72" t="s">
        <v>2662</v>
      </c>
      <c r="F1806" s="73" t="s">
        <v>2663</v>
      </c>
      <c r="G1806" s="74" t="s">
        <v>808</v>
      </c>
      <c r="H1806" s="75">
        <v>3</v>
      </c>
      <c r="I1806" s="90">
        <v>32000</v>
      </c>
      <c r="J1806" s="91">
        <f>ROUND(I1806*H1806,2)</f>
        <v>96000</v>
      </c>
      <c r="K1806" s="92"/>
      <c r="L1806" s="12"/>
      <c r="M1806" s="93" t="s">
        <v>1</v>
      </c>
      <c r="N1806" s="94" t="s">
        <v>42</v>
      </c>
      <c r="P1806" s="95">
        <f>O1806*H1806</f>
        <v>0</v>
      </c>
      <c r="Q1806" s="95">
        <v>0</v>
      </c>
      <c r="R1806" s="95">
        <f>Q1806*H1806</f>
        <v>0</v>
      </c>
      <c r="S1806" s="95">
        <v>0</v>
      </c>
      <c r="T1806" s="99">
        <f>S1806*H1806</f>
        <v>0</v>
      </c>
      <c r="AR1806" s="101" t="s">
        <v>218</v>
      </c>
      <c r="AT1806" s="101" t="s">
        <v>214</v>
      </c>
      <c r="AU1806" s="101" t="s">
        <v>87</v>
      </c>
      <c r="AY1806" s="23" t="s">
        <v>211</v>
      </c>
      <c r="BE1806" s="104">
        <f>IF(N1806="základní",J1806,0)</f>
        <v>96000</v>
      </c>
      <c r="BF1806" s="104">
        <f>IF(N1806="snížená",J1806,0)</f>
        <v>0</v>
      </c>
      <c r="BG1806" s="104">
        <f>IF(N1806="zákl. přenesená",J1806,0)</f>
        <v>0</v>
      </c>
      <c r="BH1806" s="104">
        <f>IF(N1806="sníž. přenesená",J1806,0)</f>
        <v>0</v>
      </c>
      <c r="BI1806" s="104">
        <f>IF(N1806="nulová",J1806,0)</f>
        <v>0</v>
      </c>
      <c r="BJ1806" s="23" t="s">
        <v>85</v>
      </c>
      <c r="BK1806" s="104">
        <f>ROUND(I1806*H1806,2)</f>
        <v>96000</v>
      </c>
      <c r="BL1806" s="23" t="s">
        <v>218</v>
      </c>
      <c r="BM1806" s="101" t="s">
        <v>2664</v>
      </c>
    </row>
    <row r="1807" spans="2:65" s="1" customFormat="1" ht="86.4">
      <c r="B1807" s="12"/>
      <c r="D1807" s="105" t="s">
        <v>227</v>
      </c>
      <c r="F1807" s="106" t="s">
        <v>2660</v>
      </c>
      <c r="I1807" s="107"/>
      <c r="L1807" s="12"/>
      <c r="M1807" s="108"/>
      <c r="T1807" s="111"/>
      <c r="AT1807" s="23" t="s">
        <v>227</v>
      </c>
      <c r="AU1807" s="23" t="s">
        <v>87</v>
      </c>
    </row>
    <row r="1808" spans="2:65" s="1" customFormat="1" ht="38.1" customHeight="1">
      <c r="B1808" s="12"/>
      <c r="C1808" s="71" t="s">
        <v>2665</v>
      </c>
      <c r="D1808" s="71" t="s">
        <v>214</v>
      </c>
      <c r="E1808" s="72" t="s">
        <v>2666</v>
      </c>
      <c r="F1808" s="73" t="s">
        <v>2667</v>
      </c>
      <c r="G1808" s="74" t="s">
        <v>808</v>
      </c>
      <c r="H1808" s="75">
        <v>49</v>
      </c>
      <c r="I1808" s="90">
        <v>15000</v>
      </c>
      <c r="J1808" s="91">
        <f>ROUND(I1808*H1808,2)</f>
        <v>735000</v>
      </c>
      <c r="K1808" s="92"/>
      <c r="L1808" s="12"/>
      <c r="M1808" s="93" t="s">
        <v>1</v>
      </c>
      <c r="N1808" s="94" t="s">
        <v>42</v>
      </c>
      <c r="P1808" s="95">
        <f>O1808*H1808</f>
        <v>0</v>
      </c>
      <c r="Q1808" s="95">
        <v>0</v>
      </c>
      <c r="R1808" s="95">
        <f>Q1808*H1808</f>
        <v>0</v>
      </c>
      <c r="S1808" s="95">
        <v>0</v>
      </c>
      <c r="T1808" s="99">
        <f>S1808*H1808</f>
        <v>0</v>
      </c>
      <c r="AR1808" s="101" t="s">
        <v>218</v>
      </c>
      <c r="AT1808" s="101" t="s">
        <v>214</v>
      </c>
      <c r="AU1808" s="101" t="s">
        <v>87</v>
      </c>
      <c r="AY1808" s="23" t="s">
        <v>211</v>
      </c>
      <c r="BE1808" s="104">
        <f>IF(N1808="základní",J1808,0)</f>
        <v>735000</v>
      </c>
      <c r="BF1808" s="104">
        <f>IF(N1808="snížená",J1808,0)</f>
        <v>0</v>
      </c>
      <c r="BG1808" s="104">
        <f>IF(N1808="zákl. přenesená",J1808,0)</f>
        <v>0</v>
      </c>
      <c r="BH1808" s="104">
        <f>IF(N1808="sníž. přenesená",J1808,0)</f>
        <v>0</v>
      </c>
      <c r="BI1808" s="104">
        <f>IF(N1808="nulová",J1808,0)</f>
        <v>0</v>
      </c>
      <c r="BJ1808" s="23" t="s">
        <v>85</v>
      </c>
      <c r="BK1808" s="104">
        <f>ROUND(I1808*H1808,2)</f>
        <v>735000</v>
      </c>
      <c r="BL1808" s="23" t="s">
        <v>218</v>
      </c>
      <c r="BM1808" s="101" t="s">
        <v>2668</v>
      </c>
    </row>
    <row r="1809" spans="2:65" s="1" customFormat="1" ht="86.4">
      <c r="B1809" s="12"/>
      <c r="D1809" s="105" t="s">
        <v>227</v>
      </c>
      <c r="F1809" s="106" t="s">
        <v>2660</v>
      </c>
      <c r="I1809" s="107"/>
      <c r="L1809" s="12"/>
      <c r="M1809" s="108"/>
      <c r="T1809" s="111"/>
      <c r="AT1809" s="23" t="s">
        <v>227</v>
      </c>
      <c r="AU1809" s="23" t="s">
        <v>87</v>
      </c>
    </row>
    <row r="1810" spans="2:65" s="1" customFormat="1" ht="38.1" customHeight="1">
      <c r="B1810" s="12"/>
      <c r="C1810" s="71" t="s">
        <v>2669</v>
      </c>
      <c r="D1810" s="71" t="s">
        <v>214</v>
      </c>
      <c r="E1810" s="72" t="s">
        <v>2670</v>
      </c>
      <c r="F1810" s="73" t="s">
        <v>2671</v>
      </c>
      <c r="G1810" s="74" t="s">
        <v>808</v>
      </c>
      <c r="H1810" s="75">
        <v>12</v>
      </c>
      <c r="I1810" s="90">
        <v>21000</v>
      </c>
      <c r="J1810" s="91">
        <f>ROUND(I1810*H1810,2)</f>
        <v>252000</v>
      </c>
      <c r="K1810" s="92"/>
      <c r="L1810" s="12"/>
      <c r="M1810" s="93" t="s">
        <v>1</v>
      </c>
      <c r="N1810" s="94" t="s">
        <v>42</v>
      </c>
      <c r="P1810" s="95">
        <f>O1810*H1810</f>
        <v>0</v>
      </c>
      <c r="Q1810" s="95">
        <v>0</v>
      </c>
      <c r="R1810" s="95">
        <f>Q1810*H1810</f>
        <v>0</v>
      </c>
      <c r="S1810" s="95">
        <v>0</v>
      </c>
      <c r="T1810" s="99">
        <f>S1810*H1810</f>
        <v>0</v>
      </c>
      <c r="AR1810" s="101" t="s">
        <v>218</v>
      </c>
      <c r="AT1810" s="101" t="s">
        <v>214</v>
      </c>
      <c r="AU1810" s="101" t="s">
        <v>87</v>
      </c>
      <c r="AY1810" s="23" t="s">
        <v>211</v>
      </c>
      <c r="BE1810" s="104">
        <f>IF(N1810="základní",J1810,0)</f>
        <v>252000</v>
      </c>
      <c r="BF1810" s="104">
        <f>IF(N1810="snížená",J1810,0)</f>
        <v>0</v>
      </c>
      <c r="BG1810" s="104">
        <f>IF(N1810="zákl. přenesená",J1810,0)</f>
        <v>0</v>
      </c>
      <c r="BH1810" s="104">
        <f>IF(N1810="sníž. přenesená",J1810,0)</f>
        <v>0</v>
      </c>
      <c r="BI1810" s="104">
        <f>IF(N1810="nulová",J1810,0)</f>
        <v>0</v>
      </c>
      <c r="BJ1810" s="23" t="s">
        <v>85</v>
      </c>
      <c r="BK1810" s="104">
        <f>ROUND(I1810*H1810,2)</f>
        <v>252000</v>
      </c>
      <c r="BL1810" s="23" t="s">
        <v>218</v>
      </c>
      <c r="BM1810" s="101" t="s">
        <v>2672</v>
      </c>
    </row>
    <row r="1811" spans="2:65" s="1" customFormat="1" ht="86.4">
      <c r="B1811" s="12"/>
      <c r="D1811" s="105" t="s">
        <v>227</v>
      </c>
      <c r="F1811" s="106" t="s">
        <v>2660</v>
      </c>
      <c r="I1811" s="107"/>
      <c r="L1811" s="12"/>
      <c r="M1811" s="108"/>
      <c r="T1811" s="111"/>
      <c r="AT1811" s="23" t="s">
        <v>227</v>
      </c>
      <c r="AU1811" s="23" t="s">
        <v>87</v>
      </c>
    </row>
    <row r="1812" spans="2:65" s="1" customFormat="1" ht="38.1" customHeight="1">
      <c r="B1812" s="12"/>
      <c r="C1812" s="71" t="s">
        <v>2673</v>
      </c>
      <c r="D1812" s="71" t="s">
        <v>214</v>
      </c>
      <c r="E1812" s="72" t="s">
        <v>2674</v>
      </c>
      <c r="F1812" s="73" t="s">
        <v>2675</v>
      </c>
      <c r="G1812" s="74" t="s">
        <v>808</v>
      </c>
      <c r="H1812" s="75">
        <v>28</v>
      </c>
      <c r="I1812" s="90">
        <v>6250</v>
      </c>
      <c r="J1812" s="91">
        <f>ROUND(I1812*H1812,2)</f>
        <v>175000</v>
      </c>
      <c r="K1812" s="92"/>
      <c r="L1812" s="12"/>
      <c r="M1812" s="93" t="s">
        <v>1</v>
      </c>
      <c r="N1812" s="94" t="s">
        <v>42</v>
      </c>
      <c r="P1812" s="95">
        <f>O1812*H1812</f>
        <v>0</v>
      </c>
      <c r="Q1812" s="95">
        <v>0</v>
      </c>
      <c r="R1812" s="95">
        <f>Q1812*H1812</f>
        <v>0</v>
      </c>
      <c r="S1812" s="95">
        <v>0</v>
      </c>
      <c r="T1812" s="99">
        <f>S1812*H1812</f>
        <v>0</v>
      </c>
      <c r="AR1812" s="101" t="s">
        <v>218</v>
      </c>
      <c r="AT1812" s="101" t="s">
        <v>214</v>
      </c>
      <c r="AU1812" s="101" t="s">
        <v>87</v>
      </c>
      <c r="AY1812" s="23" t="s">
        <v>211</v>
      </c>
      <c r="BE1812" s="104">
        <f>IF(N1812="základní",J1812,0)</f>
        <v>175000</v>
      </c>
      <c r="BF1812" s="104">
        <f>IF(N1812="snížená",J1812,0)</f>
        <v>0</v>
      </c>
      <c r="BG1812" s="104">
        <f>IF(N1812="zákl. přenesená",J1812,0)</f>
        <v>0</v>
      </c>
      <c r="BH1812" s="104">
        <f>IF(N1812="sníž. přenesená",J1812,0)</f>
        <v>0</v>
      </c>
      <c r="BI1812" s="104">
        <f>IF(N1812="nulová",J1812,0)</f>
        <v>0</v>
      </c>
      <c r="BJ1812" s="23" t="s">
        <v>85</v>
      </c>
      <c r="BK1812" s="104">
        <f>ROUND(I1812*H1812,2)</f>
        <v>175000</v>
      </c>
      <c r="BL1812" s="23" t="s">
        <v>218</v>
      </c>
      <c r="BM1812" s="101" t="s">
        <v>2676</v>
      </c>
    </row>
    <row r="1813" spans="2:65" s="1" customFormat="1" ht="86.4">
      <c r="B1813" s="12"/>
      <c r="D1813" s="105" t="s">
        <v>227</v>
      </c>
      <c r="F1813" s="106" t="s">
        <v>2660</v>
      </c>
      <c r="I1813" s="107"/>
      <c r="L1813" s="12"/>
      <c r="M1813" s="108"/>
      <c r="T1813" s="111"/>
      <c r="AT1813" s="23" t="s">
        <v>227</v>
      </c>
      <c r="AU1813" s="23" t="s">
        <v>87</v>
      </c>
    </row>
    <row r="1814" spans="2:65" s="1" customFormat="1" ht="38.1" customHeight="1">
      <c r="B1814" s="12"/>
      <c r="C1814" s="71" t="s">
        <v>2677</v>
      </c>
      <c r="D1814" s="71" t="s">
        <v>214</v>
      </c>
      <c r="E1814" s="72" t="s">
        <v>2678</v>
      </c>
      <c r="F1814" s="73" t="s">
        <v>2679</v>
      </c>
      <c r="G1814" s="74" t="s">
        <v>808</v>
      </c>
      <c r="H1814" s="75">
        <v>1</v>
      </c>
      <c r="I1814" s="90">
        <v>22000</v>
      </c>
      <c r="J1814" s="91">
        <f>ROUND(I1814*H1814,2)</f>
        <v>22000</v>
      </c>
      <c r="K1814" s="92"/>
      <c r="L1814" s="12"/>
      <c r="M1814" s="93" t="s">
        <v>1</v>
      </c>
      <c r="N1814" s="94" t="s">
        <v>42</v>
      </c>
      <c r="P1814" s="95">
        <f>O1814*H1814</f>
        <v>0</v>
      </c>
      <c r="Q1814" s="95">
        <v>0</v>
      </c>
      <c r="R1814" s="95">
        <f>Q1814*H1814</f>
        <v>0</v>
      </c>
      <c r="S1814" s="95">
        <v>0</v>
      </c>
      <c r="T1814" s="99">
        <f>S1814*H1814</f>
        <v>0</v>
      </c>
      <c r="AR1814" s="101" t="s">
        <v>218</v>
      </c>
      <c r="AT1814" s="101" t="s">
        <v>214</v>
      </c>
      <c r="AU1814" s="101" t="s">
        <v>87</v>
      </c>
      <c r="AY1814" s="23" t="s">
        <v>211</v>
      </c>
      <c r="BE1814" s="104">
        <f>IF(N1814="základní",J1814,0)</f>
        <v>22000</v>
      </c>
      <c r="BF1814" s="104">
        <f>IF(N1814="snížená",J1814,0)</f>
        <v>0</v>
      </c>
      <c r="BG1814" s="104">
        <f>IF(N1814="zákl. přenesená",J1814,0)</f>
        <v>0</v>
      </c>
      <c r="BH1814" s="104">
        <f>IF(N1814="sníž. přenesená",J1814,0)</f>
        <v>0</v>
      </c>
      <c r="BI1814" s="104">
        <f>IF(N1814="nulová",J1814,0)</f>
        <v>0</v>
      </c>
      <c r="BJ1814" s="23" t="s">
        <v>85</v>
      </c>
      <c r="BK1814" s="104">
        <f>ROUND(I1814*H1814,2)</f>
        <v>22000</v>
      </c>
      <c r="BL1814" s="23" t="s">
        <v>218</v>
      </c>
      <c r="BM1814" s="101" t="s">
        <v>2680</v>
      </c>
    </row>
    <row r="1815" spans="2:65" s="1" customFormat="1" ht="86.4">
      <c r="B1815" s="12"/>
      <c r="D1815" s="105" t="s">
        <v>227</v>
      </c>
      <c r="F1815" s="106" t="s">
        <v>2660</v>
      </c>
      <c r="I1815" s="107"/>
      <c r="L1815" s="12"/>
      <c r="M1815" s="108"/>
      <c r="T1815" s="111"/>
      <c r="AT1815" s="23" t="s">
        <v>227</v>
      </c>
      <c r="AU1815" s="23" t="s">
        <v>87</v>
      </c>
    </row>
    <row r="1816" spans="2:65" s="1" customFormat="1" ht="38.1" customHeight="1">
      <c r="B1816" s="12"/>
      <c r="C1816" s="71" t="s">
        <v>2681</v>
      </c>
      <c r="D1816" s="71" t="s">
        <v>214</v>
      </c>
      <c r="E1816" s="72" t="s">
        <v>2682</v>
      </c>
      <c r="F1816" s="73" t="s">
        <v>2683</v>
      </c>
      <c r="G1816" s="74" t="s">
        <v>808</v>
      </c>
      <c r="H1816" s="75">
        <v>1</v>
      </c>
      <c r="I1816" s="90">
        <v>33000</v>
      </c>
      <c r="J1816" s="91">
        <f>ROUND(I1816*H1816,2)</f>
        <v>33000</v>
      </c>
      <c r="K1816" s="92"/>
      <c r="L1816" s="12"/>
      <c r="M1816" s="93" t="s">
        <v>1</v>
      </c>
      <c r="N1816" s="94" t="s">
        <v>42</v>
      </c>
      <c r="P1816" s="95">
        <f>O1816*H1816</f>
        <v>0</v>
      </c>
      <c r="Q1816" s="95">
        <v>0</v>
      </c>
      <c r="R1816" s="95">
        <f>Q1816*H1816</f>
        <v>0</v>
      </c>
      <c r="S1816" s="95">
        <v>0</v>
      </c>
      <c r="T1816" s="99">
        <f>S1816*H1816</f>
        <v>0</v>
      </c>
      <c r="AR1816" s="101" t="s">
        <v>218</v>
      </c>
      <c r="AT1816" s="101" t="s">
        <v>214</v>
      </c>
      <c r="AU1816" s="101" t="s">
        <v>87</v>
      </c>
      <c r="AY1816" s="23" t="s">
        <v>211</v>
      </c>
      <c r="BE1816" s="104">
        <f>IF(N1816="základní",J1816,0)</f>
        <v>33000</v>
      </c>
      <c r="BF1816" s="104">
        <f>IF(N1816="snížená",J1816,0)</f>
        <v>0</v>
      </c>
      <c r="BG1816" s="104">
        <f>IF(N1816="zákl. přenesená",J1816,0)</f>
        <v>0</v>
      </c>
      <c r="BH1816" s="104">
        <f>IF(N1816="sníž. přenesená",J1816,0)</f>
        <v>0</v>
      </c>
      <c r="BI1816" s="104">
        <f>IF(N1816="nulová",J1816,0)</f>
        <v>0</v>
      </c>
      <c r="BJ1816" s="23" t="s">
        <v>85</v>
      </c>
      <c r="BK1816" s="104">
        <f>ROUND(I1816*H1816,2)</f>
        <v>33000</v>
      </c>
      <c r="BL1816" s="23" t="s">
        <v>218</v>
      </c>
      <c r="BM1816" s="101" t="s">
        <v>2684</v>
      </c>
    </row>
    <row r="1817" spans="2:65" s="1" customFormat="1" ht="86.4">
      <c r="B1817" s="12"/>
      <c r="D1817" s="105" t="s">
        <v>227</v>
      </c>
      <c r="F1817" s="106" t="s">
        <v>2660</v>
      </c>
      <c r="I1817" s="107"/>
      <c r="L1817" s="12"/>
      <c r="M1817" s="108"/>
      <c r="T1817" s="111"/>
      <c r="AT1817" s="23" t="s">
        <v>227</v>
      </c>
      <c r="AU1817" s="23" t="s">
        <v>87</v>
      </c>
    </row>
    <row r="1818" spans="2:65" s="1" customFormat="1" ht="38.1" customHeight="1">
      <c r="B1818" s="12"/>
      <c r="C1818" s="71" t="s">
        <v>2685</v>
      </c>
      <c r="D1818" s="71" t="s">
        <v>214</v>
      </c>
      <c r="E1818" s="72" t="s">
        <v>2686</v>
      </c>
      <c r="F1818" s="73" t="s">
        <v>2687</v>
      </c>
      <c r="G1818" s="74" t="s">
        <v>808</v>
      </c>
      <c r="H1818" s="75">
        <v>1</v>
      </c>
      <c r="I1818" s="90">
        <v>30000</v>
      </c>
      <c r="J1818" s="91">
        <f>ROUND(I1818*H1818,2)</f>
        <v>30000</v>
      </c>
      <c r="K1818" s="92"/>
      <c r="L1818" s="12"/>
      <c r="M1818" s="93" t="s">
        <v>1</v>
      </c>
      <c r="N1818" s="94" t="s">
        <v>42</v>
      </c>
      <c r="P1818" s="95">
        <f>O1818*H1818</f>
        <v>0</v>
      </c>
      <c r="Q1818" s="95">
        <v>0</v>
      </c>
      <c r="R1818" s="95">
        <f>Q1818*H1818</f>
        <v>0</v>
      </c>
      <c r="S1818" s="95">
        <v>0</v>
      </c>
      <c r="T1818" s="99">
        <f>S1818*H1818</f>
        <v>0</v>
      </c>
      <c r="AR1818" s="101" t="s">
        <v>218</v>
      </c>
      <c r="AT1818" s="101" t="s">
        <v>214</v>
      </c>
      <c r="AU1818" s="101" t="s">
        <v>87</v>
      </c>
      <c r="AY1818" s="23" t="s">
        <v>211</v>
      </c>
      <c r="BE1818" s="104">
        <f>IF(N1818="základní",J1818,0)</f>
        <v>30000</v>
      </c>
      <c r="BF1818" s="104">
        <f>IF(N1818="snížená",J1818,0)</f>
        <v>0</v>
      </c>
      <c r="BG1818" s="104">
        <f>IF(N1818="zákl. přenesená",J1818,0)</f>
        <v>0</v>
      </c>
      <c r="BH1818" s="104">
        <f>IF(N1818="sníž. přenesená",J1818,0)</f>
        <v>0</v>
      </c>
      <c r="BI1818" s="104">
        <f>IF(N1818="nulová",J1818,0)</f>
        <v>0</v>
      </c>
      <c r="BJ1818" s="23" t="s">
        <v>85</v>
      </c>
      <c r="BK1818" s="104">
        <f>ROUND(I1818*H1818,2)</f>
        <v>30000</v>
      </c>
      <c r="BL1818" s="23" t="s">
        <v>218</v>
      </c>
      <c r="BM1818" s="101" t="s">
        <v>2688</v>
      </c>
    </row>
    <row r="1819" spans="2:65" s="1" customFormat="1" ht="86.4">
      <c r="B1819" s="12"/>
      <c r="D1819" s="105" t="s">
        <v>227</v>
      </c>
      <c r="F1819" s="106" t="s">
        <v>2660</v>
      </c>
      <c r="I1819" s="107"/>
      <c r="L1819" s="12"/>
      <c r="M1819" s="108"/>
      <c r="T1819" s="111"/>
      <c r="AT1819" s="23" t="s">
        <v>227</v>
      </c>
      <c r="AU1819" s="23" t="s">
        <v>87</v>
      </c>
    </row>
    <row r="1820" spans="2:65" s="1" customFormat="1" ht="38.1" customHeight="1">
      <c r="B1820" s="12"/>
      <c r="C1820" s="71" t="s">
        <v>2689</v>
      </c>
      <c r="D1820" s="71" t="s">
        <v>214</v>
      </c>
      <c r="E1820" s="72" t="s">
        <v>2690</v>
      </c>
      <c r="F1820" s="73" t="s">
        <v>2691</v>
      </c>
      <c r="G1820" s="74" t="s">
        <v>808</v>
      </c>
      <c r="H1820" s="75">
        <v>1</v>
      </c>
      <c r="I1820" s="90">
        <v>27000</v>
      </c>
      <c r="J1820" s="91">
        <f>ROUND(I1820*H1820,2)</f>
        <v>27000</v>
      </c>
      <c r="K1820" s="92"/>
      <c r="L1820" s="12"/>
      <c r="M1820" s="93" t="s">
        <v>1</v>
      </c>
      <c r="N1820" s="94" t="s">
        <v>42</v>
      </c>
      <c r="P1820" s="95">
        <f>O1820*H1820</f>
        <v>0</v>
      </c>
      <c r="Q1820" s="95">
        <v>0</v>
      </c>
      <c r="R1820" s="95">
        <f>Q1820*H1820</f>
        <v>0</v>
      </c>
      <c r="S1820" s="95">
        <v>0</v>
      </c>
      <c r="T1820" s="99">
        <f>S1820*H1820</f>
        <v>0</v>
      </c>
      <c r="AR1820" s="101" t="s">
        <v>218</v>
      </c>
      <c r="AT1820" s="101" t="s">
        <v>214</v>
      </c>
      <c r="AU1820" s="101" t="s">
        <v>87</v>
      </c>
      <c r="AY1820" s="23" t="s">
        <v>211</v>
      </c>
      <c r="BE1820" s="104">
        <f>IF(N1820="základní",J1820,0)</f>
        <v>27000</v>
      </c>
      <c r="BF1820" s="104">
        <f>IF(N1820="snížená",J1820,0)</f>
        <v>0</v>
      </c>
      <c r="BG1820" s="104">
        <f>IF(N1820="zákl. přenesená",J1820,0)</f>
        <v>0</v>
      </c>
      <c r="BH1820" s="104">
        <f>IF(N1820="sníž. přenesená",J1820,0)</f>
        <v>0</v>
      </c>
      <c r="BI1820" s="104">
        <f>IF(N1820="nulová",J1820,0)</f>
        <v>0</v>
      </c>
      <c r="BJ1820" s="23" t="s">
        <v>85</v>
      </c>
      <c r="BK1820" s="104">
        <f>ROUND(I1820*H1820,2)</f>
        <v>27000</v>
      </c>
      <c r="BL1820" s="23" t="s">
        <v>218</v>
      </c>
      <c r="BM1820" s="101" t="s">
        <v>2692</v>
      </c>
    </row>
    <row r="1821" spans="2:65" s="1" customFormat="1" ht="86.4">
      <c r="B1821" s="12"/>
      <c r="D1821" s="105" t="s">
        <v>227</v>
      </c>
      <c r="F1821" s="106" t="s">
        <v>2660</v>
      </c>
      <c r="I1821" s="107"/>
      <c r="L1821" s="12"/>
      <c r="M1821" s="108"/>
      <c r="T1821" s="111"/>
      <c r="AT1821" s="23" t="s">
        <v>227</v>
      </c>
      <c r="AU1821" s="23" t="s">
        <v>87</v>
      </c>
    </row>
    <row r="1822" spans="2:65" s="1" customFormat="1" ht="38.1" customHeight="1">
      <c r="B1822" s="12"/>
      <c r="C1822" s="71" t="s">
        <v>2693</v>
      </c>
      <c r="D1822" s="71" t="s">
        <v>214</v>
      </c>
      <c r="E1822" s="72" t="s">
        <v>2694</v>
      </c>
      <c r="F1822" s="73" t="s">
        <v>2695</v>
      </c>
      <c r="G1822" s="74" t="s">
        <v>808</v>
      </c>
      <c r="H1822" s="75">
        <v>1</v>
      </c>
      <c r="I1822" s="90">
        <v>17000</v>
      </c>
      <c r="J1822" s="91">
        <f>ROUND(I1822*H1822,2)</f>
        <v>17000</v>
      </c>
      <c r="K1822" s="92"/>
      <c r="L1822" s="12"/>
      <c r="M1822" s="93" t="s">
        <v>1</v>
      </c>
      <c r="N1822" s="94" t="s">
        <v>42</v>
      </c>
      <c r="P1822" s="95">
        <f>O1822*H1822</f>
        <v>0</v>
      </c>
      <c r="Q1822" s="95">
        <v>0</v>
      </c>
      <c r="R1822" s="95">
        <f>Q1822*H1822</f>
        <v>0</v>
      </c>
      <c r="S1822" s="95">
        <v>0</v>
      </c>
      <c r="T1822" s="99">
        <f>S1822*H1822</f>
        <v>0</v>
      </c>
      <c r="AR1822" s="101" t="s">
        <v>218</v>
      </c>
      <c r="AT1822" s="101" t="s">
        <v>214</v>
      </c>
      <c r="AU1822" s="101" t="s">
        <v>87</v>
      </c>
      <c r="AY1822" s="23" t="s">
        <v>211</v>
      </c>
      <c r="BE1822" s="104">
        <f>IF(N1822="základní",J1822,0)</f>
        <v>17000</v>
      </c>
      <c r="BF1822" s="104">
        <f>IF(N1822="snížená",J1822,0)</f>
        <v>0</v>
      </c>
      <c r="BG1822" s="104">
        <f>IF(N1822="zákl. přenesená",J1822,0)</f>
        <v>0</v>
      </c>
      <c r="BH1822" s="104">
        <f>IF(N1822="sníž. přenesená",J1822,0)</f>
        <v>0</v>
      </c>
      <c r="BI1822" s="104">
        <f>IF(N1822="nulová",J1822,0)</f>
        <v>0</v>
      </c>
      <c r="BJ1822" s="23" t="s">
        <v>85</v>
      </c>
      <c r="BK1822" s="104">
        <f>ROUND(I1822*H1822,2)</f>
        <v>17000</v>
      </c>
      <c r="BL1822" s="23" t="s">
        <v>218</v>
      </c>
      <c r="BM1822" s="101" t="s">
        <v>2696</v>
      </c>
    </row>
    <row r="1823" spans="2:65" s="1" customFormat="1" ht="86.4">
      <c r="B1823" s="12"/>
      <c r="D1823" s="105" t="s">
        <v>227</v>
      </c>
      <c r="F1823" s="106" t="s">
        <v>2660</v>
      </c>
      <c r="I1823" s="107"/>
      <c r="L1823" s="12"/>
      <c r="M1823" s="108"/>
      <c r="T1823" s="111"/>
      <c r="AT1823" s="23" t="s">
        <v>227</v>
      </c>
      <c r="AU1823" s="23" t="s">
        <v>87</v>
      </c>
    </row>
    <row r="1824" spans="2:65" s="1" customFormat="1" ht="38.1" customHeight="1">
      <c r="B1824" s="12"/>
      <c r="C1824" s="71" t="s">
        <v>2697</v>
      </c>
      <c r="D1824" s="71" t="s">
        <v>214</v>
      </c>
      <c r="E1824" s="72" t="s">
        <v>2698</v>
      </c>
      <c r="F1824" s="73" t="s">
        <v>2699</v>
      </c>
      <c r="G1824" s="74" t="s">
        <v>808</v>
      </c>
      <c r="H1824" s="75">
        <v>34</v>
      </c>
      <c r="I1824" s="90">
        <v>13000</v>
      </c>
      <c r="J1824" s="91">
        <f>ROUND(I1824*H1824,2)</f>
        <v>442000</v>
      </c>
      <c r="K1824" s="92"/>
      <c r="L1824" s="12"/>
      <c r="M1824" s="93" t="s">
        <v>1</v>
      </c>
      <c r="N1824" s="94" t="s">
        <v>42</v>
      </c>
      <c r="P1824" s="95">
        <f>O1824*H1824</f>
        <v>0</v>
      </c>
      <c r="Q1824" s="95">
        <v>0</v>
      </c>
      <c r="R1824" s="95">
        <f>Q1824*H1824</f>
        <v>0</v>
      </c>
      <c r="S1824" s="95">
        <v>0</v>
      </c>
      <c r="T1824" s="99">
        <f>S1824*H1824</f>
        <v>0</v>
      </c>
      <c r="AR1824" s="101" t="s">
        <v>218</v>
      </c>
      <c r="AT1824" s="101" t="s">
        <v>214</v>
      </c>
      <c r="AU1824" s="101" t="s">
        <v>87</v>
      </c>
      <c r="AY1824" s="23" t="s">
        <v>211</v>
      </c>
      <c r="BE1824" s="104">
        <f>IF(N1824="základní",J1824,0)</f>
        <v>442000</v>
      </c>
      <c r="BF1824" s="104">
        <f>IF(N1824="snížená",J1824,0)</f>
        <v>0</v>
      </c>
      <c r="BG1824" s="104">
        <f>IF(N1824="zákl. přenesená",J1824,0)</f>
        <v>0</v>
      </c>
      <c r="BH1824" s="104">
        <f>IF(N1824="sníž. přenesená",J1824,0)</f>
        <v>0</v>
      </c>
      <c r="BI1824" s="104">
        <f>IF(N1824="nulová",J1824,0)</f>
        <v>0</v>
      </c>
      <c r="BJ1824" s="23" t="s">
        <v>85</v>
      </c>
      <c r="BK1824" s="104">
        <f>ROUND(I1824*H1824,2)</f>
        <v>442000</v>
      </c>
      <c r="BL1824" s="23" t="s">
        <v>218</v>
      </c>
      <c r="BM1824" s="101" t="s">
        <v>2700</v>
      </c>
    </row>
    <row r="1825" spans="2:65" s="1" customFormat="1" ht="67.2">
      <c r="B1825" s="12"/>
      <c r="D1825" s="105" t="s">
        <v>227</v>
      </c>
      <c r="F1825" s="106" t="s">
        <v>2701</v>
      </c>
      <c r="I1825" s="107"/>
      <c r="L1825" s="12"/>
      <c r="M1825" s="108"/>
      <c r="T1825" s="111"/>
      <c r="AT1825" s="23" t="s">
        <v>227</v>
      </c>
      <c r="AU1825" s="23" t="s">
        <v>87</v>
      </c>
    </row>
    <row r="1826" spans="2:65" s="1" customFormat="1" ht="38.1" customHeight="1">
      <c r="B1826" s="12"/>
      <c r="C1826" s="71" t="s">
        <v>2702</v>
      </c>
      <c r="D1826" s="71" t="s">
        <v>214</v>
      </c>
      <c r="E1826" s="72" t="s">
        <v>2703</v>
      </c>
      <c r="F1826" s="73" t="s">
        <v>2704</v>
      </c>
      <c r="G1826" s="74" t="s">
        <v>808</v>
      </c>
      <c r="H1826" s="75">
        <v>19</v>
      </c>
      <c r="I1826" s="90">
        <v>7200</v>
      </c>
      <c r="J1826" s="91">
        <f>ROUND(I1826*H1826,2)</f>
        <v>136800</v>
      </c>
      <c r="K1826" s="92"/>
      <c r="L1826" s="12"/>
      <c r="M1826" s="93" t="s">
        <v>1</v>
      </c>
      <c r="N1826" s="94" t="s">
        <v>42</v>
      </c>
      <c r="P1826" s="95">
        <f>O1826*H1826</f>
        <v>0</v>
      </c>
      <c r="Q1826" s="95">
        <v>0</v>
      </c>
      <c r="R1826" s="95">
        <f>Q1826*H1826</f>
        <v>0</v>
      </c>
      <c r="S1826" s="95">
        <v>0</v>
      </c>
      <c r="T1826" s="99">
        <f>S1826*H1826</f>
        <v>0</v>
      </c>
      <c r="AR1826" s="101" t="s">
        <v>218</v>
      </c>
      <c r="AT1826" s="101" t="s">
        <v>214</v>
      </c>
      <c r="AU1826" s="101" t="s">
        <v>87</v>
      </c>
      <c r="AY1826" s="23" t="s">
        <v>211</v>
      </c>
      <c r="BE1826" s="104">
        <f>IF(N1826="základní",J1826,0)</f>
        <v>136800</v>
      </c>
      <c r="BF1826" s="104">
        <f>IF(N1826="snížená",J1826,0)</f>
        <v>0</v>
      </c>
      <c r="BG1826" s="104">
        <f>IF(N1826="zákl. přenesená",J1826,0)</f>
        <v>0</v>
      </c>
      <c r="BH1826" s="104">
        <f>IF(N1826="sníž. přenesená",J1826,0)</f>
        <v>0</v>
      </c>
      <c r="BI1826" s="104">
        <f>IF(N1826="nulová",J1826,0)</f>
        <v>0</v>
      </c>
      <c r="BJ1826" s="23" t="s">
        <v>85</v>
      </c>
      <c r="BK1826" s="104">
        <f>ROUND(I1826*H1826,2)</f>
        <v>136800</v>
      </c>
      <c r="BL1826" s="23" t="s">
        <v>218</v>
      </c>
      <c r="BM1826" s="101" t="s">
        <v>2705</v>
      </c>
    </row>
    <row r="1827" spans="2:65" s="1" customFormat="1" ht="67.2">
      <c r="B1827" s="12"/>
      <c r="D1827" s="105" t="s">
        <v>227</v>
      </c>
      <c r="F1827" s="106" t="s">
        <v>2701</v>
      </c>
      <c r="I1827" s="107"/>
      <c r="L1827" s="12"/>
      <c r="M1827" s="108"/>
      <c r="T1827" s="111"/>
      <c r="AT1827" s="23" t="s">
        <v>227</v>
      </c>
      <c r="AU1827" s="23" t="s">
        <v>87</v>
      </c>
    </row>
    <row r="1828" spans="2:65" s="1" customFormat="1" ht="38.1" customHeight="1">
      <c r="B1828" s="12"/>
      <c r="C1828" s="71" t="s">
        <v>2706</v>
      </c>
      <c r="D1828" s="71" t="s">
        <v>214</v>
      </c>
      <c r="E1828" s="72" t="s">
        <v>2707</v>
      </c>
      <c r="F1828" s="73" t="s">
        <v>2708</v>
      </c>
      <c r="G1828" s="74" t="s">
        <v>808</v>
      </c>
      <c r="H1828" s="75">
        <v>8</v>
      </c>
      <c r="I1828" s="90">
        <v>13000</v>
      </c>
      <c r="J1828" s="91">
        <f>ROUND(I1828*H1828,2)</f>
        <v>104000</v>
      </c>
      <c r="K1828" s="92"/>
      <c r="L1828" s="12"/>
      <c r="M1828" s="93" t="s">
        <v>1</v>
      </c>
      <c r="N1828" s="94" t="s">
        <v>42</v>
      </c>
      <c r="P1828" s="95">
        <f>O1828*H1828</f>
        <v>0</v>
      </c>
      <c r="Q1828" s="95">
        <v>0</v>
      </c>
      <c r="R1828" s="95">
        <f>Q1828*H1828</f>
        <v>0</v>
      </c>
      <c r="S1828" s="95">
        <v>0</v>
      </c>
      <c r="T1828" s="99">
        <f>S1828*H1828</f>
        <v>0</v>
      </c>
      <c r="AR1828" s="101" t="s">
        <v>218</v>
      </c>
      <c r="AT1828" s="101" t="s">
        <v>214</v>
      </c>
      <c r="AU1828" s="101" t="s">
        <v>87</v>
      </c>
      <c r="AY1828" s="23" t="s">
        <v>211</v>
      </c>
      <c r="BE1828" s="104">
        <f>IF(N1828="základní",J1828,0)</f>
        <v>104000</v>
      </c>
      <c r="BF1828" s="104">
        <f>IF(N1828="snížená",J1828,0)</f>
        <v>0</v>
      </c>
      <c r="BG1828" s="104">
        <f>IF(N1828="zákl. přenesená",J1828,0)</f>
        <v>0</v>
      </c>
      <c r="BH1828" s="104">
        <f>IF(N1828="sníž. přenesená",J1828,0)</f>
        <v>0</v>
      </c>
      <c r="BI1828" s="104">
        <f>IF(N1828="nulová",J1828,0)</f>
        <v>0</v>
      </c>
      <c r="BJ1828" s="23" t="s">
        <v>85</v>
      </c>
      <c r="BK1828" s="104">
        <f>ROUND(I1828*H1828,2)</f>
        <v>104000</v>
      </c>
      <c r="BL1828" s="23" t="s">
        <v>218</v>
      </c>
      <c r="BM1828" s="101" t="s">
        <v>2709</v>
      </c>
    </row>
    <row r="1829" spans="2:65" s="1" customFormat="1" ht="57.6">
      <c r="B1829" s="12"/>
      <c r="D1829" s="105" t="s">
        <v>227</v>
      </c>
      <c r="F1829" s="106" t="s">
        <v>2710</v>
      </c>
      <c r="I1829" s="107"/>
      <c r="L1829" s="12"/>
      <c r="M1829" s="108"/>
      <c r="T1829" s="111"/>
      <c r="AT1829" s="23" t="s">
        <v>227</v>
      </c>
      <c r="AU1829" s="23" t="s">
        <v>87</v>
      </c>
    </row>
    <row r="1830" spans="2:65" s="1" customFormat="1" ht="38.1" customHeight="1">
      <c r="B1830" s="12"/>
      <c r="C1830" s="71" t="s">
        <v>2711</v>
      </c>
      <c r="D1830" s="71" t="s">
        <v>214</v>
      </c>
      <c r="E1830" s="72" t="s">
        <v>2712</v>
      </c>
      <c r="F1830" s="73" t="s">
        <v>2713</v>
      </c>
      <c r="G1830" s="74" t="s">
        <v>808</v>
      </c>
      <c r="H1830" s="75">
        <v>6</v>
      </c>
      <c r="I1830" s="90">
        <v>12000</v>
      </c>
      <c r="J1830" s="91">
        <f>ROUND(I1830*H1830,2)</f>
        <v>72000</v>
      </c>
      <c r="K1830" s="92"/>
      <c r="L1830" s="12"/>
      <c r="M1830" s="93" t="s">
        <v>1</v>
      </c>
      <c r="N1830" s="94" t="s">
        <v>42</v>
      </c>
      <c r="P1830" s="95">
        <f>O1830*H1830</f>
        <v>0</v>
      </c>
      <c r="Q1830" s="95">
        <v>0</v>
      </c>
      <c r="R1830" s="95">
        <f>Q1830*H1830</f>
        <v>0</v>
      </c>
      <c r="S1830" s="95">
        <v>0</v>
      </c>
      <c r="T1830" s="99">
        <f>S1830*H1830</f>
        <v>0</v>
      </c>
      <c r="AR1830" s="101" t="s">
        <v>218</v>
      </c>
      <c r="AT1830" s="101" t="s">
        <v>214</v>
      </c>
      <c r="AU1830" s="101" t="s">
        <v>87</v>
      </c>
      <c r="AY1830" s="23" t="s">
        <v>211</v>
      </c>
      <c r="BE1830" s="104">
        <f>IF(N1830="základní",J1830,0)</f>
        <v>72000</v>
      </c>
      <c r="BF1830" s="104">
        <f>IF(N1830="snížená",J1830,0)</f>
        <v>0</v>
      </c>
      <c r="BG1830" s="104">
        <f>IF(N1830="zákl. přenesená",J1830,0)</f>
        <v>0</v>
      </c>
      <c r="BH1830" s="104">
        <f>IF(N1830="sníž. přenesená",J1830,0)</f>
        <v>0</v>
      </c>
      <c r="BI1830" s="104">
        <f>IF(N1830="nulová",J1830,0)</f>
        <v>0</v>
      </c>
      <c r="BJ1830" s="23" t="s">
        <v>85</v>
      </c>
      <c r="BK1830" s="104">
        <f>ROUND(I1830*H1830,2)</f>
        <v>72000</v>
      </c>
      <c r="BL1830" s="23" t="s">
        <v>218</v>
      </c>
      <c r="BM1830" s="101" t="s">
        <v>2714</v>
      </c>
    </row>
    <row r="1831" spans="2:65" s="1" customFormat="1" ht="67.2">
      <c r="B1831" s="12"/>
      <c r="D1831" s="105" t="s">
        <v>227</v>
      </c>
      <c r="F1831" s="106" t="s">
        <v>2701</v>
      </c>
      <c r="I1831" s="107"/>
      <c r="L1831" s="12"/>
      <c r="M1831" s="108"/>
      <c r="T1831" s="111"/>
      <c r="AT1831" s="23" t="s">
        <v>227</v>
      </c>
      <c r="AU1831" s="23" t="s">
        <v>87</v>
      </c>
    </row>
    <row r="1832" spans="2:65" s="1" customFormat="1" ht="38.1" customHeight="1">
      <c r="B1832" s="12"/>
      <c r="C1832" s="71" t="s">
        <v>2715</v>
      </c>
      <c r="D1832" s="71" t="s">
        <v>214</v>
      </c>
      <c r="E1832" s="72" t="s">
        <v>2716</v>
      </c>
      <c r="F1832" s="73" t="s">
        <v>2717</v>
      </c>
      <c r="G1832" s="74" t="s">
        <v>808</v>
      </c>
      <c r="H1832" s="75">
        <v>4</v>
      </c>
      <c r="I1832" s="90">
        <v>16000</v>
      </c>
      <c r="J1832" s="91">
        <f>ROUND(I1832*H1832,2)</f>
        <v>64000</v>
      </c>
      <c r="K1832" s="92"/>
      <c r="L1832" s="12"/>
      <c r="M1832" s="93" t="s">
        <v>1</v>
      </c>
      <c r="N1832" s="94" t="s">
        <v>42</v>
      </c>
      <c r="P1832" s="95">
        <f>O1832*H1832</f>
        <v>0</v>
      </c>
      <c r="Q1832" s="95">
        <v>0</v>
      </c>
      <c r="R1832" s="95">
        <f>Q1832*H1832</f>
        <v>0</v>
      </c>
      <c r="S1832" s="95">
        <v>0</v>
      </c>
      <c r="T1832" s="99">
        <f>S1832*H1832</f>
        <v>0</v>
      </c>
      <c r="AR1832" s="101" t="s">
        <v>218</v>
      </c>
      <c r="AT1832" s="101" t="s">
        <v>214</v>
      </c>
      <c r="AU1832" s="101" t="s">
        <v>87</v>
      </c>
      <c r="AY1832" s="23" t="s">
        <v>211</v>
      </c>
      <c r="BE1832" s="104">
        <f>IF(N1832="základní",J1832,0)</f>
        <v>64000</v>
      </c>
      <c r="BF1832" s="104">
        <f>IF(N1832="snížená",J1832,0)</f>
        <v>0</v>
      </c>
      <c r="BG1832" s="104">
        <f>IF(N1832="zákl. přenesená",J1832,0)</f>
        <v>0</v>
      </c>
      <c r="BH1832" s="104">
        <f>IF(N1832="sníž. přenesená",J1832,0)</f>
        <v>0</v>
      </c>
      <c r="BI1832" s="104">
        <f>IF(N1832="nulová",J1832,0)</f>
        <v>0</v>
      </c>
      <c r="BJ1832" s="23" t="s">
        <v>85</v>
      </c>
      <c r="BK1832" s="104">
        <f>ROUND(I1832*H1832,2)</f>
        <v>64000</v>
      </c>
      <c r="BL1832" s="23" t="s">
        <v>218</v>
      </c>
      <c r="BM1832" s="101" t="s">
        <v>2718</v>
      </c>
    </row>
    <row r="1833" spans="2:65" s="1" customFormat="1" ht="67.2">
      <c r="B1833" s="12"/>
      <c r="D1833" s="105" t="s">
        <v>227</v>
      </c>
      <c r="F1833" s="106" t="s">
        <v>2701</v>
      </c>
      <c r="I1833" s="107"/>
      <c r="L1833" s="12"/>
      <c r="M1833" s="108"/>
      <c r="T1833" s="111"/>
      <c r="AT1833" s="23" t="s">
        <v>227</v>
      </c>
      <c r="AU1833" s="23" t="s">
        <v>87</v>
      </c>
    </row>
    <row r="1834" spans="2:65" s="1" customFormat="1" ht="38.1" customHeight="1">
      <c r="B1834" s="12"/>
      <c r="C1834" s="71" t="s">
        <v>2719</v>
      </c>
      <c r="D1834" s="71" t="s">
        <v>214</v>
      </c>
      <c r="E1834" s="72" t="s">
        <v>2720</v>
      </c>
      <c r="F1834" s="73" t="s">
        <v>2721</v>
      </c>
      <c r="G1834" s="74" t="s">
        <v>808</v>
      </c>
      <c r="H1834" s="75">
        <v>1</v>
      </c>
      <c r="I1834" s="90">
        <v>10000</v>
      </c>
      <c r="J1834" s="91">
        <f>ROUND(I1834*H1834,2)</f>
        <v>10000</v>
      </c>
      <c r="K1834" s="92"/>
      <c r="L1834" s="12"/>
      <c r="M1834" s="93" t="s">
        <v>1</v>
      </c>
      <c r="N1834" s="94" t="s">
        <v>42</v>
      </c>
      <c r="P1834" s="95">
        <f>O1834*H1834</f>
        <v>0</v>
      </c>
      <c r="Q1834" s="95">
        <v>0</v>
      </c>
      <c r="R1834" s="95">
        <f>Q1834*H1834</f>
        <v>0</v>
      </c>
      <c r="S1834" s="95">
        <v>0</v>
      </c>
      <c r="T1834" s="99">
        <f>S1834*H1834</f>
        <v>0</v>
      </c>
      <c r="AR1834" s="101" t="s">
        <v>218</v>
      </c>
      <c r="AT1834" s="101" t="s">
        <v>214</v>
      </c>
      <c r="AU1834" s="101" t="s">
        <v>87</v>
      </c>
      <c r="AY1834" s="23" t="s">
        <v>211</v>
      </c>
      <c r="BE1834" s="104">
        <f>IF(N1834="základní",J1834,0)</f>
        <v>10000</v>
      </c>
      <c r="BF1834" s="104">
        <f>IF(N1834="snížená",J1834,0)</f>
        <v>0</v>
      </c>
      <c r="BG1834" s="104">
        <f>IF(N1834="zákl. přenesená",J1834,0)</f>
        <v>0</v>
      </c>
      <c r="BH1834" s="104">
        <f>IF(N1834="sníž. přenesená",J1834,0)</f>
        <v>0</v>
      </c>
      <c r="BI1834" s="104">
        <f>IF(N1834="nulová",J1834,0)</f>
        <v>0</v>
      </c>
      <c r="BJ1834" s="23" t="s">
        <v>85</v>
      </c>
      <c r="BK1834" s="104">
        <f>ROUND(I1834*H1834,2)</f>
        <v>10000</v>
      </c>
      <c r="BL1834" s="23" t="s">
        <v>218</v>
      </c>
      <c r="BM1834" s="101" t="s">
        <v>2722</v>
      </c>
    </row>
    <row r="1835" spans="2:65" s="1" customFormat="1" ht="67.2">
      <c r="B1835" s="12"/>
      <c r="D1835" s="105" t="s">
        <v>227</v>
      </c>
      <c r="F1835" s="106" t="s">
        <v>2701</v>
      </c>
      <c r="I1835" s="107"/>
      <c r="L1835" s="12"/>
      <c r="M1835" s="108"/>
      <c r="T1835" s="111"/>
      <c r="AT1835" s="23" t="s">
        <v>227</v>
      </c>
      <c r="AU1835" s="23" t="s">
        <v>87</v>
      </c>
    </row>
    <row r="1836" spans="2:65" s="1" customFormat="1" ht="38.1" customHeight="1">
      <c r="B1836" s="12"/>
      <c r="C1836" s="71" t="s">
        <v>2723</v>
      </c>
      <c r="D1836" s="71" t="s">
        <v>214</v>
      </c>
      <c r="E1836" s="72" t="s">
        <v>2724</v>
      </c>
      <c r="F1836" s="73" t="s">
        <v>2725</v>
      </c>
      <c r="G1836" s="74" t="s">
        <v>808</v>
      </c>
      <c r="H1836" s="75">
        <v>4</v>
      </c>
      <c r="I1836" s="90">
        <v>17000</v>
      </c>
      <c r="J1836" s="91">
        <f>ROUND(I1836*H1836,2)</f>
        <v>68000</v>
      </c>
      <c r="K1836" s="92"/>
      <c r="L1836" s="12"/>
      <c r="M1836" s="93" t="s">
        <v>1</v>
      </c>
      <c r="N1836" s="94" t="s">
        <v>42</v>
      </c>
      <c r="P1836" s="95">
        <f>O1836*H1836</f>
        <v>0</v>
      </c>
      <c r="Q1836" s="95">
        <v>0</v>
      </c>
      <c r="R1836" s="95">
        <f>Q1836*H1836</f>
        <v>0</v>
      </c>
      <c r="S1836" s="95">
        <v>0</v>
      </c>
      <c r="T1836" s="99">
        <f>S1836*H1836</f>
        <v>0</v>
      </c>
      <c r="AR1836" s="101" t="s">
        <v>218</v>
      </c>
      <c r="AT1836" s="101" t="s">
        <v>214</v>
      </c>
      <c r="AU1836" s="101" t="s">
        <v>87</v>
      </c>
      <c r="AY1836" s="23" t="s">
        <v>211</v>
      </c>
      <c r="BE1836" s="104">
        <f>IF(N1836="základní",J1836,0)</f>
        <v>68000</v>
      </c>
      <c r="BF1836" s="104">
        <f>IF(N1836="snížená",J1836,0)</f>
        <v>0</v>
      </c>
      <c r="BG1836" s="104">
        <f>IF(N1836="zákl. přenesená",J1836,0)</f>
        <v>0</v>
      </c>
      <c r="BH1836" s="104">
        <f>IF(N1836="sníž. přenesená",J1836,0)</f>
        <v>0</v>
      </c>
      <c r="BI1836" s="104">
        <f>IF(N1836="nulová",J1836,0)</f>
        <v>0</v>
      </c>
      <c r="BJ1836" s="23" t="s">
        <v>85</v>
      </c>
      <c r="BK1836" s="104">
        <f>ROUND(I1836*H1836,2)</f>
        <v>68000</v>
      </c>
      <c r="BL1836" s="23" t="s">
        <v>218</v>
      </c>
      <c r="BM1836" s="101" t="s">
        <v>2726</v>
      </c>
    </row>
    <row r="1837" spans="2:65" s="1" customFormat="1" ht="57.6">
      <c r="B1837" s="12"/>
      <c r="D1837" s="105" t="s">
        <v>227</v>
      </c>
      <c r="F1837" s="106" t="s">
        <v>2727</v>
      </c>
      <c r="I1837" s="107"/>
      <c r="L1837" s="12"/>
      <c r="M1837" s="108"/>
      <c r="T1837" s="111"/>
      <c r="AT1837" s="23" t="s">
        <v>227</v>
      </c>
      <c r="AU1837" s="23" t="s">
        <v>87</v>
      </c>
    </row>
    <row r="1838" spans="2:65" s="31" customFormat="1" ht="23.1" customHeight="1">
      <c r="B1838" s="67"/>
      <c r="D1838" s="68" t="s">
        <v>76</v>
      </c>
      <c r="E1838" s="70" t="s">
        <v>2728</v>
      </c>
      <c r="F1838" s="70" t="s">
        <v>2729</v>
      </c>
      <c r="I1838" s="85"/>
      <c r="J1838" s="89">
        <f>BK1838</f>
        <v>3673000</v>
      </c>
      <c r="L1838" s="67"/>
      <c r="M1838" s="87"/>
      <c r="P1838" s="88">
        <f>SUM(P1839:P1876)</f>
        <v>0</v>
      </c>
      <c r="R1838" s="88">
        <f>SUM(R1839:R1876)</f>
        <v>0</v>
      </c>
      <c r="T1838" s="98">
        <f>SUM(T1839:T1876)</f>
        <v>0</v>
      </c>
      <c r="AR1838" s="68" t="s">
        <v>85</v>
      </c>
      <c r="AT1838" s="100" t="s">
        <v>76</v>
      </c>
      <c r="AU1838" s="100" t="s">
        <v>85</v>
      </c>
      <c r="AY1838" s="68" t="s">
        <v>211</v>
      </c>
      <c r="BK1838" s="103">
        <f>SUM(BK1839:BK1876)</f>
        <v>3673000</v>
      </c>
    </row>
    <row r="1839" spans="2:65" s="1" customFormat="1" ht="44.25" customHeight="1">
      <c r="B1839" s="12"/>
      <c r="C1839" s="71" t="s">
        <v>2730</v>
      </c>
      <c r="D1839" s="71" t="s">
        <v>214</v>
      </c>
      <c r="E1839" s="72" t="s">
        <v>2731</v>
      </c>
      <c r="F1839" s="73" t="s">
        <v>2732</v>
      </c>
      <c r="G1839" s="74" t="s">
        <v>808</v>
      </c>
      <c r="H1839" s="75">
        <v>1</v>
      </c>
      <c r="I1839" s="90">
        <v>205000</v>
      </c>
      <c r="J1839" s="91">
        <f>ROUND(I1839*H1839,2)</f>
        <v>205000</v>
      </c>
      <c r="K1839" s="92"/>
      <c r="L1839" s="12"/>
      <c r="M1839" s="93" t="s">
        <v>1</v>
      </c>
      <c r="N1839" s="94" t="s">
        <v>42</v>
      </c>
      <c r="P1839" s="95">
        <f>O1839*H1839</f>
        <v>0</v>
      </c>
      <c r="Q1839" s="95">
        <v>0</v>
      </c>
      <c r="R1839" s="95">
        <f>Q1839*H1839</f>
        <v>0</v>
      </c>
      <c r="S1839" s="95">
        <v>0</v>
      </c>
      <c r="T1839" s="99">
        <f>S1839*H1839</f>
        <v>0</v>
      </c>
      <c r="AR1839" s="101" t="s">
        <v>218</v>
      </c>
      <c r="AT1839" s="101" t="s">
        <v>214</v>
      </c>
      <c r="AU1839" s="101" t="s">
        <v>87</v>
      </c>
      <c r="AY1839" s="23" t="s">
        <v>211</v>
      </c>
      <c r="BE1839" s="104">
        <f>IF(N1839="základní",J1839,0)</f>
        <v>205000</v>
      </c>
      <c r="BF1839" s="104">
        <f>IF(N1839="snížená",J1839,0)</f>
        <v>0</v>
      </c>
      <c r="BG1839" s="104">
        <f>IF(N1839="zákl. přenesená",J1839,0)</f>
        <v>0</v>
      </c>
      <c r="BH1839" s="104">
        <f>IF(N1839="sníž. přenesená",J1839,0)</f>
        <v>0</v>
      </c>
      <c r="BI1839" s="104">
        <f>IF(N1839="nulová",J1839,0)</f>
        <v>0</v>
      </c>
      <c r="BJ1839" s="23" t="s">
        <v>85</v>
      </c>
      <c r="BK1839" s="104">
        <f>ROUND(I1839*H1839,2)</f>
        <v>205000</v>
      </c>
      <c r="BL1839" s="23" t="s">
        <v>218</v>
      </c>
      <c r="BM1839" s="101" t="s">
        <v>2733</v>
      </c>
    </row>
    <row r="1840" spans="2:65" s="1" customFormat="1" ht="48">
      <c r="B1840" s="12"/>
      <c r="D1840" s="105" t="s">
        <v>227</v>
      </c>
      <c r="F1840" s="106" t="s">
        <v>2734</v>
      </c>
      <c r="I1840" s="107"/>
      <c r="L1840" s="12"/>
      <c r="M1840" s="108"/>
      <c r="T1840" s="111"/>
      <c r="AT1840" s="23" t="s">
        <v>227</v>
      </c>
      <c r="AU1840" s="23" t="s">
        <v>87</v>
      </c>
    </row>
    <row r="1841" spans="2:65" s="1" customFormat="1" ht="44.25" customHeight="1">
      <c r="B1841" s="12"/>
      <c r="C1841" s="71" t="s">
        <v>2735</v>
      </c>
      <c r="D1841" s="71" t="s">
        <v>214</v>
      </c>
      <c r="E1841" s="72" t="s">
        <v>2736</v>
      </c>
      <c r="F1841" s="73" t="s">
        <v>2737</v>
      </c>
      <c r="G1841" s="74" t="s">
        <v>808</v>
      </c>
      <c r="H1841" s="75">
        <v>1</v>
      </c>
      <c r="I1841" s="90">
        <v>211000</v>
      </c>
      <c r="J1841" s="91">
        <f>ROUND(I1841*H1841,2)</f>
        <v>211000</v>
      </c>
      <c r="K1841" s="92"/>
      <c r="L1841" s="12"/>
      <c r="M1841" s="93" t="s">
        <v>1</v>
      </c>
      <c r="N1841" s="94" t="s">
        <v>42</v>
      </c>
      <c r="P1841" s="95">
        <f>O1841*H1841</f>
        <v>0</v>
      </c>
      <c r="Q1841" s="95">
        <v>0</v>
      </c>
      <c r="R1841" s="95">
        <f>Q1841*H1841</f>
        <v>0</v>
      </c>
      <c r="S1841" s="95">
        <v>0</v>
      </c>
      <c r="T1841" s="99">
        <f>S1841*H1841</f>
        <v>0</v>
      </c>
      <c r="AR1841" s="101" t="s">
        <v>218</v>
      </c>
      <c r="AT1841" s="101" t="s">
        <v>214</v>
      </c>
      <c r="AU1841" s="101" t="s">
        <v>87</v>
      </c>
      <c r="AY1841" s="23" t="s">
        <v>211</v>
      </c>
      <c r="BE1841" s="104">
        <f>IF(N1841="základní",J1841,0)</f>
        <v>211000</v>
      </c>
      <c r="BF1841" s="104">
        <f>IF(N1841="snížená",J1841,0)</f>
        <v>0</v>
      </c>
      <c r="BG1841" s="104">
        <f>IF(N1841="zákl. přenesená",J1841,0)</f>
        <v>0</v>
      </c>
      <c r="BH1841" s="104">
        <f>IF(N1841="sníž. přenesená",J1841,0)</f>
        <v>0</v>
      </c>
      <c r="BI1841" s="104">
        <f>IF(N1841="nulová",J1841,0)</f>
        <v>0</v>
      </c>
      <c r="BJ1841" s="23" t="s">
        <v>85</v>
      </c>
      <c r="BK1841" s="104">
        <f>ROUND(I1841*H1841,2)</f>
        <v>211000</v>
      </c>
      <c r="BL1841" s="23" t="s">
        <v>218</v>
      </c>
      <c r="BM1841" s="101" t="s">
        <v>2738</v>
      </c>
    </row>
    <row r="1842" spans="2:65" s="1" customFormat="1" ht="48">
      <c r="B1842" s="12"/>
      <c r="D1842" s="105" t="s">
        <v>227</v>
      </c>
      <c r="F1842" s="106" t="s">
        <v>2734</v>
      </c>
      <c r="I1842" s="107"/>
      <c r="L1842" s="12"/>
      <c r="M1842" s="108"/>
      <c r="T1842" s="111"/>
      <c r="AT1842" s="23" t="s">
        <v>227</v>
      </c>
      <c r="AU1842" s="23" t="s">
        <v>87</v>
      </c>
    </row>
    <row r="1843" spans="2:65" s="1" customFormat="1" ht="44.25" customHeight="1">
      <c r="B1843" s="12"/>
      <c r="C1843" s="71" t="s">
        <v>2739</v>
      </c>
      <c r="D1843" s="71" t="s">
        <v>214</v>
      </c>
      <c r="E1843" s="72" t="s">
        <v>2740</v>
      </c>
      <c r="F1843" s="73" t="s">
        <v>2741</v>
      </c>
      <c r="G1843" s="74" t="s">
        <v>808</v>
      </c>
      <c r="H1843" s="75">
        <v>1</v>
      </c>
      <c r="I1843" s="90">
        <v>145000</v>
      </c>
      <c r="J1843" s="91">
        <f>ROUND(I1843*H1843,2)</f>
        <v>145000</v>
      </c>
      <c r="K1843" s="92"/>
      <c r="L1843" s="12"/>
      <c r="M1843" s="93" t="s">
        <v>1</v>
      </c>
      <c r="N1843" s="94" t="s">
        <v>42</v>
      </c>
      <c r="P1843" s="95">
        <f>O1843*H1843</f>
        <v>0</v>
      </c>
      <c r="Q1843" s="95">
        <v>0</v>
      </c>
      <c r="R1843" s="95">
        <f>Q1843*H1843</f>
        <v>0</v>
      </c>
      <c r="S1843" s="95">
        <v>0</v>
      </c>
      <c r="T1843" s="99">
        <f>S1843*H1843</f>
        <v>0</v>
      </c>
      <c r="AR1843" s="101" t="s">
        <v>218</v>
      </c>
      <c r="AT1843" s="101" t="s">
        <v>214</v>
      </c>
      <c r="AU1843" s="101" t="s">
        <v>87</v>
      </c>
      <c r="AY1843" s="23" t="s">
        <v>211</v>
      </c>
      <c r="BE1843" s="104">
        <f>IF(N1843="základní",J1843,0)</f>
        <v>145000</v>
      </c>
      <c r="BF1843" s="104">
        <f>IF(N1843="snížená",J1843,0)</f>
        <v>0</v>
      </c>
      <c r="BG1843" s="104">
        <f>IF(N1843="zákl. přenesená",J1843,0)</f>
        <v>0</v>
      </c>
      <c r="BH1843" s="104">
        <f>IF(N1843="sníž. přenesená",J1843,0)</f>
        <v>0</v>
      </c>
      <c r="BI1843" s="104">
        <f>IF(N1843="nulová",J1843,0)</f>
        <v>0</v>
      </c>
      <c r="BJ1843" s="23" t="s">
        <v>85</v>
      </c>
      <c r="BK1843" s="104">
        <f>ROUND(I1843*H1843,2)</f>
        <v>145000</v>
      </c>
      <c r="BL1843" s="23" t="s">
        <v>218</v>
      </c>
      <c r="BM1843" s="101" t="s">
        <v>2742</v>
      </c>
    </row>
    <row r="1844" spans="2:65" s="1" customFormat="1" ht="48">
      <c r="B1844" s="12"/>
      <c r="D1844" s="105" t="s">
        <v>227</v>
      </c>
      <c r="F1844" s="106" t="s">
        <v>2734</v>
      </c>
      <c r="I1844" s="107"/>
      <c r="L1844" s="12"/>
      <c r="M1844" s="108"/>
      <c r="T1844" s="111"/>
      <c r="AT1844" s="23" t="s">
        <v>227</v>
      </c>
      <c r="AU1844" s="23" t="s">
        <v>87</v>
      </c>
    </row>
    <row r="1845" spans="2:65" s="1" customFormat="1" ht="44.25" customHeight="1">
      <c r="B1845" s="12"/>
      <c r="C1845" s="71" t="s">
        <v>2743</v>
      </c>
      <c r="D1845" s="71" t="s">
        <v>214</v>
      </c>
      <c r="E1845" s="72" t="s">
        <v>2744</v>
      </c>
      <c r="F1845" s="73" t="s">
        <v>2745</v>
      </c>
      <c r="G1845" s="74" t="s">
        <v>808</v>
      </c>
      <c r="H1845" s="75">
        <v>1</v>
      </c>
      <c r="I1845" s="90">
        <v>60000</v>
      </c>
      <c r="J1845" s="91">
        <f>ROUND(I1845*H1845,2)</f>
        <v>60000</v>
      </c>
      <c r="K1845" s="92"/>
      <c r="L1845" s="12"/>
      <c r="M1845" s="93" t="s">
        <v>1</v>
      </c>
      <c r="N1845" s="94" t="s">
        <v>42</v>
      </c>
      <c r="P1845" s="95">
        <f>O1845*H1845</f>
        <v>0</v>
      </c>
      <c r="Q1845" s="95">
        <v>0</v>
      </c>
      <c r="R1845" s="95">
        <f>Q1845*H1845</f>
        <v>0</v>
      </c>
      <c r="S1845" s="95">
        <v>0</v>
      </c>
      <c r="T1845" s="99">
        <f>S1845*H1845</f>
        <v>0</v>
      </c>
      <c r="AR1845" s="101" t="s">
        <v>218</v>
      </c>
      <c r="AT1845" s="101" t="s">
        <v>214</v>
      </c>
      <c r="AU1845" s="101" t="s">
        <v>87</v>
      </c>
      <c r="AY1845" s="23" t="s">
        <v>211</v>
      </c>
      <c r="BE1845" s="104">
        <f>IF(N1845="základní",J1845,0)</f>
        <v>60000</v>
      </c>
      <c r="BF1845" s="104">
        <f>IF(N1845="snížená",J1845,0)</f>
        <v>0</v>
      </c>
      <c r="BG1845" s="104">
        <f>IF(N1845="zákl. přenesená",J1845,0)</f>
        <v>0</v>
      </c>
      <c r="BH1845" s="104">
        <f>IF(N1845="sníž. přenesená",J1845,0)</f>
        <v>0</v>
      </c>
      <c r="BI1845" s="104">
        <f>IF(N1845="nulová",J1845,0)</f>
        <v>0</v>
      </c>
      <c r="BJ1845" s="23" t="s">
        <v>85</v>
      </c>
      <c r="BK1845" s="104">
        <f>ROUND(I1845*H1845,2)</f>
        <v>60000</v>
      </c>
      <c r="BL1845" s="23" t="s">
        <v>218</v>
      </c>
      <c r="BM1845" s="101" t="s">
        <v>2746</v>
      </c>
    </row>
    <row r="1846" spans="2:65" s="1" customFormat="1" ht="48">
      <c r="B1846" s="12"/>
      <c r="D1846" s="105" t="s">
        <v>227</v>
      </c>
      <c r="F1846" s="106" t="s">
        <v>2734</v>
      </c>
      <c r="I1846" s="107"/>
      <c r="L1846" s="12"/>
      <c r="M1846" s="108"/>
      <c r="T1846" s="111"/>
      <c r="AT1846" s="23" t="s">
        <v>227</v>
      </c>
      <c r="AU1846" s="23" t="s">
        <v>87</v>
      </c>
    </row>
    <row r="1847" spans="2:65" s="1" customFormat="1" ht="44.25" customHeight="1">
      <c r="B1847" s="12"/>
      <c r="C1847" s="71" t="s">
        <v>2747</v>
      </c>
      <c r="D1847" s="71" t="s">
        <v>214</v>
      </c>
      <c r="E1847" s="72" t="s">
        <v>2748</v>
      </c>
      <c r="F1847" s="73" t="s">
        <v>2749</v>
      </c>
      <c r="G1847" s="74" t="s">
        <v>808</v>
      </c>
      <c r="H1847" s="75">
        <v>10</v>
      </c>
      <c r="I1847" s="90">
        <v>62000</v>
      </c>
      <c r="J1847" s="91">
        <f>ROUND(I1847*H1847,2)</f>
        <v>620000</v>
      </c>
      <c r="K1847" s="92"/>
      <c r="L1847" s="12"/>
      <c r="M1847" s="93" t="s">
        <v>1</v>
      </c>
      <c r="N1847" s="94" t="s">
        <v>42</v>
      </c>
      <c r="P1847" s="95">
        <f>O1847*H1847</f>
        <v>0</v>
      </c>
      <c r="Q1847" s="95">
        <v>0</v>
      </c>
      <c r="R1847" s="95">
        <f>Q1847*H1847</f>
        <v>0</v>
      </c>
      <c r="S1847" s="95">
        <v>0</v>
      </c>
      <c r="T1847" s="99">
        <f>S1847*H1847</f>
        <v>0</v>
      </c>
      <c r="AR1847" s="101" t="s">
        <v>218</v>
      </c>
      <c r="AT1847" s="101" t="s">
        <v>214</v>
      </c>
      <c r="AU1847" s="101" t="s">
        <v>87</v>
      </c>
      <c r="AY1847" s="23" t="s">
        <v>211</v>
      </c>
      <c r="BE1847" s="104">
        <f>IF(N1847="základní",J1847,0)</f>
        <v>620000</v>
      </c>
      <c r="BF1847" s="104">
        <f>IF(N1847="snížená",J1847,0)</f>
        <v>0</v>
      </c>
      <c r="BG1847" s="104">
        <f>IF(N1847="zákl. přenesená",J1847,0)</f>
        <v>0</v>
      </c>
      <c r="BH1847" s="104">
        <f>IF(N1847="sníž. přenesená",J1847,0)</f>
        <v>0</v>
      </c>
      <c r="BI1847" s="104">
        <f>IF(N1847="nulová",J1847,0)</f>
        <v>0</v>
      </c>
      <c r="BJ1847" s="23" t="s">
        <v>85</v>
      </c>
      <c r="BK1847" s="104">
        <f>ROUND(I1847*H1847,2)</f>
        <v>620000</v>
      </c>
      <c r="BL1847" s="23" t="s">
        <v>218</v>
      </c>
      <c r="BM1847" s="101" t="s">
        <v>2750</v>
      </c>
    </row>
    <row r="1848" spans="2:65" s="1" customFormat="1" ht="48">
      <c r="B1848" s="12"/>
      <c r="D1848" s="105" t="s">
        <v>227</v>
      </c>
      <c r="F1848" s="106" t="s">
        <v>2734</v>
      </c>
      <c r="I1848" s="107"/>
      <c r="L1848" s="12"/>
      <c r="M1848" s="108"/>
      <c r="T1848" s="111"/>
      <c r="AT1848" s="23" t="s">
        <v>227</v>
      </c>
      <c r="AU1848" s="23" t="s">
        <v>87</v>
      </c>
    </row>
    <row r="1849" spans="2:65" s="1" customFormat="1" ht="44.25" customHeight="1">
      <c r="B1849" s="12"/>
      <c r="C1849" s="71" t="s">
        <v>2751</v>
      </c>
      <c r="D1849" s="71" t="s">
        <v>214</v>
      </c>
      <c r="E1849" s="72" t="s">
        <v>2752</v>
      </c>
      <c r="F1849" s="73" t="s">
        <v>2753</v>
      </c>
      <c r="G1849" s="74" t="s">
        <v>808</v>
      </c>
      <c r="H1849" s="75">
        <v>13</v>
      </c>
      <c r="I1849" s="90">
        <v>62000</v>
      </c>
      <c r="J1849" s="91">
        <f>ROUND(I1849*H1849,2)</f>
        <v>806000</v>
      </c>
      <c r="K1849" s="92"/>
      <c r="L1849" s="12"/>
      <c r="M1849" s="93" t="s">
        <v>1</v>
      </c>
      <c r="N1849" s="94" t="s">
        <v>42</v>
      </c>
      <c r="P1849" s="95">
        <f>O1849*H1849</f>
        <v>0</v>
      </c>
      <c r="Q1849" s="95">
        <v>0</v>
      </c>
      <c r="R1849" s="95">
        <f>Q1849*H1849</f>
        <v>0</v>
      </c>
      <c r="S1849" s="95">
        <v>0</v>
      </c>
      <c r="T1849" s="99">
        <f>S1849*H1849</f>
        <v>0</v>
      </c>
      <c r="AR1849" s="101" t="s">
        <v>218</v>
      </c>
      <c r="AT1849" s="101" t="s">
        <v>214</v>
      </c>
      <c r="AU1849" s="101" t="s">
        <v>87</v>
      </c>
      <c r="AY1849" s="23" t="s">
        <v>211</v>
      </c>
      <c r="BE1849" s="104">
        <f>IF(N1849="základní",J1849,0)</f>
        <v>806000</v>
      </c>
      <c r="BF1849" s="104">
        <f>IF(N1849="snížená",J1849,0)</f>
        <v>0</v>
      </c>
      <c r="BG1849" s="104">
        <f>IF(N1849="zákl. přenesená",J1849,0)</f>
        <v>0</v>
      </c>
      <c r="BH1849" s="104">
        <f>IF(N1849="sníž. přenesená",J1849,0)</f>
        <v>0</v>
      </c>
      <c r="BI1849" s="104">
        <f>IF(N1849="nulová",J1849,0)</f>
        <v>0</v>
      </c>
      <c r="BJ1849" s="23" t="s">
        <v>85</v>
      </c>
      <c r="BK1849" s="104">
        <f>ROUND(I1849*H1849,2)</f>
        <v>806000</v>
      </c>
      <c r="BL1849" s="23" t="s">
        <v>218</v>
      </c>
      <c r="BM1849" s="101" t="s">
        <v>2754</v>
      </c>
    </row>
    <row r="1850" spans="2:65" s="1" customFormat="1" ht="48">
      <c r="B1850" s="12"/>
      <c r="D1850" s="105" t="s">
        <v>227</v>
      </c>
      <c r="F1850" s="106" t="s">
        <v>2734</v>
      </c>
      <c r="I1850" s="107"/>
      <c r="L1850" s="12"/>
      <c r="M1850" s="108"/>
      <c r="T1850" s="111"/>
      <c r="AT1850" s="23" t="s">
        <v>227</v>
      </c>
      <c r="AU1850" s="23" t="s">
        <v>87</v>
      </c>
    </row>
    <row r="1851" spans="2:65" s="1" customFormat="1" ht="44.25" customHeight="1">
      <c r="B1851" s="12"/>
      <c r="C1851" s="71" t="s">
        <v>2755</v>
      </c>
      <c r="D1851" s="71" t="s">
        <v>214</v>
      </c>
      <c r="E1851" s="72" t="s">
        <v>2756</v>
      </c>
      <c r="F1851" s="73" t="s">
        <v>2757</v>
      </c>
      <c r="G1851" s="74" t="s">
        <v>808</v>
      </c>
      <c r="H1851" s="75">
        <v>3</v>
      </c>
      <c r="I1851" s="90">
        <v>22000</v>
      </c>
      <c r="J1851" s="91">
        <f>ROUND(I1851*H1851,2)</f>
        <v>66000</v>
      </c>
      <c r="K1851" s="92"/>
      <c r="L1851" s="12"/>
      <c r="M1851" s="93" t="s">
        <v>1</v>
      </c>
      <c r="N1851" s="94" t="s">
        <v>42</v>
      </c>
      <c r="P1851" s="95">
        <f>O1851*H1851</f>
        <v>0</v>
      </c>
      <c r="Q1851" s="95">
        <v>0</v>
      </c>
      <c r="R1851" s="95">
        <f>Q1851*H1851</f>
        <v>0</v>
      </c>
      <c r="S1851" s="95">
        <v>0</v>
      </c>
      <c r="T1851" s="99">
        <f>S1851*H1851</f>
        <v>0</v>
      </c>
      <c r="AR1851" s="101" t="s">
        <v>218</v>
      </c>
      <c r="AT1851" s="101" t="s">
        <v>214</v>
      </c>
      <c r="AU1851" s="101" t="s">
        <v>87</v>
      </c>
      <c r="AY1851" s="23" t="s">
        <v>211</v>
      </c>
      <c r="BE1851" s="104">
        <f>IF(N1851="základní",J1851,0)</f>
        <v>66000</v>
      </c>
      <c r="BF1851" s="104">
        <f>IF(N1851="snížená",J1851,0)</f>
        <v>0</v>
      </c>
      <c r="BG1851" s="104">
        <f>IF(N1851="zákl. přenesená",J1851,0)</f>
        <v>0</v>
      </c>
      <c r="BH1851" s="104">
        <f>IF(N1851="sníž. přenesená",J1851,0)</f>
        <v>0</v>
      </c>
      <c r="BI1851" s="104">
        <f>IF(N1851="nulová",J1851,0)</f>
        <v>0</v>
      </c>
      <c r="BJ1851" s="23" t="s">
        <v>85</v>
      </c>
      <c r="BK1851" s="104">
        <f>ROUND(I1851*H1851,2)</f>
        <v>66000</v>
      </c>
      <c r="BL1851" s="23" t="s">
        <v>218</v>
      </c>
      <c r="BM1851" s="101" t="s">
        <v>2758</v>
      </c>
    </row>
    <row r="1852" spans="2:65" s="1" customFormat="1" ht="48">
      <c r="B1852" s="12"/>
      <c r="D1852" s="105" t="s">
        <v>227</v>
      </c>
      <c r="F1852" s="106" t="s">
        <v>2734</v>
      </c>
      <c r="I1852" s="107"/>
      <c r="L1852" s="12"/>
      <c r="M1852" s="108"/>
      <c r="T1852" s="111"/>
      <c r="AT1852" s="23" t="s">
        <v>227</v>
      </c>
      <c r="AU1852" s="23" t="s">
        <v>87</v>
      </c>
    </row>
    <row r="1853" spans="2:65" s="1" customFormat="1" ht="44.25" customHeight="1">
      <c r="B1853" s="12"/>
      <c r="C1853" s="71" t="s">
        <v>2759</v>
      </c>
      <c r="D1853" s="71" t="s">
        <v>214</v>
      </c>
      <c r="E1853" s="72" t="s">
        <v>2760</v>
      </c>
      <c r="F1853" s="73" t="s">
        <v>2761</v>
      </c>
      <c r="G1853" s="74" t="s">
        <v>808</v>
      </c>
      <c r="H1853" s="75">
        <v>3</v>
      </c>
      <c r="I1853" s="90">
        <v>26000</v>
      </c>
      <c r="J1853" s="91">
        <f>ROUND(I1853*H1853,2)</f>
        <v>78000</v>
      </c>
      <c r="K1853" s="92"/>
      <c r="L1853" s="12"/>
      <c r="M1853" s="93" t="s">
        <v>1</v>
      </c>
      <c r="N1853" s="94" t="s">
        <v>42</v>
      </c>
      <c r="P1853" s="95">
        <f>O1853*H1853</f>
        <v>0</v>
      </c>
      <c r="Q1853" s="95">
        <v>0</v>
      </c>
      <c r="R1853" s="95">
        <f>Q1853*H1853</f>
        <v>0</v>
      </c>
      <c r="S1853" s="95">
        <v>0</v>
      </c>
      <c r="T1853" s="99">
        <f>S1853*H1853</f>
        <v>0</v>
      </c>
      <c r="AR1853" s="101" t="s">
        <v>218</v>
      </c>
      <c r="AT1853" s="101" t="s">
        <v>214</v>
      </c>
      <c r="AU1853" s="101" t="s">
        <v>87</v>
      </c>
      <c r="AY1853" s="23" t="s">
        <v>211</v>
      </c>
      <c r="BE1853" s="104">
        <f>IF(N1853="základní",J1853,0)</f>
        <v>78000</v>
      </c>
      <c r="BF1853" s="104">
        <f>IF(N1853="snížená",J1853,0)</f>
        <v>0</v>
      </c>
      <c r="BG1853" s="104">
        <f>IF(N1853="zákl. přenesená",J1853,0)</f>
        <v>0</v>
      </c>
      <c r="BH1853" s="104">
        <f>IF(N1853="sníž. přenesená",J1853,0)</f>
        <v>0</v>
      </c>
      <c r="BI1853" s="104">
        <f>IF(N1853="nulová",J1853,0)</f>
        <v>0</v>
      </c>
      <c r="BJ1853" s="23" t="s">
        <v>85</v>
      </c>
      <c r="BK1853" s="104">
        <f>ROUND(I1853*H1853,2)</f>
        <v>78000</v>
      </c>
      <c r="BL1853" s="23" t="s">
        <v>218</v>
      </c>
      <c r="BM1853" s="101" t="s">
        <v>2762</v>
      </c>
    </row>
    <row r="1854" spans="2:65" s="1" customFormat="1" ht="48">
      <c r="B1854" s="12"/>
      <c r="D1854" s="105" t="s">
        <v>227</v>
      </c>
      <c r="F1854" s="106" t="s">
        <v>2734</v>
      </c>
      <c r="I1854" s="107"/>
      <c r="L1854" s="12"/>
      <c r="M1854" s="108"/>
      <c r="T1854" s="111"/>
      <c r="AT1854" s="23" t="s">
        <v>227</v>
      </c>
      <c r="AU1854" s="23" t="s">
        <v>87</v>
      </c>
    </row>
    <row r="1855" spans="2:65" s="1" customFormat="1" ht="44.25" customHeight="1">
      <c r="B1855" s="12"/>
      <c r="C1855" s="71" t="s">
        <v>2763</v>
      </c>
      <c r="D1855" s="71" t="s">
        <v>214</v>
      </c>
      <c r="E1855" s="72" t="s">
        <v>2764</v>
      </c>
      <c r="F1855" s="73" t="s">
        <v>2765</v>
      </c>
      <c r="G1855" s="74" t="s">
        <v>808</v>
      </c>
      <c r="H1855" s="75">
        <v>5</v>
      </c>
      <c r="I1855" s="90">
        <v>60000</v>
      </c>
      <c r="J1855" s="91">
        <f>ROUND(I1855*H1855,2)</f>
        <v>300000</v>
      </c>
      <c r="K1855" s="92"/>
      <c r="L1855" s="12"/>
      <c r="M1855" s="93" t="s">
        <v>1</v>
      </c>
      <c r="N1855" s="94" t="s">
        <v>42</v>
      </c>
      <c r="P1855" s="95">
        <f>O1855*H1855</f>
        <v>0</v>
      </c>
      <c r="Q1855" s="95">
        <v>0</v>
      </c>
      <c r="R1855" s="95">
        <f>Q1855*H1855</f>
        <v>0</v>
      </c>
      <c r="S1855" s="95">
        <v>0</v>
      </c>
      <c r="T1855" s="99">
        <f>S1855*H1855</f>
        <v>0</v>
      </c>
      <c r="AR1855" s="101" t="s">
        <v>218</v>
      </c>
      <c r="AT1855" s="101" t="s">
        <v>214</v>
      </c>
      <c r="AU1855" s="101" t="s">
        <v>87</v>
      </c>
      <c r="AY1855" s="23" t="s">
        <v>211</v>
      </c>
      <c r="BE1855" s="104">
        <f>IF(N1855="základní",J1855,0)</f>
        <v>300000</v>
      </c>
      <c r="BF1855" s="104">
        <f>IF(N1855="snížená",J1855,0)</f>
        <v>0</v>
      </c>
      <c r="BG1855" s="104">
        <f>IF(N1855="zákl. přenesená",J1855,0)</f>
        <v>0</v>
      </c>
      <c r="BH1855" s="104">
        <f>IF(N1855="sníž. přenesená",J1855,0)</f>
        <v>0</v>
      </c>
      <c r="BI1855" s="104">
        <f>IF(N1855="nulová",J1855,0)</f>
        <v>0</v>
      </c>
      <c r="BJ1855" s="23" t="s">
        <v>85</v>
      </c>
      <c r="BK1855" s="104">
        <f>ROUND(I1855*H1855,2)</f>
        <v>300000</v>
      </c>
      <c r="BL1855" s="23" t="s">
        <v>218</v>
      </c>
      <c r="BM1855" s="101" t="s">
        <v>2766</v>
      </c>
    </row>
    <row r="1856" spans="2:65" s="1" customFormat="1" ht="48">
      <c r="B1856" s="12"/>
      <c r="D1856" s="105" t="s">
        <v>227</v>
      </c>
      <c r="F1856" s="106" t="s">
        <v>2734</v>
      </c>
      <c r="I1856" s="107"/>
      <c r="L1856" s="12"/>
      <c r="M1856" s="108"/>
      <c r="T1856" s="111"/>
      <c r="AT1856" s="23" t="s">
        <v>227</v>
      </c>
      <c r="AU1856" s="23" t="s">
        <v>87</v>
      </c>
    </row>
    <row r="1857" spans="2:65" s="1" customFormat="1" ht="44.25" customHeight="1">
      <c r="B1857" s="12"/>
      <c r="C1857" s="71" t="s">
        <v>2767</v>
      </c>
      <c r="D1857" s="71" t="s">
        <v>214</v>
      </c>
      <c r="E1857" s="72" t="s">
        <v>2768</v>
      </c>
      <c r="F1857" s="73" t="s">
        <v>2769</v>
      </c>
      <c r="G1857" s="74" t="s">
        <v>808</v>
      </c>
      <c r="H1857" s="75">
        <v>3</v>
      </c>
      <c r="I1857" s="90">
        <v>60000</v>
      </c>
      <c r="J1857" s="91">
        <f>ROUND(I1857*H1857,2)</f>
        <v>180000</v>
      </c>
      <c r="K1857" s="92"/>
      <c r="L1857" s="12"/>
      <c r="M1857" s="93" t="s">
        <v>1</v>
      </c>
      <c r="N1857" s="94" t="s">
        <v>42</v>
      </c>
      <c r="P1857" s="95">
        <f>O1857*H1857</f>
        <v>0</v>
      </c>
      <c r="Q1857" s="95">
        <v>0</v>
      </c>
      <c r="R1857" s="95">
        <f>Q1857*H1857</f>
        <v>0</v>
      </c>
      <c r="S1857" s="95">
        <v>0</v>
      </c>
      <c r="T1857" s="99">
        <f>S1857*H1857</f>
        <v>0</v>
      </c>
      <c r="AR1857" s="101" t="s">
        <v>218</v>
      </c>
      <c r="AT1857" s="101" t="s">
        <v>214</v>
      </c>
      <c r="AU1857" s="101" t="s">
        <v>87</v>
      </c>
      <c r="AY1857" s="23" t="s">
        <v>211</v>
      </c>
      <c r="BE1857" s="104">
        <f>IF(N1857="základní",J1857,0)</f>
        <v>180000</v>
      </c>
      <c r="BF1857" s="104">
        <f>IF(N1857="snížená",J1857,0)</f>
        <v>0</v>
      </c>
      <c r="BG1857" s="104">
        <f>IF(N1857="zákl. přenesená",J1857,0)</f>
        <v>0</v>
      </c>
      <c r="BH1857" s="104">
        <f>IF(N1857="sníž. přenesená",J1857,0)</f>
        <v>0</v>
      </c>
      <c r="BI1857" s="104">
        <f>IF(N1857="nulová",J1857,0)</f>
        <v>0</v>
      </c>
      <c r="BJ1857" s="23" t="s">
        <v>85</v>
      </c>
      <c r="BK1857" s="104">
        <f>ROUND(I1857*H1857,2)</f>
        <v>180000</v>
      </c>
      <c r="BL1857" s="23" t="s">
        <v>218</v>
      </c>
      <c r="BM1857" s="101" t="s">
        <v>2770</v>
      </c>
    </row>
    <row r="1858" spans="2:65" s="1" customFormat="1" ht="48">
      <c r="B1858" s="12"/>
      <c r="D1858" s="105" t="s">
        <v>227</v>
      </c>
      <c r="F1858" s="106" t="s">
        <v>2734</v>
      </c>
      <c r="I1858" s="107"/>
      <c r="L1858" s="12"/>
      <c r="M1858" s="108"/>
      <c r="T1858" s="111"/>
      <c r="AT1858" s="23" t="s">
        <v>227</v>
      </c>
      <c r="AU1858" s="23" t="s">
        <v>87</v>
      </c>
    </row>
    <row r="1859" spans="2:65" s="1" customFormat="1" ht="44.25" customHeight="1">
      <c r="B1859" s="12"/>
      <c r="C1859" s="71" t="s">
        <v>2771</v>
      </c>
      <c r="D1859" s="71" t="s">
        <v>214</v>
      </c>
      <c r="E1859" s="72" t="s">
        <v>2772</v>
      </c>
      <c r="F1859" s="73" t="s">
        <v>2773</v>
      </c>
      <c r="G1859" s="74" t="s">
        <v>808</v>
      </c>
      <c r="H1859" s="75">
        <v>1</v>
      </c>
      <c r="I1859" s="90">
        <v>45000</v>
      </c>
      <c r="J1859" s="91">
        <f>ROUND(I1859*H1859,2)</f>
        <v>45000</v>
      </c>
      <c r="K1859" s="92"/>
      <c r="L1859" s="12"/>
      <c r="M1859" s="93" t="s">
        <v>1</v>
      </c>
      <c r="N1859" s="94" t="s">
        <v>42</v>
      </c>
      <c r="P1859" s="95">
        <f>O1859*H1859</f>
        <v>0</v>
      </c>
      <c r="Q1859" s="95">
        <v>0</v>
      </c>
      <c r="R1859" s="95">
        <f>Q1859*H1859</f>
        <v>0</v>
      </c>
      <c r="S1859" s="95">
        <v>0</v>
      </c>
      <c r="T1859" s="99">
        <f>S1859*H1859</f>
        <v>0</v>
      </c>
      <c r="AR1859" s="101" t="s">
        <v>218</v>
      </c>
      <c r="AT1859" s="101" t="s">
        <v>214</v>
      </c>
      <c r="AU1859" s="101" t="s">
        <v>87</v>
      </c>
      <c r="AY1859" s="23" t="s">
        <v>211</v>
      </c>
      <c r="BE1859" s="104">
        <f>IF(N1859="základní",J1859,0)</f>
        <v>45000</v>
      </c>
      <c r="BF1859" s="104">
        <f>IF(N1859="snížená",J1859,0)</f>
        <v>0</v>
      </c>
      <c r="BG1859" s="104">
        <f>IF(N1859="zákl. přenesená",J1859,0)</f>
        <v>0</v>
      </c>
      <c r="BH1859" s="104">
        <f>IF(N1859="sníž. přenesená",J1859,0)</f>
        <v>0</v>
      </c>
      <c r="BI1859" s="104">
        <f>IF(N1859="nulová",J1859,0)</f>
        <v>0</v>
      </c>
      <c r="BJ1859" s="23" t="s">
        <v>85</v>
      </c>
      <c r="BK1859" s="104">
        <f>ROUND(I1859*H1859,2)</f>
        <v>45000</v>
      </c>
      <c r="BL1859" s="23" t="s">
        <v>218</v>
      </c>
      <c r="BM1859" s="101" t="s">
        <v>2774</v>
      </c>
    </row>
    <row r="1860" spans="2:65" s="1" customFormat="1" ht="48">
      <c r="B1860" s="12"/>
      <c r="D1860" s="105" t="s">
        <v>227</v>
      </c>
      <c r="F1860" s="106" t="s">
        <v>2734</v>
      </c>
      <c r="I1860" s="107"/>
      <c r="L1860" s="12"/>
      <c r="M1860" s="108"/>
      <c r="T1860" s="111"/>
      <c r="AT1860" s="23" t="s">
        <v>227</v>
      </c>
      <c r="AU1860" s="23" t="s">
        <v>87</v>
      </c>
    </row>
    <row r="1861" spans="2:65" s="1" customFormat="1" ht="44.25" customHeight="1">
      <c r="B1861" s="12"/>
      <c r="C1861" s="71" t="s">
        <v>2775</v>
      </c>
      <c r="D1861" s="71" t="s">
        <v>214</v>
      </c>
      <c r="E1861" s="72" t="s">
        <v>2776</v>
      </c>
      <c r="F1861" s="73" t="s">
        <v>2777</v>
      </c>
      <c r="G1861" s="74" t="s">
        <v>808</v>
      </c>
      <c r="H1861" s="75">
        <v>1</v>
      </c>
      <c r="I1861" s="90">
        <v>45000</v>
      </c>
      <c r="J1861" s="91">
        <f>ROUND(I1861*H1861,2)</f>
        <v>45000</v>
      </c>
      <c r="K1861" s="92"/>
      <c r="L1861" s="12"/>
      <c r="M1861" s="93" t="s">
        <v>1</v>
      </c>
      <c r="N1861" s="94" t="s">
        <v>42</v>
      </c>
      <c r="P1861" s="95">
        <f>O1861*H1861</f>
        <v>0</v>
      </c>
      <c r="Q1861" s="95">
        <v>0</v>
      </c>
      <c r="R1861" s="95">
        <f>Q1861*H1861</f>
        <v>0</v>
      </c>
      <c r="S1861" s="95">
        <v>0</v>
      </c>
      <c r="T1861" s="99">
        <f>S1861*H1861</f>
        <v>0</v>
      </c>
      <c r="AR1861" s="101" t="s">
        <v>218</v>
      </c>
      <c r="AT1861" s="101" t="s">
        <v>214</v>
      </c>
      <c r="AU1861" s="101" t="s">
        <v>87</v>
      </c>
      <c r="AY1861" s="23" t="s">
        <v>211</v>
      </c>
      <c r="BE1861" s="104">
        <f>IF(N1861="základní",J1861,0)</f>
        <v>45000</v>
      </c>
      <c r="BF1861" s="104">
        <f>IF(N1861="snížená",J1861,0)</f>
        <v>0</v>
      </c>
      <c r="BG1861" s="104">
        <f>IF(N1861="zákl. přenesená",J1861,0)</f>
        <v>0</v>
      </c>
      <c r="BH1861" s="104">
        <f>IF(N1861="sníž. přenesená",J1861,0)</f>
        <v>0</v>
      </c>
      <c r="BI1861" s="104">
        <f>IF(N1861="nulová",J1861,0)</f>
        <v>0</v>
      </c>
      <c r="BJ1861" s="23" t="s">
        <v>85</v>
      </c>
      <c r="BK1861" s="104">
        <f>ROUND(I1861*H1861,2)</f>
        <v>45000</v>
      </c>
      <c r="BL1861" s="23" t="s">
        <v>218</v>
      </c>
      <c r="BM1861" s="101" t="s">
        <v>2778</v>
      </c>
    </row>
    <row r="1862" spans="2:65" s="1" customFormat="1" ht="48">
      <c r="B1862" s="12"/>
      <c r="D1862" s="105" t="s">
        <v>227</v>
      </c>
      <c r="F1862" s="106" t="s">
        <v>2734</v>
      </c>
      <c r="I1862" s="107"/>
      <c r="L1862" s="12"/>
      <c r="M1862" s="108"/>
      <c r="T1862" s="111"/>
      <c r="AT1862" s="23" t="s">
        <v>227</v>
      </c>
      <c r="AU1862" s="23" t="s">
        <v>87</v>
      </c>
    </row>
    <row r="1863" spans="2:65" s="1" customFormat="1" ht="44.25" customHeight="1">
      <c r="B1863" s="12"/>
      <c r="C1863" s="71" t="s">
        <v>2779</v>
      </c>
      <c r="D1863" s="71" t="s">
        <v>214</v>
      </c>
      <c r="E1863" s="72" t="s">
        <v>2780</v>
      </c>
      <c r="F1863" s="73" t="s">
        <v>2781</v>
      </c>
      <c r="G1863" s="74" t="s">
        <v>808</v>
      </c>
      <c r="H1863" s="75">
        <v>1</v>
      </c>
      <c r="I1863" s="90">
        <v>53000</v>
      </c>
      <c r="J1863" s="91">
        <f>ROUND(I1863*H1863,2)</f>
        <v>53000</v>
      </c>
      <c r="K1863" s="92"/>
      <c r="L1863" s="12"/>
      <c r="M1863" s="93" t="s">
        <v>1</v>
      </c>
      <c r="N1863" s="94" t="s">
        <v>42</v>
      </c>
      <c r="P1863" s="95">
        <f>O1863*H1863</f>
        <v>0</v>
      </c>
      <c r="Q1863" s="95">
        <v>0</v>
      </c>
      <c r="R1863" s="95">
        <f>Q1863*H1863</f>
        <v>0</v>
      </c>
      <c r="S1863" s="95">
        <v>0</v>
      </c>
      <c r="T1863" s="99">
        <f>S1863*H1863</f>
        <v>0</v>
      </c>
      <c r="AR1863" s="101" t="s">
        <v>218</v>
      </c>
      <c r="AT1863" s="101" t="s">
        <v>214</v>
      </c>
      <c r="AU1863" s="101" t="s">
        <v>87</v>
      </c>
      <c r="AY1863" s="23" t="s">
        <v>211</v>
      </c>
      <c r="BE1863" s="104">
        <f>IF(N1863="základní",J1863,0)</f>
        <v>53000</v>
      </c>
      <c r="BF1863" s="104">
        <f>IF(N1863="snížená",J1863,0)</f>
        <v>0</v>
      </c>
      <c r="BG1863" s="104">
        <f>IF(N1863="zákl. přenesená",J1863,0)</f>
        <v>0</v>
      </c>
      <c r="BH1863" s="104">
        <f>IF(N1863="sníž. přenesená",J1863,0)</f>
        <v>0</v>
      </c>
      <c r="BI1863" s="104">
        <f>IF(N1863="nulová",J1863,0)</f>
        <v>0</v>
      </c>
      <c r="BJ1863" s="23" t="s">
        <v>85</v>
      </c>
      <c r="BK1863" s="104">
        <f>ROUND(I1863*H1863,2)</f>
        <v>53000</v>
      </c>
      <c r="BL1863" s="23" t="s">
        <v>218</v>
      </c>
      <c r="BM1863" s="101" t="s">
        <v>2782</v>
      </c>
    </row>
    <row r="1864" spans="2:65" s="1" customFormat="1" ht="57.6">
      <c r="B1864" s="12"/>
      <c r="D1864" s="105" t="s">
        <v>227</v>
      </c>
      <c r="F1864" s="106" t="s">
        <v>2783</v>
      </c>
      <c r="I1864" s="107"/>
      <c r="L1864" s="12"/>
      <c r="M1864" s="108"/>
      <c r="T1864" s="111"/>
      <c r="AT1864" s="23" t="s">
        <v>227</v>
      </c>
      <c r="AU1864" s="23" t="s">
        <v>87</v>
      </c>
    </row>
    <row r="1865" spans="2:65" s="1" customFormat="1" ht="44.25" customHeight="1">
      <c r="B1865" s="12"/>
      <c r="C1865" s="71" t="s">
        <v>2784</v>
      </c>
      <c r="D1865" s="71" t="s">
        <v>214</v>
      </c>
      <c r="E1865" s="72" t="s">
        <v>2785</v>
      </c>
      <c r="F1865" s="73" t="s">
        <v>2786</v>
      </c>
      <c r="G1865" s="74" t="s">
        <v>808</v>
      </c>
      <c r="H1865" s="75">
        <v>1</v>
      </c>
      <c r="I1865" s="90">
        <v>53000</v>
      </c>
      <c r="J1865" s="91">
        <f>ROUND(I1865*H1865,2)</f>
        <v>53000</v>
      </c>
      <c r="K1865" s="92"/>
      <c r="L1865" s="12"/>
      <c r="M1865" s="93" t="s">
        <v>1</v>
      </c>
      <c r="N1865" s="94" t="s">
        <v>42</v>
      </c>
      <c r="P1865" s="95">
        <f>O1865*H1865</f>
        <v>0</v>
      </c>
      <c r="Q1865" s="95">
        <v>0</v>
      </c>
      <c r="R1865" s="95">
        <f>Q1865*H1865</f>
        <v>0</v>
      </c>
      <c r="S1865" s="95">
        <v>0</v>
      </c>
      <c r="T1865" s="99">
        <f>S1865*H1865</f>
        <v>0</v>
      </c>
      <c r="AR1865" s="101" t="s">
        <v>218</v>
      </c>
      <c r="AT1865" s="101" t="s">
        <v>214</v>
      </c>
      <c r="AU1865" s="101" t="s">
        <v>87</v>
      </c>
      <c r="AY1865" s="23" t="s">
        <v>211</v>
      </c>
      <c r="BE1865" s="104">
        <f>IF(N1865="základní",J1865,0)</f>
        <v>53000</v>
      </c>
      <c r="BF1865" s="104">
        <f>IF(N1865="snížená",J1865,0)</f>
        <v>0</v>
      </c>
      <c r="BG1865" s="104">
        <f>IF(N1865="zákl. přenesená",J1865,0)</f>
        <v>0</v>
      </c>
      <c r="BH1865" s="104">
        <f>IF(N1865="sníž. přenesená",J1865,0)</f>
        <v>0</v>
      </c>
      <c r="BI1865" s="104">
        <f>IF(N1865="nulová",J1865,0)</f>
        <v>0</v>
      </c>
      <c r="BJ1865" s="23" t="s">
        <v>85</v>
      </c>
      <c r="BK1865" s="104">
        <f>ROUND(I1865*H1865,2)</f>
        <v>53000</v>
      </c>
      <c r="BL1865" s="23" t="s">
        <v>218</v>
      </c>
      <c r="BM1865" s="101" t="s">
        <v>2787</v>
      </c>
    </row>
    <row r="1866" spans="2:65" s="1" customFormat="1" ht="48">
      <c r="B1866" s="12"/>
      <c r="D1866" s="105" t="s">
        <v>227</v>
      </c>
      <c r="F1866" s="106" t="s">
        <v>2734</v>
      </c>
      <c r="I1866" s="107"/>
      <c r="L1866" s="12"/>
      <c r="M1866" s="108"/>
      <c r="T1866" s="111"/>
      <c r="AT1866" s="23" t="s">
        <v>227</v>
      </c>
      <c r="AU1866" s="23" t="s">
        <v>87</v>
      </c>
    </row>
    <row r="1867" spans="2:65" s="1" customFormat="1" ht="44.25" customHeight="1">
      <c r="B1867" s="12"/>
      <c r="C1867" s="71" t="s">
        <v>2788</v>
      </c>
      <c r="D1867" s="71" t="s">
        <v>214</v>
      </c>
      <c r="E1867" s="72" t="s">
        <v>2789</v>
      </c>
      <c r="F1867" s="73" t="s">
        <v>2790</v>
      </c>
      <c r="G1867" s="74" t="s">
        <v>808</v>
      </c>
      <c r="H1867" s="75">
        <v>4</v>
      </c>
      <c r="I1867" s="90">
        <v>120000</v>
      </c>
      <c r="J1867" s="91">
        <f>ROUND(I1867*H1867,2)</f>
        <v>480000</v>
      </c>
      <c r="K1867" s="92"/>
      <c r="L1867" s="12"/>
      <c r="M1867" s="93" t="s">
        <v>1</v>
      </c>
      <c r="N1867" s="94" t="s">
        <v>42</v>
      </c>
      <c r="P1867" s="95">
        <f>O1867*H1867</f>
        <v>0</v>
      </c>
      <c r="Q1867" s="95">
        <v>0</v>
      </c>
      <c r="R1867" s="95">
        <f>Q1867*H1867</f>
        <v>0</v>
      </c>
      <c r="S1867" s="95">
        <v>0</v>
      </c>
      <c r="T1867" s="99">
        <f>S1867*H1867</f>
        <v>0</v>
      </c>
      <c r="AR1867" s="101" t="s">
        <v>218</v>
      </c>
      <c r="AT1867" s="101" t="s">
        <v>214</v>
      </c>
      <c r="AU1867" s="101" t="s">
        <v>87</v>
      </c>
      <c r="AY1867" s="23" t="s">
        <v>211</v>
      </c>
      <c r="BE1867" s="104">
        <f>IF(N1867="základní",J1867,0)</f>
        <v>480000</v>
      </c>
      <c r="BF1867" s="104">
        <f>IF(N1867="snížená",J1867,0)</f>
        <v>0</v>
      </c>
      <c r="BG1867" s="104">
        <f>IF(N1867="zákl. přenesená",J1867,0)</f>
        <v>0</v>
      </c>
      <c r="BH1867" s="104">
        <f>IF(N1867="sníž. přenesená",J1867,0)</f>
        <v>0</v>
      </c>
      <c r="BI1867" s="104">
        <f>IF(N1867="nulová",J1867,0)</f>
        <v>0</v>
      </c>
      <c r="BJ1867" s="23" t="s">
        <v>85</v>
      </c>
      <c r="BK1867" s="104">
        <f>ROUND(I1867*H1867,2)</f>
        <v>480000</v>
      </c>
      <c r="BL1867" s="23" t="s">
        <v>218</v>
      </c>
      <c r="BM1867" s="101" t="s">
        <v>2791</v>
      </c>
    </row>
    <row r="1868" spans="2:65" s="1" customFormat="1" ht="48">
      <c r="B1868" s="12"/>
      <c r="D1868" s="105" t="s">
        <v>227</v>
      </c>
      <c r="F1868" s="106" t="s">
        <v>2734</v>
      </c>
      <c r="I1868" s="107"/>
      <c r="L1868" s="12"/>
      <c r="M1868" s="108"/>
      <c r="T1868" s="111"/>
      <c r="AT1868" s="23" t="s">
        <v>227</v>
      </c>
      <c r="AU1868" s="23" t="s">
        <v>87</v>
      </c>
    </row>
    <row r="1869" spans="2:65" s="1" customFormat="1" ht="44.25" customHeight="1">
      <c r="B1869" s="12"/>
      <c r="C1869" s="71" t="s">
        <v>2792</v>
      </c>
      <c r="D1869" s="71" t="s">
        <v>214</v>
      </c>
      <c r="E1869" s="72" t="s">
        <v>2793</v>
      </c>
      <c r="F1869" s="73" t="s">
        <v>2794</v>
      </c>
      <c r="G1869" s="74" t="s">
        <v>808</v>
      </c>
      <c r="H1869" s="75">
        <v>2</v>
      </c>
      <c r="I1869" s="90">
        <v>34000</v>
      </c>
      <c r="J1869" s="91">
        <f>ROUND(I1869*H1869,2)</f>
        <v>68000</v>
      </c>
      <c r="K1869" s="92"/>
      <c r="L1869" s="12"/>
      <c r="M1869" s="93" t="s">
        <v>1</v>
      </c>
      <c r="N1869" s="94" t="s">
        <v>42</v>
      </c>
      <c r="P1869" s="95">
        <f>O1869*H1869</f>
        <v>0</v>
      </c>
      <c r="Q1869" s="95">
        <v>0</v>
      </c>
      <c r="R1869" s="95">
        <f>Q1869*H1869</f>
        <v>0</v>
      </c>
      <c r="S1869" s="95">
        <v>0</v>
      </c>
      <c r="T1869" s="99">
        <f>S1869*H1869</f>
        <v>0</v>
      </c>
      <c r="AR1869" s="101" t="s">
        <v>218</v>
      </c>
      <c r="AT1869" s="101" t="s">
        <v>214</v>
      </c>
      <c r="AU1869" s="101" t="s">
        <v>87</v>
      </c>
      <c r="AY1869" s="23" t="s">
        <v>211</v>
      </c>
      <c r="BE1869" s="104">
        <f>IF(N1869="základní",J1869,0)</f>
        <v>68000</v>
      </c>
      <c r="BF1869" s="104">
        <f>IF(N1869="snížená",J1869,0)</f>
        <v>0</v>
      </c>
      <c r="BG1869" s="104">
        <f>IF(N1869="zákl. přenesená",J1869,0)</f>
        <v>0</v>
      </c>
      <c r="BH1869" s="104">
        <f>IF(N1869="sníž. přenesená",J1869,0)</f>
        <v>0</v>
      </c>
      <c r="BI1869" s="104">
        <f>IF(N1869="nulová",J1869,0)</f>
        <v>0</v>
      </c>
      <c r="BJ1869" s="23" t="s">
        <v>85</v>
      </c>
      <c r="BK1869" s="104">
        <f>ROUND(I1869*H1869,2)</f>
        <v>68000</v>
      </c>
      <c r="BL1869" s="23" t="s">
        <v>218</v>
      </c>
      <c r="BM1869" s="101" t="s">
        <v>2795</v>
      </c>
    </row>
    <row r="1870" spans="2:65" s="1" customFormat="1" ht="48">
      <c r="B1870" s="12"/>
      <c r="D1870" s="105" t="s">
        <v>227</v>
      </c>
      <c r="F1870" s="106" t="s">
        <v>2734</v>
      </c>
      <c r="I1870" s="107"/>
      <c r="L1870" s="12"/>
      <c r="M1870" s="108"/>
      <c r="T1870" s="111"/>
      <c r="AT1870" s="23" t="s">
        <v>227</v>
      </c>
      <c r="AU1870" s="23" t="s">
        <v>87</v>
      </c>
    </row>
    <row r="1871" spans="2:65" s="1" customFormat="1" ht="44.25" customHeight="1">
      <c r="B1871" s="12"/>
      <c r="C1871" s="71" t="s">
        <v>2796</v>
      </c>
      <c r="D1871" s="71" t="s">
        <v>214</v>
      </c>
      <c r="E1871" s="72" t="s">
        <v>2797</v>
      </c>
      <c r="F1871" s="73" t="s">
        <v>2798</v>
      </c>
      <c r="G1871" s="74" t="s">
        <v>808</v>
      </c>
      <c r="H1871" s="75">
        <v>3</v>
      </c>
      <c r="I1871" s="90">
        <v>54000</v>
      </c>
      <c r="J1871" s="91">
        <f>ROUND(I1871*H1871,2)</f>
        <v>162000</v>
      </c>
      <c r="K1871" s="92"/>
      <c r="L1871" s="12"/>
      <c r="M1871" s="93" t="s">
        <v>1</v>
      </c>
      <c r="N1871" s="94" t="s">
        <v>42</v>
      </c>
      <c r="P1871" s="95">
        <f>O1871*H1871</f>
        <v>0</v>
      </c>
      <c r="Q1871" s="95">
        <v>0</v>
      </c>
      <c r="R1871" s="95">
        <f>Q1871*H1871</f>
        <v>0</v>
      </c>
      <c r="S1871" s="95">
        <v>0</v>
      </c>
      <c r="T1871" s="99">
        <f>S1871*H1871</f>
        <v>0</v>
      </c>
      <c r="AR1871" s="101" t="s">
        <v>218</v>
      </c>
      <c r="AT1871" s="101" t="s">
        <v>214</v>
      </c>
      <c r="AU1871" s="101" t="s">
        <v>87</v>
      </c>
      <c r="AY1871" s="23" t="s">
        <v>211</v>
      </c>
      <c r="BE1871" s="104">
        <f>IF(N1871="základní",J1871,0)</f>
        <v>162000</v>
      </c>
      <c r="BF1871" s="104">
        <f>IF(N1871="snížená",J1871,0)</f>
        <v>0</v>
      </c>
      <c r="BG1871" s="104">
        <f>IF(N1871="zákl. přenesená",J1871,0)</f>
        <v>0</v>
      </c>
      <c r="BH1871" s="104">
        <f>IF(N1871="sníž. přenesená",J1871,0)</f>
        <v>0</v>
      </c>
      <c r="BI1871" s="104">
        <f>IF(N1871="nulová",J1871,0)</f>
        <v>0</v>
      </c>
      <c r="BJ1871" s="23" t="s">
        <v>85</v>
      </c>
      <c r="BK1871" s="104">
        <f>ROUND(I1871*H1871,2)</f>
        <v>162000</v>
      </c>
      <c r="BL1871" s="23" t="s">
        <v>218</v>
      </c>
      <c r="BM1871" s="101" t="s">
        <v>2799</v>
      </c>
    </row>
    <row r="1872" spans="2:65" s="1" customFormat="1" ht="48">
      <c r="B1872" s="12"/>
      <c r="D1872" s="105" t="s">
        <v>227</v>
      </c>
      <c r="F1872" s="106" t="s">
        <v>2734</v>
      </c>
      <c r="I1872" s="107"/>
      <c r="L1872" s="12"/>
      <c r="M1872" s="108"/>
      <c r="T1872" s="111"/>
      <c r="AT1872" s="23" t="s">
        <v>227</v>
      </c>
      <c r="AU1872" s="23" t="s">
        <v>87</v>
      </c>
    </row>
    <row r="1873" spans="2:65" s="1" customFormat="1" ht="44.25" customHeight="1">
      <c r="B1873" s="12"/>
      <c r="C1873" s="71" t="s">
        <v>2800</v>
      </c>
      <c r="D1873" s="71" t="s">
        <v>214</v>
      </c>
      <c r="E1873" s="72" t="s">
        <v>2801</v>
      </c>
      <c r="F1873" s="73" t="s">
        <v>2802</v>
      </c>
      <c r="G1873" s="74" t="s">
        <v>808</v>
      </c>
      <c r="H1873" s="75">
        <v>1</v>
      </c>
      <c r="I1873" s="90">
        <v>48000</v>
      </c>
      <c r="J1873" s="91">
        <f>ROUND(I1873*H1873,2)</f>
        <v>48000</v>
      </c>
      <c r="K1873" s="92"/>
      <c r="L1873" s="12"/>
      <c r="M1873" s="93" t="s">
        <v>1</v>
      </c>
      <c r="N1873" s="94" t="s">
        <v>42</v>
      </c>
      <c r="P1873" s="95">
        <f>O1873*H1873</f>
        <v>0</v>
      </c>
      <c r="Q1873" s="95">
        <v>0</v>
      </c>
      <c r="R1873" s="95">
        <f>Q1873*H1873</f>
        <v>0</v>
      </c>
      <c r="S1873" s="95">
        <v>0</v>
      </c>
      <c r="T1873" s="99">
        <f>S1873*H1873</f>
        <v>0</v>
      </c>
      <c r="AR1873" s="101" t="s">
        <v>218</v>
      </c>
      <c r="AT1873" s="101" t="s">
        <v>214</v>
      </c>
      <c r="AU1873" s="101" t="s">
        <v>87</v>
      </c>
      <c r="AY1873" s="23" t="s">
        <v>211</v>
      </c>
      <c r="BE1873" s="104">
        <f>IF(N1873="základní",J1873,0)</f>
        <v>48000</v>
      </c>
      <c r="BF1873" s="104">
        <f>IF(N1873="snížená",J1873,0)</f>
        <v>0</v>
      </c>
      <c r="BG1873" s="104">
        <f>IF(N1873="zákl. přenesená",J1873,0)</f>
        <v>0</v>
      </c>
      <c r="BH1873" s="104">
        <f>IF(N1873="sníž. přenesená",J1873,0)</f>
        <v>0</v>
      </c>
      <c r="BI1873" s="104">
        <f>IF(N1873="nulová",J1873,0)</f>
        <v>0</v>
      </c>
      <c r="BJ1873" s="23" t="s">
        <v>85</v>
      </c>
      <c r="BK1873" s="104">
        <f>ROUND(I1873*H1873,2)</f>
        <v>48000</v>
      </c>
      <c r="BL1873" s="23" t="s">
        <v>218</v>
      </c>
      <c r="BM1873" s="101" t="s">
        <v>2803</v>
      </c>
    </row>
    <row r="1874" spans="2:65" s="1" customFormat="1" ht="48">
      <c r="B1874" s="12"/>
      <c r="D1874" s="105" t="s">
        <v>227</v>
      </c>
      <c r="F1874" s="106" t="s">
        <v>2734</v>
      </c>
      <c r="I1874" s="107"/>
      <c r="L1874" s="12"/>
      <c r="M1874" s="108"/>
      <c r="T1874" s="111"/>
      <c r="AT1874" s="23" t="s">
        <v>227</v>
      </c>
      <c r="AU1874" s="23" t="s">
        <v>87</v>
      </c>
    </row>
    <row r="1875" spans="2:65" s="1" customFormat="1" ht="44.25" customHeight="1">
      <c r="B1875" s="12"/>
      <c r="C1875" s="71" t="s">
        <v>2804</v>
      </c>
      <c r="D1875" s="71" t="s">
        <v>214</v>
      </c>
      <c r="E1875" s="72" t="s">
        <v>2805</v>
      </c>
      <c r="F1875" s="73" t="s">
        <v>2806</v>
      </c>
      <c r="G1875" s="74" t="s">
        <v>808</v>
      </c>
      <c r="H1875" s="75">
        <v>1</v>
      </c>
      <c r="I1875" s="90">
        <v>48000</v>
      </c>
      <c r="J1875" s="91">
        <f>ROUND(I1875*H1875,2)</f>
        <v>48000</v>
      </c>
      <c r="K1875" s="92"/>
      <c r="L1875" s="12"/>
      <c r="M1875" s="93" t="s">
        <v>1</v>
      </c>
      <c r="N1875" s="94" t="s">
        <v>42</v>
      </c>
      <c r="P1875" s="95">
        <f>O1875*H1875</f>
        <v>0</v>
      </c>
      <c r="Q1875" s="95">
        <v>0</v>
      </c>
      <c r="R1875" s="95">
        <f>Q1875*H1875</f>
        <v>0</v>
      </c>
      <c r="S1875" s="95">
        <v>0</v>
      </c>
      <c r="T1875" s="99">
        <f>S1875*H1875</f>
        <v>0</v>
      </c>
      <c r="AR1875" s="101" t="s">
        <v>218</v>
      </c>
      <c r="AT1875" s="101" t="s">
        <v>214</v>
      </c>
      <c r="AU1875" s="101" t="s">
        <v>87</v>
      </c>
      <c r="AY1875" s="23" t="s">
        <v>211</v>
      </c>
      <c r="BE1875" s="104">
        <f>IF(N1875="základní",J1875,0)</f>
        <v>48000</v>
      </c>
      <c r="BF1875" s="104">
        <f>IF(N1875="snížená",J1875,0)</f>
        <v>0</v>
      </c>
      <c r="BG1875" s="104">
        <f>IF(N1875="zákl. přenesená",J1875,0)</f>
        <v>0</v>
      </c>
      <c r="BH1875" s="104">
        <f>IF(N1875="sníž. přenesená",J1875,0)</f>
        <v>0</v>
      </c>
      <c r="BI1875" s="104">
        <f>IF(N1875="nulová",J1875,0)</f>
        <v>0</v>
      </c>
      <c r="BJ1875" s="23" t="s">
        <v>85</v>
      </c>
      <c r="BK1875" s="104">
        <f>ROUND(I1875*H1875,2)</f>
        <v>48000</v>
      </c>
      <c r="BL1875" s="23" t="s">
        <v>218</v>
      </c>
      <c r="BM1875" s="101" t="s">
        <v>2807</v>
      </c>
    </row>
    <row r="1876" spans="2:65" s="1" customFormat="1" ht="48">
      <c r="B1876" s="12"/>
      <c r="D1876" s="105" t="s">
        <v>227</v>
      </c>
      <c r="F1876" s="106" t="s">
        <v>2734</v>
      </c>
      <c r="I1876" s="107"/>
      <c r="L1876" s="12"/>
      <c r="M1876" s="108"/>
      <c r="T1876" s="111"/>
      <c r="AT1876" s="23" t="s">
        <v>227</v>
      </c>
      <c r="AU1876" s="23" t="s">
        <v>87</v>
      </c>
    </row>
    <row r="1877" spans="2:65" s="31" customFormat="1" ht="23.1" customHeight="1">
      <c r="B1877" s="67"/>
      <c r="D1877" s="68" t="s">
        <v>76</v>
      </c>
      <c r="E1877" s="70" t="s">
        <v>2808</v>
      </c>
      <c r="F1877" s="70" t="s">
        <v>2809</v>
      </c>
      <c r="I1877" s="85"/>
      <c r="J1877" s="89">
        <f>BK1877</f>
        <v>328676.13</v>
      </c>
      <c r="L1877" s="67"/>
      <c r="M1877" s="87"/>
      <c r="P1877" s="88">
        <f>SUM(P1878:P1910)</f>
        <v>0</v>
      </c>
      <c r="R1877" s="88">
        <f>SUM(R1878:R1910)</f>
        <v>6.0592441499999996</v>
      </c>
      <c r="T1877" s="98">
        <f>SUM(T1878:T1910)</f>
        <v>0</v>
      </c>
      <c r="AR1877" s="68" t="s">
        <v>87</v>
      </c>
      <c r="AT1877" s="100" t="s">
        <v>76</v>
      </c>
      <c r="AU1877" s="100" t="s">
        <v>85</v>
      </c>
      <c r="AY1877" s="68" t="s">
        <v>211</v>
      </c>
      <c r="BK1877" s="103">
        <f>SUM(BK1878:BK1910)</f>
        <v>328676.13</v>
      </c>
    </row>
    <row r="1878" spans="2:65" s="1" customFormat="1" ht="24.15" customHeight="1">
      <c r="B1878" s="12"/>
      <c r="C1878" s="71" t="s">
        <v>2810</v>
      </c>
      <c r="D1878" s="71" t="s">
        <v>214</v>
      </c>
      <c r="E1878" s="72" t="s">
        <v>2811</v>
      </c>
      <c r="F1878" s="73" t="s">
        <v>2812</v>
      </c>
      <c r="G1878" s="74" t="s">
        <v>279</v>
      </c>
      <c r="H1878" s="75">
        <v>429.16</v>
      </c>
      <c r="I1878" s="90">
        <v>11</v>
      </c>
      <c r="J1878" s="91">
        <f>ROUND(I1878*H1878,2)</f>
        <v>4720.76</v>
      </c>
      <c r="K1878" s="92"/>
      <c r="L1878" s="12"/>
      <c r="M1878" s="93" t="s">
        <v>1</v>
      </c>
      <c r="N1878" s="94" t="s">
        <v>42</v>
      </c>
      <c r="P1878" s="95">
        <f>O1878*H1878</f>
        <v>0</v>
      </c>
      <c r="Q1878" s="95">
        <v>0</v>
      </c>
      <c r="R1878" s="95">
        <f>Q1878*H1878</f>
        <v>0</v>
      </c>
      <c r="S1878" s="95">
        <v>0</v>
      </c>
      <c r="T1878" s="99">
        <f>S1878*H1878</f>
        <v>0</v>
      </c>
      <c r="AR1878" s="101" t="s">
        <v>446</v>
      </c>
      <c r="AT1878" s="101" t="s">
        <v>214</v>
      </c>
      <c r="AU1878" s="101" t="s">
        <v>87</v>
      </c>
      <c r="AY1878" s="23" t="s">
        <v>211</v>
      </c>
      <c r="BE1878" s="104">
        <f>IF(N1878="základní",J1878,0)</f>
        <v>4720.76</v>
      </c>
      <c r="BF1878" s="104">
        <f>IF(N1878="snížená",J1878,0)</f>
        <v>0</v>
      </c>
      <c r="BG1878" s="104">
        <f>IF(N1878="zákl. přenesená",J1878,0)</f>
        <v>0</v>
      </c>
      <c r="BH1878" s="104">
        <f>IF(N1878="sníž. přenesená",J1878,0)</f>
        <v>0</v>
      </c>
      <c r="BI1878" s="104">
        <f>IF(N1878="nulová",J1878,0)</f>
        <v>0</v>
      </c>
      <c r="BJ1878" s="23" t="s">
        <v>85</v>
      </c>
      <c r="BK1878" s="104">
        <f>ROUND(I1878*H1878,2)</f>
        <v>4720.76</v>
      </c>
      <c r="BL1878" s="23" t="s">
        <v>446</v>
      </c>
      <c r="BM1878" s="101" t="s">
        <v>2813</v>
      </c>
    </row>
    <row r="1879" spans="2:65" s="113" customFormat="1">
      <c r="B1879" s="119"/>
      <c r="D1879" s="105" t="s">
        <v>365</v>
      </c>
      <c r="E1879" s="135" t="s">
        <v>1</v>
      </c>
      <c r="F1879" s="120" t="s">
        <v>2814</v>
      </c>
      <c r="H1879" s="121">
        <v>429.16</v>
      </c>
      <c r="I1879" s="128"/>
      <c r="L1879" s="119"/>
      <c r="M1879" s="129"/>
      <c r="T1879" s="133"/>
      <c r="AT1879" s="135" t="s">
        <v>365</v>
      </c>
      <c r="AU1879" s="135" t="s">
        <v>87</v>
      </c>
      <c r="AV1879" s="113" t="s">
        <v>87</v>
      </c>
      <c r="AW1879" s="113" t="s">
        <v>33</v>
      </c>
      <c r="AX1879" s="113" t="s">
        <v>85</v>
      </c>
      <c r="AY1879" s="135" t="s">
        <v>211</v>
      </c>
    </row>
    <row r="1880" spans="2:65" s="1" customFormat="1" ht="16.5" customHeight="1">
      <c r="B1880" s="12"/>
      <c r="C1880" s="114" t="s">
        <v>2815</v>
      </c>
      <c r="D1880" s="114" t="s">
        <v>438</v>
      </c>
      <c r="E1880" s="115" t="s">
        <v>2816</v>
      </c>
      <c r="F1880" s="116" t="s">
        <v>2817</v>
      </c>
      <c r="G1880" s="117" t="s">
        <v>2818</v>
      </c>
      <c r="H1880" s="118">
        <v>0.14199999999999999</v>
      </c>
      <c r="I1880" s="122">
        <v>45</v>
      </c>
      <c r="J1880" s="123">
        <f>ROUND(I1880*H1880,2)</f>
        <v>6.39</v>
      </c>
      <c r="K1880" s="124"/>
      <c r="L1880" s="125"/>
      <c r="M1880" s="126" t="s">
        <v>1</v>
      </c>
      <c r="N1880" s="127" t="s">
        <v>42</v>
      </c>
      <c r="P1880" s="95">
        <f>O1880*H1880</f>
        <v>0</v>
      </c>
      <c r="Q1880" s="95">
        <v>1E-3</v>
      </c>
      <c r="R1880" s="95">
        <f>Q1880*H1880</f>
        <v>1.4200000000000001E-4</v>
      </c>
      <c r="S1880" s="95">
        <v>0</v>
      </c>
      <c r="T1880" s="99">
        <f>S1880*H1880</f>
        <v>0</v>
      </c>
      <c r="AR1880" s="101" t="s">
        <v>527</v>
      </c>
      <c r="AT1880" s="101" t="s">
        <v>438</v>
      </c>
      <c r="AU1880" s="101" t="s">
        <v>87</v>
      </c>
      <c r="AY1880" s="23" t="s">
        <v>211</v>
      </c>
      <c r="BE1880" s="104">
        <f>IF(N1880="základní",J1880,0)</f>
        <v>6.39</v>
      </c>
      <c r="BF1880" s="104">
        <f>IF(N1880="snížená",J1880,0)</f>
        <v>0</v>
      </c>
      <c r="BG1880" s="104">
        <f>IF(N1880="zákl. přenesená",J1880,0)</f>
        <v>0</v>
      </c>
      <c r="BH1880" s="104">
        <f>IF(N1880="sníž. přenesená",J1880,0)</f>
        <v>0</v>
      </c>
      <c r="BI1880" s="104">
        <f>IF(N1880="nulová",J1880,0)</f>
        <v>0</v>
      </c>
      <c r="BJ1880" s="23" t="s">
        <v>85</v>
      </c>
      <c r="BK1880" s="104">
        <f>ROUND(I1880*H1880,2)</f>
        <v>6.39</v>
      </c>
      <c r="BL1880" s="23" t="s">
        <v>446</v>
      </c>
      <c r="BM1880" s="101" t="s">
        <v>2819</v>
      </c>
    </row>
    <row r="1881" spans="2:65" s="113" customFormat="1">
      <c r="B1881" s="119"/>
      <c r="D1881" s="105" t="s">
        <v>365</v>
      </c>
      <c r="F1881" s="120" t="s">
        <v>2820</v>
      </c>
      <c r="H1881" s="121">
        <v>0.14199999999999999</v>
      </c>
      <c r="I1881" s="128"/>
      <c r="L1881" s="119"/>
      <c r="M1881" s="129"/>
      <c r="T1881" s="133"/>
      <c r="AT1881" s="135" t="s">
        <v>365</v>
      </c>
      <c r="AU1881" s="135" t="s">
        <v>87</v>
      </c>
      <c r="AV1881" s="113" t="s">
        <v>87</v>
      </c>
      <c r="AW1881" s="113" t="s">
        <v>4</v>
      </c>
      <c r="AX1881" s="113" t="s">
        <v>85</v>
      </c>
      <c r="AY1881" s="135" t="s">
        <v>211</v>
      </c>
    </row>
    <row r="1882" spans="2:65" s="1" customFormat="1" ht="24.15" customHeight="1">
      <c r="B1882" s="12"/>
      <c r="C1882" s="71" t="s">
        <v>2821</v>
      </c>
      <c r="D1882" s="71" t="s">
        <v>214</v>
      </c>
      <c r="E1882" s="72" t="s">
        <v>2822</v>
      </c>
      <c r="F1882" s="73" t="s">
        <v>2823</v>
      </c>
      <c r="G1882" s="74" t="s">
        <v>279</v>
      </c>
      <c r="H1882" s="75">
        <v>425.23</v>
      </c>
      <c r="I1882" s="90">
        <v>22</v>
      </c>
      <c r="J1882" s="91">
        <f>ROUND(I1882*H1882,2)</f>
        <v>9355.06</v>
      </c>
      <c r="K1882" s="92"/>
      <c r="L1882" s="12"/>
      <c r="M1882" s="93" t="s">
        <v>1</v>
      </c>
      <c r="N1882" s="94" t="s">
        <v>42</v>
      </c>
      <c r="P1882" s="95">
        <f>O1882*H1882</f>
        <v>0</v>
      </c>
      <c r="Q1882" s="95">
        <v>0</v>
      </c>
      <c r="R1882" s="95">
        <f>Q1882*H1882</f>
        <v>0</v>
      </c>
      <c r="S1882" s="95">
        <v>0</v>
      </c>
      <c r="T1882" s="99">
        <f>S1882*H1882</f>
        <v>0</v>
      </c>
      <c r="AR1882" s="101" t="s">
        <v>446</v>
      </c>
      <c r="AT1882" s="101" t="s">
        <v>214</v>
      </c>
      <c r="AU1882" s="101" t="s">
        <v>87</v>
      </c>
      <c r="AY1882" s="23" t="s">
        <v>211</v>
      </c>
      <c r="BE1882" s="104">
        <f>IF(N1882="základní",J1882,0)</f>
        <v>9355.06</v>
      </c>
      <c r="BF1882" s="104">
        <f>IF(N1882="snížená",J1882,0)</f>
        <v>0</v>
      </c>
      <c r="BG1882" s="104">
        <f>IF(N1882="zákl. přenesená",J1882,0)</f>
        <v>0</v>
      </c>
      <c r="BH1882" s="104">
        <f>IF(N1882="sníž. přenesená",J1882,0)</f>
        <v>0</v>
      </c>
      <c r="BI1882" s="104">
        <f>IF(N1882="nulová",J1882,0)</f>
        <v>0</v>
      </c>
      <c r="BJ1882" s="23" t="s">
        <v>85</v>
      </c>
      <c r="BK1882" s="104">
        <f>ROUND(I1882*H1882,2)</f>
        <v>9355.06</v>
      </c>
      <c r="BL1882" s="23" t="s">
        <v>446</v>
      </c>
      <c r="BM1882" s="101" t="s">
        <v>2824</v>
      </c>
    </row>
    <row r="1883" spans="2:65" s="113" customFormat="1">
      <c r="B1883" s="119"/>
      <c r="D1883" s="105" t="s">
        <v>365</v>
      </c>
      <c r="E1883" s="135" t="s">
        <v>1</v>
      </c>
      <c r="F1883" s="120" t="s">
        <v>2825</v>
      </c>
      <c r="H1883" s="121">
        <v>132</v>
      </c>
      <c r="I1883" s="128"/>
      <c r="L1883" s="119"/>
      <c r="M1883" s="129"/>
      <c r="T1883" s="133"/>
      <c r="AT1883" s="135" t="s">
        <v>365</v>
      </c>
      <c r="AU1883" s="135" t="s">
        <v>87</v>
      </c>
      <c r="AV1883" s="113" t="s">
        <v>87</v>
      </c>
      <c r="AW1883" s="113" t="s">
        <v>33</v>
      </c>
      <c r="AX1883" s="113" t="s">
        <v>77</v>
      </c>
      <c r="AY1883" s="135" t="s">
        <v>211</v>
      </c>
    </row>
    <row r="1884" spans="2:65" s="113" customFormat="1">
      <c r="B1884" s="119"/>
      <c r="D1884" s="105" t="s">
        <v>365</v>
      </c>
      <c r="E1884" s="135" t="s">
        <v>1</v>
      </c>
      <c r="F1884" s="120" t="s">
        <v>2826</v>
      </c>
      <c r="H1884" s="121">
        <v>293.23</v>
      </c>
      <c r="I1884" s="128"/>
      <c r="L1884" s="119"/>
      <c r="M1884" s="129"/>
      <c r="T1884" s="133"/>
      <c r="AT1884" s="135" t="s">
        <v>365</v>
      </c>
      <c r="AU1884" s="135" t="s">
        <v>87</v>
      </c>
      <c r="AV1884" s="113" t="s">
        <v>87</v>
      </c>
      <c r="AW1884" s="113" t="s">
        <v>33</v>
      </c>
      <c r="AX1884" s="113" t="s">
        <v>77</v>
      </c>
      <c r="AY1884" s="135" t="s">
        <v>211</v>
      </c>
    </row>
    <row r="1885" spans="2:65" s="137" customFormat="1">
      <c r="B1885" s="141"/>
      <c r="D1885" s="105" t="s">
        <v>365</v>
      </c>
      <c r="E1885" s="142" t="s">
        <v>1</v>
      </c>
      <c r="F1885" s="143" t="s">
        <v>368</v>
      </c>
      <c r="H1885" s="144">
        <v>425.23</v>
      </c>
      <c r="I1885" s="148"/>
      <c r="L1885" s="141"/>
      <c r="M1885" s="149"/>
      <c r="T1885" s="151"/>
      <c r="AT1885" s="142" t="s">
        <v>365</v>
      </c>
      <c r="AU1885" s="142" t="s">
        <v>87</v>
      </c>
      <c r="AV1885" s="137" t="s">
        <v>218</v>
      </c>
      <c r="AW1885" s="137" t="s">
        <v>33</v>
      </c>
      <c r="AX1885" s="137" t="s">
        <v>85</v>
      </c>
      <c r="AY1885" s="142" t="s">
        <v>211</v>
      </c>
    </row>
    <row r="1886" spans="2:65" s="1" customFormat="1" ht="16.5" customHeight="1">
      <c r="B1886" s="12"/>
      <c r="C1886" s="114" t="s">
        <v>2827</v>
      </c>
      <c r="D1886" s="114" t="s">
        <v>438</v>
      </c>
      <c r="E1886" s="115" t="s">
        <v>2828</v>
      </c>
      <c r="F1886" s="116" t="s">
        <v>2817</v>
      </c>
      <c r="G1886" s="117" t="s">
        <v>2818</v>
      </c>
      <c r="H1886" s="118">
        <v>0.14499999999999999</v>
      </c>
      <c r="I1886" s="122">
        <v>45</v>
      </c>
      <c r="J1886" s="123">
        <f>ROUND(I1886*H1886,2)</f>
        <v>6.53</v>
      </c>
      <c r="K1886" s="124"/>
      <c r="L1886" s="125"/>
      <c r="M1886" s="126" t="s">
        <v>1</v>
      </c>
      <c r="N1886" s="127" t="s">
        <v>42</v>
      </c>
      <c r="P1886" s="95">
        <f>O1886*H1886</f>
        <v>0</v>
      </c>
      <c r="Q1886" s="95">
        <v>1E-3</v>
      </c>
      <c r="R1886" s="95">
        <f>Q1886*H1886</f>
        <v>1.45E-4</v>
      </c>
      <c r="S1886" s="95">
        <v>0</v>
      </c>
      <c r="T1886" s="99">
        <f>S1886*H1886</f>
        <v>0</v>
      </c>
      <c r="AR1886" s="101" t="s">
        <v>527</v>
      </c>
      <c r="AT1886" s="101" t="s">
        <v>438</v>
      </c>
      <c r="AU1886" s="101" t="s">
        <v>87</v>
      </c>
      <c r="AY1886" s="23" t="s">
        <v>211</v>
      </c>
      <c r="BE1886" s="104">
        <f>IF(N1886="základní",J1886,0)</f>
        <v>6.53</v>
      </c>
      <c r="BF1886" s="104">
        <f>IF(N1886="snížená",J1886,0)</f>
        <v>0</v>
      </c>
      <c r="BG1886" s="104">
        <f>IF(N1886="zákl. přenesená",J1886,0)</f>
        <v>0</v>
      </c>
      <c r="BH1886" s="104">
        <f>IF(N1886="sníž. přenesená",J1886,0)</f>
        <v>0</v>
      </c>
      <c r="BI1886" s="104">
        <f>IF(N1886="nulová",J1886,0)</f>
        <v>0</v>
      </c>
      <c r="BJ1886" s="23" t="s">
        <v>85</v>
      </c>
      <c r="BK1886" s="104">
        <f>ROUND(I1886*H1886,2)</f>
        <v>6.53</v>
      </c>
      <c r="BL1886" s="23" t="s">
        <v>446</v>
      </c>
      <c r="BM1886" s="101" t="s">
        <v>2829</v>
      </c>
    </row>
    <row r="1887" spans="2:65" s="113" customFormat="1">
      <c r="B1887" s="119"/>
      <c r="D1887" s="105" t="s">
        <v>365</v>
      </c>
      <c r="F1887" s="120" t="s">
        <v>2830</v>
      </c>
      <c r="H1887" s="121">
        <v>0.14499999999999999</v>
      </c>
      <c r="I1887" s="128"/>
      <c r="L1887" s="119"/>
      <c r="M1887" s="129"/>
      <c r="T1887" s="133"/>
      <c r="AT1887" s="135" t="s">
        <v>365</v>
      </c>
      <c r="AU1887" s="135" t="s">
        <v>87</v>
      </c>
      <c r="AV1887" s="113" t="s">
        <v>87</v>
      </c>
      <c r="AW1887" s="113" t="s">
        <v>4</v>
      </c>
      <c r="AX1887" s="113" t="s">
        <v>85</v>
      </c>
      <c r="AY1887" s="135" t="s">
        <v>211</v>
      </c>
    </row>
    <row r="1888" spans="2:65" s="1" customFormat="1" ht="24.15" customHeight="1">
      <c r="B1888" s="12"/>
      <c r="C1888" s="71" t="s">
        <v>2831</v>
      </c>
      <c r="D1888" s="71" t="s">
        <v>214</v>
      </c>
      <c r="E1888" s="72" t="s">
        <v>2832</v>
      </c>
      <c r="F1888" s="73" t="s">
        <v>2833</v>
      </c>
      <c r="G1888" s="74" t="s">
        <v>279</v>
      </c>
      <c r="H1888" s="75">
        <v>429.16</v>
      </c>
      <c r="I1888" s="90">
        <v>110</v>
      </c>
      <c r="J1888" s="91">
        <f>ROUND(I1888*H1888,2)</f>
        <v>47207.6</v>
      </c>
      <c r="K1888" s="92"/>
      <c r="L1888" s="12"/>
      <c r="M1888" s="93" t="s">
        <v>1</v>
      </c>
      <c r="N1888" s="94" t="s">
        <v>42</v>
      </c>
      <c r="P1888" s="95">
        <f>O1888*H1888</f>
        <v>0</v>
      </c>
      <c r="Q1888" s="95">
        <v>4.0000000000000002E-4</v>
      </c>
      <c r="R1888" s="95">
        <f>Q1888*H1888</f>
        <v>0.17166400000000001</v>
      </c>
      <c r="S1888" s="95">
        <v>0</v>
      </c>
      <c r="T1888" s="99">
        <f>S1888*H1888</f>
        <v>0</v>
      </c>
      <c r="AR1888" s="101" t="s">
        <v>446</v>
      </c>
      <c r="AT1888" s="101" t="s">
        <v>214</v>
      </c>
      <c r="AU1888" s="101" t="s">
        <v>87</v>
      </c>
      <c r="AY1888" s="23" t="s">
        <v>211</v>
      </c>
      <c r="BE1888" s="104">
        <f>IF(N1888="základní",J1888,0)</f>
        <v>47207.6</v>
      </c>
      <c r="BF1888" s="104">
        <f>IF(N1888="snížená",J1888,0)</f>
        <v>0</v>
      </c>
      <c r="BG1888" s="104">
        <f>IF(N1888="zákl. přenesená",J1888,0)</f>
        <v>0</v>
      </c>
      <c r="BH1888" s="104">
        <f>IF(N1888="sníž. přenesená",J1888,0)</f>
        <v>0</v>
      </c>
      <c r="BI1888" s="104">
        <f>IF(N1888="nulová",J1888,0)</f>
        <v>0</v>
      </c>
      <c r="BJ1888" s="23" t="s">
        <v>85</v>
      </c>
      <c r="BK1888" s="104">
        <f>ROUND(I1888*H1888,2)</f>
        <v>47207.6</v>
      </c>
      <c r="BL1888" s="23" t="s">
        <v>446</v>
      </c>
      <c r="BM1888" s="101" t="s">
        <v>2834</v>
      </c>
    </row>
    <row r="1889" spans="2:65" s="1" customFormat="1" ht="19.2">
      <c r="B1889" s="12"/>
      <c r="D1889" s="105" t="s">
        <v>227</v>
      </c>
      <c r="F1889" s="106" t="s">
        <v>2835</v>
      </c>
      <c r="I1889" s="107"/>
      <c r="L1889" s="12"/>
      <c r="M1889" s="108"/>
      <c r="T1889" s="111"/>
      <c r="AT1889" s="23" t="s">
        <v>227</v>
      </c>
      <c r="AU1889" s="23" t="s">
        <v>87</v>
      </c>
    </row>
    <row r="1890" spans="2:65" s="113" customFormat="1">
      <c r="B1890" s="119"/>
      <c r="D1890" s="105" t="s">
        <v>365</v>
      </c>
      <c r="E1890" s="135" t="s">
        <v>1</v>
      </c>
      <c r="F1890" s="120" t="s">
        <v>2814</v>
      </c>
      <c r="H1890" s="121">
        <v>429.16</v>
      </c>
      <c r="I1890" s="128"/>
      <c r="L1890" s="119"/>
      <c r="M1890" s="129"/>
      <c r="T1890" s="133"/>
      <c r="AT1890" s="135" t="s">
        <v>365</v>
      </c>
      <c r="AU1890" s="135" t="s">
        <v>87</v>
      </c>
      <c r="AV1890" s="113" t="s">
        <v>87</v>
      </c>
      <c r="AW1890" s="113" t="s">
        <v>33</v>
      </c>
      <c r="AX1890" s="113" t="s">
        <v>85</v>
      </c>
      <c r="AY1890" s="135" t="s">
        <v>211</v>
      </c>
    </row>
    <row r="1891" spans="2:65" s="1" customFormat="1" ht="44.25" customHeight="1">
      <c r="B1891" s="12"/>
      <c r="C1891" s="114" t="s">
        <v>2836</v>
      </c>
      <c r="D1891" s="114" t="s">
        <v>438</v>
      </c>
      <c r="E1891" s="115" t="s">
        <v>2837</v>
      </c>
      <c r="F1891" s="116" t="s">
        <v>2838</v>
      </c>
      <c r="G1891" s="117" t="s">
        <v>279</v>
      </c>
      <c r="H1891" s="118">
        <v>500.18599999999998</v>
      </c>
      <c r="I1891" s="122">
        <v>150</v>
      </c>
      <c r="J1891" s="123">
        <f>ROUND(I1891*H1891,2)</f>
        <v>75027.899999999994</v>
      </c>
      <c r="K1891" s="124"/>
      <c r="L1891" s="125"/>
      <c r="M1891" s="126" t="s">
        <v>1</v>
      </c>
      <c r="N1891" s="127" t="s">
        <v>42</v>
      </c>
      <c r="P1891" s="95">
        <f>O1891*H1891</f>
        <v>0</v>
      </c>
      <c r="Q1891" s="95">
        <v>5.4000000000000003E-3</v>
      </c>
      <c r="R1891" s="95">
        <f>Q1891*H1891</f>
        <v>2.7010044</v>
      </c>
      <c r="S1891" s="95">
        <v>0</v>
      </c>
      <c r="T1891" s="99">
        <f>S1891*H1891</f>
        <v>0</v>
      </c>
      <c r="AR1891" s="101" t="s">
        <v>527</v>
      </c>
      <c r="AT1891" s="101" t="s">
        <v>438</v>
      </c>
      <c r="AU1891" s="101" t="s">
        <v>87</v>
      </c>
      <c r="AY1891" s="23" t="s">
        <v>211</v>
      </c>
      <c r="BE1891" s="104">
        <f>IF(N1891="základní",J1891,0)</f>
        <v>75027.899999999994</v>
      </c>
      <c r="BF1891" s="104">
        <f>IF(N1891="snížená",J1891,0)</f>
        <v>0</v>
      </c>
      <c r="BG1891" s="104">
        <f>IF(N1891="zákl. přenesená",J1891,0)</f>
        <v>0</v>
      </c>
      <c r="BH1891" s="104">
        <f>IF(N1891="sníž. přenesená",J1891,0)</f>
        <v>0</v>
      </c>
      <c r="BI1891" s="104">
        <f>IF(N1891="nulová",J1891,0)</f>
        <v>0</v>
      </c>
      <c r="BJ1891" s="23" t="s">
        <v>85</v>
      </c>
      <c r="BK1891" s="104">
        <f>ROUND(I1891*H1891,2)</f>
        <v>75027.899999999994</v>
      </c>
      <c r="BL1891" s="23" t="s">
        <v>446</v>
      </c>
      <c r="BM1891" s="101" t="s">
        <v>2839</v>
      </c>
    </row>
    <row r="1892" spans="2:65" s="113" customFormat="1">
      <c r="B1892" s="119"/>
      <c r="D1892" s="105" t="s">
        <v>365</v>
      </c>
      <c r="F1892" s="120" t="s">
        <v>2840</v>
      </c>
      <c r="H1892" s="121">
        <v>500.18599999999998</v>
      </c>
      <c r="I1892" s="128"/>
      <c r="L1892" s="119"/>
      <c r="M1892" s="129"/>
      <c r="T1892" s="133"/>
      <c r="AT1892" s="135" t="s">
        <v>365</v>
      </c>
      <c r="AU1892" s="135" t="s">
        <v>87</v>
      </c>
      <c r="AV1892" s="113" t="s">
        <v>87</v>
      </c>
      <c r="AW1892" s="113" t="s">
        <v>4</v>
      </c>
      <c r="AX1892" s="113" t="s">
        <v>85</v>
      </c>
      <c r="AY1892" s="135" t="s">
        <v>211</v>
      </c>
    </row>
    <row r="1893" spans="2:65" s="1" customFormat="1" ht="24.15" customHeight="1">
      <c r="B1893" s="12"/>
      <c r="C1893" s="71" t="s">
        <v>2841</v>
      </c>
      <c r="D1893" s="71" t="s">
        <v>214</v>
      </c>
      <c r="E1893" s="72" t="s">
        <v>2842</v>
      </c>
      <c r="F1893" s="73" t="s">
        <v>2843</v>
      </c>
      <c r="G1893" s="74" t="s">
        <v>279</v>
      </c>
      <c r="H1893" s="75">
        <v>425.23</v>
      </c>
      <c r="I1893" s="90">
        <v>120</v>
      </c>
      <c r="J1893" s="91">
        <f>ROUND(I1893*H1893,2)</f>
        <v>51027.6</v>
      </c>
      <c r="K1893" s="92"/>
      <c r="L1893" s="12"/>
      <c r="M1893" s="93" t="s">
        <v>1</v>
      </c>
      <c r="N1893" s="94" t="s">
        <v>42</v>
      </c>
      <c r="P1893" s="95">
        <f>O1893*H1893</f>
        <v>0</v>
      </c>
      <c r="Q1893" s="95">
        <v>4.0000000000000002E-4</v>
      </c>
      <c r="R1893" s="95">
        <f>Q1893*H1893</f>
        <v>0.17009199999999999</v>
      </c>
      <c r="S1893" s="95">
        <v>0</v>
      </c>
      <c r="T1893" s="99">
        <f>S1893*H1893</f>
        <v>0</v>
      </c>
      <c r="AR1893" s="101" t="s">
        <v>446</v>
      </c>
      <c r="AT1893" s="101" t="s">
        <v>214</v>
      </c>
      <c r="AU1893" s="101" t="s">
        <v>87</v>
      </c>
      <c r="AY1893" s="23" t="s">
        <v>211</v>
      </c>
      <c r="BE1893" s="104">
        <f>IF(N1893="základní",J1893,0)</f>
        <v>51027.6</v>
      </c>
      <c r="BF1893" s="104">
        <f>IF(N1893="snížená",J1893,0)</f>
        <v>0</v>
      </c>
      <c r="BG1893" s="104">
        <f>IF(N1893="zákl. přenesená",J1893,0)</f>
        <v>0</v>
      </c>
      <c r="BH1893" s="104">
        <f>IF(N1893="sníž. přenesená",J1893,0)</f>
        <v>0</v>
      </c>
      <c r="BI1893" s="104">
        <f>IF(N1893="nulová",J1893,0)</f>
        <v>0</v>
      </c>
      <c r="BJ1893" s="23" t="s">
        <v>85</v>
      </c>
      <c r="BK1893" s="104">
        <f>ROUND(I1893*H1893,2)</f>
        <v>51027.6</v>
      </c>
      <c r="BL1893" s="23" t="s">
        <v>446</v>
      </c>
      <c r="BM1893" s="101" t="s">
        <v>2844</v>
      </c>
    </row>
    <row r="1894" spans="2:65" s="113" customFormat="1">
      <c r="B1894" s="119"/>
      <c r="D1894" s="105" t="s">
        <v>365</v>
      </c>
      <c r="E1894" s="135" t="s">
        <v>1</v>
      </c>
      <c r="F1894" s="120" t="s">
        <v>2825</v>
      </c>
      <c r="H1894" s="121">
        <v>132</v>
      </c>
      <c r="I1894" s="128"/>
      <c r="L1894" s="119"/>
      <c r="M1894" s="129"/>
      <c r="T1894" s="133"/>
      <c r="AT1894" s="135" t="s">
        <v>365</v>
      </c>
      <c r="AU1894" s="135" t="s">
        <v>87</v>
      </c>
      <c r="AV1894" s="113" t="s">
        <v>87</v>
      </c>
      <c r="AW1894" s="113" t="s">
        <v>33</v>
      </c>
      <c r="AX1894" s="113" t="s">
        <v>77</v>
      </c>
      <c r="AY1894" s="135" t="s">
        <v>211</v>
      </c>
    </row>
    <row r="1895" spans="2:65" s="113" customFormat="1">
      <c r="B1895" s="119"/>
      <c r="D1895" s="105" t="s">
        <v>365</v>
      </c>
      <c r="E1895" s="135" t="s">
        <v>1</v>
      </c>
      <c r="F1895" s="120" t="s">
        <v>2826</v>
      </c>
      <c r="H1895" s="121">
        <v>293.23</v>
      </c>
      <c r="I1895" s="128"/>
      <c r="L1895" s="119"/>
      <c r="M1895" s="129"/>
      <c r="T1895" s="133"/>
      <c r="AT1895" s="135" t="s">
        <v>365</v>
      </c>
      <c r="AU1895" s="135" t="s">
        <v>87</v>
      </c>
      <c r="AV1895" s="113" t="s">
        <v>87</v>
      </c>
      <c r="AW1895" s="113" t="s">
        <v>33</v>
      </c>
      <c r="AX1895" s="113" t="s">
        <v>77</v>
      </c>
      <c r="AY1895" s="135" t="s">
        <v>211</v>
      </c>
    </row>
    <row r="1896" spans="2:65" s="137" customFormat="1">
      <c r="B1896" s="141"/>
      <c r="D1896" s="105" t="s">
        <v>365</v>
      </c>
      <c r="E1896" s="142" t="s">
        <v>1</v>
      </c>
      <c r="F1896" s="143" t="s">
        <v>368</v>
      </c>
      <c r="H1896" s="144">
        <v>425.23</v>
      </c>
      <c r="I1896" s="148"/>
      <c r="L1896" s="141"/>
      <c r="M1896" s="149"/>
      <c r="T1896" s="151"/>
      <c r="AT1896" s="142" t="s">
        <v>365</v>
      </c>
      <c r="AU1896" s="142" t="s">
        <v>87</v>
      </c>
      <c r="AV1896" s="137" t="s">
        <v>218</v>
      </c>
      <c r="AW1896" s="137" t="s">
        <v>33</v>
      </c>
      <c r="AX1896" s="137" t="s">
        <v>85</v>
      </c>
      <c r="AY1896" s="142" t="s">
        <v>211</v>
      </c>
    </row>
    <row r="1897" spans="2:65" s="1" customFormat="1" ht="44.25" customHeight="1">
      <c r="B1897" s="12"/>
      <c r="C1897" s="114" t="s">
        <v>2845</v>
      </c>
      <c r="D1897" s="114" t="s">
        <v>438</v>
      </c>
      <c r="E1897" s="115" t="s">
        <v>2846</v>
      </c>
      <c r="F1897" s="116" t="s">
        <v>2838</v>
      </c>
      <c r="G1897" s="117" t="s">
        <v>279</v>
      </c>
      <c r="H1897" s="118">
        <v>519.20600000000002</v>
      </c>
      <c r="I1897" s="122">
        <v>150</v>
      </c>
      <c r="J1897" s="123">
        <f>ROUND(I1897*H1897,2)</f>
        <v>77880.899999999994</v>
      </c>
      <c r="K1897" s="124"/>
      <c r="L1897" s="125"/>
      <c r="M1897" s="126" t="s">
        <v>1</v>
      </c>
      <c r="N1897" s="127" t="s">
        <v>42</v>
      </c>
      <c r="P1897" s="95">
        <f>O1897*H1897</f>
        <v>0</v>
      </c>
      <c r="Q1897" s="95">
        <v>5.4000000000000003E-3</v>
      </c>
      <c r="R1897" s="95">
        <f>Q1897*H1897</f>
        <v>2.8037124000000002</v>
      </c>
      <c r="S1897" s="95">
        <v>0</v>
      </c>
      <c r="T1897" s="99">
        <f>S1897*H1897</f>
        <v>0</v>
      </c>
      <c r="AR1897" s="101" t="s">
        <v>527</v>
      </c>
      <c r="AT1897" s="101" t="s">
        <v>438</v>
      </c>
      <c r="AU1897" s="101" t="s">
        <v>87</v>
      </c>
      <c r="AY1897" s="23" t="s">
        <v>211</v>
      </c>
      <c r="BE1897" s="104">
        <f>IF(N1897="základní",J1897,0)</f>
        <v>77880.899999999994</v>
      </c>
      <c r="BF1897" s="104">
        <f>IF(N1897="snížená",J1897,0)</f>
        <v>0</v>
      </c>
      <c r="BG1897" s="104">
        <f>IF(N1897="zákl. přenesená",J1897,0)</f>
        <v>0</v>
      </c>
      <c r="BH1897" s="104">
        <f>IF(N1897="sníž. přenesená",J1897,0)</f>
        <v>0</v>
      </c>
      <c r="BI1897" s="104">
        <f>IF(N1897="nulová",J1897,0)</f>
        <v>0</v>
      </c>
      <c r="BJ1897" s="23" t="s">
        <v>85</v>
      </c>
      <c r="BK1897" s="104">
        <f>ROUND(I1897*H1897,2)</f>
        <v>77880.899999999994</v>
      </c>
      <c r="BL1897" s="23" t="s">
        <v>446</v>
      </c>
      <c r="BM1897" s="101" t="s">
        <v>2847</v>
      </c>
    </row>
    <row r="1898" spans="2:65" s="113" customFormat="1">
      <c r="B1898" s="119"/>
      <c r="D1898" s="105" t="s">
        <v>365</v>
      </c>
      <c r="F1898" s="120" t="s">
        <v>2848</v>
      </c>
      <c r="H1898" s="121">
        <v>519.20600000000002</v>
      </c>
      <c r="I1898" s="128"/>
      <c r="L1898" s="119"/>
      <c r="M1898" s="129"/>
      <c r="T1898" s="133"/>
      <c r="AT1898" s="135" t="s">
        <v>365</v>
      </c>
      <c r="AU1898" s="135" t="s">
        <v>87</v>
      </c>
      <c r="AV1898" s="113" t="s">
        <v>87</v>
      </c>
      <c r="AW1898" s="113" t="s">
        <v>4</v>
      </c>
      <c r="AX1898" s="113" t="s">
        <v>85</v>
      </c>
      <c r="AY1898" s="135" t="s">
        <v>211</v>
      </c>
    </row>
    <row r="1899" spans="2:65" s="1" customFormat="1" ht="24.15" customHeight="1">
      <c r="B1899" s="12"/>
      <c r="C1899" s="71" t="s">
        <v>2849</v>
      </c>
      <c r="D1899" s="71" t="s">
        <v>214</v>
      </c>
      <c r="E1899" s="72" t="s">
        <v>2850</v>
      </c>
      <c r="F1899" s="73" t="s">
        <v>2851</v>
      </c>
      <c r="G1899" s="74" t="s">
        <v>279</v>
      </c>
      <c r="H1899" s="75">
        <v>280.48</v>
      </c>
      <c r="I1899" s="90">
        <v>50</v>
      </c>
      <c r="J1899" s="91">
        <f>ROUND(I1899*H1899,2)</f>
        <v>14024</v>
      </c>
      <c r="K1899" s="92"/>
      <c r="L1899" s="12"/>
      <c r="M1899" s="93" t="s">
        <v>1</v>
      </c>
      <c r="N1899" s="94" t="s">
        <v>42</v>
      </c>
      <c r="P1899" s="95">
        <f>O1899*H1899</f>
        <v>0</v>
      </c>
      <c r="Q1899" s="95">
        <v>0</v>
      </c>
      <c r="R1899" s="95">
        <f>Q1899*H1899</f>
        <v>0</v>
      </c>
      <c r="S1899" s="95">
        <v>0</v>
      </c>
      <c r="T1899" s="99">
        <f>S1899*H1899</f>
        <v>0</v>
      </c>
      <c r="AR1899" s="101" t="s">
        <v>446</v>
      </c>
      <c r="AT1899" s="101" t="s">
        <v>214</v>
      </c>
      <c r="AU1899" s="101" t="s">
        <v>87</v>
      </c>
      <c r="AY1899" s="23" t="s">
        <v>211</v>
      </c>
      <c r="BE1899" s="104">
        <f>IF(N1899="základní",J1899,0)</f>
        <v>14024</v>
      </c>
      <c r="BF1899" s="104">
        <f>IF(N1899="snížená",J1899,0)</f>
        <v>0</v>
      </c>
      <c r="BG1899" s="104">
        <f>IF(N1899="zákl. přenesená",J1899,0)</f>
        <v>0</v>
      </c>
      <c r="BH1899" s="104">
        <f>IF(N1899="sníž. přenesená",J1899,0)</f>
        <v>0</v>
      </c>
      <c r="BI1899" s="104">
        <f>IF(N1899="nulová",J1899,0)</f>
        <v>0</v>
      </c>
      <c r="BJ1899" s="23" t="s">
        <v>85</v>
      </c>
      <c r="BK1899" s="104">
        <f>ROUND(I1899*H1899,2)</f>
        <v>14024</v>
      </c>
      <c r="BL1899" s="23" t="s">
        <v>446</v>
      </c>
      <c r="BM1899" s="101" t="s">
        <v>2852</v>
      </c>
    </row>
    <row r="1900" spans="2:65" s="136" customFormat="1">
      <c r="B1900" s="138"/>
      <c r="D1900" s="105" t="s">
        <v>365</v>
      </c>
      <c r="E1900" s="139" t="s">
        <v>1</v>
      </c>
      <c r="F1900" s="140" t="s">
        <v>2853</v>
      </c>
      <c r="H1900" s="139" t="s">
        <v>1</v>
      </c>
      <c r="I1900" s="146"/>
      <c r="L1900" s="138"/>
      <c r="M1900" s="147"/>
      <c r="T1900" s="150"/>
      <c r="AT1900" s="139" t="s">
        <v>365</v>
      </c>
      <c r="AU1900" s="139" t="s">
        <v>87</v>
      </c>
      <c r="AV1900" s="136" t="s">
        <v>85</v>
      </c>
      <c r="AW1900" s="136" t="s">
        <v>33</v>
      </c>
      <c r="AX1900" s="136" t="s">
        <v>77</v>
      </c>
      <c r="AY1900" s="139" t="s">
        <v>211</v>
      </c>
    </row>
    <row r="1901" spans="2:65" s="113" customFormat="1">
      <c r="B1901" s="119"/>
      <c r="D1901" s="105" t="s">
        <v>365</v>
      </c>
      <c r="E1901" s="135" t="s">
        <v>1</v>
      </c>
      <c r="F1901" s="120" t="s">
        <v>2854</v>
      </c>
      <c r="H1901" s="121">
        <v>106.47</v>
      </c>
      <c r="I1901" s="128"/>
      <c r="L1901" s="119"/>
      <c r="M1901" s="129"/>
      <c r="T1901" s="133"/>
      <c r="AT1901" s="135" t="s">
        <v>365</v>
      </c>
      <c r="AU1901" s="135" t="s">
        <v>87</v>
      </c>
      <c r="AV1901" s="113" t="s">
        <v>87</v>
      </c>
      <c r="AW1901" s="113" t="s">
        <v>33</v>
      </c>
      <c r="AX1901" s="113" t="s">
        <v>77</v>
      </c>
      <c r="AY1901" s="135" t="s">
        <v>211</v>
      </c>
    </row>
    <row r="1902" spans="2:65" s="113" customFormat="1">
      <c r="B1902" s="119"/>
      <c r="D1902" s="105" t="s">
        <v>365</v>
      </c>
      <c r="E1902" s="135" t="s">
        <v>1</v>
      </c>
      <c r="F1902" s="120" t="s">
        <v>2855</v>
      </c>
      <c r="H1902" s="121">
        <v>51</v>
      </c>
      <c r="I1902" s="128"/>
      <c r="L1902" s="119"/>
      <c r="M1902" s="129"/>
      <c r="T1902" s="133"/>
      <c r="AT1902" s="135" t="s">
        <v>365</v>
      </c>
      <c r="AU1902" s="135" t="s">
        <v>87</v>
      </c>
      <c r="AV1902" s="113" t="s">
        <v>87</v>
      </c>
      <c r="AW1902" s="113" t="s">
        <v>33</v>
      </c>
      <c r="AX1902" s="113" t="s">
        <v>77</v>
      </c>
      <c r="AY1902" s="135" t="s">
        <v>211</v>
      </c>
    </row>
    <row r="1903" spans="2:65" s="113" customFormat="1">
      <c r="B1903" s="119"/>
      <c r="D1903" s="105" t="s">
        <v>365</v>
      </c>
      <c r="E1903" s="135" t="s">
        <v>1</v>
      </c>
      <c r="F1903" s="120" t="s">
        <v>2856</v>
      </c>
      <c r="H1903" s="121">
        <v>61.19</v>
      </c>
      <c r="I1903" s="128"/>
      <c r="L1903" s="119"/>
      <c r="M1903" s="129"/>
      <c r="T1903" s="133"/>
      <c r="AT1903" s="135" t="s">
        <v>365</v>
      </c>
      <c r="AU1903" s="135" t="s">
        <v>87</v>
      </c>
      <c r="AV1903" s="113" t="s">
        <v>87</v>
      </c>
      <c r="AW1903" s="113" t="s">
        <v>33</v>
      </c>
      <c r="AX1903" s="113" t="s">
        <v>77</v>
      </c>
      <c r="AY1903" s="135" t="s">
        <v>211</v>
      </c>
    </row>
    <row r="1904" spans="2:65" s="113" customFormat="1">
      <c r="B1904" s="119"/>
      <c r="D1904" s="105" t="s">
        <v>365</v>
      </c>
      <c r="E1904" s="135" t="s">
        <v>1</v>
      </c>
      <c r="F1904" s="120" t="s">
        <v>2857</v>
      </c>
      <c r="H1904" s="121">
        <v>28.85</v>
      </c>
      <c r="I1904" s="128"/>
      <c r="L1904" s="119"/>
      <c r="M1904" s="129"/>
      <c r="T1904" s="133"/>
      <c r="AT1904" s="135" t="s">
        <v>365</v>
      </c>
      <c r="AU1904" s="135" t="s">
        <v>87</v>
      </c>
      <c r="AV1904" s="113" t="s">
        <v>87</v>
      </c>
      <c r="AW1904" s="113" t="s">
        <v>33</v>
      </c>
      <c r="AX1904" s="113" t="s">
        <v>77</v>
      </c>
      <c r="AY1904" s="135" t="s">
        <v>211</v>
      </c>
    </row>
    <row r="1905" spans="2:65" s="154" customFormat="1">
      <c r="B1905" s="156"/>
      <c r="D1905" s="105" t="s">
        <v>365</v>
      </c>
      <c r="E1905" s="157" t="s">
        <v>294</v>
      </c>
      <c r="F1905" s="158" t="s">
        <v>741</v>
      </c>
      <c r="H1905" s="159">
        <v>247.51</v>
      </c>
      <c r="I1905" s="160"/>
      <c r="L1905" s="156"/>
      <c r="M1905" s="161"/>
      <c r="T1905" s="162"/>
      <c r="AT1905" s="157" t="s">
        <v>365</v>
      </c>
      <c r="AU1905" s="157" t="s">
        <v>87</v>
      </c>
      <c r="AV1905" s="154" t="s">
        <v>137</v>
      </c>
      <c r="AW1905" s="154" t="s">
        <v>33</v>
      </c>
      <c r="AX1905" s="154" t="s">
        <v>77</v>
      </c>
      <c r="AY1905" s="157" t="s">
        <v>211</v>
      </c>
    </row>
    <row r="1906" spans="2:65" s="113" customFormat="1">
      <c r="B1906" s="119"/>
      <c r="D1906" s="105" t="s">
        <v>365</v>
      </c>
      <c r="E1906" s="135" t="s">
        <v>1</v>
      </c>
      <c r="F1906" s="120" t="s">
        <v>302</v>
      </c>
      <c r="H1906" s="121">
        <v>32.97</v>
      </c>
      <c r="I1906" s="128"/>
      <c r="L1906" s="119"/>
      <c r="M1906" s="129"/>
      <c r="T1906" s="133"/>
      <c r="AT1906" s="135" t="s">
        <v>365</v>
      </c>
      <c r="AU1906" s="135" t="s">
        <v>87</v>
      </c>
      <c r="AV1906" s="113" t="s">
        <v>87</v>
      </c>
      <c r="AW1906" s="113" t="s">
        <v>33</v>
      </c>
      <c r="AX1906" s="113" t="s">
        <v>77</v>
      </c>
      <c r="AY1906" s="135" t="s">
        <v>211</v>
      </c>
    </row>
    <row r="1907" spans="2:65" s="137" customFormat="1">
      <c r="B1907" s="141"/>
      <c r="D1907" s="105" t="s">
        <v>365</v>
      </c>
      <c r="E1907" s="142" t="s">
        <v>1</v>
      </c>
      <c r="F1907" s="143" t="s">
        <v>368</v>
      </c>
      <c r="H1907" s="144">
        <v>280.48</v>
      </c>
      <c r="I1907" s="148"/>
      <c r="L1907" s="141"/>
      <c r="M1907" s="149"/>
      <c r="T1907" s="151"/>
      <c r="AT1907" s="142" t="s">
        <v>365</v>
      </c>
      <c r="AU1907" s="142" t="s">
        <v>87</v>
      </c>
      <c r="AV1907" s="137" t="s">
        <v>218</v>
      </c>
      <c r="AW1907" s="137" t="s">
        <v>33</v>
      </c>
      <c r="AX1907" s="137" t="s">
        <v>85</v>
      </c>
      <c r="AY1907" s="142" t="s">
        <v>211</v>
      </c>
    </row>
    <row r="1908" spans="2:65" s="1" customFormat="1" ht="24.15" customHeight="1">
      <c r="B1908" s="12"/>
      <c r="C1908" s="114" t="s">
        <v>2858</v>
      </c>
      <c r="D1908" s="114" t="s">
        <v>438</v>
      </c>
      <c r="E1908" s="115" t="s">
        <v>2859</v>
      </c>
      <c r="F1908" s="116" t="s">
        <v>2860</v>
      </c>
      <c r="G1908" s="117" t="s">
        <v>279</v>
      </c>
      <c r="H1908" s="118">
        <v>326.899</v>
      </c>
      <c r="I1908" s="122">
        <v>120</v>
      </c>
      <c r="J1908" s="123">
        <f>ROUND(I1908*H1908,2)</f>
        <v>39227.879999999997</v>
      </c>
      <c r="K1908" s="124"/>
      <c r="L1908" s="125"/>
      <c r="M1908" s="126" t="s">
        <v>1</v>
      </c>
      <c r="N1908" s="127" t="s">
        <v>42</v>
      </c>
      <c r="P1908" s="95">
        <f>O1908*H1908</f>
        <v>0</v>
      </c>
      <c r="Q1908" s="95">
        <v>6.4999999999999997E-4</v>
      </c>
      <c r="R1908" s="95">
        <f>Q1908*H1908</f>
        <v>0.21248434999999999</v>
      </c>
      <c r="S1908" s="95">
        <v>0</v>
      </c>
      <c r="T1908" s="99">
        <f>S1908*H1908</f>
        <v>0</v>
      </c>
      <c r="AR1908" s="101" t="s">
        <v>527</v>
      </c>
      <c r="AT1908" s="101" t="s">
        <v>438</v>
      </c>
      <c r="AU1908" s="101" t="s">
        <v>87</v>
      </c>
      <c r="AY1908" s="23" t="s">
        <v>211</v>
      </c>
      <c r="BE1908" s="104">
        <f>IF(N1908="základní",J1908,0)</f>
        <v>39227.879999999997</v>
      </c>
      <c r="BF1908" s="104">
        <f>IF(N1908="snížená",J1908,0)</f>
        <v>0</v>
      </c>
      <c r="BG1908" s="104">
        <f>IF(N1908="zákl. přenesená",J1908,0)</f>
        <v>0</v>
      </c>
      <c r="BH1908" s="104">
        <f>IF(N1908="sníž. přenesená",J1908,0)</f>
        <v>0</v>
      </c>
      <c r="BI1908" s="104">
        <f>IF(N1908="nulová",J1908,0)</f>
        <v>0</v>
      </c>
      <c r="BJ1908" s="23" t="s">
        <v>85</v>
      </c>
      <c r="BK1908" s="104">
        <f>ROUND(I1908*H1908,2)</f>
        <v>39227.879999999997</v>
      </c>
      <c r="BL1908" s="23" t="s">
        <v>446</v>
      </c>
      <c r="BM1908" s="101" t="s">
        <v>2861</v>
      </c>
    </row>
    <row r="1909" spans="2:65" s="113" customFormat="1">
      <c r="B1909" s="119"/>
      <c r="D1909" s="105" t="s">
        <v>365</v>
      </c>
      <c r="F1909" s="120" t="s">
        <v>2862</v>
      </c>
      <c r="H1909" s="121">
        <v>326.899</v>
      </c>
      <c r="I1909" s="128"/>
      <c r="L1909" s="119"/>
      <c r="M1909" s="129"/>
      <c r="T1909" s="133"/>
      <c r="AT1909" s="135" t="s">
        <v>365</v>
      </c>
      <c r="AU1909" s="135" t="s">
        <v>87</v>
      </c>
      <c r="AV1909" s="113" t="s">
        <v>87</v>
      </c>
      <c r="AW1909" s="113" t="s">
        <v>4</v>
      </c>
      <c r="AX1909" s="113" t="s">
        <v>85</v>
      </c>
      <c r="AY1909" s="135" t="s">
        <v>211</v>
      </c>
    </row>
    <row r="1910" spans="2:65" s="1" customFormat="1" ht="33" customHeight="1">
      <c r="B1910" s="12"/>
      <c r="C1910" s="71" t="s">
        <v>2863</v>
      </c>
      <c r="D1910" s="71" t="s">
        <v>214</v>
      </c>
      <c r="E1910" s="72" t="s">
        <v>2864</v>
      </c>
      <c r="F1910" s="73" t="s">
        <v>2865</v>
      </c>
      <c r="G1910" s="74" t="s">
        <v>2866</v>
      </c>
      <c r="H1910" s="163">
        <f>SUM(J1878:J1908)/100</f>
        <v>3184.8462</v>
      </c>
      <c r="I1910" s="90">
        <v>3.2</v>
      </c>
      <c r="J1910" s="91">
        <f>ROUND(I1910*H1910,2)</f>
        <v>10191.51</v>
      </c>
      <c r="K1910" s="92"/>
      <c r="L1910" s="12"/>
      <c r="M1910" s="93" t="s">
        <v>1</v>
      </c>
      <c r="N1910" s="94" t="s">
        <v>42</v>
      </c>
      <c r="P1910" s="95">
        <f>O1910*H1910</f>
        <v>0</v>
      </c>
      <c r="Q1910" s="95">
        <v>0</v>
      </c>
      <c r="R1910" s="95">
        <f>Q1910*H1910</f>
        <v>0</v>
      </c>
      <c r="S1910" s="95">
        <v>0</v>
      </c>
      <c r="T1910" s="99">
        <f>S1910*H1910</f>
        <v>0</v>
      </c>
      <c r="AR1910" s="101" t="s">
        <v>446</v>
      </c>
      <c r="AT1910" s="101" t="s">
        <v>214</v>
      </c>
      <c r="AU1910" s="101" t="s">
        <v>87</v>
      </c>
      <c r="AY1910" s="23" t="s">
        <v>211</v>
      </c>
      <c r="BE1910" s="104">
        <f>IF(N1910="základní",J1910,0)</f>
        <v>10191.51</v>
      </c>
      <c r="BF1910" s="104">
        <f>IF(N1910="snížená",J1910,0)</f>
        <v>0</v>
      </c>
      <c r="BG1910" s="104">
        <f>IF(N1910="zákl. přenesená",J1910,0)</f>
        <v>0</v>
      </c>
      <c r="BH1910" s="104">
        <f>IF(N1910="sníž. přenesená",J1910,0)</f>
        <v>0</v>
      </c>
      <c r="BI1910" s="104">
        <f>IF(N1910="nulová",J1910,0)</f>
        <v>0</v>
      </c>
      <c r="BJ1910" s="23" t="s">
        <v>85</v>
      </c>
      <c r="BK1910" s="104">
        <f>ROUND(I1910*H1910,2)</f>
        <v>10191.51</v>
      </c>
      <c r="BL1910" s="23" t="s">
        <v>446</v>
      </c>
      <c r="BM1910" s="101" t="s">
        <v>2867</v>
      </c>
    </row>
    <row r="1911" spans="2:65" s="31" customFormat="1" ht="23.1" customHeight="1">
      <c r="B1911" s="67"/>
      <c r="D1911" s="68" t="s">
        <v>76</v>
      </c>
      <c r="E1911" s="70" t="s">
        <v>2868</v>
      </c>
      <c r="F1911" s="70" t="s">
        <v>2869</v>
      </c>
      <c r="I1911" s="85"/>
      <c r="J1911" s="89">
        <f>BK1911</f>
        <v>824360.26</v>
      </c>
      <c r="L1911" s="67"/>
      <c r="M1911" s="87"/>
      <c r="P1911" s="88">
        <f>SUM(P1912:P1955)</f>
        <v>0</v>
      </c>
      <c r="R1911" s="88">
        <f>SUM(R1912:R1955)</f>
        <v>15.3166642</v>
      </c>
      <c r="T1911" s="98">
        <f>SUM(T1912:T1955)</f>
        <v>0</v>
      </c>
      <c r="AR1911" s="68" t="s">
        <v>87</v>
      </c>
      <c r="AT1911" s="100" t="s">
        <v>76</v>
      </c>
      <c r="AU1911" s="100" t="s">
        <v>85</v>
      </c>
      <c r="AY1911" s="68" t="s">
        <v>211</v>
      </c>
      <c r="BK1911" s="103">
        <f>SUM(BK1912:BK1955)</f>
        <v>824360.26</v>
      </c>
    </row>
    <row r="1912" spans="2:65" s="1" customFormat="1" ht="24.15" customHeight="1">
      <c r="B1912" s="12"/>
      <c r="C1912" s="71" t="s">
        <v>2870</v>
      </c>
      <c r="D1912" s="71" t="s">
        <v>214</v>
      </c>
      <c r="E1912" s="72" t="s">
        <v>2871</v>
      </c>
      <c r="F1912" s="73" t="s">
        <v>2872</v>
      </c>
      <c r="G1912" s="74" t="s">
        <v>279</v>
      </c>
      <c r="H1912" s="75">
        <v>1328.192</v>
      </c>
      <c r="I1912" s="90">
        <v>50</v>
      </c>
      <c r="J1912" s="91">
        <f>ROUND(I1912*H1912,2)</f>
        <v>66409.600000000006</v>
      </c>
      <c r="K1912" s="92"/>
      <c r="L1912" s="12"/>
      <c r="M1912" s="93" t="s">
        <v>1</v>
      </c>
      <c r="N1912" s="94" t="s">
        <v>42</v>
      </c>
      <c r="P1912" s="95">
        <f>O1912*H1912</f>
        <v>0</v>
      </c>
      <c r="Q1912" s="95">
        <v>0</v>
      </c>
      <c r="R1912" s="95">
        <f>Q1912*H1912</f>
        <v>0</v>
      </c>
      <c r="S1912" s="95">
        <v>0</v>
      </c>
      <c r="T1912" s="99">
        <f>S1912*H1912</f>
        <v>0</v>
      </c>
      <c r="AR1912" s="101" t="s">
        <v>446</v>
      </c>
      <c r="AT1912" s="101" t="s">
        <v>214</v>
      </c>
      <c r="AU1912" s="101" t="s">
        <v>87</v>
      </c>
      <c r="AY1912" s="23" t="s">
        <v>211</v>
      </c>
      <c r="BE1912" s="104">
        <f>IF(N1912="základní",J1912,0)</f>
        <v>66409.600000000006</v>
      </c>
      <c r="BF1912" s="104">
        <f>IF(N1912="snížená",J1912,0)</f>
        <v>0</v>
      </c>
      <c r="BG1912" s="104">
        <f>IF(N1912="zákl. přenesená",J1912,0)</f>
        <v>0</v>
      </c>
      <c r="BH1912" s="104">
        <f>IF(N1912="sníž. přenesená",J1912,0)</f>
        <v>0</v>
      </c>
      <c r="BI1912" s="104">
        <f>IF(N1912="nulová",J1912,0)</f>
        <v>0</v>
      </c>
      <c r="BJ1912" s="23" t="s">
        <v>85</v>
      </c>
      <c r="BK1912" s="104">
        <f>ROUND(I1912*H1912,2)</f>
        <v>66409.600000000006</v>
      </c>
      <c r="BL1912" s="23" t="s">
        <v>446</v>
      </c>
      <c r="BM1912" s="101" t="s">
        <v>2873</v>
      </c>
    </row>
    <row r="1913" spans="2:65" s="113" customFormat="1">
      <c r="B1913" s="119"/>
      <c r="D1913" s="105" t="s">
        <v>365</v>
      </c>
      <c r="E1913" s="135" t="s">
        <v>1</v>
      </c>
      <c r="F1913" s="120" t="s">
        <v>294</v>
      </c>
      <c r="H1913" s="121">
        <v>247.51</v>
      </c>
      <c r="I1913" s="128"/>
      <c r="L1913" s="119"/>
      <c r="M1913" s="129"/>
      <c r="T1913" s="133"/>
      <c r="AT1913" s="135" t="s">
        <v>365</v>
      </c>
      <c r="AU1913" s="135" t="s">
        <v>87</v>
      </c>
      <c r="AV1913" s="113" t="s">
        <v>87</v>
      </c>
      <c r="AW1913" s="113" t="s">
        <v>33</v>
      </c>
      <c r="AX1913" s="113" t="s">
        <v>77</v>
      </c>
      <c r="AY1913" s="135" t="s">
        <v>211</v>
      </c>
    </row>
    <row r="1914" spans="2:65" s="113" customFormat="1">
      <c r="B1914" s="119"/>
      <c r="D1914" s="105" t="s">
        <v>365</v>
      </c>
      <c r="E1914" s="135" t="s">
        <v>1</v>
      </c>
      <c r="F1914" s="120" t="s">
        <v>297</v>
      </c>
      <c r="H1914" s="121">
        <v>431.26</v>
      </c>
      <c r="I1914" s="128"/>
      <c r="L1914" s="119"/>
      <c r="M1914" s="129"/>
      <c r="T1914" s="133"/>
      <c r="AT1914" s="135" t="s">
        <v>365</v>
      </c>
      <c r="AU1914" s="135" t="s">
        <v>87</v>
      </c>
      <c r="AV1914" s="113" t="s">
        <v>87</v>
      </c>
      <c r="AW1914" s="113" t="s">
        <v>33</v>
      </c>
      <c r="AX1914" s="113" t="s">
        <v>77</v>
      </c>
      <c r="AY1914" s="135" t="s">
        <v>211</v>
      </c>
    </row>
    <row r="1915" spans="2:65" s="113" customFormat="1">
      <c r="B1915" s="119"/>
      <c r="D1915" s="105" t="s">
        <v>365</v>
      </c>
      <c r="E1915" s="135" t="s">
        <v>1</v>
      </c>
      <c r="F1915" s="120" t="s">
        <v>300</v>
      </c>
      <c r="H1915" s="121">
        <v>44.6</v>
      </c>
      <c r="I1915" s="128"/>
      <c r="L1915" s="119"/>
      <c r="M1915" s="129"/>
      <c r="T1915" s="133"/>
      <c r="AT1915" s="135" t="s">
        <v>365</v>
      </c>
      <c r="AU1915" s="135" t="s">
        <v>87</v>
      </c>
      <c r="AV1915" s="113" t="s">
        <v>87</v>
      </c>
      <c r="AW1915" s="113" t="s">
        <v>33</v>
      </c>
      <c r="AX1915" s="113" t="s">
        <v>77</v>
      </c>
      <c r="AY1915" s="135" t="s">
        <v>211</v>
      </c>
    </row>
    <row r="1916" spans="2:65" s="113" customFormat="1">
      <c r="B1916" s="119"/>
      <c r="D1916" s="105" t="s">
        <v>365</v>
      </c>
      <c r="E1916" s="135" t="s">
        <v>1</v>
      </c>
      <c r="F1916" s="120" t="s">
        <v>302</v>
      </c>
      <c r="H1916" s="121">
        <v>32.97</v>
      </c>
      <c r="I1916" s="128"/>
      <c r="L1916" s="119"/>
      <c r="M1916" s="129"/>
      <c r="T1916" s="133"/>
      <c r="AT1916" s="135" t="s">
        <v>365</v>
      </c>
      <c r="AU1916" s="135" t="s">
        <v>87</v>
      </c>
      <c r="AV1916" s="113" t="s">
        <v>87</v>
      </c>
      <c r="AW1916" s="113" t="s">
        <v>33</v>
      </c>
      <c r="AX1916" s="113" t="s">
        <v>77</v>
      </c>
      <c r="AY1916" s="135" t="s">
        <v>211</v>
      </c>
    </row>
    <row r="1917" spans="2:65" s="113" customFormat="1">
      <c r="B1917" s="119"/>
      <c r="D1917" s="105" t="s">
        <v>365</v>
      </c>
      <c r="E1917" s="135" t="s">
        <v>1</v>
      </c>
      <c r="F1917" s="120" t="s">
        <v>304</v>
      </c>
      <c r="H1917" s="121">
        <v>185.99</v>
      </c>
      <c r="I1917" s="128"/>
      <c r="L1917" s="119"/>
      <c r="M1917" s="129"/>
      <c r="T1917" s="133"/>
      <c r="AT1917" s="135" t="s">
        <v>365</v>
      </c>
      <c r="AU1917" s="135" t="s">
        <v>87</v>
      </c>
      <c r="AV1917" s="113" t="s">
        <v>87</v>
      </c>
      <c r="AW1917" s="113" t="s">
        <v>33</v>
      </c>
      <c r="AX1917" s="113" t="s">
        <v>77</v>
      </c>
      <c r="AY1917" s="135" t="s">
        <v>211</v>
      </c>
    </row>
    <row r="1918" spans="2:65" s="113" customFormat="1">
      <c r="B1918" s="119"/>
      <c r="D1918" s="105" t="s">
        <v>365</v>
      </c>
      <c r="E1918" s="135" t="s">
        <v>1</v>
      </c>
      <c r="F1918" s="120" t="s">
        <v>306</v>
      </c>
      <c r="H1918" s="121">
        <v>74.66</v>
      </c>
      <c r="I1918" s="128"/>
      <c r="L1918" s="119"/>
      <c r="M1918" s="129"/>
      <c r="T1918" s="133"/>
      <c r="AT1918" s="135" t="s">
        <v>365</v>
      </c>
      <c r="AU1918" s="135" t="s">
        <v>87</v>
      </c>
      <c r="AV1918" s="113" t="s">
        <v>87</v>
      </c>
      <c r="AW1918" s="113" t="s">
        <v>33</v>
      </c>
      <c r="AX1918" s="113" t="s">
        <v>77</v>
      </c>
      <c r="AY1918" s="135" t="s">
        <v>211</v>
      </c>
    </row>
    <row r="1919" spans="2:65" s="113" customFormat="1">
      <c r="B1919" s="119"/>
      <c r="D1919" s="105" t="s">
        <v>365</v>
      </c>
      <c r="E1919" s="135" t="s">
        <v>1</v>
      </c>
      <c r="F1919" s="120" t="s">
        <v>308</v>
      </c>
      <c r="H1919" s="121">
        <v>30.14</v>
      </c>
      <c r="I1919" s="128"/>
      <c r="L1919" s="119"/>
      <c r="M1919" s="129"/>
      <c r="T1919" s="133"/>
      <c r="AT1919" s="135" t="s">
        <v>365</v>
      </c>
      <c r="AU1919" s="135" t="s">
        <v>87</v>
      </c>
      <c r="AV1919" s="113" t="s">
        <v>87</v>
      </c>
      <c r="AW1919" s="113" t="s">
        <v>33</v>
      </c>
      <c r="AX1919" s="113" t="s">
        <v>77</v>
      </c>
      <c r="AY1919" s="135" t="s">
        <v>211</v>
      </c>
    </row>
    <row r="1920" spans="2:65" s="154" customFormat="1">
      <c r="B1920" s="156"/>
      <c r="D1920" s="105" t="s">
        <v>365</v>
      </c>
      <c r="E1920" s="157" t="s">
        <v>1</v>
      </c>
      <c r="F1920" s="158" t="s">
        <v>741</v>
      </c>
      <c r="H1920" s="159">
        <v>1047.1300000000001</v>
      </c>
      <c r="I1920" s="160"/>
      <c r="L1920" s="156"/>
      <c r="M1920" s="161"/>
      <c r="T1920" s="162"/>
      <c r="AT1920" s="157" t="s">
        <v>365</v>
      </c>
      <c r="AU1920" s="157" t="s">
        <v>87</v>
      </c>
      <c r="AV1920" s="154" t="s">
        <v>137</v>
      </c>
      <c r="AW1920" s="154" t="s">
        <v>33</v>
      </c>
      <c r="AX1920" s="154" t="s">
        <v>77</v>
      </c>
      <c r="AY1920" s="157" t="s">
        <v>211</v>
      </c>
    </row>
    <row r="1921" spans="2:65" s="113" customFormat="1">
      <c r="B1921" s="119"/>
      <c r="D1921" s="105" t="s">
        <v>365</v>
      </c>
      <c r="E1921" s="135" t="s">
        <v>1</v>
      </c>
      <c r="F1921" s="120" t="s">
        <v>312</v>
      </c>
      <c r="H1921" s="121">
        <v>281.06200000000001</v>
      </c>
      <c r="I1921" s="128"/>
      <c r="L1921" s="119"/>
      <c r="M1921" s="129"/>
      <c r="T1921" s="133"/>
      <c r="AT1921" s="135" t="s">
        <v>365</v>
      </c>
      <c r="AU1921" s="135" t="s">
        <v>87</v>
      </c>
      <c r="AV1921" s="113" t="s">
        <v>87</v>
      </c>
      <c r="AW1921" s="113" t="s">
        <v>33</v>
      </c>
      <c r="AX1921" s="113" t="s">
        <v>77</v>
      </c>
      <c r="AY1921" s="135" t="s">
        <v>211</v>
      </c>
    </row>
    <row r="1922" spans="2:65" s="137" customFormat="1">
      <c r="B1922" s="141"/>
      <c r="D1922" s="105" t="s">
        <v>365</v>
      </c>
      <c r="E1922" s="142" t="s">
        <v>1</v>
      </c>
      <c r="F1922" s="143" t="s">
        <v>368</v>
      </c>
      <c r="H1922" s="144">
        <v>1328.192</v>
      </c>
      <c r="I1922" s="148"/>
      <c r="L1922" s="141"/>
      <c r="M1922" s="149"/>
      <c r="T1922" s="151"/>
      <c r="AT1922" s="142" t="s">
        <v>365</v>
      </c>
      <c r="AU1922" s="142" t="s">
        <v>87</v>
      </c>
      <c r="AV1922" s="137" t="s">
        <v>218</v>
      </c>
      <c r="AW1922" s="137" t="s">
        <v>33</v>
      </c>
      <c r="AX1922" s="137" t="s">
        <v>85</v>
      </c>
      <c r="AY1922" s="142" t="s">
        <v>211</v>
      </c>
    </row>
    <row r="1923" spans="2:65" s="1" customFormat="1" ht="55.5" customHeight="1">
      <c r="B1923" s="12"/>
      <c r="C1923" s="114" t="s">
        <v>2874</v>
      </c>
      <c r="D1923" s="114" t="s">
        <v>438</v>
      </c>
      <c r="E1923" s="115" t="s">
        <v>2875</v>
      </c>
      <c r="F1923" s="116" t="s">
        <v>2876</v>
      </c>
      <c r="G1923" s="117" t="s">
        <v>279</v>
      </c>
      <c r="H1923" s="118">
        <v>1548.008</v>
      </c>
      <c r="I1923" s="122">
        <v>180</v>
      </c>
      <c r="J1923" s="123">
        <f>ROUND(I1923*H1923,2)</f>
        <v>278641.44</v>
      </c>
      <c r="K1923" s="124"/>
      <c r="L1923" s="125"/>
      <c r="M1923" s="126" t="s">
        <v>1</v>
      </c>
      <c r="N1923" s="127" t="s">
        <v>42</v>
      </c>
      <c r="P1923" s="95">
        <f>O1923*H1923</f>
        <v>0</v>
      </c>
      <c r="Q1923" s="95">
        <v>4.7000000000000002E-3</v>
      </c>
      <c r="R1923" s="95">
        <f>Q1923*H1923</f>
        <v>7.2756375999999996</v>
      </c>
      <c r="S1923" s="95">
        <v>0</v>
      </c>
      <c r="T1923" s="99">
        <f>S1923*H1923</f>
        <v>0</v>
      </c>
      <c r="AR1923" s="101" t="s">
        <v>527</v>
      </c>
      <c r="AT1923" s="101" t="s">
        <v>438</v>
      </c>
      <c r="AU1923" s="101" t="s">
        <v>87</v>
      </c>
      <c r="AY1923" s="23" t="s">
        <v>211</v>
      </c>
      <c r="BE1923" s="104">
        <f>IF(N1923="základní",J1923,0)</f>
        <v>278641.44</v>
      </c>
      <c r="BF1923" s="104">
        <f>IF(N1923="snížená",J1923,0)</f>
        <v>0</v>
      </c>
      <c r="BG1923" s="104">
        <f>IF(N1923="zákl. přenesená",J1923,0)</f>
        <v>0</v>
      </c>
      <c r="BH1923" s="104">
        <f>IF(N1923="sníž. přenesená",J1923,0)</f>
        <v>0</v>
      </c>
      <c r="BI1923" s="104">
        <f>IF(N1923="nulová",J1923,0)</f>
        <v>0</v>
      </c>
      <c r="BJ1923" s="23" t="s">
        <v>85</v>
      </c>
      <c r="BK1923" s="104">
        <f>ROUND(I1923*H1923,2)</f>
        <v>278641.44</v>
      </c>
      <c r="BL1923" s="23" t="s">
        <v>446</v>
      </c>
      <c r="BM1923" s="101" t="s">
        <v>2877</v>
      </c>
    </row>
    <row r="1924" spans="2:65" s="113" customFormat="1">
      <c r="B1924" s="119"/>
      <c r="D1924" s="105" t="s">
        <v>365</v>
      </c>
      <c r="F1924" s="120" t="s">
        <v>2878</v>
      </c>
      <c r="H1924" s="121">
        <v>1548.008</v>
      </c>
      <c r="I1924" s="128"/>
      <c r="L1924" s="119"/>
      <c r="M1924" s="129"/>
      <c r="T1924" s="133"/>
      <c r="AT1924" s="135" t="s">
        <v>365</v>
      </c>
      <c r="AU1924" s="135" t="s">
        <v>87</v>
      </c>
      <c r="AV1924" s="113" t="s">
        <v>87</v>
      </c>
      <c r="AW1924" s="113" t="s">
        <v>4</v>
      </c>
      <c r="AX1924" s="113" t="s">
        <v>85</v>
      </c>
      <c r="AY1924" s="135" t="s">
        <v>211</v>
      </c>
    </row>
    <row r="1925" spans="2:65" s="1" customFormat="1" ht="38.1" customHeight="1">
      <c r="B1925" s="12"/>
      <c r="C1925" s="71" t="s">
        <v>2879</v>
      </c>
      <c r="D1925" s="71" t="s">
        <v>214</v>
      </c>
      <c r="E1925" s="72" t="s">
        <v>2880</v>
      </c>
      <c r="F1925" s="73" t="s">
        <v>2881</v>
      </c>
      <c r="G1925" s="74" t="s">
        <v>279</v>
      </c>
      <c r="H1925" s="75">
        <v>972.47</v>
      </c>
      <c r="I1925" s="90">
        <v>120</v>
      </c>
      <c r="J1925" s="91">
        <f>ROUND(I1925*H1925,2)</f>
        <v>116696.4</v>
      </c>
      <c r="K1925" s="92"/>
      <c r="L1925" s="12"/>
      <c r="M1925" s="93" t="s">
        <v>1</v>
      </c>
      <c r="N1925" s="94" t="s">
        <v>42</v>
      </c>
      <c r="P1925" s="95">
        <f>O1925*H1925</f>
        <v>0</v>
      </c>
      <c r="Q1925" s="95">
        <v>0</v>
      </c>
      <c r="R1925" s="95">
        <f>Q1925*H1925</f>
        <v>0</v>
      </c>
      <c r="S1925" s="95">
        <v>0</v>
      </c>
      <c r="T1925" s="99">
        <f>S1925*H1925</f>
        <v>0</v>
      </c>
      <c r="AR1925" s="101" t="s">
        <v>446</v>
      </c>
      <c r="AT1925" s="101" t="s">
        <v>214</v>
      </c>
      <c r="AU1925" s="101" t="s">
        <v>87</v>
      </c>
      <c r="AY1925" s="23" t="s">
        <v>211</v>
      </c>
      <c r="BE1925" s="104">
        <f>IF(N1925="základní",J1925,0)</f>
        <v>116696.4</v>
      </c>
      <c r="BF1925" s="104">
        <f>IF(N1925="snížená",J1925,0)</f>
        <v>0</v>
      </c>
      <c r="BG1925" s="104">
        <f>IF(N1925="zákl. přenesená",J1925,0)</f>
        <v>0</v>
      </c>
      <c r="BH1925" s="104">
        <f>IF(N1925="sníž. přenesená",J1925,0)</f>
        <v>0</v>
      </c>
      <c r="BI1925" s="104">
        <f>IF(N1925="nulová",J1925,0)</f>
        <v>0</v>
      </c>
      <c r="BJ1925" s="23" t="s">
        <v>85</v>
      </c>
      <c r="BK1925" s="104">
        <f>ROUND(I1925*H1925,2)</f>
        <v>116696.4</v>
      </c>
      <c r="BL1925" s="23" t="s">
        <v>446</v>
      </c>
      <c r="BM1925" s="101" t="s">
        <v>2882</v>
      </c>
    </row>
    <row r="1926" spans="2:65" s="113" customFormat="1">
      <c r="B1926" s="119"/>
      <c r="D1926" s="105" t="s">
        <v>365</v>
      </c>
      <c r="E1926" s="135" t="s">
        <v>1</v>
      </c>
      <c r="F1926" s="120" t="s">
        <v>294</v>
      </c>
      <c r="H1926" s="121">
        <v>247.51</v>
      </c>
      <c r="I1926" s="128"/>
      <c r="L1926" s="119"/>
      <c r="M1926" s="129"/>
      <c r="T1926" s="133"/>
      <c r="AT1926" s="135" t="s">
        <v>365</v>
      </c>
      <c r="AU1926" s="135" t="s">
        <v>87</v>
      </c>
      <c r="AV1926" s="113" t="s">
        <v>87</v>
      </c>
      <c r="AW1926" s="113" t="s">
        <v>33</v>
      </c>
      <c r="AX1926" s="113" t="s">
        <v>77</v>
      </c>
      <c r="AY1926" s="135" t="s">
        <v>211</v>
      </c>
    </row>
    <row r="1927" spans="2:65" s="154" customFormat="1">
      <c r="B1927" s="156"/>
      <c r="D1927" s="105" t="s">
        <v>365</v>
      </c>
      <c r="E1927" s="157" t="s">
        <v>1</v>
      </c>
      <c r="F1927" s="158" t="s">
        <v>741</v>
      </c>
      <c r="H1927" s="159">
        <v>247.51</v>
      </c>
      <c r="I1927" s="160"/>
      <c r="L1927" s="156"/>
      <c r="M1927" s="161"/>
      <c r="T1927" s="162"/>
      <c r="AT1927" s="157" t="s">
        <v>365</v>
      </c>
      <c r="AU1927" s="157" t="s">
        <v>87</v>
      </c>
      <c r="AV1927" s="154" t="s">
        <v>137</v>
      </c>
      <c r="AW1927" s="154" t="s">
        <v>33</v>
      </c>
      <c r="AX1927" s="154" t="s">
        <v>77</v>
      </c>
      <c r="AY1927" s="157" t="s">
        <v>211</v>
      </c>
    </row>
    <row r="1928" spans="2:65" s="113" customFormat="1">
      <c r="B1928" s="119"/>
      <c r="D1928" s="105" t="s">
        <v>365</v>
      </c>
      <c r="E1928" s="135" t="s">
        <v>1</v>
      </c>
      <c r="F1928" s="120" t="s">
        <v>2883</v>
      </c>
      <c r="H1928" s="121">
        <v>431.26</v>
      </c>
      <c r="I1928" s="128"/>
      <c r="L1928" s="119"/>
      <c r="M1928" s="129"/>
      <c r="T1928" s="133"/>
      <c r="AT1928" s="135" t="s">
        <v>365</v>
      </c>
      <c r="AU1928" s="135" t="s">
        <v>87</v>
      </c>
      <c r="AV1928" s="113" t="s">
        <v>87</v>
      </c>
      <c r="AW1928" s="113" t="s">
        <v>33</v>
      </c>
      <c r="AX1928" s="113" t="s">
        <v>77</v>
      </c>
      <c r="AY1928" s="135" t="s">
        <v>211</v>
      </c>
    </row>
    <row r="1929" spans="2:65" s="154" customFormat="1">
      <c r="B1929" s="156"/>
      <c r="D1929" s="105" t="s">
        <v>365</v>
      </c>
      <c r="E1929" s="157" t="s">
        <v>297</v>
      </c>
      <c r="F1929" s="158" t="s">
        <v>741</v>
      </c>
      <c r="H1929" s="159">
        <v>431.26</v>
      </c>
      <c r="I1929" s="160"/>
      <c r="L1929" s="156"/>
      <c r="M1929" s="161"/>
      <c r="T1929" s="162"/>
      <c r="AT1929" s="157" t="s">
        <v>365</v>
      </c>
      <c r="AU1929" s="157" t="s">
        <v>87</v>
      </c>
      <c r="AV1929" s="154" t="s">
        <v>137</v>
      </c>
      <c r="AW1929" s="154" t="s">
        <v>33</v>
      </c>
      <c r="AX1929" s="154" t="s">
        <v>77</v>
      </c>
      <c r="AY1929" s="157" t="s">
        <v>211</v>
      </c>
    </row>
    <row r="1930" spans="2:65" s="136" customFormat="1">
      <c r="B1930" s="138"/>
      <c r="D1930" s="105" t="s">
        <v>365</v>
      </c>
      <c r="E1930" s="139" t="s">
        <v>1</v>
      </c>
      <c r="F1930" s="140" t="s">
        <v>2884</v>
      </c>
      <c r="H1930" s="139" t="s">
        <v>1</v>
      </c>
      <c r="I1930" s="146"/>
      <c r="L1930" s="138"/>
      <c r="M1930" s="147"/>
      <c r="T1930" s="150"/>
      <c r="AT1930" s="139" t="s">
        <v>365</v>
      </c>
      <c r="AU1930" s="139" t="s">
        <v>87</v>
      </c>
      <c r="AV1930" s="136" t="s">
        <v>85</v>
      </c>
      <c r="AW1930" s="136" t="s">
        <v>33</v>
      </c>
      <c r="AX1930" s="136" t="s">
        <v>77</v>
      </c>
      <c r="AY1930" s="139" t="s">
        <v>211</v>
      </c>
    </row>
    <row r="1931" spans="2:65" s="113" customFormat="1">
      <c r="B1931" s="119"/>
      <c r="D1931" s="105" t="s">
        <v>365</v>
      </c>
      <c r="E1931" s="135" t="s">
        <v>1</v>
      </c>
      <c r="F1931" s="120" t="s">
        <v>2885</v>
      </c>
      <c r="H1931" s="121">
        <v>8.3800000000000008</v>
      </c>
      <c r="I1931" s="128"/>
      <c r="L1931" s="119"/>
      <c r="M1931" s="129"/>
      <c r="T1931" s="133"/>
      <c r="AT1931" s="135" t="s">
        <v>365</v>
      </c>
      <c r="AU1931" s="135" t="s">
        <v>87</v>
      </c>
      <c r="AV1931" s="113" t="s">
        <v>87</v>
      </c>
      <c r="AW1931" s="113" t="s">
        <v>33</v>
      </c>
      <c r="AX1931" s="113" t="s">
        <v>77</v>
      </c>
      <c r="AY1931" s="135" t="s">
        <v>211</v>
      </c>
    </row>
    <row r="1932" spans="2:65" s="113" customFormat="1">
      <c r="B1932" s="119"/>
      <c r="D1932" s="105" t="s">
        <v>365</v>
      </c>
      <c r="E1932" s="135" t="s">
        <v>1</v>
      </c>
      <c r="F1932" s="120" t="s">
        <v>2886</v>
      </c>
      <c r="H1932" s="121">
        <v>11.8</v>
      </c>
      <c r="I1932" s="128"/>
      <c r="L1932" s="119"/>
      <c r="M1932" s="129"/>
      <c r="T1932" s="133"/>
      <c r="AT1932" s="135" t="s">
        <v>365</v>
      </c>
      <c r="AU1932" s="135" t="s">
        <v>87</v>
      </c>
      <c r="AV1932" s="113" t="s">
        <v>87</v>
      </c>
      <c r="AW1932" s="113" t="s">
        <v>33</v>
      </c>
      <c r="AX1932" s="113" t="s">
        <v>77</v>
      </c>
      <c r="AY1932" s="135" t="s">
        <v>211</v>
      </c>
    </row>
    <row r="1933" spans="2:65" s="113" customFormat="1">
      <c r="B1933" s="119"/>
      <c r="D1933" s="105" t="s">
        <v>365</v>
      </c>
      <c r="E1933" s="135" t="s">
        <v>1</v>
      </c>
      <c r="F1933" s="120" t="s">
        <v>2887</v>
      </c>
      <c r="H1933" s="121">
        <v>12.27</v>
      </c>
      <c r="I1933" s="128"/>
      <c r="L1933" s="119"/>
      <c r="M1933" s="129"/>
      <c r="T1933" s="133"/>
      <c r="AT1933" s="135" t="s">
        <v>365</v>
      </c>
      <c r="AU1933" s="135" t="s">
        <v>87</v>
      </c>
      <c r="AV1933" s="113" t="s">
        <v>87</v>
      </c>
      <c r="AW1933" s="113" t="s">
        <v>33</v>
      </c>
      <c r="AX1933" s="113" t="s">
        <v>77</v>
      </c>
      <c r="AY1933" s="135" t="s">
        <v>211</v>
      </c>
    </row>
    <row r="1934" spans="2:65" s="113" customFormat="1">
      <c r="B1934" s="119"/>
      <c r="D1934" s="105" t="s">
        <v>365</v>
      </c>
      <c r="E1934" s="135" t="s">
        <v>1</v>
      </c>
      <c r="F1934" s="120" t="s">
        <v>2888</v>
      </c>
      <c r="H1934" s="121">
        <v>12.15</v>
      </c>
      <c r="I1934" s="128"/>
      <c r="L1934" s="119"/>
      <c r="M1934" s="129"/>
      <c r="T1934" s="133"/>
      <c r="AT1934" s="135" t="s">
        <v>365</v>
      </c>
      <c r="AU1934" s="135" t="s">
        <v>87</v>
      </c>
      <c r="AV1934" s="113" t="s">
        <v>87</v>
      </c>
      <c r="AW1934" s="113" t="s">
        <v>33</v>
      </c>
      <c r="AX1934" s="113" t="s">
        <v>77</v>
      </c>
      <c r="AY1934" s="135" t="s">
        <v>211</v>
      </c>
    </row>
    <row r="1935" spans="2:65" s="154" customFormat="1">
      <c r="B1935" s="156"/>
      <c r="D1935" s="105" t="s">
        <v>365</v>
      </c>
      <c r="E1935" s="157" t="s">
        <v>300</v>
      </c>
      <c r="F1935" s="158" t="s">
        <v>741</v>
      </c>
      <c r="H1935" s="159">
        <v>44.6</v>
      </c>
      <c r="I1935" s="160"/>
      <c r="L1935" s="156"/>
      <c r="M1935" s="161"/>
      <c r="T1935" s="162"/>
      <c r="AT1935" s="157" t="s">
        <v>365</v>
      </c>
      <c r="AU1935" s="157" t="s">
        <v>87</v>
      </c>
      <c r="AV1935" s="154" t="s">
        <v>137</v>
      </c>
      <c r="AW1935" s="154" t="s">
        <v>33</v>
      </c>
      <c r="AX1935" s="154" t="s">
        <v>77</v>
      </c>
      <c r="AY1935" s="157" t="s">
        <v>211</v>
      </c>
    </row>
    <row r="1936" spans="2:65" s="113" customFormat="1">
      <c r="B1936" s="119"/>
      <c r="D1936" s="105" t="s">
        <v>365</v>
      </c>
      <c r="E1936" s="135" t="s">
        <v>1</v>
      </c>
      <c r="F1936" s="120" t="s">
        <v>302</v>
      </c>
      <c r="H1936" s="121">
        <v>32.97</v>
      </c>
      <c r="I1936" s="128"/>
      <c r="L1936" s="119"/>
      <c r="M1936" s="129"/>
      <c r="T1936" s="133"/>
      <c r="AT1936" s="135" t="s">
        <v>365</v>
      </c>
      <c r="AU1936" s="135" t="s">
        <v>87</v>
      </c>
      <c r="AV1936" s="113" t="s">
        <v>87</v>
      </c>
      <c r="AW1936" s="113" t="s">
        <v>33</v>
      </c>
      <c r="AX1936" s="113" t="s">
        <v>77</v>
      </c>
      <c r="AY1936" s="135" t="s">
        <v>211</v>
      </c>
    </row>
    <row r="1937" spans="2:65" s="113" customFormat="1">
      <c r="B1937" s="119"/>
      <c r="D1937" s="105" t="s">
        <v>365</v>
      </c>
      <c r="E1937" s="135" t="s">
        <v>1</v>
      </c>
      <c r="F1937" s="120" t="s">
        <v>304</v>
      </c>
      <c r="H1937" s="121">
        <v>185.99</v>
      </c>
      <c r="I1937" s="128"/>
      <c r="L1937" s="119"/>
      <c r="M1937" s="129"/>
      <c r="T1937" s="133"/>
      <c r="AT1937" s="135" t="s">
        <v>365</v>
      </c>
      <c r="AU1937" s="135" t="s">
        <v>87</v>
      </c>
      <c r="AV1937" s="113" t="s">
        <v>87</v>
      </c>
      <c r="AW1937" s="113" t="s">
        <v>33</v>
      </c>
      <c r="AX1937" s="113" t="s">
        <v>77</v>
      </c>
      <c r="AY1937" s="135" t="s">
        <v>211</v>
      </c>
    </row>
    <row r="1938" spans="2:65" s="113" customFormat="1">
      <c r="B1938" s="119"/>
      <c r="D1938" s="105" t="s">
        <v>365</v>
      </c>
      <c r="E1938" s="135" t="s">
        <v>1</v>
      </c>
      <c r="F1938" s="120" t="s">
        <v>308</v>
      </c>
      <c r="H1938" s="121">
        <v>30.14</v>
      </c>
      <c r="I1938" s="128"/>
      <c r="L1938" s="119"/>
      <c r="M1938" s="129"/>
      <c r="T1938" s="133"/>
      <c r="AT1938" s="135" t="s">
        <v>365</v>
      </c>
      <c r="AU1938" s="135" t="s">
        <v>87</v>
      </c>
      <c r="AV1938" s="113" t="s">
        <v>87</v>
      </c>
      <c r="AW1938" s="113" t="s">
        <v>33</v>
      </c>
      <c r="AX1938" s="113" t="s">
        <v>77</v>
      </c>
      <c r="AY1938" s="135" t="s">
        <v>211</v>
      </c>
    </row>
    <row r="1939" spans="2:65" s="137" customFormat="1">
      <c r="B1939" s="141"/>
      <c r="D1939" s="105" t="s">
        <v>365</v>
      </c>
      <c r="E1939" s="142" t="s">
        <v>1</v>
      </c>
      <c r="F1939" s="143" t="s">
        <v>368</v>
      </c>
      <c r="H1939" s="144">
        <v>972.47</v>
      </c>
      <c r="I1939" s="148"/>
      <c r="L1939" s="141"/>
      <c r="M1939" s="149"/>
      <c r="T1939" s="151"/>
      <c r="AT1939" s="142" t="s">
        <v>365</v>
      </c>
      <c r="AU1939" s="142" t="s">
        <v>87</v>
      </c>
      <c r="AV1939" s="137" t="s">
        <v>218</v>
      </c>
      <c r="AW1939" s="137" t="s">
        <v>33</v>
      </c>
      <c r="AX1939" s="137" t="s">
        <v>85</v>
      </c>
      <c r="AY1939" s="142" t="s">
        <v>211</v>
      </c>
    </row>
    <row r="1940" spans="2:65" s="1" customFormat="1" ht="33" customHeight="1">
      <c r="B1940" s="12"/>
      <c r="C1940" s="114" t="s">
        <v>2889</v>
      </c>
      <c r="D1940" s="114" t="s">
        <v>438</v>
      </c>
      <c r="E1940" s="115" t="s">
        <v>2890</v>
      </c>
      <c r="F1940" s="116" t="s">
        <v>2891</v>
      </c>
      <c r="G1940" s="117" t="s">
        <v>279</v>
      </c>
      <c r="H1940" s="118">
        <v>1133.414</v>
      </c>
      <c r="I1940" s="122">
        <v>250</v>
      </c>
      <c r="J1940" s="123">
        <f>ROUND(I1940*H1940,2)</f>
        <v>283353.5</v>
      </c>
      <c r="K1940" s="124"/>
      <c r="L1940" s="125"/>
      <c r="M1940" s="126" t="s">
        <v>1</v>
      </c>
      <c r="N1940" s="127" t="s">
        <v>42</v>
      </c>
      <c r="P1940" s="95">
        <f>O1940*H1940</f>
        <v>0</v>
      </c>
      <c r="Q1940" s="95">
        <v>1.9E-3</v>
      </c>
      <c r="R1940" s="95">
        <f>Q1940*H1940</f>
        <v>2.1534865999999999</v>
      </c>
      <c r="S1940" s="95">
        <v>0</v>
      </c>
      <c r="T1940" s="99">
        <f>S1940*H1940</f>
        <v>0</v>
      </c>
      <c r="AR1940" s="101" t="s">
        <v>527</v>
      </c>
      <c r="AT1940" s="101" t="s">
        <v>438</v>
      </c>
      <c r="AU1940" s="101" t="s">
        <v>87</v>
      </c>
      <c r="AY1940" s="23" t="s">
        <v>211</v>
      </c>
      <c r="BE1940" s="104">
        <f>IF(N1940="základní",J1940,0)</f>
        <v>283353.5</v>
      </c>
      <c r="BF1940" s="104">
        <f>IF(N1940="snížená",J1940,0)</f>
        <v>0</v>
      </c>
      <c r="BG1940" s="104">
        <f>IF(N1940="zákl. přenesená",J1940,0)</f>
        <v>0</v>
      </c>
      <c r="BH1940" s="104">
        <f>IF(N1940="sníž. přenesená",J1940,0)</f>
        <v>0</v>
      </c>
      <c r="BI1940" s="104">
        <f>IF(N1940="nulová",J1940,0)</f>
        <v>0</v>
      </c>
      <c r="BJ1940" s="23" t="s">
        <v>85</v>
      </c>
      <c r="BK1940" s="104">
        <f>ROUND(I1940*H1940,2)</f>
        <v>283353.5</v>
      </c>
      <c r="BL1940" s="23" t="s">
        <v>446</v>
      </c>
      <c r="BM1940" s="101" t="s">
        <v>2892</v>
      </c>
    </row>
    <row r="1941" spans="2:65" s="113" customFormat="1">
      <c r="B1941" s="119"/>
      <c r="D1941" s="105" t="s">
        <v>365</v>
      </c>
      <c r="F1941" s="120" t="s">
        <v>2893</v>
      </c>
      <c r="H1941" s="121">
        <v>1133.414</v>
      </c>
      <c r="I1941" s="128"/>
      <c r="L1941" s="119"/>
      <c r="M1941" s="129"/>
      <c r="T1941" s="133"/>
      <c r="AT1941" s="135" t="s">
        <v>365</v>
      </c>
      <c r="AU1941" s="135" t="s">
        <v>87</v>
      </c>
      <c r="AV1941" s="113" t="s">
        <v>87</v>
      </c>
      <c r="AW1941" s="113" t="s">
        <v>4</v>
      </c>
      <c r="AX1941" s="113" t="s">
        <v>85</v>
      </c>
      <c r="AY1941" s="135" t="s">
        <v>211</v>
      </c>
    </row>
    <row r="1942" spans="2:65" s="1" customFormat="1" ht="38.1" customHeight="1">
      <c r="B1942" s="12"/>
      <c r="C1942" s="71" t="s">
        <v>2894</v>
      </c>
      <c r="D1942" s="71" t="s">
        <v>214</v>
      </c>
      <c r="E1942" s="72" t="s">
        <v>2895</v>
      </c>
      <c r="F1942" s="73" t="s">
        <v>2881</v>
      </c>
      <c r="G1942" s="74" t="s">
        <v>279</v>
      </c>
      <c r="H1942" s="75">
        <v>74.66</v>
      </c>
      <c r="I1942" s="90">
        <v>130</v>
      </c>
      <c r="J1942" s="91">
        <f>ROUND(I1942*H1942,2)</f>
        <v>9705.7999999999993</v>
      </c>
      <c r="K1942" s="92"/>
      <c r="L1942" s="12"/>
      <c r="M1942" s="93" t="s">
        <v>1</v>
      </c>
      <c r="N1942" s="94" t="s">
        <v>42</v>
      </c>
      <c r="P1942" s="95">
        <f>O1942*H1942</f>
        <v>0</v>
      </c>
      <c r="Q1942" s="95">
        <v>0</v>
      </c>
      <c r="R1942" s="95">
        <f>Q1942*H1942</f>
        <v>0</v>
      </c>
      <c r="S1942" s="95">
        <v>0</v>
      </c>
      <c r="T1942" s="99">
        <f>S1942*H1942</f>
        <v>0</v>
      </c>
      <c r="AR1942" s="101" t="s">
        <v>446</v>
      </c>
      <c r="AT1942" s="101" t="s">
        <v>214</v>
      </c>
      <c r="AU1942" s="101" t="s">
        <v>87</v>
      </c>
      <c r="AY1942" s="23" t="s">
        <v>211</v>
      </c>
      <c r="BE1942" s="104">
        <f>IF(N1942="základní",J1942,0)</f>
        <v>9705.7999999999993</v>
      </c>
      <c r="BF1942" s="104">
        <f>IF(N1942="snížená",J1942,0)</f>
        <v>0</v>
      </c>
      <c r="BG1942" s="104">
        <f>IF(N1942="zákl. přenesená",J1942,0)</f>
        <v>0</v>
      </c>
      <c r="BH1942" s="104">
        <f>IF(N1942="sníž. přenesená",J1942,0)</f>
        <v>0</v>
      </c>
      <c r="BI1942" s="104">
        <f>IF(N1942="nulová",J1942,0)</f>
        <v>0</v>
      </c>
      <c r="BJ1942" s="23" t="s">
        <v>85</v>
      </c>
      <c r="BK1942" s="104">
        <f>ROUND(I1942*H1942,2)</f>
        <v>9705.7999999999993</v>
      </c>
      <c r="BL1942" s="23" t="s">
        <v>446</v>
      </c>
      <c r="BM1942" s="101" t="s">
        <v>2896</v>
      </c>
    </row>
    <row r="1943" spans="2:65" s="113" customFormat="1">
      <c r="B1943" s="119"/>
      <c r="D1943" s="105" t="s">
        <v>365</v>
      </c>
      <c r="E1943" s="135" t="s">
        <v>1</v>
      </c>
      <c r="F1943" s="120" t="s">
        <v>306</v>
      </c>
      <c r="H1943" s="121">
        <v>74.66</v>
      </c>
      <c r="I1943" s="128"/>
      <c r="L1943" s="119"/>
      <c r="M1943" s="129"/>
      <c r="T1943" s="133"/>
      <c r="AT1943" s="135" t="s">
        <v>365</v>
      </c>
      <c r="AU1943" s="135" t="s">
        <v>87</v>
      </c>
      <c r="AV1943" s="113" t="s">
        <v>87</v>
      </c>
      <c r="AW1943" s="113" t="s">
        <v>33</v>
      </c>
      <c r="AX1943" s="113" t="s">
        <v>85</v>
      </c>
      <c r="AY1943" s="135" t="s">
        <v>211</v>
      </c>
    </row>
    <row r="1944" spans="2:65" s="1" customFormat="1" ht="33" customHeight="1">
      <c r="B1944" s="12"/>
      <c r="C1944" s="114" t="s">
        <v>2897</v>
      </c>
      <c r="D1944" s="114" t="s">
        <v>438</v>
      </c>
      <c r="E1944" s="115" t="s">
        <v>2898</v>
      </c>
      <c r="F1944" s="116" t="s">
        <v>2899</v>
      </c>
      <c r="G1944" s="117" t="s">
        <v>279</v>
      </c>
      <c r="H1944" s="118">
        <v>87.016000000000005</v>
      </c>
      <c r="I1944" s="122">
        <v>310</v>
      </c>
      <c r="J1944" s="123">
        <f>ROUND(I1944*H1944,2)</f>
        <v>26974.959999999999</v>
      </c>
      <c r="K1944" s="124"/>
      <c r="L1944" s="125"/>
      <c r="M1944" s="126" t="s">
        <v>1</v>
      </c>
      <c r="N1944" s="127" t="s">
        <v>42</v>
      </c>
      <c r="P1944" s="95">
        <f>O1944*H1944</f>
        <v>0</v>
      </c>
      <c r="Q1944" s="95">
        <v>2.5000000000000001E-3</v>
      </c>
      <c r="R1944" s="95">
        <f>Q1944*H1944</f>
        <v>0.21754000000000001</v>
      </c>
      <c r="S1944" s="95">
        <v>0</v>
      </c>
      <c r="T1944" s="99">
        <f>S1944*H1944</f>
        <v>0</v>
      </c>
      <c r="AR1944" s="101" t="s">
        <v>527</v>
      </c>
      <c r="AT1944" s="101" t="s">
        <v>438</v>
      </c>
      <c r="AU1944" s="101" t="s">
        <v>87</v>
      </c>
      <c r="AY1944" s="23" t="s">
        <v>211</v>
      </c>
      <c r="BE1944" s="104">
        <f>IF(N1944="základní",J1944,0)</f>
        <v>26974.959999999999</v>
      </c>
      <c r="BF1944" s="104">
        <f>IF(N1944="snížená",J1944,0)</f>
        <v>0</v>
      </c>
      <c r="BG1944" s="104">
        <f>IF(N1944="zákl. přenesená",J1944,0)</f>
        <v>0</v>
      </c>
      <c r="BH1944" s="104">
        <f>IF(N1944="sníž. přenesená",J1944,0)</f>
        <v>0</v>
      </c>
      <c r="BI1944" s="104">
        <f>IF(N1944="nulová",J1944,0)</f>
        <v>0</v>
      </c>
      <c r="BJ1944" s="23" t="s">
        <v>85</v>
      </c>
      <c r="BK1944" s="104">
        <f>ROUND(I1944*H1944,2)</f>
        <v>26974.959999999999</v>
      </c>
      <c r="BL1944" s="23" t="s">
        <v>446</v>
      </c>
      <c r="BM1944" s="101" t="s">
        <v>2900</v>
      </c>
    </row>
    <row r="1945" spans="2:65" s="113" customFormat="1">
      <c r="B1945" s="119"/>
      <c r="D1945" s="105" t="s">
        <v>365</v>
      </c>
      <c r="F1945" s="120" t="s">
        <v>2901</v>
      </c>
      <c r="H1945" s="121">
        <v>87.016000000000005</v>
      </c>
      <c r="I1945" s="128"/>
      <c r="L1945" s="119"/>
      <c r="M1945" s="129"/>
      <c r="T1945" s="133"/>
      <c r="AT1945" s="135" t="s">
        <v>365</v>
      </c>
      <c r="AU1945" s="135" t="s">
        <v>87</v>
      </c>
      <c r="AV1945" s="113" t="s">
        <v>87</v>
      </c>
      <c r="AW1945" s="113" t="s">
        <v>4</v>
      </c>
      <c r="AX1945" s="113" t="s">
        <v>85</v>
      </c>
      <c r="AY1945" s="135" t="s">
        <v>211</v>
      </c>
    </row>
    <row r="1946" spans="2:65" s="1" customFormat="1" ht="24.15" customHeight="1">
      <c r="B1946" s="12"/>
      <c r="C1946" s="71" t="s">
        <v>2902</v>
      </c>
      <c r="D1946" s="71" t="s">
        <v>214</v>
      </c>
      <c r="E1946" s="72" t="s">
        <v>2903</v>
      </c>
      <c r="F1946" s="73" t="s">
        <v>2904</v>
      </c>
      <c r="G1946" s="74" t="s">
        <v>279</v>
      </c>
      <c r="H1946" s="75">
        <v>28</v>
      </c>
      <c r="I1946" s="90">
        <v>30</v>
      </c>
      <c r="J1946" s="91">
        <f>ROUND(I1946*H1946,2)</f>
        <v>840</v>
      </c>
      <c r="K1946" s="92"/>
      <c r="L1946" s="12"/>
      <c r="M1946" s="93" t="s">
        <v>1</v>
      </c>
      <c r="N1946" s="94" t="s">
        <v>42</v>
      </c>
      <c r="P1946" s="95">
        <f>O1946*H1946</f>
        <v>0</v>
      </c>
      <c r="Q1946" s="95">
        <v>0</v>
      </c>
      <c r="R1946" s="95">
        <f>Q1946*H1946</f>
        <v>0</v>
      </c>
      <c r="S1946" s="95">
        <v>0</v>
      </c>
      <c r="T1946" s="99">
        <f>S1946*H1946</f>
        <v>0</v>
      </c>
      <c r="AR1946" s="101" t="s">
        <v>446</v>
      </c>
      <c r="AT1946" s="101" t="s">
        <v>214</v>
      </c>
      <c r="AU1946" s="101" t="s">
        <v>87</v>
      </c>
      <c r="AY1946" s="23" t="s">
        <v>211</v>
      </c>
      <c r="BE1946" s="104">
        <f>IF(N1946="základní",J1946,0)</f>
        <v>840</v>
      </c>
      <c r="BF1946" s="104">
        <f>IF(N1946="snížená",J1946,0)</f>
        <v>0</v>
      </c>
      <c r="BG1946" s="104">
        <f>IF(N1946="zákl. přenesená",J1946,0)</f>
        <v>0</v>
      </c>
      <c r="BH1946" s="104">
        <f>IF(N1946="sníž. přenesená",J1946,0)</f>
        <v>0</v>
      </c>
      <c r="BI1946" s="104">
        <f>IF(N1946="nulová",J1946,0)</f>
        <v>0</v>
      </c>
      <c r="BJ1946" s="23" t="s">
        <v>85</v>
      </c>
      <c r="BK1946" s="104">
        <f>ROUND(I1946*H1946,2)</f>
        <v>840</v>
      </c>
      <c r="BL1946" s="23" t="s">
        <v>446</v>
      </c>
      <c r="BM1946" s="101" t="s">
        <v>2905</v>
      </c>
    </row>
    <row r="1947" spans="2:65" s="113" customFormat="1">
      <c r="B1947" s="119"/>
      <c r="D1947" s="105" t="s">
        <v>365</v>
      </c>
      <c r="E1947" s="135" t="s">
        <v>1</v>
      </c>
      <c r="F1947" s="120" t="s">
        <v>2906</v>
      </c>
      <c r="H1947" s="121">
        <v>28</v>
      </c>
      <c r="I1947" s="128"/>
      <c r="L1947" s="119"/>
      <c r="M1947" s="129"/>
      <c r="T1947" s="133"/>
      <c r="AT1947" s="135" t="s">
        <v>365</v>
      </c>
      <c r="AU1947" s="135" t="s">
        <v>87</v>
      </c>
      <c r="AV1947" s="113" t="s">
        <v>87</v>
      </c>
      <c r="AW1947" s="113" t="s">
        <v>33</v>
      </c>
      <c r="AX1947" s="113" t="s">
        <v>85</v>
      </c>
      <c r="AY1947" s="135" t="s">
        <v>211</v>
      </c>
    </row>
    <row r="1948" spans="2:65" s="1" customFormat="1" ht="24.15" customHeight="1">
      <c r="B1948" s="12"/>
      <c r="C1948" s="114" t="s">
        <v>2907</v>
      </c>
      <c r="D1948" s="114" t="s">
        <v>438</v>
      </c>
      <c r="E1948" s="115" t="s">
        <v>2908</v>
      </c>
      <c r="F1948" s="116" t="s">
        <v>2909</v>
      </c>
      <c r="G1948" s="117" t="s">
        <v>279</v>
      </c>
      <c r="H1948" s="118">
        <v>29.4</v>
      </c>
      <c r="I1948" s="122">
        <v>310</v>
      </c>
      <c r="J1948" s="123">
        <f>ROUND(I1948*H1948,2)</f>
        <v>9114</v>
      </c>
      <c r="K1948" s="124"/>
      <c r="L1948" s="125"/>
      <c r="M1948" s="126" t="s">
        <v>1</v>
      </c>
      <c r="N1948" s="127" t="s">
        <v>42</v>
      </c>
      <c r="P1948" s="95">
        <f>O1948*H1948</f>
        <v>0</v>
      </c>
      <c r="Q1948" s="95">
        <v>0</v>
      </c>
      <c r="R1948" s="95">
        <f>Q1948*H1948</f>
        <v>0</v>
      </c>
      <c r="S1948" s="95">
        <v>0</v>
      </c>
      <c r="T1948" s="99">
        <f>S1948*H1948</f>
        <v>0</v>
      </c>
      <c r="AR1948" s="101" t="s">
        <v>527</v>
      </c>
      <c r="AT1948" s="101" t="s">
        <v>438</v>
      </c>
      <c r="AU1948" s="101" t="s">
        <v>87</v>
      </c>
      <c r="AY1948" s="23" t="s">
        <v>211</v>
      </c>
      <c r="BE1948" s="104">
        <f>IF(N1948="základní",J1948,0)</f>
        <v>9114</v>
      </c>
      <c r="BF1948" s="104">
        <f>IF(N1948="snížená",J1948,0)</f>
        <v>0</v>
      </c>
      <c r="BG1948" s="104">
        <f>IF(N1948="zákl. přenesená",J1948,0)</f>
        <v>0</v>
      </c>
      <c r="BH1948" s="104">
        <f>IF(N1948="sníž. přenesená",J1948,0)</f>
        <v>0</v>
      </c>
      <c r="BI1948" s="104">
        <f>IF(N1948="nulová",J1948,0)</f>
        <v>0</v>
      </c>
      <c r="BJ1948" s="23" t="s">
        <v>85</v>
      </c>
      <c r="BK1948" s="104">
        <f>ROUND(I1948*H1948,2)</f>
        <v>9114</v>
      </c>
      <c r="BL1948" s="23" t="s">
        <v>446</v>
      </c>
      <c r="BM1948" s="101" t="s">
        <v>2910</v>
      </c>
    </row>
    <row r="1949" spans="2:65" s="113" customFormat="1">
      <c r="B1949" s="119"/>
      <c r="D1949" s="105" t="s">
        <v>365</v>
      </c>
      <c r="F1949" s="120" t="s">
        <v>2911</v>
      </c>
      <c r="H1949" s="121">
        <v>29.4</v>
      </c>
      <c r="I1949" s="128"/>
      <c r="L1949" s="119"/>
      <c r="M1949" s="129"/>
      <c r="T1949" s="133"/>
      <c r="AT1949" s="135" t="s">
        <v>365</v>
      </c>
      <c r="AU1949" s="135" t="s">
        <v>87</v>
      </c>
      <c r="AV1949" s="113" t="s">
        <v>87</v>
      </c>
      <c r="AW1949" s="113" t="s">
        <v>4</v>
      </c>
      <c r="AX1949" s="113" t="s">
        <v>85</v>
      </c>
      <c r="AY1949" s="135" t="s">
        <v>211</v>
      </c>
    </row>
    <row r="1950" spans="2:65" s="1" customFormat="1" ht="24.15" customHeight="1">
      <c r="B1950" s="12"/>
      <c r="C1950" s="71" t="s">
        <v>2912</v>
      </c>
      <c r="D1950" s="71" t="s">
        <v>214</v>
      </c>
      <c r="E1950" s="72" t="s">
        <v>2913</v>
      </c>
      <c r="F1950" s="73" t="s">
        <v>2914</v>
      </c>
      <c r="G1950" s="74" t="s">
        <v>279</v>
      </c>
      <c r="H1950" s="75">
        <v>28</v>
      </c>
      <c r="I1950" s="90">
        <v>70</v>
      </c>
      <c r="J1950" s="91">
        <f>ROUND(I1950*H1950,2)</f>
        <v>1960</v>
      </c>
      <c r="K1950" s="92"/>
      <c r="L1950" s="12"/>
      <c r="M1950" s="93" t="s">
        <v>1</v>
      </c>
      <c r="N1950" s="94" t="s">
        <v>42</v>
      </c>
      <c r="P1950" s="95">
        <f>O1950*H1950</f>
        <v>0</v>
      </c>
      <c r="Q1950" s="95">
        <v>0</v>
      </c>
      <c r="R1950" s="95">
        <f>Q1950*H1950</f>
        <v>0</v>
      </c>
      <c r="S1950" s="95">
        <v>0</v>
      </c>
      <c r="T1950" s="99">
        <f>S1950*H1950</f>
        <v>0</v>
      </c>
      <c r="AR1950" s="101" t="s">
        <v>446</v>
      </c>
      <c r="AT1950" s="101" t="s">
        <v>214</v>
      </c>
      <c r="AU1950" s="101" t="s">
        <v>87</v>
      </c>
      <c r="AY1950" s="23" t="s">
        <v>211</v>
      </c>
      <c r="BE1950" s="104">
        <f>IF(N1950="základní",J1950,0)</f>
        <v>1960</v>
      </c>
      <c r="BF1950" s="104">
        <f>IF(N1950="snížená",J1950,0)</f>
        <v>0</v>
      </c>
      <c r="BG1950" s="104">
        <f>IF(N1950="zákl. přenesená",J1950,0)</f>
        <v>0</v>
      </c>
      <c r="BH1950" s="104">
        <f>IF(N1950="sníž. přenesená",J1950,0)</f>
        <v>0</v>
      </c>
      <c r="BI1950" s="104">
        <f>IF(N1950="nulová",J1950,0)</f>
        <v>0</v>
      </c>
      <c r="BJ1950" s="23" t="s">
        <v>85</v>
      </c>
      <c r="BK1950" s="104">
        <f>ROUND(I1950*H1950,2)</f>
        <v>1960</v>
      </c>
      <c r="BL1950" s="23" t="s">
        <v>446</v>
      </c>
      <c r="BM1950" s="101" t="s">
        <v>2915</v>
      </c>
    </row>
    <row r="1951" spans="2:65" s="113" customFormat="1">
      <c r="B1951" s="119"/>
      <c r="D1951" s="105" t="s">
        <v>365</v>
      </c>
      <c r="E1951" s="135" t="s">
        <v>1</v>
      </c>
      <c r="F1951" s="120" t="s">
        <v>2906</v>
      </c>
      <c r="H1951" s="121">
        <v>28</v>
      </c>
      <c r="I1951" s="128"/>
      <c r="L1951" s="119"/>
      <c r="M1951" s="129"/>
      <c r="T1951" s="133"/>
      <c r="AT1951" s="135" t="s">
        <v>365</v>
      </c>
      <c r="AU1951" s="135" t="s">
        <v>87</v>
      </c>
      <c r="AV1951" s="113" t="s">
        <v>87</v>
      </c>
      <c r="AW1951" s="113" t="s">
        <v>33</v>
      </c>
      <c r="AX1951" s="113" t="s">
        <v>85</v>
      </c>
      <c r="AY1951" s="135" t="s">
        <v>211</v>
      </c>
    </row>
    <row r="1952" spans="2:65" s="1" customFormat="1" ht="16.5" customHeight="1">
      <c r="B1952" s="12"/>
      <c r="C1952" s="114" t="s">
        <v>2916</v>
      </c>
      <c r="D1952" s="114" t="s">
        <v>438</v>
      </c>
      <c r="E1952" s="115" t="s">
        <v>2917</v>
      </c>
      <c r="F1952" s="116" t="s">
        <v>2918</v>
      </c>
      <c r="G1952" s="117" t="s">
        <v>394</v>
      </c>
      <c r="H1952" s="118">
        <v>5.67</v>
      </c>
      <c r="I1952" s="122">
        <v>900</v>
      </c>
      <c r="J1952" s="123">
        <f>ROUND(I1952*H1952,2)</f>
        <v>5103</v>
      </c>
      <c r="K1952" s="124"/>
      <c r="L1952" s="125"/>
      <c r="M1952" s="126" t="s">
        <v>1</v>
      </c>
      <c r="N1952" s="127" t="s">
        <v>42</v>
      </c>
      <c r="P1952" s="95">
        <f>O1952*H1952</f>
        <v>0</v>
      </c>
      <c r="Q1952" s="95">
        <v>1</v>
      </c>
      <c r="R1952" s="95">
        <f>Q1952*H1952</f>
        <v>5.67</v>
      </c>
      <c r="S1952" s="95">
        <v>0</v>
      </c>
      <c r="T1952" s="99">
        <f>S1952*H1952</f>
        <v>0</v>
      </c>
      <c r="AR1952" s="101" t="s">
        <v>527</v>
      </c>
      <c r="AT1952" s="101" t="s">
        <v>438</v>
      </c>
      <c r="AU1952" s="101" t="s">
        <v>87</v>
      </c>
      <c r="AY1952" s="23" t="s">
        <v>211</v>
      </c>
      <c r="BE1952" s="104">
        <f>IF(N1952="základní",J1952,0)</f>
        <v>5103</v>
      </c>
      <c r="BF1952" s="104">
        <f>IF(N1952="snížená",J1952,0)</f>
        <v>0</v>
      </c>
      <c r="BG1952" s="104">
        <f>IF(N1952="zákl. přenesená",J1952,0)</f>
        <v>0</v>
      </c>
      <c r="BH1952" s="104">
        <f>IF(N1952="sníž. přenesená",J1952,0)</f>
        <v>0</v>
      </c>
      <c r="BI1952" s="104">
        <f>IF(N1952="nulová",J1952,0)</f>
        <v>0</v>
      </c>
      <c r="BJ1952" s="23" t="s">
        <v>85</v>
      </c>
      <c r="BK1952" s="104">
        <f>ROUND(I1952*H1952,2)</f>
        <v>5103</v>
      </c>
      <c r="BL1952" s="23" t="s">
        <v>446</v>
      </c>
      <c r="BM1952" s="101" t="s">
        <v>2919</v>
      </c>
    </row>
    <row r="1953" spans="2:65" s="113" customFormat="1">
      <c r="B1953" s="119"/>
      <c r="D1953" s="105" t="s">
        <v>365</v>
      </c>
      <c r="E1953" s="135" t="s">
        <v>1</v>
      </c>
      <c r="F1953" s="120" t="s">
        <v>2920</v>
      </c>
      <c r="H1953" s="121">
        <v>4.2</v>
      </c>
      <c r="I1953" s="128"/>
      <c r="L1953" s="119"/>
      <c r="M1953" s="129"/>
      <c r="T1953" s="133"/>
      <c r="AT1953" s="135" t="s">
        <v>365</v>
      </c>
      <c r="AU1953" s="135" t="s">
        <v>87</v>
      </c>
      <c r="AV1953" s="113" t="s">
        <v>87</v>
      </c>
      <c r="AW1953" s="113" t="s">
        <v>33</v>
      </c>
      <c r="AX1953" s="113" t="s">
        <v>85</v>
      </c>
      <c r="AY1953" s="135" t="s">
        <v>211</v>
      </c>
    </row>
    <row r="1954" spans="2:65" s="113" customFormat="1">
      <c r="B1954" s="119"/>
      <c r="D1954" s="105" t="s">
        <v>365</v>
      </c>
      <c r="F1954" s="120" t="s">
        <v>2921</v>
      </c>
      <c r="H1954" s="121">
        <v>5.67</v>
      </c>
      <c r="I1954" s="128"/>
      <c r="L1954" s="119"/>
      <c r="M1954" s="129"/>
      <c r="T1954" s="133"/>
      <c r="AT1954" s="135" t="s">
        <v>365</v>
      </c>
      <c r="AU1954" s="135" t="s">
        <v>87</v>
      </c>
      <c r="AV1954" s="113" t="s">
        <v>87</v>
      </c>
      <c r="AW1954" s="113" t="s">
        <v>4</v>
      </c>
      <c r="AX1954" s="113" t="s">
        <v>85</v>
      </c>
      <c r="AY1954" s="135" t="s">
        <v>211</v>
      </c>
    </row>
    <row r="1955" spans="2:65" s="1" customFormat="1" ht="24.15" customHeight="1">
      <c r="B1955" s="12"/>
      <c r="C1955" s="71" t="s">
        <v>2922</v>
      </c>
      <c r="D1955" s="71" t="s">
        <v>214</v>
      </c>
      <c r="E1955" s="72" t="s">
        <v>2923</v>
      </c>
      <c r="F1955" s="73" t="s">
        <v>2924</v>
      </c>
      <c r="G1955" s="74" t="s">
        <v>2866</v>
      </c>
      <c r="H1955" s="163">
        <f>SUM(J1912:J1952)/100</f>
        <v>7987.9870000000001</v>
      </c>
      <c r="I1955" s="90">
        <v>3.2</v>
      </c>
      <c r="J1955" s="91">
        <f>ROUND(I1955*H1955,2)</f>
        <v>25561.56</v>
      </c>
      <c r="K1955" s="92"/>
      <c r="L1955" s="12"/>
      <c r="M1955" s="93" t="s">
        <v>1</v>
      </c>
      <c r="N1955" s="94" t="s">
        <v>42</v>
      </c>
      <c r="P1955" s="95">
        <f>O1955*H1955</f>
        <v>0</v>
      </c>
      <c r="Q1955" s="95">
        <v>0</v>
      </c>
      <c r="R1955" s="95">
        <f>Q1955*H1955</f>
        <v>0</v>
      </c>
      <c r="S1955" s="95">
        <v>0</v>
      </c>
      <c r="T1955" s="99">
        <f>S1955*H1955</f>
        <v>0</v>
      </c>
      <c r="AR1955" s="101" t="s">
        <v>446</v>
      </c>
      <c r="AT1955" s="101" t="s">
        <v>214</v>
      </c>
      <c r="AU1955" s="101" t="s">
        <v>87</v>
      </c>
      <c r="AY1955" s="23" t="s">
        <v>211</v>
      </c>
      <c r="BE1955" s="104">
        <f>IF(N1955="základní",J1955,0)</f>
        <v>25561.56</v>
      </c>
      <c r="BF1955" s="104">
        <f>IF(N1955="snížená",J1955,0)</f>
        <v>0</v>
      </c>
      <c r="BG1955" s="104">
        <f>IF(N1955="zákl. přenesená",J1955,0)</f>
        <v>0</v>
      </c>
      <c r="BH1955" s="104">
        <f>IF(N1955="sníž. přenesená",J1955,0)</f>
        <v>0</v>
      </c>
      <c r="BI1955" s="104">
        <f>IF(N1955="nulová",J1955,0)</f>
        <v>0</v>
      </c>
      <c r="BJ1955" s="23" t="s">
        <v>85</v>
      </c>
      <c r="BK1955" s="104">
        <f>ROUND(I1955*H1955,2)</f>
        <v>25561.56</v>
      </c>
      <c r="BL1955" s="23" t="s">
        <v>446</v>
      </c>
      <c r="BM1955" s="101" t="s">
        <v>2925</v>
      </c>
    </row>
    <row r="1956" spans="2:65" s="31" customFormat="1" ht="23.1" customHeight="1">
      <c r="B1956" s="67"/>
      <c r="D1956" s="68" t="s">
        <v>76</v>
      </c>
      <c r="E1956" s="70" t="s">
        <v>2926</v>
      </c>
      <c r="F1956" s="70" t="s">
        <v>2927</v>
      </c>
      <c r="I1956" s="85"/>
      <c r="J1956" s="89">
        <f>BK1956</f>
        <v>4322800.6900000004</v>
      </c>
      <c r="L1956" s="67"/>
      <c r="M1956" s="87"/>
      <c r="P1956" s="88">
        <f>SUM(P1957:P2113)</f>
        <v>0</v>
      </c>
      <c r="R1956" s="88">
        <f>SUM(R1957:R2113)</f>
        <v>51.584759239999997</v>
      </c>
      <c r="T1956" s="98">
        <f>SUM(T1957:T2113)</f>
        <v>0</v>
      </c>
      <c r="AR1956" s="68" t="s">
        <v>87</v>
      </c>
      <c r="AT1956" s="100" t="s">
        <v>76</v>
      </c>
      <c r="AU1956" s="100" t="s">
        <v>85</v>
      </c>
      <c r="AY1956" s="68" t="s">
        <v>211</v>
      </c>
      <c r="BK1956" s="103">
        <f>SUM(BK1957:BK2113)</f>
        <v>4322800.6900000004</v>
      </c>
    </row>
    <row r="1957" spans="2:65" s="1" customFormat="1" ht="24.15" customHeight="1">
      <c r="B1957" s="12"/>
      <c r="C1957" s="71" t="s">
        <v>2928</v>
      </c>
      <c r="D1957" s="71" t="s">
        <v>214</v>
      </c>
      <c r="E1957" s="72" t="s">
        <v>2929</v>
      </c>
      <c r="F1957" s="73" t="s">
        <v>2930</v>
      </c>
      <c r="G1957" s="74" t="s">
        <v>279</v>
      </c>
      <c r="H1957" s="75">
        <v>1058.4000000000001</v>
      </c>
      <c r="I1957" s="90">
        <v>220</v>
      </c>
      <c r="J1957" s="91">
        <f>ROUND(I1957*H1957,2)</f>
        <v>232848</v>
      </c>
      <c r="K1957" s="92"/>
      <c r="L1957" s="12"/>
      <c r="M1957" s="93" t="s">
        <v>1</v>
      </c>
      <c r="N1957" s="94" t="s">
        <v>42</v>
      </c>
      <c r="P1957" s="95">
        <f>O1957*H1957</f>
        <v>0</v>
      </c>
      <c r="Q1957" s="95">
        <v>3.0000000000000001E-3</v>
      </c>
      <c r="R1957" s="95">
        <f>Q1957*H1957</f>
        <v>3.1751999999999998</v>
      </c>
      <c r="S1957" s="95">
        <v>0</v>
      </c>
      <c r="T1957" s="99">
        <f>S1957*H1957</f>
        <v>0</v>
      </c>
      <c r="AR1957" s="101" t="s">
        <v>446</v>
      </c>
      <c r="AT1957" s="101" t="s">
        <v>214</v>
      </c>
      <c r="AU1957" s="101" t="s">
        <v>87</v>
      </c>
      <c r="AY1957" s="23" t="s">
        <v>211</v>
      </c>
      <c r="BE1957" s="104">
        <f>IF(N1957="základní",J1957,0)</f>
        <v>232848</v>
      </c>
      <c r="BF1957" s="104">
        <f>IF(N1957="snížená",J1957,0)</f>
        <v>0</v>
      </c>
      <c r="BG1957" s="104">
        <f>IF(N1957="zákl. přenesená",J1957,0)</f>
        <v>0</v>
      </c>
      <c r="BH1957" s="104">
        <f>IF(N1957="sníž. přenesená",J1957,0)</f>
        <v>0</v>
      </c>
      <c r="BI1957" s="104">
        <f>IF(N1957="nulová",J1957,0)</f>
        <v>0</v>
      </c>
      <c r="BJ1957" s="23" t="s">
        <v>85</v>
      </c>
      <c r="BK1957" s="104">
        <f>ROUND(I1957*H1957,2)</f>
        <v>232848</v>
      </c>
      <c r="BL1957" s="23" t="s">
        <v>446</v>
      </c>
      <c r="BM1957" s="101" t="s">
        <v>2931</v>
      </c>
    </row>
    <row r="1958" spans="2:65" s="136" customFormat="1">
      <c r="B1958" s="138"/>
      <c r="D1958" s="105" t="s">
        <v>365</v>
      </c>
      <c r="E1958" s="139" t="s">
        <v>1</v>
      </c>
      <c r="F1958" s="140" t="s">
        <v>2932</v>
      </c>
      <c r="H1958" s="139" t="s">
        <v>1</v>
      </c>
      <c r="I1958" s="146"/>
      <c r="L1958" s="138"/>
      <c r="M1958" s="147"/>
      <c r="T1958" s="150"/>
      <c r="AT1958" s="139" t="s">
        <v>365</v>
      </c>
      <c r="AU1958" s="139" t="s">
        <v>87</v>
      </c>
      <c r="AV1958" s="136" t="s">
        <v>85</v>
      </c>
      <c r="AW1958" s="136" t="s">
        <v>33</v>
      </c>
      <c r="AX1958" s="136" t="s">
        <v>77</v>
      </c>
      <c r="AY1958" s="139" t="s">
        <v>211</v>
      </c>
    </row>
    <row r="1959" spans="2:65" s="136" customFormat="1">
      <c r="B1959" s="138"/>
      <c r="D1959" s="105" t="s">
        <v>365</v>
      </c>
      <c r="E1959" s="139" t="s">
        <v>1</v>
      </c>
      <c r="F1959" s="140" t="s">
        <v>669</v>
      </c>
      <c r="H1959" s="139" t="s">
        <v>1</v>
      </c>
      <c r="I1959" s="146"/>
      <c r="L1959" s="138"/>
      <c r="M1959" s="147"/>
      <c r="T1959" s="150"/>
      <c r="AT1959" s="139" t="s">
        <v>365</v>
      </c>
      <c r="AU1959" s="139" t="s">
        <v>87</v>
      </c>
      <c r="AV1959" s="136" t="s">
        <v>85</v>
      </c>
      <c r="AW1959" s="136" t="s">
        <v>33</v>
      </c>
      <c r="AX1959" s="136" t="s">
        <v>77</v>
      </c>
      <c r="AY1959" s="139" t="s">
        <v>211</v>
      </c>
    </row>
    <row r="1960" spans="2:65" s="113" customFormat="1">
      <c r="B1960" s="119"/>
      <c r="D1960" s="105" t="s">
        <v>365</v>
      </c>
      <c r="E1960" s="135" t="s">
        <v>281</v>
      </c>
      <c r="F1960" s="120" t="s">
        <v>2933</v>
      </c>
      <c r="H1960" s="121">
        <v>1058.4000000000001</v>
      </c>
      <c r="I1960" s="128"/>
      <c r="L1960" s="119"/>
      <c r="M1960" s="129"/>
      <c r="T1960" s="133"/>
      <c r="AT1960" s="135" t="s">
        <v>365</v>
      </c>
      <c r="AU1960" s="135" t="s">
        <v>87</v>
      </c>
      <c r="AV1960" s="113" t="s">
        <v>87</v>
      </c>
      <c r="AW1960" s="113" t="s">
        <v>33</v>
      </c>
      <c r="AX1960" s="113" t="s">
        <v>77</v>
      </c>
      <c r="AY1960" s="135" t="s">
        <v>211</v>
      </c>
    </row>
    <row r="1961" spans="2:65" s="137" customFormat="1">
      <c r="B1961" s="141"/>
      <c r="D1961" s="105" t="s">
        <v>365</v>
      </c>
      <c r="E1961" s="142" t="s">
        <v>1</v>
      </c>
      <c r="F1961" s="143" t="s">
        <v>368</v>
      </c>
      <c r="H1961" s="144">
        <v>1058.4000000000001</v>
      </c>
      <c r="I1961" s="148"/>
      <c r="L1961" s="141"/>
      <c r="M1961" s="149"/>
      <c r="T1961" s="151"/>
      <c r="AT1961" s="142" t="s">
        <v>365</v>
      </c>
      <c r="AU1961" s="142" t="s">
        <v>87</v>
      </c>
      <c r="AV1961" s="137" t="s">
        <v>218</v>
      </c>
      <c r="AW1961" s="137" t="s">
        <v>33</v>
      </c>
      <c r="AX1961" s="137" t="s">
        <v>85</v>
      </c>
      <c r="AY1961" s="142" t="s">
        <v>211</v>
      </c>
    </row>
    <row r="1962" spans="2:65" s="1" customFormat="1" ht="24.15" customHeight="1">
      <c r="B1962" s="12"/>
      <c r="C1962" s="114" t="s">
        <v>2934</v>
      </c>
      <c r="D1962" s="114" t="s">
        <v>438</v>
      </c>
      <c r="E1962" s="115" t="s">
        <v>2935</v>
      </c>
      <c r="F1962" s="116" t="s">
        <v>2936</v>
      </c>
      <c r="G1962" s="117" t="s">
        <v>279</v>
      </c>
      <c r="H1962" s="118">
        <v>1079.568</v>
      </c>
      <c r="I1962" s="122">
        <v>910</v>
      </c>
      <c r="J1962" s="123">
        <f>ROUND(I1962*H1962,2)</f>
        <v>982406.88</v>
      </c>
      <c r="K1962" s="124"/>
      <c r="L1962" s="125"/>
      <c r="M1962" s="126" t="s">
        <v>1</v>
      </c>
      <c r="N1962" s="127" t="s">
        <v>42</v>
      </c>
      <c r="P1962" s="95">
        <f>O1962*H1962</f>
        <v>0</v>
      </c>
      <c r="Q1962" s="95">
        <v>1.2E-2</v>
      </c>
      <c r="R1962" s="95">
        <f>Q1962*H1962</f>
        <v>12.954815999999999</v>
      </c>
      <c r="S1962" s="95">
        <v>0</v>
      </c>
      <c r="T1962" s="99">
        <f>S1962*H1962</f>
        <v>0</v>
      </c>
      <c r="AR1962" s="101" t="s">
        <v>527</v>
      </c>
      <c r="AT1962" s="101" t="s">
        <v>438</v>
      </c>
      <c r="AU1962" s="101" t="s">
        <v>87</v>
      </c>
      <c r="AY1962" s="23" t="s">
        <v>211</v>
      </c>
      <c r="BE1962" s="104">
        <f>IF(N1962="základní",J1962,0)</f>
        <v>982406.88</v>
      </c>
      <c r="BF1962" s="104">
        <f>IF(N1962="snížená",J1962,0)</f>
        <v>0</v>
      </c>
      <c r="BG1962" s="104">
        <f>IF(N1962="zákl. přenesená",J1962,0)</f>
        <v>0</v>
      </c>
      <c r="BH1962" s="104">
        <f>IF(N1962="sníž. přenesená",J1962,0)</f>
        <v>0</v>
      </c>
      <c r="BI1962" s="104">
        <f>IF(N1962="nulová",J1962,0)</f>
        <v>0</v>
      </c>
      <c r="BJ1962" s="23" t="s">
        <v>85</v>
      </c>
      <c r="BK1962" s="104">
        <f>ROUND(I1962*H1962,2)</f>
        <v>982406.88</v>
      </c>
      <c r="BL1962" s="23" t="s">
        <v>446</v>
      </c>
      <c r="BM1962" s="101" t="s">
        <v>2937</v>
      </c>
    </row>
    <row r="1963" spans="2:65" s="113" customFormat="1">
      <c r="B1963" s="119"/>
      <c r="D1963" s="105" t="s">
        <v>365</v>
      </c>
      <c r="F1963" s="120" t="s">
        <v>2938</v>
      </c>
      <c r="H1963" s="121">
        <v>1079.568</v>
      </c>
      <c r="I1963" s="128"/>
      <c r="L1963" s="119"/>
      <c r="M1963" s="129"/>
      <c r="T1963" s="133"/>
      <c r="AT1963" s="135" t="s">
        <v>365</v>
      </c>
      <c r="AU1963" s="135" t="s">
        <v>87</v>
      </c>
      <c r="AV1963" s="113" t="s">
        <v>87</v>
      </c>
      <c r="AW1963" s="113" t="s">
        <v>4</v>
      </c>
      <c r="AX1963" s="113" t="s">
        <v>85</v>
      </c>
      <c r="AY1963" s="135" t="s">
        <v>211</v>
      </c>
    </row>
    <row r="1964" spans="2:65" s="1" customFormat="1" ht="24.15" customHeight="1">
      <c r="B1964" s="12"/>
      <c r="C1964" s="71" t="s">
        <v>2939</v>
      </c>
      <c r="D1964" s="71" t="s">
        <v>214</v>
      </c>
      <c r="E1964" s="72" t="s">
        <v>2940</v>
      </c>
      <c r="F1964" s="73" t="s">
        <v>2941</v>
      </c>
      <c r="G1964" s="74" t="s">
        <v>279</v>
      </c>
      <c r="H1964" s="75">
        <v>3672.49</v>
      </c>
      <c r="I1964" s="90">
        <v>30</v>
      </c>
      <c r="J1964" s="91">
        <f>ROUND(I1964*H1964,2)</f>
        <v>110174.7</v>
      </c>
      <c r="K1964" s="92"/>
      <c r="L1964" s="12"/>
      <c r="M1964" s="93" t="s">
        <v>1</v>
      </c>
      <c r="N1964" s="94" t="s">
        <v>42</v>
      </c>
      <c r="P1964" s="95">
        <f>O1964*H1964</f>
        <v>0</v>
      </c>
      <c r="Q1964" s="95">
        <v>0</v>
      </c>
      <c r="R1964" s="95">
        <f>Q1964*H1964</f>
        <v>0</v>
      </c>
      <c r="S1964" s="95">
        <v>0</v>
      </c>
      <c r="T1964" s="99">
        <f>S1964*H1964</f>
        <v>0</v>
      </c>
      <c r="AR1964" s="101" t="s">
        <v>446</v>
      </c>
      <c r="AT1964" s="101" t="s">
        <v>214</v>
      </c>
      <c r="AU1964" s="101" t="s">
        <v>87</v>
      </c>
      <c r="AY1964" s="23" t="s">
        <v>211</v>
      </c>
      <c r="BE1964" s="104">
        <f>IF(N1964="základní",J1964,0)</f>
        <v>110174.7</v>
      </c>
      <c r="BF1964" s="104">
        <f>IF(N1964="snížená",J1964,0)</f>
        <v>0</v>
      </c>
      <c r="BG1964" s="104">
        <f>IF(N1964="zákl. přenesená",J1964,0)</f>
        <v>0</v>
      </c>
      <c r="BH1964" s="104">
        <f>IF(N1964="sníž. přenesená",J1964,0)</f>
        <v>0</v>
      </c>
      <c r="BI1964" s="104">
        <f>IF(N1964="nulová",J1964,0)</f>
        <v>0</v>
      </c>
      <c r="BJ1964" s="23" t="s">
        <v>85</v>
      </c>
      <c r="BK1964" s="104">
        <f>ROUND(I1964*H1964,2)</f>
        <v>110174.7</v>
      </c>
      <c r="BL1964" s="23" t="s">
        <v>446</v>
      </c>
      <c r="BM1964" s="101" t="s">
        <v>2942</v>
      </c>
    </row>
    <row r="1965" spans="2:65" s="113" customFormat="1">
      <c r="B1965" s="119"/>
      <c r="D1965" s="105" t="s">
        <v>365</v>
      </c>
      <c r="E1965" s="135" t="s">
        <v>1</v>
      </c>
      <c r="F1965" s="120" t="s">
        <v>281</v>
      </c>
      <c r="H1965" s="121">
        <v>1058.4000000000001</v>
      </c>
      <c r="I1965" s="128"/>
      <c r="L1965" s="119"/>
      <c r="M1965" s="129"/>
      <c r="T1965" s="133"/>
      <c r="AT1965" s="135" t="s">
        <v>365</v>
      </c>
      <c r="AU1965" s="135" t="s">
        <v>87</v>
      </c>
      <c r="AV1965" s="113" t="s">
        <v>87</v>
      </c>
      <c r="AW1965" s="113" t="s">
        <v>33</v>
      </c>
      <c r="AX1965" s="113" t="s">
        <v>77</v>
      </c>
      <c r="AY1965" s="135" t="s">
        <v>211</v>
      </c>
    </row>
    <row r="1966" spans="2:65" s="154" customFormat="1">
      <c r="B1966" s="156"/>
      <c r="D1966" s="105" t="s">
        <v>365</v>
      </c>
      <c r="E1966" s="157" t="s">
        <v>1</v>
      </c>
      <c r="F1966" s="158" t="s">
        <v>741</v>
      </c>
      <c r="H1966" s="159">
        <v>1058.4000000000001</v>
      </c>
      <c r="I1966" s="160"/>
      <c r="L1966" s="156"/>
      <c r="M1966" s="161"/>
      <c r="T1966" s="162"/>
      <c r="AT1966" s="157" t="s">
        <v>365</v>
      </c>
      <c r="AU1966" s="157" t="s">
        <v>87</v>
      </c>
      <c r="AV1966" s="154" t="s">
        <v>137</v>
      </c>
      <c r="AW1966" s="154" t="s">
        <v>33</v>
      </c>
      <c r="AX1966" s="154" t="s">
        <v>77</v>
      </c>
      <c r="AY1966" s="157" t="s">
        <v>211</v>
      </c>
    </row>
    <row r="1967" spans="2:65" s="136" customFormat="1">
      <c r="B1967" s="138"/>
      <c r="D1967" s="105" t="s">
        <v>365</v>
      </c>
      <c r="E1967" s="139" t="s">
        <v>1</v>
      </c>
      <c r="F1967" s="140" t="s">
        <v>1283</v>
      </c>
      <c r="H1967" s="139" t="s">
        <v>1</v>
      </c>
      <c r="I1967" s="146"/>
      <c r="L1967" s="138"/>
      <c r="M1967" s="147"/>
      <c r="T1967" s="150"/>
      <c r="AT1967" s="139" t="s">
        <v>365</v>
      </c>
      <c r="AU1967" s="139" t="s">
        <v>87</v>
      </c>
      <c r="AV1967" s="136" t="s">
        <v>85</v>
      </c>
      <c r="AW1967" s="136" t="s">
        <v>33</v>
      </c>
      <c r="AX1967" s="136" t="s">
        <v>77</v>
      </c>
      <c r="AY1967" s="139" t="s">
        <v>211</v>
      </c>
    </row>
    <row r="1968" spans="2:65" s="113" customFormat="1">
      <c r="B1968" s="119"/>
      <c r="D1968" s="105" t="s">
        <v>365</v>
      </c>
      <c r="E1968" s="135" t="s">
        <v>1</v>
      </c>
      <c r="F1968" s="120" t="s">
        <v>2943</v>
      </c>
      <c r="H1968" s="121">
        <v>215.46</v>
      </c>
      <c r="I1968" s="128"/>
      <c r="L1968" s="119"/>
      <c r="M1968" s="129"/>
      <c r="T1968" s="133"/>
      <c r="AT1968" s="135" t="s">
        <v>365</v>
      </c>
      <c r="AU1968" s="135" t="s">
        <v>87</v>
      </c>
      <c r="AV1968" s="113" t="s">
        <v>87</v>
      </c>
      <c r="AW1968" s="113" t="s">
        <v>33</v>
      </c>
      <c r="AX1968" s="113" t="s">
        <v>77</v>
      </c>
      <c r="AY1968" s="135" t="s">
        <v>211</v>
      </c>
    </row>
    <row r="1969" spans="2:51" s="113" customFormat="1">
      <c r="B1969" s="119"/>
      <c r="D1969" s="105" t="s">
        <v>365</v>
      </c>
      <c r="E1969" s="135" t="s">
        <v>1</v>
      </c>
      <c r="F1969" s="120" t="s">
        <v>2944</v>
      </c>
      <c r="H1969" s="121">
        <v>64.31</v>
      </c>
      <c r="I1969" s="128"/>
      <c r="L1969" s="119"/>
      <c r="M1969" s="129"/>
      <c r="T1969" s="133"/>
      <c r="AT1969" s="135" t="s">
        <v>365</v>
      </c>
      <c r="AU1969" s="135" t="s">
        <v>87</v>
      </c>
      <c r="AV1969" s="113" t="s">
        <v>87</v>
      </c>
      <c r="AW1969" s="113" t="s">
        <v>33</v>
      </c>
      <c r="AX1969" s="113" t="s">
        <v>77</v>
      </c>
      <c r="AY1969" s="135" t="s">
        <v>211</v>
      </c>
    </row>
    <row r="1970" spans="2:51" s="113" customFormat="1">
      <c r="B1970" s="119"/>
      <c r="D1970" s="105" t="s">
        <v>365</v>
      </c>
      <c r="E1970" s="135" t="s">
        <v>1</v>
      </c>
      <c r="F1970" s="120" t="s">
        <v>2945</v>
      </c>
      <c r="H1970" s="121">
        <v>56.42</v>
      </c>
      <c r="I1970" s="128"/>
      <c r="L1970" s="119"/>
      <c r="M1970" s="129"/>
      <c r="T1970" s="133"/>
      <c r="AT1970" s="135" t="s">
        <v>365</v>
      </c>
      <c r="AU1970" s="135" t="s">
        <v>87</v>
      </c>
      <c r="AV1970" s="113" t="s">
        <v>87</v>
      </c>
      <c r="AW1970" s="113" t="s">
        <v>33</v>
      </c>
      <c r="AX1970" s="113" t="s">
        <v>77</v>
      </c>
      <c r="AY1970" s="135" t="s">
        <v>211</v>
      </c>
    </row>
    <row r="1971" spans="2:51" s="113" customFormat="1">
      <c r="B1971" s="119"/>
      <c r="D1971" s="105" t="s">
        <v>365</v>
      </c>
      <c r="E1971" s="135" t="s">
        <v>1</v>
      </c>
      <c r="F1971" s="120" t="s">
        <v>2946</v>
      </c>
      <c r="H1971" s="121">
        <v>69.67</v>
      </c>
      <c r="I1971" s="128"/>
      <c r="L1971" s="119"/>
      <c r="M1971" s="129"/>
      <c r="T1971" s="133"/>
      <c r="AT1971" s="135" t="s">
        <v>365</v>
      </c>
      <c r="AU1971" s="135" t="s">
        <v>87</v>
      </c>
      <c r="AV1971" s="113" t="s">
        <v>87</v>
      </c>
      <c r="AW1971" s="113" t="s">
        <v>33</v>
      </c>
      <c r="AX1971" s="113" t="s">
        <v>77</v>
      </c>
      <c r="AY1971" s="135" t="s">
        <v>211</v>
      </c>
    </row>
    <row r="1972" spans="2:51" s="154" customFormat="1">
      <c r="B1972" s="156"/>
      <c r="D1972" s="105" t="s">
        <v>365</v>
      </c>
      <c r="E1972" s="157" t="s">
        <v>283</v>
      </c>
      <c r="F1972" s="158" t="s">
        <v>741</v>
      </c>
      <c r="H1972" s="159">
        <v>405.86</v>
      </c>
      <c r="I1972" s="160"/>
      <c r="L1972" s="156"/>
      <c r="M1972" s="161"/>
      <c r="T1972" s="162"/>
      <c r="AT1972" s="157" t="s">
        <v>365</v>
      </c>
      <c r="AU1972" s="157" t="s">
        <v>87</v>
      </c>
      <c r="AV1972" s="154" t="s">
        <v>137</v>
      </c>
      <c r="AW1972" s="154" t="s">
        <v>33</v>
      </c>
      <c r="AX1972" s="154" t="s">
        <v>77</v>
      </c>
      <c r="AY1972" s="157" t="s">
        <v>211</v>
      </c>
    </row>
    <row r="1973" spans="2:51" s="136" customFormat="1">
      <c r="B1973" s="138"/>
      <c r="D1973" s="105" t="s">
        <v>365</v>
      </c>
      <c r="E1973" s="139" t="s">
        <v>1</v>
      </c>
      <c r="F1973" s="140" t="s">
        <v>1285</v>
      </c>
      <c r="H1973" s="139" t="s">
        <v>1</v>
      </c>
      <c r="I1973" s="146"/>
      <c r="L1973" s="138"/>
      <c r="M1973" s="147"/>
      <c r="T1973" s="150"/>
      <c r="AT1973" s="139" t="s">
        <v>365</v>
      </c>
      <c r="AU1973" s="139" t="s">
        <v>87</v>
      </c>
      <c r="AV1973" s="136" t="s">
        <v>85</v>
      </c>
      <c r="AW1973" s="136" t="s">
        <v>33</v>
      </c>
      <c r="AX1973" s="136" t="s">
        <v>77</v>
      </c>
      <c r="AY1973" s="139" t="s">
        <v>211</v>
      </c>
    </row>
    <row r="1974" spans="2:51" s="113" customFormat="1">
      <c r="B1974" s="119"/>
      <c r="D1974" s="105" t="s">
        <v>365</v>
      </c>
      <c r="E1974" s="135" t="s">
        <v>1</v>
      </c>
      <c r="F1974" s="120" t="s">
        <v>2947</v>
      </c>
      <c r="H1974" s="121">
        <v>165.13</v>
      </c>
      <c r="I1974" s="128"/>
      <c r="L1974" s="119"/>
      <c r="M1974" s="129"/>
      <c r="T1974" s="133"/>
      <c r="AT1974" s="135" t="s">
        <v>365</v>
      </c>
      <c r="AU1974" s="135" t="s">
        <v>87</v>
      </c>
      <c r="AV1974" s="113" t="s">
        <v>87</v>
      </c>
      <c r="AW1974" s="113" t="s">
        <v>33</v>
      </c>
      <c r="AX1974" s="113" t="s">
        <v>77</v>
      </c>
      <c r="AY1974" s="135" t="s">
        <v>211</v>
      </c>
    </row>
    <row r="1975" spans="2:51" s="113" customFormat="1">
      <c r="B1975" s="119"/>
      <c r="D1975" s="105" t="s">
        <v>365</v>
      </c>
      <c r="E1975" s="135" t="s">
        <v>1</v>
      </c>
      <c r="F1975" s="120" t="s">
        <v>2948</v>
      </c>
      <c r="H1975" s="121">
        <v>132.62</v>
      </c>
      <c r="I1975" s="128"/>
      <c r="L1975" s="119"/>
      <c r="M1975" s="129"/>
      <c r="T1975" s="133"/>
      <c r="AT1975" s="135" t="s">
        <v>365</v>
      </c>
      <c r="AU1975" s="135" t="s">
        <v>87</v>
      </c>
      <c r="AV1975" s="113" t="s">
        <v>87</v>
      </c>
      <c r="AW1975" s="113" t="s">
        <v>33</v>
      </c>
      <c r="AX1975" s="113" t="s">
        <v>77</v>
      </c>
      <c r="AY1975" s="135" t="s">
        <v>211</v>
      </c>
    </row>
    <row r="1976" spans="2:51" s="113" customFormat="1">
      <c r="B1976" s="119"/>
      <c r="D1976" s="105" t="s">
        <v>365</v>
      </c>
      <c r="E1976" s="135" t="s">
        <v>1</v>
      </c>
      <c r="F1976" s="120" t="s">
        <v>2949</v>
      </c>
      <c r="H1976" s="121">
        <v>163.75</v>
      </c>
      <c r="I1976" s="128"/>
      <c r="L1976" s="119"/>
      <c r="M1976" s="129"/>
      <c r="T1976" s="133"/>
      <c r="AT1976" s="135" t="s">
        <v>365</v>
      </c>
      <c r="AU1976" s="135" t="s">
        <v>87</v>
      </c>
      <c r="AV1976" s="113" t="s">
        <v>87</v>
      </c>
      <c r="AW1976" s="113" t="s">
        <v>33</v>
      </c>
      <c r="AX1976" s="113" t="s">
        <v>77</v>
      </c>
      <c r="AY1976" s="135" t="s">
        <v>211</v>
      </c>
    </row>
    <row r="1977" spans="2:51" s="154" customFormat="1">
      <c r="B1977" s="156"/>
      <c r="D1977" s="105" t="s">
        <v>365</v>
      </c>
      <c r="E1977" s="157" t="s">
        <v>285</v>
      </c>
      <c r="F1977" s="158" t="s">
        <v>741</v>
      </c>
      <c r="H1977" s="159">
        <v>461.5</v>
      </c>
      <c r="I1977" s="160"/>
      <c r="L1977" s="156"/>
      <c r="M1977" s="161"/>
      <c r="T1977" s="162"/>
      <c r="AT1977" s="157" t="s">
        <v>365</v>
      </c>
      <c r="AU1977" s="157" t="s">
        <v>87</v>
      </c>
      <c r="AV1977" s="154" t="s">
        <v>137</v>
      </c>
      <c r="AW1977" s="154" t="s">
        <v>33</v>
      </c>
      <c r="AX1977" s="154" t="s">
        <v>77</v>
      </c>
      <c r="AY1977" s="157" t="s">
        <v>211</v>
      </c>
    </row>
    <row r="1978" spans="2:51" s="136" customFormat="1">
      <c r="B1978" s="138"/>
      <c r="D1978" s="105" t="s">
        <v>365</v>
      </c>
      <c r="E1978" s="139" t="s">
        <v>1</v>
      </c>
      <c r="F1978" s="140" t="s">
        <v>1287</v>
      </c>
      <c r="H1978" s="139" t="s">
        <v>1</v>
      </c>
      <c r="I1978" s="146"/>
      <c r="L1978" s="138"/>
      <c r="M1978" s="147"/>
      <c r="T1978" s="150"/>
      <c r="AT1978" s="139" t="s">
        <v>365</v>
      </c>
      <c r="AU1978" s="139" t="s">
        <v>87</v>
      </c>
      <c r="AV1978" s="136" t="s">
        <v>85</v>
      </c>
      <c r="AW1978" s="136" t="s">
        <v>33</v>
      </c>
      <c r="AX1978" s="136" t="s">
        <v>77</v>
      </c>
      <c r="AY1978" s="139" t="s">
        <v>211</v>
      </c>
    </row>
    <row r="1979" spans="2:51" s="113" customFormat="1">
      <c r="B1979" s="119"/>
      <c r="D1979" s="105" t="s">
        <v>365</v>
      </c>
      <c r="E1979" s="135" t="s">
        <v>1</v>
      </c>
      <c r="F1979" s="120" t="s">
        <v>2950</v>
      </c>
      <c r="H1979" s="121">
        <v>125.35</v>
      </c>
      <c r="I1979" s="128"/>
      <c r="L1979" s="119"/>
      <c r="M1979" s="129"/>
      <c r="T1979" s="133"/>
      <c r="AT1979" s="135" t="s">
        <v>365</v>
      </c>
      <c r="AU1979" s="135" t="s">
        <v>87</v>
      </c>
      <c r="AV1979" s="113" t="s">
        <v>87</v>
      </c>
      <c r="AW1979" s="113" t="s">
        <v>33</v>
      </c>
      <c r="AX1979" s="113" t="s">
        <v>77</v>
      </c>
      <c r="AY1979" s="135" t="s">
        <v>211</v>
      </c>
    </row>
    <row r="1980" spans="2:51" s="113" customFormat="1">
      <c r="B1980" s="119"/>
      <c r="D1980" s="105" t="s">
        <v>365</v>
      </c>
      <c r="E1980" s="135" t="s">
        <v>1</v>
      </c>
      <c r="F1980" s="120" t="s">
        <v>2951</v>
      </c>
      <c r="H1980" s="121">
        <v>153.85</v>
      </c>
      <c r="I1980" s="128"/>
      <c r="L1980" s="119"/>
      <c r="M1980" s="129"/>
      <c r="T1980" s="133"/>
      <c r="AT1980" s="135" t="s">
        <v>365</v>
      </c>
      <c r="AU1980" s="135" t="s">
        <v>87</v>
      </c>
      <c r="AV1980" s="113" t="s">
        <v>87</v>
      </c>
      <c r="AW1980" s="113" t="s">
        <v>33</v>
      </c>
      <c r="AX1980" s="113" t="s">
        <v>77</v>
      </c>
      <c r="AY1980" s="135" t="s">
        <v>211</v>
      </c>
    </row>
    <row r="1981" spans="2:51" s="113" customFormat="1">
      <c r="B1981" s="119"/>
      <c r="D1981" s="105" t="s">
        <v>365</v>
      </c>
      <c r="E1981" s="135" t="s">
        <v>1</v>
      </c>
      <c r="F1981" s="120" t="s">
        <v>2952</v>
      </c>
      <c r="H1981" s="121">
        <v>113.78</v>
      </c>
      <c r="I1981" s="128"/>
      <c r="L1981" s="119"/>
      <c r="M1981" s="129"/>
      <c r="T1981" s="133"/>
      <c r="AT1981" s="135" t="s">
        <v>365</v>
      </c>
      <c r="AU1981" s="135" t="s">
        <v>87</v>
      </c>
      <c r="AV1981" s="113" t="s">
        <v>87</v>
      </c>
      <c r="AW1981" s="113" t="s">
        <v>33</v>
      </c>
      <c r="AX1981" s="113" t="s">
        <v>77</v>
      </c>
      <c r="AY1981" s="135" t="s">
        <v>211</v>
      </c>
    </row>
    <row r="1982" spans="2:51" s="113" customFormat="1">
      <c r="B1982" s="119"/>
      <c r="D1982" s="105" t="s">
        <v>365</v>
      </c>
      <c r="E1982" s="135" t="s">
        <v>1</v>
      </c>
      <c r="F1982" s="120" t="s">
        <v>2953</v>
      </c>
      <c r="H1982" s="121">
        <v>184.52</v>
      </c>
      <c r="I1982" s="128"/>
      <c r="L1982" s="119"/>
      <c r="M1982" s="129"/>
      <c r="T1982" s="133"/>
      <c r="AT1982" s="135" t="s">
        <v>365</v>
      </c>
      <c r="AU1982" s="135" t="s">
        <v>87</v>
      </c>
      <c r="AV1982" s="113" t="s">
        <v>87</v>
      </c>
      <c r="AW1982" s="113" t="s">
        <v>33</v>
      </c>
      <c r="AX1982" s="113" t="s">
        <v>77</v>
      </c>
      <c r="AY1982" s="135" t="s">
        <v>211</v>
      </c>
    </row>
    <row r="1983" spans="2:51" s="154" customFormat="1">
      <c r="B1983" s="156"/>
      <c r="D1983" s="105" t="s">
        <v>365</v>
      </c>
      <c r="E1983" s="157" t="s">
        <v>287</v>
      </c>
      <c r="F1983" s="158" t="s">
        <v>741</v>
      </c>
      <c r="H1983" s="159">
        <v>577.5</v>
      </c>
      <c r="I1983" s="160"/>
      <c r="L1983" s="156"/>
      <c r="M1983" s="161"/>
      <c r="T1983" s="162"/>
      <c r="AT1983" s="157" t="s">
        <v>365</v>
      </c>
      <c r="AU1983" s="157" t="s">
        <v>87</v>
      </c>
      <c r="AV1983" s="154" t="s">
        <v>137</v>
      </c>
      <c r="AW1983" s="154" t="s">
        <v>33</v>
      </c>
      <c r="AX1983" s="154" t="s">
        <v>77</v>
      </c>
      <c r="AY1983" s="157" t="s">
        <v>211</v>
      </c>
    </row>
    <row r="1984" spans="2:51" s="136" customFormat="1">
      <c r="B1984" s="138"/>
      <c r="D1984" s="105" t="s">
        <v>365</v>
      </c>
      <c r="E1984" s="139" t="s">
        <v>1</v>
      </c>
      <c r="F1984" s="140" t="s">
        <v>1289</v>
      </c>
      <c r="H1984" s="139" t="s">
        <v>1</v>
      </c>
      <c r="I1984" s="146"/>
      <c r="L1984" s="138"/>
      <c r="M1984" s="147"/>
      <c r="T1984" s="150"/>
      <c r="AT1984" s="139" t="s">
        <v>365</v>
      </c>
      <c r="AU1984" s="139" t="s">
        <v>87</v>
      </c>
      <c r="AV1984" s="136" t="s">
        <v>85</v>
      </c>
      <c r="AW1984" s="136" t="s">
        <v>33</v>
      </c>
      <c r="AX1984" s="136" t="s">
        <v>77</v>
      </c>
      <c r="AY1984" s="139" t="s">
        <v>211</v>
      </c>
    </row>
    <row r="1985" spans="2:65" s="113" customFormat="1">
      <c r="B1985" s="119"/>
      <c r="D1985" s="105" t="s">
        <v>365</v>
      </c>
      <c r="E1985" s="135" t="s">
        <v>1</v>
      </c>
      <c r="F1985" s="120" t="s">
        <v>2954</v>
      </c>
      <c r="H1985" s="121">
        <v>256.47000000000003</v>
      </c>
      <c r="I1985" s="128"/>
      <c r="L1985" s="119"/>
      <c r="M1985" s="129"/>
      <c r="T1985" s="133"/>
      <c r="AT1985" s="135" t="s">
        <v>365</v>
      </c>
      <c r="AU1985" s="135" t="s">
        <v>87</v>
      </c>
      <c r="AV1985" s="113" t="s">
        <v>87</v>
      </c>
      <c r="AW1985" s="113" t="s">
        <v>33</v>
      </c>
      <c r="AX1985" s="113" t="s">
        <v>77</v>
      </c>
      <c r="AY1985" s="135" t="s">
        <v>211</v>
      </c>
    </row>
    <row r="1986" spans="2:65" s="113" customFormat="1">
      <c r="B1986" s="119"/>
      <c r="D1986" s="105" t="s">
        <v>365</v>
      </c>
      <c r="E1986" s="135" t="s">
        <v>1</v>
      </c>
      <c r="F1986" s="120" t="s">
        <v>2955</v>
      </c>
      <c r="H1986" s="121">
        <v>312.43</v>
      </c>
      <c r="I1986" s="128"/>
      <c r="L1986" s="119"/>
      <c r="M1986" s="129"/>
      <c r="T1986" s="133"/>
      <c r="AT1986" s="135" t="s">
        <v>365</v>
      </c>
      <c r="AU1986" s="135" t="s">
        <v>87</v>
      </c>
      <c r="AV1986" s="113" t="s">
        <v>87</v>
      </c>
      <c r="AW1986" s="113" t="s">
        <v>33</v>
      </c>
      <c r="AX1986" s="113" t="s">
        <v>77</v>
      </c>
      <c r="AY1986" s="135" t="s">
        <v>211</v>
      </c>
    </row>
    <row r="1987" spans="2:65" s="113" customFormat="1">
      <c r="B1987" s="119"/>
      <c r="D1987" s="105" t="s">
        <v>365</v>
      </c>
      <c r="E1987" s="135" t="s">
        <v>1</v>
      </c>
      <c r="F1987" s="120" t="s">
        <v>2956</v>
      </c>
      <c r="H1987" s="121">
        <v>273.64999999999998</v>
      </c>
      <c r="I1987" s="128"/>
      <c r="L1987" s="119"/>
      <c r="M1987" s="129"/>
      <c r="T1987" s="133"/>
      <c r="AT1987" s="135" t="s">
        <v>365</v>
      </c>
      <c r="AU1987" s="135" t="s">
        <v>87</v>
      </c>
      <c r="AV1987" s="113" t="s">
        <v>87</v>
      </c>
      <c r="AW1987" s="113" t="s">
        <v>33</v>
      </c>
      <c r="AX1987" s="113" t="s">
        <v>77</v>
      </c>
      <c r="AY1987" s="135" t="s">
        <v>211</v>
      </c>
    </row>
    <row r="1988" spans="2:65" s="113" customFormat="1">
      <c r="B1988" s="119"/>
      <c r="D1988" s="105" t="s">
        <v>365</v>
      </c>
      <c r="E1988" s="135" t="s">
        <v>1</v>
      </c>
      <c r="F1988" s="120" t="s">
        <v>2957</v>
      </c>
      <c r="H1988" s="121">
        <v>326.68</v>
      </c>
      <c r="I1988" s="128"/>
      <c r="L1988" s="119"/>
      <c r="M1988" s="129"/>
      <c r="T1988" s="133"/>
      <c r="AT1988" s="135" t="s">
        <v>365</v>
      </c>
      <c r="AU1988" s="135" t="s">
        <v>87</v>
      </c>
      <c r="AV1988" s="113" t="s">
        <v>87</v>
      </c>
      <c r="AW1988" s="113" t="s">
        <v>33</v>
      </c>
      <c r="AX1988" s="113" t="s">
        <v>77</v>
      </c>
      <c r="AY1988" s="135" t="s">
        <v>211</v>
      </c>
    </row>
    <row r="1989" spans="2:65" s="154" customFormat="1">
      <c r="B1989" s="156"/>
      <c r="D1989" s="105" t="s">
        <v>365</v>
      </c>
      <c r="E1989" s="157" t="s">
        <v>289</v>
      </c>
      <c r="F1989" s="158" t="s">
        <v>741</v>
      </c>
      <c r="H1989" s="159">
        <v>1169.23</v>
      </c>
      <c r="I1989" s="160"/>
      <c r="L1989" s="156"/>
      <c r="M1989" s="161"/>
      <c r="T1989" s="162"/>
      <c r="AT1989" s="157" t="s">
        <v>365</v>
      </c>
      <c r="AU1989" s="157" t="s">
        <v>87</v>
      </c>
      <c r="AV1989" s="154" t="s">
        <v>137</v>
      </c>
      <c r="AW1989" s="154" t="s">
        <v>33</v>
      </c>
      <c r="AX1989" s="154" t="s">
        <v>77</v>
      </c>
      <c r="AY1989" s="157" t="s">
        <v>211</v>
      </c>
    </row>
    <row r="1990" spans="2:65" s="137" customFormat="1">
      <c r="B1990" s="141"/>
      <c r="D1990" s="105" t="s">
        <v>365</v>
      </c>
      <c r="E1990" s="142" t="s">
        <v>1</v>
      </c>
      <c r="F1990" s="143" t="s">
        <v>368</v>
      </c>
      <c r="H1990" s="144">
        <v>3672.49</v>
      </c>
      <c r="I1990" s="148"/>
      <c r="L1990" s="141"/>
      <c r="M1990" s="149"/>
      <c r="T1990" s="151"/>
      <c r="AT1990" s="142" t="s">
        <v>365</v>
      </c>
      <c r="AU1990" s="142" t="s">
        <v>87</v>
      </c>
      <c r="AV1990" s="137" t="s">
        <v>218</v>
      </c>
      <c r="AW1990" s="137" t="s">
        <v>33</v>
      </c>
      <c r="AX1990" s="137" t="s">
        <v>85</v>
      </c>
      <c r="AY1990" s="142" t="s">
        <v>211</v>
      </c>
    </row>
    <row r="1991" spans="2:65" s="1" customFormat="1" ht="33" customHeight="1">
      <c r="B1991" s="12"/>
      <c r="C1991" s="114" t="s">
        <v>2958</v>
      </c>
      <c r="D1991" s="114" t="s">
        <v>438</v>
      </c>
      <c r="E1991" s="115" t="s">
        <v>2959</v>
      </c>
      <c r="F1991" s="116" t="s">
        <v>2960</v>
      </c>
      <c r="G1991" s="117" t="s">
        <v>279</v>
      </c>
      <c r="H1991" s="118">
        <v>3745.94</v>
      </c>
      <c r="I1991" s="122">
        <v>120</v>
      </c>
      <c r="J1991" s="123">
        <f>ROUND(I1991*H1991,2)</f>
        <v>449512.8</v>
      </c>
      <c r="K1991" s="124"/>
      <c r="L1991" s="125"/>
      <c r="M1991" s="126" t="s">
        <v>1</v>
      </c>
      <c r="N1991" s="127" t="s">
        <v>42</v>
      </c>
      <c r="P1991" s="95">
        <f>O1991*H1991</f>
        <v>0</v>
      </c>
      <c r="Q1991" s="95">
        <v>2.5000000000000001E-3</v>
      </c>
      <c r="R1991" s="95">
        <f>Q1991*H1991</f>
        <v>9.3648500000000006</v>
      </c>
      <c r="S1991" s="95">
        <v>0</v>
      </c>
      <c r="T1991" s="99">
        <f>S1991*H1991</f>
        <v>0</v>
      </c>
      <c r="AR1991" s="101" t="s">
        <v>527</v>
      </c>
      <c r="AT1991" s="101" t="s">
        <v>438</v>
      </c>
      <c r="AU1991" s="101" t="s">
        <v>87</v>
      </c>
      <c r="AY1991" s="23" t="s">
        <v>211</v>
      </c>
      <c r="BE1991" s="104">
        <f>IF(N1991="základní",J1991,0)</f>
        <v>449512.8</v>
      </c>
      <c r="BF1991" s="104">
        <f>IF(N1991="snížená",J1991,0)</f>
        <v>0</v>
      </c>
      <c r="BG1991" s="104">
        <f>IF(N1991="zákl. přenesená",J1991,0)</f>
        <v>0</v>
      </c>
      <c r="BH1991" s="104">
        <f>IF(N1991="sníž. přenesená",J1991,0)</f>
        <v>0</v>
      </c>
      <c r="BI1991" s="104">
        <f>IF(N1991="nulová",J1991,0)</f>
        <v>0</v>
      </c>
      <c r="BJ1991" s="23" t="s">
        <v>85</v>
      </c>
      <c r="BK1991" s="104">
        <f>ROUND(I1991*H1991,2)</f>
        <v>449512.8</v>
      </c>
      <c r="BL1991" s="23" t="s">
        <v>446</v>
      </c>
      <c r="BM1991" s="101" t="s">
        <v>2961</v>
      </c>
    </row>
    <row r="1992" spans="2:65" s="113" customFormat="1">
      <c r="B1992" s="119"/>
      <c r="D1992" s="105" t="s">
        <v>365</v>
      </c>
      <c r="F1992" s="120" t="s">
        <v>2962</v>
      </c>
      <c r="H1992" s="121">
        <v>3745.94</v>
      </c>
      <c r="I1992" s="128"/>
      <c r="L1992" s="119"/>
      <c r="M1992" s="129"/>
      <c r="T1992" s="133"/>
      <c r="AT1992" s="135" t="s">
        <v>365</v>
      </c>
      <c r="AU1992" s="135" t="s">
        <v>87</v>
      </c>
      <c r="AV1992" s="113" t="s">
        <v>87</v>
      </c>
      <c r="AW1992" s="113" t="s">
        <v>4</v>
      </c>
      <c r="AX1992" s="113" t="s">
        <v>85</v>
      </c>
      <c r="AY1992" s="135" t="s">
        <v>211</v>
      </c>
    </row>
    <row r="1993" spans="2:65" s="1" customFormat="1" ht="24.15" customHeight="1">
      <c r="B1993" s="12"/>
      <c r="C1993" s="71" t="s">
        <v>2963</v>
      </c>
      <c r="D1993" s="71" t="s">
        <v>214</v>
      </c>
      <c r="E1993" s="72" t="s">
        <v>2964</v>
      </c>
      <c r="F1993" s="73" t="s">
        <v>2965</v>
      </c>
      <c r="G1993" s="74" t="s">
        <v>279</v>
      </c>
      <c r="H1993" s="75">
        <v>683.93</v>
      </c>
      <c r="I1993" s="90">
        <v>200</v>
      </c>
      <c r="J1993" s="91">
        <f>ROUND(I1993*H1993,2)</f>
        <v>136786</v>
      </c>
      <c r="K1993" s="92"/>
      <c r="L1993" s="12"/>
      <c r="M1993" s="93" t="s">
        <v>1</v>
      </c>
      <c r="N1993" s="94" t="s">
        <v>42</v>
      </c>
      <c r="P1993" s="95">
        <f>O1993*H1993</f>
        <v>0</v>
      </c>
      <c r="Q1993" s="95">
        <v>6.0000000000000001E-3</v>
      </c>
      <c r="R1993" s="95">
        <f>Q1993*H1993</f>
        <v>4.10358</v>
      </c>
      <c r="S1993" s="95">
        <v>0</v>
      </c>
      <c r="T1993" s="99">
        <f>S1993*H1993</f>
        <v>0</v>
      </c>
      <c r="AR1993" s="101" t="s">
        <v>446</v>
      </c>
      <c r="AT1993" s="101" t="s">
        <v>214</v>
      </c>
      <c r="AU1993" s="101" t="s">
        <v>87</v>
      </c>
      <c r="AY1993" s="23" t="s">
        <v>211</v>
      </c>
      <c r="BE1993" s="104">
        <f>IF(N1993="základní",J1993,0)</f>
        <v>136786</v>
      </c>
      <c r="BF1993" s="104">
        <f>IF(N1993="snížená",J1993,0)</f>
        <v>0</v>
      </c>
      <c r="BG1993" s="104">
        <f>IF(N1993="zákl. přenesená",J1993,0)</f>
        <v>0</v>
      </c>
      <c r="BH1993" s="104">
        <f>IF(N1993="sníž. přenesená",J1993,0)</f>
        <v>0</v>
      </c>
      <c r="BI1993" s="104">
        <f>IF(N1993="nulová",J1993,0)</f>
        <v>0</v>
      </c>
      <c r="BJ1993" s="23" t="s">
        <v>85</v>
      </c>
      <c r="BK1993" s="104">
        <f>ROUND(I1993*H1993,2)</f>
        <v>136786</v>
      </c>
      <c r="BL1993" s="23" t="s">
        <v>446</v>
      </c>
      <c r="BM1993" s="101" t="s">
        <v>2966</v>
      </c>
    </row>
    <row r="1994" spans="2:65" s="113" customFormat="1">
      <c r="B1994" s="119"/>
      <c r="D1994" s="105" t="s">
        <v>365</v>
      </c>
      <c r="E1994" s="135" t="s">
        <v>1</v>
      </c>
      <c r="F1994" s="120" t="s">
        <v>2967</v>
      </c>
      <c r="H1994" s="121">
        <v>302.93</v>
      </c>
      <c r="I1994" s="128"/>
      <c r="L1994" s="119"/>
      <c r="M1994" s="129"/>
      <c r="T1994" s="133"/>
      <c r="AT1994" s="135" t="s">
        <v>365</v>
      </c>
      <c r="AU1994" s="135" t="s">
        <v>87</v>
      </c>
      <c r="AV1994" s="113" t="s">
        <v>87</v>
      </c>
      <c r="AW1994" s="113" t="s">
        <v>33</v>
      </c>
      <c r="AX1994" s="113" t="s">
        <v>77</v>
      </c>
      <c r="AY1994" s="135" t="s">
        <v>211</v>
      </c>
    </row>
    <row r="1995" spans="2:65" s="113" customFormat="1">
      <c r="B1995" s="119"/>
      <c r="D1995" s="105" t="s">
        <v>365</v>
      </c>
      <c r="E1995" s="135" t="s">
        <v>1</v>
      </c>
      <c r="F1995" s="120" t="s">
        <v>2968</v>
      </c>
      <c r="H1995" s="121">
        <v>210</v>
      </c>
      <c r="I1995" s="128"/>
      <c r="L1995" s="119"/>
      <c r="M1995" s="129"/>
      <c r="T1995" s="133"/>
      <c r="AT1995" s="135" t="s">
        <v>365</v>
      </c>
      <c r="AU1995" s="135" t="s">
        <v>87</v>
      </c>
      <c r="AV1995" s="113" t="s">
        <v>87</v>
      </c>
      <c r="AW1995" s="113" t="s">
        <v>33</v>
      </c>
      <c r="AX1995" s="113" t="s">
        <v>77</v>
      </c>
      <c r="AY1995" s="135" t="s">
        <v>211</v>
      </c>
    </row>
    <row r="1996" spans="2:65" s="113" customFormat="1">
      <c r="B1996" s="119"/>
      <c r="D1996" s="105" t="s">
        <v>365</v>
      </c>
      <c r="E1996" s="135" t="s">
        <v>1</v>
      </c>
      <c r="F1996" s="120" t="s">
        <v>2969</v>
      </c>
      <c r="H1996" s="121">
        <v>37</v>
      </c>
      <c r="I1996" s="128"/>
      <c r="L1996" s="119"/>
      <c r="M1996" s="129"/>
      <c r="T1996" s="133"/>
      <c r="AT1996" s="135" t="s">
        <v>365</v>
      </c>
      <c r="AU1996" s="135" t="s">
        <v>87</v>
      </c>
      <c r="AV1996" s="113" t="s">
        <v>87</v>
      </c>
      <c r="AW1996" s="113" t="s">
        <v>33</v>
      </c>
      <c r="AX1996" s="113" t="s">
        <v>77</v>
      </c>
      <c r="AY1996" s="135" t="s">
        <v>211</v>
      </c>
    </row>
    <row r="1997" spans="2:65" s="113" customFormat="1">
      <c r="B1997" s="119"/>
      <c r="D1997" s="105" t="s">
        <v>365</v>
      </c>
      <c r="E1997" s="135" t="s">
        <v>1</v>
      </c>
      <c r="F1997" s="120" t="s">
        <v>2970</v>
      </c>
      <c r="H1997" s="121">
        <v>97</v>
      </c>
      <c r="I1997" s="128"/>
      <c r="L1997" s="119"/>
      <c r="M1997" s="129"/>
      <c r="T1997" s="133"/>
      <c r="AT1997" s="135" t="s">
        <v>365</v>
      </c>
      <c r="AU1997" s="135" t="s">
        <v>87</v>
      </c>
      <c r="AV1997" s="113" t="s">
        <v>87</v>
      </c>
      <c r="AW1997" s="113" t="s">
        <v>33</v>
      </c>
      <c r="AX1997" s="113" t="s">
        <v>77</v>
      </c>
      <c r="AY1997" s="135" t="s">
        <v>211</v>
      </c>
    </row>
    <row r="1998" spans="2:65" s="113" customFormat="1">
      <c r="B1998" s="119"/>
      <c r="D1998" s="105" t="s">
        <v>365</v>
      </c>
      <c r="E1998" s="135" t="s">
        <v>1</v>
      </c>
      <c r="F1998" s="120" t="s">
        <v>2971</v>
      </c>
      <c r="H1998" s="121">
        <v>19</v>
      </c>
      <c r="I1998" s="128"/>
      <c r="L1998" s="119"/>
      <c r="M1998" s="129"/>
      <c r="T1998" s="133"/>
      <c r="AT1998" s="135" t="s">
        <v>365</v>
      </c>
      <c r="AU1998" s="135" t="s">
        <v>87</v>
      </c>
      <c r="AV1998" s="113" t="s">
        <v>87</v>
      </c>
      <c r="AW1998" s="113" t="s">
        <v>33</v>
      </c>
      <c r="AX1998" s="113" t="s">
        <v>77</v>
      </c>
      <c r="AY1998" s="135" t="s">
        <v>211</v>
      </c>
    </row>
    <row r="1999" spans="2:65" s="113" customFormat="1" ht="20.399999999999999">
      <c r="B1999" s="119"/>
      <c r="D1999" s="105" t="s">
        <v>365</v>
      </c>
      <c r="E1999" s="135" t="s">
        <v>1</v>
      </c>
      <c r="F1999" s="120" t="s">
        <v>2972</v>
      </c>
      <c r="H1999" s="121">
        <v>18</v>
      </c>
      <c r="I1999" s="128"/>
      <c r="L1999" s="119"/>
      <c r="M1999" s="129"/>
      <c r="T1999" s="133"/>
      <c r="AT1999" s="135" t="s">
        <v>365</v>
      </c>
      <c r="AU1999" s="135" t="s">
        <v>87</v>
      </c>
      <c r="AV1999" s="113" t="s">
        <v>87</v>
      </c>
      <c r="AW1999" s="113" t="s">
        <v>33</v>
      </c>
      <c r="AX1999" s="113" t="s">
        <v>77</v>
      </c>
      <c r="AY1999" s="135" t="s">
        <v>211</v>
      </c>
    </row>
    <row r="2000" spans="2:65" s="137" customFormat="1">
      <c r="B2000" s="141"/>
      <c r="D2000" s="105" t="s">
        <v>365</v>
      </c>
      <c r="E2000" s="142" t="s">
        <v>1</v>
      </c>
      <c r="F2000" s="143" t="s">
        <v>368</v>
      </c>
      <c r="H2000" s="144">
        <v>683.93</v>
      </c>
      <c r="I2000" s="148"/>
      <c r="L2000" s="141"/>
      <c r="M2000" s="149"/>
      <c r="T2000" s="151"/>
      <c r="AT2000" s="142" t="s">
        <v>365</v>
      </c>
      <c r="AU2000" s="142" t="s">
        <v>87</v>
      </c>
      <c r="AV2000" s="137" t="s">
        <v>218</v>
      </c>
      <c r="AW2000" s="137" t="s">
        <v>33</v>
      </c>
      <c r="AX2000" s="137" t="s">
        <v>85</v>
      </c>
      <c r="AY2000" s="142" t="s">
        <v>211</v>
      </c>
    </row>
    <row r="2001" spans="2:65" s="1" customFormat="1" ht="24.15" customHeight="1">
      <c r="B2001" s="12"/>
      <c r="C2001" s="114" t="s">
        <v>2973</v>
      </c>
      <c r="D2001" s="114" t="s">
        <v>438</v>
      </c>
      <c r="E2001" s="115" t="s">
        <v>2974</v>
      </c>
      <c r="F2001" s="116" t="s">
        <v>2975</v>
      </c>
      <c r="G2001" s="117" t="s">
        <v>279</v>
      </c>
      <c r="H2001" s="118">
        <v>318.077</v>
      </c>
      <c r="I2001" s="122">
        <v>320</v>
      </c>
      <c r="J2001" s="123">
        <f>ROUND(I2001*H2001,2)</f>
        <v>101784.64</v>
      </c>
      <c r="K2001" s="124"/>
      <c r="L2001" s="125"/>
      <c r="M2001" s="126" t="s">
        <v>1</v>
      </c>
      <c r="N2001" s="127" t="s">
        <v>42</v>
      </c>
      <c r="P2001" s="95">
        <f>O2001*H2001</f>
        <v>0</v>
      </c>
      <c r="Q2001" s="95">
        <v>2.3999999999999998E-3</v>
      </c>
      <c r="R2001" s="95">
        <f>Q2001*H2001</f>
        <v>0.76338479999999997</v>
      </c>
      <c r="S2001" s="95">
        <v>0</v>
      </c>
      <c r="T2001" s="99">
        <f>S2001*H2001</f>
        <v>0</v>
      </c>
      <c r="AR2001" s="101" t="s">
        <v>527</v>
      </c>
      <c r="AT2001" s="101" t="s">
        <v>438</v>
      </c>
      <c r="AU2001" s="101" t="s">
        <v>87</v>
      </c>
      <c r="AY2001" s="23" t="s">
        <v>211</v>
      </c>
      <c r="BE2001" s="104">
        <f>IF(N2001="základní",J2001,0)</f>
        <v>101784.64</v>
      </c>
      <c r="BF2001" s="104">
        <f>IF(N2001="snížená",J2001,0)</f>
        <v>0</v>
      </c>
      <c r="BG2001" s="104">
        <f>IF(N2001="zákl. přenesená",J2001,0)</f>
        <v>0</v>
      </c>
      <c r="BH2001" s="104">
        <f>IF(N2001="sníž. přenesená",J2001,0)</f>
        <v>0</v>
      </c>
      <c r="BI2001" s="104">
        <f>IF(N2001="nulová",J2001,0)</f>
        <v>0</v>
      </c>
      <c r="BJ2001" s="23" t="s">
        <v>85</v>
      </c>
      <c r="BK2001" s="104">
        <f>ROUND(I2001*H2001,2)</f>
        <v>101784.64</v>
      </c>
      <c r="BL2001" s="23" t="s">
        <v>446</v>
      </c>
      <c r="BM2001" s="101" t="s">
        <v>2976</v>
      </c>
    </row>
    <row r="2002" spans="2:65" s="113" customFormat="1">
      <c r="B2002" s="119"/>
      <c r="D2002" s="105" t="s">
        <v>365</v>
      </c>
      <c r="F2002" s="120" t="s">
        <v>2977</v>
      </c>
      <c r="H2002" s="121">
        <v>318.077</v>
      </c>
      <c r="I2002" s="128"/>
      <c r="L2002" s="119"/>
      <c r="M2002" s="129"/>
      <c r="T2002" s="133"/>
      <c r="AT2002" s="135" t="s">
        <v>365</v>
      </c>
      <c r="AU2002" s="135" t="s">
        <v>87</v>
      </c>
      <c r="AV2002" s="113" t="s">
        <v>87</v>
      </c>
      <c r="AW2002" s="113" t="s">
        <v>4</v>
      </c>
      <c r="AX2002" s="113" t="s">
        <v>85</v>
      </c>
      <c r="AY2002" s="135" t="s">
        <v>211</v>
      </c>
    </row>
    <row r="2003" spans="2:65" s="1" customFormat="1" ht="24.15" customHeight="1">
      <c r="B2003" s="12"/>
      <c r="C2003" s="114" t="s">
        <v>2978</v>
      </c>
      <c r="D2003" s="114" t="s">
        <v>438</v>
      </c>
      <c r="E2003" s="115" t="s">
        <v>2979</v>
      </c>
      <c r="F2003" s="116" t="s">
        <v>2980</v>
      </c>
      <c r="G2003" s="117" t="s">
        <v>279</v>
      </c>
      <c r="H2003" s="118">
        <v>214.2</v>
      </c>
      <c r="I2003" s="122">
        <v>170</v>
      </c>
      <c r="J2003" s="123">
        <f>ROUND(I2003*H2003,2)</f>
        <v>36414</v>
      </c>
      <c r="K2003" s="124"/>
      <c r="L2003" s="125"/>
      <c r="M2003" s="126" t="s">
        <v>1</v>
      </c>
      <c r="N2003" s="127" t="s">
        <v>42</v>
      </c>
      <c r="P2003" s="95">
        <f>O2003*H2003</f>
        <v>0</v>
      </c>
      <c r="Q2003" s="95">
        <v>6.0000000000000001E-3</v>
      </c>
      <c r="R2003" s="95">
        <f>Q2003*H2003</f>
        <v>1.2851999999999999</v>
      </c>
      <c r="S2003" s="95">
        <v>0</v>
      </c>
      <c r="T2003" s="99">
        <f>S2003*H2003</f>
        <v>0</v>
      </c>
      <c r="AR2003" s="101" t="s">
        <v>527</v>
      </c>
      <c r="AT2003" s="101" t="s">
        <v>438</v>
      </c>
      <c r="AU2003" s="101" t="s">
        <v>87</v>
      </c>
      <c r="AY2003" s="23" t="s">
        <v>211</v>
      </c>
      <c r="BE2003" s="104">
        <f>IF(N2003="základní",J2003,0)</f>
        <v>36414</v>
      </c>
      <c r="BF2003" s="104">
        <f>IF(N2003="snížená",J2003,0)</f>
        <v>0</v>
      </c>
      <c r="BG2003" s="104">
        <f>IF(N2003="zákl. přenesená",J2003,0)</f>
        <v>0</v>
      </c>
      <c r="BH2003" s="104">
        <f>IF(N2003="sníž. přenesená",J2003,0)</f>
        <v>0</v>
      </c>
      <c r="BI2003" s="104">
        <f>IF(N2003="nulová",J2003,0)</f>
        <v>0</v>
      </c>
      <c r="BJ2003" s="23" t="s">
        <v>85</v>
      </c>
      <c r="BK2003" s="104">
        <f>ROUND(I2003*H2003,2)</f>
        <v>36414</v>
      </c>
      <c r="BL2003" s="23" t="s">
        <v>446</v>
      </c>
      <c r="BM2003" s="101" t="s">
        <v>2981</v>
      </c>
    </row>
    <row r="2004" spans="2:65" s="113" customFormat="1">
      <c r="B2004" s="119"/>
      <c r="D2004" s="105" t="s">
        <v>365</v>
      </c>
      <c r="E2004" s="135" t="s">
        <v>1</v>
      </c>
      <c r="F2004" s="120" t="s">
        <v>2968</v>
      </c>
      <c r="H2004" s="121">
        <v>210</v>
      </c>
      <c r="I2004" s="128"/>
      <c r="L2004" s="119"/>
      <c r="M2004" s="129"/>
      <c r="T2004" s="133"/>
      <c r="AT2004" s="135" t="s">
        <v>365</v>
      </c>
      <c r="AU2004" s="135" t="s">
        <v>87</v>
      </c>
      <c r="AV2004" s="113" t="s">
        <v>87</v>
      </c>
      <c r="AW2004" s="113" t="s">
        <v>33</v>
      </c>
      <c r="AX2004" s="113" t="s">
        <v>85</v>
      </c>
      <c r="AY2004" s="135" t="s">
        <v>211</v>
      </c>
    </row>
    <row r="2005" spans="2:65" s="113" customFormat="1">
      <c r="B2005" s="119"/>
      <c r="D2005" s="105" t="s">
        <v>365</v>
      </c>
      <c r="F2005" s="120" t="s">
        <v>2982</v>
      </c>
      <c r="H2005" s="121">
        <v>214.2</v>
      </c>
      <c r="I2005" s="128"/>
      <c r="L2005" s="119"/>
      <c r="M2005" s="129"/>
      <c r="T2005" s="133"/>
      <c r="AT2005" s="135" t="s">
        <v>365</v>
      </c>
      <c r="AU2005" s="135" t="s">
        <v>87</v>
      </c>
      <c r="AV2005" s="113" t="s">
        <v>87</v>
      </c>
      <c r="AW2005" s="113" t="s">
        <v>4</v>
      </c>
      <c r="AX2005" s="113" t="s">
        <v>85</v>
      </c>
      <c r="AY2005" s="135" t="s">
        <v>211</v>
      </c>
    </row>
    <row r="2006" spans="2:65" s="1" customFormat="1" ht="24.15" customHeight="1">
      <c r="B2006" s="12"/>
      <c r="C2006" s="114" t="s">
        <v>2983</v>
      </c>
      <c r="D2006" s="114" t="s">
        <v>438</v>
      </c>
      <c r="E2006" s="115" t="s">
        <v>2984</v>
      </c>
      <c r="F2006" s="116" t="s">
        <v>2985</v>
      </c>
      <c r="G2006" s="117" t="s">
        <v>279</v>
      </c>
      <c r="H2006" s="118">
        <v>37.74</v>
      </c>
      <c r="I2006" s="122">
        <v>80</v>
      </c>
      <c r="J2006" s="123">
        <f>ROUND(I2006*H2006,2)</f>
        <v>3019.2</v>
      </c>
      <c r="K2006" s="124"/>
      <c r="L2006" s="125"/>
      <c r="M2006" s="126" t="s">
        <v>1</v>
      </c>
      <c r="N2006" s="127" t="s">
        <v>42</v>
      </c>
      <c r="P2006" s="95">
        <f>O2006*H2006</f>
        <v>0</v>
      </c>
      <c r="Q2006" s="95">
        <v>6.0000000000000001E-3</v>
      </c>
      <c r="R2006" s="95">
        <f>Q2006*H2006</f>
        <v>0.22644</v>
      </c>
      <c r="S2006" s="95">
        <v>0</v>
      </c>
      <c r="T2006" s="99">
        <f>S2006*H2006</f>
        <v>0</v>
      </c>
      <c r="AR2006" s="101" t="s">
        <v>527</v>
      </c>
      <c r="AT2006" s="101" t="s">
        <v>438</v>
      </c>
      <c r="AU2006" s="101" t="s">
        <v>87</v>
      </c>
      <c r="AY2006" s="23" t="s">
        <v>211</v>
      </c>
      <c r="BE2006" s="104">
        <f>IF(N2006="základní",J2006,0)</f>
        <v>3019.2</v>
      </c>
      <c r="BF2006" s="104">
        <f>IF(N2006="snížená",J2006,0)</f>
        <v>0</v>
      </c>
      <c r="BG2006" s="104">
        <f>IF(N2006="zákl. přenesená",J2006,0)</f>
        <v>0</v>
      </c>
      <c r="BH2006" s="104">
        <f>IF(N2006="sníž. přenesená",J2006,0)</f>
        <v>0</v>
      </c>
      <c r="BI2006" s="104">
        <f>IF(N2006="nulová",J2006,0)</f>
        <v>0</v>
      </c>
      <c r="BJ2006" s="23" t="s">
        <v>85</v>
      </c>
      <c r="BK2006" s="104">
        <f>ROUND(I2006*H2006,2)</f>
        <v>3019.2</v>
      </c>
      <c r="BL2006" s="23" t="s">
        <v>446</v>
      </c>
      <c r="BM2006" s="101" t="s">
        <v>2986</v>
      </c>
    </row>
    <row r="2007" spans="2:65" s="113" customFormat="1">
      <c r="B2007" s="119"/>
      <c r="D2007" s="105" t="s">
        <v>365</v>
      </c>
      <c r="E2007" s="135" t="s">
        <v>1</v>
      </c>
      <c r="F2007" s="120" t="s">
        <v>2969</v>
      </c>
      <c r="H2007" s="121">
        <v>37</v>
      </c>
      <c r="I2007" s="128"/>
      <c r="L2007" s="119"/>
      <c r="M2007" s="129"/>
      <c r="T2007" s="133"/>
      <c r="AT2007" s="135" t="s">
        <v>365</v>
      </c>
      <c r="AU2007" s="135" t="s">
        <v>87</v>
      </c>
      <c r="AV2007" s="113" t="s">
        <v>87</v>
      </c>
      <c r="AW2007" s="113" t="s">
        <v>33</v>
      </c>
      <c r="AX2007" s="113" t="s">
        <v>85</v>
      </c>
      <c r="AY2007" s="135" t="s">
        <v>211</v>
      </c>
    </row>
    <row r="2008" spans="2:65" s="113" customFormat="1">
      <c r="B2008" s="119"/>
      <c r="D2008" s="105" t="s">
        <v>365</v>
      </c>
      <c r="F2008" s="120" t="s">
        <v>2987</v>
      </c>
      <c r="H2008" s="121">
        <v>37.74</v>
      </c>
      <c r="I2008" s="128"/>
      <c r="L2008" s="119"/>
      <c r="M2008" s="129"/>
      <c r="T2008" s="133"/>
      <c r="AT2008" s="135" t="s">
        <v>365</v>
      </c>
      <c r="AU2008" s="135" t="s">
        <v>87</v>
      </c>
      <c r="AV2008" s="113" t="s">
        <v>87</v>
      </c>
      <c r="AW2008" s="113" t="s">
        <v>4</v>
      </c>
      <c r="AX2008" s="113" t="s">
        <v>85</v>
      </c>
      <c r="AY2008" s="135" t="s">
        <v>211</v>
      </c>
    </row>
    <row r="2009" spans="2:65" s="1" customFormat="1" ht="24.15" customHeight="1">
      <c r="B2009" s="12"/>
      <c r="C2009" s="114" t="s">
        <v>2988</v>
      </c>
      <c r="D2009" s="114" t="s">
        <v>438</v>
      </c>
      <c r="E2009" s="115" t="s">
        <v>2989</v>
      </c>
      <c r="F2009" s="116" t="s">
        <v>2990</v>
      </c>
      <c r="G2009" s="117" t="s">
        <v>357</v>
      </c>
      <c r="H2009" s="118">
        <v>4.3449999999999998</v>
      </c>
      <c r="I2009" s="122">
        <v>4500</v>
      </c>
      <c r="J2009" s="123">
        <f>ROUND(I2009*H2009,2)</f>
        <v>19552.5</v>
      </c>
      <c r="K2009" s="124"/>
      <c r="L2009" s="125"/>
      <c r="M2009" s="126" t="s">
        <v>1</v>
      </c>
      <c r="N2009" s="127" t="s">
        <v>42</v>
      </c>
      <c r="P2009" s="95">
        <f>O2009*H2009</f>
        <v>0</v>
      </c>
      <c r="Q2009" s="95">
        <v>3.2000000000000001E-2</v>
      </c>
      <c r="R2009" s="95">
        <f>Q2009*H2009</f>
        <v>0.13904</v>
      </c>
      <c r="S2009" s="95">
        <v>0</v>
      </c>
      <c r="T2009" s="99">
        <f>S2009*H2009</f>
        <v>0</v>
      </c>
      <c r="AR2009" s="101" t="s">
        <v>527</v>
      </c>
      <c r="AT2009" s="101" t="s">
        <v>438</v>
      </c>
      <c r="AU2009" s="101" t="s">
        <v>87</v>
      </c>
      <c r="AY2009" s="23" t="s">
        <v>211</v>
      </c>
      <c r="BE2009" s="104">
        <f>IF(N2009="základní",J2009,0)</f>
        <v>19552.5</v>
      </c>
      <c r="BF2009" s="104">
        <f>IF(N2009="snížená",J2009,0)</f>
        <v>0</v>
      </c>
      <c r="BG2009" s="104">
        <f>IF(N2009="zákl. přenesená",J2009,0)</f>
        <v>0</v>
      </c>
      <c r="BH2009" s="104">
        <f>IF(N2009="sníž. přenesená",J2009,0)</f>
        <v>0</v>
      </c>
      <c r="BI2009" s="104">
        <f>IF(N2009="nulová",J2009,0)</f>
        <v>0</v>
      </c>
      <c r="BJ2009" s="23" t="s">
        <v>85</v>
      </c>
      <c r="BK2009" s="104">
        <f>ROUND(I2009*H2009,2)</f>
        <v>19552.5</v>
      </c>
      <c r="BL2009" s="23" t="s">
        <v>446</v>
      </c>
      <c r="BM2009" s="101" t="s">
        <v>2991</v>
      </c>
    </row>
    <row r="2010" spans="2:65" s="113" customFormat="1">
      <c r="B2010" s="119"/>
      <c r="D2010" s="105" t="s">
        <v>365</v>
      </c>
      <c r="E2010" s="135" t="s">
        <v>1</v>
      </c>
      <c r="F2010" s="120" t="s">
        <v>2992</v>
      </c>
      <c r="H2010" s="121">
        <v>3.88</v>
      </c>
      <c r="I2010" s="128"/>
      <c r="L2010" s="119"/>
      <c r="M2010" s="129"/>
      <c r="T2010" s="133"/>
      <c r="AT2010" s="135" t="s">
        <v>365</v>
      </c>
      <c r="AU2010" s="135" t="s">
        <v>87</v>
      </c>
      <c r="AV2010" s="113" t="s">
        <v>87</v>
      </c>
      <c r="AW2010" s="113" t="s">
        <v>33</v>
      </c>
      <c r="AX2010" s="113" t="s">
        <v>77</v>
      </c>
      <c r="AY2010" s="135" t="s">
        <v>211</v>
      </c>
    </row>
    <row r="2011" spans="2:65" s="113" customFormat="1">
      <c r="B2011" s="119"/>
      <c r="D2011" s="105" t="s">
        <v>365</v>
      </c>
      <c r="E2011" s="135" t="s">
        <v>1</v>
      </c>
      <c r="F2011" s="120" t="s">
        <v>2993</v>
      </c>
      <c r="H2011" s="121">
        <v>0.38</v>
      </c>
      <c r="I2011" s="128"/>
      <c r="L2011" s="119"/>
      <c r="M2011" s="129"/>
      <c r="T2011" s="133"/>
      <c r="AT2011" s="135" t="s">
        <v>365</v>
      </c>
      <c r="AU2011" s="135" t="s">
        <v>87</v>
      </c>
      <c r="AV2011" s="113" t="s">
        <v>87</v>
      </c>
      <c r="AW2011" s="113" t="s">
        <v>33</v>
      </c>
      <c r="AX2011" s="113" t="s">
        <v>77</v>
      </c>
      <c r="AY2011" s="135" t="s">
        <v>211</v>
      </c>
    </row>
    <row r="2012" spans="2:65" s="137" customFormat="1">
      <c r="B2012" s="141"/>
      <c r="D2012" s="105" t="s">
        <v>365</v>
      </c>
      <c r="E2012" s="142" t="s">
        <v>1</v>
      </c>
      <c r="F2012" s="143" t="s">
        <v>368</v>
      </c>
      <c r="H2012" s="144">
        <v>4.26</v>
      </c>
      <c r="I2012" s="148"/>
      <c r="L2012" s="141"/>
      <c r="M2012" s="149"/>
      <c r="T2012" s="151"/>
      <c r="AT2012" s="142" t="s">
        <v>365</v>
      </c>
      <c r="AU2012" s="142" t="s">
        <v>87</v>
      </c>
      <c r="AV2012" s="137" t="s">
        <v>218</v>
      </c>
      <c r="AW2012" s="137" t="s">
        <v>33</v>
      </c>
      <c r="AX2012" s="137" t="s">
        <v>85</v>
      </c>
      <c r="AY2012" s="142" t="s">
        <v>211</v>
      </c>
    </row>
    <row r="2013" spans="2:65" s="113" customFormat="1">
      <c r="B2013" s="119"/>
      <c r="D2013" s="105" t="s">
        <v>365</v>
      </c>
      <c r="F2013" s="120" t="s">
        <v>2994</v>
      </c>
      <c r="H2013" s="121">
        <v>4.3449999999999998</v>
      </c>
      <c r="I2013" s="128"/>
      <c r="L2013" s="119"/>
      <c r="M2013" s="129"/>
      <c r="T2013" s="133"/>
      <c r="AT2013" s="135" t="s">
        <v>365</v>
      </c>
      <c r="AU2013" s="135" t="s">
        <v>87</v>
      </c>
      <c r="AV2013" s="113" t="s">
        <v>87</v>
      </c>
      <c r="AW2013" s="113" t="s">
        <v>4</v>
      </c>
      <c r="AX2013" s="113" t="s">
        <v>85</v>
      </c>
      <c r="AY2013" s="135" t="s">
        <v>211</v>
      </c>
    </row>
    <row r="2014" spans="2:65" s="1" customFormat="1" ht="16.5" customHeight="1">
      <c r="B2014" s="12"/>
      <c r="C2014" s="114" t="s">
        <v>2995</v>
      </c>
      <c r="D2014" s="114" t="s">
        <v>438</v>
      </c>
      <c r="E2014" s="115" t="s">
        <v>2996</v>
      </c>
      <c r="F2014" s="116" t="s">
        <v>2997</v>
      </c>
      <c r="G2014" s="117" t="s">
        <v>279</v>
      </c>
      <c r="H2014" s="118">
        <v>18.36</v>
      </c>
      <c r="I2014" s="122">
        <v>3500</v>
      </c>
      <c r="J2014" s="123">
        <f>ROUND(I2014*H2014,2)</f>
        <v>64260</v>
      </c>
      <c r="K2014" s="124"/>
      <c r="L2014" s="125"/>
      <c r="M2014" s="126" t="s">
        <v>1</v>
      </c>
      <c r="N2014" s="127" t="s">
        <v>42</v>
      </c>
      <c r="P2014" s="95">
        <f>O2014*H2014</f>
        <v>0</v>
      </c>
      <c r="Q2014" s="95">
        <v>0</v>
      </c>
      <c r="R2014" s="95">
        <f>Q2014*H2014</f>
        <v>0</v>
      </c>
      <c r="S2014" s="95">
        <v>0</v>
      </c>
      <c r="T2014" s="99">
        <f>S2014*H2014</f>
        <v>0</v>
      </c>
      <c r="AR2014" s="101" t="s">
        <v>527</v>
      </c>
      <c r="AT2014" s="101" t="s">
        <v>438</v>
      </c>
      <c r="AU2014" s="101" t="s">
        <v>87</v>
      </c>
      <c r="AY2014" s="23" t="s">
        <v>211</v>
      </c>
      <c r="BE2014" s="104">
        <f>IF(N2014="základní",J2014,0)</f>
        <v>64260</v>
      </c>
      <c r="BF2014" s="104">
        <f>IF(N2014="snížená",J2014,0)</f>
        <v>0</v>
      </c>
      <c r="BG2014" s="104">
        <f>IF(N2014="zákl. přenesená",J2014,0)</f>
        <v>0</v>
      </c>
      <c r="BH2014" s="104">
        <f>IF(N2014="sníž. přenesená",J2014,0)</f>
        <v>0</v>
      </c>
      <c r="BI2014" s="104">
        <f>IF(N2014="nulová",J2014,0)</f>
        <v>0</v>
      </c>
      <c r="BJ2014" s="23" t="s">
        <v>85</v>
      </c>
      <c r="BK2014" s="104">
        <f>ROUND(I2014*H2014,2)</f>
        <v>64260</v>
      </c>
      <c r="BL2014" s="23" t="s">
        <v>446</v>
      </c>
      <c r="BM2014" s="101" t="s">
        <v>2998</v>
      </c>
    </row>
    <row r="2015" spans="2:65" s="113" customFormat="1" ht="20.399999999999999">
      <c r="B2015" s="119"/>
      <c r="D2015" s="105" t="s">
        <v>365</v>
      </c>
      <c r="E2015" s="135" t="s">
        <v>1</v>
      </c>
      <c r="F2015" s="120" t="s">
        <v>2972</v>
      </c>
      <c r="H2015" s="121">
        <v>18</v>
      </c>
      <c r="I2015" s="128"/>
      <c r="L2015" s="119"/>
      <c r="M2015" s="129"/>
      <c r="T2015" s="133"/>
      <c r="AT2015" s="135" t="s">
        <v>365</v>
      </c>
      <c r="AU2015" s="135" t="s">
        <v>87</v>
      </c>
      <c r="AV2015" s="113" t="s">
        <v>87</v>
      </c>
      <c r="AW2015" s="113" t="s">
        <v>33</v>
      </c>
      <c r="AX2015" s="113" t="s">
        <v>85</v>
      </c>
      <c r="AY2015" s="135" t="s">
        <v>211</v>
      </c>
    </row>
    <row r="2016" spans="2:65" s="113" customFormat="1">
      <c r="B2016" s="119"/>
      <c r="D2016" s="105" t="s">
        <v>365</v>
      </c>
      <c r="F2016" s="120" t="s">
        <v>2999</v>
      </c>
      <c r="H2016" s="121">
        <v>18.36</v>
      </c>
      <c r="I2016" s="128"/>
      <c r="L2016" s="119"/>
      <c r="M2016" s="129"/>
      <c r="T2016" s="133"/>
      <c r="AT2016" s="135" t="s">
        <v>365</v>
      </c>
      <c r="AU2016" s="135" t="s">
        <v>87</v>
      </c>
      <c r="AV2016" s="113" t="s">
        <v>87</v>
      </c>
      <c r="AW2016" s="113" t="s">
        <v>4</v>
      </c>
      <c r="AX2016" s="113" t="s">
        <v>85</v>
      </c>
      <c r="AY2016" s="135" t="s">
        <v>211</v>
      </c>
    </row>
    <row r="2017" spans="2:65" s="1" customFormat="1" ht="38.1" customHeight="1">
      <c r="B2017" s="12"/>
      <c r="C2017" s="71" t="s">
        <v>3000</v>
      </c>
      <c r="D2017" s="71" t="s">
        <v>214</v>
      </c>
      <c r="E2017" s="72" t="s">
        <v>3001</v>
      </c>
      <c r="F2017" s="73" t="s">
        <v>3002</v>
      </c>
      <c r="G2017" s="74" t="s">
        <v>279</v>
      </c>
      <c r="H2017" s="75">
        <v>535.93600000000004</v>
      </c>
      <c r="I2017" s="90">
        <v>220</v>
      </c>
      <c r="J2017" s="91">
        <f>ROUND(I2017*H2017,2)</f>
        <v>117905.92</v>
      </c>
      <c r="K2017" s="92"/>
      <c r="L2017" s="12"/>
      <c r="M2017" s="93" t="s">
        <v>1</v>
      </c>
      <c r="N2017" s="94" t="s">
        <v>42</v>
      </c>
      <c r="P2017" s="95">
        <f>O2017*H2017</f>
        <v>0</v>
      </c>
      <c r="Q2017" s="95">
        <v>6.0600000000000003E-3</v>
      </c>
      <c r="R2017" s="95">
        <f>Q2017*H2017</f>
        <v>3.2477721599999998</v>
      </c>
      <c r="S2017" s="95">
        <v>0</v>
      </c>
      <c r="T2017" s="99">
        <f>S2017*H2017</f>
        <v>0</v>
      </c>
      <c r="AR2017" s="101" t="s">
        <v>446</v>
      </c>
      <c r="AT2017" s="101" t="s">
        <v>214</v>
      </c>
      <c r="AU2017" s="101" t="s">
        <v>87</v>
      </c>
      <c r="AY2017" s="23" t="s">
        <v>211</v>
      </c>
      <c r="BE2017" s="104">
        <f>IF(N2017="základní",J2017,0)</f>
        <v>117905.92</v>
      </c>
      <c r="BF2017" s="104">
        <f>IF(N2017="snížená",J2017,0)</f>
        <v>0</v>
      </c>
      <c r="BG2017" s="104">
        <f>IF(N2017="zákl. přenesená",J2017,0)</f>
        <v>0</v>
      </c>
      <c r="BH2017" s="104">
        <f>IF(N2017="sníž. přenesená",J2017,0)</f>
        <v>0</v>
      </c>
      <c r="BI2017" s="104">
        <f>IF(N2017="nulová",J2017,0)</f>
        <v>0</v>
      </c>
      <c r="BJ2017" s="23" t="s">
        <v>85</v>
      </c>
      <c r="BK2017" s="104">
        <f>ROUND(I2017*H2017,2)</f>
        <v>117905.92</v>
      </c>
      <c r="BL2017" s="23" t="s">
        <v>446</v>
      </c>
      <c r="BM2017" s="101" t="s">
        <v>3003</v>
      </c>
    </row>
    <row r="2018" spans="2:65" s="1" customFormat="1" ht="24.15" customHeight="1">
      <c r="B2018" s="12"/>
      <c r="C2018" s="114" t="s">
        <v>3004</v>
      </c>
      <c r="D2018" s="114" t="s">
        <v>438</v>
      </c>
      <c r="E2018" s="115" t="s">
        <v>3005</v>
      </c>
      <c r="F2018" s="116" t="s">
        <v>3006</v>
      </c>
      <c r="G2018" s="117" t="s">
        <v>279</v>
      </c>
      <c r="H2018" s="118">
        <v>86.215999999999994</v>
      </c>
      <c r="I2018" s="122">
        <v>240</v>
      </c>
      <c r="J2018" s="123">
        <f>ROUND(I2018*H2018,2)</f>
        <v>20691.84</v>
      </c>
      <c r="K2018" s="124"/>
      <c r="L2018" s="125"/>
      <c r="M2018" s="126" t="s">
        <v>1</v>
      </c>
      <c r="N2018" s="127" t="s">
        <v>42</v>
      </c>
      <c r="P2018" s="95">
        <f>O2018*H2018</f>
        <v>0</v>
      </c>
      <c r="Q2018" s="95">
        <v>1.8E-3</v>
      </c>
      <c r="R2018" s="95">
        <f>Q2018*H2018</f>
        <v>0.15518879999999999</v>
      </c>
      <c r="S2018" s="95">
        <v>0</v>
      </c>
      <c r="T2018" s="99">
        <f>S2018*H2018</f>
        <v>0</v>
      </c>
      <c r="AR2018" s="101" t="s">
        <v>527</v>
      </c>
      <c r="AT2018" s="101" t="s">
        <v>438</v>
      </c>
      <c r="AU2018" s="101" t="s">
        <v>87</v>
      </c>
      <c r="AY2018" s="23" t="s">
        <v>211</v>
      </c>
      <c r="BE2018" s="104">
        <f>IF(N2018="základní",J2018,0)</f>
        <v>20691.84</v>
      </c>
      <c r="BF2018" s="104">
        <f>IF(N2018="snížená",J2018,0)</f>
        <v>0</v>
      </c>
      <c r="BG2018" s="104">
        <f>IF(N2018="zákl. přenesená",J2018,0)</f>
        <v>0</v>
      </c>
      <c r="BH2018" s="104">
        <f>IF(N2018="sníž. přenesená",J2018,0)</f>
        <v>0</v>
      </c>
      <c r="BI2018" s="104">
        <f>IF(N2018="nulová",J2018,0)</f>
        <v>0</v>
      </c>
      <c r="BJ2018" s="23" t="s">
        <v>85</v>
      </c>
      <c r="BK2018" s="104">
        <f>ROUND(I2018*H2018,2)</f>
        <v>20691.84</v>
      </c>
      <c r="BL2018" s="23" t="s">
        <v>446</v>
      </c>
      <c r="BM2018" s="101" t="s">
        <v>3007</v>
      </c>
    </row>
    <row r="2019" spans="2:65" s="113" customFormat="1">
      <c r="B2019" s="119"/>
      <c r="D2019" s="105" t="s">
        <v>365</v>
      </c>
      <c r="E2019" s="135" t="s">
        <v>1</v>
      </c>
      <c r="F2019" s="120" t="s">
        <v>314</v>
      </c>
      <c r="H2019" s="121">
        <v>84.525000000000006</v>
      </c>
      <c r="I2019" s="128"/>
      <c r="L2019" s="119"/>
      <c r="M2019" s="129"/>
      <c r="T2019" s="133"/>
      <c r="AT2019" s="135" t="s">
        <v>365</v>
      </c>
      <c r="AU2019" s="135" t="s">
        <v>87</v>
      </c>
      <c r="AV2019" s="113" t="s">
        <v>87</v>
      </c>
      <c r="AW2019" s="113" t="s">
        <v>33</v>
      </c>
      <c r="AX2019" s="113" t="s">
        <v>85</v>
      </c>
      <c r="AY2019" s="135" t="s">
        <v>211</v>
      </c>
    </row>
    <row r="2020" spans="2:65" s="113" customFormat="1">
      <c r="B2020" s="119"/>
      <c r="D2020" s="105" t="s">
        <v>365</v>
      </c>
      <c r="F2020" s="120" t="s">
        <v>3008</v>
      </c>
      <c r="H2020" s="121">
        <v>86.215999999999994</v>
      </c>
      <c r="I2020" s="128"/>
      <c r="L2020" s="119"/>
      <c r="M2020" s="129"/>
      <c r="T2020" s="133"/>
      <c r="AT2020" s="135" t="s">
        <v>365</v>
      </c>
      <c r="AU2020" s="135" t="s">
        <v>87</v>
      </c>
      <c r="AV2020" s="113" t="s">
        <v>87</v>
      </c>
      <c r="AW2020" s="113" t="s">
        <v>4</v>
      </c>
      <c r="AX2020" s="113" t="s">
        <v>85</v>
      </c>
      <c r="AY2020" s="135" t="s">
        <v>211</v>
      </c>
    </row>
    <row r="2021" spans="2:65" s="1" customFormat="1" ht="16.5" customHeight="1">
      <c r="B2021" s="12"/>
      <c r="C2021" s="114" t="s">
        <v>3009</v>
      </c>
      <c r="D2021" s="114" t="s">
        <v>438</v>
      </c>
      <c r="E2021" s="115" t="s">
        <v>3010</v>
      </c>
      <c r="F2021" s="116" t="s">
        <v>3011</v>
      </c>
      <c r="G2021" s="117" t="s">
        <v>279</v>
      </c>
      <c r="H2021" s="118">
        <v>205.79499999999999</v>
      </c>
      <c r="I2021" s="122">
        <v>150</v>
      </c>
      <c r="J2021" s="123">
        <f>ROUND(I2021*H2021,2)</f>
        <v>30869.25</v>
      </c>
      <c r="K2021" s="124"/>
      <c r="L2021" s="125"/>
      <c r="M2021" s="126" t="s">
        <v>1</v>
      </c>
      <c r="N2021" s="127" t="s">
        <v>42</v>
      </c>
      <c r="P2021" s="95">
        <f>O2021*H2021</f>
        <v>0</v>
      </c>
      <c r="Q2021" s="95">
        <v>1.3600000000000001E-3</v>
      </c>
      <c r="R2021" s="95">
        <f>Q2021*H2021</f>
        <v>0.2798812</v>
      </c>
      <c r="S2021" s="95">
        <v>0</v>
      </c>
      <c r="T2021" s="99">
        <f>S2021*H2021</f>
        <v>0</v>
      </c>
      <c r="AR2021" s="101" t="s">
        <v>527</v>
      </c>
      <c r="AT2021" s="101" t="s">
        <v>438</v>
      </c>
      <c r="AU2021" s="101" t="s">
        <v>87</v>
      </c>
      <c r="AY2021" s="23" t="s">
        <v>211</v>
      </c>
      <c r="BE2021" s="104">
        <f>IF(N2021="základní",J2021,0)</f>
        <v>30869.25</v>
      </c>
      <c r="BF2021" s="104">
        <f>IF(N2021="snížená",J2021,0)</f>
        <v>0</v>
      </c>
      <c r="BG2021" s="104">
        <f>IF(N2021="zákl. přenesená",J2021,0)</f>
        <v>0</v>
      </c>
      <c r="BH2021" s="104">
        <f>IF(N2021="sníž. přenesená",J2021,0)</f>
        <v>0</v>
      </c>
      <c r="BI2021" s="104">
        <f>IF(N2021="nulová",J2021,0)</f>
        <v>0</v>
      </c>
      <c r="BJ2021" s="23" t="s">
        <v>85</v>
      </c>
      <c r="BK2021" s="104">
        <f>ROUND(I2021*H2021,2)</f>
        <v>30869.25</v>
      </c>
      <c r="BL2021" s="23" t="s">
        <v>446</v>
      </c>
      <c r="BM2021" s="101" t="s">
        <v>3012</v>
      </c>
    </row>
    <row r="2022" spans="2:65" s="136" customFormat="1">
      <c r="B2022" s="138"/>
      <c r="D2022" s="105" t="s">
        <v>365</v>
      </c>
      <c r="E2022" s="139" t="s">
        <v>1</v>
      </c>
      <c r="F2022" s="140" t="s">
        <v>3013</v>
      </c>
      <c r="H2022" s="139" t="s">
        <v>1</v>
      </c>
      <c r="I2022" s="146"/>
      <c r="L2022" s="138"/>
      <c r="M2022" s="147"/>
      <c r="T2022" s="150"/>
      <c r="AT2022" s="139" t="s">
        <v>365</v>
      </c>
      <c r="AU2022" s="139" t="s">
        <v>87</v>
      </c>
      <c r="AV2022" s="136" t="s">
        <v>85</v>
      </c>
      <c r="AW2022" s="136" t="s">
        <v>33</v>
      </c>
      <c r="AX2022" s="136" t="s">
        <v>77</v>
      </c>
      <c r="AY2022" s="139" t="s">
        <v>211</v>
      </c>
    </row>
    <row r="2023" spans="2:65" s="113" customFormat="1">
      <c r="B2023" s="119"/>
      <c r="D2023" s="105" t="s">
        <v>365</v>
      </c>
      <c r="E2023" s="135" t="s">
        <v>1</v>
      </c>
      <c r="F2023" s="120" t="s">
        <v>3014</v>
      </c>
      <c r="H2023" s="121">
        <v>16</v>
      </c>
      <c r="I2023" s="128"/>
      <c r="L2023" s="119"/>
      <c r="M2023" s="129"/>
      <c r="T2023" s="133"/>
      <c r="AT2023" s="135" t="s">
        <v>365</v>
      </c>
      <c r="AU2023" s="135" t="s">
        <v>87</v>
      </c>
      <c r="AV2023" s="113" t="s">
        <v>87</v>
      </c>
      <c r="AW2023" s="113" t="s">
        <v>33</v>
      </c>
      <c r="AX2023" s="113" t="s">
        <v>77</v>
      </c>
      <c r="AY2023" s="135" t="s">
        <v>211</v>
      </c>
    </row>
    <row r="2024" spans="2:65" s="113" customFormat="1">
      <c r="B2024" s="119"/>
      <c r="D2024" s="105" t="s">
        <v>365</v>
      </c>
      <c r="E2024" s="135" t="s">
        <v>1</v>
      </c>
      <c r="F2024" s="120" t="s">
        <v>3015</v>
      </c>
      <c r="H2024" s="121">
        <v>12</v>
      </c>
      <c r="I2024" s="128"/>
      <c r="L2024" s="119"/>
      <c r="M2024" s="129"/>
      <c r="T2024" s="133"/>
      <c r="AT2024" s="135" t="s">
        <v>365</v>
      </c>
      <c r="AU2024" s="135" t="s">
        <v>87</v>
      </c>
      <c r="AV2024" s="113" t="s">
        <v>87</v>
      </c>
      <c r="AW2024" s="113" t="s">
        <v>33</v>
      </c>
      <c r="AX2024" s="113" t="s">
        <v>77</v>
      </c>
      <c r="AY2024" s="135" t="s">
        <v>211</v>
      </c>
    </row>
    <row r="2025" spans="2:65" s="113" customFormat="1">
      <c r="B2025" s="119"/>
      <c r="D2025" s="105" t="s">
        <v>365</v>
      </c>
      <c r="E2025" s="135" t="s">
        <v>1</v>
      </c>
      <c r="F2025" s="120" t="s">
        <v>3016</v>
      </c>
      <c r="H2025" s="121">
        <v>14</v>
      </c>
      <c r="I2025" s="128"/>
      <c r="L2025" s="119"/>
      <c r="M2025" s="129"/>
      <c r="T2025" s="133"/>
      <c r="AT2025" s="135" t="s">
        <v>365</v>
      </c>
      <c r="AU2025" s="135" t="s">
        <v>87</v>
      </c>
      <c r="AV2025" s="113" t="s">
        <v>87</v>
      </c>
      <c r="AW2025" s="113" t="s">
        <v>33</v>
      </c>
      <c r="AX2025" s="113" t="s">
        <v>77</v>
      </c>
      <c r="AY2025" s="135" t="s">
        <v>211</v>
      </c>
    </row>
    <row r="2026" spans="2:65" s="113" customFormat="1">
      <c r="B2026" s="119"/>
      <c r="D2026" s="105" t="s">
        <v>365</v>
      </c>
      <c r="E2026" s="135" t="s">
        <v>1</v>
      </c>
      <c r="F2026" s="120" t="s">
        <v>3017</v>
      </c>
      <c r="H2026" s="121">
        <v>18</v>
      </c>
      <c r="I2026" s="128"/>
      <c r="L2026" s="119"/>
      <c r="M2026" s="129"/>
      <c r="T2026" s="133"/>
      <c r="AT2026" s="135" t="s">
        <v>365</v>
      </c>
      <c r="AU2026" s="135" t="s">
        <v>87</v>
      </c>
      <c r="AV2026" s="113" t="s">
        <v>87</v>
      </c>
      <c r="AW2026" s="113" t="s">
        <v>33</v>
      </c>
      <c r="AX2026" s="113" t="s">
        <v>77</v>
      </c>
      <c r="AY2026" s="135" t="s">
        <v>211</v>
      </c>
    </row>
    <row r="2027" spans="2:65" s="154" customFormat="1">
      <c r="B2027" s="156"/>
      <c r="D2027" s="105" t="s">
        <v>365</v>
      </c>
      <c r="E2027" s="157" t="s">
        <v>1</v>
      </c>
      <c r="F2027" s="158" t="s">
        <v>741</v>
      </c>
      <c r="H2027" s="159">
        <v>60</v>
      </c>
      <c r="I2027" s="160"/>
      <c r="L2027" s="156"/>
      <c r="M2027" s="161"/>
      <c r="T2027" s="162"/>
      <c r="AT2027" s="157" t="s">
        <v>365</v>
      </c>
      <c r="AU2027" s="157" t="s">
        <v>87</v>
      </c>
      <c r="AV2027" s="154" t="s">
        <v>137</v>
      </c>
      <c r="AW2027" s="154" t="s">
        <v>33</v>
      </c>
      <c r="AX2027" s="154" t="s">
        <v>77</v>
      </c>
      <c r="AY2027" s="157" t="s">
        <v>211</v>
      </c>
    </row>
    <row r="2028" spans="2:65" s="113" customFormat="1">
      <c r="B2028" s="119"/>
      <c r="D2028" s="105" t="s">
        <v>365</v>
      </c>
      <c r="E2028" s="135" t="s">
        <v>1</v>
      </c>
      <c r="F2028" s="120" t="s">
        <v>3018</v>
      </c>
      <c r="H2028" s="121">
        <v>34.9</v>
      </c>
      <c r="I2028" s="128"/>
      <c r="L2028" s="119"/>
      <c r="M2028" s="129"/>
      <c r="T2028" s="133"/>
      <c r="AT2028" s="135" t="s">
        <v>365</v>
      </c>
      <c r="AU2028" s="135" t="s">
        <v>87</v>
      </c>
      <c r="AV2028" s="113" t="s">
        <v>87</v>
      </c>
      <c r="AW2028" s="113" t="s">
        <v>33</v>
      </c>
      <c r="AX2028" s="113" t="s">
        <v>77</v>
      </c>
      <c r="AY2028" s="135" t="s">
        <v>211</v>
      </c>
    </row>
    <row r="2029" spans="2:65" s="113" customFormat="1">
      <c r="B2029" s="119"/>
      <c r="D2029" s="105" t="s">
        <v>365</v>
      </c>
      <c r="E2029" s="135" t="s">
        <v>1</v>
      </c>
      <c r="F2029" s="120" t="s">
        <v>3019</v>
      </c>
      <c r="H2029" s="121">
        <v>35.99</v>
      </c>
      <c r="I2029" s="128"/>
      <c r="L2029" s="119"/>
      <c r="M2029" s="129"/>
      <c r="T2029" s="133"/>
      <c r="AT2029" s="135" t="s">
        <v>365</v>
      </c>
      <c r="AU2029" s="135" t="s">
        <v>87</v>
      </c>
      <c r="AV2029" s="113" t="s">
        <v>87</v>
      </c>
      <c r="AW2029" s="113" t="s">
        <v>33</v>
      </c>
      <c r="AX2029" s="113" t="s">
        <v>77</v>
      </c>
      <c r="AY2029" s="135" t="s">
        <v>211</v>
      </c>
    </row>
    <row r="2030" spans="2:65" s="113" customFormat="1">
      <c r="B2030" s="119"/>
      <c r="D2030" s="105" t="s">
        <v>365</v>
      </c>
      <c r="E2030" s="135" t="s">
        <v>1</v>
      </c>
      <c r="F2030" s="120" t="s">
        <v>3020</v>
      </c>
      <c r="H2030" s="121">
        <v>34.520000000000003</v>
      </c>
      <c r="I2030" s="128"/>
      <c r="L2030" s="119"/>
      <c r="M2030" s="129"/>
      <c r="T2030" s="133"/>
      <c r="AT2030" s="135" t="s">
        <v>365</v>
      </c>
      <c r="AU2030" s="135" t="s">
        <v>87</v>
      </c>
      <c r="AV2030" s="113" t="s">
        <v>87</v>
      </c>
      <c r="AW2030" s="113" t="s">
        <v>33</v>
      </c>
      <c r="AX2030" s="113" t="s">
        <v>77</v>
      </c>
      <c r="AY2030" s="135" t="s">
        <v>211</v>
      </c>
    </row>
    <row r="2031" spans="2:65" s="113" customFormat="1">
      <c r="B2031" s="119"/>
      <c r="D2031" s="105" t="s">
        <v>365</v>
      </c>
      <c r="E2031" s="135" t="s">
        <v>1</v>
      </c>
      <c r="F2031" s="120" t="s">
        <v>3021</v>
      </c>
      <c r="H2031" s="121">
        <v>36.35</v>
      </c>
      <c r="I2031" s="128"/>
      <c r="L2031" s="119"/>
      <c r="M2031" s="129"/>
      <c r="T2031" s="133"/>
      <c r="AT2031" s="135" t="s">
        <v>365</v>
      </c>
      <c r="AU2031" s="135" t="s">
        <v>87</v>
      </c>
      <c r="AV2031" s="113" t="s">
        <v>87</v>
      </c>
      <c r="AW2031" s="113" t="s">
        <v>33</v>
      </c>
      <c r="AX2031" s="113" t="s">
        <v>77</v>
      </c>
      <c r="AY2031" s="135" t="s">
        <v>211</v>
      </c>
    </row>
    <row r="2032" spans="2:65" s="154" customFormat="1">
      <c r="B2032" s="156"/>
      <c r="D2032" s="105" t="s">
        <v>365</v>
      </c>
      <c r="E2032" s="157" t="s">
        <v>1</v>
      </c>
      <c r="F2032" s="158" t="s">
        <v>741</v>
      </c>
      <c r="H2032" s="159">
        <v>141.76</v>
      </c>
      <c r="I2032" s="160"/>
      <c r="L2032" s="156"/>
      <c r="M2032" s="161"/>
      <c r="T2032" s="162"/>
      <c r="AT2032" s="157" t="s">
        <v>365</v>
      </c>
      <c r="AU2032" s="157" t="s">
        <v>87</v>
      </c>
      <c r="AV2032" s="154" t="s">
        <v>137</v>
      </c>
      <c r="AW2032" s="154" t="s">
        <v>33</v>
      </c>
      <c r="AX2032" s="154" t="s">
        <v>77</v>
      </c>
      <c r="AY2032" s="157" t="s">
        <v>211</v>
      </c>
    </row>
    <row r="2033" spans="2:65" s="137" customFormat="1">
      <c r="B2033" s="141"/>
      <c r="D2033" s="105" t="s">
        <v>365</v>
      </c>
      <c r="E2033" s="142" t="s">
        <v>1</v>
      </c>
      <c r="F2033" s="143" t="s">
        <v>368</v>
      </c>
      <c r="H2033" s="144">
        <v>201.76</v>
      </c>
      <c r="I2033" s="148"/>
      <c r="L2033" s="141"/>
      <c r="M2033" s="149"/>
      <c r="T2033" s="151"/>
      <c r="AT2033" s="142" t="s">
        <v>365</v>
      </c>
      <c r="AU2033" s="142" t="s">
        <v>87</v>
      </c>
      <c r="AV2033" s="137" t="s">
        <v>218</v>
      </c>
      <c r="AW2033" s="137" t="s">
        <v>33</v>
      </c>
      <c r="AX2033" s="137" t="s">
        <v>85</v>
      </c>
      <c r="AY2033" s="142" t="s">
        <v>211</v>
      </c>
    </row>
    <row r="2034" spans="2:65" s="113" customFormat="1">
      <c r="B2034" s="119"/>
      <c r="D2034" s="105" t="s">
        <v>365</v>
      </c>
      <c r="F2034" s="120" t="s">
        <v>3022</v>
      </c>
      <c r="H2034" s="121">
        <v>205.79499999999999</v>
      </c>
      <c r="I2034" s="128"/>
      <c r="L2034" s="119"/>
      <c r="M2034" s="129"/>
      <c r="T2034" s="133"/>
      <c r="AT2034" s="135" t="s">
        <v>365</v>
      </c>
      <c r="AU2034" s="135" t="s">
        <v>87</v>
      </c>
      <c r="AV2034" s="113" t="s">
        <v>87</v>
      </c>
      <c r="AW2034" s="113" t="s">
        <v>4</v>
      </c>
      <c r="AX2034" s="113" t="s">
        <v>85</v>
      </c>
      <c r="AY2034" s="135" t="s">
        <v>211</v>
      </c>
    </row>
    <row r="2035" spans="2:65" s="1" customFormat="1" ht="16.5" customHeight="1">
      <c r="B2035" s="12"/>
      <c r="C2035" s="114" t="s">
        <v>3023</v>
      </c>
      <c r="D2035" s="114" t="s">
        <v>438</v>
      </c>
      <c r="E2035" s="115" t="s">
        <v>3024</v>
      </c>
      <c r="F2035" s="116" t="s">
        <v>3025</v>
      </c>
      <c r="G2035" s="117" t="s">
        <v>279</v>
      </c>
      <c r="H2035" s="118">
        <v>86.7</v>
      </c>
      <c r="I2035" s="122">
        <v>290</v>
      </c>
      <c r="J2035" s="123">
        <f>ROUND(I2035*H2035,2)</f>
        <v>25143</v>
      </c>
      <c r="K2035" s="124"/>
      <c r="L2035" s="125"/>
      <c r="M2035" s="126" t="s">
        <v>1</v>
      </c>
      <c r="N2035" s="127" t="s">
        <v>42</v>
      </c>
      <c r="P2035" s="95">
        <f>O2035*H2035</f>
        <v>0</v>
      </c>
      <c r="Q2035" s="95">
        <v>2.7200000000000002E-3</v>
      </c>
      <c r="R2035" s="95">
        <f>Q2035*H2035</f>
        <v>0.23582400000000001</v>
      </c>
      <c r="S2035" s="95">
        <v>0</v>
      </c>
      <c r="T2035" s="99">
        <f>S2035*H2035</f>
        <v>0</v>
      </c>
      <c r="AR2035" s="101" t="s">
        <v>527</v>
      </c>
      <c r="AT2035" s="101" t="s">
        <v>438</v>
      </c>
      <c r="AU2035" s="101" t="s">
        <v>87</v>
      </c>
      <c r="AY2035" s="23" t="s">
        <v>211</v>
      </c>
      <c r="BE2035" s="104">
        <f>IF(N2035="základní",J2035,0)</f>
        <v>25143</v>
      </c>
      <c r="BF2035" s="104">
        <f>IF(N2035="snížená",J2035,0)</f>
        <v>0</v>
      </c>
      <c r="BG2035" s="104">
        <f>IF(N2035="zákl. přenesená",J2035,0)</f>
        <v>0</v>
      </c>
      <c r="BH2035" s="104">
        <f>IF(N2035="sníž. přenesená",J2035,0)</f>
        <v>0</v>
      </c>
      <c r="BI2035" s="104">
        <f>IF(N2035="nulová",J2035,0)</f>
        <v>0</v>
      </c>
      <c r="BJ2035" s="23" t="s">
        <v>85</v>
      </c>
      <c r="BK2035" s="104">
        <f>ROUND(I2035*H2035,2)</f>
        <v>25143</v>
      </c>
      <c r="BL2035" s="23" t="s">
        <v>446</v>
      </c>
      <c r="BM2035" s="101" t="s">
        <v>3026</v>
      </c>
    </row>
    <row r="2036" spans="2:65" s="113" customFormat="1">
      <c r="B2036" s="119"/>
      <c r="D2036" s="105" t="s">
        <v>365</v>
      </c>
      <c r="E2036" s="135" t="s">
        <v>1</v>
      </c>
      <c r="F2036" s="120" t="s">
        <v>3027</v>
      </c>
      <c r="H2036" s="121">
        <v>37</v>
      </c>
      <c r="I2036" s="128"/>
      <c r="L2036" s="119"/>
      <c r="M2036" s="129"/>
      <c r="T2036" s="133"/>
      <c r="AT2036" s="135" t="s">
        <v>365</v>
      </c>
      <c r="AU2036" s="135" t="s">
        <v>87</v>
      </c>
      <c r="AV2036" s="113" t="s">
        <v>87</v>
      </c>
      <c r="AW2036" s="113" t="s">
        <v>33</v>
      </c>
      <c r="AX2036" s="113" t="s">
        <v>77</v>
      </c>
      <c r="AY2036" s="135" t="s">
        <v>211</v>
      </c>
    </row>
    <row r="2037" spans="2:65" s="136" customFormat="1">
      <c r="B2037" s="138"/>
      <c r="D2037" s="105" t="s">
        <v>365</v>
      </c>
      <c r="E2037" s="139" t="s">
        <v>1</v>
      </c>
      <c r="F2037" s="140" t="s">
        <v>718</v>
      </c>
      <c r="H2037" s="139" t="s">
        <v>1</v>
      </c>
      <c r="I2037" s="146"/>
      <c r="L2037" s="138"/>
      <c r="M2037" s="147"/>
      <c r="T2037" s="150"/>
      <c r="AT2037" s="139" t="s">
        <v>365</v>
      </c>
      <c r="AU2037" s="139" t="s">
        <v>87</v>
      </c>
      <c r="AV2037" s="136" t="s">
        <v>85</v>
      </c>
      <c r="AW2037" s="136" t="s">
        <v>33</v>
      </c>
      <c r="AX2037" s="136" t="s">
        <v>77</v>
      </c>
      <c r="AY2037" s="139" t="s">
        <v>211</v>
      </c>
    </row>
    <row r="2038" spans="2:65" s="113" customFormat="1">
      <c r="B2038" s="119"/>
      <c r="D2038" s="105" t="s">
        <v>365</v>
      </c>
      <c r="E2038" s="135" t="s">
        <v>1</v>
      </c>
      <c r="F2038" s="120" t="s">
        <v>3028</v>
      </c>
      <c r="H2038" s="121">
        <v>22</v>
      </c>
      <c r="I2038" s="128"/>
      <c r="L2038" s="119"/>
      <c r="M2038" s="129"/>
      <c r="T2038" s="133"/>
      <c r="AT2038" s="135" t="s">
        <v>365</v>
      </c>
      <c r="AU2038" s="135" t="s">
        <v>87</v>
      </c>
      <c r="AV2038" s="113" t="s">
        <v>87</v>
      </c>
      <c r="AW2038" s="113" t="s">
        <v>33</v>
      </c>
      <c r="AX2038" s="113" t="s">
        <v>77</v>
      </c>
      <c r="AY2038" s="135" t="s">
        <v>211</v>
      </c>
    </row>
    <row r="2039" spans="2:65" s="113" customFormat="1">
      <c r="B2039" s="119"/>
      <c r="D2039" s="105" t="s">
        <v>365</v>
      </c>
      <c r="E2039" s="135" t="s">
        <v>1</v>
      </c>
      <c r="F2039" s="120" t="s">
        <v>3029</v>
      </c>
      <c r="H2039" s="121">
        <v>26</v>
      </c>
      <c r="I2039" s="128"/>
      <c r="L2039" s="119"/>
      <c r="M2039" s="129"/>
      <c r="T2039" s="133"/>
      <c r="AT2039" s="135" t="s">
        <v>365</v>
      </c>
      <c r="AU2039" s="135" t="s">
        <v>87</v>
      </c>
      <c r="AV2039" s="113" t="s">
        <v>87</v>
      </c>
      <c r="AW2039" s="113" t="s">
        <v>33</v>
      </c>
      <c r="AX2039" s="113" t="s">
        <v>77</v>
      </c>
      <c r="AY2039" s="135" t="s">
        <v>211</v>
      </c>
    </row>
    <row r="2040" spans="2:65" s="137" customFormat="1">
      <c r="B2040" s="141"/>
      <c r="D2040" s="105" t="s">
        <v>365</v>
      </c>
      <c r="E2040" s="142" t="s">
        <v>1</v>
      </c>
      <c r="F2040" s="143" t="s">
        <v>368</v>
      </c>
      <c r="H2040" s="144">
        <v>85</v>
      </c>
      <c r="I2040" s="148"/>
      <c r="L2040" s="141"/>
      <c r="M2040" s="149"/>
      <c r="T2040" s="151"/>
      <c r="AT2040" s="142" t="s">
        <v>365</v>
      </c>
      <c r="AU2040" s="142" t="s">
        <v>87</v>
      </c>
      <c r="AV2040" s="137" t="s">
        <v>218</v>
      </c>
      <c r="AW2040" s="137" t="s">
        <v>33</v>
      </c>
      <c r="AX2040" s="137" t="s">
        <v>85</v>
      </c>
      <c r="AY2040" s="142" t="s">
        <v>211</v>
      </c>
    </row>
    <row r="2041" spans="2:65" s="113" customFormat="1">
      <c r="B2041" s="119"/>
      <c r="D2041" s="105" t="s">
        <v>365</v>
      </c>
      <c r="F2041" s="120" t="s">
        <v>3030</v>
      </c>
      <c r="H2041" s="121">
        <v>86.7</v>
      </c>
      <c r="I2041" s="128"/>
      <c r="L2041" s="119"/>
      <c r="M2041" s="129"/>
      <c r="T2041" s="133"/>
      <c r="AT2041" s="135" t="s">
        <v>365</v>
      </c>
      <c r="AU2041" s="135" t="s">
        <v>87</v>
      </c>
      <c r="AV2041" s="113" t="s">
        <v>87</v>
      </c>
      <c r="AW2041" s="113" t="s">
        <v>4</v>
      </c>
      <c r="AX2041" s="113" t="s">
        <v>85</v>
      </c>
      <c r="AY2041" s="135" t="s">
        <v>211</v>
      </c>
    </row>
    <row r="2042" spans="2:65" s="1" customFormat="1" ht="16.5" customHeight="1">
      <c r="B2042" s="12"/>
      <c r="C2042" s="114" t="s">
        <v>3031</v>
      </c>
      <c r="D2042" s="114" t="s">
        <v>438</v>
      </c>
      <c r="E2042" s="115" t="s">
        <v>3032</v>
      </c>
      <c r="F2042" s="116" t="s">
        <v>3033</v>
      </c>
      <c r="G2042" s="117" t="s">
        <v>279</v>
      </c>
      <c r="H2042" s="118">
        <v>118.361</v>
      </c>
      <c r="I2042" s="122">
        <v>360</v>
      </c>
      <c r="J2042" s="123">
        <f>ROUND(I2042*H2042,2)</f>
        <v>42609.96</v>
      </c>
      <c r="K2042" s="124"/>
      <c r="L2042" s="125"/>
      <c r="M2042" s="126" t="s">
        <v>1</v>
      </c>
      <c r="N2042" s="127" t="s">
        <v>42</v>
      </c>
      <c r="P2042" s="95">
        <f>O2042*H2042</f>
        <v>0</v>
      </c>
      <c r="Q2042" s="95">
        <v>3.3999999999999998E-3</v>
      </c>
      <c r="R2042" s="95">
        <f>Q2042*H2042</f>
        <v>0.40242739999999999</v>
      </c>
      <c r="S2042" s="95">
        <v>0</v>
      </c>
      <c r="T2042" s="99">
        <f>S2042*H2042</f>
        <v>0</v>
      </c>
      <c r="AR2042" s="101" t="s">
        <v>527</v>
      </c>
      <c r="AT2042" s="101" t="s">
        <v>438</v>
      </c>
      <c r="AU2042" s="101" t="s">
        <v>87</v>
      </c>
      <c r="AY2042" s="23" t="s">
        <v>211</v>
      </c>
      <c r="BE2042" s="104">
        <f>IF(N2042="základní",J2042,0)</f>
        <v>42609.96</v>
      </c>
      <c r="BF2042" s="104">
        <f>IF(N2042="snížená",J2042,0)</f>
        <v>0</v>
      </c>
      <c r="BG2042" s="104">
        <f>IF(N2042="zákl. přenesená",J2042,0)</f>
        <v>0</v>
      </c>
      <c r="BH2042" s="104">
        <f>IF(N2042="sníž. přenesená",J2042,0)</f>
        <v>0</v>
      </c>
      <c r="BI2042" s="104">
        <f>IF(N2042="nulová",J2042,0)</f>
        <v>0</v>
      </c>
      <c r="BJ2042" s="23" t="s">
        <v>85</v>
      </c>
      <c r="BK2042" s="104">
        <f>ROUND(I2042*H2042,2)</f>
        <v>42609.96</v>
      </c>
      <c r="BL2042" s="23" t="s">
        <v>446</v>
      </c>
      <c r="BM2042" s="101" t="s">
        <v>3034</v>
      </c>
    </row>
    <row r="2043" spans="2:65" s="136" customFormat="1">
      <c r="B2043" s="138"/>
      <c r="D2043" s="105" t="s">
        <v>365</v>
      </c>
      <c r="E2043" s="139" t="s">
        <v>1</v>
      </c>
      <c r="F2043" s="140" t="s">
        <v>3035</v>
      </c>
      <c r="H2043" s="139" t="s">
        <v>1</v>
      </c>
      <c r="I2043" s="146"/>
      <c r="L2043" s="138"/>
      <c r="M2043" s="147"/>
      <c r="T2043" s="150"/>
      <c r="AT2043" s="139" t="s">
        <v>365</v>
      </c>
      <c r="AU2043" s="139" t="s">
        <v>87</v>
      </c>
      <c r="AV2043" s="136" t="s">
        <v>85</v>
      </c>
      <c r="AW2043" s="136" t="s">
        <v>33</v>
      </c>
      <c r="AX2043" s="136" t="s">
        <v>77</v>
      </c>
      <c r="AY2043" s="139" t="s">
        <v>211</v>
      </c>
    </row>
    <row r="2044" spans="2:65" s="113" customFormat="1">
      <c r="B2044" s="119"/>
      <c r="D2044" s="105" t="s">
        <v>365</v>
      </c>
      <c r="E2044" s="135" t="s">
        <v>1</v>
      </c>
      <c r="F2044" s="120" t="s">
        <v>3036</v>
      </c>
      <c r="H2044" s="121">
        <v>29.58</v>
      </c>
      <c r="I2044" s="128"/>
      <c r="L2044" s="119"/>
      <c r="M2044" s="129"/>
      <c r="T2044" s="133"/>
      <c r="AT2044" s="135" t="s">
        <v>365</v>
      </c>
      <c r="AU2044" s="135" t="s">
        <v>87</v>
      </c>
      <c r="AV2044" s="113" t="s">
        <v>87</v>
      </c>
      <c r="AW2044" s="113" t="s">
        <v>33</v>
      </c>
      <c r="AX2044" s="113" t="s">
        <v>77</v>
      </c>
      <c r="AY2044" s="135" t="s">
        <v>211</v>
      </c>
    </row>
    <row r="2045" spans="2:65" s="113" customFormat="1">
      <c r="B2045" s="119"/>
      <c r="D2045" s="105" t="s">
        <v>365</v>
      </c>
      <c r="E2045" s="135" t="s">
        <v>1</v>
      </c>
      <c r="F2045" s="120" t="s">
        <v>3037</v>
      </c>
      <c r="H2045" s="121">
        <v>31.25</v>
      </c>
      <c r="I2045" s="128"/>
      <c r="L2045" s="119"/>
      <c r="M2045" s="129"/>
      <c r="T2045" s="133"/>
      <c r="AT2045" s="135" t="s">
        <v>365</v>
      </c>
      <c r="AU2045" s="135" t="s">
        <v>87</v>
      </c>
      <c r="AV2045" s="113" t="s">
        <v>87</v>
      </c>
      <c r="AW2045" s="113" t="s">
        <v>33</v>
      </c>
      <c r="AX2045" s="113" t="s">
        <v>77</v>
      </c>
      <c r="AY2045" s="135" t="s">
        <v>211</v>
      </c>
    </row>
    <row r="2046" spans="2:65" s="113" customFormat="1">
      <c r="B2046" s="119"/>
      <c r="D2046" s="105" t="s">
        <v>365</v>
      </c>
      <c r="E2046" s="135" t="s">
        <v>1</v>
      </c>
      <c r="F2046" s="120" t="s">
        <v>3038</v>
      </c>
      <c r="H2046" s="121">
        <v>29.82</v>
      </c>
      <c r="I2046" s="128"/>
      <c r="L2046" s="119"/>
      <c r="M2046" s="129"/>
      <c r="T2046" s="133"/>
      <c r="AT2046" s="135" t="s">
        <v>365</v>
      </c>
      <c r="AU2046" s="135" t="s">
        <v>87</v>
      </c>
      <c r="AV2046" s="113" t="s">
        <v>87</v>
      </c>
      <c r="AW2046" s="113" t="s">
        <v>33</v>
      </c>
      <c r="AX2046" s="113" t="s">
        <v>77</v>
      </c>
      <c r="AY2046" s="135" t="s">
        <v>211</v>
      </c>
    </row>
    <row r="2047" spans="2:65" s="113" customFormat="1">
      <c r="B2047" s="119"/>
      <c r="D2047" s="105" t="s">
        <v>365</v>
      </c>
      <c r="E2047" s="135" t="s">
        <v>1</v>
      </c>
      <c r="F2047" s="120" t="s">
        <v>3039</v>
      </c>
      <c r="H2047" s="121">
        <v>25.39</v>
      </c>
      <c r="I2047" s="128"/>
      <c r="L2047" s="119"/>
      <c r="M2047" s="129"/>
      <c r="T2047" s="133"/>
      <c r="AT2047" s="135" t="s">
        <v>365</v>
      </c>
      <c r="AU2047" s="135" t="s">
        <v>87</v>
      </c>
      <c r="AV2047" s="113" t="s">
        <v>87</v>
      </c>
      <c r="AW2047" s="113" t="s">
        <v>33</v>
      </c>
      <c r="AX2047" s="113" t="s">
        <v>77</v>
      </c>
      <c r="AY2047" s="135" t="s">
        <v>211</v>
      </c>
    </row>
    <row r="2048" spans="2:65" s="137" customFormat="1">
      <c r="B2048" s="141"/>
      <c r="D2048" s="105" t="s">
        <v>365</v>
      </c>
      <c r="E2048" s="142" t="s">
        <v>1</v>
      </c>
      <c r="F2048" s="143" t="s">
        <v>368</v>
      </c>
      <c r="H2048" s="144">
        <v>116.04</v>
      </c>
      <c r="I2048" s="148"/>
      <c r="L2048" s="141"/>
      <c r="M2048" s="149"/>
      <c r="T2048" s="151"/>
      <c r="AT2048" s="142" t="s">
        <v>365</v>
      </c>
      <c r="AU2048" s="142" t="s">
        <v>87</v>
      </c>
      <c r="AV2048" s="137" t="s">
        <v>218</v>
      </c>
      <c r="AW2048" s="137" t="s">
        <v>33</v>
      </c>
      <c r="AX2048" s="137" t="s">
        <v>85</v>
      </c>
      <c r="AY2048" s="142" t="s">
        <v>211</v>
      </c>
    </row>
    <row r="2049" spans="2:65" s="113" customFormat="1">
      <c r="B2049" s="119"/>
      <c r="D2049" s="105" t="s">
        <v>365</v>
      </c>
      <c r="F2049" s="120" t="s">
        <v>3040</v>
      </c>
      <c r="H2049" s="121">
        <v>118.361</v>
      </c>
      <c r="I2049" s="128"/>
      <c r="L2049" s="119"/>
      <c r="M2049" s="129"/>
      <c r="T2049" s="133"/>
      <c r="AT2049" s="135" t="s">
        <v>365</v>
      </c>
      <c r="AU2049" s="135" t="s">
        <v>87</v>
      </c>
      <c r="AV2049" s="113" t="s">
        <v>87</v>
      </c>
      <c r="AW2049" s="113" t="s">
        <v>4</v>
      </c>
      <c r="AX2049" s="113" t="s">
        <v>85</v>
      </c>
      <c r="AY2049" s="135" t="s">
        <v>211</v>
      </c>
    </row>
    <row r="2050" spans="2:65" s="1" customFormat="1" ht="16.5" customHeight="1">
      <c r="B2050" s="12"/>
      <c r="C2050" s="114" t="s">
        <v>3041</v>
      </c>
      <c r="D2050" s="114" t="s">
        <v>438</v>
      </c>
      <c r="E2050" s="115" t="s">
        <v>3042</v>
      </c>
      <c r="F2050" s="116" t="s">
        <v>3043</v>
      </c>
      <c r="G2050" s="117" t="s">
        <v>279</v>
      </c>
      <c r="H2050" s="118">
        <v>7.0579999999999998</v>
      </c>
      <c r="I2050" s="122">
        <v>150</v>
      </c>
      <c r="J2050" s="123">
        <f>ROUND(I2050*H2050,2)</f>
        <v>1058.7</v>
      </c>
      <c r="K2050" s="124"/>
      <c r="L2050" s="125"/>
      <c r="M2050" s="126" t="s">
        <v>1</v>
      </c>
      <c r="N2050" s="127" t="s">
        <v>42</v>
      </c>
      <c r="P2050" s="95">
        <f>O2050*H2050</f>
        <v>0</v>
      </c>
      <c r="Q2050" s="95">
        <v>1.5299999999999999E-3</v>
      </c>
      <c r="R2050" s="95">
        <f>Q2050*H2050</f>
        <v>1.0798739999999999E-2</v>
      </c>
      <c r="S2050" s="95">
        <v>0</v>
      </c>
      <c r="T2050" s="99">
        <f>S2050*H2050</f>
        <v>0</v>
      </c>
      <c r="AR2050" s="101" t="s">
        <v>527</v>
      </c>
      <c r="AT2050" s="101" t="s">
        <v>438</v>
      </c>
      <c r="AU2050" s="101" t="s">
        <v>87</v>
      </c>
      <c r="AY2050" s="23" t="s">
        <v>211</v>
      </c>
      <c r="BE2050" s="104">
        <f>IF(N2050="základní",J2050,0)</f>
        <v>1058.7</v>
      </c>
      <c r="BF2050" s="104">
        <f>IF(N2050="snížená",J2050,0)</f>
        <v>0</v>
      </c>
      <c r="BG2050" s="104">
        <f>IF(N2050="zákl. přenesená",J2050,0)</f>
        <v>0</v>
      </c>
      <c r="BH2050" s="104">
        <f>IF(N2050="sníž. přenesená",J2050,0)</f>
        <v>0</v>
      </c>
      <c r="BI2050" s="104">
        <f>IF(N2050="nulová",J2050,0)</f>
        <v>0</v>
      </c>
      <c r="BJ2050" s="23" t="s">
        <v>85</v>
      </c>
      <c r="BK2050" s="104">
        <f>ROUND(I2050*H2050,2)</f>
        <v>1058.7</v>
      </c>
      <c r="BL2050" s="23" t="s">
        <v>446</v>
      </c>
      <c r="BM2050" s="101" t="s">
        <v>3044</v>
      </c>
    </row>
    <row r="2051" spans="2:65" s="113" customFormat="1">
      <c r="B2051" s="119"/>
      <c r="D2051" s="105" t="s">
        <v>365</v>
      </c>
      <c r="E2051" s="135" t="s">
        <v>1</v>
      </c>
      <c r="F2051" s="120" t="s">
        <v>3045</v>
      </c>
      <c r="H2051" s="121">
        <v>6.92</v>
      </c>
      <c r="I2051" s="128"/>
      <c r="L2051" s="119"/>
      <c r="M2051" s="129"/>
      <c r="T2051" s="133"/>
      <c r="AT2051" s="135" t="s">
        <v>365</v>
      </c>
      <c r="AU2051" s="135" t="s">
        <v>87</v>
      </c>
      <c r="AV2051" s="113" t="s">
        <v>87</v>
      </c>
      <c r="AW2051" s="113" t="s">
        <v>33</v>
      </c>
      <c r="AX2051" s="113" t="s">
        <v>85</v>
      </c>
      <c r="AY2051" s="135" t="s">
        <v>211</v>
      </c>
    </row>
    <row r="2052" spans="2:65" s="113" customFormat="1">
      <c r="B2052" s="119"/>
      <c r="D2052" s="105" t="s">
        <v>365</v>
      </c>
      <c r="F2052" s="120" t="s">
        <v>3046</v>
      </c>
      <c r="H2052" s="121">
        <v>7.0579999999999998</v>
      </c>
      <c r="I2052" s="128"/>
      <c r="L2052" s="119"/>
      <c r="M2052" s="129"/>
      <c r="T2052" s="133"/>
      <c r="AT2052" s="135" t="s">
        <v>365</v>
      </c>
      <c r="AU2052" s="135" t="s">
        <v>87</v>
      </c>
      <c r="AV2052" s="113" t="s">
        <v>87</v>
      </c>
      <c r="AW2052" s="113" t="s">
        <v>4</v>
      </c>
      <c r="AX2052" s="113" t="s">
        <v>85</v>
      </c>
      <c r="AY2052" s="135" t="s">
        <v>211</v>
      </c>
    </row>
    <row r="2053" spans="2:65" s="1" customFormat="1" ht="16.5" customHeight="1">
      <c r="B2053" s="12"/>
      <c r="C2053" s="114" t="s">
        <v>3047</v>
      </c>
      <c r="D2053" s="114" t="s">
        <v>438</v>
      </c>
      <c r="E2053" s="115" t="s">
        <v>3048</v>
      </c>
      <c r="F2053" s="116" t="s">
        <v>3049</v>
      </c>
      <c r="G2053" s="117" t="s">
        <v>279</v>
      </c>
      <c r="H2053" s="118">
        <v>29.405999999999999</v>
      </c>
      <c r="I2053" s="122">
        <v>230</v>
      </c>
      <c r="J2053" s="123">
        <f>ROUND(I2053*H2053,2)</f>
        <v>6763.38</v>
      </c>
      <c r="K2053" s="124"/>
      <c r="L2053" s="125"/>
      <c r="M2053" s="126" t="s">
        <v>1</v>
      </c>
      <c r="N2053" s="127" t="s">
        <v>42</v>
      </c>
      <c r="P2053" s="95">
        <f>O2053*H2053</f>
        <v>0</v>
      </c>
      <c r="Q2053" s="95">
        <v>2.0400000000000001E-3</v>
      </c>
      <c r="R2053" s="95">
        <f>Q2053*H2053</f>
        <v>5.9988239999999998E-2</v>
      </c>
      <c r="S2053" s="95">
        <v>0</v>
      </c>
      <c r="T2053" s="99">
        <f>S2053*H2053</f>
        <v>0</v>
      </c>
      <c r="AR2053" s="101" t="s">
        <v>527</v>
      </c>
      <c r="AT2053" s="101" t="s">
        <v>438</v>
      </c>
      <c r="AU2053" s="101" t="s">
        <v>87</v>
      </c>
      <c r="AY2053" s="23" t="s">
        <v>211</v>
      </c>
      <c r="BE2053" s="104">
        <f>IF(N2053="základní",J2053,0)</f>
        <v>6763.38</v>
      </c>
      <c r="BF2053" s="104">
        <f>IF(N2053="snížená",J2053,0)</f>
        <v>0</v>
      </c>
      <c r="BG2053" s="104">
        <f>IF(N2053="zákl. přenesená",J2053,0)</f>
        <v>0</v>
      </c>
      <c r="BH2053" s="104">
        <f>IF(N2053="sníž. přenesená",J2053,0)</f>
        <v>0</v>
      </c>
      <c r="BI2053" s="104">
        <f>IF(N2053="nulová",J2053,0)</f>
        <v>0</v>
      </c>
      <c r="BJ2053" s="23" t="s">
        <v>85</v>
      </c>
      <c r="BK2053" s="104">
        <f>ROUND(I2053*H2053,2)</f>
        <v>6763.38</v>
      </c>
      <c r="BL2053" s="23" t="s">
        <v>446</v>
      </c>
      <c r="BM2053" s="101" t="s">
        <v>3050</v>
      </c>
    </row>
    <row r="2054" spans="2:65" s="136" customFormat="1">
      <c r="B2054" s="138"/>
      <c r="D2054" s="105" t="s">
        <v>365</v>
      </c>
      <c r="E2054" s="139" t="s">
        <v>1</v>
      </c>
      <c r="F2054" s="140" t="s">
        <v>3051</v>
      </c>
      <c r="H2054" s="139" t="s">
        <v>1</v>
      </c>
      <c r="I2054" s="146"/>
      <c r="L2054" s="138"/>
      <c r="M2054" s="147"/>
      <c r="T2054" s="150"/>
      <c r="AT2054" s="139" t="s">
        <v>365</v>
      </c>
      <c r="AU2054" s="139" t="s">
        <v>87</v>
      </c>
      <c r="AV2054" s="136" t="s">
        <v>85</v>
      </c>
      <c r="AW2054" s="136" t="s">
        <v>33</v>
      </c>
      <c r="AX2054" s="136" t="s">
        <v>77</v>
      </c>
      <c r="AY2054" s="139" t="s">
        <v>211</v>
      </c>
    </row>
    <row r="2055" spans="2:65" s="113" customFormat="1">
      <c r="B2055" s="119"/>
      <c r="D2055" s="105" t="s">
        <v>365</v>
      </c>
      <c r="E2055" s="135" t="s">
        <v>1</v>
      </c>
      <c r="F2055" s="120" t="s">
        <v>3052</v>
      </c>
      <c r="H2055" s="121">
        <v>7.2549999999999999</v>
      </c>
      <c r="I2055" s="128"/>
      <c r="L2055" s="119"/>
      <c r="M2055" s="129"/>
      <c r="T2055" s="133"/>
      <c r="AT2055" s="135" t="s">
        <v>365</v>
      </c>
      <c r="AU2055" s="135" t="s">
        <v>87</v>
      </c>
      <c r="AV2055" s="113" t="s">
        <v>87</v>
      </c>
      <c r="AW2055" s="113" t="s">
        <v>33</v>
      </c>
      <c r="AX2055" s="113" t="s">
        <v>77</v>
      </c>
      <c r="AY2055" s="135" t="s">
        <v>211</v>
      </c>
    </row>
    <row r="2056" spans="2:65" s="113" customFormat="1">
      <c r="B2056" s="119"/>
      <c r="D2056" s="105" t="s">
        <v>365</v>
      </c>
      <c r="E2056" s="135" t="s">
        <v>1</v>
      </c>
      <c r="F2056" s="120" t="s">
        <v>3053</v>
      </c>
      <c r="H2056" s="121">
        <v>8.1</v>
      </c>
      <c r="I2056" s="128"/>
      <c r="L2056" s="119"/>
      <c r="M2056" s="129"/>
      <c r="T2056" s="133"/>
      <c r="AT2056" s="135" t="s">
        <v>365</v>
      </c>
      <c r="AU2056" s="135" t="s">
        <v>87</v>
      </c>
      <c r="AV2056" s="113" t="s">
        <v>87</v>
      </c>
      <c r="AW2056" s="113" t="s">
        <v>33</v>
      </c>
      <c r="AX2056" s="113" t="s">
        <v>77</v>
      </c>
      <c r="AY2056" s="135" t="s">
        <v>211</v>
      </c>
    </row>
    <row r="2057" spans="2:65" s="113" customFormat="1">
      <c r="B2057" s="119"/>
      <c r="D2057" s="105" t="s">
        <v>365</v>
      </c>
      <c r="E2057" s="135" t="s">
        <v>1</v>
      </c>
      <c r="F2057" s="120" t="s">
        <v>3054</v>
      </c>
      <c r="H2057" s="121">
        <v>5.2</v>
      </c>
      <c r="I2057" s="128"/>
      <c r="L2057" s="119"/>
      <c r="M2057" s="129"/>
      <c r="T2057" s="133"/>
      <c r="AT2057" s="135" t="s">
        <v>365</v>
      </c>
      <c r="AU2057" s="135" t="s">
        <v>87</v>
      </c>
      <c r="AV2057" s="113" t="s">
        <v>87</v>
      </c>
      <c r="AW2057" s="113" t="s">
        <v>33</v>
      </c>
      <c r="AX2057" s="113" t="s">
        <v>77</v>
      </c>
      <c r="AY2057" s="135" t="s">
        <v>211</v>
      </c>
    </row>
    <row r="2058" spans="2:65" s="113" customFormat="1">
      <c r="B2058" s="119"/>
      <c r="D2058" s="105" t="s">
        <v>365</v>
      </c>
      <c r="E2058" s="135" t="s">
        <v>1</v>
      </c>
      <c r="F2058" s="120" t="s">
        <v>3055</v>
      </c>
      <c r="H2058" s="121">
        <v>8.2739999999999991</v>
      </c>
      <c r="I2058" s="128"/>
      <c r="L2058" s="119"/>
      <c r="M2058" s="129"/>
      <c r="T2058" s="133"/>
      <c r="AT2058" s="135" t="s">
        <v>365</v>
      </c>
      <c r="AU2058" s="135" t="s">
        <v>87</v>
      </c>
      <c r="AV2058" s="113" t="s">
        <v>87</v>
      </c>
      <c r="AW2058" s="113" t="s">
        <v>33</v>
      </c>
      <c r="AX2058" s="113" t="s">
        <v>77</v>
      </c>
      <c r="AY2058" s="135" t="s">
        <v>211</v>
      </c>
    </row>
    <row r="2059" spans="2:65" s="137" customFormat="1">
      <c r="B2059" s="141"/>
      <c r="D2059" s="105" t="s">
        <v>365</v>
      </c>
      <c r="E2059" s="142" t="s">
        <v>318</v>
      </c>
      <c r="F2059" s="143" t="s">
        <v>368</v>
      </c>
      <c r="H2059" s="144">
        <v>28.829000000000001</v>
      </c>
      <c r="I2059" s="148"/>
      <c r="L2059" s="141"/>
      <c r="M2059" s="149"/>
      <c r="T2059" s="151"/>
      <c r="AT2059" s="142" t="s">
        <v>365</v>
      </c>
      <c r="AU2059" s="142" t="s">
        <v>87</v>
      </c>
      <c r="AV2059" s="137" t="s">
        <v>218</v>
      </c>
      <c r="AW2059" s="137" t="s">
        <v>33</v>
      </c>
      <c r="AX2059" s="137" t="s">
        <v>85</v>
      </c>
      <c r="AY2059" s="142" t="s">
        <v>211</v>
      </c>
    </row>
    <row r="2060" spans="2:65" s="113" customFormat="1">
      <c r="B2060" s="119"/>
      <c r="D2060" s="105" t="s">
        <v>365</v>
      </c>
      <c r="F2060" s="120" t="s">
        <v>3056</v>
      </c>
      <c r="H2060" s="121">
        <v>29.405999999999999</v>
      </c>
      <c r="I2060" s="128"/>
      <c r="L2060" s="119"/>
      <c r="M2060" s="129"/>
      <c r="T2060" s="133"/>
      <c r="AT2060" s="135" t="s">
        <v>365</v>
      </c>
      <c r="AU2060" s="135" t="s">
        <v>87</v>
      </c>
      <c r="AV2060" s="113" t="s">
        <v>87</v>
      </c>
      <c r="AW2060" s="113" t="s">
        <v>4</v>
      </c>
      <c r="AX2060" s="113" t="s">
        <v>85</v>
      </c>
      <c r="AY2060" s="135" t="s">
        <v>211</v>
      </c>
    </row>
    <row r="2061" spans="2:65" s="1" customFormat="1" ht="16.5" customHeight="1">
      <c r="B2061" s="12"/>
      <c r="C2061" s="114" t="s">
        <v>3057</v>
      </c>
      <c r="D2061" s="114" t="s">
        <v>438</v>
      </c>
      <c r="E2061" s="115" t="s">
        <v>3058</v>
      </c>
      <c r="F2061" s="116" t="s">
        <v>3059</v>
      </c>
      <c r="G2061" s="117" t="s">
        <v>279</v>
      </c>
      <c r="H2061" s="118">
        <v>13.119</v>
      </c>
      <c r="I2061" s="122">
        <v>540</v>
      </c>
      <c r="J2061" s="123">
        <f>ROUND(I2061*H2061,2)</f>
        <v>7084.26</v>
      </c>
      <c r="K2061" s="124"/>
      <c r="L2061" s="125"/>
      <c r="M2061" s="126" t="s">
        <v>1</v>
      </c>
      <c r="N2061" s="127" t="s">
        <v>42</v>
      </c>
      <c r="P2061" s="95">
        <f>O2061*H2061</f>
        <v>0</v>
      </c>
      <c r="Q2061" s="95">
        <v>5.1000000000000004E-3</v>
      </c>
      <c r="R2061" s="95">
        <f>Q2061*H2061</f>
        <v>6.6906900000000005E-2</v>
      </c>
      <c r="S2061" s="95">
        <v>0</v>
      </c>
      <c r="T2061" s="99">
        <f>S2061*H2061</f>
        <v>0</v>
      </c>
      <c r="AR2061" s="101" t="s">
        <v>527</v>
      </c>
      <c r="AT2061" s="101" t="s">
        <v>438</v>
      </c>
      <c r="AU2061" s="101" t="s">
        <v>87</v>
      </c>
      <c r="AY2061" s="23" t="s">
        <v>211</v>
      </c>
      <c r="BE2061" s="104">
        <f>IF(N2061="základní",J2061,0)</f>
        <v>7084.26</v>
      </c>
      <c r="BF2061" s="104">
        <f>IF(N2061="snížená",J2061,0)</f>
        <v>0</v>
      </c>
      <c r="BG2061" s="104">
        <f>IF(N2061="zákl. přenesená",J2061,0)</f>
        <v>0</v>
      </c>
      <c r="BH2061" s="104">
        <f>IF(N2061="sníž. přenesená",J2061,0)</f>
        <v>0</v>
      </c>
      <c r="BI2061" s="104">
        <f>IF(N2061="nulová",J2061,0)</f>
        <v>0</v>
      </c>
      <c r="BJ2061" s="23" t="s">
        <v>85</v>
      </c>
      <c r="BK2061" s="104">
        <f>ROUND(I2061*H2061,2)</f>
        <v>7084.26</v>
      </c>
      <c r="BL2061" s="23" t="s">
        <v>446</v>
      </c>
      <c r="BM2061" s="101" t="s">
        <v>3060</v>
      </c>
    </row>
    <row r="2062" spans="2:65" s="136" customFormat="1">
      <c r="B2062" s="138"/>
      <c r="D2062" s="105" t="s">
        <v>365</v>
      </c>
      <c r="E2062" s="139" t="s">
        <v>1</v>
      </c>
      <c r="F2062" s="140" t="s">
        <v>3061</v>
      </c>
      <c r="H2062" s="139" t="s">
        <v>1</v>
      </c>
      <c r="I2062" s="146"/>
      <c r="L2062" s="138"/>
      <c r="M2062" s="147"/>
      <c r="T2062" s="150"/>
      <c r="AT2062" s="139" t="s">
        <v>365</v>
      </c>
      <c r="AU2062" s="139" t="s">
        <v>87</v>
      </c>
      <c r="AV2062" s="136" t="s">
        <v>85</v>
      </c>
      <c r="AW2062" s="136" t="s">
        <v>33</v>
      </c>
      <c r="AX2062" s="136" t="s">
        <v>77</v>
      </c>
      <c r="AY2062" s="139" t="s">
        <v>211</v>
      </c>
    </row>
    <row r="2063" spans="2:65" s="113" customFormat="1">
      <c r="B2063" s="119"/>
      <c r="D2063" s="105" t="s">
        <v>365</v>
      </c>
      <c r="E2063" s="135" t="s">
        <v>1</v>
      </c>
      <c r="F2063" s="120" t="s">
        <v>3062</v>
      </c>
      <c r="H2063" s="121">
        <v>4.718</v>
      </c>
      <c r="I2063" s="128"/>
      <c r="L2063" s="119"/>
      <c r="M2063" s="129"/>
      <c r="T2063" s="133"/>
      <c r="AT2063" s="135" t="s">
        <v>365</v>
      </c>
      <c r="AU2063" s="135" t="s">
        <v>87</v>
      </c>
      <c r="AV2063" s="113" t="s">
        <v>87</v>
      </c>
      <c r="AW2063" s="113" t="s">
        <v>33</v>
      </c>
      <c r="AX2063" s="113" t="s">
        <v>77</v>
      </c>
      <c r="AY2063" s="135" t="s">
        <v>211</v>
      </c>
    </row>
    <row r="2064" spans="2:65" s="113" customFormat="1">
      <c r="B2064" s="119"/>
      <c r="D2064" s="105" t="s">
        <v>365</v>
      </c>
      <c r="E2064" s="135" t="s">
        <v>1</v>
      </c>
      <c r="F2064" s="120" t="s">
        <v>3063</v>
      </c>
      <c r="H2064" s="121">
        <v>3.7690000000000001</v>
      </c>
      <c r="I2064" s="128"/>
      <c r="L2064" s="119"/>
      <c r="M2064" s="129"/>
      <c r="T2064" s="133"/>
      <c r="AT2064" s="135" t="s">
        <v>365</v>
      </c>
      <c r="AU2064" s="135" t="s">
        <v>87</v>
      </c>
      <c r="AV2064" s="113" t="s">
        <v>87</v>
      </c>
      <c r="AW2064" s="113" t="s">
        <v>33</v>
      </c>
      <c r="AX2064" s="113" t="s">
        <v>77</v>
      </c>
      <c r="AY2064" s="135" t="s">
        <v>211</v>
      </c>
    </row>
    <row r="2065" spans="2:65" s="113" customFormat="1">
      <c r="B2065" s="119"/>
      <c r="D2065" s="105" t="s">
        <v>365</v>
      </c>
      <c r="E2065" s="135" t="s">
        <v>1</v>
      </c>
      <c r="F2065" s="120" t="s">
        <v>3064</v>
      </c>
      <c r="H2065" s="121">
        <v>0.40799999999999997</v>
      </c>
      <c r="I2065" s="128"/>
      <c r="L2065" s="119"/>
      <c r="M2065" s="129"/>
      <c r="T2065" s="133"/>
      <c r="AT2065" s="135" t="s">
        <v>365</v>
      </c>
      <c r="AU2065" s="135" t="s">
        <v>87</v>
      </c>
      <c r="AV2065" s="113" t="s">
        <v>87</v>
      </c>
      <c r="AW2065" s="113" t="s">
        <v>33</v>
      </c>
      <c r="AX2065" s="113" t="s">
        <v>77</v>
      </c>
      <c r="AY2065" s="135" t="s">
        <v>211</v>
      </c>
    </row>
    <row r="2066" spans="2:65" s="113" customFormat="1">
      <c r="B2066" s="119"/>
      <c r="D2066" s="105" t="s">
        <v>365</v>
      </c>
      <c r="E2066" s="135" t="s">
        <v>1</v>
      </c>
      <c r="F2066" s="120" t="s">
        <v>3065</v>
      </c>
      <c r="H2066" s="121">
        <v>3.9670000000000001</v>
      </c>
      <c r="I2066" s="128"/>
      <c r="L2066" s="119"/>
      <c r="M2066" s="129"/>
      <c r="T2066" s="133"/>
      <c r="AT2066" s="135" t="s">
        <v>365</v>
      </c>
      <c r="AU2066" s="135" t="s">
        <v>87</v>
      </c>
      <c r="AV2066" s="113" t="s">
        <v>87</v>
      </c>
      <c r="AW2066" s="113" t="s">
        <v>33</v>
      </c>
      <c r="AX2066" s="113" t="s">
        <v>77</v>
      </c>
      <c r="AY2066" s="135" t="s">
        <v>211</v>
      </c>
    </row>
    <row r="2067" spans="2:65" s="154" customFormat="1">
      <c r="B2067" s="156"/>
      <c r="D2067" s="105" t="s">
        <v>365</v>
      </c>
      <c r="E2067" s="157" t="s">
        <v>320</v>
      </c>
      <c r="F2067" s="158" t="s">
        <v>741</v>
      </c>
      <c r="H2067" s="159">
        <v>12.862</v>
      </c>
      <c r="I2067" s="160"/>
      <c r="L2067" s="156"/>
      <c r="M2067" s="161"/>
      <c r="T2067" s="162"/>
      <c r="AT2067" s="157" t="s">
        <v>365</v>
      </c>
      <c r="AU2067" s="157" t="s">
        <v>87</v>
      </c>
      <c r="AV2067" s="154" t="s">
        <v>137</v>
      </c>
      <c r="AW2067" s="154" t="s">
        <v>33</v>
      </c>
      <c r="AX2067" s="154" t="s">
        <v>77</v>
      </c>
      <c r="AY2067" s="157" t="s">
        <v>211</v>
      </c>
    </row>
    <row r="2068" spans="2:65" s="137" customFormat="1">
      <c r="B2068" s="141"/>
      <c r="D2068" s="105" t="s">
        <v>365</v>
      </c>
      <c r="E2068" s="142" t="s">
        <v>1</v>
      </c>
      <c r="F2068" s="143" t="s">
        <v>368</v>
      </c>
      <c r="H2068" s="144">
        <v>12.862</v>
      </c>
      <c r="I2068" s="148"/>
      <c r="L2068" s="141"/>
      <c r="M2068" s="149"/>
      <c r="T2068" s="151"/>
      <c r="AT2068" s="142" t="s">
        <v>365</v>
      </c>
      <c r="AU2068" s="142" t="s">
        <v>87</v>
      </c>
      <c r="AV2068" s="137" t="s">
        <v>218</v>
      </c>
      <c r="AW2068" s="137" t="s">
        <v>33</v>
      </c>
      <c r="AX2068" s="137" t="s">
        <v>85</v>
      </c>
      <c r="AY2068" s="142" t="s">
        <v>211</v>
      </c>
    </row>
    <row r="2069" spans="2:65" s="113" customFormat="1">
      <c r="B2069" s="119"/>
      <c r="D2069" s="105" t="s">
        <v>365</v>
      </c>
      <c r="F2069" s="120" t="s">
        <v>3066</v>
      </c>
      <c r="H2069" s="121">
        <v>13.119</v>
      </c>
      <c r="I2069" s="128"/>
      <c r="L2069" s="119"/>
      <c r="M2069" s="129"/>
      <c r="T2069" s="133"/>
      <c r="AT2069" s="135" t="s">
        <v>365</v>
      </c>
      <c r="AU2069" s="135" t="s">
        <v>87</v>
      </c>
      <c r="AV2069" s="113" t="s">
        <v>87</v>
      </c>
      <c r="AW2069" s="113" t="s">
        <v>4</v>
      </c>
      <c r="AX2069" s="113" t="s">
        <v>85</v>
      </c>
      <c r="AY2069" s="135" t="s">
        <v>211</v>
      </c>
    </row>
    <row r="2070" spans="2:65" s="1" customFormat="1" ht="24.15" customHeight="1">
      <c r="B2070" s="12"/>
      <c r="C2070" s="71" t="s">
        <v>3067</v>
      </c>
      <c r="D2070" s="71" t="s">
        <v>214</v>
      </c>
      <c r="E2070" s="72" t="s">
        <v>3068</v>
      </c>
      <c r="F2070" s="73" t="s">
        <v>3069</v>
      </c>
      <c r="G2070" s="74" t="s">
        <v>279</v>
      </c>
      <c r="H2070" s="75">
        <v>1663</v>
      </c>
      <c r="I2070" s="90">
        <v>36</v>
      </c>
      <c r="J2070" s="91">
        <f>ROUND(I2070*H2070,2)</f>
        <v>59868</v>
      </c>
      <c r="K2070" s="92"/>
      <c r="L2070" s="12"/>
      <c r="M2070" s="93" t="s">
        <v>1</v>
      </c>
      <c r="N2070" s="94" t="s">
        <v>42</v>
      </c>
      <c r="P2070" s="95">
        <f>O2070*H2070</f>
        <v>0</v>
      </c>
      <c r="Q2070" s="95">
        <v>0</v>
      </c>
      <c r="R2070" s="95">
        <f>Q2070*H2070</f>
        <v>0</v>
      </c>
      <c r="S2070" s="95">
        <v>0</v>
      </c>
      <c r="T2070" s="99">
        <f>S2070*H2070</f>
        <v>0</v>
      </c>
      <c r="AR2070" s="101" t="s">
        <v>446</v>
      </c>
      <c r="AT2070" s="101" t="s">
        <v>214</v>
      </c>
      <c r="AU2070" s="101" t="s">
        <v>87</v>
      </c>
      <c r="AY2070" s="23" t="s">
        <v>211</v>
      </c>
      <c r="BE2070" s="104">
        <f>IF(N2070="základní",J2070,0)</f>
        <v>59868</v>
      </c>
      <c r="BF2070" s="104">
        <f>IF(N2070="snížená",J2070,0)</f>
        <v>0</v>
      </c>
      <c r="BG2070" s="104">
        <f>IF(N2070="zákl. přenesená",J2070,0)</f>
        <v>0</v>
      </c>
      <c r="BH2070" s="104">
        <f>IF(N2070="sníž. přenesená",J2070,0)</f>
        <v>0</v>
      </c>
      <c r="BI2070" s="104">
        <f>IF(N2070="nulová",J2070,0)</f>
        <v>0</v>
      </c>
      <c r="BJ2070" s="23" t="s">
        <v>85</v>
      </c>
      <c r="BK2070" s="104">
        <f>ROUND(I2070*H2070,2)</f>
        <v>59868</v>
      </c>
      <c r="BL2070" s="23" t="s">
        <v>446</v>
      </c>
      <c r="BM2070" s="101" t="s">
        <v>3070</v>
      </c>
    </row>
    <row r="2071" spans="2:65" s="1" customFormat="1" ht="24.15" customHeight="1">
      <c r="B2071" s="12"/>
      <c r="C2071" s="114" t="s">
        <v>3071</v>
      </c>
      <c r="D2071" s="114" t="s">
        <v>438</v>
      </c>
      <c r="E2071" s="115" t="s">
        <v>3072</v>
      </c>
      <c r="F2071" s="116" t="s">
        <v>3073</v>
      </c>
      <c r="G2071" s="117" t="s">
        <v>279</v>
      </c>
      <c r="H2071" s="118">
        <v>252.46</v>
      </c>
      <c r="I2071" s="122">
        <v>630</v>
      </c>
      <c r="J2071" s="123">
        <f>ROUND(I2071*H2071,2)</f>
        <v>159049.79999999999</v>
      </c>
      <c r="K2071" s="124"/>
      <c r="L2071" s="125"/>
      <c r="M2071" s="126" t="s">
        <v>1</v>
      </c>
      <c r="N2071" s="127" t="s">
        <v>42</v>
      </c>
      <c r="P2071" s="95">
        <f>O2071*H2071</f>
        <v>0</v>
      </c>
      <c r="Q2071" s="95">
        <v>7.0000000000000001E-3</v>
      </c>
      <c r="R2071" s="95">
        <f>Q2071*H2071</f>
        <v>1.76722</v>
      </c>
      <c r="S2071" s="95">
        <v>0</v>
      </c>
      <c r="T2071" s="99">
        <f>S2071*H2071</f>
        <v>0</v>
      </c>
      <c r="AR2071" s="101" t="s">
        <v>527</v>
      </c>
      <c r="AT2071" s="101" t="s">
        <v>438</v>
      </c>
      <c r="AU2071" s="101" t="s">
        <v>87</v>
      </c>
      <c r="AY2071" s="23" t="s">
        <v>211</v>
      </c>
      <c r="BE2071" s="104">
        <f>IF(N2071="základní",J2071,0)</f>
        <v>159049.79999999999</v>
      </c>
      <c r="BF2071" s="104">
        <f>IF(N2071="snížená",J2071,0)</f>
        <v>0</v>
      </c>
      <c r="BG2071" s="104">
        <f>IF(N2071="zákl. přenesená",J2071,0)</f>
        <v>0</v>
      </c>
      <c r="BH2071" s="104">
        <f>IF(N2071="sníž. přenesená",J2071,0)</f>
        <v>0</v>
      </c>
      <c r="BI2071" s="104">
        <f>IF(N2071="nulová",J2071,0)</f>
        <v>0</v>
      </c>
      <c r="BJ2071" s="23" t="s">
        <v>85</v>
      </c>
      <c r="BK2071" s="104">
        <f>ROUND(I2071*H2071,2)</f>
        <v>159049.79999999999</v>
      </c>
      <c r="BL2071" s="23" t="s">
        <v>446</v>
      </c>
      <c r="BM2071" s="101" t="s">
        <v>3074</v>
      </c>
    </row>
    <row r="2072" spans="2:65" s="113" customFormat="1">
      <c r="B2072" s="119"/>
      <c r="D2072" s="105" t="s">
        <v>365</v>
      </c>
      <c r="E2072" s="135" t="s">
        <v>1</v>
      </c>
      <c r="F2072" s="120" t="s">
        <v>294</v>
      </c>
      <c r="H2072" s="121">
        <v>247.51</v>
      </c>
      <c r="I2072" s="128"/>
      <c r="L2072" s="119"/>
      <c r="M2072" s="129"/>
      <c r="T2072" s="133"/>
      <c r="AT2072" s="135" t="s">
        <v>365</v>
      </c>
      <c r="AU2072" s="135" t="s">
        <v>87</v>
      </c>
      <c r="AV2072" s="113" t="s">
        <v>87</v>
      </c>
      <c r="AW2072" s="113" t="s">
        <v>33</v>
      </c>
      <c r="AX2072" s="113" t="s">
        <v>85</v>
      </c>
      <c r="AY2072" s="135" t="s">
        <v>211</v>
      </c>
    </row>
    <row r="2073" spans="2:65" s="113" customFormat="1">
      <c r="B2073" s="119"/>
      <c r="D2073" s="105" t="s">
        <v>365</v>
      </c>
      <c r="F2073" s="120" t="s">
        <v>3075</v>
      </c>
      <c r="H2073" s="121">
        <v>252.46</v>
      </c>
      <c r="I2073" s="128"/>
      <c r="L2073" s="119"/>
      <c r="M2073" s="129"/>
      <c r="T2073" s="133"/>
      <c r="AT2073" s="135" t="s">
        <v>365</v>
      </c>
      <c r="AU2073" s="135" t="s">
        <v>87</v>
      </c>
      <c r="AV2073" s="113" t="s">
        <v>87</v>
      </c>
      <c r="AW2073" s="113" t="s">
        <v>4</v>
      </c>
      <c r="AX2073" s="113" t="s">
        <v>85</v>
      </c>
      <c r="AY2073" s="135" t="s">
        <v>211</v>
      </c>
    </row>
    <row r="2074" spans="2:65" s="1" customFormat="1" ht="24.15" customHeight="1">
      <c r="B2074" s="12"/>
      <c r="C2074" s="114" t="s">
        <v>3076</v>
      </c>
      <c r="D2074" s="114" t="s">
        <v>438</v>
      </c>
      <c r="E2074" s="115" t="s">
        <v>3077</v>
      </c>
      <c r="F2074" s="116" t="s">
        <v>3078</v>
      </c>
      <c r="G2074" s="117" t="s">
        <v>279</v>
      </c>
      <c r="H2074" s="118">
        <v>813.99099999999999</v>
      </c>
      <c r="I2074" s="122">
        <v>275</v>
      </c>
      <c r="J2074" s="123">
        <f>ROUND(I2074*H2074,2)</f>
        <v>223847.53</v>
      </c>
      <c r="K2074" s="124"/>
      <c r="L2074" s="125"/>
      <c r="M2074" s="126" t="s">
        <v>1</v>
      </c>
      <c r="N2074" s="127" t="s">
        <v>42</v>
      </c>
      <c r="P2074" s="95">
        <f>O2074*H2074</f>
        <v>0</v>
      </c>
      <c r="Q2074" s="95">
        <v>2.8999999999999998E-3</v>
      </c>
      <c r="R2074" s="95">
        <f>Q2074*H2074</f>
        <v>2.3605738999999999</v>
      </c>
      <c r="S2074" s="95">
        <v>0</v>
      </c>
      <c r="T2074" s="99">
        <f>S2074*H2074</f>
        <v>0</v>
      </c>
      <c r="AR2074" s="101" t="s">
        <v>527</v>
      </c>
      <c r="AT2074" s="101" t="s">
        <v>438</v>
      </c>
      <c r="AU2074" s="101" t="s">
        <v>87</v>
      </c>
      <c r="AY2074" s="23" t="s">
        <v>211</v>
      </c>
      <c r="BE2074" s="104">
        <f>IF(N2074="základní",J2074,0)</f>
        <v>223847.53</v>
      </c>
      <c r="BF2074" s="104">
        <f>IF(N2074="snížená",J2074,0)</f>
        <v>0</v>
      </c>
      <c r="BG2074" s="104">
        <f>IF(N2074="zákl. přenesená",J2074,0)</f>
        <v>0</v>
      </c>
      <c r="BH2074" s="104">
        <f>IF(N2074="sníž. přenesená",J2074,0)</f>
        <v>0</v>
      </c>
      <c r="BI2074" s="104">
        <f>IF(N2074="nulová",J2074,0)</f>
        <v>0</v>
      </c>
      <c r="BJ2074" s="23" t="s">
        <v>85</v>
      </c>
      <c r="BK2074" s="104">
        <f>ROUND(I2074*H2074,2)</f>
        <v>223847.53</v>
      </c>
      <c r="BL2074" s="23" t="s">
        <v>446</v>
      </c>
      <c r="BM2074" s="101" t="s">
        <v>3079</v>
      </c>
    </row>
    <row r="2075" spans="2:65" s="113" customFormat="1">
      <c r="B2075" s="119"/>
      <c r="D2075" s="105" t="s">
        <v>365</v>
      </c>
      <c r="E2075" s="135" t="s">
        <v>1</v>
      </c>
      <c r="F2075" s="120" t="s">
        <v>294</v>
      </c>
      <c r="H2075" s="121">
        <v>247.51</v>
      </c>
      <c r="I2075" s="128"/>
      <c r="L2075" s="119"/>
      <c r="M2075" s="129"/>
      <c r="T2075" s="133"/>
      <c r="AT2075" s="135" t="s">
        <v>365</v>
      </c>
      <c r="AU2075" s="135" t="s">
        <v>87</v>
      </c>
      <c r="AV2075" s="113" t="s">
        <v>87</v>
      </c>
      <c r="AW2075" s="113" t="s">
        <v>33</v>
      </c>
      <c r="AX2075" s="113" t="s">
        <v>77</v>
      </c>
      <c r="AY2075" s="135" t="s">
        <v>211</v>
      </c>
    </row>
    <row r="2076" spans="2:65" s="113" customFormat="1">
      <c r="B2076" s="119"/>
      <c r="D2076" s="105" t="s">
        <v>365</v>
      </c>
      <c r="E2076" s="135" t="s">
        <v>1</v>
      </c>
      <c r="F2076" s="120" t="s">
        <v>297</v>
      </c>
      <c r="H2076" s="121">
        <v>431.26</v>
      </c>
      <c r="I2076" s="128"/>
      <c r="L2076" s="119"/>
      <c r="M2076" s="129"/>
      <c r="T2076" s="133"/>
      <c r="AT2076" s="135" t="s">
        <v>365</v>
      </c>
      <c r="AU2076" s="135" t="s">
        <v>87</v>
      </c>
      <c r="AV2076" s="113" t="s">
        <v>87</v>
      </c>
      <c r="AW2076" s="113" t="s">
        <v>33</v>
      </c>
      <c r="AX2076" s="113" t="s">
        <v>77</v>
      </c>
      <c r="AY2076" s="135" t="s">
        <v>211</v>
      </c>
    </row>
    <row r="2077" spans="2:65" s="113" customFormat="1">
      <c r="B2077" s="119"/>
      <c r="D2077" s="105" t="s">
        <v>365</v>
      </c>
      <c r="E2077" s="135" t="s">
        <v>1</v>
      </c>
      <c r="F2077" s="120" t="s">
        <v>300</v>
      </c>
      <c r="H2077" s="121">
        <v>44.6</v>
      </c>
      <c r="I2077" s="128"/>
      <c r="L2077" s="119"/>
      <c r="M2077" s="129"/>
      <c r="T2077" s="133"/>
      <c r="AT2077" s="135" t="s">
        <v>365</v>
      </c>
      <c r="AU2077" s="135" t="s">
        <v>87</v>
      </c>
      <c r="AV2077" s="113" t="s">
        <v>87</v>
      </c>
      <c r="AW2077" s="113" t="s">
        <v>33</v>
      </c>
      <c r="AX2077" s="113" t="s">
        <v>77</v>
      </c>
      <c r="AY2077" s="135" t="s">
        <v>211</v>
      </c>
    </row>
    <row r="2078" spans="2:65" s="113" customFormat="1">
      <c r="B2078" s="119"/>
      <c r="D2078" s="105" t="s">
        <v>365</v>
      </c>
      <c r="E2078" s="135" t="s">
        <v>1</v>
      </c>
      <c r="F2078" s="120" t="s">
        <v>306</v>
      </c>
      <c r="H2078" s="121">
        <v>74.66</v>
      </c>
      <c r="I2078" s="128"/>
      <c r="L2078" s="119"/>
      <c r="M2078" s="129"/>
      <c r="T2078" s="133"/>
      <c r="AT2078" s="135" t="s">
        <v>365</v>
      </c>
      <c r="AU2078" s="135" t="s">
        <v>87</v>
      </c>
      <c r="AV2078" s="113" t="s">
        <v>87</v>
      </c>
      <c r="AW2078" s="113" t="s">
        <v>33</v>
      </c>
      <c r="AX2078" s="113" t="s">
        <v>77</v>
      </c>
      <c r="AY2078" s="135" t="s">
        <v>211</v>
      </c>
    </row>
    <row r="2079" spans="2:65" s="137" customFormat="1">
      <c r="B2079" s="141"/>
      <c r="D2079" s="105" t="s">
        <v>365</v>
      </c>
      <c r="E2079" s="142" t="s">
        <v>1</v>
      </c>
      <c r="F2079" s="143" t="s">
        <v>368</v>
      </c>
      <c r="H2079" s="144">
        <v>798.03</v>
      </c>
      <c r="I2079" s="148"/>
      <c r="L2079" s="141"/>
      <c r="M2079" s="149"/>
      <c r="T2079" s="151"/>
      <c r="AT2079" s="142" t="s">
        <v>365</v>
      </c>
      <c r="AU2079" s="142" t="s">
        <v>87</v>
      </c>
      <c r="AV2079" s="137" t="s">
        <v>218</v>
      </c>
      <c r="AW2079" s="137" t="s">
        <v>33</v>
      </c>
      <c r="AX2079" s="137" t="s">
        <v>85</v>
      </c>
      <c r="AY2079" s="142" t="s">
        <v>211</v>
      </c>
    </row>
    <row r="2080" spans="2:65" s="113" customFormat="1">
      <c r="B2080" s="119"/>
      <c r="D2080" s="105" t="s">
        <v>365</v>
      </c>
      <c r="F2080" s="120" t="s">
        <v>3080</v>
      </c>
      <c r="H2080" s="121">
        <v>813.99099999999999</v>
      </c>
      <c r="I2080" s="128"/>
      <c r="L2080" s="119"/>
      <c r="M2080" s="129"/>
      <c r="T2080" s="133"/>
      <c r="AT2080" s="135" t="s">
        <v>365</v>
      </c>
      <c r="AU2080" s="135" t="s">
        <v>87</v>
      </c>
      <c r="AV2080" s="113" t="s">
        <v>87</v>
      </c>
      <c r="AW2080" s="113" t="s">
        <v>4</v>
      </c>
      <c r="AX2080" s="113" t="s">
        <v>85</v>
      </c>
      <c r="AY2080" s="135" t="s">
        <v>211</v>
      </c>
    </row>
    <row r="2081" spans="2:65" s="1" customFormat="1" ht="24.15" customHeight="1">
      <c r="B2081" s="12"/>
      <c r="C2081" s="114" t="s">
        <v>3081</v>
      </c>
      <c r="D2081" s="114" t="s">
        <v>438</v>
      </c>
      <c r="E2081" s="115" t="s">
        <v>3082</v>
      </c>
      <c r="F2081" s="116" t="s">
        <v>3083</v>
      </c>
      <c r="G2081" s="117" t="s">
        <v>279</v>
      </c>
      <c r="H2081" s="118">
        <v>33.628999999999998</v>
      </c>
      <c r="I2081" s="122">
        <v>490</v>
      </c>
      <c r="J2081" s="123">
        <f>ROUND(I2081*H2081,2)</f>
        <v>16478.21</v>
      </c>
      <c r="K2081" s="124"/>
      <c r="L2081" s="125"/>
      <c r="M2081" s="126" t="s">
        <v>1</v>
      </c>
      <c r="N2081" s="127" t="s">
        <v>42</v>
      </c>
      <c r="P2081" s="95">
        <f>O2081*H2081</f>
        <v>0</v>
      </c>
      <c r="Q2081" s="95">
        <v>5.4000000000000003E-3</v>
      </c>
      <c r="R2081" s="95">
        <f>Q2081*H2081</f>
        <v>0.1815966</v>
      </c>
      <c r="S2081" s="95">
        <v>0</v>
      </c>
      <c r="T2081" s="99">
        <f>S2081*H2081</f>
        <v>0</v>
      </c>
      <c r="AR2081" s="101" t="s">
        <v>527</v>
      </c>
      <c r="AT2081" s="101" t="s">
        <v>438</v>
      </c>
      <c r="AU2081" s="101" t="s">
        <v>87</v>
      </c>
      <c r="AY2081" s="23" t="s">
        <v>211</v>
      </c>
      <c r="BE2081" s="104">
        <f>IF(N2081="základní",J2081,0)</f>
        <v>16478.21</v>
      </c>
      <c r="BF2081" s="104">
        <f>IF(N2081="snížená",J2081,0)</f>
        <v>0</v>
      </c>
      <c r="BG2081" s="104">
        <f>IF(N2081="zákl. přenesená",J2081,0)</f>
        <v>0</v>
      </c>
      <c r="BH2081" s="104">
        <f>IF(N2081="sníž. přenesená",J2081,0)</f>
        <v>0</v>
      </c>
      <c r="BI2081" s="104">
        <f>IF(N2081="nulová",J2081,0)</f>
        <v>0</v>
      </c>
      <c r="BJ2081" s="23" t="s">
        <v>85</v>
      </c>
      <c r="BK2081" s="104">
        <f>ROUND(I2081*H2081,2)</f>
        <v>16478.21</v>
      </c>
      <c r="BL2081" s="23" t="s">
        <v>446</v>
      </c>
      <c r="BM2081" s="101" t="s">
        <v>3084</v>
      </c>
    </row>
    <row r="2082" spans="2:65" s="113" customFormat="1">
      <c r="B2082" s="119"/>
      <c r="D2082" s="105" t="s">
        <v>365</v>
      </c>
      <c r="E2082" s="135" t="s">
        <v>1</v>
      </c>
      <c r="F2082" s="120" t="s">
        <v>302</v>
      </c>
      <c r="H2082" s="121">
        <v>32.97</v>
      </c>
      <c r="I2082" s="128"/>
      <c r="L2082" s="119"/>
      <c r="M2082" s="129"/>
      <c r="T2082" s="133"/>
      <c r="AT2082" s="135" t="s">
        <v>365</v>
      </c>
      <c r="AU2082" s="135" t="s">
        <v>87</v>
      </c>
      <c r="AV2082" s="113" t="s">
        <v>87</v>
      </c>
      <c r="AW2082" s="113" t="s">
        <v>33</v>
      </c>
      <c r="AX2082" s="113" t="s">
        <v>85</v>
      </c>
      <c r="AY2082" s="135" t="s">
        <v>211</v>
      </c>
    </row>
    <row r="2083" spans="2:65" s="113" customFormat="1">
      <c r="B2083" s="119"/>
      <c r="D2083" s="105" t="s">
        <v>365</v>
      </c>
      <c r="F2083" s="120" t="s">
        <v>3085</v>
      </c>
      <c r="H2083" s="121">
        <v>33.628999999999998</v>
      </c>
      <c r="I2083" s="128"/>
      <c r="L2083" s="119"/>
      <c r="M2083" s="129"/>
      <c r="T2083" s="133"/>
      <c r="AT2083" s="135" t="s">
        <v>365</v>
      </c>
      <c r="AU2083" s="135" t="s">
        <v>87</v>
      </c>
      <c r="AV2083" s="113" t="s">
        <v>87</v>
      </c>
      <c r="AW2083" s="113" t="s">
        <v>4</v>
      </c>
      <c r="AX2083" s="113" t="s">
        <v>85</v>
      </c>
      <c r="AY2083" s="135" t="s">
        <v>211</v>
      </c>
    </row>
    <row r="2084" spans="2:65" s="1" customFormat="1" ht="24.15" customHeight="1">
      <c r="B2084" s="12"/>
      <c r="C2084" s="114" t="s">
        <v>3086</v>
      </c>
      <c r="D2084" s="114" t="s">
        <v>438</v>
      </c>
      <c r="E2084" s="115" t="s">
        <v>3087</v>
      </c>
      <c r="F2084" s="116" t="s">
        <v>3088</v>
      </c>
      <c r="G2084" s="117" t="s">
        <v>279</v>
      </c>
      <c r="H2084" s="118">
        <v>189.71</v>
      </c>
      <c r="I2084" s="122">
        <v>80</v>
      </c>
      <c r="J2084" s="123">
        <f>ROUND(I2084*H2084,2)</f>
        <v>15176.8</v>
      </c>
      <c r="K2084" s="124"/>
      <c r="L2084" s="125"/>
      <c r="M2084" s="126" t="s">
        <v>1</v>
      </c>
      <c r="N2084" s="127" t="s">
        <v>42</v>
      </c>
      <c r="P2084" s="95">
        <f>O2084*H2084</f>
        <v>0</v>
      </c>
      <c r="Q2084" s="95">
        <v>8.9999999999999998E-4</v>
      </c>
      <c r="R2084" s="95">
        <f>Q2084*H2084</f>
        <v>0.170739</v>
      </c>
      <c r="S2084" s="95">
        <v>0</v>
      </c>
      <c r="T2084" s="99">
        <f>S2084*H2084</f>
        <v>0</v>
      </c>
      <c r="AR2084" s="101" t="s">
        <v>527</v>
      </c>
      <c r="AT2084" s="101" t="s">
        <v>438</v>
      </c>
      <c r="AU2084" s="101" t="s">
        <v>87</v>
      </c>
      <c r="AY2084" s="23" t="s">
        <v>211</v>
      </c>
      <c r="BE2084" s="104">
        <f>IF(N2084="základní",J2084,0)</f>
        <v>15176.8</v>
      </c>
      <c r="BF2084" s="104">
        <f>IF(N2084="snížená",J2084,0)</f>
        <v>0</v>
      </c>
      <c r="BG2084" s="104">
        <f>IF(N2084="zákl. přenesená",J2084,0)</f>
        <v>0</v>
      </c>
      <c r="BH2084" s="104">
        <f>IF(N2084="sníž. přenesená",J2084,0)</f>
        <v>0</v>
      </c>
      <c r="BI2084" s="104">
        <f>IF(N2084="nulová",J2084,0)</f>
        <v>0</v>
      </c>
      <c r="BJ2084" s="23" t="s">
        <v>85</v>
      </c>
      <c r="BK2084" s="104">
        <f>ROUND(I2084*H2084,2)</f>
        <v>15176.8</v>
      </c>
      <c r="BL2084" s="23" t="s">
        <v>446</v>
      </c>
      <c r="BM2084" s="101" t="s">
        <v>3089</v>
      </c>
    </row>
    <row r="2085" spans="2:65" s="113" customFormat="1">
      <c r="B2085" s="119"/>
      <c r="D2085" s="105" t="s">
        <v>365</v>
      </c>
      <c r="E2085" s="135" t="s">
        <v>1</v>
      </c>
      <c r="F2085" s="120" t="s">
        <v>304</v>
      </c>
      <c r="H2085" s="121">
        <v>185.99</v>
      </c>
      <c r="I2085" s="128"/>
      <c r="L2085" s="119"/>
      <c r="M2085" s="129"/>
      <c r="T2085" s="133"/>
      <c r="AT2085" s="135" t="s">
        <v>365</v>
      </c>
      <c r="AU2085" s="135" t="s">
        <v>87</v>
      </c>
      <c r="AV2085" s="113" t="s">
        <v>87</v>
      </c>
      <c r="AW2085" s="113" t="s">
        <v>33</v>
      </c>
      <c r="AX2085" s="113" t="s">
        <v>85</v>
      </c>
      <c r="AY2085" s="135" t="s">
        <v>211</v>
      </c>
    </row>
    <row r="2086" spans="2:65" s="113" customFormat="1">
      <c r="B2086" s="119"/>
      <c r="D2086" s="105" t="s">
        <v>365</v>
      </c>
      <c r="F2086" s="120" t="s">
        <v>3090</v>
      </c>
      <c r="H2086" s="121">
        <v>189.71</v>
      </c>
      <c r="I2086" s="128"/>
      <c r="L2086" s="119"/>
      <c r="M2086" s="129"/>
      <c r="T2086" s="133"/>
      <c r="AT2086" s="135" t="s">
        <v>365</v>
      </c>
      <c r="AU2086" s="135" t="s">
        <v>87</v>
      </c>
      <c r="AV2086" s="113" t="s">
        <v>87</v>
      </c>
      <c r="AW2086" s="113" t="s">
        <v>4</v>
      </c>
      <c r="AX2086" s="113" t="s">
        <v>85</v>
      </c>
      <c r="AY2086" s="135" t="s">
        <v>211</v>
      </c>
    </row>
    <row r="2087" spans="2:65" s="1" customFormat="1" ht="38.1" customHeight="1">
      <c r="B2087" s="12"/>
      <c r="C2087" s="114" t="s">
        <v>3091</v>
      </c>
      <c r="D2087" s="114" t="s">
        <v>438</v>
      </c>
      <c r="E2087" s="115" t="s">
        <v>3092</v>
      </c>
      <c r="F2087" s="116" t="s">
        <v>3093</v>
      </c>
      <c r="G2087" s="117" t="s">
        <v>279</v>
      </c>
      <c r="H2087" s="118">
        <v>155.27500000000001</v>
      </c>
      <c r="I2087" s="122">
        <v>270</v>
      </c>
      <c r="J2087" s="123">
        <f>ROUND(I2087*H2087,2)</f>
        <v>41924.25</v>
      </c>
      <c r="K2087" s="124"/>
      <c r="L2087" s="125"/>
      <c r="M2087" s="126" t="s">
        <v>1</v>
      </c>
      <c r="N2087" s="127" t="s">
        <v>42</v>
      </c>
      <c r="P2087" s="95">
        <f>O2087*H2087</f>
        <v>0</v>
      </c>
      <c r="Q2087" s="95">
        <v>2.8999999999999998E-3</v>
      </c>
      <c r="R2087" s="95">
        <f>Q2087*H2087</f>
        <v>0.45029750000000002</v>
      </c>
      <c r="S2087" s="95">
        <v>0</v>
      </c>
      <c r="T2087" s="99">
        <f>S2087*H2087</f>
        <v>0</v>
      </c>
      <c r="AR2087" s="101" t="s">
        <v>527</v>
      </c>
      <c r="AT2087" s="101" t="s">
        <v>438</v>
      </c>
      <c r="AU2087" s="101" t="s">
        <v>87</v>
      </c>
      <c r="AY2087" s="23" t="s">
        <v>211</v>
      </c>
      <c r="BE2087" s="104">
        <f>IF(N2087="základní",J2087,0)</f>
        <v>41924.25</v>
      </c>
      <c r="BF2087" s="104">
        <f>IF(N2087="snížená",J2087,0)</f>
        <v>0</v>
      </c>
      <c r="BG2087" s="104">
        <f>IF(N2087="zákl. přenesená",J2087,0)</f>
        <v>0</v>
      </c>
      <c r="BH2087" s="104">
        <f>IF(N2087="sníž. přenesená",J2087,0)</f>
        <v>0</v>
      </c>
      <c r="BI2087" s="104">
        <f>IF(N2087="nulová",J2087,0)</f>
        <v>0</v>
      </c>
      <c r="BJ2087" s="23" t="s">
        <v>85</v>
      </c>
      <c r="BK2087" s="104">
        <f>ROUND(I2087*H2087,2)</f>
        <v>41924.25</v>
      </c>
      <c r="BL2087" s="23" t="s">
        <v>446</v>
      </c>
      <c r="BM2087" s="101" t="s">
        <v>3094</v>
      </c>
    </row>
    <row r="2088" spans="2:65" s="113" customFormat="1">
      <c r="B2088" s="119"/>
      <c r="D2088" s="105" t="s">
        <v>365</v>
      </c>
      <c r="E2088" s="135" t="s">
        <v>1</v>
      </c>
      <c r="F2088" s="120" t="s">
        <v>300</v>
      </c>
      <c r="H2088" s="121">
        <v>44.6</v>
      </c>
      <c r="I2088" s="128"/>
      <c r="L2088" s="119"/>
      <c r="M2088" s="129"/>
      <c r="T2088" s="133"/>
      <c r="AT2088" s="135" t="s">
        <v>365</v>
      </c>
      <c r="AU2088" s="135" t="s">
        <v>87</v>
      </c>
      <c r="AV2088" s="113" t="s">
        <v>87</v>
      </c>
      <c r="AW2088" s="113" t="s">
        <v>33</v>
      </c>
      <c r="AX2088" s="113" t="s">
        <v>77</v>
      </c>
      <c r="AY2088" s="135" t="s">
        <v>211</v>
      </c>
    </row>
    <row r="2089" spans="2:65" s="113" customFormat="1">
      <c r="B2089" s="119"/>
      <c r="D2089" s="105" t="s">
        <v>365</v>
      </c>
      <c r="E2089" s="135" t="s">
        <v>1</v>
      </c>
      <c r="F2089" s="120" t="s">
        <v>302</v>
      </c>
      <c r="H2089" s="121">
        <v>32.97</v>
      </c>
      <c r="I2089" s="128"/>
      <c r="L2089" s="119"/>
      <c r="M2089" s="129"/>
      <c r="T2089" s="133"/>
      <c r="AT2089" s="135" t="s">
        <v>365</v>
      </c>
      <c r="AU2089" s="135" t="s">
        <v>87</v>
      </c>
      <c r="AV2089" s="113" t="s">
        <v>87</v>
      </c>
      <c r="AW2089" s="113" t="s">
        <v>33</v>
      </c>
      <c r="AX2089" s="113" t="s">
        <v>77</v>
      </c>
      <c r="AY2089" s="135" t="s">
        <v>211</v>
      </c>
    </row>
    <row r="2090" spans="2:65" s="113" customFormat="1">
      <c r="B2090" s="119"/>
      <c r="D2090" s="105" t="s">
        <v>365</v>
      </c>
      <c r="E2090" s="135" t="s">
        <v>1</v>
      </c>
      <c r="F2090" s="120" t="s">
        <v>306</v>
      </c>
      <c r="H2090" s="121">
        <v>74.66</v>
      </c>
      <c r="I2090" s="128"/>
      <c r="L2090" s="119"/>
      <c r="M2090" s="129"/>
      <c r="T2090" s="133"/>
      <c r="AT2090" s="135" t="s">
        <v>365</v>
      </c>
      <c r="AU2090" s="135" t="s">
        <v>87</v>
      </c>
      <c r="AV2090" s="113" t="s">
        <v>87</v>
      </c>
      <c r="AW2090" s="113" t="s">
        <v>33</v>
      </c>
      <c r="AX2090" s="113" t="s">
        <v>77</v>
      </c>
      <c r="AY2090" s="135" t="s">
        <v>211</v>
      </c>
    </row>
    <row r="2091" spans="2:65" s="137" customFormat="1">
      <c r="B2091" s="141"/>
      <c r="D2091" s="105" t="s">
        <v>365</v>
      </c>
      <c r="E2091" s="142" t="s">
        <v>1</v>
      </c>
      <c r="F2091" s="143" t="s">
        <v>368</v>
      </c>
      <c r="H2091" s="144">
        <v>152.22999999999999</v>
      </c>
      <c r="I2091" s="148"/>
      <c r="L2091" s="141"/>
      <c r="M2091" s="149"/>
      <c r="T2091" s="151"/>
      <c r="AT2091" s="142" t="s">
        <v>365</v>
      </c>
      <c r="AU2091" s="142" t="s">
        <v>87</v>
      </c>
      <c r="AV2091" s="137" t="s">
        <v>218</v>
      </c>
      <c r="AW2091" s="137" t="s">
        <v>33</v>
      </c>
      <c r="AX2091" s="137" t="s">
        <v>85</v>
      </c>
      <c r="AY2091" s="142" t="s">
        <v>211</v>
      </c>
    </row>
    <row r="2092" spans="2:65" s="113" customFormat="1">
      <c r="B2092" s="119"/>
      <c r="D2092" s="105" t="s">
        <v>365</v>
      </c>
      <c r="F2092" s="120" t="s">
        <v>3095</v>
      </c>
      <c r="H2092" s="121">
        <v>155.27500000000001</v>
      </c>
      <c r="I2092" s="128"/>
      <c r="L2092" s="119"/>
      <c r="M2092" s="129"/>
      <c r="T2092" s="133"/>
      <c r="AT2092" s="135" t="s">
        <v>365</v>
      </c>
      <c r="AU2092" s="135" t="s">
        <v>87</v>
      </c>
      <c r="AV2092" s="113" t="s">
        <v>87</v>
      </c>
      <c r="AW2092" s="113" t="s">
        <v>4</v>
      </c>
      <c r="AX2092" s="113" t="s">
        <v>85</v>
      </c>
      <c r="AY2092" s="135" t="s">
        <v>211</v>
      </c>
    </row>
    <row r="2093" spans="2:65" s="1" customFormat="1" ht="38.1" customHeight="1">
      <c r="B2093" s="12"/>
      <c r="C2093" s="114" t="s">
        <v>3096</v>
      </c>
      <c r="D2093" s="114" t="s">
        <v>438</v>
      </c>
      <c r="E2093" s="115" t="s">
        <v>3097</v>
      </c>
      <c r="F2093" s="116" t="s">
        <v>3098</v>
      </c>
      <c r="G2093" s="117" t="s">
        <v>279</v>
      </c>
      <c r="H2093" s="118">
        <v>189.71</v>
      </c>
      <c r="I2093" s="122">
        <v>320</v>
      </c>
      <c r="J2093" s="123">
        <f>ROUND(I2093*H2093,2)</f>
        <v>60707.199999999997</v>
      </c>
      <c r="K2093" s="124"/>
      <c r="L2093" s="125"/>
      <c r="M2093" s="126" t="s">
        <v>1</v>
      </c>
      <c r="N2093" s="127" t="s">
        <v>42</v>
      </c>
      <c r="P2093" s="95">
        <f>O2093*H2093</f>
        <v>0</v>
      </c>
      <c r="Q2093" s="95">
        <v>3.5999999999999999E-3</v>
      </c>
      <c r="R2093" s="95">
        <f>Q2093*H2093</f>
        <v>0.68295600000000001</v>
      </c>
      <c r="S2093" s="95">
        <v>0</v>
      </c>
      <c r="T2093" s="99">
        <f>S2093*H2093</f>
        <v>0</v>
      </c>
      <c r="AR2093" s="101" t="s">
        <v>527</v>
      </c>
      <c r="AT2093" s="101" t="s">
        <v>438</v>
      </c>
      <c r="AU2093" s="101" t="s">
        <v>87</v>
      </c>
      <c r="AY2093" s="23" t="s">
        <v>211</v>
      </c>
      <c r="BE2093" s="104">
        <f>IF(N2093="základní",J2093,0)</f>
        <v>60707.199999999997</v>
      </c>
      <c r="BF2093" s="104">
        <f>IF(N2093="snížená",J2093,0)</f>
        <v>0</v>
      </c>
      <c r="BG2093" s="104">
        <f>IF(N2093="zákl. přenesená",J2093,0)</f>
        <v>0</v>
      </c>
      <c r="BH2093" s="104">
        <f>IF(N2093="sníž. přenesená",J2093,0)</f>
        <v>0</v>
      </c>
      <c r="BI2093" s="104">
        <f>IF(N2093="nulová",J2093,0)</f>
        <v>0</v>
      </c>
      <c r="BJ2093" s="23" t="s">
        <v>85</v>
      </c>
      <c r="BK2093" s="104">
        <f>ROUND(I2093*H2093,2)</f>
        <v>60707.199999999997</v>
      </c>
      <c r="BL2093" s="23" t="s">
        <v>446</v>
      </c>
      <c r="BM2093" s="101" t="s">
        <v>3099</v>
      </c>
    </row>
    <row r="2094" spans="2:65" s="113" customFormat="1">
      <c r="B2094" s="119"/>
      <c r="D2094" s="105" t="s">
        <v>365</v>
      </c>
      <c r="E2094" s="135" t="s">
        <v>1</v>
      </c>
      <c r="F2094" s="120" t="s">
        <v>304</v>
      </c>
      <c r="H2094" s="121">
        <v>185.99</v>
      </c>
      <c r="I2094" s="128"/>
      <c r="L2094" s="119"/>
      <c r="M2094" s="129"/>
      <c r="T2094" s="133"/>
      <c r="AT2094" s="135" t="s">
        <v>365</v>
      </c>
      <c r="AU2094" s="135" t="s">
        <v>87</v>
      </c>
      <c r="AV2094" s="113" t="s">
        <v>87</v>
      </c>
      <c r="AW2094" s="113" t="s">
        <v>33</v>
      </c>
      <c r="AX2094" s="113" t="s">
        <v>85</v>
      </c>
      <c r="AY2094" s="135" t="s">
        <v>211</v>
      </c>
    </row>
    <row r="2095" spans="2:65" s="113" customFormat="1">
      <c r="B2095" s="119"/>
      <c r="D2095" s="105" t="s">
        <v>365</v>
      </c>
      <c r="F2095" s="120" t="s">
        <v>3090</v>
      </c>
      <c r="H2095" s="121">
        <v>189.71</v>
      </c>
      <c r="I2095" s="128"/>
      <c r="L2095" s="119"/>
      <c r="M2095" s="129"/>
      <c r="T2095" s="133"/>
      <c r="AT2095" s="135" t="s">
        <v>365</v>
      </c>
      <c r="AU2095" s="135" t="s">
        <v>87</v>
      </c>
      <c r="AV2095" s="113" t="s">
        <v>87</v>
      </c>
      <c r="AW2095" s="113" t="s">
        <v>4</v>
      </c>
      <c r="AX2095" s="113" t="s">
        <v>85</v>
      </c>
      <c r="AY2095" s="135" t="s">
        <v>211</v>
      </c>
    </row>
    <row r="2096" spans="2:65" s="1" customFormat="1" ht="33" customHeight="1">
      <c r="B2096" s="12"/>
      <c r="C2096" s="114" t="s">
        <v>3100</v>
      </c>
      <c r="D2096" s="114" t="s">
        <v>438</v>
      </c>
      <c r="E2096" s="115" t="s">
        <v>3101</v>
      </c>
      <c r="F2096" s="116" t="s">
        <v>3102</v>
      </c>
      <c r="G2096" s="117" t="s">
        <v>279</v>
      </c>
      <c r="H2096" s="118">
        <v>30.742999999999999</v>
      </c>
      <c r="I2096" s="122">
        <v>900</v>
      </c>
      <c r="J2096" s="123">
        <f>ROUND(I2096*H2096,2)</f>
        <v>27668.7</v>
      </c>
      <c r="K2096" s="124"/>
      <c r="L2096" s="125"/>
      <c r="M2096" s="126" t="s">
        <v>1</v>
      </c>
      <c r="N2096" s="127" t="s">
        <v>42</v>
      </c>
      <c r="P2096" s="95">
        <f>O2096*H2096</f>
        <v>0</v>
      </c>
      <c r="Q2096" s="95">
        <v>3.5999999999999999E-3</v>
      </c>
      <c r="R2096" s="95">
        <f>Q2096*H2096</f>
        <v>0.1106748</v>
      </c>
      <c r="S2096" s="95">
        <v>0</v>
      </c>
      <c r="T2096" s="99">
        <f>S2096*H2096</f>
        <v>0</v>
      </c>
      <c r="AR2096" s="101" t="s">
        <v>527</v>
      </c>
      <c r="AT2096" s="101" t="s">
        <v>438</v>
      </c>
      <c r="AU2096" s="101" t="s">
        <v>87</v>
      </c>
      <c r="AY2096" s="23" t="s">
        <v>211</v>
      </c>
      <c r="BE2096" s="104">
        <f>IF(N2096="základní",J2096,0)</f>
        <v>27668.7</v>
      </c>
      <c r="BF2096" s="104">
        <f>IF(N2096="snížená",J2096,0)</f>
        <v>0</v>
      </c>
      <c r="BG2096" s="104">
        <f>IF(N2096="zákl. přenesená",J2096,0)</f>
        <v>0</v>
      </c>
      <c r="BH2096" s="104">
        <f>IF(N2096="sníž. přenesená",J2096,0)</f>
        <v>0</v>
      </c>
      <c r="BI2096" s="104">
        <f>IF(N2096="nulová",J2096,0)</f>
        <v>0</v>
      </c>
      <c r="BJ2096" s="23" t="s">
        <v>85</v>
      </c>
      <c r="BK2096" s="104">
        <f>ROUND(I2096*H2096,2)</f>
        <v>27668.7</v>
      </c>
      <c r="BL2096" s="23" t="s">
        <v>446</v>
      </c>
      <c r="BM2096" s="101" t="s">
        <v>3103</v>
      </c>
    </row>
    <row r="2097" spans="2:65" s="113" customFormat="1">
      <c r="B2097" s="119"/>
      <c r="D2097" s="105" t="s">
        <v>365</v>
      </c>
      <c r="E2097" s="135" t="s">
        <v>1</v>
      </c>
      <c r="F2097" s="120" t="s">
        <v>308</v>
      </c>
      <c r="H2097" s="121">
        <v>30.14</v>
      </c>
      <c r="I2097" s="128"/>
      <c r="L2097" s="119"/>
      <c r="M2097" s="129"/>
      <c r="T2097" s="133"/>
      <c r="AT2097" s="135" t="s">
        <v>365</v>
      </c>
      <c r="AU2097" s="135" t="s">
        <v>87</v>
      </c>
      <c r="AV2097" s="113" t="s">
        <v>87</v>
      </c>
      <c r="AW2097" s="113" t="s">
        <v>33</v>
      </c>
      <c r="AX2097" s="113" t="s">
        <v>85</v>
      </c>
      <c r="AY2097" s="135" t="s">
        <v>211</v>
      </c>
    </row>
    <row r="2098" spans="2:65" s="113" customFormat="1">
      <c r="B2098" s="119"/>
      <c r="D2098" s="105" t="s">
        <v>365</v>
      </c>
      <c r="F2098" s="120" t="s">
        <v>3104</v>
      </c>
      <c r="H2098" s="121">
        <v>30.742999999999999</v>
      </c>
      <c r="I2098" s="128"/>
      <c r="L2098" s="119"/>
      <c r="M2098" s="129"/>
      <c r="T2098" s="133"/>
      <c r="AT2098" s="135" t="s">
        <v>365</v>
      </c>
      <c r="AU2098" s="135" t="s">
        <v>87</v>
      </c>
      <c r="AV2098" s="113" t="s">
        <v>87</v>
      </c>
      <c r="AW2098" s="113" t="s">
        <v>4</v>
      </c>
      <c r="AX2098" s="113" t="s">
        <v>85</v>
      </c>
      <c r="AY2098" s="135" t="s">
        <v>211</v>
      </c>
    </row>
    <row r="2099" spans="2:65" s="1" customFormat="1" ht="44.25" customHeight="1">
      <c r="B2099" s="12"/>
      <c r="C2099" s="114" t="s">
        <v>3105</v>
      </c>
      <c r="D2099" s="114" t="s">
        <v>438</v>
      </c>
      <c r="E2099" s="115" t="s">
        <v>3106</v>
      </c>
      <c r="F2099" s="116" t="s">
        <v>3107</v>
      </c>
      <c r="G2099" s="117" t="s">
        <v>279</v>
      </c>
      <c r="H2099" s="118">
        <v>30.742999999999999</v>
      </c>
      <c r="I2099" s="122">
        <v>650</v>
      </c>
      <c r="J2099" s="123">
        <f>ROUND(I2099*H2099,2)</f>
        <v>19982.95</v>
      </c>
      <c r="K2099" s="124"/>
      <c r="L2099" s="125"/>
      <c r="M2099" s="126" t="s">
        <v>1</v>
      </c>
      <c r="N2099" s="127" t="s">
        <v>42</v>
      </c>
      <c r="P2099" s="95">
        <f>O2099*H2099</f>
        <v>0</v>
      </c>
      <c r="Q2099" s="95">
        <v>2.3999999999999998E-3</v>
      </c>
      <c r="R2099" s="95">
        <f>Q2099*H2099</f>
        <v>7.3783199999999993E-2</v>
      </c>
      <c r="S2099" s="95">
        <v>0</v>
      </c>
      <c r="T2099" s="99">
        <f>S2099*H2099</f>
        <v>0</v>
      </c>
      <c r="AR2099" s="101" t="s">
        <v>527</v>
      </c>
      <c r="AT2099" s="101" t="s">
        <v>438</v>
      </c>
      <c r="AU2099" s="101" t="s">
        <v>87</v>
      </c>
      <c r="AY2099" s="23" t="s">
        <v>211</v>
      </c>
      <c r="BE2099" s="104">
        <f>IF(N2099="základní",J2099,0)</f>
        <v>19982.95</v>
      </c>
      <c r="BF2099" s="104">
        <f>IF(N2099="snížená",J2099,0)</f>
        <v>0</v>
      </c>
      <c r="BG2099" s="104">
        <f>IF(N2099="zákl. přenesená",J2099,0)</f>
        <v>0</v>
      </c>
      <c r="BH2099" s="104">
        <f>IF(N2099="sníž. přenesená",J2099,0)</f>
        <v>0</v>
      </c>
      <c r="BI2099" s="104">
        <f>IF(N2099="nulová",J2099,0)</f>
        <v>0</v>
      </c>
      <c r="BJ2099" s="23" t="s">
        <v>85</v>
      </c>
      <c r="BK2099" s="104">
        <f>ROUND(I2099*H2099,2)</f>
        <v>19982.95</v>
      </c>
      <c r="BL2099" s="23" t="s">
        <v>446</v>
      </c>
      <c r="BM2099" s="101" t="s">
        <v>3108</v>
      </c>
    </row>
    <row r="2100" spans="2:65" s="113" customFormat="1">
      <c r="B2100" s="119"/>
      <c r="D2100" s="105" t="s">
        <v>365</v>
      </c>
      <c r="E2100" s="135" t="s">
        <v>1</v>
      </c>
      <c r="F2100" s="120" t="s">
        <v>308</v>
      </c>
      <c r="H2100" s="121">
        <v>30.14</v>
      </c>
      <c r="I2100" s="128"/>
      <c r="L2100" s="119"/>
      <c r="M2100" s="129"/>
      <c r="T2100" s="133"/>
      <c r="AT2100" s="135" t="s">
        <v>365</v>
      </c>
      <c r="AU2100" s="135" t="s">
        <v>87</v>
      </c>
      <c r="AV2100" s="113" t="s">
        <v>87</v>
      </c>
      <c r="AW2100" s="113" t="s">
        <v>33</v>
      </c>
      <c r="AX2100" s="113" t="s">
        <v>85</v>
      </c>
      <c r="AY2100" s="135" t="s">
        <v>211</v>
      </c>
    </row>
    <row r="2101" spans="2:65" s="113" customFormat="1">
      <c r="B2101" s="119"/>
      <c r="D2101" s="105" t="s">
        <v>365</v>
      </c>
      <c r="F2101" s="120" t="s">
        <v>3104</v>
      </c>
      <c r="H2101" s="121">
        <v>30.742999999999999</v>
      </c>
      <c r="I2101" s="128"/>
      <c r="L2101" s="119"/>
      <c r="M2101" s="129"/>
      <c r="T2101" s="133"/>
      <c r="AT2101" s="135" t="s">
        <v>365</v>
      </c>
      <c r="AU2101" s="135" t="s">
        <v>87</v>
      </c>
      <c r="AV2101" s="113" t="s">
        <v>87</v>
      </c>
      <c r="AW2101" s="113" t="s">
        <v>4</v>
      </c>
      <c r="AX2101" s="113" t="s">
        <v>85</v>
      </c>
      <c r="AY2101" s="135" t="s">
        <v>211</v>
      </c>
    </row>
    <row r="2102" spans="2:65" s="1" customFormat="1" ht="24.15" customHeight="1">
      <c r="B2102" s="12"/>
      <c r="C2102" s="71" t="s">
        <v>3109</v>
      </c>
      <c r="D2102" s="71" t="s">
        <v>214</v>
      </c>
      <c r="E2102" s="72" t="s">
        <v>3110</v>
      </c>
      <c r="F2102" s="73" t="s">
        <v>3111</v>
      </c>
      <c r="G2102" s="74" t="s">
        <v>279</v>
      </c>
      <c r="H2102" s="75">
        <v>2283.2399999999998</v>
      </c>
      <c r="I2102" s="90">
        <v>52</v>
      </c>
      <c r="J2102" s="91">
        <f>ROUND(I2102*H2102,2)</f>
        <v>118728.48</v>
      </c>
      <c r="K2102" s="92"/>
      <c r="L2102" s="12"/>
      <c r="M2102" s="93" t="s">
        <v>1</v>
      </c>
      <c r="N2102" s="94" t="s">
        <v>42</v>
      </c>
      <c r="P2102" s="95">
        <f>O2102*H2102</f>
        <v>0</v>
      </c>
      <c r="Q2102" s="95">
        <v>0</v>
      </c>
      <c r="R2102" s="95">
        <f>Q2102*H2102</f>
        <v>0</v>
      </c>
      <c r="S2102" s="95">
        <v>0</v>
      </c>
      <c r="T2102" s="99">
        <f>S2102*H2102</f>
        <v>0</v>
      </c>
      <c r="AR2102" s="101" t="s">
        <v>446</v>
      </c>
      <c r="AT2102" s="101" t="s">
        <v>214</v>
      </c>
      <c r="AU2102" s="101" t="s">
        <v>87</v>
      </c>
      <c r="AY2102" s="23" t="s">
        <v>211</v>
      </c>
      <c r="BE2102" s="104">
        <f>IF(N2102="základní",J2102,0)</f>
        <v>118728.48</v>
      </c>
      <c r="BF2102" s="104">
        <f>IF(N2102="snížená",J2102,0)</f>
        <v>0</v>
      </c>
      <c r="BG2102" s="104">
        <f>IF(N2102="zákl. přenesená",J2102,0)</f>
        <v>0</v>
      </c>
      <c r="BH2102" s="104">
        <f>IF(N2102="sníž. přenesená",J2102,0)</f>
        <v>0</v>
      </c>
      <c r="BI2102" s="104">
        <f>IF(N2102="nulová",J2102,0)</f>
        <v>0</v>
      </c>
      <c r="BJ2102" s="23" t="s">
        <v>85</v>
      </c>
      <c r="BK2102" s="104">
        <f>ROUND(I2102*H2102,2)</f>
        <v>118728.48</v>
      </c>
      <c r="BL2102" s="23" t="s">
        <v>446</v>
      </c>
      <c r="BM2102" s="101" t="s">
        <v>3112</v>
      </c>
    </row>
    <row r="2103" spans="2:65" s="136" customFormat="1">
      <c r="B2103" s="138"/>
      <c r="D2103" s="105" t="s">
        <v>365</v>
      </c>
      <c r="E2103" s="139" t="s">
        <v>1</v>
      </c>
      <c r="F2103" s="140" t="s">
        <v>3113</v>
      </c>
      <c r="H2103" s="139" t="s">
        <v>1</v>
      </c>
      <c r="I2103" s="146"/>
      <c r="L2103" s="138"/>
      <c r="M2103" s="147"/>
      <c r="T2103" s="150"/>
      <c r="AT2103" s="139" t="s">
        <v>365</v>
      </c>
      <c r="AU2103" s="139" t="s">
        <v>87</v>
      </c>
      <c r="AV2103" s="136" t="s">
        <v>85</v>
      </c>
      <c r="AW2103" s="136" t="s">
        <v>33</v>
      </c>
      <c r="AX2103" s="136" t="s">
        <v>77</v>
      </c>
      <c r="AY2103" s="139" t="s">
        <v>211</v>
      </c>
    </row>
    <row r="2104" spans="2:65" s="113" customFormat="1">
      <c r="B2104" s="119"/>
      <c r="D2104" s="105" t="s">
        <v>365</v>
      </c>
      <c r="E2104" s="135" t="s">
        <v>1</v>
      </c>
      <c r="F2104" s="120" t="s">
        <v>3114</v>
      </c>
      <c r="H2104" s="121">
        <v>735.02</v>
      </c>
      <c r="I2104" s="128"/>
      <c r="L2104" s="119"/>
      <c r="M2104" s="129"/>
      <c r="T2104" s="133"/>
      <c r="AT2104" s="135" t="s">
        <v>365</v>
      </c>
      <c r="AU2104" s="135" t="s">
        <v>87</v>
      </c>
      <c r="AV2104" s="113" t="s">
        <v>87</v>
      </c>
      <c r="AW2104" s="113" t="s">
        <v>33</v>
      </c>
      <c r="AX2104" s="113" t="s">
        <v>77</v>
      </c>
      <c r="AY2104" s="135" t="s">
        <v>211</v>
      </c>
    </row>
    <row r="2105" spans="2:65" s="113" customFormat="1">
      <c r="B2105" s="119"/>
      <c r="D2105" s="105" t="s">
        <v>365</v>
      </c>
      <c r="E2105" s="135" t="s">
        <v>1</v>
      </c>
      <c r="F2105" s="120" t="s">
        <v>3115</v>
      </c>
      <c r="H2105" s="121">
        <v>877</v>
      </c>
      <c r="I2105" s="128"/>
      <c r="L2105" s="119"/>
      <c r="M2105" s="129"/>
      <c r="T2105" s="133"/>
      <c r="AT2105" s="135" t="s">
        <v>365</v>
      </c>
      <c r="AU2105" s="135" t="s">
        <v>87</v>
      </c>
      <c r="AV2105" s="113" t="s">
        <v>87</v>
      </c>
      <c r="AW2105" s="113" t="s">
        <v>33</v>
      </c>
      <c r="AX2105" s="113" t="s">
        <v>77</v>
      </c>
      <c r="AY2105" s="135" t="s">
        <v>211</v>
      </c>
    </row>
    <row r="2106" spans="2:65" s="113" customFormat="1">
      <c r="B2106" s="119"/>
      <c r="D2106" s="105" t="s">
        <v>365</v>
      </c>
      <c r="E2106" s="135" t="s">
        <v>1</v>
      </c>
      <c r="F2106" s="120" t="s">
        <v>3116</v>
      </c>
      <c r="H2106" s="121">
        <v>671.22</v>
      </c>
      <c r="I2106" s="128"/>
      <c r="L2106" s="119"/>
      <c r="M2106" s="129"/>
      <c r="T2106" s="133"/>
      <c r="AT2106" s="135" t="s">
        <v>365</v>
      </c>
      <c r="AU2106" s="135" t="s">
        <v>87</v>
      </c>
      <c r="AV2106" s="113" t="s">
        <v>87</v>
      </c>
      <c r="AW2106" s="113" t="s">
        <v>33</v>
      </c>
      <c r="AX2106" s="113" t="s">
        <v>77</v>
      </c>
      <c r="AY2106" s="135" t="s">
        <v>211</v>
      </c>
    </row>
    <row r="2107" spans="2:65" s="136" customFormat="1">
      <c r="B2107" s="138"/>
      <c r="D2107" s="105" t="s">
        <v>365</v>
      </c>
      <c r="E2107" s="139" t="s">
        <v>1</v>
      </c>
      <c r="F2107" s="140" t="s">
        <v>3117</v>
      </c>
      <c r="H2107" s="139" t="s">
        <v>1</v>
      </c>
      <c r="I2107" s="146"/>
      <c r="L2107" s="138"/>
      <c r="M2107" s="147"/>
      <c r="T2107" s="150"/>
      <c r="AT2107" s="139" t="s">
        <v>365</v>
      </c>
      <c r="AU2107" s="139" t="s">
        <v>87</v>
      </c>
      <c r="AV2107" s="136" t="s">
        <v>85</v>
      </c>
      <c r="AW2107" s="136" t="s">
        <v>33</v>
      </c>
      <c r="AX2107" s="136" t="s">
        <v>77</v>
      </c>
      <c r="AY2107" s="139" t="s">
        <v>211</v>
      </c>
    </row>
    <row r="2108" spans="2:65" s="137" customFormat="1">
      <c r="B2108" s="141"/>
      <c r="D2108" s="105" t="s">
        <v>365</v>
      </c>
      <c r="E2108" s="142" t="s">
        <v>1</v>
      </c>
      <c r="F2108" s="143" t="s">
        <v>368</v>
      </c>
      <c r="H2108" s="144">
        <v>2283.2399999999998</v>
      </c>
      <c r="I2108" s="148"/>
      <c r="L2108" s="141"/>
      <c r="M2108" s="149"/>
      <c r="T2108" s="151"/>
      <c r="AT2108" s="142" t="s">
        <v>365</v>
      </c>
      <c r="AU2108" s="142" t="s">
        <v>87</v>
      </c>
      <c r="AV2108" s="137" t="s">
        <v>218</v>
      </c>
      <c r="AW2108" s="137" t="s">
        <v>33</v>
      </c>
      <c r="AX2108" s="137" t="s">
        <v>85</v>
      </c>
      <c r="AY2108" s="142" t="s">
        <v>211</v>
      </c>
    </row>
    <row r="2109" spans="2:65" s="1" customFormat="1" ht="33" customHeight="1">
      <c r="B2109" s="12"/>
      <c r="C2109" s="114" t="s">
        <v>3118</v>
      </c>
      <c r="D2109" s="114" t="s">
        <v>438</v>
      </c>
      <c r="E2109" s="115" t="s">
        <v>3119</v>
      </c>
      <c r="F2109" s="116" t="s">
        <v>3120</v>
      </c>
      <c r="G2109" s="117" t="s">
        <v>279</v>
      </c>
      <c r="H2109" s="118">
        <v>2328.9050000000002</v>
      </c>
      <c r="I2109" s="122">
        <v>350</v>
      </c>
      <c r="J2109" s="123">
        <f>ROUND(I2109*H2109,2)</f>
        <v>815116.75</v>
      </c>
      <c r="K2109" s="124"/>
      <c r="L2109" s="125"/>
      <c r="M2109" s="126" t="s">
        <v>1</v>
      </c>
      <c r="N2109" s="127" t="s">
        <v>42</v>
      </c>
      <c r="P2109" s="95">
        <f>O2109*H2109</f>
        <v>0</v>
      </c>
      <c r="Q2109" s="95">
        <v>2E-3</v>
      </c>
      <c r="R2109" s="95">
        <f>Q2109*H2109</f>
        <v>4.6578099999999996</v>
      </c>
      <c r="S2109" s="95">
        <v>0</v>
      </c>
      <c r="T2109" s="99">
        <f>S2109*H2109</f>
        <v>0</v>
      </c>
      <c r="AR2109" s="101" t="s">
        <v>527</v>
      </c>
      <c r="AT2109" s="101" t="s">
        <v>438</v>
      </c>
      <c r="AU2109" s="101" t="s">
        <v>87</v>
      </c>
      <c r="AY2109" s="23" t="s">
        <v>211</v>
      </c>
      <c r="BE2109" s="104">
        <f>IF(N2109="základní",J2109,0)</f>
        <v>815116.75</v>
      </c>
      <c r="BF2109" s="104">
        <f>IF(N2109="snížená",J2109,0)</f>
        <v>0</v>
      </c>
      <c r="BG2109" s="104">
        <f>IF(N2109="zákl. přenesená",J2109,0)</f>
        <v>0</v>
      </c>
      <c r="BH2109" s="104">
        <f>IF(N2109="sníž. přenesená",J2109,0)</f>
        <v>0</v>
      </c>
      <c r="BI2109" s="104">
        <f>IF(N2109="nulová",J2109,0)</f>
        <v>0</v>
      </c>
      <c r="BJ2109" s="23" t="s">
        <v>85</v>
      </c>
      <c r="BK2109" s="104">
        <f>ROUND(I2109*H2109,2)</f>
        <v>815116.75</v>
      </c>
      <c r="BL2109" s="23" t="s">
        <v>446</v>
      </c>
      <c r="BM2109" s="101" t="s">
        <v>3121</v>
      </c>
    </row>
    <row r="2110" spans="2:65" s="113" customFormat="1">
      <c r="B2110" s="119"/>
      <c r="D2110" s="105" t="s">
        <v>365</v>
      </c>
      <c r="F2110" s="120" t="s">
        <v>3122</v>
      </c>
      <c r="H2110" s="121">
        <v>2328.9050000000002</v>
      </c>
      <c r="I2110" s="128"/>
      <c r="L2110" s="119"/>
      <c r="M2110" s="129"/>
      <c r="T2110" s="133"/>
      <c r="AT2110" s="135" t="s">
        <v>365</v>
      </c>
      <c r="AU2110" s="135" t="s">
        <v>87</v>
      </c>
      <c r="AV2110" s="113" t="s">
        <v>87</v>
      </c>
      <c r="AW2110" s="113" t="s">
        <v>4</v>
      </c>
      <c r="AX2110" s="113" t="s">
        <v>85</v>
      </c>
      <c r="AY2110" s="135" t="s">
        <v>211</v>
      </c>
    </row>
    <row r="2111" spans="2:65" s="1" customFormat="1" ht="33" customHeight="1">
      <c r="B2111" s="12"/>
      <c r="C2111" s="114" t="s">
        <v>3123</v>
      </c>
      <c r="D2111" s="114" t="s">
        <v>438</v>
      </c>
      <c r="E2111" s="115" t="s">
        <v>3124</v>
      </c>
      <c r="F2111" s="116" t="s">
        <v>3125</v>
      </c>
      <c r="G2111" s="117" t="s">
        <v>279</v>
      </c>
      <c r="H2111" s="118">
        <v>2328.9050000000002</v>
      </c>
      <c r="I2111" s="122">
        <v>123</v>
      </c>
      <c r="J2111" s="123">
        <f>ROUND(I2111*H2111,2)</f>
        <v>286455.32</v>
      </c>
      <c r="K2111" s="124"/>
      <c r="L2111" s="125"/>
      <c r="M2111" s="126" t="s">
        <v>1</v>
      </c>
      <c r="N2111" s="127" t="s">
        <v>42</v>
      </c>
      <c r="P2111" s="95">
        <f>O2111*H2111</f>
        <v>0</v>
      </c>
      <c r="Q2111" s="95">
        <v>2E-3</v>
      </c>
      <c r="R2111" s="95">
        <f>Q2111*H2111</f>
        <v>4.6578099999999996</v>
      </c>
      <c r="S2111" s="95">
        <v>0</v>
      </c>
      <c r="T2111" s="99">
        <f>S2111*H2111</f>
        <v>0</v>
      </c>
      <c r="AR2111" s="101" t="s">
        <v>527</v>
      </c>
      <c r="AT2111" s="101" t="s">
        <v>438</v>
      </c>
      <c r="AU2111" s="101" t="s">
        <v>87</v>
      </c>
      <c r="AY2111" s="23" t="s">
        <v>211</v>
      </c>
      <c r="BE2111" s="104">
        <f>IF(N2111="základní",J2111,0)</f>
        <v>286455.32</v>
      </c>
      <c r="BF2111" s="104">
        <f>IF(N2111="snížená",J2111,0)</f>
        <v>0</v>
      </c>
      <c r="BG2111" s="104">
        <f>IF(N2111="zákl. přenesená",J2111,0)</f>
        <v>0</v>
      </c>
      <c r="BH2111" s="104">
        <f>IF(N2111="sníž. přenesená",J2111,0)</f>
        <v>0</v>
      </c>
      <c r="BI2111" s="104">
        <f>IF(N2111="nulová",J2111,0)</f>
        <v>0</v>
      </c>
      <c r="BJ2111" s="23" t="s">
        <v>85</v>
      </c>
      <c r="BK2111" s="104">
        <f>ROUND(I2111*H2111,2)</f>
        <v>286455.32</v>
      </c>
      <c r="BL2111" s="23" t="s">
        <v>446</v>
      </c>
      <c r="BM2111" s="101" t="s">
        <v>3126</v>
      </c>
    </row>
    <row r="2112" spans="2:65" s="113" customFormat="1">
      <c r="B2112" s="119"/>
      <c r="D2112" s="105" t="s">
        <v>365</v>
      </c>
      <c r="F2112" s="120" t="s">
        <v>3122</v>
      </c>
      <c r="H2112" s="121">
        <v>2328.9050000000002</v>
      </c>
      <c r="I2112" s="128"/>
      <c r="L2112" s="119"/>
      <c r="M2112" s="129"/>
      <c r="T2112" s="133"/>
      <c r="AT2112" s="135" t="s">
        <v>365</v>
      </c>
      <c r="AU2112" s="135" t="s">
        <v>87</v>
      </c>
      <c r="AV2112" s="113" t="s">
        <v>87</v>
      </c>
      <c r="AW2112" s="113" t="s">
        <v>4</v>
      </c>
      <c r="AX2112" s="113" t="s">
        <v>85</v>
      </c>
      <c r="AY2112" s="135" t="s">
        <v>211</v>
      </c>
    </row>
    <row r="2113" spans="2:65" s="1" customFormat="1" ht="24.15" customHeight="1">
      <c r="B2113" s="12"/>
      <c r="C2113" s="71" t="s">
        <v>3127</v>
      </c>
      <c r="D2113" s="71" t="s">
        <v>214</v>
      </c>
      <c r="E2113" s="72" t="s">
        <v>3128</v>
      </c>
      <c r="F2113" s="73" t="s">
        <v>3129</v>
      </c>
      <c r="G2113" s="74" t="s">
        <v>2866</v>
      </c>
      <c r="H2113" s="163">
        <f>SUM(J1957:J2111)/100</f>
        <v>42338.890200000002</v>
      </c>
      <c r="I2113" s="90">
        <v>2.1</v>
      </c>
      <c r="J2113" s="91">
        <f>ROUND(I2113*H2113,2)</f>
        <v>88911.67</v>
      </c>
      <c r="K2113" s="92"/>
      <c r="L2113" s="12"/>
      <c r="M2113" s="93" t="s">
        <v>1</v>
      </c>
      <c r="N2113" s="94" t="s">
        <v>42</v>
      </c>
      <c r="P2113" s="95">
        <f>O2113*H2113</f>
        <v>0</v>
      </c>
      <c r="Q2113" s="95">
        <v>0</v>
      </c>
      <c r="R2113" s="95">
        <f>Q2113*H2113</f>
        <v>0</v>
      </c>
      <c r="S2113" s="95">
        <v>0</v>
      </c>
      <c r="T2113" s="99">
        <f>S2113*H2113</f>
        <v>0</v>
      </c>
      <c r="AR2113" s="101" t="s">
        <v>446</v>
      </c>
      <c r="AT2113" s="101" t="s">
        <v>214</v>
      </c>
      <c r="AU2113" s="101" t="s">
        <v>87</v>
      </c>
      <c r="AY2113" s="23" t="s">
        <v>211</v>
      </c>
      <c r="BE2113" s="104">
        <f>IF(N2113="základní",J2113,0)</f>
        <v>88911.67</v>
      </c>
      <c r="BF2113" s="104">
        <f>IF(N2113="snížená",J2113,0)</f>
        <v>0</v>
      </c>
      <c r="BG2113" s="104">
        <f>IF(N2113="zákl. přenesená",J2113,0)</f>
        <v>0</v>
      </c>
      <c r="BH2113" s="104">
        <f>IF(N2113="sníž. přenesená",J2113,0)</f>
        <v>0</v>
      </c>
      <c r="BI2113" s="104">
        <f>IF(N2113="nulová",J2113,0)</f>
        <v>0</v>
      </c>
      <c r="BJ2113" s="23" t="s">
        <v>85</v>
      </c>
      <c r="BK2113" s="104">
        <f>ROUND(I2113*H2113,2)</f>
        <v>88911.67</v>
      </c>
      <c r="BL2113" s="23" t="s">
        <v>446</v>
      </c>
      <c r="BM2113" s="101" t="s">
        <v>3130</v>
      </c>
    </row>
    <row r="2114" spans="2:65" s="31" customFormat="1" ht="23.1" customHeight="1">
      <c r="B2114" s="67"/>
      <c r="D2114" s="68" t="s">
        <v>76</v>
      </c>
      <c r="E2114" s="70" t="s">
        <v>3131</v>
      </c>
      <c r="F2114" s="70" t="s">
        <v>3132</v>
      </c>
      <c r="I2114" s="85"/>
      <c r="J2114" s="89">
        <f>BK2114</f>
        <v>320767.33</v>
      </c>
      <c r="L2114" s="67"/>
      <c r="M2114" s="87"/>
      <c r="P2114" s="88">
        <f>SUM(P2115:P2126)</f>
        <v>0</v>
      </c>
      <c r="R2114" s="88">
        <f>SUM(R2115:R2126)</f>
        <v>1.8324775</v>
      </c>
      <c r="T2114" s="98">
        <f>SUM(T2115:T2126)</f>
        <v>0</v>
      </c>
      <c r="AR2114" s="68" t="s">
        <v>87</v>
      </c>
      <c r="AT2114" s="100" t="s">
        <v>76</v>
      </c>
      <c r="AU2114" s="100" t="s">
        <v>85</v>
      </c>
      <c r="AY2114" s="68" t="s">
        <v>211</v>
      </c>
      <c r="BK2114" s="103">
        <f>SUM(BK2115:BK2126)</f>
        <v>320767.33</v>
      </c>
    </row>
    <row r="2115" spans="2:65" s="1" customFormat="1" ht="33" customHeight="1">
      <c r="B2115" s="12"/>
      <c r="C2115" s="71" t="s">
        <v>3133</v>
      </c>
      <c r="D2115" s="71" t="s">
        <v>214</v>
      </c>
      <c r="E2115" s="72" t="s">
        <v>3134</v>
      </c>
      <c r="F2115" s="73" t="s">
        <v>3135</v>
      </c>
      <c r="G2115" s="74" t="s">
        <v>279</v>
      </c>
      <c r="H2115" s="75">
        <v>1047.1300000000001</v>
      </c>
      <c r="I2115" s="90">
        <v>291</v>
      </c>
      <c r="J2115" s="91">
        <f>ROUND(I2115*H2115,2)</f>
        <v>304714.83</v>
      </c>
      <c r="K2115" s="92"/>
      <c r="L2115" s="12"/>
      <c r="M2115" s="93" t="s">
        <v>1</v>
      </c>
      <c r="N2115" s="94" t="s">
        <v>42</v>
      </c>
      <c r="P2115" s="95">
        <f>O2115*H2115</f>
        <v>0</v>
      </c>
      <c r="Q2115" s="95">
        <v>1.5499999999999999E-3</v>
      </c>
      <c r="R2115" s="95">
        <f>Q2115*H2115</f>
        <v>1.6230515000000001</v>
      </c>
      <c r="S2115" s="95">
        <v>0</v>
      </c>
      <c r="T2115" s="99">
        <f>S2115*H2115</f>
        <v>0</v>
      </c>
      <c r="AR2115" s="101" t="s">
        <v>446</v>
      </c>
      <c r="AT2115" s="101" t="s">
        <v>214</v>
      </c>
      <c r="AU2115" s="101" t="s">
        <v>87</v>
      </c>
      <c r="AY2115" s="23" t="s">
        <v>211</v>
      </c>
      <c r="BE2115" s="104">
        <f>IF(N2115="základní",J2115,0)</f>
        <v>304714.83</v>
      </c>
      <c r="BF2115" s="104">
        <f>IF(N2115="snížená",J2115,0)</f>
        <v>0</v>
      </c>
      <c r="BG2115" s="104">
        <f>IF(N2115="zákl. přenesená",J2115,0)</f>
        <v>0</v>
      </c>
      <c r="BH2115" s="104">
        <f>IF(N2115="sníž. přenesená",J2115,0)</f>
        <v>0</v>
      </c>
      <c r="BI2115" s="104">
        <f>IF(N2115="nulová",J2115,0)</f>
        <v>0</v>
      </c>
      <c r="BJ2115" s="23" t="s">
        <v>85</v>
      </c>
      <c r="BK2115" s="104">
        <f>ROUND(I2115*H2115,2)</f>
        <v>304714.83</v>
      </c>
      <c r="BL2115" s="23" t="s">
        <v>446</v>
      </c>
      <c r="BM2115" s="101" t="s">
        <v>3136</v>
      </c>
    </row>
    <row r="2116" spans="2:65" s="113" customFormat="1">
      <c r="B2116" s="119"/>
      <c r="D2116" s="105" t="s">
        <v>365</v>
      </c>
      <c r="E2116" s="135" t="s">
        <v>1</v>
      </c>
      <c r="F2116" s="120" t="s">
        <v>294</v>
      </c>
      <c r="H2116" s="121">
        <v>247.51</v>
      </c>
      <c r="I2116" s="128"/>
      <c r="L2116" s="119"/>
      <c r="M2116" s="129"/>
      <c r="T2116" s="133"/>
      <c r="AT2116" s="135" t="s">
        <v>365</v>
      </c>
      <c r="AU2116" s="135" t="s">
        <v>87</v>
      </c>
      <c r="AV2116" s="113" t="s">
        <v>87</v>
      </c>
      <c r="AW2116" s="113" t="s">
        <v>33</v>
      </c>
      <c r="AX2116" s="113" t="s">
        <v>77</v>
      </c>
      <c r="AY2116" s="135" t="s">
        <v>211</v>
      </c>
    </row>
    <row r="2117" spans="2:65" s="113" customFormat="1">
      <c r="B2117" s="119"/>
      <c r="D2117" s="105" t="s">
        <v>365</v>
      </c>
      <c r="E2117" s="135" t="s">
        <v>1</v>
      </c>
      <c r="F2117" s="120" t="s">
        <v>297</v>
      </c>
      <c r="H2117" s="121">
        <v>431.26</v>
      </c>
      <c r="I2117" s="128"/>
      <c r="L2117" s="119"/>
      <c r="M2117" s="129"/>
      <c r="T2117" s="133"/>
      <c r="AT2117" s="135" t="s">
        <v>365</v>
      </c>
      <c r="AU2117" s="135" t="s">
        <v>87</v>
      </c>
      <c r="AV2117" s="113" t="s">
        <v>87</v>
      </c>
      <c r="AW2117" s="113" t="s">
        <v>33</v>
      </c>
      <c r="AX2117" s="113" t="s">
        <v>77</v>
      </c>
      <c r="AY2117" s="135" t="s">
        <v>211</v>
      </c>
    </row>
    <row r="2118" spans="2:65" s="113" customFormat="1">
      <c r="B2118" s="119"/>
      <c r="D2118" s="105" t="s">
        <v>365</v>
      </c>
      <c r="E2118" s="135" t="s">
        <v>1</v>
      </c>
      <c r="F2118" s="120" t="s">
        <v>300</v>
      </c>
      <c r="H2118" s="121">
        <v>44.6</v>
      </c>
      <c r="I2118" s="128"/>
      <c r="L2118" s="119"/>
      <c r="M2118" s="129"/>
      <c r="T2118" s="133"/>
      <c r="AT2118" s="135" t="s">
        <v>365</v>
      </c>
      <c r="AU2118" s="135" t="s">
        <v>87</v>
      </c>
      <c r="AV2118" s="113" t="s">
        <v>87</v>
      </c>
      <c r="AW2118" s="113" t="s">
        <v>33</v>
      </c>
      <c r="AX2118" s="113" t="s">
        <v>77</v>
      </c>
      <c r="AY2118" s="135" t="s">
        <v>211</v>
      </c>
    </row>
    <row r="2119" spans="2:65" s="113" customFormat="1">
      <c r="B2119" s="119"/>
      <c r="D2119" s="105" t="s">
        <v>365</v>
      </c>
      <c r="E2119" s="135" t="s">
        <v>1</v>
      </c>
      <c r="F2119" s="120" t="s">
        <v>302</v>
      </c>
      <c r="H2119" s="121">
        <v>32.97</v>
      </c>
      <c r="I2119" s="128"/>
      <c r="L2119" s="119"/>
      <c r="M2119" s="129"/>
      <c r="T2119" s="133"/>
      <c r="AT2119" s="135" t="s">
        <v>365</v>
      </c>
      <c r="AU2119" s="135" t="s">
        <v>87</v>
      </c>
      <c r="AV2119" s="113" t="s">
        <v>87</v>
      </c>
      <c r="AW2119" s="113" t="s">
        <v>33</v>
      </c>
      <c r="AX2119" s="113" t="s">
        <v>77</v>
      </c>
      <c r="AY2119" s="135" t="s">
        <v>211</v>
      </c>
    </row>
    <row r="2120" spans="2:65" s="113" customFormat="1">
      <c r="B2120" s="119"/>
      <c r="D2120" s="105" t="s">
        <v>365</v>
      </c>
      <c r="E2120" s="135" t="s">
        <v>1</v>
      </c>
      <c r="F2120" s="120" t="s">
        <v>304</v>
      </c>
      <c r="H2120" s="121">
        <v>185.99</v>
      </c>
      <c r="I2120" s="128"/>
      <c r="L2120" s="119"/>
      <c r="M2120" s="129"/>
      <c r="T2120" s="133"/>
      <c r="AT2120" s="135" t="s">
        <v>365</v>
      </c>
      <c r="AU2120" s="135" t="s">
        <v>87</v>
      </c>
      <c r="AV2120" s="113" t="s">
        <v>87</v>
      </c>
      <c r="AW2120" s="113" t="s">
        <v>33</v>
      </c>
      <c r="AX2120" s="113" t="s">
        <v>77</v>
      </c>
      <c r="AY2120" s="135" t="s">
        <v>211</v>
      </c>
    </row>
    <row r="2121" spans="2:65" s="113" customFormat="1">
      <c r="B2121" s="119"/>
      <c r="D2121" s="105" t="s">
        <v>365</v>
      </c>
      <c r="E2121" s="135" t="s">
        <v>1</v>
      </c>
      <c r="F2121" s="120" t="s">
        <v>306</v>
      </c>
      <c r="H2121" s="121">
        <v>74.66</v>
      </c>
      <c r="I2121" s="128"/>
      <c r="L2121" s="119"/>
      <c r="M2121" s="129"/>
      <c r="T2121" s="133"/>
      <c r="AT2121" s="135" t="s">
        <v>365</v>
      </c>
      <c r="AU2121" s="135" t="s">
        <v>87</v>
      </c>
      <c r="AV2121" s="113" t="s">
        <v>87</v>
      </c>
      <c r="AW2121" s="113" t="s">
        <v>33</v>
      </c>
      <c r="AX2121" s="113" t="s">
        <v>77</v>
      </c>
      <c r="AY2121" s="135" t="s">
        <v>211</v>
      </c>
    </row>
    <row r="2122" spans="2:65" s="113" customFormat="1">
      <c r="B2122" s="119"/>
      <c r="D2122" s="105" t="s">
        <v>365</v>
      </c>
      <c r="E2122" s="135" t="s">
        <v>1</v>
      </c>
      <c r="F2122" s="120" t="s">
        <v>308</v>
      </c>
      <c r="H2122" s="121">
        <v>30.14</v>
      </c>
      <c r="I2122" s="128"/>
      <c r="L2122" s="119"/>
      <c r="M2122" s="129"/>
      <c r="T2122" s="133"/>
      <c r="AT2122" s="135" t="s">
        <v>365</v>
      </c>
      <c r="AU2122" s="135" t="s">
        <v>87</v>
      </c>
      <c r="AV2122" s="113" t="s">
        <v>87</v>
      </c>
      <c r="AW2122" s="113" t="s">
        <v>33</v>
      </c>
      <c r="AX2122" s="113" t="s">
        <v>77</v>
      </c>
      <c r="AY2122" s="135" t="s">
        <v>211</v>
      </c>
    </row>
    <row r="2123" spans="2:65" s="137" customFormat="1">
      <c r="B2123" s="141"/>
      <c r="D2123" s="105" t="s">
        <v>365</v>
      </c>
      <c r="E2123" s="142" t="s">
        <v>1</v>
      </c>
      <c r="F2123" s="143" t="s">
        <v>368</v>
      </c>
      <c r="H2123" s="144">
        <v>1047.1300000000001</v>
      </c>
      <c r="I2123" s="148"/>
      <c r="L2123" s="141"/>
      <c r="M2123" s="149"/>
      <c r="T2123" s="151"/>
      <c r="AT2123" s="142" t="s">
        <v>365</v>
      </c>
      <c r="AU2123" s="142" t="s">
        <v>87</v>
      </c>
      <c r="AV2123" s="137" t="s">
        <v>218</v>
      </c>
      <c r="AW2123" s="137" t="s">
        <v>33</v>
      </c>
      <c r="AX2123" s="137" t="s">
        <v>85</v>
      </c>
      <c r="AY2123" s="142" t="s">
        <v>211</v>
      </c>
    </row>
    <row r="2124" spans="2:65" s="1" customFormat="1" ht="16.5" customHeight="1">
      <c r="B2124" s="12"/>
      <c r="C2124" s="114" t="s">
        <v>3137</v>
      </c>
      <c r="D2124" s="114" t="s">
        <v>438</v>
      </c>
      <c r="E2124" s="115" t="s">
        <v>3138</v>
      </c>
      <c r="F2124" s="116" t="s">
        <v>2817</v>
      </c>
      <c r="G2124" s="117" t="s">
        <v>2818</v>
      </c>
      <c r="H2124" s="118">
        <v>209.42599999999999</v>
      </c>
      <c r="I2124" s="122">
        <v>45</v>
      </c>
      <c r="J2124" s="123">
        <f>ROUND(I2124*H2124,2)</f>
        <v>9424.17</v>
      </c>
      <c r="K2124" s="124"/>
      <c r="L2124" s="125"/>
      <c r="M2124" s="126" t="s">
        <v>1</v>
      </c>
      <c r="N2124" s="127" t="s">
        <v>42</v>
      </c>
      <c r="P2124" s="95">
        <f>O2124*H2124</f>
        <v>0</v>
      </c>
      <c r="Q2124" s="95">
        <v>1E-3</v>
      </c>
      <c r="R2124" s="95">
        <f>Q2124*H2124</f>
        <v>0.209426</v>
      </c>
      <c r="S2124" s="95">
        <v>0</v>
      </c>
      <c r="T2124" s="99">
        <f>S2124*H2124</f>
        <v>0</v>
      </c>
      <c r="AR2124" s="101" t="s">
        <v>527</v>
      </c>
      <c r="AT2124" s="101" t="s">
        <v>438</v>
      </c>
      <c r="AU2124" s="101" t="s">
        <v>87</v>
      </c>
      <c r="AY2124" s="23" t="s">
        <v>211</v>
      </c>
      <c r="BE2124" s="104">
        <f>IF(N2124="základní",J2124,0)</f>
        <v>9424.17</v>
      </c>
      <c r="BF2124" s="104">
        <f>IF(N2124="snížená",J2124,0)</f>
        <v>0</v>
      </c>
      <c r="BG2124" s="104">
        <f>IF(N2124="zákl. přenesená",J2124,0)</f>
        <v>0</v>
      </c>
      <c r="BH2124" s="104">
        <f>IF(N2124="sníž. přenesená",J2124,0)</f>
        <v>0</v>
      </c>
      <c r="BI2124" s="104">
        <f>IF(N2124="nulová",J2124,0)</f>
        <v>0</v>
      </c>
      <c r="BJ2124" s="23" t="s">
        <v>85</v>
      </c>
      <c r="BK2124" s="104">
        <f>ROUND(I2124*H2124,2)</f>
        <v>9424.17</v>
      </c>
      <c r="BL2124" s="23" t="s">
        <v>446</v>
      </c>
      <c r="BM2124" s="101" t="s">
        <v>3139</v>
      </c>
    </row>
    <row r="2125" spans="2:65" s="113" customFormat="1">
      <c r="B2125" s="119"/>
      <c r="D2125" s="105" t="s">
        <v>365</v>
      </c>
      <c r="F2125" s="120" t="s">
        <v>3140</v>
      </c>
      <c r="H2125" s="121">
        <v>209.42599999999999</v>
      </c>
      <c r="I2125" s="128"/>
      <c r="L2125" s="119"/>
      <c r="M2125" s="129"/>
      <c r="T2125" s="133"/>
      <c r="AT2125" s="135" t="s">
        <v>365</v>
      </c>
      <c r="AU2125" s="135" t="s">
        <v>87</v>
      </c>
      <c r="AV2125" s="113" t="s">
        <v>87</v>
      </c>
      <c r="AW2125" s="113" t="s">
        <v>4</v>
      </c>
      <c r="AX2125" s="113" t="s">
        <v>85</v>
      </c>
      <c r="AY2125" s="135" t="s">
        <v>211</v>
      </c>
    </row>
    <row r="2126" spans="2:65" s="1" customFormat="1" ht="33" customHeight="1">
      <c r="B2126" s="12"/>
      <c r="C2126" s="71" t="s">
        <v>3141</v>
      </c>
      <c r="D2126" s="71" t="s">
        <v>214</v>
      </c>
      <c r="E2126" s="72" t="s">
        <v>3142</v>
      </c>
      <c r="F2126" s="73" t="s">
        <v>3143</v>
      </c>
      <c r="G2126" s="74" t="s">
        <v>2866</v>
      </c>
      <c r="H2126" s="163">
        <f>314139/100</f>
        <v>3141.39</v>
      </c>
      <c r="I2126" s="90">
        <v>2.11</v>
      </c>
      <c r="J2126" s="91">
        <f>ROUND(I2126*H2126,2)</f>
        <v>6628.33</v>
      </c>
      <c r="K2126" s="92"/>
      <c r="L2126" s="12"/>
      <c r="M2126" s="93" t="s">
        <v>1</v>
      </c>
      <c r="N2126" s="94" t="s">
        <v>42</v>
      </c>
      <c r="P2126" s="95">
        <f>O2126*H2126</f>
        <v>0</v>
      </c>
      <c r="Q2126" s="95">
        <v>0</v>
      </c>
      <c r="R2126" s="95">
        <f>Q2126*H2126</f>
        <v>0</v>
      </c>
      <c r="S2126" s="95">
        <v>0</v>
      </c>
      <c r="T2126" s="99">
        <f>S2126*H2126</f>
        <v>0</v>
      </c>
      <c r="AR2126" s="101" t="s">
        <v>446</v>
      </c>
      <c r="AT2126" s="101" t="s">
        <v>214</v>
      </c>
      <c r="AU2126" s="101" t="s">
        <v>87</v>
      </c>
      <c r="AY2126" s="23" t="s">
        <v>211</v>
      </c>
      <c r="BE2126" s="104">
        <f>IF(N2126="základní",J2126,0)</f>
        <v>6628.33</v>
      </c>
      <c r="BF2126" s="104">
        <f>IF(N2126="snížená",J2126,0)</f>
        <v>0</v>
      </c>
      <c r="BG2126" s="104">
        <f>IF(N2126="zákl. přenesená",J2126,0)</f>
        <v>0</v>
      </c>
      <c r="BH2126" s="104">
        <f>IF(N2126="sníž. přenesená",J2126,0)</f>
        <v>0</v>
      </c>
      <c r="BI2126" s="104">
        <f>IF(N2126="nulová",J2126,0)</f>
        <v>0</v>
      </c>
      <c r="BJ2126" s="23" t="s">
        <v>85</v>
      </c>
      <c r="BK2126" s="104">
        <f>ROUND(I2126*H2126,2)</f>
        <v>6628.33</v>
      </c>
      <c r="BL2126" s="23" t="s">
        <v>446</v>
      </c>
      <c r="BM2126" s="101" t="s">
        <v>3144</v>
      </c>
    </row>
    <row r="2127" spans="2:65" s="31" customFormat="1" ht="23.1" customHeight="1">
      <c r="B2127" s="67"/>
      <c r="D2127" s="68" t="s">
        <v>76</v>
      </c>
      <c r="E2127" s="70" t="s">
        <v>3145</v>
      </c>
      <c r="F2127" s="70" t="s">
        <v>3146</v>
      </c>
      <c r="I2127" s="85"/>
      <c r="J2127" s="89">
        <f>BK2127</f>
        <v>377333.95</v>
      </c>
      <c r="L2127" s="67"/>
      <c r="M2127" s="87"/>
      <c r="P2127" s="88">
        <f>SUM(P2128:P2171)</f>
        <v>0</v>
      </c>
      <c r="R2127" s="88">
        <f>SUM(R2128:R2171)</f>
        <v>12.268232640000001</v>
      </c>
      <c r="T2127" s="98">
        <f>SUM(T2128:T2171)</f>
        <v>0</v>
      </c>
      <c r="AR2127" s="68" t="s">
        <v>87</v>
      </c>
      <c r="AT2127" s="100" t="s">
        <v>76</v>
      </c>
      <c r="AU2127" s="100" t="s">
        <v>85</v>
      </c>
      <c r="AY2127" s="68" t="s">
        <v>211</v>
      </c>
      <c r="BK2127" s="103">
        <f>SUM(BK2128:BK2171)</f>
        <v>377333.95</v>
      </c>
    </row>
    <row r="2128" spans="2:65" s="1" customFormat="1" ht="33" customHeight="1">
      <c r="B2128" s="12"/>
      <c r="C2128" s="71" t="s">
        <v>3147</v>
      </c>
      <c r="D2128" s="71" t="s">
        <v>214</v>
      </c>
      <c r="E2128" s="72" t="s">
        <v>3148</v>
      </c>
      <c r="F2128" s="73" t="s">
        <v>3149</v>
      </c>
      <c r="G2128" s="74" t="s">
        <v>357</v>
      </c>
      <c r="H2128" s="75">
        <v>7.5129999999999999</v>
      </c>
      <c r="I2128" s="90">
        <v>990</v>
      </c>
      <c r="J2128" s="91">
        <f>ROUND(I2128*H2128,2)</f>
        <v>7437.87</v>
      </c>
      <c r="K2128" s="92"/>
      <c r="L2128" s="12"/>
      <c r="M2128" s="93" t="s">
        <v>1</v>
      </c>
      <c r="N2128" s="94" t="s">
        <v>42</v>
      </c>
      <c r="P2128" s="95">
        <f>O2128*H2128</f>
        <v>0</v>
      </c>
      <c r="Q2128" s="95">
        <v>1.89E-3</v>
      </c>
      <c r="R2128" s="95">
        <f>Q2128*H2128</f>
        <v>1.419957E-2</v>
      </c>
      <c r="S2128" s="95">
        <v>0</v>
      </c>
      <c r="T2128" s="99">
        <f>S2128*H2128</f>
        <v>0</v>
      </c>
      <c r="AR2128" s="101" t="s">
        <v>446</v>
      </c>
      <c r="AT2128" s="101" t="s">
        <v>214</v>
      </c>
      <c r="AU2128" s="101" t="s">
        <v>87</v>
      </c>
      <c r="AY2128" s="23" t="s">
        <v>211</v>
      </c>
      <c r="BE2128" s="104">
        <f>IF(N2128="základní",J2128,0)</f>
        <v>7437.87</v>
      </c>
      <c r="BF2128" s="104">
        <f>IF(N2128="snížená",J2128,0)</f>
        <v>0</v>
      </c>
      <c r="BG2128" s="104">
        <f>IF(N2128="zákl. přenesená",J2128,0)</f>
        <v>0</v>
      </c>
      <c r="BH2128" s="104">
        <f>IF(N2128="sníž. přenesená",J2128,0)</f>
        <v>0</v>
      </c>
      <c r="BI2128" s="104">
        <f>IF(N2128="nulová",J2128,0)</f>
        <v>0</v>
      </c>
      <c r="BJ2128" s="23" t="s">
        <v>85</v>
      </c>
      <c r="BK2128" s="104">
        <f>ROUND(I2128*H2128,2)</f>
        <v>7437.87</v>
      </c>
      <c r="BL2128" s="23" t="s">
        <v>446</v>
      </c>
      <c r="BM2128" s="101" t="s">
        <v>3150</v>
      </c>
    </row>
    <row r="2129" spans="2:65" s="113" customFormat="1">
      <c r="B2129" s="119"/>
      <c r="D2129" s="105" t="s">
        <v>365</v>
      </c>
      <c r="E2129" s="135" t="s">
        <v>1</v>
      </c>
      <c r="F2129" s="120" t="s">
        <v>3151</v>
      </c>
      <c r="H2129" s="121">
        <v>7.5129999999999999</v>
      </c>
      <c r="I2129" s="128"/>
      <c r="L2129" s="119"/>
      <c r="M2129" s="129"/>
      <c r="T2129" s="133"/>
      <c r="AT2129" s="135" t="s">
        <v>365</v>
      </c>
      <c r="AU2129" s="135" t="s">
        <v>87</v>
      </c>
      <c r="AV2129" s="113" t="s">
        <v>87</v>
      </c>
      <c r="AW2129" s="113" t="s">
        <v>33</v>
      </c>
      <c r="AX2129" s="113" t="s">
        <v>77</v>
      </c>
      <c r="AY2129" s="135" t="s">
        <v>211</v>
      </c>
    </row>
    <row r="2130" spans="2:65" s="137" customFormat="1">
      <c r="B2130" s="141"/>
      <c r="D2130" s="105" t="s">
        <v>365</v>
      </c>
      <c r="E2130" s="142" t="s">
        <v>1</v>
      </c>
      <c r="F2130" s="143" t="s">
        <v>368</v>
      </c>
      <c r="H2130" s="144">
        <v>7.5129999999999999</v>
      </c>
      <c r="I2130" s="148"/>
      <c r="L2130" s="141"/>
      <c r="M2130" s="149"/>
      <c r="T2130" s="151"/>
      <c r="AT2130" s="142" t="s">
        <v>365</v>
      </c>
      <c r="AU2130" s="142" t="s">
        <v>87</v>
      </c>
      <c r="AV2130" s="137" t="s">
        <v>218</v>
      </c>
      <c r="AW2130" s="137" t="s">
        <v>33</v>
      </c>
      <c r="AX2130" s="137" t="s">
        <v>85</v>
      </c>
      <c r="AY2130" s="142" t="s">
        <v>211</v>
      </c>
    </row>
    <row r="2131" spans="2:65" s="1" customFormat="1" ht="33" customHeight="1">
      <c r="B2131" s="12"/>
      <c r="C2131" s="71" t="s">
        <v>3152</v>
      </c>
      <c r="D2131" s="71" t="s">
        <v>214</v>
      </c>
      <c r="E2131" s="72" t="s">
        <v>3153</v>
      </c>
      <c r="F2131" s="73" t="s">
        <v>3154</v>
      </c>
      <c r="G2131" s="74" t="s">
        <v>279</v>
      </c>
      <c r="H2131" s="75">
        <v>1590.5</v>
      </c>
      <c r="I2131" s="90">
        <v>57.8</v>
      </c>
      <c r="J2131" s="91">
        <f>ROUND(I2131*H2131,2)</f>
        <v>91930.9</v>
      </c>
      <c r="K2131" s="92"/>
      <c r="L2131" s="12"/>
      <c r="M2131" s="93" t="s">
        <v>1</v>
      </c>
      <c r="N2131" s="94" t="s">
        <v>42</v>
      </c>
      <c r="P2131" s="95">
        <f>O2131*H2131</f>
        <v>0</v>
      </c>
      <c r="Q2131" s="95">
        <v>0</v>
      </c>
      <c r="R2131" s="95">
        <f>Q2131*H2131</f>
        <v>0</v>
      </c>
      <c r="S2131" s="95">
        <v>0</v>
      </c>
      <c r="T2131" s="99">
        <f>S2131*H2131</f>
        <v>0</v>
      </c>
      <c r="AR2131" s="101" t="s">
        <v>446</v>
      </c>
      <c r="AT2131" s="101" t="s">
        <v>214</v>
      </c>
      <c r="AU2131" s="101" t="s">
        <v>87</v>
      </c>
      <c r="AY2131" s="23" t="s">
        <v>211</v>
      </c>
      <c r="BE2131" s="104">
        <f>IF(N2131="základní",J2131,0)</f>
        <v>91930.9</v>
      </c>
      <c r="BF2131" s="104">
        <f>IF(N2131="snížená",J2131,0)</f>
        <v>0</v>
      </c>
      <c r="BG2131" s="104">
        <f>IF(N2131="zákl. přenesená",J2131,0)</f>
        <v>0</v>
      </c>
      <c r="BH2131" s="104">
        <f>IF(N2131="sníž. přenesená",J2131,0)</f>
        <v>0</v>
      </c>
      <c r="BI2131" s="104">
        <f>IF(N2131="nulová",J2131,0)</f>
        <v>0</v>
      </c>
      <c r="BJ2131" s="23" t="s">
        <v>85</v>
      </c>
      <c r="BK2131" s="104">
        <f>ROUND(I2131*H2131,2)</f>
        <v>91930.9</v>
      </c>
      <c r="BL2131" s="23" t="s">
        <v>446</v>
      </c>
      <c r="BM2131" s="101" t="s">
        <v>3155</v>
      </c>
    </row>
    <row r="2132" spans="2:65" s="136" customFormat="1">
      <c r="B2132" s="138"/>
      <c r="D2132" s="105" t="s">
        <v>365</v>
      </c>
      <c r="E2132" s="139" t="s">
        <v>1</v>
      </c>
      <c r="F2132" s="140" t="s">
        <v>3156</v>
      </c>
      <c r="H2132" s="139" t="s">
        <v>1</v>
      </c>
      <c r="I2132" s="146"/>
      <c r="L2132" s="138"/>
      <c r="M2132" s="147"/>
      <c r="T2132" s="150"/>
      <c r="AT2132" s="139" t="s">
        <v>365</v>
      </c>
      <c r="AU2132" s="139" t="s">
        <v>87</v>
      </c>
      <c r="AV2132" s="136" t="s">
        <v>85</v>
      </c>
      <c r="AW2132" s="136" t="s">
        <v>33</v>
      </c>
      <c r="AX2132" s="136" t="s">
        <v>77</v>
      </c>
      <c r="AY2132" s="139" t="s">
        <v>211</v>
      </c>
    </row>
    <row r="2133" spans="2:65" s="113" customFormat="1">
      <c r="B2133" s="119"/>
      <c r="D2133" s="105" t="s">
        <v>365</v>
      </c>
      <c r="E2133" s="135" t="s">
        <v>1</v>
      </c>
      <c r="F2133" s="120" t="s">
        <v>3157</v>
      </c>
      <c r="H2133" s="121">
        <v>367.51</v>
      </c>
      <c r="I2133" s="128"/>
      <c r="L2133" s="119"/>
      <c r="M2133" s="129"/>
      <c r="T2133" s="133"/>
      <c r="AT2133" s="135" t="s">
        <v>365</v>
      </c>
      <c r="AU2133" s="135" t="s">
        <v>87</v>
      </c>
      <c r="AV2133" s="113" t="s">
        <v>87</v>
      </c>
      <c r="AW2133" s="113" t="s">
        <v>33</v>
      </c>
      <c r="AX2133" s="113" t="s">
        <v>77</v>
      </c>
      <c r="AY2133" s="135" t="s">
        <v>211</v>
      </c>
    </row>
    <row r="2134" spans="2:65" s="113" customFormat="1">
      <c r="B2134" s="119"/>
      <c r="D2134" s="105" t="s">
        <v>365</v>
      </c>
      <c r="E2134" s="135" t="s">
        <v>1</v>
      </c>
      <c r="F2134" s="120" t="s">
        <v>3158</v>
      </c>
      <c r="H2134" s="121">
        <v>438.5</v>
      </c>
      <c r="I2134" s="128"/>
      <c r="L2134" s="119"/>
      <c r="M2134" s="129"/>
      <c r="T2134" s="133"/>
      <c r="AT2134" s="135" t="s">
        <v>365</v>
      </c>
      <c r="AU2134" s="135" t="s">
        <v>87</v>
      </c>
      <c r="AV2134" s="113" t="s">
        <v>87</v>
      </c>
      <c r="AW2134" s="113" t="s">
        <v>33</v>
      </c>
      <c r="AX2134" s="113" t="s">
        <v>77</v>
      </c>
      <c r="AY2134" s="135" t="s">
        <v>211</v>
      </c>
    </row>
    <row r="2135" spans="2:65" s="113" customFormat="1">
      <c r="B2135" s="119"/>
      <c r="D2135" s="105" t="s">
        <v>365</v>
      </c>
      <c r="E2135" s="135" t="s">
        <v>1</v>
      </c>
      <c r="F2135" s="120" t="s">
        <v>3159</v>
      </c>
      <c r="H2135" s="121">
        <v>335.61</v>
      </c>
      <c r="I2135" s="128"/>
      <c r="L2135" s="119"/>
      <c r="M2135" s="129"/>
      <c r="T2135" s="133"/>
      <c r="AT2135" s="135" t="s">
        <v>365</v>
      </c>
      <c r="AU2135" s="135" t="s">
        <v>87</v>
      </c>
      <c r="AV2135" s="113" t="s">
        <v>87</v>
      </c>
      <c r="AW2135" s="113" t="s">
        <v>33</v>
      </c>
      <c r="AX2135" s="113" t="s">
        <v>77</v>
      </c>
      <c r="AY2135" s="135" t="s">
        <v>211</v>
      </c>
    </row>
    <row r="2136" spans="2:65" s="113" customFormat="1">
      <c r="B2136" s="119"/>
      <c r="D2136" s="105" t="s">
        <v>365</v>
      </c>
      <c r="E2136" s="135" t="s">
        <v>1</v>
      </c>
      <c r="F2136" s="120" t="s">
        <v>3160</v>
      </c>
      <c r="H2136" s="121">
        <v>448.88</v>
      </c>
      <c r="I2136" s="128"/>
      <c r="L2136" s="119"/>
      <c r="M2136" s="129"/>
      <c r="T2136" s="133"/>
      <c r="AT2136" s="135" t="s">
        <v>365</v>
      </c>
      <c r="AU2136" s="135" t="s">
        <v>87</v>
      </c>
      <c r="AV2136" s="113" t="s">
        <v>87</v>
      </c>
      <c r="AW2136" s="113" t="s">
        <v>33</v>
      </c>
      <c r="AX2136" s="113" t="s">
        <v>77</v>
      </c>
      <c r="AY2136" s="135" t="s">
        <v>211</v>
      </c>
    </row>
    <row r="2137" spans="2:65" s="137" customFormat="1">
      <c r="B2137" s="141"/>
      <c r="D2137" s="105" t="s">
        <v>365</v>
      </c>
      <c r="E2137" s="142" t="s">
        <v>1</v>
      </c>
      <c r="F2137" s="143" t="s">
        <v>368</v>
      </c>
      <c r="H2137" s="144">
        <v>1590.5</v>
      </c>
      <c r="I2137" s="148"/>
      <c r="L2137" s="141"/>
      <c r="M2137" s="149"/>
      <c r="T2137" s="151"/>
      <c r="AT2137" s="142" t="s">
        <v>365</v>
      </c>
      <c r="AU2137" s="142" t="s">
        <v>87</v>
      </c>
      <c r="AV2137" s="137" t="s">
        <v>218</v>
      </c>
      <c r="AW2137" s="137" t="s">
        <v>33</v>
      </c>
      <c r="AX2137" s="137" t="s">
        <v>85</v>
      </c>
      <c r="AY2137" s="142" t="s">
        <v>211</v>
      </c>
    </row>
    <row r="2138" spans="2:65" s="1" customFormat="1" ht="16.5" customHeight="1">
      <c r="B2138" s="12"/>
      <c r="C2138" s="114" t="s">
        <v>3161</v>
      </c>
      <c r="D2138" s="114" t="s">
        <v>438</v>
      </c>
      <c r="E2138" s="115" t="s">
        <v>3162</v>
      </c>
      <c r="F2138" s="116" t="s">
        <v>3163</v>
      </c>
      <c r="G2138" s="117" t="s">
        <v>357</v>
      </c>
      <c r="H2138" s="118">
        <v>12.41</v>
      </c>
      <c r="I2138" s="122">
        <v>8980</v>
      </c>
      <c r="J2138" s="123">
        <f>ROUND(I2138*H2138,2)</f>
        <v>111441.8</v>
      </c>
      <c r="K2138" s="124"/>
      <c r="L2138" s="125"/>
      <c r="M2138" s="126" t="s">
        <v>1</v>
      </c>
      <c r="N2138" s="127" t="s">
        <v>42</v>
      </c>
      <c r="P2138" s="95">
        <f>O2138*H2138</f>
        <v>0</v>
      </c>
      <c r="Q2138" s="95">
        <v>0.55000000000000004</v>
      </c>
      <c r="R2138" s="95">
        <f>Q2138*H2138</f>
        <v>6.8254999999999999</v>
      </c>
      <c r="S2138" s="95">
        <v>0</v>
      </c>
      <c r="T2138" s="99">
        <f>S2138*H2138</f>
        <v>0</v>
      </c>
      <c r="AR2138" s="101" t="s">
        <v>527</v>
      </c>
      <c r="AT2138" s="101" t="s">
        <v>438</v>
      </c>
      <c r="AU2138" s="101" t="s">
        <v>87</v>
      </c>
      <c r="AY2138" s="23" t="s">
        <v>211</v>
      </c>
      <c r="BE2138" s="104">
        <f>IF(N2138="základní",J2138,0)</f>
        <v>111441.8</v>
      </c>
      <c r="BF2138" s="104">
        <f>IF(N2138="snížená",J2138,0)</f>
        <v>0</v>
      </c>
      <c r="BG2138" s="104">
        <f>IF(N2138="zákl. přenesená",J2138,0)</f>
        <v>0</v>
      </c>
      <c r="BH2138" s="104">
        <f>IF(N2138="sníž. přenesená",J2138,0)</f>
        <v>0</v>
      </c>
      <c r="BI2138" s="104">
        <f>IF(N2138="nulová",J2138,0)</f>
        <v>0</v>
      </c>
      <c r="BJ2138" s="23" t="s">
        <v>85</v>
      </c>
      <c r="BK2138" s="104">
        <f>ROUND(I2138*H2138,2)</f>
        <v>111441.8</v>
      </c>
      <c r="BL2138" s="23" t="s">
        <v>446</v>
      </c>
      <c r="BM2138" s="101" t="s">
        <v>3164</v>
      </c>
    </row>
    <row r="2139" spans="2:65" s="136" customFormat="1">
      <c r="B2139" s="138"/>
      <c r="D2139" s="105" t="s">
        <v>365</v>
      </c>
      <c r="E2139" s="139" t="s">
        <v>1</v>
      </c>
      <c r="F2139" s="140" t="s">
        <v>3165</v>
      </c>
      <c r="H2139" s="139" t="s">
        <v>1</v>
      </c>
      <c r="I2139" s="146"/>
      <c r="L2139" s="138"/>
      <c r="M2139" s="147"/>
      <c r="T2139" s="150"/>
      <c r="AT2139" s="139" t="s">
        <v>365</v>
      </c>
      <c r="AU2139" s="139" t="s">
        <v>87</v>
      </c>
      <c r="AV2139" s="136" t="s">
        <v>85</v>
      </c>
      <c r="AW2139" s="136" t="s">
        <v>33</v>
      </c>
      <c r="AX2139" s="136" t="s">
        <v>77</v>
      </c>
      <c r="AY2139" s="139" t="s">
        <v>211</v>
      </c>
    </row>
    <row r="2140" spans="2:65" s="113" customFormat="1" ht="20.399999999999999">
      <c r="B2140" s="119"/>
      <c r="D2140" s="105" t="s">
        <v>365</v>
      </c>
      <c r="E2140" s="135" t="s">
        <v>1</v>
      </c>
      <c r="F2140" s="120" t="s">
        <v>3166</v>
      </c>
      <c r="H2140" s="121">
        <v>2.8079999999999998</v>
      </c>
      <c r="I2140" s="128"/>
      <c r="L2140" s="119"/>
      <c r="M2140" s="129"/>
      <c r="T2140" s="133"/>
      <c r="AT2140" s="135" t="s">
        <v>365</v>
      </c>
      <c r="AU2140" s="135" t="s">
        <v>87</v>
      </c>
      <c r="AV2140" s="113" t="s">
        <v>87</v>
      </c>
      <c r="AW2140" s="113" t="s">
        <v>33</v>
      </c>
      <c r="AX2140" s="113" t="s">
        <v>77</v>
      </c>
      <c r="AY2140" s="135" t="s">
        <v>211</v>
      </c>
    </row>
    <row r="2141" spans="2:65" s="113" customFormat="1">
      <c r="B2141" s="119"/>
      <c r="D2141" s="105" t="s">
        <v>365</v>
      </c>
      <c r="E2141" s="135" t="s">
        <v>1</v>
      </c>
      <c r="F2141" s="120" t="s">
        <v>3167</v>
      </c>
      <c r="H2141" s="121">
        <v>3.4870000000000001</v>
      </c>
      <c r="I2141" s="128"/>
      <c r="L2141" s="119"/>
      <c r="M2141" s="129"/>
      <c r="T2141" s="133"/>
      <c r="AT2141" s="135" t="s">
        <v>365</v>
      </c>
      <c r="AU2141" s="135" t="s">
        <v>87</v>
      </c>
      <c r="AV2141" s="113" t="s">
        <v>87</v>
      </c>
      <c r="AW2141" s="113" t="s">
        <v>33</v>
      </c>
      <c r="AX2141" s="113" t="s">
        <v>77</v>
      </c>
      <c r="AY2141" s="135" t="s">
        <v>211</v>
      </c>
    </row>
    <row r="2142" spans="2:65" s="113" customFormat="1">
      <c r="B2142" s="119"/>
      <c r="D2142" s="105" t="s">
        <v>365</v>
      </c>
      <c r="E2142" s="135" t="s">
        <v>1</v>
      </c>
      <c r="F2142" s="120" t="s">
        <v>3168</v>
      </c>
      <c r="H2142" s="121">
        <v>2.4830000000000001</v>
      </c>
      <c r="I2142" s="128"/>
      <c r="L2142" s="119"/>
      <c r="M2142" s="129"/>
      <c r="T2142" s="133"/>
      <c r="AT2142" s="135" t="s">
        <v>365</v>
      </c>
      <c r="AU2142" s="135" t="s">
        <v>87</v>
      </c>
      <c r="AV2142" s="113" t="s">
        <v>87</v>
      </c>
      <c r="AW2142" s="113" t="s">
        <v>33</v>
      </c>
      <c r="AX2142" s="113" t="s">
        <v>77</v>
      </c>
      <c r="AY2142" s="135" t="s">
        <v>211</v>
      </c>
    </row>
    <row r="2143" spans="2:65" s="113" customFormat="1" ht="20.399999999999999">
      <c r="B2143" s="119"/>
      <c r="D2143" s="105" t="s">
        <v>365</v>
      </c>
      <c r="E2143" s="135" t="s">
        <v>1</v>
      </c>
      <c r="F2143" s="120" t="s">
        <v>3169</v>
      </c>
      <c r="H2143" s="121">
        <v>3.6320000000000001</v>
      </c>
      <c r="I2143" s="128"/>
      <c r="L2143" s="119"/>
      <c r="M2143" s="129"/>
      <c r="T2143" s="133"/>
      <c r="AT2143" s="135" t="s">
        <v>365</v>
      </c>
      <c r="AU2143" s="135" t="s">
        <v>87</v>
      </c>
      <c r="AV2143" s="113" t="s">
        <v>87</v>
      </c>
      <c r="AW2143" s="113" t="s">
        <v>33</v>
      </c>
      <c r="AX2143" s="113" t="s">
        <v>77</v>
      </c>
      <c r="AY2143" s="135" t="s">
        <v>211</v>
      </c>
    </row>
    <row r="2144" spans="2:65" s="137" customFormat="1">
      <c r="B2144" s="141"/>
      <c r="D2144" s="105" t="s">
        <v>365</v>
      </c>
      <c r="E2144" s="142" t="s">
        <v>1</v>
      </c>
      <c r="F2144" s="143" t="s">
        <v>368</v>
      </c>
      <c r="H2144" s="144">
        <v>12.41</v>
      </c>
      <c r="I2144" s="148"/>
      <c r="L2144" s="141"/>
      <c r="M2144" s="149"/>
      <c r="T2144" s="151"/>
      <c r="AT2144" s="142" t="s">
        <v>365</v>
      </c>
      <c r="AU2144" s="142" t="s">
        <v>87</v>
      </c>
      <c r="AV2144" s="137" t="s">
        <v>218</v>
      </c>
      <c r="AW2144" s="137" t="s">
        <v>33</v>
      </c>
      <c r="AX2144" s="137" t="s">
        <v>85</v>
      </c>
      <c r="AY2144" s="142" t="s">
        <v>211</v>
      </c>
    </row>
    <row r="2145" spans="2:65" s="1" customFormat="1" ht="16.5" customHeight="1">
      <c r="B2145" s="12"/>
      <c r="C2145" s="71" t="s">
        <v>3170</v>
      </c>
      <c r="D2145" s="71" t="s">
        <v>214</v>
      </c>
      <c r="E2145" s="72" t="s">
        <v>3171</v>
      </c>
      <c r="F2145" s="73" t="s">
        <v>3172</v>
      </c>
      <c r="G2145" s="74" t="s">
        <v>444</v>
      </c>
      <c r="H2145" s="75">
        <v>1173.8800000000001</v>
      </c>
      <c r="I2145" s="90">
        <v>15</v>
      </c>
      <c r="J2145" s="91">
        <f>ROUND(I2145*H2145,2)</f>
        <v>17608.2</v>
      </c>
      <c r="K2145" s="92"/>
      <c r="L2145" s="12"/>
      <c r="M2145" s="93" t="s">
        <v>1</v>
      </c>
      <c r="N2145" s="94" t="s">
        <v>42</v>
      </c>
      <c r="P2145" s="95">
        <f>O2145*H2145</f>
        <v>0</v>
      </c>
      <c r="Q2145" s="95">
        <v>2.0000000000000002E-5</v>
      </c>
      <c r="R2145" s="95">
        <f>Q2145*H2145</f>
        <v>2.3477600000000001E-2</v>
      </c>
      <c r="S2145" s="95">
        <v>0</v>
      </c>
      <c r="T2145" s="99">
        <f>S2145*H2145</f>
        <v>0</v>
      </c>
      <c r="AR2145" s="101" t="s">
        <v>446</v>
      </c>
      <c r="AT2145" s="101" t="s">
        <v>214</v>
      </c>
      <c r="AU2145" s="101" t="s">
        <v>87</v>
      </c>
      <c r="AY2145" s="23" t="s">
        <v>211</v>
      </c>
      <c r="BE2145" s="104">
        <f>IF(N2145="základní",J2145,0)</f>
        <v>17608.2</v>
      </c>
      <c r="BF2145" s="104">
        <f>IF(N2145="snížená",J2145,0)</f>
        <v>0</v>
      </c>
      <c r="BG2145" s="104">
        <f>IF(N2145="zákl. přenesená",J2145,0)</f>
        <v>0</v>
      </c>
      <c r="BH2145" s="104">
        <f>IF(N2145="sníž. přenesená",J2145,0)</f>
        <v>0</v>
      </c>
      <c r="BI2145" s="104">
        <f>IF(N2145="nulová",J2145,0)</f>
        <v>0</v>
      </c>
      <c r="BJ2145" s="23" t="s">
        <v>85</v>
      </c>
      <c r="BK2145" s="104">
        <f>ROUND(I2145*H2145,2)</f>
        <v>17608.2</v>
      </c>
      <c r="BL2145" s="23" t="s">
        <v>446</v>
      </c>
      <c r="BM2145" s="101" t="s">
        <v>3173</v>
      </c>
    </row>
    <row r="2146" spans="2:65" s="136" customFormat="1">
      <c r="B2146" s="138"/>
      <c r="D2146" s="105" t="s">
        <v>365</v>
      </c>
      <c r="E2146" s="139" t="s">
        <v>1</v>
      </c>
      <c r="F2146" s="140" t="s">
        <v>3174</v>
      </c>
      <c r="H2146" s="139" t="s">
        <v>1</v>
      </c>
      <c r="I2146" s="146"/>
      <c r="L2146" s="138"/>
      <c r="M2146" s="147"/>
      <c r="T2146" s="150"/>
      <c r="AT2146" s="139" t="s">
        <v>365</v>
      </c>
      <c r="AU2146" s="139" t="s">
        <v>87</v>
      </c>
      <c r="AV2146" s="136" t="s">
        <v>85</v>
      </c>
      <c r="AW2146" s="136" t="s">
        <v>33</v>
      </c>
      <c r="AX2146" s="136" t="s">
        <v>77</v>
      </c>
      <c r="AY2146" s="139" t="s">
        <v>211</v>
      </c>
    </row>
    <row r="2147" spans="2:65" s="113" customFormat="1">
      <c r="B2147" s="119"/>
      <c r="D2147" s="105" t="s">
        <v>365</v>
      </c>
      <c r="E2147" s="135" t="s">
        <v>1</v>
      </c>
      <c r="F2147" s="120" t="s">
        <v>3175</v>
      </c>
      <c r="H2147" s="121">
        <v>310.32</v>
      </c>
      <c r="I2147" s="128"/>
      <c r="L2147" s="119"/>
      <c r="M2147" s="129"/>
      <c r="T2147" s="133"/>
      <c r="AT2147" s="135" t="s">
        <v>365</v>
      </c>
      <c r="AU2147" s="135" t="s">
        <v>87</v>
      </c>
      <c r="AV2147" s="113" t="s">
        <v>87</v>
      </c>
      <c r="AW2147" s="113" t="s">
        <v>33</v>
      </c>
      <c r="AX2147" s="113" t="s">
        <v>77</v>
      </c>
      <c r="AY2147" s="135" t="s">
        <v>211</v>
      </c>
    </row>
    <row r="2148" spans="2:65" s="113" customFormat="1">
      <c r="B2148" s="119"/>
      <c r="D2148" s="105" t="s">
        <v>365</v>
      </c>
      <c r="E2148" s="135" t="s">
        <v>1</v>
      </c>
      <c r="F2148" s="120" t="s">
        <v>3176</v>
      </c>
      <c r="H2148" s="121">
        <v>347.04</v>
      </c>
      <c r="I2148" s="128"/>
      <c r="L2148" s="119"/>
      <c r="M2148" s="129"/>
      <c r="T2148" s="133"/>
      <c r="AT2148" s="135" t="s">
        <v>365</v>
      </c>
      <c r="AU2148" s="135" t="s">
        <v>87</v>
      </c>
      <c r="AV2148" s="113" t="s">
        <v>87</v>
      </c>
      <c r="AW2148" s="113" t="s">
        <v>33</v>
      </c>
      <c r="AX2148" s="113" t="s">
        <v>77</v>
      </c>
      <c r="AY2148" s="135" t="s">
        <v>211</v>
      </c>
    </row>
    <row r="2149" spans="2:65" s="113" customFormat="1">
      <c r="B2149" s="119"/>
      <c r="D2149" s="105" t="s">
        <v>365</v>
      </c>
      <c r="E2149" s="135" t="s">
        <v>1</v>
      </c>
      <c r="F2149" s="120" t="s">
        <v>3177</v>
      </c>
      <c r="H2149" s="121">
        <v>210.6</v>
      </c>
      <c r="I2149" s="128"/>
      <c r="L2149" s="119"/>
      <c r="M2149" s="129"/>
      <c r="T2149" s="133"/>
      <c r="AT2149" s="135" t="s">
        <v>365</v>
      </c>
      <c r="AU2149" s="135" t="s">
        <v>87</v>
      </c>
      <c r="AV2149" s="113" t="s">
        <v>87</v>
      </c>
      <c r="AW2149" s="113" t="s">
        <v>33</v>
      </c>
      <c r="AX2149" s="113" t="s">
        <v>77</v>
      </c>
      <c r="AY2149" s="135" t="s">
        <v>211</v>
      </c>
    </row>
    <row r="2150" spans="2:65" s="113" customFormat="1">
      <c r="B2150" s="119"/>
      <c r="D2150" s="105" t="s">
        <v>365</v>
      </c>
      <c r="E2150" s="135" t="s">
        <v>1</v>
      </c>
      <c r="F2150" s="120" t="s">
        <v>3178</v>
      </c>
      <c r="H2150" s="121">
        <v>305.92</v>
      </c>
      <c r="I2150" s="128"/>
      <c r="L2150" s="119"/>
      <c r="M2150" s="129"/>
      <c r="T2150" s="133"/>
      <c r="AT2150" s="135" t="s">
        <v>365</v>
      </c>
      <c r="AU2150" s="135" t="s">
        <v>87</v>
      </c>
      <c r="AV2150" s="113" t="s">
        <v>87</v>
      </c>
      <c r="AW2150" s="113" t="s">
        <v>33</v>
      </c>
      <c r="AX2150" s="113" t="s">
        <v>77</v>
      </c>
      <c r="AY2150" s="135" t="s">
        <v>211</v>
      </c>
    </row>
    <row r="2151" spans="2:65" s="137" customFormat="1">
      <c r="B2151" s="141"/>
      <c r="D2151" s="105" t="s">
        <v>365</v>
      </c>
      <c r="E2151" s="142" t="s">
        <v>1</v>
      </c>
      <c r="F2151" s="143" t="s">
        <v>368</v>
      </c>
      <c r="H2151" s="144">
        <v>1173.8800000000001</v>
      </c>
      <c r="I2151" s="148"/>
      <c r="L2151" s="141"/>
      <c r="M2151" s="149"/>
      <c r="T2151" s="151"/>
      <c r="AT2151" s="142" t="s">
        <v>365</v>
      </c>
      <c r="AU2151" s="142" t="s">
        <v>87</v>
      </c>
      <c r="AV2151" s="137" t="s">
        <v>218</v>
      </c>
      <c r="AW2151" s="137" t="s">
        <v>33</v>
      </c>
      <c r="AX2151" s="137" t="s">
        <v>85</v>
      </c>
      <c r="AY2151" s="142" t="s">
        <v>211</v>
      </c>
    </row>
    <row r="2152" spans="2:65" s="1" customFormat="1" ht="16.5" customHeight="1">
      <c r="B2152" s="12"/>
      <c r="C2152" s="114" t="s">
        <v>3179</v>
      </c>
      <c r="D2152" s="114" t="s">
        <v>438</v>
      </c>
      <c r="E2152" s="115" t="s">
        <v>3162</v>
      </c>
      <c r="F2152" s="116" t="s">
        <v>3163</v>
      </c>
      <c r="G2152" s="117" t="s">
        <v>357</v>
      </c>
      <c r="H2152" s="118">
        <v>1.4079999999999999</v>
      </c>
      <c r="I2152" s="122">
        <v>8980</v>
      </c>
      <c r="J2152" s="123">
        <f>ROUND(I2152*H2152,2)</f>
        <v>12643.84</v>
      </c>
      <c r="K2152" s="124"/>
      <c r="L2152" s="125"/>
      <c r="M2152" s="126" t="s">
        <v>1</v>
      </c>
      <c r="N2152" s="127" t="s">
        <v>42</v>
      </c>
      <c r="P2152" s="95">
        <f>O2152*H2152</f>
        <v>0</v>
      </c>
      <c r="Q2152" s="95">
        <v>0.55000000000000004</v>
      </c>
      <c r="R2152" s="95">
        <f>Q2152*H2152</f>
        <v>0.77439999999999998</v>
      </c>
      <c r="S2152" s="95">
        <v>0</v>
      </c>
      <c r="T2152" s="99">
        <f>S2152*H2152</f>
        <v>0</v>
      </c>
      <c r="AR2152" s="101" t="s">
        <v>527</v>
      </c>
      <c r="AT2152" s="101" t="s">
        <v>438</v>
      </c>
      <c r="AU2152" s="101" t="s">
        <v>87</v>
      </c>
      <c r="AY2152" s="23" t="s">
        <v>211</v>
      </c>
      <c r="BE2152" s="104">
        <f>IF(N2152="základní",J2152,0)</f>
        <v>12643.84</v>
      </c>
      <c r="BF2152" s="104">
        <f>IF(N2152="snížená",J2152,0)</f>
        <v>0</v>
      </c>
      <c r="BG2152" s="104">
        <f>IF(N2152="zákl. přenesená",J2152,0)</f>
        <v>0</v>
      </c>
      <c r="BH2152" s="104">
        <f>IF(N2152="sníž. přenesená",J2152,0)</f>
        <v>0</v>
      </c>
      <c r="BI2152" s="104">
        <f>IF(N2152="nulová",J2152,0)</f>
        <v>0</v>
      </c>
      <c r="BJ2152" s="23" t="s">
        <v>85</v>
      </c>
      <c r="BK2152" s="104">
        <f>ROUND(I2152*H2152,2)</f>
        <v>12643.84</v>
      </c>
      <c r="BL2152" s="23" t="s">
        <v>446</v>
      </c>
      <c r="BM2152" s="101" t="s">
        <v>3180</v>
      </c>
    </row>
    <row r="2153" spans="2:65" s="136" customFormat="1">
      <c r="B2153" s="138"/>
      <c r="D2153" s="105" t="s">
        <v>365</v>
      </c>
      <c r="E2153" s="139" t="s">
        <v>1</v>
      </c>
      <c r="F2153" s="140" t="s">
        <v>3181</v>
      </c>
      <c r="H2153" s="139" t="s">
        <v>1</v>
      </c>
      <c r="I2153" s="146"/>
      <c r="L2153" s="138"/>
      <c r="M2153" s="147"/>
      <c r="T2153" s="150"/>
      <c r="AT2153" s="139" t="s">
        <v>365</v>
      </c>
      <c r="AU2153" s="139" t="s">
        <v>87</v>
      </c>
      <c r="AV2153" s="136" t="s">
        <v>85</v>
      </c>
      <c r="AW2153" s="136" t="s">
        <v>33</v>
      </c>
      <c r="AX2153" s="136" t="s">
        <v>77</v>
      </c>
      <c r="AY2153" s="139" t="s">
        <v>211</v>
      </c>
    </row>
    <row r="2154" spans="2:65" s="113" customFormat="1">
      <c r="B2154" s="119"/>
      <c r="D2154" s="105" t="s">
        <v>365</v>
      </c>
      <c r="E2154" s="135" t="s">
        <v>1</v>
      </c>
      <c r="F2154" s="120" t="s">
        <v>3182</v>
      </c>
      <c r="H2154" s="121">
        <v>0.372</v>
      </c>
      <c r="I2154" s="128"/>
      <c r="L2154" s="119"/>
      <c r="M2154" s="129"/>
      <c r="T2154" s="133"/>
      <c r="AT2154" s="135" t="s">
        <v>365</v>
      </c>
      <c r="AU2154" s="135" t="s">
        <v>87</v>
      </c>
      <c r="AV2154" s="113" t="s">
        <v>87</v>
      </c>
      <c r="AW2154" s="113" t="s">
        <v>33</v>
      </c>
      <c r="AX2154" s="113" t="s">
        <v>77</v>
      </c>
      <c r="AY2154" s="135" t="s">
        <v>211</v>
      </c>
    </row>
    <row r="2155" spans="2:65" s="113" customFormat="1">
      <c r="B2155" s="119"/>
      <c r="D2155" s="105" t="s">
        <v>365</v>
      </c>
      <c r="E2155" s="135" t="s">
        <v>1</v>
      </c>
      <c r="F2155" s="120" t="s">
        <v>3183</v>
      </c>
      <c r="H2155" s="121">
        <v>0.41599999999999998</v>
      </c>
      <c r="I2155" s="128"/>
      <c r="L2155" s="119"/>
      <c r="M2155" s="129"/>
      <c r="T2155" s="133"/>
      <c r="AT2155" s="135" t="s">
        <v>365</v>
      </c>
      <c r="AU2155" s="135" t="s">
        <v>87</v>
      </c>
      <c r="AV2155" s="113" t="s">
        <v>87</v>
      </c>
      <c r="AW2155" s="113" t="s">
        <v>33</v>
      </c>
      <c r="AX2155" s="113" t="s">
        <v>77</v>
      </c>
      <c r="AY2155" s="135" t="s">
        <v>211</v>
      </c>
    </row>
    <row r="2156" spans="2:65" s="113" customFormat="1">
      <c r="B2156" s="119"/>
      <c r="D2156" s="105" t="s">
        <v>365</v>
      </c>
      <c r="E2156" s="135" t="s">
        <v>1</v>
      </c>
      <c r="F2156" s="120" t="s">
        <v>3184</v>
      </c>
      <c r="H2156" s="121">
        <v>0.253</v>
      </c>
      <c r="I2156" s="128"/>
      <c r="L2156" s="119"/>
      <c r="M2156" s="129"/>
      <c r="T2156" s="133"/>
      <c r="AT2156" s="135" t="s">
        <v>365</v>
      </c>
      <c r="AU2156" s="135" t="s">
        <v>87</v>
      </c>
      <c r="AV2156" s="113" t="s">
        <v>87</v>
      </c>
      <c r="AW2156" s="113" t="s">
        <v>33</v>
      </c>
      <c r="AX2156" s="113" t="s">
        <v>77</v>
      </c>
      <c r="AY2156" s="135" t="s">
        <v>211</v>
      </c>
    </row>
    <row r="2157" spans="2:65" s="113" customFormat="1">
      <c r="B2157" s="119"/>
      <c r="D2157" s="105" t="s">
        <v>365</v>
      </c>
      <c r="E2157" s="135" t="s">
        <v>1</v>
      </c>
      <c r="F2157" s="120" t="s">
        <v>3185</v>
      </c>
      <c r="H2157" s="121">
        <v>0.36699999999999999</v>
      </c>
      <c r="I2157" s="128"/>
      <c r="L2157" s="119"/>
      <c r="M2157" s="129"/>
      <c r="T2157" s="133"/>
      <c r="AT2157" s="135" t="s">
        <v>365</v>
      </c>
      <c r="AU2157" s="135" t="s">
        <v>87</v>
      </c>
      <c r="AV2157" s="113" t="s">
        <v>87</v>
      </c>
      <c r="AW2157" s="113" t="s">
        <v>33</v>
      </c>
      <c r="AX2157" s="113" t="s">
        <v>77</v>
      </c>
      <c r="AY2157" s="135" t="s">
        <v>211</v>
      </c>
    </row>
    <row r="2158" spans="2:65" s="137" customFormat="1">
      <c r="B2158" s="141"/>
      <c r="D2158" s="105" t="s">
        <v>365</v>
      </c>
      <c r="E2158" s="142" t="s">
        <v>1</v>
      </c>
      <c r="F2158" s="143" t="s">
        <v>368</v>
      </c>
      <c r="H2158" s="144">
        <v>1.4079999999999999</v>
      </c>
      <c r="I2158" s="148"/>
      <c r="L2158" s="141"/>
      <c r="M2158" s="149"/>
      <c r="T2158" s="151"/>
      <c r="AT2158" s="142" t="s">
        <v>365</v>
      </c>
      <c r="AU2158" s="142" t="s">
        <v>87</v>
      </c>
      <c r="AV2158" s="137" t="s">
        <v>218</v>
      </c>
      <c r="AW2158" s="137" t="s">
        <v>33</v>
      </c>
      <c r="AX2158" s="137" t="s">
        <v>85</v>
      </c>
      <c r="AY2158" s="142" t="s">
        <v>211</v>
      </c>
    </row>
    <row r="2159" spans="2:65" s="1" customFormat="1" ht="21.75" customHeight="1">
      <c r="B2159" s="12"/>
      <c r="C2159" s="114" t="s">
        <v>3186</v>
      </c>
      <c r="D2159" s="114" t="s">
        <v>438</v>
      </c>
      <c r="E2159" s="115" t="s">
        <v>3187</v>
      </c>
      <c r="F2159" s="116" t="s">
        <v>3188</v>
      </c>
      <c r="G2159" s="117" t="s">
        <v>357</v>
      </c>
      <c r="H2159" s="118">
        <v>7.5129999999999999</v>
      </c>
      <c r="I2159" s="122">
        <v>13200</v>
      </c>
      <c r="J2159" s="123">
        <f>ROUND(I2159*H2159,2)</f>
        <v>99171.6</v>
      </c>
      <c r="K2159" s="124"/>
      <c r="L2159" s="125"/>
      <c r="M2159" s="126" t="s">
        <v>1</v>
      </c>
      <c r="N2159" s="127" t="s">
        <v>42</v>
      </c>
      <c r="P2159" s="95">
        <f>O2159*H2159</f>
        <v>0</v>
      </c>
      <c r="Q2159" s="95">
        <v>0.55000000000000004</v>
      </c>
      <c r="R2159" s="95">
        <f>Q2159*H2159</f>
        <v>4.1321500000000002</v>
      </c>
      <c r="S2159" s="95">
        <v>0</v>
      </c>
      <c r="T2159" s="99">
        <f>S2159*H2159</f>
        <v>0</v>
      </c>
      <c r="AR2159" s="101" t="s">
        <v>527</v>
      </c>
      <c r="AT2159" s="101" t="s">
        <v>438</v>
      </c>
      <c r="AU2159" s="101" t="s">
        <v>87</v>
      </c>
      <c r="AY2159" s="23" t="s">
        <v>211</v>
      </c>
      <c r="BE2159" s="104">
        <f>IF(N2159="základní",J2159,0)</f>
        <v>99171.6</v>
      </c>
      <c r="BF2159" s="104">
        <f>IF(N2159="snížená",J2159,0)</f>
        <v>0</v>
      </c>
      <c r="BG2159" s="104">
        <f>IF(N2159="zákl. přenesená",J2159,0)</f>
        <v>0</v>
      </c>
      <c r="BH2159" s="104">
        <f>IF(N2159="sníž. přenesená",J2159,0)</f>
        <v>0</v>
      </c>
      <c r="BI2159" s="104">
        <f>IF(N2159="nulová",J2159,0)</f>
        <v>0</v>
      </c>
      <c r="BJ2159" s="23" t="s">
        <v>85</v>
      </c>
      <c r="BK2159" s="104">
        <f>ROUND(I2159*H2159,2)</f>
        <v>99171.6</v>
      </c>
      <c r="BL2159" s="23" t="s">
        <v>446</v>
      </c>
      <c r="BM2159" s="101" t="s">
        <v>3189</v>
      </c>
    </row>
    <row r="2160" spans="2:65" s="136" customFormat="1">
      <c r="B2160" s="138"/>
      <c r="D2160" s="105" t="s">
        <v>365</v>
      </c>
      <c r="E2160" s="139" t="s">
        <v>1</v>
      </c>
      <c r="F2160" s="140" t="s">
        <v>3190</v>
      </c>
      <c r="H2160" s="139" t="s">
        <v>1</v>
      </c>
      <c r="I2160" s="146"/>
      <c r="L2160" s="138"/>
      <c r="M2160" s="147"/>
      <c r="T2160" s="150"/>
      <c r="AT2160" s="139" t="s">
        <v>365</v>
      </c>
      <c r="AU2160" s="139" t="s">
        <v>87</v>
      </c>
      <c r="AV2160" s="136" t="s">
        <v>85</v>
      </c>
      <c r="AW2160" s="136" t="s">
        <v>33</v>
      </c>
      <c r="AX2160" s="136" t="s">
        <v>77</v>
      </c>
      <c r="AY2160" s="139" t="s">
        <v>211</v>
      </c>
    </row>
    <row r="2161" spans="2:65" s="113" customFormat="1">
      <c r="B2161" s="119"/>
      <c r="D2161" s="105" t="s">
        <v>365</v>
      </c>
      <c r="E2161" s="135" t="s">
        <v>1</v>
      </c>
      <c r="F2161" s="120" t="s">
        <v>3191</v>
      </c>
      <c r="H2161" s="121">
        <v>1.986</v>
      </c>
      <c r="I2161" s="128"/>
      <c r="L2161" s="119"/>
      <c r="M2161" s="129"/>
      <c r="T2161" s="133"/>
      <c r="AT2161" s="135" t="s">
        <v>365</v>
      </c>
      <c r="AU2161" s="135" t="s">
        <v>87</v>
      </c>
      <c r="AV2161" s="113" t="s">
        <v>87</v>
      </c>
      <c r="AW2161" s="113" t="s">
        <v>33</v>
      </c>
      <c r="AX2161" s="113" t="s">
        <v>77</v>
      </c>
      <c r="AY2161" s="135" t="s">
        <v>211</v>
      </c>
    </row>
    <row r="2162" spans="2:65" s="113" customFormat="1">
      <c r="B2162" s="119"/>
      <c r="D2162" s="105" t="s">
        <v>365</v>
      </c>
      <c r="E2162" s="135" t="s">
        <v>1</v>
      </c>
      <c r="F2162" s="120" t="s">
        <v>3192</v>
      </c>
      <c r="H2162" s="121">
        <v>2.2210000000000001</v>
      </c>
      <c r="I2162" s="128"/>
      <c r="L2162" s="119"/>
      <c r="M2162" s="129"/>
      <c r="T2162" s="133"/>
      <c r="AT2162" s="135" t="s">
        <v>365</v>
      </c>
      <c r="AU2162" s="135" t="s">
        <v>87</v>
      </c>
      <c r="AV2162" s="113" t="s">
        <v>87</v>
      </c>
      <c r="AW2162" s="113" t="s">
        <v>33</v>
      </c>
      <c r="AX2162" s="113" t="s">
        <v>77</v>
      </c>
      <c r="AY2162" s="135" t="s">
        <v>211</v>
      </c>
    </row>
    <row r="2163" spans="2:65" s="113" customFormat="1">
      <c r="B2163" s="119"/>
      <c r="D2163" s="105" t="s">
        <v>365</v>
      </c>
      <c r="E2163" s="135" t="s">
        <v>1</v>
      </c>
      <c r="F2163" s="120" t="s">
        <v>3193</v>
      </c>
      <c r="H2163" s="121">
        <v>1.3480000000000001</v>
      </c>
      <c r="I2163" s="128"/>
      <c r="L2163" s="119"/>
      <c r="M2163" s="129"/>
      <c r="T2163" s="133"/>
      <c r="AT2163" s="135" t="s">
        <v>365</v>
      </c>
      <c r="AU2163" s="135" t="s">
        <v>87</v>
      </c>
      <c r="AV2163" s="113" t="s">
        <v>87</v>
      </c>
      <c r="AW2163" s="113" t="s">
        <v>33</v>
      </c>
      <c r="AX2163" s="113" t="s">
        <v>77</v>
      </c>
      <c r="AY2163" s="135" t="s">
        <v>211</v>
      </c>
    </row>
    <row r="2164" spans="2:65" s="113" customFormat="1">
      <c r="B2164" s="119"/>
      <c r="D2164" s="105" t="s">
        <v>365</v>
      </c>
      <c r="E2164" s="135" t="s">
        <v>1</v>
      </c>
      <c r="F2164" s="120" t="s">
        <v>3194</v>
      </c>
      <c r="H2164" s="121">
        <v>1.958</v>
      </c>
      <c r="I2164" s="128"/>
      <c r="L2164" s="119"/>
      <c r="M2164" s="129"/>
      <c r="T2164" s="133"/>
      <c r="AT2164" s="135" t="s">
        <v>365</v>
      </c>
      <c r="AU2164" s="135" t="s">
        <v>87</v>
      </c>
      <c r="AV2164" s="113" t="s">
        <v>87</v>
      </c>
      <c r="AW2164" s="113" t="s">
        <v>33</v>
      </c>
      <c r="AX2164" s="113" t="s">
        <v>77</v>
      </c>
      <c r="AY2164" s="135" t="s">
        <v>211</v>
      </c>
    </row>
    <row r="2165" spans="2:65" s="137" customFormat="1">
      <c r="B2165" s="141"/>
      <c r="D2165" s="105" t="s">
        <v>365</v>
      </c>
      <c r="E2165" s="142" t="s">
        <v>1</v>
      </c>
      <c r="F2165" s="143" t="s">
        <v>368</v>
      </c>
      <c r="H2165" s="144">
        <v>7.5129999999999999</v>
      </c>
      <c r="I2165" s="148"/>
      <c r="L2165" s="141"/>
      <c r="M2165" s="149"/>
      <c r="T2165" s="151"/>
      <c r="AT2165" s="142" t="s">
        <v>365</v>
      </c>
      <c r="AU2165" s="142" t="s">
        <v>87</v>
      </c>
      <c r="AV2165" s="137" t="s">
        <v>218</v>
      </c>
      <c r="AW2165" s="137" t="s">
        <v>33</v>
      </c>
      <c r="AX2165" s="137" t="s">
        <v>85</v>
      </c>
      <c r="AY2165" s="142" t="s">
        <v>211</v>
      </c>
    </row>
    <row r="2166" spans="2:65" s="1" customFormat="1" ht="24.15" customHeight="1">
      <c r="B2166" s="12"/>
      <c r="C2166" s="71" t="s">
        <v>3195</v>
      </c>
      <c r="D2166" s="71" t="s">
        <v>214</v>
      </c>
      <c r="E2166" s="72" t="s">
        <v>3196</v>
      </c>
      <c r="F2166" s="73" t="s">
        <v>3197</v>
      </c>
      <c r="G2166" s="74" t="s">
        <v>357</v>
      </c>
      <c r="H2166" s="75">
        <v>21.331</v>
      </c>
      <c r="I2166" s="90">
        <v>950</v>
      </c>
      <c r="J2166" s="91">
        <f>ROUND(I2166*H2166,2)</f>
        <v>20264.45</v>
      </c>
      <c r="K2166" s="92"/>
      <c r="L2166" s="12"/>
      <c r="M2166" s="93" t="s">
        <v>1</v>
      </c>
      <c r="N2166" s="94" t="s">
        <v>42</v>
      </c>
      <c r="P2166" s="95">
        <f>O2166*H2166</f>
        <v>0</v>
      </c>
      <c r="Q2166" s="95">
        <v>2.3369999999999998E-2</v>
      </c>
      <c r="R2166" s="95">
        <f>Q2166*H2166</f>
        <v>0.49850547000000001</v>
      </c>
      <c r="S2166" s="95">
        <v>0</v>
      </c>
      <c r="T2166" s="99">
        <f>S2166*H2166</f>
        <v>0</v>
      </c>
      <c r="AR2166" s="101" t="s">
        <v>446</v>
      </c>
      <c r="AT2166" s="101" t="s">
        <v>214</v>
      </c>
      <c r="AU2166" s="101" t="s">
        <v>87</v>
      </c>
      <c r="AY2166" s="23" t="s">
        <v>211</v>
      </c>
      <c r="BE2166" s="104">
        <f>IF(N2166="základní",J2166,0)</f>
        <v>20264.45</v>
      </c>
      <c r="BF2166" s="104">
        <f>IF(N2166="snížená",J2166,0)</f>
        <v>0</v>
      </c>
      <c r="BG2166" s="104">
        <f>IF(N2166="zákl. přenesená",J2166,0)</f>
        <v>0</v>
      </c>
      <c r="BH2166" s="104">
        <f>IF(N2166="sníž. přenesená",J2166,0)</f>
        <v>0</v>
      </c>
      <c r="BI2166" s="104">
        <f>IF(N2166="nulová",J2166,0)</f>
        <v>0</v>
      </c>
      <c r="BJ2166" s="23" t="s">
        <v>85</v>
      </c>
      <c r="BK2166" s="104">
        <f>ROUND(I2166*H2166,2)</f>
        <v>20264.45</v>
      </c>
      <c r="BL2166" s="23" t="s">
        <v>446</v>
      </c>
      <c r="BM2166" s="101" t="s">
        <v>3198</v>
      </c>
    </row>
    <row r="2167" spans="2:65" s="113" customFormat="1">
      <c r="B2167" s="119"/>
      <c r="D2167" s="105" t="s">
        <v>365</v>
      </c>
      <c r="E2167" s="135" t="s">
        <v>1</v>
      </c>
      <c r="F2167" s="120" t="s">
        <v>3199</v>
      </c>
      <c r="H2167" s="121">
        <v>12.41</v>
      </c>
      <c r="I2167" s="128"/>
      <c r="L2167" s="119"/>
      <c r="M2167" s="129"/>
      <c r="T2167" s="133"/>
      <c r="AT2167" s="135" t="s">
        <v>365</v>
      </c>
      <c r="AU2167" s="135" t="s">
        <v>87</v>
      </c>
      <c r="AV2167" s="113" t="s">
        <v>87</v>
      </c>
      <c r="AW2167" s="113" t="s">
        <v>33</v>
      </c>
      <c r="AX2167" s="113" t="s">
        <v>77</v>
      </c>
      <c r="AY2167" s="135" t="s">
        <v>211</v>
      </c>
    </row>
    <row r="2168" spans="2:65" s="113" customFormat="1">
      <c r="B2168" s="119"/>
      <c r="D2168" s="105" t="s">
        <v>365</v>
      </c>
      <c r="E2168" s="135" t="s">
        <v>1</v>
      </c>
      <c r="F2168" s="120" t="s">
        <v>3200</v>
      </c>
      <c r="H2168" s="121">
        <v>1.4079999999999999</v>
      </c>
      <c r="I2168" s="128"/>
      <c r="L2168" s="119"/>
      <c r="M2168" s="129"/>
      <c r="T2168" s="133"/>
      <c r="AT2168" s="135" t="s">
        <v>365</v>
      </c>
      <c r="AU2168" s="135" t="s">
        <v>87</v>
      </c>
      <c r="AV2168" s="113" t="s">
        <v>87</v>
      </c>
      <c r="AW2168" s="113" t="s">
        <v>33</v>
      </c>
      <c r="AX2168" s="113" t="s">
        <v>77</v>
      </c>
      <c r="AY2168" s="135" t="s">
        <v>211</v>
      </c>
    </row>
    <row r="2169" spans="2:65" s="113" customFormat="1">
      <c r="B2169" s="119"/>
      <c r="D2169" s="105" t="s">
        <v>365</v>
      </c>
      <c r="E2169" s="135" t="s">
        <v>1</v>
      </c>
      <c r="F2169" s="120" t="s">
        <v>3151</v>
      </c>
      <c r="H2169" s="121">
        <v>7.5129999999999999</v>
      </c>
      <c r="I2169" s="128"/>
      <c r="L2169" s="119"/>
      <c r="M2169" s="129"/>
      <c r="T2169" s="133"/>
      <c r="AT2169" s="135" t="s">
        <v>365</v>
      </c>
      <c r="AU2169" s="135" t="s">
        <v>87</v>
      </c>
      <c r="AV2169" s="113" t="s">
        <v>87</v>
      </c>
      <c r="AW2169" s="113" t="s">
        <v>33</v>
      </c>
      <c r="AX2169" s="113" t="s">
        <v>77</v>
      </c>
      <c r="AY2169" s="135" t="s">
        <v>211</v>
      </c>
    </row>
    <row r="2170" spans="2:65" s="137" customFormat="1">
      <c r="B2170" s="141"/>
      <c r="D2170" s="105" t="s">
        <v>365</v>
      </c>
      <c r="E2170" s="142" t="s">
        <v>1</v>
      </c>
      <c r="F2170" s="143" t="s">
        <v>368</v>
      </c>
      <c r="H2170" s="144">
        <v>21.331</v>
      </c>
      <c r="I2170" s="148"/>
      <c r="L2170" s="141"/>
      <c r="M2170" s="149"/>
      <c r="T2170" s="151"/>
      <c r="AT2170" s="142" t="s">
        <v>365</v>
      </c>
      <c r="AU2170" s="142" t="s">
        <v>87</v>
      </c>
      <c r="AV2170" s="137" t="s">
        <v>218</v>
      </c>
      <c r="AW2170" s="137" t="s">
        <v>33</v>
      </c>
      <c r="AX2170" s="137" t="s">
        <v>85</v>
      </c>
      <c r="AY2170" s="142" t="s">
        <v>211</v>
      </c>
    </row>
    <row r="2171" spans="2:65" s="1" customFormat="1" ht="24.15" customHeight="1">
      <c r="B2171" s="12"/>
      <c r="C2171" s="71" t="s">
        <v>3201</v>
      </c>
      <c r="D2171" s="71" t="s">
        <v>214</v>
      </c>
      <c r="E2171" s="72" t="s">
        <v>3202</v>
      </c>
      <c r="F2171" s="73" t="s">
        <v>3203</v>
      </c>
      <c r="G2171" s="74" t="s">
        <v>2866</v>
      </c>
      <c r="H2171" s="163">
        <f>SUM(J2128:J2166)/100</f>
        <v>3604.9866000000002</v>
      </c>
      <c r="I2171" s="90">
        <v>4.67</v>
      </c>
      <c r="J2171" s="91">
        <f>ROUND(I2171*H2171,2)</f>
        <v>16835.29</v>
      </c>
      <c r="K2171" s="92"/>
      <c r="L2171" s="12"/>
      <c r="M2171" s="93" t="s">
        <v>1</v>
      </c>
      <c r="N2171" s="94" t="s">
        <v>42</v>
      </c>
      <c r="P2171" s="95">
        <f>O2171*H2171</f>
        <v>0</v>
      </c>
      <c r="Q2171" s="95">
        <v>0</v>
      </c>
      <c r="R2171" s="95">
        <f>Q2171*H2171</f>
        <v>0</v>
      </c>
      <c r="S2171" s="95">
        <v>0</v>
      </c>
      <c r="T2171" s="99">
        <f>S2171*H2171</f>
        <v>0</v>
      </c>
      <c r="AR2171" s="101" t="s">
        <v>446</v>
      </c>
      <c r="AT2171" s="101" t="s">
        <v>214</v>
      </c>
      <c r="AU2171" s="101" t="s">
        <v>87</v>
      </c>
      <c r="AY2171" s="23" t="s">
        <v>211</v>
      </c>
      <c r="BE2171" s="104">
        <f>IF(N2171="základní",J2171,0)</f>
        <v>16835.29</v>
      </c>
      <c r="BF2171" s="104">
        <f>IF(N2171="snížená",J2171,0)</f>
        <v>0</v>
      </c>
      <c r="BG2171" s="104">
        <f>IF(N2171="zákl. přenesená",J2171,0)</f>
        <v>0</v>
      </c>
      <c r="BH2171" s="104">
        <f>IF(N2171="sníž. přenesená",J2171,0)</f>
        <v>0</v>
      </c>
      <c r="BI2171" s="104">
        <f>IF(N2171="nulová",J2171,0)</f>
        <v>0</v>
      </c>
      <c r="BJ2171" s="23" t="s">
        <v>85</v>
      </c>
      <c r="BK2171" s="104">
        <f>ROUND(I2171*H2171,2)</f>
        <v>16835.29</v>
      </c>
      <c r="BL2171" s="23" t="s">
        <v>446</v>
      </c>
      <c r="BM2171" s="101" t="s">
        <v>3204</v>
      </c>
    </row>
    <row r="2172" spans="2:65" s="31" customFormat="1" ht="23.1" customHeight="1">
      <c r="B2172" s="67"/>
      <c r="D2172" s="68" t="s">
        <v>76</v>
      </c>
      <c r="E2172" s="70" t="s">
        <v>3205</v>
      </c>
      <c r="F2172" s="70" t="s">
        <v>3206</v>
      </c>
      <c r="I2172" s="85"/>
      <c r="J2172" s="89">
        <f>BK2172</f>
        <v>5356132.5</v>
      </c>
      <c r="L2172" s="67"/>
      <c r="M2172" s="87"/>
      <c r="P2172" s="88">
        <f>SUM(P2173:P2269)</f>
        <v>0</v>
      </c>
      <c r="R2172" s="88">
        <f>SUM(R2173:R2269)</f>
        <v>72.601120409999993</v>
      </c>
      <c r="T2172" s="98">
        <f>SUM(T2173:T2269)</f>
        <v>0</v>
      </c>
      <c r="AR2172" s="68" t="s">
        <v>87</v>
      </c>
      <c r="AT2172" s="100" t="s">
        <v>76</v>
      </c>
      <c r="AU2172" s="100" t="s">
        <v>85</v>
      </c>
      <c r="AY2172" s="68" t="s">
        <v>211</v>
      </c>
      <c r="BK2172" s="103">
        <f>SUM(BK2173:BK2269)</f>
        <v>5356132.5</v>
      </c>
    </row>
    <row r="2173" spans="2:65" s="1" customFormat="1" ht="24.15" customHeight="1">
      <c r="B2173" s="12"/>
      <c r="C2173" s="71" t="s">
        <v>3207</v>
      </c>
      <c r="D2173" s="71" t="s">
        <v>214</v>
      </c>
      <c r="E2173" s="72" t="s">
        <v>3208</v>
      </c>
      <c r="F2173" s="73" t="s">
        <v>3209</v>
      </c>
      <c r="G2173" s="74" t="s">
        <v>279</v>
      </c>
      <c r="H2173" s="75">
        <v>1590.5</v>
      </c>
      <c r="I2173" s="90">
        <v>898</v>
      </c>
      <c r="J2173" s="91">
        <f>ROUND(I2173*H2173,2)</f>
        <v>1428269</v>
      </c>
      <c r="K2173" s="92"/>
      <c r="L2173" s="12"/>
      <c r="M2173" s="93" t="s">
        <v>1</v>
      </c>
      <c r="N2173" s="94" t="s">
        <v>42</v>
      </c>
      <c r="P2173" s="95">
        <f>O2173*H2173</f>
        <v>0</v>
      </c>
      <c r="Q2173" s="95">
        <v>2.1870000000000001E-2</v>
      </c>
      <c r="R2173" s="95">
        <f>Q2173*H2173</f>
        <v>34.784235000000002</v>
      </c>
      <c r="S2173" s="95">
        <v>0</v>
      </c>
      <c r="T2173" s="99">
        <f>S2173*H2173</f>
        <v>0</v>
      </c>
      <c r="AR2173" s="101" t="s">
        <v>446</v>
      </c>
      <c r="AT2173" s="101" t="s">
        <v>214</v>
      </c>
      <c r="AU2173" s="101" t="s">
        <v>87</v>
      </c>
      <c r="AY2173" s="23" t="s">
        <v>211</v>
      </c>
      <c r="BE2173" s="104">
        <f>IF(N2173="základní",J2173,0)</f>
        <v>1428269</v>
      </c>
      <c r="BF2173" s="104">
        <f>IF(N2173="snížená",J2173,0)</f>
        <v>0</v>
      </c>
      <c r="BG2173" s="104">
        <f>IF(N2173="zákl. přenesená",J2173,0)</f>
        <v>0</v>
      </c>
      <c r="BH2173" s="104">
        <f>IF(N2173="sníž. přenesená",J2173,0)</f>
        <v>0</v>
      </c>
      <c r="BI2173" s="104">
        <f>IF(N2173="nulová",J2173,0)</f>
        <v>0</v>
      </c>
      <c r="BJ2173" s="23" t="s">
        <v>85</v>
      </c>
      <c r="BK2173" s="104">
        <f>ROUND(I2173*H2173,2)</f>
        <v>1428269</v>
      </c>
      <c r="BL2173" s="23" t="s">
        <v>446</v>
      </c>
      <c r="BM2173" s="101" t="s">
        <v>3210</v>
      </c>
    </row>
    <row r="2174" spans="2:65" s="136" customFormat="1">
      <c r="B2174" s="138"/>
      <c r="D2174" s="105" t="s">
        <v>365</v>
      </c>
      <c r="E2174" s="139" t="s">
        <v>1</v>
      </c>
      <c r="F2174" s="140" t="s">
        <v>3156</v>
      </c>
      <c r="H2174" s="139" t="s">
        <v>1</v>
      </c>
      <c r="I2174" s="146"/>
      <c r="L2174" s="138"/>
      <c r="M2174" s="147"/>
      <c r="T2174" s="150"/>
      <c r="AT2174" s="139" t="s">
        <v>365</v>
      </c>
      <c r="AU2174" s="139" t="s">
        <v>87</v>
      </c>
      <c r="AV2174" s="136" t="s">
        <v>85</v>
      </c>
      <c r="AW2174" s="136" t="s">
        <v>33</v>
      </c>
      <c r="AX2174" s="136" t="s">
        <v>77</v>
      </c>
      <c r="AY2174" s="139" t="s">
        <v>211</v>
      </c>
    </row>
    <row r="2175" spans="2:65" s="113" customFormat="1">
      <c r="B2175" s="119"/>
      <c r="D2175" s="105" t="s">
        <v>365</v>
      </c>
      <c r="E2175" s="135" t="s">
        <v>1</v>
      </c>
      <c r="F2175" s="120" t="s">
        <v>3157</v>
      </c>
      <c r="H2175" s="121">
        <v>367.51</v>
      </c>
      <c r="I2175" s="128"/>
      <c r="L2175" s="119"/>
      <c r="M2175" s="129"/>
      <c r="T2175" s="133"/>
      <c r="AT2175" s="135" t="s">
        <v>365</v>
      </c>
      <c r="AU2175" s="135" t="s">
        <v>87</v>
      </c>
      <c r="AV2175" s="113" t="s">
        <v>87</v>
      </c>
      <c r="AW2175" s="113" t="s">
        <v>33</v>
      </c>
      <c r="AX2175" s="113" t="s">
        <v>77</v>
      </c>
      <c r="AY2175" s="135" t="s">
        <v>211</v>
      </c>
    </row>
    <row r="2176" spans="2:65" s="113" customFormat="1">
      <c r="B2176" s="119"/>
      <c r="D2176" s="105" t="s">
        <v>365</v>
      </c>
      <c r="E2176" s="135" t="s">
        <v>1</v>
      </c>
      <c r="F2176" s="120" t="s">
        <v>3158</v>
      </c>
      <c r="H2176" s="121">
        <v>438.5</v>
      </c>
      <c r="I2176" s="128"/>
      <c r="L2176" s="119"/>
      <c r="M2176" s="129"/>
      <c r="T2176" s="133"/>
      <c r="AT2176" s="135" t="s">
        <v>365</v>
      </c>
      <c r="AU2176" s="135" t="s">
        <v>87</v>
      </c>
      <c r="AV2176" s="113" t="s">
        <v>87</v>
      </c>
      <c r="AW2176" s="113" t="s">
        <v>33</v>
      </c>
      <c r="AX2176" s="113" t="s">
        <v>77</v>
      </c>
      <c r="AY2176" s="135" t="s">
        <v>211</v>
      </c>
    </row>
    <row r="2177" spans="2:65" s="113" customFormat="1">
      <c r="B2177" s="119"/>
      <c r="D2177" s="105" t="s">
        <v>365</v>
      </c>
      <c r="E2177" s="135" t="s">
        <v>1</v>
      </c>
      <c r="F2177" s="120" t="s">
        <v>3159</v>
      </c>
      <c r="H2177" s="121">
        <v>335.61</v>
      </c>
      <c r="I2177" s="128"/>
      <c r="L2177" s="119"/>
      <c r="M2177" s="129"/>
      <c r="T2177" s="133"/>
      <c r="AT2177" s="135" t="s">
        <v>365</v>
      </c>
      <c r="AU2177" s="135" t="s">
        <v>87</v>
      </c>
      <c r="AV2177" s="113" t="s">
        <v>87</v>
      </c>
      <c r="AW2177" s="113" t="s">
        <v>33</v>
      </c>
      <c r="AX2177" s="113" t="s">
        <v>77</v>
      </c>
      <c r="AY2177" s="135" t="s">
        <v>211</v>
      </c>
    </row>
    <row r="2178" spans="2:65" s="113" customFormat="1">
      <c r="B2178" s="119"/>
      <c r="D2178" s="105" t="s">
        <v>365</v>
      </c>
      <c r="E2178" s="135" t="s">
        <v>1</v>
      </c>
      <c r="F2178" s="120" t="s">
        <v>3160</v>
      </c>
      <c r="H2178" s="121">
        <v>448.88</v>
      </c>
      <c r="I2178" s="128"/>
      <c r="L2178" s="119"/>
      <c r="M2178" s="129"/>
      <c r="T2178" s="133"/>
      <c r="AT2178" s="135" t="s">
        <v>365</v>
      </c>
      <c r="AU2178" s="135" t="s">
        <v>87</v>
      </c>
      <c r="AV2178" s="113" t="s">
        <v>87</v>
      </c>
      <c r="AW2178" s="113" t="s">
        <v>33</v>
      </c>
      <c r="AX2178" s="113" t="s">
        <v>77</v>
      </c>
      <c r="AY2178" s="135" t="s">
        <v>211</v>
      </c>
    </row>
    <row r="2179" spans="2:65" s="137" customFormat="1">
      <c r="B2179" s="141"/>
      <c r="D2179" s="105" t="s">
        <v>365</v>
      </c>
      <c r="E2179" s="142" t="s">
        <v>1</v>
      </c>
      <c r="F2179" s="143" t="s">
        <v>368</v>
      </c>
      <c r="H2179" s="144">
        <v>1590.5</v>
      </c>
      <c r="I2179" s="148"/>
      <c r="L2179" s="141"/>
      <c r="M2179" s="149"/>
      <c r="T2179" s="151"/>
      <c r="AT2179" s="142" t="s">
        <v>365</v>
      </c>
      <c r="AU2179" s="142" t="s">
        <v>87</v>
      </c>
      <c r="AV2179" s="137" t="s">
        <v>218</v>
      </c>
      <c r="AW2179" s="137" t="s">
        <v>33</v>
      </c>
      <c r="AX2179" s="137" t="s">
        <v>85</v>
      </c>
      <c r="AY2179" s="142" t="s">
        <v>211</v>
      </c>
    </row>
    <row r="2180" spans="2:65" s="1" customFormat="1" ht="16.5" customHeight="1">
      <c r="B2180" s="12"/>
      <c r="C2180" s="71" t="s">
        <v>3211</v>
      </c>
      <c r="D2180" s="71" t="s">
        <v>214</v>
      </c>
      <c r="E2180" s="72" t="s">
        <v>3212</v>
      </c>
      <c r="F2180" s="73" t="s">
        <v>3213</v>
      </c>
      <c r="G2180" s="74" t="s">
        <v>279</v>
      </c>
      <c r="H2180" s="75">
        <v>1590.5</v>
      </c>
      <c r="I2180" s="90">
        <v>43</v>
      </c>
      <c r="J2180" s="91">
        <f>ROUND(I2180*H2180,2)</f>
        <v>68391.5</v>
      </c>
      <c r="K2180" s="92"/>
      <c r="L2180" s="12"/>
      <c r="M2180" s="93" t="s">
        <v>1</v>
      </c>
      <c r="N2180" s="94" t="s">
        <v>42</v>
      </c>
      <c r="P2180" s="95">
        <f>O2180*H2180</f>
        <v>0</v>
      </c>
      <c r="Q2180" s="95">
        <v>0</v>
      </c>
      <c r="R2180" s="95">
        <f>Q2180*H2180</f>
        <v>0</v>
      </c>
      <c r="S2180" s="95">
        <v>0</v>
      </c>
      <c r="T2180" s="99">
        <f>S2180*H2180</f>
        <v>0</v>
      </c>
      <c r="AR2180" s="101" t="s">
        <v>446</v>
      </c>
      <c r="AT2180" s="101" t="s">
        <v>214</v>
      </c>
      <c r="AU2180" s="101" t="s">
        <v>87</v>
      </c>
      <c r="AY2180" s="23" t="s">
        <v>211</v>
      </c>
      <c r="BE2180" s="104">
        <f>IF(N2180="základní",J2180,0)</f>
        <v>68391.5</v>
      </c>
      <c r="BF2180" s="104">
        <f>IF(N2180="snížená",J2180,0)</f>
        <v>0</v>
      </c>
      <c r="BG2180" s="104">
        <f>IF(N2180="zákl. přenesená",J2180,0)</f>
        <v>0</v>
      </c>
      <c r="BH2180" s="104">
        <f>IF(N2180="sníž. přenesená",J2180,0)</f>
        <v>0</v>
      </c>
      <c r="BI2180" s="104">
        <f>IF(N2180="nulová",J2180,0)</f>
        <v>0</v>
      </c>
      <c r="BJ2180" s="23" t="s">
        <v>85</v>
      </c>
      <c r="BK2180" s="104">
        <f>ROUND(I2180*H2180,2)</f>
        <v>68391.5</v>
      </c>
      <c r="BL2180" s="23" t="s">
        <v>446</v>
      </c>
      <c r="BM2180" s="101" t="s">
        <v>3214</v>
      </c>
    </row>
    <row r="2181" spans="2:65" s="136" customFormat="1">
      <c r="B2181" s="138"/>
      <c r="D2181" s="105" t="s">
        <v>365</v>
      </c>
      <c r="E2181" s="139" t="s">
        <v>1</v>
      </c>
      <c r="F2181" s="140" t="s">
        <v>3156</v>
      </c>
      <c r="H2181" s="139" t="s">
        <v>1</v>
      </c>
      <c r="I2181" s="146"/>
      <c r="L2181" s="138"/>
      <c r="M2181" s="147"/>
      <c r="T2181" s="150"/>
      <c r="AT2181" s="139" t="s">
        <v>365</v>
      </c>
      <c r="AU2181" s="139" t="s">
        <v>87</v>
      </c>
      <c r="AV2181" s="136" t="s">
        <v>85</v>
      </c>
      <c r="AW2181" s="136" t="s">
        <v>33</v>
      </c>
      <c r="AX2181" s="136" t="s">
        <v>77</v>
      </c>
      <c r="AY2181" s="139" t="s">
        <v>211</v>
      </c>
    </row>
    <row r="2182" spans="2:65" s="113" customFormat="1">
      <c r="B2182" s="119"/>
      <c r="D2182" s="105" t="s">
        <v>365</v>
      </c>
      <c r="E2182" s="135" t="s">
        <v>1</v>
      </c>
      <c r="F2182" s="120" t="s">
        <v>3157</v>
      </c>
      <c r="H2182" s="121">
        <v>367.51</v>
      </c>
      <c r="I2182" s="128"/>
      <c r="L2182" s="119"/>
      <c r="M2182" s="129"/>
      <c r="T2182" s="133"/>
      <c r="AT2182" s="135" t="s">
        <v>365</v>
      </c>
      <c r="AU2182" s="135" t="s">
        <v>87</v>
      </c>
      <c r="AV2182" s="113" t="s">
        <v>87</v>
      </c>
      <c r="AW2182" s="113" t="s">
        <v>33</v>
      </c>
      <c r="AX2182" s="113" t="s">
        <v>77</v>
      </c>
      <c r="AY2182" s="135" t="s">
        <v>211</v>
      </c>
    </row>
    <row r="2183" spans="2:65" s="113" customFormat="1">
      <c r="B2183" s="119"/>
      <c r="D2183" s="105" t="s">
        <v>365</v>
      </c>
      <c r="E2183" s="135" t="s">
        <v>1</v>
      </c>
      <c r="F2183" s="120" t="s">
        <v>3158</v>
      </c>
      <c r="H2183" s="121">
        <v>438.5</v>
      </c>
      <c r="I2183" s="128"/>
      <c r="L2183" s="119"/>
      <c r="M2183" s="129"/>
      <c r="T2183" s="133"/>
      <c r="AT2183" s="135" t="s">
        <v>365</v>
      </c>
      <c r="AU2183" s="135" t="s">
        <v>87</v>
      </c>
      <c r="AV2183" s="113" t="s">
        <v>87</v>
      </c>
      <c r="AW2183" s="113" t="s">
        <v>33</v>
      </c>
      <c r="AX2183" s="113" t="s">
        <v>77</v>
      </c>
      <c r="AY2183" s="135" t="s">
        <v>211</v>
      </c>
    </row>
    <row r="2184" spans="2:65" s="113" customFormat="1">
      <c r="B2184" s="119"/>
      <c r="D2184" s="105" t="s">
        <v>365</v>
      </c>
      <c r="E2184" s="135" t="s">
        <v>1</v>
      </c>
      <c r="F2184" s="120" t="s">
        <v>3159</v>
      </c>
      <c r="H2184" s="121">
        <v>335.61</v>
      </c>
      <c r="I2184" s="128"/>
      <c r="L2184" s="119"/>
      <c r="M2184" s="129"/>
      <c r="T2184" s="133"/>
      <c r="AT2184" s="135" t="s">
        <v>365</v>
      </c>
      <c r="AU2184" s="135" t="s">
        <v>87</v>
      </c>
      <c r="AV2184" s="113" t="s">
        <v>87</v>
      </c>
      <c r="AW2184" s="113" t="s">
        <v>33</v>
      </c>
      <c r="AX2184" s="113" t="s">
        <v>77</v>
      </c>
      <c r="AY2184" s="135" t="s">
        <v>211</v>
      </c>
    </row>
    <row r="2185" spans="2:65" s="113" customFormat="1">
      <c r="B2185" s="119"/>
      <c r="D2185" s="105" t="s">
        <v>365</v>
      </c>
      <c r="E2185" s="135" t="s">
        <v>1</v>
      </c>
      <c r="F2185" s="120" t="s">
        <v>3160</v>
      </c>
      <c r="H2185" s="121">
        <v>448.88</v>
      </c>
      <c r="I2185" s="128"/>
      <c r="L2185" s="119"/>
      <c r="M2185" s="129"/>
      <c r="T2185" s="133"/>
      <c r="AT2185" s="135" t="s">
        <v>365</v>
      </c>
      <c r="AU2185" s="135" t="s">
        <v>87</v>
      </c>
      <c r="AV2185" s="113" t="s">
        <v>87</v>
      </c>
      <c r="AW2185" s="113" t="s">
        <v>33</v>
      </c>
      <c r="AX2185" s="113" t="s">
        <v>77</v>
      </c>
      <c r="AY2185" s="135" t="s">
        <v>211</v>
      </c>
    </row>
    <row r="2186" spans="2:65" s="137" customFormat="1">
      <c r="B2186" s="141"/>
      <c r="D2186" s="105" t="s">
        <v>365</v>
      </c>
      <c r="E2186" s="142" t="s">
        <v>1</v>
      </c>
      <c r="F2186" s="143" t="s">
        <v>368</v>
      </c>
      <c r="H2186" s="144">
        <v>1590.5</v>
      </c>
      <c r="I2186" s="148"/>
      <c r="L2186" s="141"/>
      <c r="M2186" s="149"/>
      <c r="T2186" s="151"/>
      <c r="AT2186" s="142" t="s">
        <v>365</v>
      </c>
      <c r="AU2186" s="142" t="s">
        <v>87</v>
      </c>
      <c r="AV2186" s="137" t="s">
        <v>218</v>
      </c>
      <c r="AW2186" s="137" t="s">
        <v>33</v>
      </c>
      <c r="AX2186" s="137" t="s">
        <v>85</v>
      </c>
      <c r="AY2186" s="142" t="s">
        <v>211</v>
      </c>
    </row>
    <row r="2187" spans="2:65" s="1" customFormat="1" ht="24.15" customHeight="1">
      <c r="B2187" s="12"/>
      <c r="C2187" s="114" t="s">
        <v>3215</v>
      </c>
      <c r="D2187" s="114" t="s">
        <v>438</v>
      </c>
      <c r="E2187" s="115" t="s">
        <v>3216</v>
      </c>
      <c r="F2187" s="116" t="s">
        <v>3217</v>
      </c>
      <c r="G2187" s="117" t="s">
        <v>279</v>
      </c>
      <c r="H2187" s="118">
        <v>1786.9269999999999</v>
      </c>
      <c r="I2187" s="122">
        <v>48.7</v>
      </c>
      <c r="J2187" s="123">
        <f>ROUND(I2187*H2187,2)</f>
        <v>87023.34</v>
      </c>
      <c r="K2187" s="124"/>
      <c r="L2187" s="125"/>
      <c r="M2187" s="126" t="s">
        <v>1</v>
      </c>
      <c r="N2187" s="127" t="s">
        <v>42</v>
      </c>
      <c r="P2187" s="95">
        <f>O2187*H2187</f>
        <v>0</v>
      </c>
      <c r="Q2187" s="95">
        <v>1.7000000000000001E-4</v>
      </c>
      <c r="R2187" s="95">
        <f>Q2187*H2187</f>
        <v>0.30377758999999999</v>
      </c>
      <c r="S2187" s="95">
        <v>0</v>
      </c>
      <c r="T2187" s="99">
        <f>S2187*H2187</f>
        <v>0</v>
      </c>
      <c r="AR2187" s="101" t="s">
        <v>527</v>
      </c>
      <c r="AT2187" s="101" t="s">
        <v>438</v>
      </c>
      <c r="AU2187" s="101" t="s">
        <v>87</v>
      </c>
      <c r="AY2187" s="23" t="s">
        <v>211</v>
      </c>
      <c r="BE2187" s="104">
        <f>IF(N2187="základní",J2187,0)</f>
        <v>87023.34</v>
      </c>
      <c r="BF2187" s="104">
        <f>IF(N2187="snížená",J2187,0)</f>
        <v>0</v>
      </c>
      <c r="BG2187" s="104">
        <f>IF(N2187="zákl. přenesená",J2187,0)</f>
        <v>0</v>
      </c>
      <c r="BH2187" s="104">
        <f>IF(N2187="sníž. přenesená",J2187,0)</f>
        <v>0</v>
      </c>
      <c r="BI2187" s="104">
        <f>IF(N2187="nulová",J2187,0)</f>
        <v>0</v>
      </c>
      <c r="BJ2187" s="23" t="s">
        <v>85</v>
      </c>
      <c r="BK2187" s="104">
        <f>ROUND(I2187*H2187,2)</f>
        <v>87023.34</v>
      </c>
      <c r="BL2187" s="23" t="s">
        <v>446</v>
      </c>
      <c r="BM2187" s="101" t="s">
        <v>3218</v>
      </c>
    </row>
    <row r="2188" spans="2:65" s="113" customFormat="1">
      <c r="B2188" s="119"/>
      <c r="D2188" s="105" t="s">
        <v>365</v>
      </c>
      <c r="F2188" s="120" t="s">
        <v>3219</v>
      </c>
      <c r="H2188" s="121">
        <v>1786.9269999999999</v>
      </c>
      <c r="I2188" s="128"/>
      <c r="L2188" s="119"/>
      <c r="M2188" s="129"/>
      <c r="T2188" s="133"/>
      <c r="AT2188" s="135" t="s">
        <v>365</v>
      </c>
      <c r="AU2188" s="135" t="s">
        <v>87</v>
      </c>
      <c r="AV2188" s="113" t="s">
        <v>87</v>
      </c>
      <c r="AW2188" s="113" t="s">
        <v>4</v>
      </c>
      <c r="AX2188" s="113" t="s">
        <v>85</v>
      </c>
      <c r="AY2188" s="135" t="s">
        <v>211</v>
      </c>
    </row>
    <row r="2189" spans="2:65" s="1" customFormat="1" ht="21.75" customHeight="1">
      <c r="B2189" s="12"/>
      <c r="C2189" s="71" t="s">
        <v>3220</v>
      </c>
      <c r="D2189" s="71" t="s">
        <v>214</v>
      </c>
      <c r="E2189" s="72" t="s">
        <v>3221</v>
      </c>
      <c r="F2189" s="73" t="s">
        <v>3222</v>
      </c>
      <c r="G2189" s="74" t="s">
        <v>279</v>
      </c>
      <c r="H2189" s="75">
        <v>1590.5</v>
      </c>
      <c r="I2189" s="90">
        <v>46</v>
      </c>
      <c r="J2189" s="91">
        <f>ROUND(I2189*H2189,2)</f>
        <v>73163</v>
      </c>
      <c r="K2189" s="92"/>
      <c r="L2189" s="12"/>
      <c r="M2189" s="93" t="s">
        <v>1</v>
      </c>
      <c r="N2189" s="94" t="s">
        <v>42</v>
      </c>
      <c r="P2189" s="95">
        <f>O2189*H2189</f>
        <v>0</v>
      </c>
      <c r="Q2189" s="95">
        <v>0</v>
      </c>
      <c r="R2189" s="95">
        <f>Q2189*H2189</f>
        <v>0</v>
      </c>
      <c r="S2189" s="95">
        <v>0</v>
      </c>
      <c r="T2189" s="99">
        <f>S2189*H2189</f>
        <v>0</v>
      </c>
      <c r="AR2189" s="101" t="s">
        <v>446</v>
      </c>
      <c r="AT2189" s="101" t="s">
        <v>214</v>
      </c>
      <c r="AU2189" s="101" t="s">
        <v>87</v>
      </c>
      <c r="AY2189" s="23" t="s">
        <v>211</v>
      </c>
      <c r="BE2189" s="104">
        <f>IF(N2189="základní",J2189,0)</f>
        <v>73163</v>
      </c>
      <c r="BF2189" s="104">
        <f>IF(N2189="snížená",J2189,0)</f>
        <v>0</v>
      </c>
      <c r="BG2189" s="104">
        <f>IF(N2189="zákl. přenesená",J2189,0)</f>
        <v>0</v>
      </c>
      <c r="BH2189" s="104">
        <f>IF(N2189="sníž. přenesená",J2189,0)</f>
        <v>0</v>
      </c>
      <c r="BI2189" s="104">
        <f>IF(N2189="nulová",J2189,0)</f>
        <v>0</v>
      </c>
      <c r="BJ2189" s="23" t="s">
        <v>85</v>
      </c>
      <c r="BK2189" s="104">
        <f>ROUND(I2189*H2189,2)</f>
        <v>73163</v>
      </c>
      <c r="BL2189" s="23" t="s">
        <v>446</v>
      </c>
      <c r="BM2189" s="101" t="s">
        <v>3223</v>
      </c>
    </row>
    <row r="2190" spans="2:65" s="136" customFormat="1">
      <c r="B2190" s="138"/>
      <c r="D2190" s="105" t="s">
        <v>365</v>
      </c>
      <c r="E2190" s="139" t="s">
        <v>1</v>
      </c>
      <c r="F2190" s="140" t="s">
        <v>3156</v>
      </c>
      <c r="H2190" s="139" t="s">
        <v>1</v>
      </c>
      <c r="I2190" s="146"/>
      <c r="L2190" s="138"/>
      <c r="M2190" s="147"/>
      <c r="T2190" s="150"/>
      <c r="AT2190" s="139" t="s">
        <v>365</v>
      </c>
      <c r="AU2190" s="139" t="s">
        <v>87</v>
      </c>
      <c r="AV2190" s="136" t="s">
        <v>85</v>
      </c>
      <c r="AW2190" s="136" t="s">
        <v>33</v>
      </c>
      <c r="AX2190" s="136" t="s">
        <v>77</v>
      </c>
      <c r="AY2190" s="139" t="s">
        <v>211</v>
      </c>
    </row>
    <row r="2191" spans="2:65" s="113" customFormat="1">
      <c r="B2191" s="119"/>
      <c r="D2191" s="105" t="s">
        <v>365</v>
      </c>
      <c r="E2191" s="135" t="s">
        <v>1</v>
      </c>
      <c r="F2191" s="120" t="s">
        <v>3157</v>
      </c>
      <c r="H2191" s="121">
        <v>367.51</v>
      </c>
      <c r="I2191" s="128"/>
      <c r="L2191" s="119"/>
      <c r="M2191" s="129"/>
      <c r="T2191" s="133"/>
      <c r="AT2191" s="135" t="s">
        <v>365</v>
      </c>
      <c r="AU2191" s="135" t="s">
        <v>87</v>
      </c>
      <c r="AV2191" s="113" t="s">
        <v>87</v>
      </c>
      <c r="AW2191" s="113" t="s">
        <v>33</v>
      </c>
      <c r="AX2191" s="113" t="s">
        <v>77</v>
      </c>
      <c r="AY2191" s="135" t="s">
        <v>211</v>
      </c>
    </row>
    <row r="2192" spans="2:65" s="113" customFormat="1">
      <c r="B2192" s="119"/>
      <c r="D2192" s="105" t="s">
        <v>365</v>
      </c>
      <c r="E2192" s="135" t="s">
        <v>1</v>
      </c>
      <c r="F2192" s="120" t="s">
        <v>3158</v>
      </c>
      <c r="H2192" s="121">
        <v>438.5</v>
      </c>
      <c r="I2192" s="128"/>
      <c r="L2192" s="119"/>
      <c r="M2192" s="129"/>
      <c r="T2192" s="133"/>
      <c r="AT2192" s="135" t="s">
        <v>365</v>
      </c>
      <c r="AU2192" s="135" t="s">
        <v>87</v>
      </c>
      <c r="AV2192" s="113" t="s">
        <v>87</v>
      </c>
      <c r="AW2192" s="113" t="s">
        <v>33</v>
      </c>
      <c r="AX2192" s="113" t="s">
        <v>77</v>
      </c>
      <c r="AY2192" s="135" t="s">
        <v>211</v>
      </c>
    </row>
    <row r="2193" spans="2:65" s="113" customFormat="1">
      <c r="B2193" s="119"/>
      <c r="D2193" s="105" t="s">
        <v>365</v>
      </c>
      <c r="E2193" s="135" t="s">
        <v>1</v>
      </c>
      <c r="F2193" s="120" t="s">
        <v>3159</v>
      </c>
      <c r="H2193" s="121">
        <v>335.61</v>
      </c>
      <c r="I2193" s="128"/>
      <c r="L2193" s="119"/>
      <c r="M2193" s="129"/>
      <c r="T2193" s="133"/>
      <c r="AT2193" s="135" t="s">
        <v>365</v>
      </c>
      <c r="AU2193" s="135" t="s">
        <v>87</v>
      </c>
      <c r="AV2193" s="113" t="s">
        <v>87</v>
      </c>
      <c r="AW2193" s="113" t="s">
        <v>33</v>
      </c>
      <c r="AX2193" s="113" t="s">
        <v>77</v>
      </c>
      <c r="AY2193" s="135" t="s">
        <v>211</v>
      </c>
    </row>
    <row r="2194" spans="2:65" s="113" customFormat="1">
      <c r="B2194" s="119"/>
      <c r="D2194" s="105" t="s">
        <v>365</v>
      </c>
      <c r="E2194" s="135" t="s">
        <v>1</v>
      </c>
      <c r="F2194" s="120" t="s">
        <v>3160</v>
      </c>
      <c r="H2194" s="121">
        <v>448.88</v>
      </c>
      <c r="I2194" s="128"/>
      <c r="L2194" s="119"/>
      <c r="M2194" s="129"/>
      <c r="T2194" s="133"/>
      <c r="AT2194" s="135" t="s">
        <v>365</v>
      </c>
      <c r="AU2194" s="135" t="s">
        <v>87</v>
      </c>
      <c r="AV2194" s="113" t="s">
        <v>87</v>
      </c>
      <c r="AW2194" s="113" t="s">
        <v>33</v>
      </c>
      <c r="AX2194" s="113" t="s">
        <v>77</v>
      </c>
      <c r="AY2194" s="135" t="s">
        <v>211</v>
      </c>
    </row>
    <row r="2195" spans="2:65" s="137" customFormat="1">
      <c r="B2195" s="141"/>
      <c r="D2195" s="105" t="s">
        <v>365</v>
      </c>
      <c r="E2195" s="142" t="s">
        <v>1</v>
      </c>
      <c r="F2195" s="143" t="s">
        <v>368</v>
      </c>
      <c r="H2195" s="144">
        <v>1590.5</v>
      </c>
      <c r="I2195" s="148"/>
      <c r="L2195" s="141"/>
      <c r="M2195" s="149"/>
      <c r="T2195" s="151"/>
      <c r="AT2195" s="142" t="s">
        <v>365</v>
      </c>
      <c r="AU2195" s="142" t="s">
        <v>87</v>
      </c>
      <c r="AV2195" s="137" t="s">
        <v>218</v>
      </c>
      <c r="AW2195" s="137" t="s">
        <v>33</v>
      </c>
      <c r="AX2195" s="137" t="s">
        <v>85</v>
      </c>
      <c r="AY2195" s="142" t="s">
        <v>211</v>
      </c>
    </row>
    <row r="2196" spans="2:65" s="1" customFormat="1" ht="33" customHeight="1">
      <c r="B2196" s="12"/>
      <c r="C2196" s="114" t="s">
        <v>3224</v>
      </c>
      <c r="D2196" s="114" t="s">
        <v>438</v>
      </c>
      <c r="E2196" s="115" t="s">
        <v>3225</v>
      </c>
      <c r="F2196" s="116" t="s">
        <v>3226</v>
      </c>
      <c r="G2196" s="117" t="s">
        <v>279</v>
      </c>
      <c r="H2196" s="118">
        <v>1622.31</v>
      </c>
      <c r="I2196" s="122">
        <v>559</v>
      </c>
      <c r="J2196" s="123">
        <f>ROUND(I2196*H2196,2)</f>
        <v>906871.29</v>
      </c>
      <c r="K2196" s="124"/>
      <c r="L2196" s="125"/>
      <c r="M2196" s="126" t="s">
        <v>1</v>
      </c>
      <c r="N2196" s="127" t="s">
        <v>42</v>
      </c>
      <c r="P2196" s="95">
        <f>O2196*H2196</f>
        <v>0</v>
      </c>
      <c r="Q2196" s="95">
        <v>1.4E-3</v>
      </c>
      <c r="R2196" s="95">
        <f>Q2196*H2196</f>
        <v>2.2712340000000002</v>
      </c>
      <c r="S2196" s="95">
        <v>0</v>
      </c>
      <c r="T2196" s="99">
        <f>S2196*H2196</f>
        <v>0</v>
      </c>
      <c r="AR2196" s="101" t="s">
        <v>527</v>
      </c>
      <c r="AT2196" s="101" t="s">
        <v>438</v>
      </c>
      <c r="AU2196" s="101" t="s">
        <v>87</v>
      </c>
      <c r="AY2196" s="23" t="s">
        <v>211</v>
      </c>
      <c r="BE2196" s="104">
        <f>IF(N2196="základní",J2196,0)</f>
        <v>906871.29</v>
      </c>
      <c r="BF2196" s="104">
        <f>IF(N2196="snížená",J2196,0)</f>
        <v>0</v>
      </c>
      <c r="BG2196" s="104">
        <f>IF(N2196="zákl. přenesená",J2196,0)</f>
        <v>0</v>
      </c>
      <c r="BH2196" s="104">
        <f>IF(N2196="sníž. přenesená",J2196,0)</f>
        <v>0</v>
      </c>
      <c r="BI2196" s="104">
        <f>IF(N2196="nulová",J2196,0)</f>
        <v>0</v>
      </c>
      <c r="BJ2196" s="23" t="s">
        <v>85</v>
      </c>
      <c r="BK2196" s="104">
        <f>ROUND(I2196*H2196,2)</f>
        <v>906871.29</v>
      </c>
      <c r="BL2196" s="23" t="s">
        <v>446</v>
      </c>
      <c r="BM2196" s="101" t="s">
        <v>3227</v>
      </c>
    </row>
    <row r="2197" spans="2:65" s="113" customFormat="1">
      <c r="B2197" s="119"/>
      <c r="D2197" s="105" t="s">
        <v>365</v>
      </c>
      <c r="F2197" s="120" t="s">
        <v>3228</v>
      </c>
      <c r="H2197" s="121">
        <v>1622.31</v>
      </c>
      <c r="I2197" s="128"/>
      <c r="L2197" s="119"/>
      <c r="M2197" s="129"/>
      <c r="T2197" s="133"/>
      <c r="AT2197" s="135" t="s">
        <v>365</v>
      </c>
      <c r="AU2197" s="135" t="s">
        <v>87</v>
      </c>
      <c r="AV2197" s="113" t="s">
        <v>87</v>
      </c>
      <c r="AW2197" s="113" t="s">
        <v>4</v>
      </c>
      <c r="AX2197" s="113" t="s">
        <v>85</v>
      </c>
      <c r="AY2197" s="135" t="s">
        <v>211</v>
      </c>
    </row>
    <row r="2198" spans="2:65" s="1" customFormat="1" ht="66.75" customHeight="1">
      <c r="B2198" s="12"/>
      <c r="C2198" s="71" t="s">
        <v>3229</v>
      </c>
      <c r="D2198" s="71" t="s">
        <v>214</v>
      </c>
      <c r="E2198" s="72" t="s">
        <v>3230</v>
      </c>
      <c r="F2198" s="73" t="s">
        <v>3231</v>
      </c>
      <c r="G2198" s="74" t="s">
        <v>279</v>
      </c>
      <c r="H2198" s="75">
        <v>183.6</v>
      </c>
      <c r="I2198" s="90">
        <v>2390</v>
      </c>
      <c r="J2198" s="91">
        <f>ROUND(I2198*H2198,2)</f>
        <v>438804</v>
      </c>
      <c r="K2198" s="92"/>
      <c r="L2198" s="12"/>
      <c r="M2198" s="93" t="s">
        <v>1</v>
      </c>
      <c r="N2198" s="94" t="s">
        <v>42</v>
      </c>
      <c r="P2198" s="95">
        <f>O2198*H2198</f>
        <v>0</v>
      </c>
      <c r="Q2198" s="95">
        <v>2.4649999999999998E-2</v>
      </c>
      <c r="R2198" s="95">
        <f>Q2198*H2198</f>
        <v>4.5257399999999999</v>
      </c>
      <c r="S2198" s="95">
        <v>0</v>
      </c>
      <c r="T2198" s="99">
        <f>S2198*H2198</f>
        <v>0</v>
      </c>
      <c r="AR2198" s="101" t="s">
        <v>446</v>
      </c>
      <c r="AT2198" s="101" t="s">
        <v>214</v>
      </c>
      <c r="AU2198" s="101" t="s">
        <v>87</v>
      </c>
      <c r="AY2198" s="23" t="s">
        <v>211</v>
      </c>
      <c r="BE2198" s="104">
        <f>IF(N2198="základní",J2198,0)</f>
        <v>438804</v>
      </c>
      <c r="BF2198" s="104">
        <f>IF(N2198="snížená",J2198,0)</f>
        <v>0</v>
      </c>
      <c r="BG2198" s="104">
        <f>IF(N2198="zákl. přenesená",J2198,0)</f>
        <v>0</v>
      </c>
      <c r="BH2198" s="104">
        <f>IF(N2198="sníž. přenesená",J2198,0)</f>
        <v>0</v>
      </c>
      <c r="BI2198" s="104">
        <f>IF(N2198="nulová",J2198,0)</f>
        <v>0</v>
      </c>
      <c r="BJ2198" s="23" t="s">
        <v>85</v>
      </c>
      <c r="BK2198" s="104">
        <f>ROUND(I2198*H2198,2)</f>
        <v>438804</v>
      </c>
      <c r="BL2198" s="23" t="s">
        <v>446</v>
      </c>
      <c r="BM2198" s="101" t="s">
        <v>3232</v>
      </c>
    </row>
    <row r="2199" spans="2:65" s="136" customFormat="1">
      <c r="B2199" s="138"/>
      <c r="D2199" s="105" t="s">
        <v>365</v>
      </c>
      <c r="E2199" s="139" t="s">
        <v>1</v>
      </c>
      <c r="F2199" s="140" t="s">
        <v>3233</v>
      </c>
      <c r="H2199" s="139" t="s">
        <v>1</v>
      </c>
      <c r="I2199" s="146"/>
      <c r="L2199" s="138"/>
      <c r="M2199" s="147"/>
      <c r="T2199" s="150"/>
      <c r="AT2199" s="139" t="s">
        <v>365</v>
      </c>
      <c r="AU2199" s="139" t="s">
        <v>87</v>
      </c>
      <c r="AV2199" s="136" t="s">
        <v>85</v>
      </c>
      <c r="AW2199" s="136" t="s">
        <v>33</v>
      </c>
      <c r="AX2199" s="136" t="s">
        <v>77</v>
      </c>
      <c r="AY2199" s="139" t="s">
        <v>211</v>
      </c>
    </row>
    <row r="2200" spans="2:65" s="113" customFormat="1">
      <c r="B2200" s="119"/>
      <c r="D2200" s="105" t="s">
        <v>365</v>
      </c>
      <c r="E2200" s="135" t="s">
        <v>1</v>
      </c>
      <c r="F2200" s="120" t="s">
        <v>3234</v>
      </c>
      <c r="H2200" s="121">
        <v>46.57</v>
      </c>
      <c r="I2200" s="128"/>
      <c r="L2200" s="119"/>
      <c r="M2200" s="129"/>
      <c r="T2200" s="133"/>
      <c r="AT2200" s="135" t="s">
        <v>365</v>
      </c>
      <c r="AU2200" s="135" t="s">
        <v>87</v>
      </c>
      <c r="AV2200" s="113" t="s">
        <v>87</v>
      </c>
      <c r="AW2200" s="113" t="s">
        <v>33</v>
      </c>
      <c r="AX2200" s="113" t="s">
        <v>77</v>
      </c>
      <c r="AY2200" s="135" t="s">
        <v>211</v>
      </c>
    </row>
    <row r="2201" spans="2:65" s="113" customFormat="1">
      <c r="B2201" s="119"/>
      <c r="D2201" s="105" t="s">
        <v>365</v>
      </c>
      <c r="E2201" s="135" t="s">
        <v>1</v>
      </c>
      <c r="F2201" s="120" t="s">
        <v>3235</v>
      </c>
      <c r="H2201" s="121">
        <v>51.85</v>
      </c>
      <c r="I2201" s="128"/>
      <c r="L2201" s="119"/>
      <c r="M2201" s="129"/>
      <c r="T2201" s="133"/>
      <c r="AT2201" s="135" t="s">
        <v>365</v>
      </c>
      <c r="AU2201" s="135" t="s">
        <v>87</v>
      </c>
      <c r="AV2201" s="113" t="s">
        <v>87</v>
      </c>
      <c r="AW2201" s="113" t="s">
        <v>33</v>
      </c>
      <c r="AX2201" s="113" t="s">
        <v>77</v>
      </c>
      <c r="AY2201" s="135" t="s">
        <v>211</v>
      </c>
    </row>
    <row r="2202" spans="2:65" s="113" customFormat="1">
      <c r="B2202" s="119"/>
      <c r="D2202" s="105" t="s">
        <v>365</v>
      </c>
      <c r="E2202" s="135" t="s">
        <v>1</v>
      </c>
      <c r="F2202" s="120" t="s">
        <v>3236</v>
      </c>
      <c r="H2202" s="121">
        <v>30.85</v>
      </c>
      <c r="I2202" s="128"/>
      <c r="L2202" s="119"/>
      <c r="M2202" s="129"/>
      <c r="T2202" s="133"/>
      <c r="AT2202" s="135" t="s">
        <v>365</v>
      </c>
      <c r="AU2202" s="135" t="s">
        <v>87</v>
      </c>
      <c r="AV2202" s="113" t="s">
        <v>87</v>
      </c>
      <c r="AW2202" s="113" t="s">
        <v>33</v>
      </c>
      <c r="AX2202" s="113" t="s">
        <v>77</v>
      </c>
      <c r="AY2202" s="135" t="s">
        <v>211</v>
      </c>
    </row>
    <row r="2203" spans="2:65" s="113" customFormat="1">
      <c r="B2203" s="119"/>
      <c r="D2203" s="105" t="s">
        <v>365</v>
      </c>
      <c r="E2203" s="135" t="s">
        <v>1</v>
      </c>
      <c r="F2203" s="120" t="s">
        <v>3237</v>
      </c>
      <c r="H2203" s="121">
        <v>54.33</v>
      </c>
      <c r="I2203" s="128"/>
      <c r="L2203" s="119"/>
      <c r="M2203" s="129"/>
      <c r="T2203" s="133"/>
      <c r="AT2203" s="135" t="s">
        <v>365</v>
      </c>
      <c r="AU2203" s="135" t="s">
        <v>87</v>
      </c>
      <c r="AV2203" s="113" t="s">
        <v>87</v>
      </c>
      <c r="AW2203" s="113" t="s">
        <v>33</v>
      </c>
      <c r="AX2203" s="113" t="s">
        <v>77</v>
      </c>
      <c r="AY2203" s="135" t="s">
        <v>211</v>
      </c>
    </row>
    <row r="2204" spans="2:65" s="154" customFormat="1">
      <c r="B2204" s="156"/>
      <c r="D2204" s="105" t="s">
        <v>365</v>
      </c>
      <c r="E2204" s="157" t="s">
        <v>322</v>
      </c>
      <c r="F2204" s="158" t="s">
        <v>741</v>
      </c>
      <c r="H2204" s="159">
        <v>183.6</v>
      </c>
      <c r="I2204" s="160"/>
      <c r="L2204" s="156"/>
      <c r="M2204" s="161"/>
      <c r="T2204" s="162"/>
      <c r="AT2204" s="157" t="s">
        <v>365</v>
      </c>
      <c r="AU2204" s="157" t="s">
        <v>87</v>
      </c>
      <c r="AV2204" s="154" t="s">
        <v>137</v>
      </c>
      <c r="AW2204" s="154" t="s">
        <v>33</v>
      </c>
      <c r="AX2204" s="154" t="s">
        <v>77</v>
      </c>
      <c r="AY2204" s="157" t="s">
        <v>211</v>
      </c>
    </row>
    <row r="2205" spans="2:65" s="137" customFormat="1">
      <c r="B2205" s="141"/>
      <c r="D2205" s="105" t="s">
        <v>365</v>
      </c>
      <c r="E2205" s="142" t="s">
        <v>1</v>
      </c>
      <c r="F2205" s="143" t="s">
        <v>368</v>
      </c>
      <c r="H2205" s="144">
        <v>183.6</v>
      </c>
      <c r="I2205" s="148"/>
      <c r="L2205" s="141"/>
      <c r="M2205" s="149"/>
      <c r="T2205" s="151"/>
      <c r="AT2205" s="142" t="s">
        <v>365</v>
      </c>
      <c r="AU2205" s="142" t="s">
        <v>87</v>
      </c>
      <c r="AV2205" s="137" t="s">
        <v>218</v>
      </c>
      <c r="AW2205" s="137" t="s">
        <v>33</v>
      </c>
      <c r="AX2205" s="137" t="s">
        <v>85</v>
      </c>
      <c r="AY2205" s="142" t="s">
        <v>211</v>
      </c>
    </row>
    <row r="2206" spans="2:65" s="1" customFormat="1" ht="44.25" customHeight="1">
      <c r="B2206" s="12"/>
      <c r="C2206" s="71" t="s">
        <v>3238</v>
      </c>
      <c r="D2206" s="71" t="s">
        <v>214</v>
      </c>
      <c r="E2206" s="72" t="s">
        <v>3239</v>
      </c>
      <c r="F2206" s="73" t="s">
        <v>3240</v>
      </c>
      <c r="G2206" s="74" t="s">
        <v>279</v>
      </c>
      <c r="H2206" s="75">
        <v>183.6</v>
      </c>
      <c r="I2206" s="90">
        <v>3230</v>
      </c>
      <c r="J2206" s="91">
        <f>ROUND(I2206*H2206,2)</f>
        <v>593028</v>
      </c>
      <c r="K2206" s="92"/>
      <c r="L2206" s="12"/>
      <c r="M2206" s="93" t="s">
        <v>1</v>
      </c>
      <c r="N2206" s="94" t="s">
        <v>42</v>
      </c>
      <c r="P2206" s="95">
        <f>O2206*H2206</f>
        <v>0</v>
      </c>
      <c r="Q2206" s="95">
        <v>0</v>
      </c>
      <c r="R2206" s="95">
        <f>Q2206*H2206</f>
        <v>0</v>
      </c>
      <c r="S2206" s="95">
        <v>0</v>
      </c>
      <c r="T2206" s="99">
        <f>S2206*H2206</f>
        <v>0</v>
      </c>
      <c r="AR2206" s="101" t="s">
        <v>446</v>
      </c>
      <c r="AT2206" s="101" t="s">
        <v>214</v>
      </c>
      <c r="AU2206" s="101" t="s">
        <v>87</v>
      </c>
      <c r="AY2206" s="23" t="s">
        <v>211</v>
      </c>
      <c r="BE2206" s="104">
        <f>IF(N2206="základní",J2206,0)</f>
        <v>593028</v>
      </c>
      <c r="BF2206" s="104">
        <f>IF(N2206="snížená",J2206,0)</f>
        <v>0</v>
      </c>
      <c r="BG2206" s="104">
        <f>IF(N2206="zákl. přenesená",J2206,0)</f>
        <v>0</v>
      </c>
      <c r="BH2206" s="104">
        <f>IF(N2206="sníž. přenesená",J2206,0)</f>
        <v>0</v>
      </c>
      <c r="BI2206" s="104">
        <f>IF(N2206="nulová",J2206,0)</f>
        <v>0</v>
      </c>
      <c r="BJ2206" s="23" t="s">
        <v>85</v>
      </c>
      <c r="BK2206" s="104">
        <f>ROUND(I2206*H2206,2)</f>
        <v>593028</v>
      </c>
      <c r="BL2206" s="23" t="s">
        <v>446</v>
      </c>
      <c r="BM2206" s="101" t="s">
        <v>3241</v>
      </c>
    </row>
    <row r="2207" spans="2:65" s="113" customFormat="1">
      <c r="B2207" s="119"/>
      <c r="D2207" s="105" t="s">
        <v>365</v>
      </c>
      <c r="E2207" s="135" t="s">
        <v>1</v>
      </c>
      <c r="F2207" s="120" t="s">
        <v>322</v>
      </c>
      <c r="H2207" s="121">
        <v>183.6</v>
      </c>
      <c r="I2207" s="128"/>
      <c r="L2207" s="119"/>
      <c r="M2207" s="129"/>
      <c r="T2207" s="133"/>
      <c r="AT2207" s="135" t="s">
        <v>365</v>
      </c>
      <c r="AU2207" s="135" t="s">
        <v>87</v>
      </c>
      <c r="AV2207" s="113" t="s">
        <v>87</v>
      </c>
      <c r="AW2207" s="113" t="s">
        <v>33</v>
      </c>
      <c r="AX2207" s="113" t="s">
        <v>85</v>
      </c>
      <c r="AY2207" s="135" t="s">
        <v>211</v>
      </c>
    </row>
    <row r="2208" spans="2:65" s="1" customFormat="1" ht="24.15" customHeight="1">
      <c r="B2208" s="12"/>
      <c r="C2208" s="71" t="s">
        <v>3242</v>
      </c>
      <c r="D2208" s="71" t="s">
        <v>214</v>
      </c>
      <c r="E2208" s="72" t="s">
        <v>3243</v>
      </c>
      <c r="F2208" s="73" t="s">
        <v>3244</v>
      </c>
      <c r="G2208" s="74" t="s">
        <v>279</v>
      </c>
      <c r="H2208" s="75">
        <v>193.1</v>
      </c>
      <c r="I2208" s="90">
        <v>998</v>
      </c>
      <c r="J2208" s="91">
        <f>ROUND(I2208*H2208,2)</f>
        <v>192713.8</v>
      </c>
      <c r="K2208" s="92"/>
      <c r="L2208" s="12"/>
      <c r="M2208" s="93" t="s">
        <v>1</v>
      </c>
      <c r="N2208" s="94" t="s">
        <v>42</v>
      </c>
      <c r="P2208" s="95">
        <f>O2208*H2208</f>
        <v>0</v>
      </c>
      <c r="Q2208" s="95">
        <v>2.7900000000000001E-2</v>
      </c>
      <c r="R2208" s="95">
        <f>Q2208*H2208</f>
        <v>5.3874899999999997</v>
      </c>
      <c r="S2208" s="95">
        <v>0</v>
      </c>
      <c r="T2208" s="99">
        <f>S2208*H2208</f>
        <v>0</v>
      </c>
      <c r="AR2208" s="101" t="s">
        <v>446</v>
      </c>
      <c r="AT2208" s="101" t="s">
        <v>214</v>
      </c>
      <c r="AU2208" s="101" t="s">
        <v>87</v>
      </c>
      <c r="AY2208" s="23" t="s">
        <v>211</v>
      </c>
      <c r="BE2208" s="104">
        <f>IF(N2208="základní",J2208,0)</f>
        <v>192713.8</v>
      </c>
      <c r="BF2208" s="104">
        <f>IF(N2208="snížená",J2208,0)</f>
        <v>0</v>
      </c>
      <c r="BG2208" s="104">
        <f>IF(N2208="zákl. přenesená",J2208,0)</f>
        <v>0</v>
      </c>
      <c r="BH2208" s="104">
        <f>IF(N2208="sníž. přenesená",J2208,0)</f>
        <v>0</v>
      </c>
      <c r="BI2208" s="104">
        <f>IF(N2208="nulová",J2208,0)</f>
        <v>0</v>
      </c>
      <c r="BJ2208" s="23" t="s">
        <v>85</v>
      </c>
      <c r="BK2208" s="104">
        <f>ROUND(I2208*H2208,2)</f>
        <v>192713.8</v>
      </c>
      <c r="BL2208" s="23" t="s">
        <v>446</v>
      </c>
      <c r="BM2208" s="101" t="s">
        <v>3245</v>
      </c>
    </row>
    <row r="2209" spans="2:65" s="136" customFormat="1">
      <c r="B2209" s="138"/>
      <c r="D2209" s="105" t="s">
        <v>365</v>
      </c>
      <c r="E2209" s="139" t="s">
        <v>1</v>
      </c>
      <c r="F2209" s="140" t="s">
        <v>3246</v>
      </c>
      <c r="H2209" s="139" t="s">
        <v>1</v>
      </c>
      <c r="I2209" s="146"/>
      <c r="L2209" s="138"/>
      <c r="M2209" s="147"/>
      <c r="T2209" s="150"/>
      <c r="AT2209" s="139" t="s">
        <v>365</v>
      </c>
      <c r="AU2209" s="139" t="s">
        <v>87</v>
      </c>
      <c r="AV2209" s="136" t="s">
        <v>85</v>
      </c>
      <c r="AW2209" s="136" t="s">
        <v>33</v>
      </c>
      <c r="AX2209" s="136" t="s">
        <v>77</v>
      </c>
      <c r="AY2209" s="139" t="s">
        <v>211</v>
      </c>
    </row>
    <row r="2210" spans="2:65" s="136" customFormat="1">
      <c r="B2210" s="138"/>
      <c r="D2210" s="105" t="s">
        <v>365</v>
      </c>
      <c r="E2210" s="139" t="s">
        <v>1</v>
      </c>
      <c r="F2210" s="140" t="s">
        <v>669</v>
      </c>
      <c r="H2210" s="139" t="s">
        <v>1</v>
      </c>
      <c r="I2210" s="146"/>
      <c r="L2210" s="138"/>
      <c r="M2210" s="147"/>
      <c r="T2210" s="150"/>
      <c r="AT2210" s="139" t="s">
        <v>365</v>
      </c>
      <c r="AU2210" s="139" t="s">
        <v>87</v>
      </c>
      <c r="AV2210" s="136" t="s">
        <v>85</v>
      </c>
      <c r="AW2210" s="136" t="s">
        <v>33</v>
      </c>
      <c r="AX2210" s="136" t="s">
        <v>77</v>
      </c>
      <c r="AY2210" s="139" t="s">
        <v>211</v>
      </c>
    </row>
    <row r="2211" spans="2:65" s="113" customFormat="1">
      <c r="B2211" s="119"/>
      <c r="D2211" s="105" t="s">
        <v>365</v>
      </c>
      <c r="E2211" s="135" t="s">
        <v>1</v>
      </c>
      <c r="F2211" s="120" t="s">
        <v>3247</v>
      </c>
      <c r="H2211" s="121">
        <v>2.2000000000000002</v>
      </c>
      <c r="I2211" s="128"/>
      <c r="L2211" s="119"/>
      <c r="M2211" s="129"/>
      <c r="T2211" s="133"/>
      <c r="AT2211" s="135" t="s">
        <v>365</v>
      </c>
      <c r="AU2211" s="135" t="s">
        <v>87</v>
      </c>
      <c r="AV2211" s="113" t="s">
        <v>87</v>
      </c>
      <c r="AW2211" s="113" t="s">
        <v>33</v>
      </c>
      <c r="AX2211" s="113" t="s">
        <v>77</v>
      </c>
      <c r="AY2211" s="135" t="s">
        <v>211</v>
      </c>
    </row>
    <row r="2212" spans="2:65" s="136" customFormat="1">
      <c r="B2212" s="138"/>
      <c r="D2212" s="105" t="s">
        <v>365</v>
      </c>
      <c r="E2212" s="139" t="s">
        <v>1</v>
      </c>
      <c r="F2212" s="140" t="s">
        <v>866</v>
      </c>
      <c r="H2212" s="139" t="s">
        <v>1</v>
      </c>
      <c r="I2212" s="146"/>
      <c r="L2212" s="138"/>
      <c r="M2212" s="147"/>
      <c r="T2212" s="150"/>
      <c r="AT2212" s="139" t="s">
        <v>365</v>
      </c>
      <c r="AU2212" s="139" t="s">
        <v>87</v>
      </c>
      <c r="AV2212" s="136" t="s">
        <v>85</v>
      </c>
      <c r="AW2212" s="136" t="s">
        <v>33</v>
      </c>
      <c r="AX2212" s="136" t="s">
        <v>77</v>
      </c>
      <c r="AY2212" s="139" t="s">
        <v>211</v>
      </c>
    </row>
    <row r="2213" spans="2:65" s="113" customFormat="1">
      <c r="B2213" s="119"/>
      <c r="D2213" s="105" t="s">
        <v>365</v>
      </c>
      <c r="E2213" s="135" t="s">
        <v>1</v>
      </c>
      <c r="F2213" s="120" t="s">
        <v>3248</v>
      </c>
      <c r="H2213" s="121">
        <v>37.6</v>
      </c>
      <c r="I2213" s="128"/>
      <c r="L2213" s="119"/>
      <c r="M2213" s="129"/>
      <c r="T2213" s="133"/>
      <c r="AT2213" s="135" t="s">
        <v>365</v>
      </c>
      <c r="AU2213" s="135" t="s">
        <v>87</v>
      </c>
      <c r="AV2213" s="113" t="s">
        <v>87</v>
      </c>
      <c r="AW2213" s="113" t="s">
        <v>33</v>
      </c>
      <c r="AX2213" s="113" t="s">
        <v>77</v>
      </c>
      <c r="AY2213" s="135" t="s">
        <v>211</v>
      </c>
    </row>
    <row r="2214" spans="2:65" s="136" customFormat="1">
      <c r="B2214" s="138"/>
      <c r="D2214" s="105" t="s">
        <v>365</v>
      </c>
      <c r="E2214" s="139" t="s">
        <v>1</v>
      </c>
      <c r="F2214" s="140" t="s">
        <v>868</v>
      </c>
      <c r="H2214" s="139" t="s">
        <v>1</v>
      </c>
      <c r="I2214" s="146"/>
      <c r="L2214" s="138"/>
      <c r="M2214" s="147"/>
      <c r="T2214" s="150"/>
      <c r="AT2214" s="139" t="s">
        <v>365</v>
      </c>
      <c r="AU2214" s="139" t="s">
        <v>87</v>
      </c>
      <c r="AV2214" s="136" t="s">
        <v>85</v>
      </c>
      <c r="AW2214" s="136" t="s">
        <v>33</v>
      </c>
      <c r="AX2214" s="136" t="s">
        <v>77</v>
      </c>
      <c r="AY2214" s="139" t="s">
        <v>211</v>
      </c>
    </row>
    <row r="2215" spans="2:65" s="113" customFormat="1">
      <c r="B2215" s="119"/>
      <c r="D2215" s="105" t="s">
        <v>365</v>
      </c>
      <c r="E2215" s="135" t="s">
        <v>1</v>
      </c>
      <c r="F2215" s="120" t="s">
        <v>3249</v>
      </c>
      <c r="H2215" s="121">
        <v>67.77</v>
      </c>
      <c r="I2215" s="128"/>
      <c r="L2215" s="119"/>
      <c r="M2215" s="129"/>
      <c r="T2215" s="133"/>
      <c r="AT2215" s="135" t="s">
        <v>365</v>
      </c>
      <c r="AU2215" s="135" t="s">
        <v>87</v>
      </c>
      <c r="AV2215" s="113" t="s">
        <v>87</v>
      </c>
      <c r="AW2215" s="113" t="s">
        <v>33</v>
      </c>
      <c r="AX2215" s="113" t="s">
        <v>77</v>
      </c>
      <c r="AY2215" s="135" t="s">
        <v>211</v>
      </c>
    </row>
    <row r="2216" spans="2:65" s="136" customFormat="1">
      <c r="B2216" s="138"/>
      <c r="D2216" s="105" t="s">
        <v>365</v>
      </c>
      <c r="E2216" s="139" t="s">
        <v>1</v>
      </c>
      <c r="F2216" s="140" t="s">
        <v>870</v>
      </c>
      <c r="H2216" s="139" t="s">
        <v>1</v>
      </c>
      <c r="I2216" s="146"/>
      <c r="L2216" s="138"/>
      <c r="M2216" s="147"/>
      <c r="T2216" s="150"/>
      <c r="AT2216" s="139" t="s">
        <v>365</v>
      </c>
      <c r="AU2216" s="139" t="s">
        <v>87</v>
      </c>
      <c r="AV2216" s="136" t="s">
        <v>85</v>
      </c>
      <c r="AW2216" s="136" t="s">
        <v>33</v>
      </c>
      <c r="AX2216" s="136" t="s">
        <v>77</v>
      </c>
      <c r="AY2216" s="139" t="s">
        <v>211</v>
      </c>
    </row>
    <row r="2217" spans="2:65" s="113" customFormat="1">
      <c r="B2217" s="119"/>
      <c r="D2217" s="105" t="s">
        <v>365</v>
      </c>
      <c r="E2217" s="135" t="s">
        <v>1</v>
      </c>
      <c r="F2217" s="120" t="s">
        <v>3250</v>
      </c>
      <c r="H2217" s="121">
        <v>41.67</v>
      </c>
      <c r="I2217" s="128"/>
      <c r="L2217" s="119"/>
      <c r="M2217" s="129"/>
      <c r="T2217" s="133"/>
      <c r="AT2217" s="135" t="s">
        <v>365</v>
      </c>
      <c r="AU2217" s="135" t="s">
        <v>87</v>
      </c>
      <c r="AV2217" s="113" t="s">
        <v>87</v>
      </c>
      <c r="AW2217" s="113" t="s">
        <v>33</v>
      </c>
      <c r="AX2217" s="113" t="s">
        <v>77</v>
      </c>
      <c r="AY2217" s="135" t="s">
        <v>211</v>
      </c>
    </row>
    <row r="2218" spans="2:65" s="136" customFormat="1">
      <c r="B2218" s="138"/>
      <c r="D2218" s="105" t="s">
        <v>365</v>
      </c>
      <c r="E2218" s="139" t="s">
        <v>1</v>
      </c>
      <c r="F2218" s="140" t="s">
        <v>872</v>
      </c>
      <c r="H2218" s="139" t="s">
        <v>1</v>
      </c>
      <c r="I2218" s="146"/>
      <c r="L2218" s="138"/>
      <c r="M2218" s="147"/>
      <c r="T2218" s="150"/>
      <c r="AT2218" s="139" t="s">
        <v>365</v>
      </c>
      <c r="AU2218" s="139" t="s">
        <v>87</v>
      </c>
      <c r="AV2218" s="136" t="s">
        <v>85</v>
      </c>
      <c r="AW2218" s="136" t="s">
        <v>33</v>
      </c>
      <c r="AX2218" s="136" t="s">
        <v>77</v>
      </c>
      <c r="AY2218" s="139" t="s">
        <v>211</v>
      </c>
    </row>
    <row r="2219" spans="2:65" s="113" customFormat="1">
      <c r="B2219" s="119"/>
      <c r="D2219" s="105" t="s">
        <v>365</v>
      </c>
      <c r="E2219" s="135" t="s">
        <v>1</v>
      </c>
      <c r="F2219" s="120" t="s">
        <v>3251</v>
      </c>
      <c r="H2219" s="121">
        <v>43.86</v>
      </c>
      <c r="I2219" s="128"/>
      <c r="L2219" s="119"/>
      <c r="M2219" s="129"/>
      <c r="T2219" s="133"/>
      <c r="AT2219" s="135" t="s">
        <v>365</v>
      </c>
      <c r="AU2219" s="135" t="s">
        <v>87</v>
      </c>
      <c r="AV2219" s="113" t="s">
        <v>87</v>
      </c>
      <c r="AW2219" s="113" t="s">
        <v>33</v>
      </c>
      <c r="AX2219" s="113" t="s">
        <v>77</v>
      </c>
      <c r="AY2219" s="135" t="s">
        <v>211</v>
      </c>
    </row>
    <row r="2220" spans="2:65" s="137" customFormat="1">
      <c r="B2220" s="141"/>
      <c r="D2220" s="105" t="s">
        <v>365</v>
      </c>
      <c r="E2220" s="142" t="s">
        <v>1</v>
      </c>
      <c r="F2220" s="143" t="s">
        <v>368</v>
      </c>
      <c r="H2220" s="144">
        <v>193.1</v>
      </c>
      <c r="I2220" s="148"/>
      <c r="L2220" s="141"/>
      <c r="M2220" s="149"/>
      <c r="T2220" s="151"/>
      <c r="AT2220" s="142" t="s">
        <v>365</v>
      </c>
      <c r="AU2220" s="142" t="s">
        <v>87</v>
      </c>
      <c r="AV2220" s="137" t="s">
        <v>218</v>
      </c>
      <c r="AW2220" s="137" t="s">
        <v>33</v>
      </c>
      <c r="AX2220" s="137" t="s">
        <v>85</v>
      </c>
      <c r="AY2220" s="142" t="s">
        <v>211</v>
      </c>
    </row>
    <row r="2221" spans="2:65" s="1" customFormat="1" ht="55.5" customHeight="1">
      <c r="B2221" s="12"/>
      <c r="C2221" s="71" t="s">
        <v>3252</v>
      </c>
      <c r="D2221" s="71" t="s">
        <v>214</v>
      </c>
      <c r="E2221" s="72" t="s">
        <v>3253</v>
      </c>
      <c r="F2221" s="73" t="s">
        <v>3254</v>
      </c>
      <c r="G2221" s="74" t="s">
        <v>279</v>
      </c>
      <c r="H2221" s="75">
        <v>254.61600000000001</v>
      </c>
      <c r="I2221" s="90">
        <v>1140</v>
      </c>
      <c r="J2221" s="91">
        <f>ROUND(I2221*H2221,2)</f>
        <v>290262.24</v>
      </c>
      <c r="K2221" s="92"/>
      <c r="L2221" s="12"/>
      <c r="M2221" s="93" t="s">
        <v>1</v>
      </c>
      <c r="N2221" s="94" t="s">
        <v>42</v>
      </c>
      <c r="P2221" s="95">
        <f>O2221*H2221</f>
        <v>0</v>
      </c>
      <c r="Q2221" s="95">
        <v>1.627E-2</v>
      </c>
      <c r="R2221" s="95">
        <f>Q2221*H2221</f>
        <v>4.1426023199999999</v>
      </c>
      <c r="S2221" s="95">
        <v>0</v>
      </c>
      <c r="T2221" s="99">
        <f>S2221*H2221</f>
        <v>0</v>
      </c>
      <c r="AR2221" s="101" t="s">
        <v>446</v>
      </c>
      <c r="AT2221" s="101" t="s">
        <v>214</v>
      </c>
      <c r="AU2221" s="101" t="s">
        <v>87</v>
      </c>
      <c r="AY2221" s="23" t="s">
        <v>211</v>
      </c>
      <c r="BE2221" s="104">
        <f>IF(N2221="základní",J2221,0)</f>
        <v>290262.24</v>
      </c>
      <c r="BF2221" s="104">
        <f>IF(N2221="snížená",J2221,0)</f>
        <v>0</v>
      </c>
      <c r="BG2221" s="104">
        <f>IF(N2221="zákl. přenesená",J2221,0)</f>
        <v>0</v>
      </c>
      <c r="BH2221" s="104">
        <f>IF(N2221="sníž. přenesená",J2221,0)</f>
        <v>0</v>
      </c>
      <c r="BI2221" s="104">
        <f>IF(N2221="nulová",J2221,0)</f>
        <v>0</v>
      </c>
      <c r="BJ2221" s="23" t="s">
        <v>85</v>
      </c>
      <c r="BK2221" s="104">
        <f>ROUND(I2221*H2221,2)</f>
        <v>290262.24</v>
      </c>
      <c r="BL2221" s="23" t="s">
        <v>446</v>
      </c>
      <c r="BM2221" s="101" t="s">
        <v>3255</v>
      </c>
    </row>
    <row r="2222" spans="2:65" s="113" customFormat="1">
      <c r="B2222" s="119"/>
      <c r="D2222" s="105" t="s">
        <v>365</v>
      </c>
      <c r="E2222" s="135" t="s">
        <v>1</v>
      </c>
      <c r="F2222" s="120" t="s">
        <v>323</v>
      </c>
      <c r="H2222" s="121">
        <v>183.6</v>
      </c>
      <c r="I2222" s="128"/>
      <c r="L2222" s="119"/>
      <c r="M2222" s="129"/>
      <c r="T2222" s="133"/>
      <c r="AT2222" s="135" t="s">
        <v>365</v>
      </c>
      <c r="AU2222" s="135" t="s">
        <v>87</v>
      </c>
      <c r="AV2222" s="113" t="s">
        <v>87</v>
      </c>
      <c r="AW2222" s="113" t="s">
        <v>33</v>
      </c>
      <c r="AX2222" s="113" t="s">
        <v>77</v>
      </c>
      <c r="AY2222" s="135" t="s">
        <v>211</v>
      </c>
    </row>
    <row r="2223" spans="2:65" s="154" customFormat="1">
      <c r="B2223" s="156"/>
      <c r="D2223" s="105" t="s">
        <v>365</v>
      </c>
      <c r="E2223" s="157" t="s">
        <v>1</v>
      </c>
      <c r="F2223" s="158" t="s">
        <v>741</v>
      </c>
      <c r="H2223" s="159">
        <v>183.6</v>
      </c>
      <c r="I2223" s="160"/>
      <c r="L2223" s="156"/>
      <c r="M2223" s="161"/>
      <c r="T2223" s="162"/>
      <c r="AT2223" s="157" t="s">
        <v>365</v>
      </c>
      <c r="AU2223" s="157" t="s">
        <v>87</v>
      </c>
      <c r="AV2223" s="154" t="s">
        <v>137</v>
      </c>
      <c r="AW2223" s="154" t="s">
        <v>33</v>
      </c>
      <c r="AX2223" s="154" t="s">
        <v>77</v>
      </c>
      <c r="AY2223" s="157" t="s">
        <v>211</v>
      </c>
    </row>
    <row r="2224" spans="2:65" s="136" customFormat="1">
      <c r="B2224" s="138"/>
      <c r="D2224" s="105" t="s">
        <v>365</v>
      </c>
      <c r="E2224" s="139" t="s">
        <v>1</v>
      </c>
      <c r="F2224" s="140" t="s">
        <v>3256</v>
      </c>
      <c r="H2224" s="139" t="s">
        <v>1</v>
      </c>
      <c r="I2224" s="146"/>
      <c r="L2224" s="138"/>
      <c r="M2224" s="147"/>
      <c r="T2224" s="150"/>
      <c r="AT2224" s="139" t="s">
        <v>365</v>
      </c>
      <c r="AU2224" s="139" t="s">
        <v>87</v>
      </c>
      <c r="AV2224" s="136" t="s">
        <v>85</v>
      </c>
      <c r="AW2224" s="136" t="s">
        <v>33</v>
      </c>
      <c r="AX2224" s="136" t="s">
        <v>77</v>
      </c>
      <c r="AY2224" s="139" t="s">
        <v>211</v>
      </c>
    </row>
    <row r="2225" spans="2:65" s="113" customFormat="1">
      <c r="B2225" s="119"/>
      <c r="D2225" s="105" t="s">
        <v>365</v>
      </c>
      <c r="E2225" s="135" t="s">
        <v>1</v>
      </c>
      <c r="F2225" s="120" t="s">
        <v>3257</v>
      </c>
      <c r="H2225" s="121">
        <v>20.88</v>
      </c>
      <c r="I2225" s="128"/>
      <c r="L2225" s="119"/>
      <c r="M2225" s="129"/>
      <c r="T2225" s="133"/>
      <c r="AT2225" s="135" t="s">
        <v>365</v>
      </c>
      <c r="AU2225" s="135" t="s">
        <v>87</v>
      </c>
      <c r="AV2225" s="113" t="s">
        <v>87</v>
      </c>
      <c r="AW2225" s="113" t="s">
        <v>33</v>
      </c>
      <c r="AX2225" s="113" t="s">
        <v>77</v>
      </c>
      <c r="AY2225" s="135" t="s">
        <v>211</v>
      </c>
    </row>
    <row r="2226" spans="2:65" s="113" customFormat="1">
      <c r="B2226" s="119"/>
      <c r="D2226" s="105" t="s">
        <v>365</v>
      </c>
      <c r="E2226" s="135" t="s">
        <v>1</v>
      </c>
      <c r="F2226" s="120" t="s">
        <v>3258</v>
      </c>
      <c r="H2226" s="121">
        <v>18.52</v>
      </c>
      <c r="I2226" s="128"/>
      <c r="L2226" s="119"/>
      <c r="M2226" s="129"/>
      <c r="T2226" s="133"/>
      <c r="AT2226" s="135" t="s">
        <v>365</v>
      </c>
      <c r="AU2226" s="135" t="s">
        <v>87</v>
      </c>
      <c r="AV2226" s="113" t="s">
        <v>87</v>
      </c>
      <c r="AW2226" s="113" t="s">
        <v>33</v>
      </c>
      <c r="AX2226" s="113" t="s">
        <v>77</v>
      </c>
      <c r="AY2226" s="135" t="s">
        <v>211</v>
      </c>
    </row>
    <row r="2227" spans="2:65" s="113" customFormat="1">
      <c r="B2227" s="119"/>
      <c r="D2227" s="105" t="s">
        <v>365</v>
      </c>
      <c r="E2227" s="135" t="s">
        <v>1</v>
      </c>
      <c r="F2227" s="120" t="s">
        <v>3259</v>
      </c>
      <c r="H2227" s="121">
        <v>8.1359999999999992</v>
      </c>
      <c r="I2227" s="128"/>
      <c r="L2227" s="119"/>
      <c r="M2227" s="129"/>
      <c r="T2227" s="133"/>
      <c r="AT2227" s="135" t="s">
        <v>365</v>
      </c>
      <c r="AU2227" s="135" t="s">
        <v>87</v>
      </c>
      <c r="AV2227" s="113" t="s">
        <v>87</v>
      </c>
      <c r="AW2227" s="113" t="s">
        <v>33</v>
      </c>
      <c r="AX2227" s="113" t="s">
        <v>77</v>
      </c>
      <c r="AY2227" s="135" t="s">
        <v>211</v>
      </c>
    </row>
    <row r="2228" spans="2:65" s="113" customFormat="1">
      <c r="B2228" s="119"/>
      <c r="D2228" s="105" t="s">
        <v>365</v>
      </c>
      <c r="E2228" s="135" t="s">
        <v>1</v>
      </c>
      <c r="F2228" s="120" t="s">
        <v>3260</v>
      </c>
      <c r="H2228" s="121">
        <v>23.48</v>
      </c>
      <c r="I2228" s="128"/>
      <c r="L2228" s="119"/>
      <c r="M2228" s="129"/>
      <c r="T2228" s="133"/>
      <c r="AT2228" s="135" t="s">
        <v>365</v>
      </c>
      <c r="AU2228" s="135" t="s">
        <v>87</v>
      </c>
      <c r="AV2228" s="113" t="s">
        <v>87</v>
      </c>
      <c r="AW2228" s="113" t="s">
        <v>33</v>
      </c>
      <c r="AX2228" s="113" t="s">
        <v>77</v>
      </c>
      <c r="AY2228" s="135" t="s">
        <v>211</v>
      </c>
    </row>
    <row r="2229" spans="2:65" s="154" customFormat="1">
      <c r="B2229" s="156"/>
      <c r="D2229" s="105" t="s">
        <v>365</v>
      </c>
      <c r="E2229" s="157" t="s">
        <v>316</v>
      </c>
      <c r="F2229" s="158" t="s">
        <v>741</v>
      </c>
      <c r="H2229" s="159">
        <v>71.016000000000005</v>
      </c>
      <c r="I2229" s="160"/>
      <c r="L2229" s="156"/>
      <c r="M2229" s="161"/>
      <c r="T2229" s="162"/>
      <c r="AT2229" s="157" t="s">
        <v>365</v>
      </c>
      <c r="AU2229" s="157" t="s">
        <v>87</v>
      </c>
      <c r="AV2229" s="154" t="s">
        <v>137</v>
      </c>
      <c r="AW2229" s="154" t="s">
        <v>33</v>
      </c>
      <c r="AX2229" s="154" t="s">
        <v>77</v>
      </c>
      <c r="AY2229" s="157" t="s">
        <v>211</v>
      </c>
    </row>
    <row r="2230" spans="2:65" s="137" customFormat="1">
      <c r="B2230" s="141"/>
      <c r="D2230" s="105" t="s">
        <v>365</v>
      </c>
      <c r="E2230" s="142" t="s">
        <v>1</v>
      </c>
      <c r="F2230" s="143" t="s">
        <v>368</v>
      </c>
      <c r="H2230" s="144">
        <v>254.61600000000001</v>
      </c>
      <c r="I2230" s="148"/>
      <c r="L2230" s="141"/>
      <c r="M2230" s="149"/>
      <c r="T2230" s="151"/>
      <c r="AT2230" s="142" t="s">
        <v>365</v>
      </c>
      <c r="AU2230" s="142" t="s">
        <v>87</v>
      </c>
      <c r="AV2230" s="137" t="s">
        <v>218</v>
      </c>
      <c r="AW2230" s="137" t="s">
        <v>33</v>
      </c>
      <c r="AX2230" s="137" t="s">
        <v>85</v>
      </c>
      <c r="AY2230" s="142" t="s">
        <v>211</v>
      </c>
    </row>
    <row r="2231" spans="2:65" s="1" customFormat="1" ht="33" customHeight="1">
      <c r="B2231" s="12"/>
      <c r="C2231" s="71" t="s">
        <v>3261</v>
      </c>
      <c r="D2231" s="71" t="s">
        <v>214</v>
      </c>
      <c r="E2231" s="72" t="s">
        <v>3262</v>
      </c>
      <c r="F2231" s="73" t="s">
        <v>3263</v>
      </c>
      <c r="G2231" s="74" t="s">
        <v>279</v>
      </c>
      <c r="H2231" s="75">
        <v>150.6</v>
      </c>
      <c r="I2231" s="90">
        <v>1010</v>
      </c>
      <c r="J2231" s="91">
        <f>ROUND(I2231*H2231,2)</f>
        <v>152106</v>
      </c>
      <c r="K2231" s="92"/>
      <c r="L2231" s="12"/>
      <c r="M2231" s="93" t="s">
        <v>1</v>
      </c>
      <c r="N2231" s="94" t="s">
        <v>42</v>
      </c>
      <c r="P2231" s="95">
        <f>O2231*H2231</f>
        <v>0</v>
      </c>
      <c r="Q2231" s="95">
        <v>2.8549999999999999E-2</v>
      </c>
      <c r="R2231" s="95">
        <f>Q2231*H2231</f>
        <v>4.2996299999999996</v>
      </c>
      <c r="S2231" s="95">
        <v>0</v>
      </c>
      <c r="T2231" s="99">
        <f>S2231*H2231</f>
        <v>0</v>
      </c>
      <c r="AR2231" s="101" t="s">
        <v>446</v>
      </c>
      <c r="AT2231" s="101" t="s">
        <v>214</v>
      </c>
      <c r="AU2231" s="101" t="s">
        <v>87</v>
      </c>
      <c r="AY2231" s="23" t="s">
        <v>211</v>
      </c>
      <c r="BE2231" s="104">
        <f>IF(N2231="základní",J2231,0)</f>
        <v>152106</v>
      </c>
      <c r="BF2231" s="104">
        <f>IF(N2231="snížená",J2231,0)</f>
        <v>0</v>
      </c>
      <c r="BG2231" s="104">
        <f>IF(N2231="zákl. přenesená",J2231,0)</f>
        <v>0</v>
      </c>
      <c r="BH2231" s="104">
        <f>IF(N2231="sníž. přenesená",J2231,0)</f>
        <v>0</v>
      </c>
      <c r="BI2231" s="104">
        <f>IF(N2231="nulová",J2231,0)</f>
        <v>0</v>
      </c>
      <c r="BJ2231" s="23" t="s">
        <v>85</v>
      </c>
      <c r="BK2231" s="104">
        <f>ROUND(I2231*H2231,2)</f>
        <v>152106</v>
      </c>
      <c r="BL2231" s="23" t="s">
        <v>446</v>
      </c>
      <c r="BM2231" s="101" t="s">
        <v>3264</v>
      </c>
    </row>
    <row r="2232" spans="2:65" s="136" customFormat="1">
      <c r="B2232" s="138"/>
      <c r="D2232" s="105" t="s">
        <v>365</v>
      </c>
      <c r="E2232" s="139" t="s">
        <v>1</v>
      </c>
      <c r="F2232" s="140" t="s">
        <v>3265</v>
      </c>
      <c r="H2232" s="139" t="s">
        <v>1</v>
      </c>
      <c r="I2232" s="146"/>
      <c r="L2232" s="138"/>
      <c r="M2232" s="147"/>
      <c r="T2232" s="150"/>
      <c r="AT2232" s="139" t="s">
        <v>365</v>
      </c>
      <c r="AU2232" s="139" t="s">
        <v>87</v>
      </c>
      <c r="AV2232" s="136" t="s">
        <v>85</v>
      </c>
      <c r="AW2232" s="136" t="s">
        <v>33</v>
      </c>
      <c r="AX2232" s="136" t="s">
        <v>77</v>
      </c>
      <c r="AY2232" s="139" t="s">
        <v>211</v>
      </c>
    </row>
    <row r="2233" spans="2:65" s="136" customFormat="1">
      <c r="B2233" s="138"/>
      <c r="D2233" s="105" t="s">
        <v>365</v>
      </c>
      <c r="E2233" s="139" t="s">
        <v>1</v>
      </c>
      <c r="F2233" s="140" t="s">
        <v>669</v>
      </c>
      <c r="H2233" s="139" t="s">
        <v>1</v>
      </c>
      <c r="I2233" s="146"/>
      <c r="L2233" s="138"/>
      <c r="M2233" s="147"/>
      <c r="T2233" s="150"/>
      <c r="AT2233" s="139" t="s">
        <v>365</v>
      </c>
      <c r="AU2233" s="139" t="s">
        <v>87</v>
      </c>
      <c r="AV2233" s="136" t="s">
        <v>85</v>
      </c>
      <c r="AW2233" s="136" t="s">
        <v>33</v>
      </c>
      <c r="AX2233" s="136" t="s">
        <v>77</v>
      </c>
      <c r="AY2233" s="139" t="s">
        <v>211</v>
      </c>
    </row>
    <row r="2234" spans="2:65" s="113" customFormat="1">
      <c r="B2234" s="119"/>
      <c r="D2234" s="105" t="s">
        <v>365</v>
      </c>
      <c r="E2234" s="135" t="s">
        <v>1</v>
      </c>
      <c r="F2234" s="120" t="s">
        <v>3266</v>
      </c>
      <c r="H2234" s="121">
        <v>6.49</v>
      </c>
      <c r="I2234" s="128"/>
      <c r="L2234" s="119"/>
      <c r="M2234" s="129"/>
      <c r="T2234" s="133"/>
      <c r="AT2234" s="135" t="s">
        <v>365</v>
      </c>
      <c r="AU2234" s="135" t="s">
        <v>87</v>
      </c>
      <c r="AV2234" s="113" t="s">
        <v>87</v>
      </c>
      <c r="AW2234" s="113" t="s">
        <v>33</v>
      </c>
      <c r="AX2234" s="113" t="s">
        <v>77</v>
      </c>
      <c r="AY2234" s="135" t="s">
        <v>211</v>
      </c>
    </row>
    <row r="2235" spans="2:65" s="136" customFormat="1">
      <c r="B2235" s="138"/>
      <c r="D2235" s="105" t="s">
        <v>365</v>
      </c>
      <c r="E2235" s="139" t="s">
        <v>1</v>
      </c>
      <c r="F2235" s="140" t="s">
        <v>866</v>
      </c>
      <c r="H2235" s="139" t="s">
        <v>1</v>
      </c>
      <c r="I2235" s="146"/>
      <c r="L2235" s="138"/>
      <c r="M2235" s="147"/>
      <c r="T2235" s="150"/>
      <c r="AT2235" s="139" t="s">
        <v>365</v>
      </c>
      <c r="AU2235" s="139" t="s">
        <v>87</v>
      </c>
      <c r="AV2235" s="136" t="s">
        <v>85</v>
      </c>
      <c r="AW2235" s="136" t="s">
        <v>33</v>
      </c>
      <c r="AX2235" s="136" t="s">
        <v>77</v>
      </c>
      <c r="AY2235" s="139" t="s">
        <v>211</v>
      </c>
    </row>
    <row r="2236" spans="2:65" s="113" customFormat="1">
      <c r="B2236" s="119"/>
      <c r="D2236" s="105" t="s">
        <v>365</v>
      </c>
      <c r="E2236" s="135" t="s">
        <v>1</v>
      </c>
      <c r="F2236" s="120" t="s">
        <v>3267</v>
      </c>
      <c r="H2236" s="121">
        <v>29.19</v>
      </c>
      <c r="I2236" s="128"/>
      <c r="L2236" s="119"/>
      <c r="M2236" s="129"/>
      <c r="T2236" s="133"/>
      <c r="AT2236" s="135" t="s">
        <v>365</v>
      </c>
      <c r="AU2236" s="135" t="s">
        <v>87</v>
      </c>
      <c r="AV2236" s="113" t="s">
        <v>87</v>
      </c>
      <c r="AW2236" s="113" t="s">
        <v>33</v>
      </c>
      <c r="AX2236" s="113" t="s">
        <v>77</v>
      </c>
      <c r="AY2236" s="135" t="s">
        <v>211</v>
      </c>
    </row>
    <row r="2237" spans="2:65" s="136" customFormat="1">
      <c r="B2237" s="138"/>
      <c r="D2237" s="105" t="s">
        <v>365</v>
      </c>
      <c r="E2237" s="139" t="s">
        <v>1</v>
      </c>
      <c r="F2237" s="140" t="s">
        <v>868</v>
      </c>
      <c r="H2237" s="139" t="s">
        <v>1</v>
      </c>
      <c r="I2237" s="146"/>
      <c r="L2237" s="138"/>
      <c r="M2237" s="147"/>
      <c r="T2237" s="150"/>
      <c r="AT2237" s="139" t="s">
        <v>365</v>
      </c>
      <c r="AU2237" s="139" t="s">
        <v>87</v>
      </c>
      <c r="AV2237" s="136" t="s">
        <v>85</v>
      </c>
      <c r="AW2237" s="136" t="s">
        <v>33</v>
      </c>
      <c r="AX2237" s="136" t="s">
        <v>77</v>
      </c>
      <c r="AY2237" s="139" t="s">
        <v>211</v>
      </c>
    </row>
    <row r="2238" spans="2:65" s="113" customFormat="1">
      <c r="B2238" s="119"/>
      <c r="D2238" s="105" t="s">
        <v>365</v>
      </c>
      <c r="E2238" s="135" t="s">
        <v>1</v>
      </c>
      <c r="F2238" s="120" t="s">
        <v>3268</v>
      </c>
      <c r="H2238" s="121">
        <v>24.97</v>
      </c>
      <c r="I2238" s="128"/>
      <c r="L2238" s="119"/>
      <c r="M2238" s="129"/>
      <c r="T2238" s="133"/>
      <c r="AT2238" s="135" t="s">
        <v>365</v>
      </c>
      <c r="AU2238" s="135" t="s">
        <v>87</v>
      </c>
      <c r="AV2238" s="113" t="s">
        <v>87</v>
      </c>
      <c r="AW2238" s="113" t="s">
        <v>33</v>
      </c>
      <c r="AX2238" s="113" t="s">
        <v>77</v>
      </c>
      <c r="AY2238" s="135" t="s">
        <v>211</v>
      </c>
    </row>
    <row r="2239" spans="2:65" s="136" customFormat="1">
      <c r="B2239" s="138"/>
      <c r="D2239" s="105" t="s">
        <v>365</v>
      </c>
      <c r="E2239" s="139" t="s">
        <v>1</v>
      </c>
      <c r="F2239" s="140" t="s">
        <v>870</v>
      </c>
      <c r="H2239" s="139" t="s">
        <v>1</v>
      </c>
      <c r="I2239" s="146"/>
      <c r="L2239" s="138"/>
      <c r="M2239" s="147"/>
      <c r="T2239" s="150"/>
      <c r="AT2239" s="139" t="s">
        <v>365</v>
      </c>
      <c r="AU2239" s="139" t="s">
        <v>87</v>
      </c>
      <c r="AV2239" s="136" t="s">
        <v>85</v>
      </c>
      <c r="AW2239" s="136" t="s">
        <v>33</v>
      </c>
      <c r="AX2239" s="136" t="s">
        <v>77</v>
      </c>
      <c r="AY2239" s="139" t="s">
        <v>211</v>
      </c>
    </row>
    <row r="2240" spans="2:65" s="113" customFormat="1">
      <c r="B2240" s="119"/>
      <c r="D2240" s="105" t="s">
        <v>365</v>
      </c>
      <c r="E2240" s="135" t="s">
        <v>1</v>
      </c>
      <c r="F2240" s="120" t="s">
        <v>3269</v>
      </c>
      <c r="H2240" s="121">
        <v>45.77</v>
      </c>
      <c r="I2240" s="128"/>
      <c r="L2240" s="119"/>
      <c r="M2240" s="129"/>
      <c r="T2240" s="133"/>
      <c r="AT2240" s="135" t="s">
        <v>365</v>
      </c>
      <c r="AU2240" s="135" t="s">
        <v>87</v>
      </c>
      <c r="AV2240" s="113" t="s">
        <v>87</v>
      </c>
      <c r="AW2240" s="113" t="s">
        <v>33</v>
      </c>
      <c r="AX2240" s="113" t="s">
        <v>77</v>
      </c>
      <c r="AY2240" s="135" t="s">
        <v>211</v>
      </c>
    </row>
    <row r="2241" spans="2:65" s="136" customFormat="1">
      <c r="B2241" s="138"/>
      <c r="D2241" s="105" t="s">
        <v>365</v>
      </c>
      <c r="E2241" s="139" t="s">
        <v>1</v>
      </c>
      <c r="F2241" s="140" t="s">
        <v>872</v>
      </c>
      <c r="H2241" s="139" t="s">
        <v>1</v>
      </c>
      <c r="I2241" s="146"/>
      <c r="L2241" s="138"/>
      <c r="M2241" s="147"/>
      <c r="T2241" s="150"/>
      <c r="AT2241" s="139" t="s">
        <v>365</v>
      </c>
      <c r="AU2241" s="139" t="s">
        <v>87</v>
      </c>
      <c r="AV2241" s="136" t="s">
        <v>85</v>
      </c>
      <c r="AW2241" s="136" t="s">
        <v>33</v>
      </c>
      <c r="AX2241" s="136" t="s">
        <v>77</v>
      </c>
      <c r="AY2241" s="139" t="s">
        <v>211</v>
      </c>
    </row>
    <row r="2242" spans="2:65" s="113" customFormat="1">
      <c r="B2242" s="119"/>
      <c r="D2242" s="105" t="s">
        <v>365</v>
      </c>
      <c r="E2242" s="135" t="s">
        <v>1</v>
      </c>
      <c r="F2242" s="120" t="s">
        <v>3270</v>
      </c>
      <c r="H2242" s="121">
        <v>44.18</v>
      </c>
      <c r="I2242" s="128"/>
      <c r="L2242" s="119"/>
      <c r="M2242" s="129"/>
      <c r="T2242" s="133"/>
      <c r="AT2242" s="135" t="s">
        <v>365</v>
      </c>
      <c r="AU2242" s="135" t="s">
        <v>87</v>
      </c>
      <c r="AV2242" s="113" t="s">
        <v>87</v>
      </c>
      <c r="AW2242" s="113" t="s">
        <v>33</v>
      </c>
      <c r="AX2242" s="113" t="s">
        <v>77</v>
      </c>
      <c r="AY2242" s="135" t="s">
        <v>211</v>
      </c>
    </row>
    <row r="2243" spans="2:65" s="137" customFormat="1">
      <c r="B2243" s="141"/>
      <c r="D2243" s="105" t="s">
        <v>365</v>
      </c>
      <c r="E2243" s="142" t="s">
        <v>1</v>
      </c>
      <c r="F2243" s="143" t="s">
        <v>368</v>
      </c>
      <c r="H2243" s="144">
        <v>150.6</v>
      </c>
      <c r="I2243" s="148"/>
      <c r="L2243" s="141"/>
      <c r="M2243" s="149"/>
      <c r="T2243" s="151"/>
      <c r="AT2243" s="142" t="s">
        <v>365</v>
      </c>
      <c r="AU2243" s="142" t="s">
        <v>87</v>
      </c>
      <c r="AV2243" s="137" t="s">
        <v>218</v>
      </c>
      <c r="AW2243" s="137" t="s">
        <v>33</v>
      </c>
      <c r="AX2243" s="137" t="s">
        <v>85</v>
      </c>
      <c r="AY2243" s="142" t="s">
        <v>211</v>
      </c>
    </row>
    <row r="2244" spans="2:65" s="1" customFormat="1" ht="55.5" customHeight="1">
      <c r="B2244" s="12"/>
      <c r="C2244" s="71" t="s">
        <v>3271</v>
      </c>
      <c r="D2244" s="71" t="s">
        <v>214</v>
      </c>
      <c r="E2244" s="72" t="s">
        <v>3272</v>
      </c>
      <c r="F2244" s="73" t="s">
        <v>3273</v>
      </c>
      <c r="G2244" s="74" t="s">
        <v>279</v>
      </c>
      <c r="H2244" s="75">
        <v>181.94</v>
      </c>
      <c r="I2244" s="90">
        <v>1070</v>
      </c>
      <c r="J2244" s="91">
        <f>ROUND(I2244*H2244,2)</f>
        <v>194675.8</v>
      </c>
      <c r="K2244" s="92"/>
      <c r="L2244" s="12"/>
      <c r="M2244" s="93" t="s">
        <v>1</v>
      </c>
      <c r="N2244" s="94" t="s">
        <v>42</v>
      </c>
      <c r="P2244" s="95">
        <f>O2244*H2244</f>
        <v>0</v>
      </c>
      <c r="Q2244" s="95">
        <v>1.627E-2</v>
      </c>
      <c r="R2244" s="95">
        <f>Q2244*H2244</f>
        <v>2.9601638000000001</v>
      </c>
      <c r="S2244" s="95">
        <v>0</v>
      </c>
      <c r="T2244" s="99">
        <f>S2244*H2244</f>
        <v>0</v>
      </c>
      <c r="AR2244" s="101" t="s">
        <v>446</v>
      </c>
      <c r="AT2244" s="101" t="s">
        <v>214</v>
      </c>
      <c r="AU2244" s="101" t="s">
        <v>87</v>
      </c>
      <c r="AY2244" s="23" t="s">
        <v>211</v>
      </c>
      <c r="BE2244" s="104">
        <f>IF(N2244="základní",J2244,0)</f>
        <v>194675.8</v>
      </c>
      <c r="BF2244" s="104">
        <f>IF(N2244="snížená",J2244,0)</f>
        <v>0</v>
      </c>
      <c r="BG2244" s="104">
        <f>IF(N2244="zákl. přenesená",J2244,0)</f>
        <v>0</v>
      </c>
      <c r="BH2244" s="104">
        <f>IF(N2244="sníž. přenesená",J2244,0)</f>
        <v>0</v>
      </c>
      <c r="BI2244" s="104">
        <f>IF(N2244="nulová",J2244,0)</f>
        <v>0</v>
      </c>
      <c r="BJ2244" s="23" t="s">
        <v>85</v>
      </c>
      <c r="BK2244" s="104">
        <f>ROUND(I2244*H2244,2)</f>
        <v>194675.8</v>
      </c>
      <c r="BL2244" s="23" t="s">
        <v>446</v>
      </c>
      <c r="BM2244" s="101" t="s">
        <v>3274</v>
      </c>
    </row>
    <row r="2245" spans="2:65" s="136" customFormat="1">
      <c r="B2245" s="138"/>
      <c r="D2245" s="105" t="s">
        <v>365</v>
      </c>
      <c r="E2245" s="139" t="s">
        <v>1</v>
      </c>
      <c r="F2245" s="140" t="s">
        <v>3275</v>
      </c>
      <c r="H2245" s="139" t="s">
        <v>1</v>
      </c>
      <c r="I2245" s="146"/>
      <c r="L2245" s="138"/>
      <c r="M2245" s="147"/>
      <c r="T2245" s="150"/>
      <c r="AT2245" s="139" t="s">
        <v>365</v>
      </c>
      <c r="AU2245" s="139" t="s">
        <v>87</v>
      </c>
      <c r="AV2245" s="136" t="s">
        <v>85</v>
      </c>
      <c r="AW2245" s="136" t="s">
        <v>33</v>
      </c>
      <c r="AX2245" s="136" t="s">
        <v>77</v>
      </c>
      <c r="AY2245" s="139" t="s">
        <v>211</v>
      </c>
    </row>
    <row r="2246" spans="2:65" s="113" customFormat="1">
      <c r="B2246" s="119"/>
      <c r="D2246" s="105" t="s">
        <v>365</v>
      </c>
      <c r="E2246" s="135" t="s">
        <v>1</v>
      </c>
      <c r="F2246" s="120" t="s">
        <v>3276</v>
      </c>
      <c r="H2246" s="121">
        <v>46.39</v>
      </c>
      <c r="I2246" s="128"/>
      <c r="L2246" s="119"/>
      <c r="M2246" s="129"/>
      <c r="T2246" s="133"/>
      <c r="AT2246" s="135" t="s">
        <v>365</v>
      </c>
      <c r="AU2246" s="135" t="s">
        <v>87</v>
      </c>
      <c r="AV2246" s="113" t="s">
        <v>87</v>
      </c>
      <c r="AW2246" s="113" t="s">
        <v>33</v>
      </c>
      <c r="AX2246" s="113" t="s">
        <v>77</v>
      </c>
      <c r="AY2246" s="135" t="s">
        <v>211</v>
      </c>
    </row>
    <row r="2247" spans="2:65" s="113" customFormat="1">
      <c r="B2247" s="119"/>
      <c r="D2247" s="105" t="s">
        <v>365</v>
      </c>
      <c r="E2247" s="135" t="s">
        <v>1</v>
      </c>
      <c r="F2247" s="120" t="s">
        <v>3277</v>
      </c>
      <c r="H2247" s="121">
        <v>50.01</v>
      </c>
      <c r="I2247" s="128"/>
      <c r="L2247" s="119"/>
      <c r="M2247" s="129"/>
      <c r="T2247" s="133"/>
      <c r="AT2247" s="135" t="s">
        <v>365</v>
      </c>
      <c r="AU2247" s="135" t="s">
        <v>87</v>
      </c>
      <c r="AV2247" s="113" t="s">
        <v>87</v>
      </c>
      <c r="AW2247" s="113" t="s">
        <v>33</v>
      </c>
      <c r="AX2247" s="113" t="s">
        <v>77</v>
      </c>
      <c r="AY2247" s="135" t="s">
        <v>211</v>
      </c>
    </row>
    <row r="2248" spans="2:65" s="113" customFormat="1">
      <c r="B2248" s="119"/>
      <c r="D2248" s="105" t="s">
        <v>365</v>
      </c>
      <c r="E2248" s="135" t="s">
        <v>1</v>
      </c>
      <c r="F2248" s="120" t="s">
        <v>3278</v>
      </c>
      <c r="H2248" s="121">
        <v>42.89</v>
      </c>
      <c r="I2248" s="128"/>
      <c r="L2248" s="119"/>
      <c r="M2248" s="129"/>
      <c r="T2248" s="133"/>
      <c r="AT2248" s="135" t="s">
        <v>365</v>
      </c>
      <c r="AU2248" s="135" t="s">
        <v>87</v>
      </c>
      <c r="AV2248" s="113" t="s">
        <v>87</v>
      </c>
      <c r="AW2248" s="113" t="s">
        <v>33</v>
      </c>
      <c r="AX2248" s="113" t="s">
        <v>77</v>
      </c>
      <c r="AY2248" s="135" t="s">
        <v>211</v>
      </c>
    </row>
    <row r="2249" spans="2:65" s="113" customFormat="1">
      <c r="B2249" s="119"/>
      <c r="D2249" s="105" t="s">
        <v>365</v>
      </c>
      <c r="E2249" s="135" t="s">
        <v>1</v>
      </c>
      <c r="F2249" s="120" t="s">
        <v>3279</v>
      </c>
      <c r="H2249" s="121">
        <v>42.65</v>
      </c>
      <c r="I2249" s="128"/>
      <c r="L2249" s="119"/>
      <c r="M2249" s="129"/>
      <c r="T2249" s="133"/>
      <c r="AT2249" s="135" t="s">
        <v>365</v>
      </c>
      <c r="AU2249" s="135" t="s">
        <v>87</v>
      </c>
      <c r="AV2249" s="113" t="s">
        <v>87</v>
      </c>
      <c r="AW2249" s="113" t="s">
        <v>33</v>
      </c>
      <c r="AX2249" s="113" t="s">
        <v>77</v>
      </c>
      <c r="AY2249" s="135" t="s">
        <v>211</v>
      </c>
    </row>
    <row r="2250" spans="2:65" s="154" customFormat="1">
      <c r="B2250" s="156"/>
      <c r="D2250" s="105" t="s">
        <v>365</v>
      </c>
      <c r="E2250" s="157" t="s">
        <v>278</v>
      </c>
      <c r="F2250" s="158" t="s">
        <v>741</v>
      </c>
      <c r="H2250" s="159">
        <v>181.94</v>
      </c>
      <c r="I2250" s="160"/>
      <c r="L2250" s="156"/>
      <c r="M2250" s="161"/>
      <c r="T2250" s="162"/>
      <c r="AT2250" s="157" t="s">
        <v>365</v>
      </c>
      <c r="AU2250" s="157" t="s">
        <v>87</v>
      </c>
      <c r="AV2250" s="154" t="s">
        <v>137</v>
      </c>
      <c r="AW2250" s="154" t="s">
        <v>33</v>
      </c>
      <c r="AX2250" s="154" t="s">
        <v>77</v>
      </c>
      <c r="AY2250" s="157" t="s">
        <v>211</v>
      </c>
    </row>
    <row r="2251" spans="2:65" s="137" customFormat="1">
      <c r="B2251" s="141"/>
      <c r="D2251" s="105" t="s">
        <v>365</v>
      </c>
      <c r="E2251" s="142" t="s">
        <v>1</v>
      </c>
      <c r="F2251" s="143" t="s">
        <v>368</v>
      </c>
      <c r="H2251" s="144">
        <v>181.94</v>
      </c>
      <c r="I2251" s="148"/>
      <c r="L2251" s="141"/>
      <c r="M2251" s="149"/>
      <c r="T2251" s="151"/>
      <c r="AT2251" s="142" t="s">
        <v>365</v>
      </c>
      <c r="AU2251" s="142" t="s">
        <v>87</v>
      </c>
      <c r="AV2251" s="137" t="s">
        <v>218</v>
      </c>
      <c r="AW2251" s="137" t="s">
        <v>33</v>
      </c>
      <c r="AX2251" s="137" t="s">
        <v>85</v>
      </c>
      <c r="AY2251" s="142" t="s">
        <v>211</v>
      </c>
    </row>
    <row r="2252" spans="2:65" s="1" customFormat="1" ht="55.5" customHeight="1">
      <c r="B2252" s="12"/>
      <c r="C2252" s="71" t="s">
        <v>3280</v>
      </c>
      <c r="D2252" s="71" t="s">
        <v>214</v>
      </c>
      <c r="E2252" s="72" t="s">
        <v>3281</v>
      </c>
      <c r="F2252" s="73" t="s">
        <v>3282</v>
      </c>
      <c r="G2252" s="74" t="s">
        <v>279</v>
      </c>
      <c r="H2252" s="75">
        <v>170.1</v>
      </c>
      <c r="I2252" s="90">
        <v>1070</v>
      </c>
      <c r="J2252" s="91">
        <f>ROUND(I2252*H2252,2)</f>
        <v>182007</v>
      </c>
      <c r="K2252" s="92"/>
      <c r="L2252" s="12"/>
      <c r="M2252" s="93" t="s">
        <v>1</v>
      </c>
      <c r="N2252" s="94" t="s">
        <v>42</v>
      </c>
      <c r="P2252" s="95">
        <f>O2252*H2252</f>
        <v>0</v>
      </c>
      <c r="Q2252" s="95">
        <v>1.627E-2</v>
      </c>
      <c r="R2252" s="95">
        <f>Q2252*H2252</f>
        <v>2.7675269999999998</v>
      </c>
      <c r="S2252" s="95">
        <v>0</v>
      </c>
      <c r="T2252" s="99">
        <f>S2252*H2252</f>
        <v>0</v>
      </c>
      <c r="AR2252" s="101" t="s">
        <v>446</v>
      </c>
      <c r="AT2252" s="101" t="s">
        <v>214</v>
      </c>
      <c r="AU2252" s="101" t="s">
        <v>87</v>
      </c>
      <c r="AY2252" s="23" t="s">
        <v>211</v>
      </c>
      <c r="BE2252" s="104">
        <f>IF(N2252="základní",J2252,0)</f>
        <v>182007</v>
      </c>
      <c r="BF2252" s="104">
        <f>IF(N2252="snížená",J2252,0)</f>
        <v>0</v>
      </c>
      <c r="BG2252" s="104">
        <f>IF(N2252="zákl. přenesená",J2252,0)</f>
        <v>0</v>
      </c>
      <c r="BH2252" s="104">
        <f>IF(N2252="sníž. přenesená",J2252,0)</f>
        <v>0</v>
      </c>
      <c r="BI2252" s="104">
        <f>IF(N2252="nulová",J2252,0)</f>
        <v>0</v>
      </c>
      <c r="BJ2252" s="23" t="s">
        <v>85</v>
      </c>
      <c r="BK2252" s="104">
        <f>ROUND(I2252*H2252,2)</f>
        <v>182007</v>
      </c>
      <c r="BL2252" s="23" t="s">
        <v>446</v>
      </c>
      <c r="BM2252" s="101" t="s">
        <v>3283</v>
      </c>
    </row>
    <row r="2253" spans="2:65" s="113" customFormat="1">
      <c r="B2253" s="119"/>
      <c r="D2253" s="105" t="s">
        <v>365</v>
      </c>
      <c r="E2253" s="135" t="s">
        <v>1</v>
      </c>
      <c r="F2253" s="120" t="s">
        <v>3284</v>
      </c>
      <c r="H2253" s="121">
        <v>170.1</v>
      </c>
      <c r="I2253" s="128"/>
      <c r="L2253" s="119"/>
      <c r="M2253" s="129"/>
      <c r="T2253" s="133"/>
      <c r="AT2253" s="135" t="s">
        <v>365</v>
      </c>
      <c r="AU2253" s="135" t="s">
        <v>87</v>
      </c>
      <c r="AV2253" s="113" t="s">
        <v>87</v>
      </c>
      <c r="AW2253" s="113" t="s">
        <v>33</v>
      </c>
      <c r="AX2253" s="113" t="s">
        <v>77</v>
      </c>
      <c r="AY2253" s="135" t="s">
        <v>211</v>
      </c>
    </row>
    <row r="2254" spans="2:65" s="137" customFormat="1">
      <c r="B2254" s="141"/>
      <c r="D2254" s="105" t="s">
        <v>365</v>
      </c>
      <c r="E2254" s="142" t="s">
        <v>1</v>
      </c>
      <c r="F2254" s="143" t="s">
        <v>368</v>
      </c>
      <c r="H2254" s="144">
        <v>170.1</v>
      </c>
      <c r="I2254" s="148"/>
      <c r="L2254" s="141"/>
      <c r="M2254" s="149"/>
      <c r="T2254" s="151"/>
      <c r="AT2254" s="142" t="s">
        <v>365</v>
      </c>
      <c r="AU2254" s="142" t="s">
        <v>87</v>
      </c>
      <c r="AV2254" s="137" t="s">
        <v>218</v>
      </c>
      <c r="AW2254" s="137" t="s">
        <v>33</v>
      </c>
      <c r="AX2254" s="137" t="s">
        <v>85</v>
      </c>
      <c r="AY2254" s="142" t="s">
        <v>211</v>
      </c>
    </row>
    <row r="2255" spans="2:65" s="1" customFormat="1" ht="49.35" customHeight="1">
      <c r="B2255" s="12"/>
      <c r="C2255" s="71" t="s">
        <v>3285</v>
      </c>
      <c r="D2255" s="71" t="s">
        <v>214</v>
      </c>
      <c r="E2255" s="72" t="s">
        <v>3286</v>
      </c>
      <c r="F2255" s="73" t="s">
        <v>3287</v>
      </c>
      <c r="G2255" s="74" t="s">
        <v>279</v>
      </c>
      <c r="H2255" s="75">
        <v>545.69000000000005</v>
      </c>
      <c r="I2255" s="90">
        <v>699</v>
      </c>
      <c r="J2255" s="91">
        <f>ROUND(I2255*H2255,2)</f>
        <v>381437.31</v>
      </c>
      <c r="K2255" s="92"/>
      <c r="L2255" s="12"/>
      <c r="M2255" s="93" t="s">
        <v>1</v>
      </c>
      <c r="N2255" s="94" t="s">
        <v>42</v>
      </c>
      <c r="P2255" s="95">
        <f>O2255*H2255</f>
        <v>0</v>
      </c>
      <c r="Q2255" s="95">
        <v>1.2200000000000001E-2</v>
      </c>
      <c r="R2255" s="95">
        <f>Q2255*H2255</f>
        <v>6.6574179999999998</v>
      </c>
      <c r="S2255" s="95">
        <v>0</v>
      </c>
      <c r="T2255" s="99">
        <f>S2255*H2255</f>
        <v>0</v>
      </c>
      <c r="AR2255" s="101" t="s">
        <v>446</v>
      </c>
      <c r="AT2255" s="101" t="s">
        <v>214</v>
      </c>
      <c r="AU2255" s="101" t="s">
        <v>87</v>
      </c>
      <c r="AY2255" s="23" t="s">
        <v>211</v>
      </c>
      <c r="BE2255" s="104">
        <f>IF(N2255="základní",J2255,0)</f>
        <v>381437.31</v>
      </c>
      <c r="BF2255" s="104">
        <f>IF(N2255="snížená",J2255,0)</f>
        <v>0</v>
      </c>
      <c r="BG2255" s="104">
        <f>IF(N2255="zákl. přenesená",J2255,0)</f>
        <v>0</v>
      </c>
      <c r="BH2255" s="104">
        <f>IF(N2255="sníž. přenesená",J2255,0)</f>
        <v>0</v>
      </c>
      <c r="BI2255" s="104">
        <f>IF(N2255="nulová",J2255,0)</f>
        <v>0</v>
      </c>
      <c r="BJ2255" s="23" t="s">
        <v>85</v>
      </c>
      <c r="BK2255" s="104">
        <f>ROUND(I2255*H2255,2)</f>
        <v>381437.31</v>
      </c>
      <c r="BL2255" s="23" t="s">
        <v>446</v>
      </c>
      <c r="BM2255" s="101" t="s">
        <v>3288</v>
      </c>
    </row>
    <row r="2256" spans="2:65" s="136" customFormat="1">
      <c r="B2256" s="138"/>
      <c r="D2256" s="105" t="s">
        <v>365</v>
      </c>
      <c r="E2256" s="139" t="s">
        <v>1</v>
      </c>
      <c r="F2256" s="140" t="s">
        <v>3289</v>
      </c>
      <c r="H2256" s="139" t="s">
        <v>1</v>
      </c>
      <c r="I2256" s="146"/>
      <c r="L2256" s="138"/>
      <c r="M2256" s="147"/>
      <c r="T2256" s="150"/>
      <c r="AT2256" s="139" t="s">
        <v>365</v>
      </c>
      <c r="AU2256" s="139" t="s">
        <v>87</v>
      </c>
      <c r="AV2256" s="136" t="s">
        <v>85</v>
      </c>
      <c r="AW2256" s="136" t="s">
        <v>33</v>
      </c>
      <c r="AX2256" s="136" t="s">
        <v>77</v>
      </c>
      <c r="AY2256" s="139" t="s">
        <v>211</v>
      </c>
    </row>
    <row r="2257" spans="2:65" s="113" customFormat="1">
      <c r="B2257" s="119"/>
      <c r="D2257" s="105" t="s">
        <v>365</v>
      </c>
      <c r="E2257" s="135" t="s">
        <v>1</v>
      </c>
      <c r="F2257" s="120" t="s">
        <v>3290</v>
      </c>
      <c r="H2257" s="121">
        <v>135.01</v>
      </c>
      <c r="I2257" s="128"/>
      <c r="L2257" s="119"/>
      <c r="M2257" s="129"/>
      <c r="T2257" s="133"/>
      <c r="AT2257" s="135" t="s">
        <v>365</v>
      </c>
      <c r="AU2257" s="135" t="s">
        <v>87</v>
      </c>
      <c r="AV2257" s="113" t="s">
        <v>87</v>
      </c>
      <c r="AW2257" s="113" t="s">
        <v>33</v>
      </c>
      <c r="AX2257" s="113" t="s">
        <v>77</v>
      </c>
      <c r="AY2257" s="135" t="s">
        <v>211</v>
      </c>
    </row>
    <row r="2258" spans="2:65" s="113" customFormat="1">
      <c r="B2258" s="119"/>
      <c r="D2258" s="105" t="s">
        <v>365</v>
      </c>
      <c r="E2258" s="135" t="s">
        <v>1</v>
      </c>
      <c r="F2258" s="120" t="s">
        <v>3291</v>
      </c>
      <c r="H2258" s="121">
        <v>183.43</v>
      </c>
      <c r="I2258" s="128"/>
      <c r="L2258" s="119"/>
      <c r="M2258" s="129"/>
      <c r="T2258" s="133"/>
      <c r="AT2258" s="135" t="s">
        <v>365</v>
      </c>
      <c r="AU2258" s="135" t="s">
        <v>87</v>
      </c>
      <c r="AV2258" s="113" t="s">
        <v>87</v>
      </c>
      <c r="AW2258" s="113" t="s">
        <v>33</v>
      </c>
      <c r="AX2258" s="113" t="s">
        <v>77</v>
      </c>
      <c r="AY2258" s="135" t="s">
        <v>211</v>
      </c>
    </row>
    <row r="2259" spans="2:65" s="113" customFormat="1">
      <c r="B2259" s="119"/>
      <c r="D2259" s="105" t="s">
        <v>365</v>
      </c>
      <c r="E2259" s="135" t="s">
        <v>1</v>
      </c>
      <c r="F2259" s="120" t="s">
        <v>3292</v>
      </c>
      <c r="H2259" s="121">
        <v>155.16</v>
      </c>
      <c r="I2259" s="128"/>
      <c r="L2259" s="119"/>
      <c r="M2259" s="129"/>
      <c r="T2259" s="133"/>
      <c r="AT2259" s="135" t="s">
        <v>365</v>
      </c>
      <c r="AU2259" s="135" t="s">
        <v>87</v>
      </c>
      <c r="AV2259" s="113" t="s">
        <v>87</v>
      </c>
      <c r="AW2259" s="113" t="s">
        <v>33</v>
      </c>
      <c r="AX2259" s="113" t="s">
        <v>77</v>
      </c>
      <c r="AY2259" s="135" t="s">
        <v>211</v>
      </c>
    </row>
    <row r="2260" spans="2:65" s="113" customFormat="1">
      <c r="B2260" s="119"/>
      <c r="D2260" s="105" t="s">
        <v>365</v>
      </c>
      <c r="E2260" s="135" t="s">
        <v>1</v>
      </c>
      <c r="F2260" s="120" t="s">
        <v>3293</v>
      </c>
      <c r="H2260" s="121">
        <v>72.09</v>
      </c>
      <c r="I2260" s="128"/>
      <c r="L2260" s="119"/>
      <c r="M2260" s="129"/>
      <c r="T2260" s="133"/>
      <c r="AT2260" s="135" t="s">
        <v>365</v>
      </c>
      <c r="AU2260" s="135" t="s">
        <v>87</v>
      </c>
      <c r="AV2260" s="113" t="s">
        <v>87</v>
      </c>
      <c r="AW2260" s="113" t="s">
        <v>33</v>
      </c>
      <c r="AX2260" s="113" t="s">
        <v>77</v>
      </c>
      <c r="AY2260" s="135" t="s">
        <v>211</v>
      </c>
    </row>
    <row r="2261" spans="2:65" s="137" customFormat="1">
      <c r="B2261" s="141"/>
      <c r="D2261" s="105" t="s">
        <v>365</v>
      </c>
      <c r="E2261" s="142" t="s">
        <v>1</v>
      </c>
      <c r="F2261" s="143" t="s">
        <v>368</v>
      </c>
      <c r="H2261" s="144">
        <v>545.69000000000005</v>
      </c>
      <c r="I2261" s="148"/>
      <c r="L2261" s="141"/>
      <c r="M2261" s="149"/>
      <c r="T2261" s="151"/>
      <c r="AT2261" s="142" t="s">
        <v>365</v>
      </c>
      <c r="AU2261" s="142" t="s">
        <v>87</v>
      </c>
      <c r="AV2261" s="137" t="s">
        <v>218</v>
      </c>
      <c r="AW2261" s="137" t="s">
        <v>33</v>
      </c>
      <c r="AX2261" s="137" t="s">
        <v>85</v>
      </c>
      <c r="AY2261" s="142" t="s">
        <v>211</v>
      </c>
    </row>
    <row r="2262" spans="2:65" s="1" customFormat="1" ht="49.35" customHeight="1">
      <c r="B2262" s="12"/>
      <c r="C2262" s="71" t="s">
        <v>3294</v>
      </c>
      <c r="D2262" s="71" t="s">
        <v>214</v>
      </c>
      <c r="E2262" s="72" t="s">
        <v>3295</v>
      </c>
      <c r="F2262" s="73" t="s">
        <v>3296</v>
      </c>
      <c r="G2262" s="74" t="s">
        <v>279</v>
      </c>
      <c r="H2262" s="75">
        <v>357.53</v>
      </c>
      <c r="I2262" s="90">
        <v>767</v>
      </c>
      <c r="J2262" s="91">
        <f>ROUND(I2262*H2262,2)</f>
        <v>274225.51</v>
      </c>
      <c r="K2262" s="92"/>
      <c r="L2262" s="12"/>
      <c r="M2262" s="93" t="s">
        <v>1</v>
      </c>
      <c r="N2262" s="94" t="s">
        <v>42</v>
      </c>
      <c r="P2262" s="95">
        <f>O2262*H2262</f>
        <v>0</v>
      </c>
      <c r="Q2262" s="95">
        <v>1.259E-2</v>
      </c>
      <c r="R2262" s="95">
        <f>Q2262*H2262</f>
        <v>4.5013027000000001</v>
      </c>
      <c r="S2262" s="95">
        <v>0</v>
      </c>
      <c r="T2262" s="99">
        <f>S2262*H2262</f>
        <v>0</v>
      </c>
      <c r="AR2262" s="101" t="s">
        <v>446</v>
      </c>
      <c r="AT2262" s="101" t="s">
        <v>214</v>
      </c>
      <c r="AU2262" s="101" t="s">
        <v>87</v>
      </c>
      <c r="AY2262" s="23" t="s">
        <v>211</v>
      </c>
      <c r="BE2262" s="104">
        <f>IF(N2262="základní",J2262,0)</f>
        <v>274225.51</v>
      </c>
      <c r="BF2262" s="104">
        <f>IF(N2262="snížená",J2262,0)</f>
        <v>0</v>
      </c>
      <c r="BG2262" s="104">
        <f>IF(N2262="zákl. přenesená",J2262,0)</f>
        <v>0</v>
      </c>
      <c r="BH2262" s="104">
        <f>IF(N2262="sníž. přenesená",J2262,0)</f>
        <v>0</v>
      </c>
      <c r="BI2262" s="104">
        <f>IF(N2262="nulová",J2262,0)</f>
        <v>0</v>
      </c>
      <c r="BJ2262" s="23" t="s">
        <v>85</v>
      </c>
      <c r="BK2262" s="104">
        <f>ROUND(I2262*H2262,2)</f>
        <v>274225.51</v>
      </c>
      <c r="BL2262" s="23" t="s">
        <v>446</v>
      </c>
      <c r="BM2262" s="101" t="s">
        <v>3297</v>
      </c>
    </row>
    <row r="2263" spans="2:65" s="136" customFormat="1">
      <c r="B2263" s="138"/>
      <c r="D2263" s="105" t="s">
        <v>365</v>
      </c>
      <c r="E2263" s="139" t="s">
        <v>1</v>
      </c>
      <c r="F2263" s="140" t="s">
        <v>3298</v>
      </c>
      <c r="H2263" s="139" t="s">
        <v>1</v>
      </c>
      <c r="I2263" s="146"/>
      <c r="L2263" s="138"/>
      <c r="M2263" s="147"/>
      <c r="T2263" s="150"/>
      <c r="AT2263" s="139" t="s">
        <v>365</v>
      </c>
      <c r="AU2263" s="139" t="s">
        <v>87</v>
      </c>
      <c r="AV2263" s="136" t="s">
        <v>85</v>
      </c>
      <c r="AW2263" s="136" t="s">
        <v>33</v>
      </c>
      <c r="AX2263" s="136" t="s">
        <v>77</v>
      </c>
      <c r="AY2263" s="139" t="s">
        <v>211</v>
      </c>
    </row>
    <row r="2264" spans="2:65" s="113" customFormat="1">
      <c r="B2264" s="119"/>
      <c r="D2264" s="105" t="s">
        <v>365</v>
      </c>
      <c r="E2264" s="135" t="s">
        <v>1</v>
      </c>
      <c r="F2264" s="120" t="s">
        <v>3299</v>
      </c>
      <c r="H2264" s="121">
        <v>45.58</v>
      </c>
      <c r="I2264" s="128"/>
      <c r="L2264" s="119"/>
      <c r="M2264" s="129"/>
      <c r="T2264" s="133"/>
      <c r="AT2264" s="135" t="s">
        <v>365</v>
      </c>
      <c r="AU2264" s="135" t="s">
        <v>87</v>
      </c>
      <c r="AV2264" s="113" t="s">
        <v>87</v>
      </c>
      <c r="AW2264" s="113" t="s">
        <v>33</v>
      </c>
      <c r="AX2264" s="113" t="s">
        <v>77</v>
      </c>
      <c r="AY2264" s="135" t="s">
        <v>211</v>
      </c>
    </row>
    <row r="2265" spans="2:65" s="113" customFormat="1">
      <c r="B2265" s="119"/>
      <c r="D2265" s="105" t="s">
        <v>365</v>
      </c>
      <c r="E2265" s="135" t="s">
        <v>1</v>
      </c>
      <c r="F2265" s="120" t="s">
        <v>3300</v>
      </c>
      <c r="H2265" s="121">
        <v>66.86</v>
      </c>
      <c r="I2265" s="128"/>
      <c r="L2265" s="119"/>
      <c r="M2265" s="129"/>
      <c r="T2265" s="133"/>
      <c r="AT2265" s="135" t="s">
        <v>365</v>
      </c>
      <c r="AU2265" s="135" t="s">
        <v>87</v>
      </c>
      <c r="AV2265" s="113" t="s">
        <v>87</v>
      </c>
      <c r="AW2265" s="113" t="s">
        <v>33</v>
      </c>
      <c r="AX2265" s="113" t="s">
        <v>77</v>
      </c>
      <c r="AY2265" s="135" t="s">
        <v>211</v>
      </c>
    </row>
    <row r="2266" spans="2:65" s="113" customFormat="1">
      <c r="B2266" s="119"/>
      <c r="D2266" s="105" t="s">
        <v>365</v>
      </c>
      <c r="E2266" s="135" t="s">
        <v>1</v>
      </c>
      <c r="F2266" s="120" t="s">
        <v>3301</v>
      </c>
      <c r="H2266" s="121">
        <v>57.4</v>
      </c>
      <c r="I2266" s="128"/>
      <c r="L2266" s="119"/>
      <c r="M2266" s="129"/>
      <c r="T2266" s="133"/>
      <c r="AT2266" s="135" t="s">
        <v>365</v>
      </c>
      <c r="AU2266" s="135" t="s">
        <v>87</v>
      </c>
      <c r="AV2266" s="113" t="s">
        <v>87</v>
      </c>
      <c r="AW2266" s="113" t="s">
        <v>33</v>
      </c>
      <c r="AX2266" s="113" t="s">
        <v>77</v>
      </c>
      <c r="AY2266" s="135" t="s">
        <v>211</v>
      </c>
    </row>
    <row r="2267" spans="2:65" s="113" customFormat="1">
      <c r="B2267" s="119"/>
      <c r="D2267" s="105" t="s">
        <v>365</v>
      </c>
      <c r="E2267" s="135" t="s">
        <v>1</v>
      </c>
      <c r="F2267" s="120" t="s">
        <v>3302</v>
      </c>
      <c r="H2267" s="121">
        <v>187.69</v>
      </c>
      <c r="I2267" s="128"/>
      <c r="L2267" s="119"/>
      <c r="M2267" s="129"/>
      <c r="T2267" s="133"/>
      <c r="AT2267" s="135" t="s">
        <v>365</v>
      </c>
      <c r="AU2267" s="135" t="s">
        <v>87</v>
      </c>
      <c r="AV2267" s="113" t="s">
        <v>87</v>
      </c>
      <c r="AW2267" s="113" t="s">
        <v>33</v>
      </c>
      <c r="AX2267" s="113" t="s">
        <v>77</v>
      </c>
      <c r="AY2267" s="135" t="s">
        <v>211</v>
      </c>
    </row>
    <row r="2268" spans="2:65" s="137" customFormat="1">
      <c r="B2268" s="141"/>
      <c r="D2268" s="105" t="s">
        <v>365</v>
      </c>
      <c r="E2268" s="142" t="s">
        <v>1</v>
      </c>
      <c r="F2268" s="143" t="s">
        <v>368</v>
      </c>
      <c r="H2268" s="144">
        <v>357.53</v>
      </c>
      <c r="I2268" s="148"/>
      <c r="L2268" s="141"/>
      <c r="M2268" s="149"/>
      <c r="T2268" s="151"/>
      <c r="AT2268" s="142" t="s">
        <v>365</v>
      </c>
      <c r="AU2268" s="142" t="s">
        <v>87</v>
      </c>
      <c r="AV2268" s="137" t="s">
        <v>218</v>
      </c>
      <c r="AW2268" s="137" t="s">
        <v>33</v>
      </c>
      <c r="AX2268" s="137" t="s">
        <v>85</v>
      </c>
      <c r="AY2268" s="142" t="s">
        <v>211</v>
      </c>
    </row>
    <row r="2269" spans="2:65" s="1" customFormat="1" ht="24.15" customHeight="1">
      <c r="B2269" s="12"/>
      <c r="C2269" s="71" t="s">
        <v>3303</v>
      </c>
      <c r="D2269" s="71" t="s">
        <v>214</v>
      </c>
      <c r="E2269" s="72" t="s">
        <v>3304</v>
      </c>
      <c r="F2269" s="73" t="s">
        <v>3305</v>
      </c>
      <c r="G2269" s="74" t="s">
        <v>2866</v>
      </c>
      <c r="H2269" s="163">
        <f>SUM(J2173:J2262)/100</f>
        <v>52629.777900000001</v>
      </c>
      <c r="I2269" s="90">
        <v>1.77</v>
      </c>
      <c r="J2269" s="91">
        <f>ROUND(I2269*H2269,2)</f>
        <v>93154.71</v>
      </c>
      <c r="K2269" s="92"/>
      <c r="L2269" s="12"/>
      <c r="M2269" s="93" t="s">
        <v>1</v>
      </c>
      <c r="N2269" s="94" t="s">
        <v>42</v>
      </c>
      <c r="P2269" s="95">
        <f>O2269*H2269</f>
        <v>0</v>
      </c>
      <c r="Q2269" s="95">
        <v>0</v>
      </c>
      <c r="R2269" s="95">
        <f>Q2269*H2269</f>
        <v>0</v>
      </c>
      <c r="S2269" s="95">
        <v>0</v>
      </c>
      <c r="T2269" s="99">
        <f>S2269*H2269</f>
        <v>0</v>
      </c>
      <c r="AR2269" s="101" t="s">
        <v>446</v>
      </c>
      <c r="AT2269" s="101" t="s">
        <v>214</v>
      </c>
      <c r="AU2269" s="101" t="s">
        <v>87</v>
      </c>
      <c r="AY2269" s="23" t="s">
        <v>211</v>
      </c>
      <c r="BE2269" s="104">
        <f>IF(N2269="základní",J2269,0)</f>
        <v>93154.71</v>
      </c>
      <c r="BF2269" s="104">
        <f>IF(N2269="snížená",J2269,0)</f>
        <v>0</v>
      </c>
      <c r="BG2269" s="104">
        <f>IF(N2269="zákl. přenesená",J2269,0)</f>
        <v>0</v>
      </c>
      <c r="BH2269" s="104">
        <f>IF(N2269="sníž. přenesená",J2269,0)</f>
        <v>0</v>
      </c>
      <c r="BI2269" s="104">
        <f>IF(N2269="nulová",J2269,0)</f>
        <v>0</v>
      </c>
      <c r="BJ2269" s="23" t="s">
        <v>85</v>
      </c>
      <c r="BK2269" s="104">
        <f>ROUND(I2269*H2269,2)</f>
        <v>93154.71</v>
      </c>
      <c r="BL2269" s="23" t="s">
        <v>446</v>
      </c>
      <c r="BM2269" s="101" t="s">
        <v>3306</v>
      </c>
    </row>
    <row r="2270" spans="2:65" s="31" customFormat="1" ht="23.1" customHeight="1">
      <c r="B2270" s="67"/>
      <c r="D2270" s="68" t="s">
        <v>76</v>
      </c>
      <c r="E2270" s="70" t="s">
        <v>3307</v>
      </c>
      <c r="F2270" s="70" t="s">
        <v>3308</v>
      </c>
      <c r="I2270" s="85"/>
      <c r="J2270" s="89">
        <f>BK2270</f>
        <v>505769.96</v>
      </c>
      <c r="L2270" s="67"/>
      <c r="M2270" s="87"/>
      <c r="P2270" s="88">
        <f>SUM(P2271:P2294)</f>
        <v>0</v>
      </c>
      <c r="R2270" s="88">
        <f>SUM(R2271:R2294)</f>
        <v>0</v>
      </c>
      <c r="T2270" s="98">
        <f>SUM(T2271:T2294)</f>
        <v>0</v>
      </c>
      <c r="AR2270" s="68" t="s">
        <v>87</v>
      </c>
      <c r="AT2270" s="100" t="s">
        <v>76</v>
      </c>
      <c r="AU2270" s="100" t="s">
        <v>85</v>
      </c>
      <c r="AY2270" s="68" t="s">
        <v>211</v>
      </c>
      <c r="BK2270" s="103">
        <f>SUM(BK2271:BK2294)</f>
        <v>505769.96</v>
      </c>
    </row>
    <row r="2271" spans="2:65" s="1" customFormat="1" ht="38.1" customHeight="1">
      <c r="B2271" s="12"/>
      <c r="C2271" s="71" t="s">
        <v>3309</v>
      </c>
      <c r="D2271" s="71" t="s">
        <v>214</v>
      </c>
      <c r="E2271" s="72" t="s">
        <v>3310</v>
      </c>
      <c r="F2271" s="73" t="s">
        <v>3311</v>
      </c>
      <c r="G2271" s="74" t="s">
        <v>431</v>
      </c>
      <c r="H2271" s="75">
        <v>39.881999999999998</v>
      </c>
      <c r="I2271" s="90">
        <v>550</v>
      </c>
      <c r="J2271" s="91">
        <f t="shared" ref="J2271:J2294" si="30">ROUND(I2271*H2271,2)</f>
        <v>21935.1</v>
      </c>
      <c r="K2271" s="92"/>
      <c r="L2271" s="12"/>
      <c r="M2271" s="93" t="s">
        <v>1</v>
      </c>
      <c r="N2271" s="94" t="s">
        <v>42</v>
      </c>
      <c r="P2271" s="95">
        <f t="shared" ref="P2271:P2294" si="31">O2271*H2271</f>
        <v>0</v>
      </c>
      <c r="Q2271" s="95">
        <v>0</v>
      </c>
      <c r="R2271" s="95">
        <f t="shared" ref="R2271:R2294" si="32">Q2271*H2271</f>
        <v>0</v>
      </c>
      <c r="S2271" s="95">
        <v>0</v>
      </c>
      <c r="T2271" s="99">
        <f t="shared" ref="T2271:T2294" si="33">S2271*H2271</f>
        <v>0</v>
      </c>
      <c r="AR2271" s="101" t="s">
        <v>218</v>
      </c>
      <c r="AT2271" s="101" t="s">
        <v>214</v>
      </c>
      <c r="AU2271" s="101" t="s">
        <v>87</v>
      </c>
      <c r="AY2271" s="23" t="s">
        <v>211</v>
      </c>
      <c r="BE2271" s="104">
        <f t="shared" ref="BE2271:BE2294" si="34">IF(N2271="základní",J2271,0)</f>
        <v>21935.1</v>
      </c>
      <c r="BF2271" s="104">
        <f t="shared" ref="BF2271:BF2294" si="35">IF(N2271="snížená",J2271,0)</f>
        <v>0</v>
      </c>
      <c r="BG2271" s="104">
        <f t="shared" ref="BG2271:BG2294" si="36">IF(N2271="zákl. přenesená",J2271,0)</f>
        <v>0</v>
      </c>
      <c r="BH2271" s="104">
        <f t="shared" ref="BH2271:BH2294" si="37">IF(N2271="sníž. přenesená",J2271,0)</f>
        <v>0</v>
      </c>
      <c r="BI2271" s="104">
        <f t="shared" ref="BI2271:BI2294" si="38">IF(N2271="nulová",J2271,0)</f>
        <v>0</v>
      </c>
      <c r="BJ2271" s="23" t="s">
        <v>85</v>
      </c>
      <c r="BK2271" s="104">
        <f t="shared" ref="BK2271:BK2294" si="39">ROUND(I2271*H2271,2)</f>
        <v>21935.1</v>
      </c>
      <c r="BL2271" s="23" t="s">
        <v>218</v>
      </c>
      <c r="BM2271" s="101" t="s">
        <v>3312</v>
      </c>
    </row>
    <row r="2272" spans="2:65" s="1" customFormat="1" ht="38.1" customHeight="1">
      <c r="B2272" s="12"/>
      <c r="C2272" s="71" t="s">
        <v>3313</v>
      </c>
      <c r="D2272" s="71" t="s">
        <v>214</v>
      </c>
      <c r="E2272" s="72" t="s">
        <v>3314</v>
      </c>
      <c r="F2272" s="73" t="s">
        <v>3315</v>
      </c>
      <c r="G2272" s="74" t="s">
        <v>431</v>
      </c>
      <c r="H2272" s="75">
        <v>39.880000000000003</v>
      </c>
      <c r="I2272" s="90">
        <v>490</v>
      </c>
      <c r="J2272" s="91">
        <f t="shared" si="30"/>
        <v>19541.2</v>
      </c>
      <c r="K2272" s="92"/>
      <c r="L2272" s="12"/>
      <c r="M2272" s="93" t="s">
        <v>1</v>
      </c>
      <c r="N2272" s="94" t="s">
        <v>42</v>
      </c>
      <c r="P2272" s="95">
        <f t="shared" si="31"/>
        <v>0</v>
      </c>
      <c r="Q2272" s="95">
        <v>0</v>
      </c>
      <c r="R2272" s="95">
        <f t="shared" si="32"/>
        <v>0</v>
      </c>
      <c r="S2272" s="95">
        <v>0</v>
      </c>
      <c r="T2272" s="99">
        <f t="shared" si="33"/>
        <v>0</v>
      </c>
      <c r="AR2272" s="101" t="s">
        <v>218</v>
      </c>
      <c r="AT2272" s="101" t="s">
        <v>214</v>
      </c>
      <c r="AU2272" s="101" t="s">
        <v>87</v>
      </c>
      <c r="AY2272" s="23" t="s">
        <v>211</v>
      </c>
      <c r="BE2272" s="104">
        <f t="shared" si="34"/>
        <v>19541.2</v>
      </c>
      <c r="BF2272" s="104">
        <f t="shared" si="35"/>
        <v>0</v>
      </c>
      <c r="BG2272" s="104">
        <f t="shared" si="36"/>
        <v>0</v>
      </c>
      <c r="BH2272" s="104">
        <f t="shared" si="37"/>
        <v>0</v>
      </c>
      <c r="BI2272" s="104">
        <f t="shared" si="38"/>
        <v>0</v>
      </c>
      <c r="BJ2272" s="23" t="s">
        <v>85</v>
      </c>
      <c r="BK2272" s="104">
        <f t="shared" si="39"/>
        <v>19541.2</v>
      </c>
      <c r="BL2272" s="23" t="s">
        <v>218</v>
      </c>
      <c r="BM2272" s="101" t="s">
        <v>3316</v>
      </c>
    </row>
    <row r="2273" spans="2:65" s="1" customFormat="1" ht="38.1" customHeight="1">
      <c r="B2273" s="12"/>
      <c r="C2273" s="71" t="s">
        <v>3317</v>
      </c>
      <c r="D2273" s="71" t="s">
        <v>214</v>
      </c>
      <c r="E2273" s="72" t="s">
        <v>3318</v>
      </c>
      <c r="F2273" s="73" t="s">
        <v>3319</v>
      </c>
      <c r="G2273" s="74" t="s">
        <v>431</v>
      </c>
      <c r="H2273" s="75">
        <v>39.880000000000003</v>
      </c>
      <c r="I2273" s="90">
        <v>197</v>
      </c>
      <c r="J2273" s="91">
        <f t="shared" si="30"/>
        <v>7856.36</v>
      </c>
      <c r="K2273" s="92"/>
      <c r="L2273" s="12"/>
      <c r="M2273" s="93" t="s">
        <v>1</v>
      </c>
      <c r="N2273" s="94" t="s">
        <v>42</v>
      </c>
      <c r="P2273" s="95">
        <f t="shared" si="31"/>
        <v>0</v>
      </c>
      <c r="Q2273" s="95">
        <v>0</v>
      </c>
      <c r="R2273" s="95">
        <f t="shared" si="32"/>
        <v>0</v>
      </c>
      <c r="S2273" s="95">
        <v>0</v>
      </c>
      <c r="T2273" s="99">
        <f t="shared" si="33"/>
        <v>0</v>
      </c>
      <c r="AR2273" s="101" t="s">
        <v>218</v>
      </c>
      <c r="AT2273" s="101" t="s">
        <v>214</v>
      </c>
      <c r="AU2273" s="101" t="s">
        <v>87</v>
      </c>
      <c r="AY2273" s="23" t="s">
        <v>211</v>
      </c>
      <c r="BE2273" s="104">
        <f t="shared" si="34"/>
        <v>7856.36</v>
      </c>
      <c r="BF2273" s="104">
        <f t="shared" si="35"/>
        <v>0</v>
      </c>
      <c r="BG2273" s="104">
        <f t="shared" si="36"/>
        <v>0</v>
      </c>
      <c r="BH2273" s="104">
        <f t="shared" si="37"/>
        <v>0</v>
      </c>
      <c r="BI2273" s="104">
        <f t="shared" si="38"/>
        <v>0</v>
      </c>
      <c r="BJ2273" s="23" t="s">
        <v>85</v>
      </c>
      <c r="BK2273" s="104">
        <f t="shared" si="39"/>
        <v>7856.36</v>
      </c>
      <c r="BL2273" s="23" t="s">
        <v>218</v>
      </c>
      <c r="BM2273" s="101" t="s">
        <v>3320</v>
      </c>
    </row>
    <row r="2274" spans="2:65" s="1" customFormat="1" ht="38.1" customHeight="1">
      <c r="B2274" s="12"/>
      <c r="C2274" s="71" t="s">
        <v>3321</v>
      </c>
      <c r="D2274" s="71" t="s">
        <v>214</v>
      </c>
      <c r="E2274" s="72" t="s">
        <v>3322</v>
      </c>
      <c r="F2274" s="73" t="s">
        <v>3311</v>
      </c>
      <c r="G2274" s="74" t="s">
        <v>431</v>
      </c>
      <c r="H2274" s="75">
        <v>83.245999999999995</v>
      </c>
      <c r="I2274" s="90">
        <v>521</v>
      </c>
      <c r="J2274" s="91">
        <f t="shared" si="30"/>
        <v>43371.17</v>
      </c>
      <c r="K2274" s="92"/>
      <c r="L2274" s="12"/>
      <c r="M2274" s="93" t="s">
        <v>1</v>
      </c>
      <c r="N2274" s="94" t="s">
        <v>42</v>
      </c>
      <c r="P2274" s="95">
        <f t="shared" si="31"/>
        <v>0</v>
      </c>
      <c r="Q2274" s="95">
        <v>0</v>
      </c>
      <c r="R2274" s="95">
        <f t="shared" si="32"/>
        <v>0</v>
      </c>
      <c r="S2274" s="95">
        <v>0</v>
      </c>
      <c r="T2274" s="99">
        <f t="shared" si="33"/>
        <v>0</v>
      </c>
      <c r="AR2274" s="101" t="s">
        <v>218</v>
      </c>
      <c r="AT2274" s="101" t="s">
        <v>214</v>
      </c>
      <c r="AU2274" s="101" t="s">
        <v>87</v>
      </c>
      <c r="AY2274" s="23" t="s">
        <v>211</v>
      </c>
      <c r="BE2274" s="104">
        <f t="shared" si="34"/>
        <v>43371.17</v>
      </c>
      <c r="BF2274" s="104">
        <f t="shared" si="35"/>
        <v>0</v>
      </c>
      <c r="BG2274" s="104">
        <f t="shared" si="36"/>
        <v>0</v>
      </c>
      <c r="BH2274" s="104">
        <f t="shared" si="37"/>
        <v>0</v>
      </c>
      <c r="BI2274" s="104">
        <f t="shared" si="38"/>
        <v>0</v>
      </c>
      <c r="BJ2274" s="23" t="s">
        <v>85</v>
      </c>
      <c r="BK2274" s="104">
        <f t="shared" si="39"/>
        <v>43371.17</v>
      </c>
      <c r="BL2274" s="23" t="s">
        <v>218</v>
      </c>
      <c r="BM2274" s="101" t="s">
        <v>3323</v>
      </c>
    </row>
    <row r="2275" spans="2:65" s="1" customFormat="1" ht="38.1" customHeight="1">
      <c r="B2275" s="12"/>
      <c r="C2275" s="71" t="s">
        <v>3324</v>
      </c>
      <c r="D2275" s="71" t="s">
        <v>214</v>
      </c>
      <c r="E2275" s="72" t="s">
        <v>3325</v>
      </c>
      <c r="F2275" s="73" t="s">
        <v>3326</v>
      </c>
      <c r="G2275" s="74" t="s">
        <v>431</v>
      </c>
      <c r="H2275" s="75">
        <v>83.245999999999995</v>
      </c>
      <c r="I2275" s="90">
        <v>266</v>
      </c>
      <c r="J2275" s="91">
        <f t="shared" si="30"/>
        <v>22143.439999999999</v>
      </c>
      <c r="K2275" s="92"/>
      <c r="L2275" s="12"/>
      <c r="M2275" s="93" t="s">
        <v>1</v>
      </c>
      <c r="N2275" s="94" t="s">
        <v>42</v>
      </c>
      <c r="P2275" s="95">
        <f t="shared" si="31"/>
        <v>0</v>
      </c>
      <c r="Q2275" s="95">
        <v>0</v>
      </c>
      <c r="R2275" s="95">
        <f t="shared" si="32"/>
        <v>0</v>
      </c>
      <c r="S2275" s="95">
        <v>0</v>
      </c>
      <c r="T2275" s="99">
        <f t="shared" si="33"/>
        <v>0</v>
      </c>
      <c r="AR2275" s="101" t="s">
        <v>218</v>
      </c>
      <c r="AT2275" s="101" t="s">
        <v>214</v>
      </c>
      <c r="AU2275" s="101" t="s">
        <v>87</v>
      </c>
      <c r="AY2275" s="23" t="s">
        <v>211</v>
      </c>
      <c r="BE2275" s="104">
        <f t="shared" si="34"/>
        <v>22143.439999999999</v>
      </c>
      <c r="BF2275" s="104">
        <f t="shared" si="35"/>
        <v>0</v>
      </c>
      <c r="BG2275" s="104">
        <f t="shared" si="36"/>
        <v>0</v>
      </c>
      <c r="BH2275" s="104">
        <f t="shared" si="37"/>
        <v>0</v>
      </c>
      <c r="BI2275" s="104">
        <f t="shared" si="38"/>
        <v>0</v>
      </c>
      <c r="BJ2275" s="23" t="s">
        <v>85</v>
      </c>
      <c r="BK2275" s="104">
        <f t="shared" si="39"/>
        <v>22143.439999999999</v>
      </c>
      <c r="BL2275" s="23" t="s">
        <v>218</v>
      </c>
      <c r="BM2275" s="101" t="s">
        <v>3327</v>
      </c>
    </row>
    <row r="2276" spans="2:65" s="1" customFormat="1" ht="38.1" customHeight="1">
      <c r="B2276" s="12"/>
      <c r="C2276" s="71" t="s">
        <v>3328</v>
      </c>
      <c r="D2276" s="71" t="s">
        <v>214</v>
      </c>
      <c r="E2276" s="72" t="s">
        <v>3329</v>
      </c>
      <c r="F2276" s="73" t="s">
        <v>3319</v>
      </c>
      <c r="G2276" s="74" t="s">
        <v>431</v>
      </c>
      <c r="H2276" s="75">
        <v>83.245999999999995</v>
      </c>
      <c r="I2276" s="90">
        <v>197</v>
      </c>
      <c r="J2276" s="91">
        <f t="shared" si="30"/>
        <v>16399.46</v>
      </c>
      <c r="K2276" s="92"/>
      <c r="L2276" s="12"/>
      <c r="M2276" s="93" t="s">
        <v>1</v>
      </c>
      <c r="N2276" s="94" t="s">
        <v>42</v>
      </c>
      <c r="P2276" s="95">
        <f t="shared" si="31"/>
        <v>0</v>
      </c>
      <c r="Q2276" s="95">
        <v>0</v>
      </c>
      <c r="R2276" s="95">
        <f t="shared" si="32"/>
        <v>0</v>
      </c>
      <c r="S2276" s="95">
        <v>0</v>
      </c>
      <c r="T2276" s="99">
        <f t="shared" si="33"/>
        <v>0</v>
      </c>
      <c r="AR2276" s="101" t="s">
        <v>218</v>
      </c>
      <c r="AT2276" s="101" t="s">
        <v>214</v>
      </c>
      <c r="AU2276" s="101" t="s">
        <v>87</v>
      </c>
      <c r="AY2276" s="23" t="s">
        <v>211</v>
      </c>
      <c r="BE2276" s="104">
        <f t="shared" si="34"/>
        <v>16399.46</v>
      </c>
      <c r="BF2276" s="104">
        <f t="shared" si="35"/>
        <v>0</v>
      </c>
      <c r="BG2276" s="104">
        <f t="shared" si="36"/>
        <v>0</v>
      </c>
      <c r="BH2276" s="104">
        <f t="shared" si="37"/>
        <v>0</v>
      </c>
      <c r="BI2276" s="104">
        <f t="shared" si="38"/>
        <v>0</v>
      </c>
      <c r="BJ2276" s="23" t="s">
        <v>85</v>
      </c>
      <c r="BK2276" s="104">
        <f t="shared" si="39"/>
        <v>16399.46</v>
      </c>
      <c r="BL2276" s="23" t="s">
        <v>218</v>
      </c>
      <c r="BM2276" s="101" t="s">
        <v>3330</v>
      </c>
    </row>
    <row r="2277" spans="2:65" s="1" customFormat="1" ht="38.1" customHeight="1">
      <c r="B2277" s="12"/>
      <c r="C2277" s="71" t="s">
        <v>3331</v>
      </c>
      <c r="D2277" s="71" t="s">
        <v>214</v>
      </c>
      <c r="E2277" s="72" t="s">
        <v>3332</v>
      </c>
      <c r="F2277" s="73" t="s">
        <v>3333</v>
      </c>
      <c r="G2277" s="74" t="s">
        <v>431</v>
      </c>
      <c r="H2277" s="75">
        <v>61.97</v>
      </c>
      <c r="I2277" s="90">
        <v>580</v>
      </c>
      <c r="J2277" s="91">
        <f t="shared" si="30"/>
        <v>35942.6</v>
      </c>
      <c r="K2277" s="92"/>
      <c r="L2277" s="12"/>
      <c r="M2277" s="93" t="s">
        <v>1</v>
      </c>
      <c r="N2277" s="94" t="s">
        <v>42</v>
      </c>
      <c r="P2277" s="95">
        <f t="shared" si="31"/>
        <v>0</v>
      </c>
      <c r="Q2277" s="95">
        <v>0</v>
      </c>
      <c r="R2277" s="95">
        <f t="shared" si="32"/>
        <v>0</v>
      </c>
      <c r="S2277" s="95">
        <v>0</v>
      </c>
      <c r="T2277" s="99">
        <f t="shared" si="33"/>
        <v>0</v>
      </c>
      <c r="AR2277" s="101" t="s">
        <v>218</v>
      </c>
      <c r="AT2277" s="101" t="s">
        <v>214</v>
      </c>
      <c r="AU2277" s="101" t="s">
        <v>87</v>
      </c>
      <c r="AY2277" s="23" t="s">
        <v>211</v>
      </c>
      <c r="BE2277" s="104">
        <f t="shared" si="34"/>
        <v>35942.6</v>
      </c>
      <c r="BF2277" s="104">
        <f t="shared" si="35"/>
        <v>0</v>
      </c>
      <c r="BG2277" s="104">
        <f t="shared" si="36"/>
        <v>0</v>
      </c>
      <c r="BH2277" s="104">
        <f t="shared" si="37"/>
        <v>0</v>
      </c>
      <c r="BI2277" s="104">
        <f t="shared" si="38"/>
        <v>0</v>
      </c>
      <c r="BJ2277" s="23" t="s">
        <v>85</v>
      </c>
      <c r="BK2277" s="104">
        <f t="shared" si="39"/>
        <v>35942.6</v>
      </c>
      <c r="BL2277" s="23" t="s">
        <v>218</v>
      </c>
      <c r="BM2277" s="101" t="s">
        <v>3334</v>
      </c>
    </row>
    <row r="2278" spans="2:65" s="1" customFormat="1" ht="44.25" customHeight="1">
      <c r="B2278" s="12"/>
      <c r="C2278" s="71" t="s">
        <v>3335</v>
      </c>
      <c r="D2278" s="71" t="s">
        <v>214</v>
      </c>
      <c r="E2278" s="72" t="s">
        <v>3336</v>
      </c>
      <c r="F2278" s="73" t="s">
        <v>3337</v>
      </c>
      <c r="G2278" s="74" t="s">
        <v>431</v>
      </c>
      <c r="H2278" s="75">
        <v>62.5</v>
      </c>
      <c r="I2278" s="90">
        <v>316</v>
      </c>
      <c r="J2278" s="91">
        <f t="shared" si="30"/>
        <v>19750</v>
      </c>
      <c r="K2278" s="92"/>
      <c r="L2278" s="12"/>
      <c r="M2278" s="93" t="s">
        <v>1</v>
      </c>
      <c r="N2278" s="94" t="s">
        <v>42</v>
      </c>
      <c r="P2278" s="95">
        <f t="shared" si="31"/>
        <v>0</v>
      </c>
      <c r="Q2278" s="95">
        <v>0</v>
      </c>
      <c r="R2278" s="95">
        <f t="shared" si="32"/>
        <v>0</v>
      </c>
      <c r="S2278" s="95">
        <v>0</v>
      </c>
      <c r="T2278" s="99">
        <f t="shared" si="33"/>
        <v>0</v>
      </c>
      <c r="AR2278" s="101" t="s">
        <v>218</v>
      </c>
      <c r="AT2278" s="101" t="s">
        <v>214</v>
      </c>
      <c r="AU2278" s="101" t="s">
        <v>87</v>
      </c>
      <c r="AY2278" s="23" t="s">
        <v>211</v>
      </c>
      <c r="BE2278" s="104">
        <f t="shared" si="34"/>
        <v>19750</v>
      </c>
      <c r="BF2278" s="104">
        <f t="shared" si="35"/>
        <v>0</v>
      </c>
      <c r="BG2278" s="104">
        <f t="shared" si="36"/>
        <v>0</v>
      </c>
      <c r="BH2278" s="104">
        <f t="shared" si="37"/>
        <v>0</v>
      </c>
      <c r="BI2278" s="104">
        <f t="shared" si="38"/>
        <v>0</v>
      </c>
      <c r="BJ2278" s="23" t="s">
        <v>85</v>
      </c>
      <c r="BK2278" s="104">
        <f t="shared" si="39"/>
        <v>19750</v>
      </c>
      <c r="BL2278" s="23" t="s">
        <v>218</v>
      </c>
      <c r="BM2278" s="101" t="s">
        <v>3338</v>
      </c>
    </row>
    <row r="2279" spans="2:65" s="1" customFormat="1" ht="24.15" customHeight="1">
      <c r="B2279" s="12"/>
      <c r="C2279" s="71" t="s">
        <v>3339</v>
      </c>
      <c r="D2279" s="71" t="s">
        <v>214</v>
      </c>
      <c r="E2279" s="72" t="s">
        <v>3340</v>
      </c>
      <c r="F2279" s="73" t="s">
        <v>3341</v>
      </c>
      <c r="G2279" s="74" t="s">
        <v>808</v>
      </c>
      <c r="H2279" s="75">
        <v>36</v>
      </c>
      <c r="I2279" s="90">
        <v>712</v>
      </c>
      <c r="J2279" s="91">
        <f t="shared" si="30"/>
        <v>25632</v>
      </c>
      <c r="K2279" s="92"/>
      <c r="L2279" s="12"/>
      <c r="M2279" s="93" t="s">
        <v>1</v>
      </c>
      <c r="N2279" s="94" t="s">
        <v>42</v>
      </c>
      <c r="P2279" s="95">
        <f t="shared" si="31"/>
        <v>0</v>
      </c>
      <c r="Q2279" s="95">
        <v>0</v>
      </c>
      <c r="R2279" s="95">
        <f t="shared" si="32"/>
        <v>0</v>
      </c>
      <c r="S2279" s="95">
        <v>0</v>
      </c>
      <c r="T2279" s="99">
        <f t="shared" si="33"/>
        <v>0</v>
      </c>
      <c r="AR2279" s="101" t="s">
        <v>218</v>
      </c>
      <c r="AT2279" s="101" t="s">
        <v>214</v>
      </c>
      <c r="AU2279" s="101" t="s">
        <v>87</v>
      </c>
      <c r="AY2279" s="23" t="s">
        <v>211</v>
      </c>
      <c r="BE2279" s="104">
        <f t="shared" si="34"/>
        <v>25632</v>
      </c>
      <c r="BF2279" s="104">
        <f t="shared" si="35"/>
        <v>0</v>
      </c>
      <c r="BG2279" s="104">
        <f t="shared" si="36"/>
        <v>0</v>
      </c>
      <c r="BH2279" s="104">
        <f t="shared" si="37"/>
        <v>0</v>
      </c>
      <c r="BI2279" s="104">
        <f t="shared" si="38"/>
        <v>0</v>
      </c>
      <c r="BJ2279" s="23" t="s">
        <v>85</v>
      </c>
      <c r="BK2279" s="104">
        <f t="shared" si="39"/>
        <v>25632</v>
      </c>
      <c r="BL2279" s="23" t="s">
        <v>218</v>
      </c>
      <c r="BM2279" s="101" t="s">
        <v>3342</v>
      </c>
    </row>
    <row r="2280" spans="2:65" s="1" customFormat="1" ht="33" customHeight="1">
      <c r="B2280" s="12"/>
      <c r="C2280" s="71" t="s">
        <v>3343</v>
      </c>
      <c r="D2280" s="71" t="s">
        <v>214</v>
      </c>
      <c r="E2280" s="72" t="s">
        <v>3344</v>
      </c>
      <c r="F2280" s="73" t="s">
        <v>3345</v>
      </c>
      <c r="G2280" s="74" t="s">
        <v>808</v>
      </c>
      <c r="H2280" s="75">
        <v>82</v>
      </c>
      <c r="I2280" s="90">
        <v>510</v>
      </c>
      <c r="J2280" s="91">
        <f t="shared" si="30"/>
        <v>41820</v>
      </c>
      <c r="K2280" s="92"/>
      <c r="L2280" s="12"/>
      <c r="M2280" s="93" t="s">
        <v>1</v>
      </c>
      <c r="N2280" s="94" t="s">
        <v>42</v>
      </c>
      <c r="P2280" s="95">
        <f t="shared" si="31"/>
        <v>0</v>
      </c>
      <c r="Q2280" s="95">
        <v>0</v>
      </c>
      <c r="R2280" s="95">
        <f t="shared" si="32"/>
        <v>0</v>
      </c>
      <c r="S2280" s="95">
        <v>0</v>
      </c>
      <c r="T2280" s="99">
        <f t="shared" si="33"/>
        <v>0</v>
      </c>
      <c r="AR2280" s="101" t="s">
        <v>218</v>
      </c>
      <c r="AT2280" s="101" t="s">
        <v>214</v>
      </c>
      <c r="AU2280" s="101" t="s">
        <v>87</v>
      </c>
      <c r="AY2280" s="23" t="s">
        <v>211</v>
      </c>
      <c r="BE2280" s="104">
        <f t="shared" si="34"/>
        <v>41820</v>
      </c>
      <c r="BF2280" s="104">
        <f t="shared" si="35"/>
        <v>0</v>
      </c>
      <c r="BG2280" s="104">
        <f t="shared" si="36"/>
        <v>0</v>
      </c>
      <c r="BH2280" s="104">
        <f t="shared" si="37"/>
        <v>0</v>
      </c>
      <c r="BI2280" s="104">
        <f t="shared" si="38"/>
        <v>0</v>
      </c>
      <c r="BJ2280" s="23" t="s">
        <v>85</v>
      </c>
      <c r="BK2280" s="104">
        <f t="shared" si="39"/>
        <v>41820</v>
      </c>
      <c r="BL2280" s="23" t="s">
        <v>218</v>
      </c>
      <c r="BM2280" s="101" t="s">
        <v>3346</v>
      </c>
    </row>
    <row r="2281" spans="2:65" s="1" customFormat="1" ht="38.1" customHeight="1">
      <c r="B2281" s="12"/>
      <c r="C2281" s="71" t="s">
        <v>3347</v>
      </c>
      <c r="D2281" s="71" t="s">
        <v>214</v>
      </c>
      <c r="E2281" s="72" t="s">
        <v>3348</v>
      </c>
      <c r="F2281" s="73" t="s">
        <v>3349</v>
      </c>
      <c r="G2281" s="74" t="s">
        <v>808</v>
      </c>
      <c r="H2281" s="75">
        <v>1</v>
      </c>
      <c r="I2281" s="90">
        <v>530</v>
      </c>
      <c r="J2281" s="91">
        <f t="shared" si="30"/>
        <v>530</v>
      </c>
      <c r="K2281" s="92"/>
      <c r="L2281" s="12"/>
      <c r="M2281" s="93" t="s">
        <v>1</v>
      </c>
      <c r="N2281" s="94" t="s">
        <v>42</v>
      </c>
      <c r="P2281" s="95">
        <f t="shared" si="31"/>
        <v>0</v>
      </c>
      <c r="Q2281" s="95">
        <v>0</v>
      </c>
      <c r="R2281" s="95">
        <f t="shared" si="32"/>
        <v>0</v>
      </c>
      <c r="S2281" s="95">
        <v>0</v>
      </c>
      <c r="T2281" s="99">
        <f t="shared" si="33"/>
        <v>0</v>
      </c>
      <c r="AR2281" s="101" t="s">
        <v>218</v>
      </c>
      <c r="AT2281" s="101" t="s">
        <v>214</v>
      </c>
      <c r="AU2281" s="101" t="s">
        <v>87</v>
      </c>
      <c r="AY2281" s="23" t="s">
        <v>211</v>
      </c>
      <c r="BE2281" s="104">
        <f t="shared" si="34"/>
        <v>530</v>
      </c>
      <c r="BF2281" s="104">
        <f t="shared" si="35"/>
        <v>0</v>
      </c>
      <c r="BG2281" s="104">
        <f t="shared" si="36"/>
        <v>0</v>
      </c>
      <c r="BH2281" s="104">
        <f t="shared" si="37"/>
        <v>0</v>
      </c>
      <c r="BI2281" s="104">
        <f t="shared" si="38"/>
        <v>0</v>
      </c>
      <c r="BJ2281" s="23" t="s">
        <v>85</v>
      </c>
      <c r="BK2281" s="104">
        <f t="shared" si="39"/>
        <v>530</v>
      </c>
      <c r="BL2281" s="23" t="s">
        <v>218</v>
      </c>
      <c r="BM2281" s="101" t="s">
        <v>3350</v>
      </c>
    </row>
    <row r="2282" spans="2:65" s="1" customFormat="1" ht="38.1" customHeight="1">
      <c r="B2282" s="12"/>
      <c r="C2282" s="71" t="s">
        <v>3351</v>
      </c>
      <c r="D2282" s="71" t="s">
        <v>214</v>
      </c>
      <c r="E2282" s="72" t="s">
        <v>3352</v>
      </c>
      <c r="F2282" s="73" t="s">
        <v>3353</v>
      </c>
      <c r="G2282" s="74" t="s">
        <v>808</v>
      </c>
      <c r="H2282" s="75">
        <v>7</v>
      </c>
      <c r="I2282" s="90">
        <v>472</v>
      </c>
      <c r="J2282" s="91">
        <f t="shared" si="30"/>
        <v>3304</v>
      </c>
      <c r="K2282" s="92"/>
      <c r="L2282" s="12"/>
      <c r="M2282" s="93" t="s">
        <v>1</v>
      </c>
      <c r="N2282" s="94" t="s">
        <v>42</v>
      </c>
      <c r="P2282" s="95">
        <f t="shared" si="31"/>
        <v>0</v>
      </c>
      <c r="Q2282" s="95">
        <v>0</v>
      </c>
      <c r="R2282" s="95">
        <f t="shared" si="32"/>
        <v>0</v>
      </c>
      <c r="S2282" s="95">
        <v>0</v>
      </c>
      <c r="T2282" s="99">
        <f t="shared" si="33"/>
        <v>0</v>
      </c>
      <c r="AR2282" s="101" t="s">
        <v>218</v>
      </c>
      <c r="AT2282" s="101" t="s">
        <v>214</v>
      </c>
      <c r="AU2282" s="101" t="s">
        <v>87</v>
      </c>
      <c r="AY2282" s="23" t="s">
        <v>211</v>
      </c>
      <c r="BE2282" s="104">
        <f t="shared" si="34"/>
        <v>3304</v>
      </c>
      <c r="BF2282" s="104">
        <f t="shared" si="35"/>
        <v>0</v>
      </c>
      <c r="BG2282" s="104">
        <f t="shared" si="36"/>
        <v>0</v>
      </c>
      <c r="BH2282" s="104">
        <f t="shared" si="37"/>
        <v>0</v>
      </c>
      <c r="BI2282" s="104">
        <f t="shared" si="38"/>
        <v>0</v>
      </c>
      <c r="BJ2282" s="23" t="s">
        <v>85</v>
      </c>
      <c r="BK2282" s="104">
        <f t="shared" si="39"/>
        <v>3304</v>
      </c>
      <c r="BL2282" s="23" t="s">
        <v>218</v>
      </c>
      <c r="BM2282" s="101" t="s">
        <v>3354</v>
      </c>
    </row>
    <row r="2283" spans="2:65" s="1" customFormat="1" ht="38.1" customHeight="1">
      <c r="B2283" s="12"/>
      <c r="C2283" s="71" t="s">
        <v>3355</v>
      </c>
      <c r="D2283" s="71" t="s">
        <v>214</v>
      </c>
      <c r="E2283" s="72" t="s">
        <v>3356</v>
      </c>
      <c r="F2283" s="73" t="s">
        <v>3357</v>
      </c>
      <c r="G2283" s="74" t="s">
        <v>808</v>
      </c>
      <c r="H2283" s="75">
        <v>4</v>
      </c>
      <c r="I2283" s="90">
        <v>610</v>
      </c>
      <c r="J2283" s="91">
        <f t="shared" si="30"/>
        <v>2440</v>
      </c>
      <c r="K2283" s="92"/>
      <c r="L2283" s="12"/>
      <c r="M2283" s="93" t="s">
        <v>1</v>
      </c>
      <c r="N2283" s="94" t="s">
        <v>42</v>
      </c>
      <c r="P2283" s="95">
        <f t="shared" si="31"/>
        <v>0</v>
      </c>
      <c r="Q2283" s="95">
        <v>0</v>
      </c>
      <c r="R2283" s="95">
        <f t="shared" si="32"/>
        <v>0</v>
      </c>
      <c r="S2283" s="95">
        <v>0</v>
      </c>
      <c r="T2283" s="99">
        <f t="shared" si="33"/>
        <v>0</v>
      </c>
      <c r="AR2283" s="101" t="s">
        <v>218</v>
      </c>
      <c r="AT2283" s="101" t="s">
        <v>214</v>
      </c>
      <c r="AU2283" s="101" t="s">
        <v>87</v>
      </c>
      <c r="AY2283" s="23" t="s">
        <v>211</v>
      </c>
      <c r="BE2283" s="104">
        <f t="shared" si="34"/>
        <v>2440</v>
      </c>
      <c r="BF2283" s="104">
        <f t="shared" si="35"/>
        <v>0</v>
      </c>
      <c r="BG2283" s="104">
        <f t="shared" si="36"/>
        <v>0</v>
      </c>
      <c r="BH2283" s="104">
        <f t="shared" si="37"/>
        <v>0</v>
      </c>
      <c r="BI2283" s="104">
        <f t="shared" si="38"/>
        <v>0</v>
      </c>
      <c r="BJ2283" s="23" t="s">
        <v>85</v>
      </c>
      <c r="BK2283" s="104">
        <f t="shared" si="39"/>
        <v>2440</v>
      </c>
      <c r="BL2283" s="23" t="s">
        <v>218</v>
      </c>
      <c r="BM2283" s="101" t="s">
        <v>3358</v>
      </c>
    </row>
    <row r="2284" spans="2:65" s="1" customFormat="1" ht="38.1" customHeight="1">
      <c r="B2284" s="12"/>
      <c r="C2284" s="71" t="s">
        <v>3359</v>
      </c>
      <c r="D2284" s="71" t="s">
        <v>214</v>
      </c>
      <c r="E2284" s="72" t="s">
        <v>3360</v>
      </c>
      <c r="F2284" s="73" t="s">
        <v>3361</v>
      </c>
      <c r="G2284" s="74" t="s">
        <v>431</v>
      </c>
      <c r="H2284" s="75">
        <v>2.8559999999999999</v>
      </c>
      <c r="I2284" s="90">
        <v>610</v>
      </c>
      <c r="J2284" s="91">
        <f t="shared" si="30"/>
        <v>1742.16</v>
      </c>
      <c r="K2284" s="92"/>
      <c r="L2284" s="12"/>
      <c r="M2284" s="93" t="s">
        <v>1</v>
      </c>
      <c r="N2284" s="94" t="s">
        <v>42</v>
      </c>
      <c r="P2284" s="95">
        <f t="shared" si="31"/>
        <v>0</v>
      </c>
      <c r="Q2284" s="95">
        <v>0</v>
      </c>
      <c r="R2284" s="95">
        <f t="shared" si="32"/>
        <v>0</v>
      </c>
      <c r="S2284" s="95">
        <v>0</v>
      </c>
      <c r="T2284" s="99">
        <f t="shared" si="33"/>
        <v>0</v>
      </c>
      <c r="AR2284" s="101" t="s">
        <v>218</v>
      </c>
      <c r="AT2284" s="101" t="s">
        <v>214</v>
      </c>
      <c r="AU2284" s="101" t="s">
        <v>87</v>
      </c>
      <c r="AY2284" s="23" t="s">
        <v>211</v>
      </c>
      <c r="BE2284" s="104">
        <f t="shared" si="34"/>
        <v>1742.16</v>
      </c>
      <c r="BF2284" s="104">
        <f t="shared" si="35"/>
        <v>0</v>
      </c>
      <c r="BG2284" s="104">
        <f t="shared" si="36"/>
        <v>0</v>
      </c>
      <c r="BH2284" s="104">
        <f t="shared" si="37"/>
        <v>0</v>
      </c>
      <c r="BI2284" s="104">
        <f t="shared" si="38"/>
        <v>0</v>
      </c>
      <c r="BJ2284" s="23" t="s">
        <v>85</v>
      </c>
      <c r="BK2284" s="104">
        <f t="shared" si="39"/>
        <v>1742.16</v>
      </c>
      <c r="BL2284" s="23" t="s">
        <v>218</v>
      </c>
      <c r="BM2284" s="101" t="s">
        <v>3362</v>
      </c>
    </row>
    <row r="2285" spans="2:65" s="1" customFormat="1" ht="44.25" customHeight="1">
      <c r="B2285" s="12"/>
      <c r="C2285" s="71" t="s">
        <v>3363</v>
      </c>
      <c r="D2285" s="71" t="s">
        <v>214</v>
      </c>
      <c r="E2285" s="72" t="s">
        <v>3364</v>
      </c>
      <c r="F2285" s="73" t="s">
        <v>3365</v>
      </c>
      <c r="G2285" s="74" t="s">
        <v>431</v>
      </c>
      <c r="H2285" s="75">
        <v>1.8</v>
      </c>
      <c r="I2285" s="90">
        <v>3232</v>
      </c>
      <c r="J2285" s="91">
        <f t="shared" si="30"/>
        <v>5817.6</v>
      </c>
      <c r="K2285" s="92"/>
      <c r="L2285" s="12"/>
      <c r="M2285" s="93" t="s">
        <v>1</v>
      </c>
      <c r="N2285" s="94" t="s">
        <v>42</v>
      </c>
      <c r="P2285" s="95">
        <f t="shared" si="31"/>
        <v>0</v>
      </c>
      <c r="Q2285" s="95">
        <v>0</v>
      </c>
      <c r="R2285" s="95">
        <f t="shared" si="32"/>
        <v>0</v>
      </c>
      <c r="S2285" s="95">
        <v>0</v>
      </c>
      <c r="T2285" s="99">
        <f t="shared" si="33"/>
        <v>0</v>
      </c>
      <c r="AR2285" s="101" t="s">
        <v>218</v>
      </c>
      <c r="AT2285" s="101" t="s">
        <v>214</v>
      </c>
      <c r="AU2285" s="101" t="s">
        <v>87</v>
      </c>
      <c r="AY2285" s="23" t="s">
        <v>211</v>
      </c>
      <c r="BE2285" s="104">
        <f t="shared" si="34"/>
        <v>5817.6</v>
      </c>
      <c r="BF2285" s="104">
        <f t="shared" si="35"/>
        <v>0</v>
      </c>
      <c r="BG2285" s="104">
        <f t="shared" si="36"/>
        <v>0</v>
      </c>
      <c r="BH2285" s="104">
        <f t="shared" si="37"/>
        <v>0</v>
      </c>
      <c r="BI2285" s="104">
        <f t="shared" si="38"/>
        <v>0</v>
      </c>
      <c r="BJ2285" s="23" t="s">
        <v>85</v>
      </c>
      <c r="BK2285" s="104">
        <f t="shared" si="39"/>
        <v>5817.6</v>
      </c>
      <c r="BL2285" s="23" t="s">
        <v>218</v>
      </c>
      <c r="BM2285" s="101" t="s">
        <v>3366</v>
      </c>
    </row>
    <row r="2286" spans="2:65" s="1" customFormat="1" ht="24.15" customHeight="1">
      <c r="B2286" s="12"/>
      <c r="C2286" s="71" t="s">
        <v>3367</v>
      </c>
      <c r="D2286" s="71" t="s">
        <v>214</v>
      </c>
      <c r="E2286" s="72" t="s">
        <v>3368</v>
      </c>
      <c r="F2286" s="73" t="s">
        <v>3369</v>
      </c>
      <c r="G2286" s="74" t="s">
        <v>431</v>
      </c>
      <c r="H2286" s="75">
        <v>8</v>
      </c>
      <c r="I2286" s="90">
        <v>621</v>
      </c>
      <c r="J2286" s="91">
        <f t="shared" si="30"/>
        <v>4968</v>
      </c>
      <c r="K2286" s="92"/>
      <c r="L2286" s="12"/>
      <c r="M2286" s="93" t="s">
        <v>1</v>
      </c>
      <c r="N2286" s="94" t="s">
        <v>42</v>
      </c>
      <c r="P2286" s="95">
        <f t="shared" si="31"/>
        <v>0</v>
      </c>
      <c r="Q2286" s="95">
        <v>0</v>
      </c>
      <c r="R2286" s="95">
        <f t="shared" si="32"/>
        <v>0</v>
      </c>
      <c r="S2286" s="95">
        <v>0</v>
      </c>
      <c r="T2286" s="99">
        <f t="shared" si="33"/>
        <v>0</v>
      </c>
      <c r="AR2286" s="101" t="s">
        <v>218</v>
      </c>
      <c r="AT2286" s="101" t="s">
        <v>214</v>
      </c>
      <c r="AU2286" s="101" t="s">
        <v>87</v>
      </c>
      <c r="AY2286" s="23" t="s">
        <v>211</v>
      </c>
      <c r="BE2286" s="104">
        <f t="shared" si="34"/>
        <v>4968</v>
      </c>
      <c r="BF2286" s="104">
        <f t="shared" si="35"/>
        <v>0</v>
      </c>
      <c r="BG2286" s="104">
        <f t="shared" si="36"/>
        <v>0</v>
      </c>
      <c r="BH2286" s="104">
        <f t="shared" si="37"/>
        <v>0</v>
      </c>
      <c r="BI2286" s="104">
        <f t="shared" si="38"/>
        <v>0</v>
      </c>
      <c r="BJ2286" s="23" t="s">
        <v>85</v>
      </c>
      <c r="BK2286" s="104">
        <f t="shared" si="39"/>
        <v>4968</v>
      </c>
      <c r="BL2286" s="23" t="s">
        <v>218</v>
      </c>
      <c r="BM2286" s="101" t="s">
        <v>3370</v>
      </c>
    </row>
    <row r="2287" spans="2:65" s="1" customFormat="1" ht="24.15" customHeight="1">
      <c r="B2287" s="12"/>
      <c r="C2287" s="71" t="s">
        <v>3371</v>
      </c>
      <c r="D2287" s="71" t="s">
        <v>214</v>
      </c>
      <c r="E2287" s="72" t="s">
        <v>3372</v>
      </c>
      <c r="F2287" s="73" t="s">
        <v>3373</v>
      </c>
      <c r="G2287" s="74" t="s">
        <v>431</v>
      </c>
      <c r="H2287" s="75">
        <v>420</v>
      </c>
      <c r="I2287" s="90">
        <v>106</v>
      </c>
      <c r="J2287" s="91">
        <f t="shared" si="30"/>
        <v>44520</v>
      </c>
      <c r="K2287" s="92"/>
      <c r="L2287" s="12"/>
      <c r="M2287" s="93" t="s">
        <v>1</v>
      </c>
      <c r="N2287" s="94" t="s">
        <v>42</v>
      </c>
      <c r="P2287" s="95">
        <f t="shared" si="31"/>
        <v>0</v>
      </c>
      <c r="Q2287" s="95">
        <v>0</v>
      </c>
      <c r="R2287" s="95">
        <f t="shared" si="32"/>
        <v>0</v>
      </c>
      <c r="S2287" s="95">
        <v>0</v>
      </c>
      <c r="T2287" s="99">
        <f t="shared" si="33"/>
        <v>0</v>
      </c>
      <c r="AR2287" s="101" t="s">
        <v>218</v>
      </c>
      <c r="AT2287" s="101" t="s">
        <v>214</v>
      </c>
      <c r="AU2287" s="101" t="s">
        <v>87</v>
      </c>
      <c r="AY2287" s="23" t="s">
        <v>211</v>
      </c>
      <c r="BE2287" s="104">
        <f t="shared" si="34"/>
        <v>44520</v>
      </c>
      <c r="BF2287" s="104">
        <f t="shared" si="35"/>
        <v>0</v>
      </c>
      <c r="BG2287" s="104">
        <f t="shared" si="36"/>
        <v>0</v>
      </c>
      <c r="BH2287" s="104">
        <f t="shared" si="37"/>
        <v>0</v>
      </c>
      <c r="BI2287" s="104">
        <f t="shared" si="38"/>
        <v>0</v>
      </c>
      <c r="BJ2287" s="23" t="s">
        <v>85</v>
      </c>
      <c r="BK2287" s="104">
        <f t="shared" si="39"/>
        <v>44520</v>
      </c>
      <c r="BL2287" s="23" t="s">
        <v>218</v>
      </c>
      <c r="BM2287" s="101" t="s">
        <v>3374</v>
      </c>
    </row>
    <row r="2288" spans="2:65" s="1" customFormat="1" ht="38.1" customHeight="1">
      <c r="B2288" s="12"/>
      <c r="C2288" s="71" t="s">
        <v>3375</v>
      </c>
      <c r="D2288" s="71" t="s">
        <v>214</v>
      </c>
      <c r="E2288" s="72" t="s">
        <v>3376</v>
      </c>
      <c r="F2288" s="73" t="s">
        <v>3377</v>
      </c>
      <c r="G2288" s="74" t="s">
        <v>431</v>
      </c>
      <c r="H2288" s="75">
        <v>20.614999999999998</v>
      </c>
      <c r="I2288" s="90">
        <v>1328</v>
      </c>
      <c r="J2288" s="91">
        <f t="shared" si="30"/>
        <v>27376.720000000001</v>
      </c>
      <c r="K2288" s="92"/>
      <c r="L2288" s="12"/>
      <c r="M2288" s="93" t="s">
        <v>1</v>
      </c>
      <c r="N2288" s="94" t="s">
        <v>42</v>
      </c>
      <c r="P2288" s="95">
        <f t="shared" si="31"/>
        <v>0</v>
      </c>
      <c r="Q2288" s="95">
        <v>0</v>
      </c>
      <c r="R2288" s="95">
        <f t="shared" si="32"/>
        <v>0</v>
      </c>
      <c r="S2288" s="95">
        <v>0</v>
      </c>
      <c r="T2288" s="99">
        <f t="shared" si="33"/>
        <v>0</v>
      </c>
      <c r="AR2288" s="101" t="s">
        <v>218</v>
      </c>
      <c r="AT2288" s="101" t="s">
        <v>214</v>
      </c>
      <c r="AU2288" s="101" t="s">
        <v>87</v>
      </c>
      <c r="AY2288" s="23" t="s">
        <v>211</v>
      </c>
      <c r="BE2288" s="104">
        <f t="shared" si="34"/>
        <v>27376.720000000001</v>
      </c>
      <c r="BF2288" s="104">
        <f t="shared" si="35"/>
        <v>0</v>
      </c>
      <c r="BG2288" s="104">
        <f t="shared" si="36"/>
        <v>0</v>
      </c>
      <c r="BH2288" s="104">
        <f t="shared" si="37"/>
        <v>0</v>
      </c>
      <c r="BI2288" s="104">
        <f t="shared" si="38"/>
        <v>0</v>
      </c>
      <c r="BJ2288" s="23" t="s">
        <v>85</v>
      </c>
      <c r="BK2288" s="104">
        <f t="shared" si="39"/>
        <v>27376.720000000001</v>
      </c>
      <c r="BL2288" s="23" t="s">
        <v>218</v>
      </c>
      <c r="BM2288" s="101" t="s">
        <v>3378</v>
      </c>
    </row>
    <row r="2289" spans="2:65" s="1" customFormat="1" ht="38.1" customHeight="1">
      <c r="B2289" s="12"/>
      <c r="C2289" s="71" t="s">
        <v>3379</v>
      </c>
      <c r="D2289" s="71" t="s">
        <v>214</v>
      </c>
      <c r="E2289" s="72" t="s">
        <v>3380</v>
      </c>
      <c r="F2289" s="73" t="s">
        <v>3381</v>
      </c>
      <c r="G2289" s="74" t="s">
        <v>431</v>
      </c>
      <c r="H2289" s="75">
        <v>20.8</v>
      </c>
      <c r="I2289" s="90">
        <v>1320</v>
      </c>
      <c r="J2289" s="91">
        <f t="shared" si="30"/>
        <v>27456</v>
      </c>
      <c r="K2289" s="92"/>
      <c r="L2289" s="12"/>
      <c r="M2289" s="93" t="s">
        <v>1</v>
      </c>
      <c r="N2289" s="94" t="s">
        <v>42</v>
      </c>
      <c r="P2289" s="95">
        <f t="shared" si="31"/>
        <v>0</v>
      </c>
      <c r="Q2289" s="95">
        <v>0</v>
      </c>
      <c r="R2289" s="95">
        <f t="shared" si="32"/>
        <v>0</v>
      </c>
      <c r="S2289" s="95">
        <v>0</v>
      </c>
      <c r="T2289" s="99">
        <f t="shared" si="33"/>
        <v>0</v>
      </c>
      <c r="AR2289" s="101" t="s">
        <v>218</v>
      </c>
      <c r="AT2289" s="101" t="s">
        <v>214</v>
      </c>
      <c r="AU2289" s="101" t="s">
        <v>87</v>
      </c>
      <c r="AY2289" s="23" t="s">
        <v>211</v>
      </c>
      <c r="BE2289" s="104">
        <f t="shared" si="34"/>
        <v>27456</v>
      </c>
      <c r="BF2289" s="104">
        <f t="shared" si="35"/>
        <v>0</v>
      </c>
      <c r="BG2289" s="104">
        <f t="shared" si="36"/>
        <v>0</v>
      </c>
      <c r="BH2289" s="104">
        <f t="shared" si="37"/>
        <v>0</v>
      </c>
      <c r="BI2289" s="104">
        <f t="shared" si="38"/>
        <v>0</v>
      </c>
      <c r="BJ2289" s="23" t="s">
        <v>85</v>
      </c>
      <c r="BK2289" s="104">
        <f t="shared" si="39"/>
        <v>27456</v>
      </c>
      <c r="BL2289" s="23" t="s">
        <v>218</v>
      </c>
      <c r="BM2289" s="101" t="s">
        <v>3382</v>
      </c>
    </row>
    <row r="2290" spans="2:65" s="1" customFormat="1" ht="33" customHeight="1">
      <c r="B2290" s="12"/>
      <c r="C2290" s="71" t="s">
        <v>3383</v>
      </c>
      <c r="D2290" s="71" t="s">
        <v>214</v>
      </c>
      <c r="E2290" s="72" t="s">
        <v>3384</v>
      </c>
      <c r="F2290" s="73" t="s">
        <v>3385</v>
      </c>
      <c r="G2290" s="74" t="s">
        <v>431</v>
      </c>
      <c r="H2290" s="75">
        <v>63.814</v>
      </c>
      <c r="I2290" s="90">
        <v>1211</v>
      </c>
      <c r="J2290" s="91">
        <f t="shared" si="30"/>
        <v>77278.75</v>
      </c>
      <c r="K2290" s="92"/>
      <c r="L2290" s="12"/>
      <c r="M2290" s="93" t="s">
        <v>1</v>
      </c>
      <c r="N2290" s="94" t="s">
        <v>42</v>
      </c>
      <c r="P2290" s="95">
        <f t="shared" si="31"/>
        <v>0</v>
      </c>
      <c r="Q2290" s="95">
        <v>0</v>
      </c>
      <c r="R2290" s="95">
        <f t="shared" si="32"/>
        <v>0</v>
      </c>
      <c r="S2290" s="95">
        <v>0</v>
      </c>
      <c r="T2290" s="99">
        <f t="shared" si="33"/>
        <v>0</v>
      </c>
      <c r="AR2290" s="101" t="s">
        <v>218</v>
      </c>
      <c r="AT2290" s="101" t="s">
        <v>214</v>
      </c>
      <c r="AU2290" s="101" t="s">
        <v>87</v>
      </c>
      <c r="AY2290" s="23" t="s">
        <v>211</v>
      </c>
      <c r="BE2290" s="104">
        <f t="shared" si="34"/>
        <v>77278.75</v>
      </c>
      <c r="BF2290" s="104">
        <f t="shared" si="35"/>
        <v>0</v>
      </c>
      <c r="BG2290" s="104">
        <f t="shared" si="36"/>
        <v>0</v>
      </c>
      <c r="BH2290" s="104">
        <f t="shared" si="37"/>
        <v>0</v>
      </c>
      <c r="BI2290" s="104">
        <f t="shared" si="38"/>
        <v>0</v>
      </c>
      <c r="BJ2290" s="23" t="s">
        <v>85</v>
      </c>
      <c r="BK2290" s="104">
        <f t="shared" si="39"/>
        <v>77278.75</v>
      </c>
      <c r="BL2290" s="23" t="s">
        <v>218</v>
      </c>
      <c r="BM2290" s="101" t="s">
        <v>3386</v>
      </c>
    </row>
    <row r="2291" spans="2:65" s="1" customFormat="1" ht="33" customHeight="1">
      <c r="B2291" s="12"/>
      <c r="C2291" s="71" t="s">
        <v>3387</v>
      </c>
      <c r="D2291" s="71" t="s">
        <v>214</v>
      </c>
      <c r="E2291" s="72" t="s">
        <v>3388</v>
      </c>
      <c r="F2291" s="73" t="s">
        <v>3389</v>
      </c>
      <c r="G2291" s="74" t="s">
        <v>431</v>
      </c>
      <c r="H2291" s="75">
        <v>49.921999999999997</v>
      </c>
      <c r="I2291" s="90">
        <v>256</v>
      </c>
      <c r="J2291" s="91">
        <f t="shared" si="30"/>
        <v>12780.03</v>
      </c>
      <c r="K2291" s="92"/>
      <c r="L2291" s="12"/>
      <c r="M2291" s="93" t="s">
        <v>1</v>
      </c>
      <c r="N2291" s="94" t="s">
        <v>42</v>
      </c>
      <c r="P2291" s="95">
        <f t="shared" si="31"/>
        <v>0</v>
      </c>
      <c r="Q2291" s="95">
        <v>0</v>
      </c>
      <c r="R2291" s="95">
        <f t="shared" si="32"/>
        <v>0</v>
      </c>
      <c r="S2291" s="95">
        <v>0</v>
      </c>
      <c r="T2291" s="99">
        <f t="shared" si="33"/>
        <v>0</v>
      </c>
      <c r="AR2291" s="101" t="s">
        <v>218</v>
      </c>
      <c r="AT2291" s="101" t="s">
        <v>214</v>
      </c>
      <c r="AU2291" s="101" t="s">
        <v>87</v>
      </c>
      <c r="AY2291" s="23" t="s">
        <v>211</v>
      </c>
      <c r="BE2291" s="104">
        <f t="shared" si="34"/>
        <v>12780.03</v>
      </c>
      <c r="BF2291" s="104">
        <f t="shared" si="35"/>
        <v>0</v>
      </c>
      <c r="BG2291" s="104">
        <f t="shared" si="36"/>
        <v>0</v>
      </c>
      <c r="BH2291" s="104">
        <f t="shared" si="37"/>
        <v>0</v>
      </c>
      <c r="BI2291" s="104">
        <f t="shared" si="38"/>
        <v>0</v>
      </c>
      <c r="BJ2291" s="23" t="s">
        <v>85</v>
      </c>
      <c r="BK2291" s="104">
        <f t="shared" si="39"/>
        <v>12780.03</v>
      </c>
      <c r="BL2291" s="23" t="s">
        <v>218</v>
      </c>
      <c r="BM2291" s="101" t="s">
        <v>3390</v>
      </c>
    </row>
    <row r="2292" spans="2:65" s="1" customFormat="1" ht="44.25" customHeight="1">
      <c r="B2292" s="12"/>
      <c r="C2292" s="71" t="s">
        <v>3391</v>
      </c>
      <c r="D2292" s="71" t="s">
        <v>214</v>
      </c>
      <c r="E2292" s="72" t="s">
        <v>3392</v>
      </c>
      <c r="F2292" s="73" t="s">
        <v>3393</v>
      </c>
      <c r="G2292" s="74" t="s">
        <v>431</v>
      </c>
      <c r="H2292" s="75">
        <v>46.88</v>
      </c>
      <c r="I2292" s="90">
        <v>655</v>
      </c>
      <c r="J2292" s="91">
        <f t="shared" si="30"/>
        <v>30706.400000000001</v>
      </c>
      <c r="K2292" s="92"/>
      <c r="L2292" s="12"/>
      <c r="M2292" s="93" t="s">
        <v>1</v>
      </c>
      <c r="N2292" s="94" t="s">
        <v>42</v>
      </c>
      <c r="P2292" s="95">
        <f t="shared" si="31"/>
        <v>0</v>
      </c>
      <c r="Q2292" s="95">
        <v>0</v>
      </c>
      <c r="R2292" s="95">
        <f t="shared" si="32"/>
        <v>0</v>
      </c>
      <c r="S2292" s="95">
        <v>0</v>
      </c>
      <c r="T2292" s="99">
        <f t="shared" si="33"/>
        <v>0</v>
      </c>
      <c r="AR2292" s="101" t="s">
        <v>218</v>
      </c>
      <c r="AT2292" s="101" t="s">
        <v>214</v>
      </c>
      <c r="AU2292" s="101" t="s">
        <v>87</v>
      </c>
      <c r="AY2292" s="23" t="s">
        <v>211</v>
      </c>
      <c r="BE2292" s="104">
        <f t="shared" si="34"/>
        <v>30706.400000000001</v>
      </c>
      <c r="BF2292" s="104">
        <f t="shared" si="35"/>
        <v>0</v>
      </c>
      <c r="BG2292" s="104">
        <f t="shared" si="36"/>
        <v>0</v>
      </c>
      <c r="BH2292" s="104">
        <f t="shared" si="37"/>
        <v>0</v>
      </c>
      <c r="BI2292" s="104">
        <f t="shared" si="38"/>
        <v>0</v>
      </c>
      <c r="BJ2292" s="23" t="s">
        <v>85</v>
      </c>
      <c r="BK2292" s="104">
        <f t="shared" si="39"/>
        <v>30706.400000000001</v>
      </c>
      <c r="BL2292" s="23" t="s">
        <v>218</v>
      </c>
      <c r="BM2292" s="101" t="s">
        <v>3394</v>
      </c>
    </row>
    <row r="2293" spans="2:65" s="1" customFormat="1" ht="38.1" customHeight="1">
      <c r="B2293" s="12"/>
      <c r="C2293" s="71" t="s">
        <v>3395</v>
      </c>
      <c r="D2293" s="71" t="s">
        <v>214</v>
      </c>
      <c r="E2293" s="72" t="s">
        <v>3396</v>
      </c>
      <c r="F2293" s="73" t="s">
        <v>3397</v>
      </c>
      <c r="G2293" s="74" t="s">
        <v>431</v>
      </c>
      <c r="H2293" s="75">
        <v>46.88</v>
      </c>
      <c r="I2293" s="90">
        <v>99</v>
      </c>
      <c r="J2293" s="91">
        <f t="shared" si="30"/>
        <v>4641.12</v>
      </c>
      <c r="K2293" s="92"/>
      <c r="L2293" s="12"/>
      <c r="M2293" s="93" t="s">
        <v>1</v>
      </c>
      <c r="N2293" s="94" t="s">
        <v>42</v>
      </c>
      <c r="P2293" s="95">
        <f t="shared" si="31"/>
        <v>0</v>
      </c>
      <c r="Q2293" s="95">
        <v>0</v>
      </c>
      <c r="R2293" s="95">
        <f t="shared" si="32"/>
        <v>0</v>
      </c>
      <c r="S2293" s="95">
        <v>0</v>
      </c>
      <c r="T2293" s="99">
        <f t="shared" si="33"/>
        <v>0</v>
      </c>
      <c r="AR2293" s="101" t="s">
        <v>218</v>
      </c>
      <c r="AT2293" s="101" t="s">
        <v>214</v>
      </c>
      <c r="AU2293" s="101" t="s">
        <v>87</v>
      </c>
      <c r="AY2293" s="23" t="s">
        <v>211</v>
      </c>
      <c r="BE2293" s="104">
        <f t="shared" si="34"/>
        <v>4641.12</v>
      </c>
      <c r="BF2293" s="104">
        <f t="shared" si="35"/>
        <v>0</v>
      </c>
      <c r="BG2293" s="104">
        <f t="shared" si="36"/>
        <v>0</v>
      </c>
      <c r="BH2293" s="104">
        <f t="shared" si="37"/>
        <v>0</v>
      </c>
      <c r="BI2293" s="104">
        <f t="shared" si="38"/>
        <v>0</v>
      </c>
      <c r="BJ2293" s="23" t="s">
        <v>85</v>
      </c>
      <c r="BK2293" s="104">
        <f t="shared" si="39"/>
        <v>4641.12</v>
      </c>
      <c r="BL2293" s="23" t="s">
        <v>218</v>
      </c>
      <c r="BM2293" s="101" t="s">
        <v>3398</v>
      </c>
    </row>
    <row r="2294" spans="2:65" s="1" customFormat="1" ht="24.15" customHeight="1">
      <c r="B2294" s="12"/>
      <c r="C2294" s="71" t="s">
        <v>3399</v>
      </c>
      <c r="D2294" s="71" t="s">
        <v>214</v>
      </c>
      <c r="E2294" s="72" t="s">
        <v>3400</v>
      </c>
      <c r="F2294" s="73" t="s">
        <v>3401</v>
      </c>
      <c r="G2294" s="74" t="s">
        <v>2866</v>
      </c>
      <c r="H2294" s="163">
        <f>SUM(J2271:K2293)/100</f>
        <v>4979.5210999999999</v>
      </c>
      <c r="I2294" s="90">
        <v>1.57</v>
      </c>
      <c r="J2294" s="91">
        <f t="shared" si="30"/>
        <v>7817.85</v>
      </c>
      <c r="K2294" s="92"/>
      <c r="L2294" s="12"/>
      <c r="M2294" s="93" t="s">
        <v>1</v>
      </c>
      <c r="N2294" s="94" t="s">
        <v>42</v>
      </c>
      <c r="P2294" s="95">
        <f t="shared" si="31"/>
        <v>0</v>
      </c>
      <c r="Q2294" s="95">
        <v>0</v>
      </c>
      <c r="R2294" s="95">
        <f t="shared" si="32"/>
        <v>0</v>
      </c>
      <c r="S2294" s="95">
        <v>0</v>
      </c>
      <c r="T2294" s="99">
        <f t="shared" si="33"/>
        <v>0</v>
      </c>
      <c r="AR2294" s="101" t="s">
        <v>446</v>
      </c>
      <c r="AT2294" s="101" t="s">
        <v>214</v>
      </c>
      <c r="AU2294" s="101" t="s">
        <v>87</v>
      </c>
      <c r="AY2294" s="23" t="s">
        <v>211</v>
      </c>
      <c r="BE2294" s="104">
        <f t="shared" si="34"/>
        <v>7817.85</v>
      </c>
      <c r="BF2294" s="104">
        <f t="shared" si="35"/>
        <v>0</v>
      </c>
      <c r="BG2294" s="104">
        <f t="shared" si="36"/>
        <v>0</v>
      </c>
      <c r="BH2294" s="104">
        <f t="shared" si="37"/>
        <v>0</v>
      </c>
      <c r="BI2294" s="104">
        <f t="shared" si="38"/>
        <v>0</v>
      </c>
      <c r="BJ2294" s="23" t="s">
        <v>85</v>
      </c>
      <c r="BK2294" s="104">
        <f t="shared" si="39"/>
        <v>7817.85</v>
      </c>
      <c r="BL2294" s="23" t="s">
        <v>446</v>
      </c>
      <c r="BM2294" s="101" t="s">
        <v>3402</v>
      </c>
    </row>
    <row r="2295" spans="2:65" s="31" customFormat="1" ht="23.1" customHeight="1">
      <c r="B2295" s="67"/>
      <c r="D2295" s="68" t="s">
        <v>76</v>
      </c>
      <c r="E2295" s="70" t="s">
        <v>3403</v>
      </c>
      <c r="F2295" s="70" t="s">
        <v>3404</v>
      </c>
      <c r="I2295" s="85"/>
      <c r="J2295" s="89">
        <f>BK2295</f>
        <v>3110699.26</v>
      </c>
      <c r="L2295" s="67"/>
      <c r="M2295" s="87"/>
      <c r="P2295" s="88">
        <f>SUM(P2296:P2318)</f>
        <v>0</v>
      </c>
      <c r="R2295" s="88">
        <f>SUM(R2296:R2318)</f>
        <v>5.0498374999999998</v>
      </c>
      <c r="T2295" s="98">
        <f>SUM(T2296:T2318)</f>
        <v>0</v>
      </c>
      <c r="AR2295" s="68" t="s">
        <v>87</v>
      </c>
      <c r="AT2295" s="100" t="s">
        <v>76</v>
      </c>
      <c r="AU2295" s="100" t="s">
        <v>85</v>
      </c>
      <c r="AY2295" s="68" t="s">
        <v>211</v>
      </c>
      <c r="BK2295" s="103">
        <f>SUM(BK2296:BK2318)</f>
        <v>3110699.26</v>
      </c>
    </row>
    <row r="2296" spans="2:65" s="1" customFormat="1" ht="24.15" customHeight="1">
      <c r="B2296" s="12"/>
      <c r="C2296" s="71" t="s">
        <v>3405</v>
      </c>
      <c r="D2296" s="71" t="s">
        <v>214</v>
      </c>
      <c r="E2296" s="72" t="s">
        <v>3406</v>
      </c>
      <c r="F2296" s="73" t="s">
        <v>3407</v>
      </c>
      <c r="G2296" s="74" t="s">
        <v>279</v>
      </c>
      <c r="H2296" s="75">
        <v>1590.5</v>
      </c>
      <c r="I2296" s="90">
        <v>43.2</v>
      </c>
      <c r="J2296" s="91">
        <f>ROUND(I2296*H2296,2)</f>
        <v>68709.600000000006</v>
      </c>
      <c r="K2296" s="92"/>
      <c r="L2296" s="12"/>
      <c r="M2296" s="93" t="s">
        <v>1</v>
      </c>
      <c r="N2296" s="94" t="s">
        <v>42</v>
      </c>
      <c r="P2296" s="95">
        <f>O2296*H2296</f>
        <v>0</v>
      </c>
      <c r="Q2296" s="95">
        <v>0</v>
      </c>
      <c r="R2296" s="95">
        <f>Q2296*H2296</f>
        <v>0</v>
      </c>
      <c r="S2296" s="95">
        <v>0</v>
      </c>
      <c r="T2296" s="99">
        <f>S2296*H2296</f>
        <v>0</v>
      </c>
      <c r="AR2296" s="101" t="s">
        <v>446</v>
      </c>
      <c r="AT2296" s="101" t="s">
        <v>214</v>
      </c>
      <c r="AU2296" s="101" t="s">
        <v>87</v>
      </c>
      <c r="AY2296" s="23" t="s">
        <v>211</v>
      </c>
      <c r="BE2296" s="104">
        <f>IF(N2296="základní",J2296,0)</f>
        <v>68709.600000000006</v>
      </c>
      <c r="BF2296" s="104">
        <f>IF(N2296="snížená",J2296,0)</f>
        <v>0</v>
      </c>
      <c r="BG2296" s="104">
        <f>IF(N2296="zákl. přenesená",J2296,0)</f>
        <v>0</v>
      </c>
      <c r="BH2296" s="104">
        <f>IF(N2296="sníž. přenesená",J2296,0)</f>
        <v>0</v>
      </c>
      <c r="BI2296" s="104">
        <f>IF(N2296="nulová",J2296,0)</f>
        <v>0</v>
      </c>
      <c r="BJ2296" s="23" t="s">
        <v>85</v>
      </c>
      <c r="BK2296" s="104">
        <f>ROUND(I2296*H2296,2)</f>
        <v>68709.600000000006</v>
      </c>
      <c r="BL2296" s="23" t="s">
        <v>446</v>
      </c>
      <c r="BM2296" s="101" t="s">
        <v>3408</v>
      </c>
    </row>
    <row r="2297" spans="2:65" s="113" customFormat="1">
      <c r="B2297" s="119"/>
      <c r="D2297" s="105" t="s">
        <v>365</v>
      </c>
      <c r="E2297" s="135" t="s">
        <v>1</v>
      </c>
      <c r="F2297" s="120" t="s">
        <v>3409</v>
      </c>
      <c r="H2297" s="121">
        <v>1590.5</v>
      </c>
      <c r="I2297" s="128"/>
      <c r="L2297" s="119"/>
      <c r="M2297" s="129"/>
      <c r="T2297" s="133"/>
      <c r="AT2297" s="135" t="s">
        <v>365</v>
      </c>
      <c r="AU2297" s="135" t="s">
        <v>87</v>
      </c>
      <c r="AV2297" s="113" t="s">
        <v>87</v>
      </c>
      <c r="AW2297" s="113" t="s">
        <v>33</v>
      </c>
      <c r="AX2297" s="113" t="s">
        <v>77</v>
      </c>
      <c r="AY2297" s="135" t="s">
        <v>211</v>
      </c>
    </row>
    <row r="2298" spans="2:65" s="137" customFormat="1">
      <c r="B2298" s="141"/>
      <c r="D2298" s="105" t="s">
        <v>365</v>
      </c>
      <c r="E2298" s="142" t="s">
        <v>1</v>
      </c>
      <c r="F2298" s="143" t="s">
        <v>368</v>
      </c>
      <c r="H2298" s="144">
        <v>1590.5</v>
      </c>
      <c r="I2298" s="148"/>
      <c r="L2298" s="141"/>
      <c r="M2298" s="149"/>
      <c r="T2298" s="151"/>
      <c r="AT2298" s="142" t="s">
        <v>365</v>
      </c>
      <c r="AU2298" s="142" t="s">
        <v>87</v>
      </c>
      <c r="AV2298" s="137" t="s">
        <v>218</v>
      </c>
      <c r="AW2298" s="137" t="s">
        <v>33</v>
      </c>
      <c r="AX2298" s="137" t="s">
        <v>85</v>
      </c>
      <c r="AY2298" s="142" t="s">
        <v>211</v>
      </c>
    </row>
    <row r="2299" spans="2:65" s="1" customFormat="1" ht="44.25" customHeight="1">
      <c r="B2299" s="12"/>
      <c r="C2299" s="114" t="s">
        <v>3410</v>
      </c>
      <c r="D2299" s="114" t="s">
        <v>438</v>
      </c>
      <c r="E2299" s="115" t="s">
        <v>3411</v>
      </c>
      <c r="F2299" s="116" t="s">
        <v>3412</v>
      </c>
      <c r="G2299" s="117" t="s">
        <v>279</v>
      </c>
      <c r="H2299" s="118">
        <v>1749.55</v>
      </c>
      <c r="I2299" s="122">
        <v>140</v>
      </c>
      <c r="J2299" s="123">
        <f>ROUND(I2299*H2299,2)</f>
        <v>244937</v>
      </c>
      <c r="K2299" s="124"/>
      <c r="L2299" s="125"/>
      <c r="M2299" s="126" t="s">
        <v>1</v>
      </c>
      <c r="N2299" s="127" t="s">
        <v>42</v>
      </c>
      <c r="P2299" s="95">
        <f>O2299*H2299</f>
        <v>0</v>
      </c>
      <c r="Q2299" s="95">
        <v>2.5000000000000001E-4</v>
      </c>
      <c r="R2299" s="95">
        <f>Q2299*H2299</f>
        <v>0.43738749999999998</v>
      </c>
      <c r="S2299" s="95">
        <v>0</v>
      </c>
      <c r="T2299" s="99">
        <f>S2299*H2299</f>
        <v>0</v>
      </c>
      <c r="AR2299" s="101" t="s">
        <v>527</v>
      </c>
      <c r="AT2299" s="101" t="s">
        <v>438</v>
      </c>
      <c r="AU2299" s="101" t="s">
        <v>87</v>
      </c>
      <c r="AY2299" s="23" t="s">
        <v>211</v>
      </c>
      <c r="BE2299" s="104">
        <f>IF(N2299="základní",J2299,0)</f>
        <v>244937</v>
      </c>
      <c r="BF2299" s="104">
        <f>IF(N2299="snížená",J2299,0)</f>
        <v>0</v>
      </c>
      <c r="BG2299" s="104">
        <f>IF(N2299="zákl. přenesená",J2299,0)</f>
        <v>0</v>
      </c>
      <c r="BH2299" s="104">
        <f>IF(N2299="sníž. přenesená",J2299,0)</f>
        <v>0</v>
      </c>
      <c r="BI2299" s="104">
        <f>IF(N2299="nulová",J2299,0)</f>
        <v>0</v>
      </c>
      <c r="BJ2299" s="23" t="s">
        <v>85</v>
      </c>
      <c r="BK2299" s="104">
        <f>ROUND(I2299*H2299,2)</f>
        <v>244937</v>
      </c>
      <c r="BL2299" s="23" t="s">
        <v>446</v>
      </c>
      <c r="BM2299" s="101" t="s">
        <v>3413</v>
      </c>
    </row>
    <row r="2300" spans="2:65" s="113" customFormat="1">
      <c r="B2300" s="119"/>
      <c r="D2300" s="105" t="s">
        <v>365</v>
      </c>
      <c r="F2300" s="120" t="s">
        <v>3414</v>
      </c>
      <c r="H2300" s="121">
        <v>1749.55</v>
      </c>
      <c r="I2300" s="128"/>
      <c r="L2300" s="119"/>
      <c r="M2300" s="129"/>
      <c r="T2300" s="133"/>
      <c r="AT2300" s="135" t="s">
        <v>365</v>
      </c>
      <c r="AU2300" s="135" t="s">
        <v>87</v>
      </c>
      <c r="AV2300" s="113" t="s">
        <v>87</v>
      </c>
      <c r="AW2300" s="113" t="s">
        <v>4</v>
      </c>
      <c r="AX2300" s="113" t="s">
        <v>85</v>
      </c>
      <c r="AY2300" s="135" t="s">
        <v>211</v>
      </c>
    </row>
    <row r="2301" spans="2:65" s="1" customFormat="1" ht="24.15" customHeight="1">
      <c r="B2301" s="12"/>
      <c r="C2301" s="71" t="s">
        <v>3415</v>
      </c>
      <c r="D2301" s="71" t="s">
        <v>214</v>
      </c>
      <c r="E2301" s="72" t="s">
        <v>3416</v>
      </c>
      <c r="F2301" s="73" t="s">
        <v>3417</v>
      </c>
      <c r="G2301" s="74" t="s">
        <v>279</v>
      </c>
      <c r="H2301" s="75">
        <v>730.85</v>
      </c>
      <c r="I2301" s="90">
        <v>455</v>
      </c>
      <c r="J2301" s="91">
        <f>ROUND(I2301*H2301,2)</f>
        <v>332536.75</v>
      </c>
      <c r="K2301" s="92"/>
      <c r="L2301" s="12"/>
      <c r="M2301" s="93" t="s">
        <v>1</v>
      </c>
      <c r="N2301" s="94" t="s">
        <v>42</v>
      </c>
      <c r="P2301" s="95">
        <f>O2301*H2301</f>
        <v>0</v>
      </c>
      <c r="Q2301" s="95">
        <v>0</v>
      </c>
      <c r="R2301" s="95">
        <f>Q2301*H2301</f>
        <v>0</v>
      </c>
      <c r="S2301" s="95">
        <v>0</v>
      </c>
      <c r="T2301" s="99">
        <f>S2301*H2301</f>
        <v>0</v>
      </c>
      <c r="AR2301" s="101" t="s">
        <v>446</v>
      </c>
      <c r="AT2301" s="101" t="s">
        <v>214</v>
      </c>
      <c r="AU2301" s="101" t="s">
        <v>87</v>
      </c>
      <c r="AY2301" s="23" t="s">
        <v>211</v>
      </c>
      <c r="BE2301" s="104">
        <f>IF(N2301="základní",J2301,0)</f>
        <v>332536.75</v>
      </c>
      <c r="BF2301" s="104">
        <f>IF(N2301="snížená",J2301,0)</f>
        <v>0</v>
      </c>
      <c r="BG2301" s="104">
        <f>IF(N2301="zákl. přenesená",J2301,0)</f>
        <v>0</v>
      </c>
      <c r="BH2301" s="104">
        <f>IF(N2301="sníž. přenesená",J2301,0)</f>
        <v>0</v>
      </c>
      <c r="BI2301" s="104">
        <f>IF(N2301="nulová",J2301,0)</f>
        <v>0</v>
      </c>
      <c r="BJ2301" s="23" t="s">
        <v>85</v>
      </c>
      <c r="BK2301" s="104">
        <f>ROUND(I2301*H2301,2)</f>
        <v>332536.75</v>
      </c>
      <c r="BL2301" s="23" t="s">
        <v>446</v>
      </c>
      <c r="BM2301" s="101" t="s">
        <v>3418</v>
      </c>
    </row>
    <row r="2302" spans="2:65" s="1" customFormat="1" ht="76.8">
      <c r="B2302" s="12"/>
      <c r="D2302" s="105" t="s">
        <v>227</v>
      </c>
      <c r="F2302" s="106" t="s">
        <v>3419</v>
      </c>
      <c r="I2302" s="107"/>
      <c r="L2302" s="12"/>
      <c r="M2302" s="108"/>
      <c r="T2302" s="111"/>
      <c r="AT2302" s="23" t="s">
        <v>227</v>
      </c>
      <c r="AU2302" s="23" t="s">
        <v>87</v>
      </c>
    </row>
    <row r="2303" spans="2:65" s="136" customFormat="1">
      <c r="B2303" s="138"/>
      <c r="D2303" s="105" t="s">
        <v>365</v>
      </c>
      <c r="E2303" s="139" t="s">
        <v>1</v>
      </c>
      <c r="F2303" s="140" t="s">
        <v>3420</v>
      </c>
      <c r="H2303" s="139" t="s">
        <v>1</v>
      </c>
      <c r="I2303" s="146"/>
      <c r="L2303" s="138"/>
      <c r="M2303" s="147"/>
      <c r="T2303" s="150"/>
      <c r="AT2303" s="139" t="s">
        <v>365</v>
      </c>
      <c r="AU2303" s="139" t="s">
        <v>87</v>
      </c>
      <c r="AV2303" s="136" t="s">
        <v>85</v>
      </c>
      <c r="AW2303" s="136" t="s">
        <v>33</v>
      </c>
      <c r="AX2303" s="136" t="s">
        <v>77</v>
      </c>
      <c r="AY2303" s="139" t="s">
        <v>211</v>
      </c>
    </row>
    <row r="2304" spans="2:65" s="113" customFormat="1">
      <c r="B2304" s="119"/>
      <c r="D2304" s="105" t="s">
        <v>365</v>
      </c>
      <c r="E2304" s="135" t="s">
        <v>1</v>
      </c>
      <c r="F2304" s="120" t="s">
        <v>3421</v>
      </c>
      <c r="H2304" s="121">
        <v>164.78</v>
      </c>
      <c r="I2304" s="128"/>
      <c r="L2304" s="119"/>
      <c r="M2304" s="129"/>
      <c r="T2304" s="133"/>
      <c r="AT2304" s="135" t="s">
        <v>365</v>
      </c>
      <c r="AU2304" s="135" t="s">
        <v>87</v>
      </c>
      <c r="AV2304" s="113" t="s">
        <v>87</v>
      </c>
      <c r="AW2304" s="113" t="s">
        <v>33</v>
      </c>
      <c r="AX2304" s="113" t="s">
        <v>77</v>
      </c>
      <c r="AY2304" s="135" t="s">
        <v>211</v>
      </c>
    </row>
    <row r="2305" spans="2:65" s="113" customFormat="1">
      <c r="B2305" s="119"/>
      <c r="D2305" s="105" t="s">
        <v>365</v>
      </c>
      <c r="E2305" s="135" t="s">
        <v>1</v>
      </c>
      <c r="F2305" s="120" t="s">
        <v>3422</v>
      </c>
      <c r="H2305" s="121">
        <v>200.69</v>
      </c>
      <c r="I2305" s="128"/>
      <c r="L2305" s="119"/>
      <c r="M2305" s="129"/>
      <c r="T2305" s="133"/>
      <c r="AT2305" s="135" t="s">
        <v>365</v>
      </c>
      <c r="AU2305" s="135" t="s">
        <v>87</v>
      </c>
      <c r="AV2305" s="113" t="s">
        <v>87</v>
      </c>
      <c r="AW2305" s="113" t="s">
        <v>33</v>
      </c>
      <c r="AX2305" s="113" t="s">
        <v>77</v>
      </c>
      <c r="AY2305" s="135" t="s">
        <v>211</v>
      </c>
    </row>
    <row r="2306" spans="2:65" s="113" customFormat="1">
      <c r="B2306" s="119"/>
      <c r="D2306" s="105" t="s">
        <v>365</v>
      </c>
      <c r="E2306" s="135" t="s">
        <v>1</v>
      </c>
      <c r="F2306" s="120" t="s">
        <v>3423</v>
      </c>
      <c r="H2306" s="121">
        <v>153.47999999999999</v>
      </c>
      <c r="I2306" s="128"/>
      <c r="L2306" s="119"/>
      <c r="M2306" s="129"/>
      <c r="T2306" s="133"/>
      <c r="AT2306" s="135" t="s">
        <v>365</v>
      </c>
      <c r="AU2306" s="135" t="s">
        <v>87</v>
      </c>
      <c r="AV2306" s="113" t="s">
        <v>87</v>
      </c>
      <c r="AW2306" s="113" t="s">
        <v>33</v>
      </c>
      <c r="AX2306" s="113" t="s">
        <v>77</v>
      </c>
      <c r="AY2306" s="135" t="s">
        <v>211</v>
      </c>
    </row>
    <row r="2307" spans="2:65" s="113" customFormat="1">
      <c r="B2307" s="119"/>
      <c r="D2307" s="105" t="s">
        <v>365</v>
      </c>
      <c r="E2307" s="135" t="s">
        <v>1</v>
      </c>
      <c r="F2307" s="120" t="s">
        <v>3424</v>
      </c>
      <c r="H2307" s="121">
        <v>211.9</v>
      </c>
      <c r="I2307" s="128"/>
      <c r="L2307" s="119"/>
      <c r="M2307" s="129"/>
      <c r="T2307" s="133"/>
      <c r="AT2307" s="135" t="s">
        <v>365</v>
      </c>
      <c r="AU2307" s="135" t="s">
        <v>87</v>
      </c>
      <c r="AV2307" s="113" t="s">
        <v>87</v>
      </c>
      <c r="AW2307" s="113" t="s">
        <v>33</v>
      </c>
      <c r="AX2307" s="113" t="s">
        <v>77</v>
      </c>
      <c r="AY2307" s="135" t="s">
        <v>211</v>
      </c>
    </row>
    <row r="2308" spans="2:65" s="137" customFormat="1">
      <c r="B2308" s="141"/>
      <c r="D2308" s="105" t="s">
        <v>365</v>
      </c>
      <c r="E2308" s="142" t="s">
        <v>291</v>
      </c>
      <c r="F2308" s="143" t="s">
        <v>368</v>
      </c>
      <c r="H2308" s="144">
        <v>730.85</v>
      </c>
      <c r="I2308" s="148"/>
      <c r="L2308" s="141"/>
      <c r="M2308" s="149"/>
      <c r="T2308" s="151"/>
      <c r="AT2308" s="142" t="s">
        <v>365</v>
      </c>
      <c r="AU2308" s="142" t="s">
        <v>87</v>
      </c>
      <c r="AV2308" s="137" t="s">
        <v>218</v>
      </c>
      <c r="AW2308" s="137" t="s">
        <v>33</v>
      </c>
      <c r="AX2308" s="137" t="s">
        <v>85</v>
      </c>
      <c r="AY2308" s="142" t="s">
        <v>211</v>
      </c>
    </row>
    <row r="2309" spans="2:65" s="1" customFormat="1" ht="24.15" customHeight="1">
      <c r="B2309" s="12"/>
      <c r="C2309" s="71" t="s">
        <v>3425</v>
      </c>
      <c r="D2309" s="71" t="s">
        <v>214</v>
      </c>
      <c r="E2309" s="72" t="s">
        <v>3426</v>
      </c>
      <c r="F2309" s="73" t="s">
        <v>3427</v>
      </c>
      <c r="G2309" s="74" t="s">
        <v>279</v>
      </c>
      <c r="H2309" s="75">
        <v>859.65</v>
      </c>
      <c r="I2309" s="90">
        <v>455</v>
      </c>
      <c r="J2309" s="91">
        <f>ROUND(I2309*H2309,2)</f>
        <v>391140.75</v>
      </c>
      <c r="K2309" s="92"/>
      <c r="L2309" s="12"/>
      <c r="M2309" s="93" t="s">
        <v>1</v>
      </c>
      <c r="N2309" s="94" t="s">
        <v>42</v>
      </c>
      <c r="P2309" s="95">
        <f>O2309*H2309</f>
        <v>0</v>
      </c>
      <c r="Q2309" s="95">
        <v>0</v>
      </c>
      <c r="R2309" s="95">
        <f>Q2309*H2309</f>
        <v>0</v>
      </c>
      <c r="S2309" s="95">
        <v>0</v>
      </c>
      <c r="T2309" s="99">
        <f>S2309*H2309</f>
        <v>0</v>
      </c>
      <c r="AR2309" s="101" t="s">
        <v>446</v>
      </c>
      <c r="AT2309" s="101" t="s">
        <v>214</v>
      </c>
      <c r="AU2309" s="101" t="s">
        <v>87</v>
      </c>
      <c r="AY2309" s="23" t="s">
        <v>211</v>
      </c>
      <c r="BE2309" s="104">
        <f>IF(N2309="základní",J2309,0)</f>
        <v>391140.75</v>
      </c>
      <c r="BF2309" s="104">
        <f>IF(N2309="snížená",J2309,0)</f>
        <v>0</v>
      </c>
      <c r="BG2309" s="104">
        <f>IF(N2309="zákl. přenesená",J2309,0)</f>
        <v>0</v>
      </c>
      <c r="BH2309" s="104">
        <f>IF(N2309="sníž. přenesená",J2309,0)</f>
        <v>0</v>
      </c>
      <c r="BI2309" s="104">
        <f>IF(N2309="nulová",J2309,0)</f>
        <v>0</v>
      </c>
      <c r="BJ2309" s="23" t="s">
        <v>85</v>
      </c>
      <c r="BK2309" s="104">
        <f>ROUND(I2309*H2309,2)</f>
        <v>391140.75</v>
      </c>
      <c r="BL2309" s="23" t="s">
        <v>446</v>
      </c>
      <c r="BM2309" s="101" t="s">
        <v>3428</v>
      </c>
    </row>
    <row r="2310" spans="2:65" s="1" customFormat="1" ht="76.8">
      <c r="B2310" s="12"/>
      <c r="D2310" s="105" t="s">
        <v>227</v>
      </c>
      <c r="F2310" s="106" t="s">
        <v>3419</v>
      </c>
      <c r="I2310" s="107"/>
      <c r="L2310" s="12"/>
      <c r="M2310" s="108"/>
      <c r="T2310" s="111"/>
      <c r="AT2310" s="23" t="s">
        <v>227</v>
      </c>
      <c r="AU2310" s="23" t="s">
        <v>87</v>
      </c>
    </row>
    <row r="2311" spans="2:65" s="136" customFormat="1">
      <c r="B2311" s="138"/>
      <c r="D2311" s="105" t="s">
        <v>365</v>
      </c>
      <c r="E2311" s="139" t="s">
        <v>1</v>
      </c>
      <c r="F2311" s="140" t="s">
        <v>3420</v>
      </c>
      <c r="H2311" s="139" t="s">
        <v>1</v>
      </c>
      <c r="I2311" s="146"/>
      <c r="L2311" s="138"/>
      <c r="M2311" s="147"/>
      <c r="T2311" s="150"/>
      <c r="AT2311" s="139" t="s">
        <v>365</v>
      </c>
      <c r="AU2311" s="139" t="s">
        <v>87</v>
      </c>
      <c r="AV2311" s="136" t="s">
        <v>85</v>
      </c>
      <c r="AW2311" s="136" t="s">
        <v>33</v>
      </c>
      <c r="AX2311" s="136" t="s">
        <v>77</v>
      </c>
      <c r="AY2311" s="139" t="s">
        <v>211</v>
      </c>
    </row>
    <row r="2312" spans="2:65" s="113" customFormat="1">
      <c r="B2312" s="119"/>
      <c r="D2312" s="105" t="s">
        <v>365</v>
      </c>
      <c r="E2312" s="135" t="s">
        <v>1</v>
      </c>
      <c r="F2312" s="120" t="s">
        <v>3429</v>
      </c>
      <c r="H2312" s="121">
        <v>202.73</v>
      </c>
      <c r="I2312" s="128"/>
      <c r="L2312" s="119"/>
      <c r="M2312" s="129"/>
      <c r="T2312" s="133"/>
      <c r="AT2312" s="135" t="s">
        <v>365</v>
      </c>
      <c r="AU2312" s="135" t="s">
        <v>87</v>
      </c>
      <c r="AV2312" s="113" t="s">
        <v>87</v>
      </c>
      <c r="AW2312" s="113" t="s">
        <v>33</v>
      </c>
      <c r="AX2312" s="113" t="s">
        <v>77</v>
      </c>
      <c r="AY2312" s="135" t="s">
        <v>211</v>
      </c>
    </row>
    <row r="2313" spans="2:65" s="113" customFormat="1">
      <c r="B2313" s="119"/>
      <c r="D2313" s="105" t="s">
        <v>365</v>
      </c>
      <c r="E2313" s="135" t="s">
        <v>1</v>
      </c>
      <c r="F2313" s="120" t="s">
        <v>3430</v>
      </c>
      <c r="H2313" s="121">
        <v>237.81</v>
      </c>
      <c r="I2313" s="128"/>
      <c r="L2313" s="119"/>
      <c r="M2313" s="129"/>
      <c r="T2313" s="133"/>
      <c r="AT2313" s="135" t="s">
        <v>365</v>
      </c>
      <c r="AU2313" s="135" t="s">
        <v>87</v>
      </c>
      <c r="AV2313" s="113" t="s">
        <v>87</v>
      </c>
      <c r="AW2313" s="113" t="s">
        <v>33</v>
      </c>
      <c r="AX2313" s="113" t="s">
        <v>77</v>
      </c>
      <c r="AY2313" s="135" t="s">
        <v>211</v>
      </c>
    </row>
    <row r="2314" spans="2:65" s="113" customFormat="1">
      <c r="B2314" s="119"/>
      <c r="D2314" s="105" t="s">
        <v>365</v>
      </c>
      <c r="E2314" s="135" t="s">
        <v>1</v>
      </c>
      <c r="F2314" s="120" t="s">
        <v>3431</v>
      </c>
      <c r="H2314" s="121">
        <v>182.13</v>
      </c>
      <c r="I2314" s="128"/>
      <c r="L2314" s="119"/>
      <c r="M2314" s="129"/>
      <c r="T2314" s="133"/>
      <c r="AT2314" s="135" t="s">
        <v>365</v>
      </c>
      <c r="AU2314" s="135" t="s">
        <v>87</v>
      </c>
      <c r="AV2314" s="113" t="s">
        <v>87</v>
      </c>
      <c r="AW2314" s="113" t="s">
        <v>33</v>
      </c>
      <c r="AX2314" s="113" t="s">
        <v>77</v>
      </c>
      <c r="AY2314" s="135" t="s">
        <v>211</v>
      </c>
    </row>
    <row r="2315" spans="2:65" s="113" customFormat="1">
      <c r="B2315" s="119"/>
      <c r="D2315" s="105" t="s">
        <v>365</v>
      </c>
      <c r="E2315" s="135" t="s">
        <v>1</v>
      </c>
      <c r="F2315" s="120" t="s">
        <v>3432</v>
      </c>
      <c r="H2315" s="121">
        <v>236.98</v>
      </c>
      <c r="I2315" s="128"/>
      <c r="L2315" s="119"/>
      <c r="M2315" s="129"/>
      <c r="T2315" s="133"/>
      <c r="AT2315" s="135" t="s">
        <v>365</v>
      </c>
      <c r="AU2315" s="135" t="s">
        <v>87</v>
      </c>
      <c r="AV2315" s="113" t="s">
        <v>87</v>
      </c>
      <c r="AW2315" s="113" t="s">
        <v>33</v>
      </c>
      <c r="AX2315" s="113" t="s">
        <v>77</v>
      </c>
      <c r="AY2315" s="135" t="s">
        <v>211</v>
      </c>
    </row>
    <row r="2316" spans="2:65" s="137" customFormat="1">
      <c r="B2316" s="141"/>
      <c r="D2316" s="105" t="s">
        <v>365</v>
      </c>
      <c r="E2316" s="142" t="s">
        <v>1</v>
      </c>
      <c r="F2316" s="143" t="s">
        <v>368</v>
      </c>
      <c r="H2316" s="144">
        <v>859.65</v>
      </c>
      <c r="I2316" s="148"/>
      <c r="L2316" s="141"/>
      <c r="M2316" s="149"/>
      <c r="T2316" s="151"/>
      <c r="AT2316" s="142" t="s">
        <v>365</v>
      </c>
      <c r="AU2316" s="142" t="s">
        <v>87</v>
      </c>
      <c r="AV2316" s="137" t="s">
        <v>218</v>
      </c>
      <c r="AW2316" s="137" t="s">
        <v>33</v>
      </c>
      <c r="AX2316" s="137" t="s">
        <v>85</v>
      </c>
      <c r="AY2316" s="142" t="s">
        <v>211</v>
      </c>
    </row>
    <row r="2317" spans="2:65" s="1" customFormat="1" ht="38.1" customHeight="1">
      <c r="B2317" s="12"/>
      <c r="C2317" s="114" t="s">
        <v>3433</v>
      </c>
      <c r="D2317" s="114" t="s">
        <v>438</v>
      </c>
      <c r="E2317" s="115" t="s">
        <v>3434</v>
      </c>
      <c r="F2317" s="116" t="s">
        <v>3435</v>
      </c>
      <c r="G2317" s="117" t="s">
        <v>279</v>
      </c>
      <c r="H2317" s="118">
        <v>1590.5</v>
      </c>
      <c r="I2317" s="122">
        <v>1232</v>
      </c>
      <c r="J2317" s="123">
        <f>ROUND(I2317*H2317,2)</f>
        <v>1959496</v>
      </c>
      <c r="K2317" s="124"/>
      <c r="L2317" s="125"/>
      <c r="M2317" s="126" t="s">
        <v>1</v>
      </c>
      <c r="N2317" s="127" t="s">
        <v>42</v>
      </c>
      <c r="P2317" s="95">
        <f>O2317*H2317</f>
        <v>0</v>
      </c>
      <c r="Q2317" s="95">
        <v>2.8999999999999998E-3</v>
      </c>
      <c r="R2317" s="95">
        <f>Q2317*H2317</f>
        <v>4.6124499999999999</v>
      </c>
      <c r="S2317" s="95">
        <v>0</v>
      </c>
      <c r="T2317" s="99">
        <f>S2317*H2317</f>
        <v>0</v>
      </c>
      <c r="AR2317" s="101" t="s">
        <v>527</v>
      </c>
      <c r="AT2317" s="101" t="s">
        <v>438</v>
      </c>
      <c r="AU2317" s="101" t="s">
        <v>87</v>
      </c>
      <c r="AY2317" s="23" t="s">
        <v>211</v>
      </c>
      <c r="BE2317" s="104">
        <f>IF(N2317="základní",J2317,0)</f>
        <v>1959496</v>
      </c>
      <c r="BF2317" s="104">
        <f>IF(N2317="snížená",J2317,0)</f>
        <v>0</v>
      </c>
      <c r="BG2317" s="104">
        <f>IF(N2317="zákl. přenesená",J2317,0)</f>
        <v>0</v>
      </c>
      <c r="BH2317" s="104">
        <f>IF(N2317="sníž. přenesená",J2317,0)</f>
        <v>0</v>
      </c>
      <c r="BI2317" s="104">
        <f>IF(N2317="nulová",J2317,0)</f>
        <v>0</v>
      </c>
      <c r="BJ2317" s="23" t="s">
        <v>85</v>
      </c>
      <c r="BK2317" s="104">
        <f>ROUND(I2317*H2317,2)</f>
        <v>1959496</v>
      </c>
      <c r="BL2317" s="23" t="s">
        <v>446</v>
      </c>
      <c r="BM2317" s="101" t="s">
        <v>3436</v>
      </c>
    </row>
    <row r="2318" spans="2:65" s="1" customFormat="1" ht="24.15" customHeight="1">
      <c r="B2318" s="12"/>
      <c r="C2318" s="71" t="s">
        <v>3437</v>
      </c>
      <c r="D2318" s="71" t="s">
        <v>214</v>
      </c>
      <c r="E2318" s="72" t="s">
        <v>3438</v>
      </c>
      <c r="F2318" s="73" t="s">
        <v>3439</v>
      </c>
      <c r="G2318" s="74" t="s">
        <v>2866</v>
      </c>
      <c r="H2318" s="163">
        <f>SUM(J2296:J2317)/100</f>
        <v>29968.201000000001</v>
      </c>
      <c r="I2318" s="90">
        <v>3.8</v>
      </c>
      <c r="J2318" s="91">
        <f>ROUND(I2318*H2318,2)</f>
        <v>113879.16</v>
      </c>
      <c r="K2318" s="92"/>
      <c r="L2318" s="12"/>
      <c r="M2318" s="93" t="s">
        <v>1</v>
      </c>
      <c r="N2318" s="94" t="s">
        <v>42</v>
      </c>
      <c r="P2318" s="95">
        <f>O2318*H2318</f>
        <v>0</v>
      </c>
      <c r="Q2318" s="95">
        <v>0</v>
      </c>
      <c r="R2318" s="95">
        <f>Q2318*H2318</f>
        <v>0</v>
      </c>
      <c r="S2318" s="95">
        <v>0</v>
      </c>
      <c r="T2318" s="99">
        <f>S2318*H2318</f>
        <v>0</v>
      </c>
      <c r="AR2318" s="101" t="s">
        <v>446</v>
      </c>
      <c r="AT2318" s="101" t="s">
        <v>214</v>
      </c>
      <c r="AU2318" s="101" t="s">
        <v>87</v>
      </c>
      <c r="AY2318" s="23" t="s">
        <v>211</v>
      </c>
      <c r="BE2318" s="104">
        <f>IF(N2318="základní",J2318,0)</f>
        <v>113879.16</v>
      </c>
      <c r="BF2318" s="104">
        <f>IF(N2318="snížená",J2318,0)</f>
        <v>0</v>
      </c>
      <c r="BG2318" s="104">
        <f>IF(N2318="zákl. přenesená",J2318,0)</f>
        <v>0</v>
      </c>
      <c r="BH2318" s="104">
        <f>IF(N2318="sníž. přenesená",J2318,0)</f>
        <v>0</v>
      </c>
      <c r="BI2318" s="104">
        <f>IF(N2318="nulová",J2318,0)</f>
        <v>0</v>
      </c>
      <c r="BJ2318" s="23" t="s">
        <v>85</v>
      </c>
      <c r="BK2318" s="104">
        <f>ROUND(I2318*H2318,2)</f>
        <v>113879.16</v>
      </c>
      <c r="BL2318" s="23" t="s">
        <v>446</v>
      </c>
      <c r="BM2318" s="101" t="s">
        <v>3440</v>
      </c>
    </row>
    <row r="2319" spans="2:65" s="31" customFormat="1" ht="23.1" customHeight="1">
      <c r="B2319" s="67"/>
      <c r="D2319" s="68" t="s">
        <v>76</v>
      </c>
      <c r="E2319" s="70" t="s">
        <v>3441</v>
      </c>
      <c r="F2319" s="70" t="s">
        <v>3442</v>
      </c>
      <c r="I2319" s="85"/>
      <c r="J2319" s="89">
        <f>BK2319</f>
        <v>774771.94</v>
      </c>
      <c r="L2319" s="67"/>
      <c r="M2319" s="87"/>
      <c r="P2319" s="88">
        <f>SUM(P2320:P2340)</f>
        <v>0</v>
      </c>
      <c r="R2319" s="88">
        <f>SUM(R2320:R2340)</f>
        <v>0</v>
      </c>
      <c r="T2319" s="98">
        <f>SUM(T2320:T2340)</f>
        <v>0</v>
      </c>
      <c r="AR2319" s="68" t="s">
        <v>87</v>
      </c>
      <c r="AT2319" s="100" t="s">
        <v>76</v>
      </c>
      <c r="AU2319" s="100" t="s">
        <v>85</v>
      </c>
      <c r="AY2319" s="68" t="s">
        <v>211</v>
      </c>
      <c r="BK2319" s="103">
        <f>SUM(BK2320:BK2340)</f>
        <v>774771.94</v>
      </c>
    </row>
    <row r="2320" spans="2:65" s="1" customFormat="1" ht="38.1" customHeight="1">
      <c r="B2320" s="12"/>
      <c r="C2320" s="71" t="s">
        <v>3443</v>
      </c>
      <c r="D2320" s="71" t="s">
        <v>214</v>
      </c>
      <c r="E2320" s="72" t="s">
        <v>3444</v>
      </c>
      <c r="F2320" s="73" t="s">
        <v>3445</v>
      </c>
      <c r="G2320" s="74" t="s">
        <v>431</v>
      </c>
      <c r="H2320" s="75">
        <v>66.186000000000007</v>
      </c>
      <c r="I2320" s="90">
        <v>590</v>
      </c>
      <c r="J2320" s="91">
        <f t="shared" ref="J2320:J2328" si="40">ROUND(I2320*H2320,2)</f>
        <v>39049.74</v>
      </c>
      <c r="K2320" s="92"/>
      <c r="L2320" s="12"/>
      <c r="M2320" s="93" t="s">
        <v>1</v>
      </c>
      <c r="N2320" s="94" t="s">
        <v>42</v>
      </c>
      <c r="P2320" s="95">
        <f t="shared" ref="P2320:P2328" si="41">O2320*H2320</f>
        <v>0</v>
      </c>
      <c r="Q2320" s="95">
        <v>0</v>
      </c>
      <c r="R2320" s="95">
        <f t="shared" ref="R2320:R2328" si="42">Q2320*H2320</f>
        <v>0</v>
      </c>
      <c r="S2320" s="95">
        <v>0</v>
      </c>
      <c r="T2320" s="99">
        <f t="shared" ref="T2320:T2328" si="43">S2320*H2320</f>
        <v>0</v>
      </c>
      <c r="AR2320" s="101" t="s">
        <v>218</v>
      </c>
      <c r="AT2320" s="101" t="s">
        <v>214</v>
      </c>
      <c r="AU2320" s="101" t="s">
        <v>87</v>
      </c>
      <c r="AY2320" s="23" t="s">
        <v>211</v>
      </c>
      <c r="BE2320" s="104">
        <f t="shared" ref="BE2320:BE2328" si="44">IF(N2320="základní",J2320,0)</f>
        <v>39049.74</v>
      </c>
      <c r="BF2320" s="104">
        <f t="shared" ref="BF2320:BF2328" si="45">IF(N2320="snížená",J2320,0)</f>
        <v>0</v>
      </c>
      <c r="BG2320" s="104">
        <f t="shared" ref="BG2320:BG2328" si="46">IF(N2320="zákl. přenesená",J2320,0)</f>
        <v>0</v>
      </c>
      <c r="BH2320" s="104">
        <f t="shared" ref="BH2320:BH2328" si="47">IF(N2320="sníž. přenesená",J2320,0)</f>
        <v>0</v>
      </c>
      <c r="BI2320" s="104">
        <f t="shared" ref="BI2320:BI2328" si="48">IF(N2320="nulová",J2320,0)</f>
        <v>0</v>
      </c>
      <c r="BJ2320" s="23" t="s">
        <v>85</v>
      </c>
      <c r="BK2320" s="104">
        <f t="shared" ref="BK2320:BK2328" si="49">ROUND(I2320*H2320,2)</f>
        <v>39049.74</v>
      </c>
      <c r="BL2320" s="23" t="s">
        <v>218</v>
      </c>
      <c r="BM2320" s="101" t="s">
        <v>3446</v>
      </c>
    </row>
    <row r="2321" spans="2:65" s="1" customFormat="1" ht="38.1" customHeight="1">
      <c r="B2321" s="12"/>
      <c r="C2321" s="71" t="s">
        <v>3447</v>
      </c>
      <c r="D2321" s="71" t="s">
        <v>214</v>
      </c>
      <c r="E2321" s="72" t="s">
        <v>3448</v>
      </c>
      <c r="F2321" s="73" t="s">
        <v>3445</v>
      </c>
      <c r="G2321" s="74" t="s">
        <v>431</v>
      </c>
      <c r="H2321" s="75">
        <v>73.179000000000002</v>
      </c>
      <c r="I2321" s="90">
        <v>590</v>
      </c>
      <c r="J2321" s="91">
        <f t="shared" si="40"/>
        <v>43175.61</v>
      </c>
      <c r="K2321" s="92"/>
      <c r="L2321" s="12"/>
      <c r="M2321" s="93" t="s">
        <v>1</v>
      </c>
      <c r="N2321" s="94" t="s">
        <v>42</v>
      </c>
      <c r="P2321" s="95">
        <f t="shared" si="41"/>
        <v>0</v>
      </c>
      <c r="Q2321" s="95">
        <v>0</v>
      </c>
      <c r="R2321" s="95">
        <f t="shared" si="42"/>
        <v>0</v>
      </c>
      <c r="S2321" s="95">
        <v>0</v>
      </c>
      <c r="T2321" s="99">
        <f t="shared" si="43"/>
        <v>0</v>
      </c>
      <c r="AR2321" s="101" t="s">
        <v>218</v>
      </c>
      <c r="AT2321" s="101" t="s">
        <v>214</v>
      </c>
      <c r="AU2321" s="101" t="s">
        <v>87</v>
      </c>
      <c r="AY2321" s="23" t="s">
        <v>211</v>
      </c>
      <c r="BE2321" s="104">
        <f t="shared" si="44"/>
        <v>43175.61</v>
      </c>
      <c r="BF2321" s="104">
        <f t="shared" si="45"/>
        <v>0</v>
      </c>
      <c r="BG2321" s="104">
        <f t="shared" si="46"/>
        <v>0</v>
      </c>
      <c r="BH2321" s="104">
        <f t="shared" si="47"/>
        <v>0</v>
      </c>
      <c r="BI2321" s="104">
        <f t="shared" si="48"/>
        <v>0</v>
      </c>
      <c r="BJ2321" s="23" t="s">
        <v>85</v>
      </c>
      <c r="BK2321" s="104">
        <f t="shared" si="49"/>
        <v>43175.61</v>
      </c>
      <c r="BL2321" s="23" t="s">
        <v>218</v>
      </c>
      <c r="BM2321" s="101" t="s">
        <v>3449</v>
      </c>
    </row>
    <row r="2322" spans="2:65" s="1" customFormat="1" ht="38.1" customHeight="1">
      <c r="B2322" s="12"/>
      <c r="C2322" s="71" t="s">
        <v>3450</v>
      </c>
      <c r="D2322" s="71" t="s">
        <v>214</v>
      </c>
      <c r="E2322" s="72" t="s">
        <v>3451</v>
      </c>
      <c r="F2322" s="73" t="s">
        <v>3445</v>
      </c>
      <c r="G2322" s="74" t="s">
        <v>431</v>
      </c>
      <c r="H2322" s="75">
        <v>30.704000000000001</v>
      </c>
      <c r="I2322" s="90">
        <v>590</v>
      </c>
      <c r="J2322" s="91">
        <f t="shared" si="40"/>
        <v>18115.36</v>
      </c>
      <c r="K2322" s="92"/>
      <c r="L2322" s="12"/>
      <c r="M2322" s="93" t="s">
        <v>1</v>
      </c>
      <c r="N2322" s="94" t="s">
        <v>42</v>
      </c>
      <c r="P2322" s="95">
        <f t="shared" si="41"/>
        <v>0</v>
      </c>
      <c r="Q2322" s="95">
        <v>0</v>
      </c>
      <c r="R2322" s="95">
        <f t="shared" si="42"/>
        <v>0</v>
      </c>
      <c r="S2322" s="95">
        <v>0</v>
      </c>
      <c r="T2322" s="99">
        <f t="shared" si="43"/>
        <v>0</v>
      </c>
      <c r="AR2322" s="101" t="s">
        <v>218</v>
      </c>
      <c r="AT2322" s="101" t="s">
        <v>214</v>
      </c>
      <c r="AU2322" s="101" t="s">
        <v>87</v>
      </c>
      <c r="AY2322" s="23" t="s">
        <v>211</v>
      </c>
      <c r="BE2322" s="104">
        <f t="shared" si="44"/>
        <v>18115.36</v>
      </c>
      <c r="BF2322" s="104">
        <f t="shared" si="45"/>
        <v>0</v>
      </c>
      <c r="BG2322" s="104">
        <f t="shared" si="46"/>
        <v>0</v>
      </c>
      <c r="BH2322" s="104">
        <f t="shared" si="47"/>
        <v>0</v>
      </c>
      <c r="BI2322" s="104">
        <f t="shared" si="48"/>
        <v>0</v>
      </c>
      <c r="BJ2322" s="23" t="s">
        <v>85</v>
      </c>
      <c r="BK2322" s="104">
        <f t="shared" si="49"/>
        <v>18115.36</v>
      </c>
      <c r="BL2322" s="23" t="s">
        <v>218</v>
      </c>
      <c r="BM2322" s="101" t="s">
        <v>3452</v>
      </c>
    </row>
    <row r="2323" spans="2:65" s="1" customFormat="1" ht="38.1" customHeight="1">
      <c r="B2323" s="12"/>
      <c r="C2323" s="71" t="s">
        <v>3453</v>
      </c>
      <c r="D2323" s="71" t="s">
        <v>214</v>
      </c>
      <c r="E2323" s="72" t="s">
        <v>3454</v>
      </c>
      <c r="F2323" s="73" t="s">
        <v>3445</v>
      </c>
      <c r="G2323" s="74" t="s">
        <v>431</v>
      </c>
      <c r="H2323" s="75">
        <v>1.98</v>
      </c>
      <c r="I2323" s="90">
        <v>590</v>
      </c>
      <c r="J2323" s="91">
        <f t="shared" si="40"/>
        <v>1168.2</v>
      </c>
      <c r="K2323" s="92"/>
      <c r="L2323" s="12"/>
      <c r="M2323" s="93" t="s">
        <v>1</v>
      </c>
      <c r="N2323" s="94" t="s">
        <v>42</v>
      </c>
      <c r="P2323" s="95">
        <f t="shared" si="41"/>
        <v>0</v>
      </c>
      <c r="Q2323" s="95">
        <v>0</v>
      </c>
      <c r="R2323" s="95">
        <f t="shared" si="42"/>
        <v>0</v>
      </c>
      <c r="S2323" s="95">
        <v>0</v>
      </c>
      <c r="T2323" s="99">
        <f t="shared" si="43"/>
        <v>0</v>
      </c>
      <c r="AR2323" s="101" t="s">
        <v>218</v>
      </c>
      <c r="AT2323" s="101" t="s">
        <v>214</v>
      </c>
      <c r="AU2323" s="101" t="s">
        <v>87</v>
      </c>
      <c r="AY2323" s="23" t="s">
        <v>211</v>
      </c>
      <c r="BE2323" s="104">
        <f t="shared" si="44"/>
        <v>1168.2</v>
      </c>
      <c r="BF2323" s="104">
        <f t="shared" si="45"/>
        <v>0</v>
      </c>
      <c r="BG2323" s="104">
        <f t="shared" si="46"/>
        <v>0</v>
      </c>
      <c r="BH2323" s="104">
        <f t="shared" si="47"/>
        <v>0</v>
      </c>
      <c r="BI2323" s="104">
        <f t="shared" si="48"/>
        <v>0</v>
      </c>
      <c r="BJ2323" s="23" t="s">
        <v>85</v>
      </c>
      <c r="BK2323" s="104">
        <f t="shared" si="49"/>
        <v>1168.2</v>
      </c>
      <c r="BL2323" s="23" t="s">
        <v>218</v>
      </c>
      <c r="BM2323" s="101" t="s">
        <v>3455</v>
      </c>
    </row>
    <row r="2324" spans="2:65" s="1" customFormat="1" ht="38.1" customHeight="1">
      <c r="B2324" s="12"/>
      <c r="C2324" s="71" t="s">
        <v>3456</v>
      </c>
      <c r="D2324" s="71" t="s">
        <v>214</v>
      </c>
      <c r="E2324" s="72" t="s">
        <v>3457</v>
      </c>
      <c r="F2324" s="73" t="s">
        <v>3458</v>
      </c>
      <c r="G2324" s="74" t="s">
        <v>431</v>
      </c>
      <c r="H2324" s="75">
        <v>158.85900000000001</v>
      </c>
      <c r="I2324" s="90">
        <v>590</v>
      </c>
      <c r="J2324" s="91">
        <f t="shared" si="40"/>
        <v>93726.81</v>
      </c>
      <c r="K2324" s="92"/>
      <c r="L2324" s="12"/>
      <c r="M2324" s="93" t="s">
        <v>1</v>
      </c>
      <c r="N2324" s="94" t="s">
        <v>42</v>
      </c>
      <c r="P2324" s="95">
        <f t="shared" si="41"/>
        <v>0</v>
      </c>
      <c r="Q2324" s="95">
        <v>0</v>
      </c>
      <c r="R2324" s="95">
        <f t="shared" si="42"/>
        <v>0</v>
      </c>
      <c r="S2324" s="95">
        <v>0</v>
      </c>
      <c r="T2324" s="99">
        <f t="shared" si="43"/>
        <v>0</v>
      </c>
      <c r="AR2324" s="101" t="s">
        <v>218</v>
      </c>
      <c r="AT2324" s="101" t="s">
        <v>214</v>
      </c>
      <c r="AU2324" s="101" t="s">
        <v>87</v>
      </c>
      <c r="AY2324" s="23" t="s">
        <v>211</v>
      </c>
      <c r="BE2324" s="104">
        <f t="shared" si="44"/>
        <v>93726.81</v>
      </c>
      <c r="BF2324" s="104">
        <f t="shared" si="45"/>
        <v>0</v>
      </c>
      <c r="BG2324" s="104">
        <f t="shared" si="46"/>
        <v>0</v>
      </c>
      <c r="BH2324" s="104">
        <f t="shared" si="47"/>
        <v>0</v>
      </c>
      <c r="BI2324" s="104">
        <f t="shared" si="48"/>
        <v>0</v>
      </c>
      <c r="BJ2324" s="23" t="s">
        <v>85</v>
      </c>
      <c r="BK2324" s="104">
        <f t="shared" si="49"/>
        <v>93726.81</v>
      </c>
      <c r="BL2324" s="23" t="s">
        <v>218</v>
      </c>
      <c r="BM2324" s="101" t="s">
        <v>3459</v>
      </c>
    </row>
    <row r="2325" spans="2:65" s="1" customFormat="1" ht="49.35" customHeight="1">
      <c r="B2325" s="12"/>
      <c r="C2325" s="71" t="s">
        <v>3460</v>
      </c>
      <c r="D2325" s="71" t="s">
        <v>214</v>
      </c>
      <c r="E2325" s="72" t="s">
        <v>3461</v>
      </c>
      <c r="F2325" s="73" t="s">
        <v>3462</v>
      </c>
      <c r="G2325" s="74" t="s">
        <v>431</v>
      </c>
      <c r="H2325" s="75">
        <v>224.178</v>
      </c>
      <c r="I2325" s="90">
        <v>400</v>
      </c>
      <c r="J2325" s="91">
        <f t="shared" si="40"/>
        <v>89671.2</v>
      </c>
      <c r="K2325" s="92"/>
      <c r="L2325" s="12"/>
      <c r="M2325" s="93" t="s">
        <v>1</v>
      </c>
      <c r="N2325" s="94" t="s">
        <v>42</v>
      </c>
      <c r="P2325" s="95">
        <f t="shared" si="41"/>
        <v>0</v>
      </c>
      <c r="Q2325" s="95">
        <v>0</v>
      </c>
      <c r="R2325" s="95">
        <f t="shared" si="42"/>
        <v>0</v>
      </c>
      <c r="S2325" s="95">
        <v>0</v>
      </c>
      <c r="T2325" s="99">
        <f t="shared" si="43"/>
        <v>0</v>
      </c>
      <c r="AR2325" s="101" t="s">
        <v>218</v>
      </c>
      <c r="AT2325" s="101" t="s">
        <v>214</v>
      </c>
      <c r="AU2325" s="101" t="s">
        <v>87</v>
      </c>
      <c r="AY2325" s="23" t="s">
        <v>211</v>
      </c>
      <c r="BE2325" s="104">
        <f t="shared" si="44"/>
        <v>89671.2</v>
      </c>
      <c r="BF2325" s="104">
        <f t="shared" si="45"/>
        <v>0</v>
      </c>
      <c r="BG2325" s="104">
        <f t="shared" si="46"/>
        <v>0</v>
      </c>
      <c r="BH2325" s="104">
        <f t="shared" si="47"/>
        <v>0</v>
      </c>
      <c r="BI2325" s="104">
        <f t="shared" si="48"/>
        <v>0</v>
      </c>
      <c r="BJ2325" s="23" t="s">
        <v>85</v>
      </c>
      <c r="BK2325" s="104">
        <f t="shared" si="49"/>
        <v>89671.2</v>
      </c>
      <c r="BL2325" s="23" t="s">
        <v>218</v>
      </c>
      <c r="BM2325" s="101" t="s">
        <v>3463</v>
      </c>
    </row>
    <row r="2326" spans="2:65" s="1" customFormat="1" ht="55.5" customHeight="1">
      <c r="B2326" s="12"/>
      <c r="C2326" s="71" t="s">
        <v>3464</v>
      </c>
      <c r="D2326" s="71" t="s">
        <v>214</v>
      </c>
      <c r="E2326" s="72" t="s">
        <v>3465</v>
      </c>
      <c r="F2326" s="73" t="s">
        <v>3466</v>
      </c>
      <c r="G2326" s="74" t="s">
        <v>431</v>
      </c>
      <c r="H2326" s="75">
        <v>105.069</v>
      </c>
      <c r="I2326" s="90">
        <v>610</v>
      </c>
      <c r="J2326" s="91">
        <f t="shared" si="40"/>
        <v>64092.09</v>
      </c>
      <c r="K2326" s="92"/>
      <c r="L2326" s="12"/>
      <c r="M2326" s="93" t="s">
        <v>1</v>
      </c>
      <c r="N2326" s="94" t="s">
        <v>42</v>
      </c>
      <c r="P2326" s="95">
        <f t="shared" si="41"/>
        <v>0</v>
      </c>
      <c r="Q2326" s="95">
        <v>0</v>
      </c>
      <c r="R2326" s="95">
        <f t="shared" si="42"/>
        <v>0</v>
      </c>
      <c r="S2326" s="95">
        <v>0</v>
      </c>
      <c r="T2326" s="99">
        <f t="shared" si="43"/>
        <v>0</v>
      </c>
      <c r="AR2326" s="101" t="s">
        <v>218</v>
      </c>
      <c r="AT2326" s="101" t="s">
        <v>214</v>
      </c>
      <c r="AU2326" s="101" t="s">
        <v>87</v>
      </c>
      <c r="AY2326" s="23" t="s">
        <v>211</v>
      </c>
      <c r="BE2326" s="104">
        <f t="shared" si="44"/>
        <v>64092.09</v>
      </c>
      <c r="BF2326" s="104">
        <f t="shared" si="45"/>
        <v>0</v>
      </c>
      <c r="BG2326" s="104">
        <f t="shared" si="46"/>
        <v>0</v>
      </c>
      <c r="BH2326" s="104">
        <f t="shared" si="47"/>
        <v>0</v>
      </c>
      <c r="BI2326" s="104">
        <f t="shared" si="48"/>
        <v>0</v>
      </c>
      <c r="BJ2326" s="23" t="s">
        <v>85</v>
      </c>
      <c r="BK2326" s="104">
        <f t="shared" si="49"/>
        <v>64092.09</v>
      </c>
      <c r="BL2326" s="23" t="s">
        <v>218</v>
      </c>
      <c r="BM2326" s="101" t="s">
        <v>3467</v>
      </c>
    </row>
    <row r="2327" spans="2:65" s="1" customFormat="1" ht="49.35" customHeight="1">
      <c r="B2327" s="12"/>
      <c r="C2327" s="71" t="s">
        <v>3468</v>
      </c>
      <c r="D2327" s="71" t="s">
        <v>214</v>
      </c>
      <c r="E2327" s="72" t="s">
        <v>3469</v>
      </c>
      <c r="F2327" s="73" t="s">
        <v>3470</v>
      </c>
      <c r="G2327" s="74" t="s">
        <v>808</v>
      </c>
      <c r="H2327" s="75">
        <v>4</v>
      </c>
      <c r="I2327" s="90">
        <v>12700</v>
      </c>
      <c r="J2327" s="91">
        <f t="shared" si="40"/>
        <v>50800</v>
      </c>
      <c r="K2327" s="92"/>
      <c r="L2327" s="12"/>
      <c r="M2327" s="93" t="s">
        <v>1</v>
      </c>
      <c r="N2327" s="94" t="s">
        <v>42</v>
      </c>
      <c r="P2327" s="95">
        <f t="shared" si="41"/>
        <v>0</v>
      </c>
      <c r="Q2327" s="95">
        <v>0</v>
      </c>
      <c r="R2327" s="95">
        <f t="shared" si="42"/>
        <v>0</v>
      </c>
      <c r="S2327" s="95">
        <v>0</v>
      </c>
      <c r="T2327" s="99">
        <f t="shared" si="43"/>
        <v>0</v>
      </c>
      <c r="AR2327" s="101" t="s">
        <v>218</v>
      </c>
      <c r="AT2327" s="101" t="s">
        <v>214</v>
      </c>
      <c r="AU2327" s="101" t="s">
        <v>87</v>
      </c>
      <c r="AY2327" s="23" t="s">
        <v>211</v>
      </c>
      <c r="BE2327" s="104">
        <f t="shared" si="44"/>
        <v>50800</v>
      </c>
      <c r="BF2327" s="104">
        <f t="shared" si="45"/>
        <v>0</v>
      </c>
      <c r="BG2327" s="104">
        <f t="shared" si="46"/>
        <v>0</v>
      </c>
      <c r="BH2327" s="104">
        <f t="shared" si="47"/>
        <v>0</v>
      </c>
      <c r="BI2327" s="104">
        <f t="shared" si="48"/>
        <v>0</v>
      </c>
      <c r="BJ2327" s="23" t="s">
        <v>85</v>
      </c>
      <c r="BK2327" s="104">
        <f t="shared" si="49"/>
        <v>50800</v>
      </c>
      <c r="BL2327" s="23" t="s">
        <v>218</v>
      </c>
      <c r="BM2327" s="101" t="s">
        <v>3471</v>
      </c>
    </row>
    <row r="2328" spans="2:65" s="1" customFormat="1" ht="78" customHeight="1">
      <c r="B2328" s="12"/>
      <c r="C2328" s="71" t="s">
        <v>3472</v>
      </c>
      <c r="D2328" s="71" t="s">
        <v>214</v>
      </c>
      <c r="E2328" s="72" t="s">
        <v>3473</v>
      </c>
      <c r="F2328" s="73" t="s">
        <v>3474</v>
      </c>
      <c r="G2328" s="74" t="s">
        <v>808</v>
      </c>
      <c r="H2328" s="75">
        <v>20</v>
      </c>
      <c r="I2328" s="90">
        <v>12500</v>
      </c>
      <c r="J2328" s="91">
        <f t="shared" si="40"/>
        <v>250000</v>
      </c>
      <c r="K2328" s="92"/>
      <c r="L2328" s="12"/>
      <c r="M2328" s="93" t="s">
        <v>1</v>
      </c>
      <c r="N2328" s="94" t="s">
        <v>42</v>
      </c>
      <c r="P2328" s="95">
        <f t="shared" si="41"/>
        <v>0</v>
      </c>
      <c r="Q2328" s="95">
        <v>0</v>
      </c>
      <c r="R2328" s="95">
        <f t="shared" si="42"/>
        <v>0</v>
      </c>
      <c r="S2328" s="95">
        <v>0</v>
      </c>
      <c r="T2328" s="99">
        <f t="shared" si="43"/>
        <v>0</v>
      </c>
      <c r="AR2328" s="101" t="s">
        <v>218</v>
      </c>
      <c r="AT2328" s="101" t="s">
        <v>214</v>
      </c>
      <c r="AU2328" s="101" t="s">
        <v>87</v>
      </c>
      <c r="AY2328" s="23" t="s">
        <v>211</v>
      </c>
      <c r="BE2328" s="104">
        <f t="shared" si="44"/>
        <v>250000</v>
      </c>
      <c r="BF2328" s="104">
        <f t="shared" si="45"/>
        <v>0</v>
      </c>
      <c r="BG2328" s="104">
        <f t="shared" si="46"/>
        <v>0</v>
      </c>
      <c r="BH2328" s="104">
        <f t="shared" si="47"/>
        <v>0</v>
      </c>
      <c r="BI2328" s="104">
        <f t="shared" si="48"/>
        <v>0</v>
      </c>
      <c r="BJ2328" s="23" t="s">
        <v>85</v>
      </c>
      <c r="BK2328" s="104">
        <f t="shared" si="49"/>
        <v>250000</v>
      </c>
      <c r="BL2328" s="23" t="s">
        <v>218</v>
      </c>
      <c r="BM2328" s="101" t="s">
        <v>3475</v>
      </c>
    </row>
    <row r="2329" spans="2:65" s="1" customFormat="1" ht="19.2">
      <c r="B2329" s="12"/>
      <c r="D2329" s="105" t="s">
        <v>227</v>
      </c>
      <c r="F2329" s="106" t="s">
        <v>3476</v>
      </c>
      <c r="I2329" s="107"/>
      <c r="L2329" s="12"/>
      <c r="M2329" s="108"/>
      <c r="T2329" s="111"/>
      <c r="AT2329" s="23" t="s">
        <v>227</v>
      </c>
      <c r="AU2329" s="23" t="s">
        <v>87</v>
      </c>
    </row>
    <row r="2330" spans="2:65" s="1" customFormat="1" ht="78" customHeight="1">
      <c r="B2330" s="12"/>
      <c r="C2330" s="71" t="s">
        <v>3477</v>
      </c>
      <c r="D2330" s="71" t="s">
        <v>214</v>
      </c>
      <c r="E2330" s="72" t="s">
        <v>3478</v>
      </c>
      <c r="F2330" s="73" t="s">
        <v>3479</v>
      </c>
      <c r="G2330" s="74" t="s">
        <v>808</v>
      </c>
      <c r="H2330" s="75">
        <v>1</v>
      </c>
      <c r="I2330" s="90">
        <v>25500</v>
      </c>
      <c r="J2330" s="91">
        <f>ROUND(I2330*H2330,2)</f>
        <v>25500</v>
      </c>
      <c r="K2330" s="92"/>
      <c r="L2330" s="12"/>
      <c r="M2330" s="93" t="s">
        <v>1</v>
      </c>
      <c r="N2330" s="94" t="s">
        <v>42</v>
      </c>
      <c r="P2330" s="95">
        <f>O2330*H2330</f>
        <v>0</v>
      </c>
      <c r="Q2330" s="95">
        <v>0</v>
      </c>
      <c r="R2330" s="95">
        <f>Q2330*H2330</f>
        <v>0</v>
      </c>
      <c r="S2330" s="95">
        <v>0</v>
      </c>
      <c r="T2330" s="99">
        <f>S2330*H2330</f>
        <v>0</v>
      </c>
      <c r="AR2330" s="101" t="s">
        <v>218</v>
      </c>
      <c r="AT2330" s="101" t="s">
        <v>214</v>
      </c>
      <c r="AU2330" s="101" t="s">
        <v>87</v>
      </c>
      <c r="AY2330" s="23" t="s">
        <v>211</v>
      </c>
      <c r="BE2330" s="104">
        <f>IF(N2330="základní",J2330,0)</f>
        <v>25500</v>
      </c>
      <c r="BF2330" s="104">
        <f>IF(N2330="snížená",J2330,0)</f>
        <v>0</v>
      </c>
      <c r="BG2330" s="104">
        <f>IF(N2330="zákl. přenesená",J2330,0)</f>
        <v>0</v>
      </c>
      <c r="BH2330" s="104">
        <f>IF(N2330="sníž. přenesená",J2330,0)</f>
        <v>0</v>
      </c>
      <c r="BI2330" s="104">
        <f>IF(N2330="nulová",J2330,0)</f>
        <v>0</v>
      </c>
      <c r="BJ2330" s="23" t="s">
        <v>85</v>
      </c>
      <c r="BK2330" s="104">
        <f>ROUND(I2330*H2330,2)</f>
        <v>25500</v>
      </c>
      <c r="BL2330" s="23" t="s">
        <v>218</v>
      </c>
      <c r="BM2330" s="101" t="s">
        <v>3480</v>
      </c>
    </row>
    <row r="2331" spans="2:65" s="1" customFormat="1" ht="19.2">
      <c r="B2331" s="12"/>
      <c r="D2331" s="105" t="s">
        <v>227</v>
      </c>
      <c r="F2331" s="106" t="s">
        <v>3476</v>
      </c>
      <c r="I2331" s="107"/>
      <c r="L2331" s="12"/>
      <c r="M2331" s="108"/>
      <c r="T2331" s="111"/>
      <c r="AT2331" s="23" t="s">
        <v>227</v>
      </c>
      <c r="AU2331" s="23" t="s">
        <v>87</v>
      </c>
    </row>
    <row r="2332" spans="2:65" s="1" customFormat="1" ht="78" customHeight="1">
      <c r="B2332" s="12"/>
      <c r="C2332" s="71" t="s">
        <v>3481</v>
      </c>
      <c r="D2332" s="71" t="s">
        <v>214</v>
      </c>
      <c r="E2332" s="72" t="s">
        <v>3482</v>
      </c>
      <c r="F2332" s="73" t="s">
        <v>3483</v>
      </c>
      <c r="G2332" s="74" t="s">
        <v>808</v>
      </c>
      <c r="H2332" s="75">
        <v>2</v>
      </c>
      <c r="I2332" s="90">
        <v>8700</v>
      </c>
      <c r="J2332" s="91">
        <f>ROUND(I2332*H2332,2)</f>
        <v>17400</v>
      </c>
      <c r="K2332" s="92"/>
      <c r="L2332" s="12"/>
      <c r="M2332" s="93" t="s">
        <v>1</v>
      </c>
      <c r="N2332" s="94" t="s">
        <v>42</v>
      </c>
      <c r="P2332" s="95">
        <f>O2332*H2332</f>
        <v>0</v>
      </c>
      <c r="Q2332" s="95">
        <v>0</v>
      </c>
      <c r="R2332" s="95">
        <f>Q2332*H2332</f>
        <v>0</v>
      </c>
      <c r="S2332" s="95">
        <v>0</v>
      </c>
      <c r="T2332" s="99">
        <f>S2332*H2332</f>
        <v>0</v>
      </c>
      <c r="AR2332" s="101" t="s">
        <v>218</v>
      </c>
      <c r="AT2332" s="101" t="s">
        <v>214</v>
      </c>
      <c r="AU2332" s="101" t="s">
        <v>87</v>
      </c>
      <c r="AY2332" s="23" t="s">
        <v>211</v>
      </c>
      <c r="BE2332" s="104">
        <f>IF(N2332="základní",J2332,0)</f>
        <v>17400</v>
      </c>
      <c r="BF2332" s="104">
        <f>IF(N2332="snížená",J2332,0)</f>
        <v>0</v>
      </c>
      <c r="BG2332" s="104">
        <f>IF(N2332="zákl. přenesená",J2332,0)</f>
        <v>0</v>
      </c>
      <c r="BH2332" s="104">
        <f>IF(N2332="sníž. přenesená",J2332,0)</f>
        <v>0</v>
      </c>
      <c r="BI2332" s="104">
        <f>IF(N2332="nulová",J2332,0)</f>
        <v>0</v>
      </c>
      <c r="BJ2332" s="23" t="s">
        <v>85</v>
      </c>
      <c r="BK2332" s="104">
        <f>ROUND(I2332*H2332,2)</f>
        <v>17400</v>
      </c>
      <c r="BL2332" s="23" t="s">
        <v>218</v>
      </c>
      <c r="BM2332" s="101" t="s">
        <v>3484</v>
      </c>
    </row>
    <row r="2333" spans="2:65" s="1" customFormat="1" ht="19.2">
      <c r="B2333" s="12"/>
      <c r="D2333" s="105" t="s">
        <v>227</v>
      </c>
      <c r="F2333" s="106" t="s">
        <v>3476</v>
      </c>
      <c r="I2333" s="107"/>
      <c r="L2333" s="12"/>
      <c r="M2333" s="108"/>
      <c r="T2333" s="111"/>
      <c r="AT2333" s="23" t="s">
        <v>227</v>
      </c>
      <c r="AU2333" s="23" t="s">
        <v>87</v>
      </c>
    </row>
    <row r="2334" spans="2:65" s="1" customFormat="1" ht="78" customHeight="1">
      <c r="B2334" s="12"/>
      <c r="C2334" s="71" t="s">
        <v>3485</v>
      </c>
      <c r="D2334" s="71" t="s">
        <v>214</v>
      </c>
      <c r="E2334" s="72" t="s">
        <v>3486</v>
      </c>
      <c r="F2334" s="73" t="s">
        <v>3487</v>
      </c>
      <c r="G2334" s="74" t="s">
        <v>808</v>
      </c>
      <c r="H2334" s="75">
        <v>6</v>
      </c>
      <c r="I2334" s="90">
        <v>8500</v>
      </c>
      <c r="J2334" s="91">
        <f>ROUND(I2334*H2334,2)</f>
        <v>51000</v>
      </c>
      <c r="K2334" s="92"/>
      <c r="L2334" s="12"/>
      <c r="M2334" s="93" t="s">
        <v>1</v>
      </c>
      <c r="N2334" s="94" t="s">
        <v>42</v>
      </c>
      <c r="P2334" s="95">
        <f>O2334*H2334</f>
        <v>0</v>
      </c>
      <c r="Q2334" s="95">
        <v>0</v>
      </c>
      <c r="R2334" s="95">
        <f>Q2334*H2334</f>
        <v>0</v>
      </c>
      <c r="S2334" s="95">
        <v>0</v>
      </c>
      <c r="T2334" s="99">
        <f>S2334*H2334</f>
        <v>0</v>
      </c>
      <c r="AR2334" s="101" t="s">
        <v>218</v>
      </c>
      <c r="AT2334" s="101" t="s">
        <v>214</v>
      </c>
      <c r="AU2334" s="101" t="s">
        <v>87</v>
      </c>
      <c r="AY2334" s="23" t="s">
        <v>211</v>
      </c>
      <c r="BE2334" s="104">
        <f>IF(N2334="základní",J2334,0)</f>
        <v>51000</v>
      </c>
      <c r="BF2334" s="104">
        <f>IF(N2334="snížená",J2334,0)</f>
        <v>0</v>
      </c>
      <c r="BG2334" s="104">
        <f>IF(N2334="zákl. přenesená",J2334,0)</f>
        <v>0</v>
      </c>
      <c r="BH2334" s="104">
        <f>IF(N2334="sníž. přenesená",J2334,0)</f>
        <v>0</v>
      </c>
      <c r="BI2334" s="104">
        <f>IF(N2334="nulová",J2334,0)</f>
        <v>0</v>
      </c>
      <c r="BJ2334" s="23" t="s">
        <v>85</v>
      </c>
      <c r="BK2334" s="104">
        <f>ROUND(I2334*H2334,2)</f>
        <v>51000</v>
      </c>
      <c r="BL2334" s="23" t="s">
        <v>218</v>
      </c>
      <c r="BM2334" s="101" t="s">
        <v>3488</v>
      </c>
    </row>
    <row r="2335" spans="2:65" s="1" customFormat="1" ht="19.2">
      <c r="B2335" s="12"/>
      <c r="D2335" s="105" t="s">
        <v>227</v>
      </c>
      <c r="F2335" s="106" t="s">
        <v>3476</v>
      </c>
      <c r="I2335" s="107"/>
      <c r="L2335" s="12"/>
      <c r="M2335" s="108"/>
      <c r="T2335" s="111"/>
      <c r="AT2335" s="23" t="s">
        <v>227</v>
      </c>
      <c r="AU2335" s="23" t="s">
        <v>87</v>
      </c>
    </row>
    <row r="2336" spans="2:65" s="1" customFormat="1" ht="78" customHeight="1">
      <c r="B2336" s="12"/>
      <c r="C2336" s="71" t="s">
        <v>3489</v>
      </c>
      <c r="D2336" s="71" t="s">
        <v>214</v>
      </c>
      <c r="E2336" s="72" t="s">
        <v>3490</v>
      </c>
      <c r="F2336" s="73" t="s">
        <v>3491</v>
      </c>
      <c r="G2336" s="74" t="s">
        <v>808</v>
      </c>
      <c r="H2336" s="75">
        <v>1</v>
      </c>
      <c r="I2336" s="90">
        <v>8500</v>
      </c>
      <c r="J2336" s="91">
        <f>ROUND(I2336*H2336,2)</f>
        <v>8500</v>
      </c>
      <c r="K2336" s="92"/>
      <c r="L2336" s="12"/>
      <c r="M2336" s="93" t="s">
        <v>1</v>
      </c>
      <c r="N2336" s="94" t="s">
        <v>42</v>
      </c>
      <c r="P2336" s="95">
        <f>O2336*H2336</f>
        <v>0</v>
      </c>
      <c r="Q2336" s="95">
        <v>0</v>
      </c>
      <c r="R2336" s="95">
        <f>Q2336*H2336</f>
        <v>0</v>
      </c>
      <c r="S2336" s="95">
        <v>0</v>
      </c>
      <c r="T2336" s="99">
        <f>S2336*H2336</f>
        <v>0</v>
      </c>
      <c r="AR2336" s="101" t="s">
        <v>218</v>
      </c>
      <c r="AT2336" s="101" t="s">
        <v>214</v>
      </c>
      <c r="AU2336" s="101" t="s">
        <v>87</v>
      </c>
      <c r="AY2336" s="23" t="s">
        <v>211</v>
      </c>
      <c r="BE2336" s="104">
        <f>IF(N2336="základní",J2336,0)</f>
        <v>8500</v>
      </c>
      <c r="BF2336" s="104">
        <f>IF(N2336="snížená",J2336,0)</f>
        <v>0</v>
      </c>
      <c r="BG2336" s="104">
        <f>IF(N2336="zákl. přenesená",J2336,0)</f>
        <v>0</v>
      </c>
      <c r="BH2336" s="104">
        <f>IF(N2336="sníž. přenesená",J2336,0)</f>
        <v>0</v>
      </c>
      <c r="BI2336" s="104">
        <f>IF(N2336="nulová",J2336,0)</f>
        <v>0</v>
      </c>
      <c r="BJ2336" s="23" t="s">
        <v>85</v>
      </c>
      <c r="BK2336" s="104">
        <f>ROUND(I2336*H2336,2)</f>
        <v>8500</v>
      </c>
      <c r="BL2336" s="23" t="s">
        <v>218</v>
      </c>
      <c r="BM2336" s="101" t="s">
        <v>3492</v>
      </c>
    </row>
    <row r="2337" spans="2:65" s="1" customFormat="1" ht="19.2">
      <c r="B2337" s="12"/>
      <c r="D2337" s="105" t="s">
        <v>227</v>
      </c>
      <c r="F2337" s="106" t="s">
        <v>3476</v>
      </c>
      <c r="I2337" s="107"/>
      <c r="L2337" s="12"/>
      <c r="M2337" s="108"/>
      <c r="T2337" s="111"/>
      <c r="AT2337" s="23" t="s">
        <v>227</v>
      </c>
      <c r="AU2337" s="23" t="s">
        <v>87</v>
      </c>
    </row>
    <row r="2338" spans="2:65" s="1" customFormat="1" ht="78" customHeight="1">
      <c r="B2338" s="12"/>
      <c r="C2338" s="71" t="s">
        <v>3493</v>
      </c>
      <c r="D2338" s="71" t="s">
        <v>214</v>
      </c>
      <c r="E2338" s="72" t="s">
        <v>3494</v>
      </c>
      <c r="F2338" s="73" t="s">
        <v>3495</v>
      </c>
      <c r="G2338" s="74" t="s">
        <v>808</v>
      </c>
      <c r="H2338" s="75">
        <v>1</v>
      </c>
      <c r="I2338" s="90">
        <v>8500</v>
      </c>
      <c r="J2338" s="91">
        <f>ROUND(I2338*H2338,2)</f>
        <v>8500</v>
      </c>
      <c r="K2338" s="92"/>
      <c r="L2338" s="12"/>
      <c r="M2338" s="93" t="s">
        <v>1</v>
      </c>
      <c r="N2338" s="94" t="s">
        <v>42</v>
      </c>
      <c r="P2338" s="95">
        <f>O2338*H2338</f>
        <v>0</v>
      </c>
      <c r="Q2338" s="95">
        <v>0</v>
      </c>
      <c r="R2338" s="95">
        <f>Q2338*H2338</f>
        <v>0</v>
      </c>
      <c r="S2338" s="95">
        <v>0</v>
      </c>
      <c r="T2338" s="99">
        <f>S2338*H2338</f>
        <v>0</v>
      </c>
      <c r="AR2338" s="101" t="s">
        <v>218</v>
      </c>
      <c r="AT2338" s="101" t="s">
        <v>214</v>
      </c>
      <c r="AU2338" s="101" t="s">
        <v>87</v>
      </c>
      <c r="AY2338" s="23" t="s">
        <v>211</v>
      </c>
      <c r="BE2338" s="104">
        <f>IF(N2338="základní",J2338,0)</f>
        <v>8500</v>
      </c>
      <c r="BF2338" s="104">
        <f>IF(N2338="snížená",J2338,0)</f>
        <v>0</v>
      </c>
      <c r="BG2338" s="104">
        <f>IF(N2338="zákl. přenesená",J2338,0)</f>
        <v>0</v>
      </c>
      <c r="BH2338" s="104">
        <f>IF(N2338="sníž. přenesená",J2338,0)</f>
        <v>0</v>
      </c>
      <c r="BI2338" s="104">
        <f>IF(N2338="nulová",J2338,0)</f>
        <v>0</v>
      </c>
      <c r="BJ2338" s="23" t="s">
        <v>85</v>
      </c>
      <c r="BK2338" s="104">
        <f>ROUND(I2338*H2338,2)</f>
        <v>8500</v>
      </c>
      <c r="BL2338" s="23" t="s">
        <v>218</v>
      </c>
      <c r="BM2338" s="101" t="s">
        <v>3496</v>
      </c>
    </row>
    <row r="2339" spans="2:65" s="1" customFormat="1" ht="19.2">
      <c r="B2339" s="12"/>
      <c r="D2339" s="105" t="s">
        <v>227</v>
      </c>
      <c r="F2339" s="106" t="s">
        <v>3476</v>
      </c>
      <c r="I2339" s="107"/>
      <c r="L2339" s="12"/>
      <c r="M2339" s="108"/>
      <c r="T2339" s="111"/>
      <c r="AT2339" s="23" t="s">
        <v>227</v>
      </c>
      <c r="AU2339" s="23" t="s">
        <v>87</v>
      </c>
    </row>
    <row r="2340" spans="2:65" s="1" customFormat="1" ht="24.15" customHeight="1">
      <c r="B2340" s="12"/>
      <c r="C2340" s="71" t="s">
        <v>3497</v>
      </c>
      <c r="D2340" s="71" t="s">
        <v>214</v>
      </c>
      <c r="E2340" s="72" t="s">
        <v>3498</v>
      </c>
      <c r="F2340" s="73" t="s">
        <v>3499</v>
      </c>
      <c r="G2340" s="74" t="s">
        <v>2866</v>
      </c>
      <c r="H2340" s="163">
        <f>SUM(J2320:J2338)/100</f>
        <v>7606.9901</v>
      </c>
      <c r="I2340" s="90">
        <v>1.85</v>
      </c>
      <c r="J2340" s="91">
        <f>ROUND(I2340*H2340,2)</f>
        <v>14072.93</v>
      </c>
      <c r="K2340" s="92"/>
      <c r="L2340" s="12"/>
      <c r="M2340" s="93" t="s">
        <v>1</v>
      </c>
      <c r="N2340" s="94" t="s">
        <v>42</v>
      </c>
      <c r="P2340" s="95">
        <f>O2340*H2340</f>
        <v>0</v>
      </c>
      <c r="Q2340" s="95">
        <v>0</v>
      </c>
      <c r="R2340" s="95">
        <f>Q2340*H2340</f>
        <v>0</v>
      </c>
      <c r="S2340" s="95">
        <v>0</v>
      </c>
      <c r="T2340" s="99">
        <f>S2340*H2340</f>
        <v>0</v>
      </c>
      <c r="AR2340" s="101" t="s">
        <v>446</v>
      </c>
      <c r="AT2340" s="101" t="s">
        <v>214</v>
      </c>
      <c r="AU2340" s="101" t="s">
        <v>87</v>
      </c>
      <c r="AY2340" s="23" t="s">
        <v>211</v>
      </c>
      <c r="BE2340" s="104">
        <f>IF(N2340="základní",J2340,0)</f>
        <v>14072.93</v>
      </c>
      <c r="BF2340" s="104">
        <f>IF(N2340="snížená",J2340,0)</f>
        <v>0</v>
      </c>
      <c r="BG2340" s="104">
        <f>IF(N2340="zákl. přenesená",J2340,0)</f>
        <v>0</v>
      </c>
      <c r="BH2340" s="104">
        <f>IF(N2340="sníž. přenesená",J2340,0)</f>
        <v>0</v>
      </c>
      <c r="BI2340" s="104">
        <f>IF(N2340="nulová",J2340,0)</f>
        <v>0</v>
      </c>
      <c r="BJ2340" s="23" t="s">
        <v>85</v>
      </c>
      <c r="BK2340" s="104">
        <f>ROUND(I2340*H2340,2)</f>
        <v>14072.93</v>
      </c>
      <c r="BL2340" s="23" t="s">
        <v>446</v>
      </c>
      <c r="BM2340" s="101" t="s">
        <v>3500</v>
      </c>
    </row>
    <row r="2341" spans="2:65" s="31" customFormat="1" ht="23.1" customHeight="1">
      <c r="B2341" s="67"/>
      <c r="D2341" s="68" t="s">
        <v>76</v>
      </c>
      <c r="E2341" s="70" t="s">
        <v>3501</v>
      </c>
      <c r="F2341" s="70" t="s">
        <v>3502</v>
      </c>
      <c r="I2341" s="85"/>
      <c r="J2341" s="89">
        <f>BK2341</f>
        <v>2738285.79</v>
      </c>
      <c r="L2341" s="67"/>
      <c r="M2341" s="87"/>
      <c r="P2341" s="88">
        <f>SUM(P2342:P2452)</f>
        <v>0</v>
      </c>
      <c r="R2341" s="88">
        <f>SUM(R2342:R2452)</f>
        <v>43.189284450000002</v>
      </c>
      <c r="T2341" s="98">
        <f>SUM(T2342:T2452)</f>
        <v>0</v>
      </c>
      <c r="AR2341" s="68" t="s">
        <v>87</v>
      </c>
      <c r="AT2341" s="100" t="s">
        <v>76</v>
      </c>
      <c r="AU2341" s="100" t="s">
        <v>85</v>
      </c>
      <c r="AY2341" s="68" t="s">
        <v>211</v>
      </c>
      <c r="BK2341" s="103">
        <f>SUM(BK2342:BK2452)</f>
        <v>2738285.79</v>
      </c>
    </row>
    <row r="2342" spans="2:65" s="1" customFormat="1" ht="16.5" customHeight="1">
      <c r="B2342" s="12"/>
      <c r="C2342" s="71" t="s">
        <v>3503</v>
      </c>
      <c r="D2342" s="71" t="s">
        <v>214</v>
      </c>
      <c r="E2342" s="72" t="s">
        <v>3504</v>
      </c>
      <c r="F2342" s="73" t="s">
        <v>3505</v>
      </c>
      <c r="G2342" s="74" t="s">
        <v>279</v>
      </c>
      <c r="H2342" s="75">
        <v>1022.82</v>
      </c>
      <c r="I2342" s="90">
        <v>13.2</v>
      </c>
      <c r="J2342" s="91">
        <f>ROUND(I2342*H2342,2)</f>
        <v>13501.22</v>
      </c>
      <c r="K2342" s="92"/>
      <c r="L2342" s="12"/>
      <c r="M2342" s="93" t="s">
        <v>1</v>
      </c>
      <c r="N2342" s="94" t="s">
        <v>42</v>
      </c>
      <c r="P2342" s="95">
        <f>O2342*H2342</f>
        <v>0</v>
      </c>
      <c r="Q2342" s="95">
        <v>0</v>
      </c>
      <c r="R2342" s="95">
        <f>Q2342*H2342</f>
        <v>0</v>
      </c>
      <c r="S2342" s="95">
        <v>0</v>
      </c>
      <c r="T2342" s="99">
        <f>S2342*H2342</f>
        <v>0</v>
      </c>
      <c r="AR2342" s="101" t="s">
        <v>446</v>
      </c>
      <c r="AT2342" s="101" t="s">
        <v>214</v>
      </c>
      <c r="AU2342" s="101" t="s">
        <v>87</v>
      </c>
      <c r="AY2342" s="23" t="s">
        <v>211</v>
      </c>
      <c r="BE2342" s="104">
        <f>IF(N2342="základní",J2342,0)</f>
        <v>13501.22</v>
      </c>
      <c r="BF2342" s="104">
        <f>IF(N2342="snížená",J2342,0)</f>
        <v>0</v>
      </c>
      <c r="BG2342" s="104">
        <f>IF(N2342="zákl. přenesená",J2342,0)</f>
        <v>0</v>
      </c>
      <c r="BH2342" s="104">
        <f>IF(N2342="sníž. přenesená",J2342,0)</f>
        <v>0</v>
      </c>
      <c r="BI2342" s="104">
        <f>IF(N2342="nulová",J2342,0)</f>
        <v>0</v>
      </c>
      <c r="BJ2342" s="23" t="s">
        <v>85</v>
      </c>
      <c r="BK2342" s="104">
        <f>ROUND(I2342*H2342,2)</f>
        <v>13501.22</v>
      </c>
      <c r="BL2342" s="23" t="s">
        <v>446</v>
      </c>
      <c r="BM2342" s="101" t="s">
        <v>3506</v>
      </c>
    </row>
    <row r="2343" spans="2:65" s="113" customFormat="1">
      <c r="B2343" s="119"/>
      <c r="D2343" s="105" t="s">
        <v>365</v>
      </c>
      <c r="E2343" s="135" t="s">
        <v>1</v>
      </c>
      <c r="F2343" s="120" t="s">
        <v>3507</v>
      </c>
      <c r="H2343" s="121">
        <v>283.56</v>
      </c>
      <c r="I2343" s="128"/>
      <c r="L2343" s="119"/>
      <c r="M2343" s="129"/>
      <c r="T2343" s="133"/>
      <c r="AT2343" s="135" t="s">
        <v>365</v>
      </c>
      <c r="AU2343" s="135" t="s">
        <v>87</v>
      </c>
      <c r="AV2343" s="113" t="s">
        <v>87</v>
      </c>
      <c r="AW2343" s="113" t="s">
        <v>33</v>
      </c>
      <c r="AX2343" s="113" t="s">
        <v>77</v>
      </c>
      <c r="AY2343" s="135" t="s">
        <v>211</v>
      </c>
    </row>
    <row r="2344" spans="2:65" s="113" customFormat="1">
      <c r="B2344" s="119"/>
      <c r="D2344" s="105" t="s">
        <v>365</v>
      </c>
      <c r="E2344" s="135" t="s">
        <v>1</v>
      </c>
      <c r="F2344" s="120" t="s">
        <v>3508</v>
      </c>
      <c r="H2344" s="121">
        <v>330.28</v>
      </c>
      <c r="I2344" s="128"/>
      <c r="L2344" s="119"/>
      <c r="M2344" s="129"/>
      <c r="T2344" s="133"/>
      <c r="AT2344" s="135" t="s">
        <v>365</v>
      </c>
      <c r="AU2344" s="135" t="s">
        <v>87</v>
      </c>
      <c r="AV2344" s="113" t="s">
        <v>87</v>
      </c>
      <c r="AW2344" s="113" t="s">
        <v>33</v>
      </c>
      <c r="AX2344" s="113" t="s">
        <v>77</v>
      </c>
      <c r="AY2344" s="135" t="s">
        <v>211</v>
      </c>
    </row>
    <row r="2345" spans="2:65" s="113" customFormat="1">
      <c r="B2345" s="119"/>
      <c r="D2345" s="105" t="s">
        <v>365</v>
      </c>
      <c r="E2345" s="135" t="s">
        <v>1</v>
      </c>
      <c r="F2345" s="120" t="s">
        <v>3509</v>
      </c>
      <c r="H2345" s="121">
        <v>233.24</v>
      </c>
      <c r="I2345" s="128"/>
      <c r="L2345" s="119"/>
      <c r="M2345" s="129"/>
      <c r="T2345" s="133"/>
      <c r="AT2345" s="135" t="s">
        <v>365</v>
      </c>
      <c r="AU2345" s="135" t="s">
        <v>87</v>
      </c>
      <c r="AV2345" s="113" t="s">
        <v>87</v>
      </c>
      <c r="AW2345" s="113" t="s">
        <v>33</v>
      </c>
      <c r="AX2345" s="113" t="s">
        <v>77</v>
      </c>
      <c r="AY2345" s="135" t="s">
        <v>211</v>
      </c>
    </row>
    <row r="2346" spans="2:65" s="113" customFormat="1">
      <c r="B2346" s="119"/>
      <c r="D2346" s="105" t="s">
        <v>365</v>
      </c>
      <c r="E2346" s="135" t="s">
        <v>1</v>
      </c>
      <c r="F2346" s="120" t="s">
        <v>3510</v>
      </c>
      <c r="H2346" s="121">
        <v>170.41</v>
      </c>
      <c r="I2346" s="128"/>
      <c r="L2346" s="119"/>
      <c r="M2346" s="129"/>
      <c r="T2346" s="133"/>
      <c r="AT2346" s="135" t="s">
        <v>365</v>
      </c>
      <c r="AU2346" s="135" t="s">
        <v>87</v>
      </c>
      <c r="AV2346" s="113" t="s">
        <v>87</v>
      </c>
      <c r="AW2346" s="113" t="s">
        <v>33</v>
      </c>
      <c r="AX2346" s="113" t="s">
        <v>77</v>
      </c>
      <c r="AY2346" s="135" t="s">
        <v>211</v>
      </c>
    </row>
    <row r="2347" spans="2:65" s="113" customFormat="1">
      <c r="B2347" s="119"/>
      <c r="D2347" s="105" t="s">
        <v>365</v>
      </c>
      <c r="E2347" s="135" t="s">
        <v>1</v>
      </c>
      <c r="F2347" s="120" t="s">
        <v>3511</v>
      </c>
      <c r="H2347" s="121">
        <v>5.33</v>
      </c>
      <c r="I2347" s="128"/>
      <c r="L2347" s="119"/>
      <c r="M2347" s="129"/>
      <c r="T2347" s="133"/>
      <c r="AT2347" s="135" t="s">
        <v>365</v>
      </c>
      <c r="AU2347" s="135" t="s">
        <v>87</v>
      </c>
      <c r="AV2347" s="113" t="s">
        <v>87</v>
      </c>
      <c r="AW2347" s="113" t="s">
        <v>33</v>
      </c>
      <c r="AX2347" s="113" t="s">
        <v>77</v>
      </c>
      <c r="AY2347" s="135" t="s">
        <v>211</v>
      </c>
    </row>
    <row r="2348" spans="2:65" s="137" customFormat="1">
      <c r="B2348" s="141"/>
      <c r="D2348" s="105" t="s">
        <v>365</v>
      </c>
      <c r="E2348" s="142" t="s">
        <v>1</v>
      </c>
      <c r="F2348" s="143" t="s">
        <v>368</v>
      </c>
      <c r="H2348" s="144">
        <v>1022.82</v>
      </c>
      <c r="I2348" s="148"/>
      <c r="L2348" s="141"/>
      <c r="M2348" s="149"/>
      <c r="T2348" s="151"/>
      <c r="AT2348" s="142" t="s">
        <v>365</v>
      </c>
      <c r="AU2348" s="142" t="s">
        <v>87</v>
      </c>
      <c r="AV2348" s="137" t="s">
        <v>218</v>
      </c>
      <c r="AW2348" s="137" t="s">
        <v>33</v>
      </c>
      <c r="AX2348" s="137" t="s">
        <v>85</v>
      </c>
      <c r="AY2348" s="142" t="s">
        <v>211</v>
      </c>
    </row>
    <row r="2349" spans="2:65" s="1" customFormat="1" ht="16.5" customHeight="1">
      <c r="B2349" s="12"/>
      <c r="C2349" s="71" t="s">
        <v>3512</v>
      </c>
      <c r="D2349" s="71" t="s">
        <v>214</v>
      </c>
      <c r="E2349" s="72" t="s">
        <v>3513</v>
      </c>
      <c r="F2349" s="73" t="s">
        <v>3514</v>
      </c>
      <c r="G2349" s="74" t="s">
        <v>279</v>
      </c>
      <c r="H2349" s="75">
        <v>1022.82</v>
      </c>
      <c r="I2349" s="90">
        <v>51.2</v>
      </c>
      <c r="J2349" s="91">
        <f>ROUND(I2349*H2349,2)</f>
        <v>52368.38</v>
      </c>
      <c r="K2349" s="92"/>
      <c r="L2349" s="12"/>
      <c r="M2349" s="93" t="s">
        <v>1</v>
      </c>
      <c r="N2349" s="94" t="s">
        <v>42</v>
      </c>
      <c r="P2349" s="95">
        <f>O2349*H2349</f>
        <v>0</v>
      </c>
      <c r="Q2349" s="95">
        <v>2.9999999999999997E-4</v>
      </c>
      <c r="R2349" s="95">
        <f>Q2349*H2349</f>
        <v>0.30684600000000001</v>
      </c>
      <c r="S2349" s="95">
        <v>0</v>
      </c>
      <c r="T2349" s="99">
        <f>S2349*H2349</f>
        <v>0</v>
      </c>
      <c r="AR2349" s="101" t="s">
        <v>446</v>
      </c>
      <c r="AT2349" s="101" t="s">
        <v>214</v>
      </c>
      <c r="AU2349" s="101" t="s">
        <v>87</v>
      </c>
      <c r="AY2349" s="23" t="s">
        <v>211</v>
      </c>
      <c r="BE2349" s="104">
        <f>IF(N2349="základní",J2349,0)</f>
        <v>52368.38</v>
      </c>
      <c r="BF2349" s="104">
        <f>IF(N2349="snížená",J2349,0)</f>
        <v>0</v>
      </c>
      <c r="BG2349" s="104">
        <f>IF(N2349="zákl. přenesená",J2349,0)</f>
        <v>0</v>
      </c>
      <c r="BH2349" s="104">
        <f>IF(N2349="sníž. přenesená",J2349,0)</f>
        <v>0</v>
      </c>
      <c r="BI2349" s="104">
        <f>IF(N2349="nulová",J2349,0)</f>
        <v>0</v>
      </c>
      <c r="BJ2349" s="23" t="s">
        <v>85</v>
      </c>
      <c r="BK2349" s="104">
        <f>ROUND(I2349*H2349,2)</f>
        <v>52368.38</v>
      </c>
      <c r="BL2349" s="23" t="s">
        <v>446</v>
      </c>
      <c r="BM2349" s="101" t="s">
        <v>3515</v>
      </c>
    </row>
    <row r="2350" spans="2:65" s="113" customFormat="1">
      <c r="B2350" s="119"/>
      <c r="D2350" s="105" t="s">
        <v>365</v>
      </c>
      <c r="E2350" s="135" t="s">
        <v>1</v>
      </c>
      <c r="F2350" s="120" t="s">
        <v>3507</v>
      </c>
      <c r="H2350" s="121">
        <v>283.56</v>
      </c>
      <c r="I2350" s="128"/>
      <c r="L2350" s="119"/>
      <c r="M2350" s="129"/>
      <c r="T2350" s="133"/>
      <c r="AT2350" s="135" t="s">
        <v>365</v>
      </c>
      <c r="AU2350" s="135" t="s">
        <v>87</v>
      </c>
      <c r="AV2350" s="113" t="s">
        <v>87</v>
      </c>
      <c r="AW2350" s="113" t="s">
        <v>33</v>
      </c>
      <c r="AX2350" s="113" t="s">
        <v>77</v>
      </c>
      <c r="AY2350" s="135" t="s">
        <v>211</v>
      </c>
    </row>
    <row r="2351" spans="2:65" s="113" customFormat="1">
      <c r="B2351" s="119"/>
      <c r="D2351" s="105" t="s">
        <v>365</v>
      </c>
      <c r="E2351" s="135" t="s">
        <v>1</v>
      </c>
      <c r="F2351" s="120" t="s">
        <v>3508</v>
      </c>
      <c r="H2351" s="121">
        <v>330.28</v>
      </c>
      <c r="I2351" s="128"/>
      <c r="L2351" s="119"/>
      <c r="M2351" s="129"/>
      <c r="T2351" s="133"/>
      <c r="AT2351" s="135" t="s">
        <v>365</v>
      </c>
      <c r="AU2351" s="135" t="s">
        <v>87</v>
      </c>
      <c r="AV2351" s="113" t="s">
        <v>87</v>
      </c>
      <c r="AW2351" s="113" t="s">
        <v>33</v>
      </c>
      <c r="AX2351" s="113" t="s">
        <v>77</v>
      </c>
      <c r="AY2351" s="135" t="s">
        <v>211</v>
      </c>
    </row>
    <row r="2352" spans="2:65" s="113" customFormat="1">
      <c r="B2352" s="119"/>
      <c r="D2352" s="105" t="s">
        <v>365</v>
      </c>
      <c r="E2352" s="135" t="s">
        <v>1</v>
      </c>
      <c r="F2352" s="120" t="s">
        <v>3509</v>
      </c>
      <c r="H2352" s="121">
        <v>233.24</v>
      </c>
      <c r="I2352" s="128"/>
      <c r="L2352" s="119"/>
      <c r="M2352" s="129"/>
      <c r="T2352" s="133"/>
      <c r="AT2352" s="135" t="s">
        <v>365</v>
      </c>
      <c r="AU2352" s="135" t="s">
        <v>87</v>
      </c>
      <c r="AV2352" s="113" t="s">
        <v>87</v>
      </c>
      <c r="AW2352" s="113" t="s">
        <v>33</v>
      </c>
      <c r="AX2352" s="113" t="s">
        <v>77</v>
      </c>
      <c r="AY2352" s="135" t="s">
        <v>211</v>
      </c>
    </row>
    <row r="2353" spans="2:65" s="113" customFormat="1">
      <c r="B2353" s="119"/>
      <c r="D2353" s="105" t="s">
        <v>365</v>
      </c>
      <c r="E2353" s="135" t="s">
        <v>1</v>
      </c>
      <c r="F2353" s="120" t="s">
        <v>3510</v>
      </c>
      <c r="H2353" s="121">
        <v>170.41</v>
      </c>
      <c r="I2353" s="128"/>
      <c r="L2353" s="119"/>
      <c r="M2353" s="129"/>
      <c r="T2353" s="133"/>
      <c r="AT2353" s="135" t="s">
        <v>365</v>
      </c>
      <c r="AU2353" s="135" t="s">
        <v>87</v>
      </c>
      <c r="AV2353" s="113" t="s">
        <v>87</v>
      </c>
      <c r="AW2353" s="113" t="s">
        <v>33</v>
      </c>
      <c r="AX2353" s="113" t="s">
        <v>77</v>
      </c>
      <c r="AY2353" s="135" t="s">
        <v>211</v>
      </c>
    </row>
    <row r="2354" spans="2:65" s="113" customFormat="1">
      <c r="B2354" s="119"/>
      <c r="D2354" s="105" t="s">
        <v>365</v>
      </c>
      <c r="E2354" s="135" t="s">
        <v>1</v>
      </c>
      <c r="F2354" s="120" t="s">
        <v>3511</v>
      </c>
      <c r="H2354" s="121">
        <v>5.33</v>
      </c>
      <c r="I2354" s="128"/>
      <c r="L2354" s="119"/>
      <c r="M2354" s="129"/>
      <c r="T2354" s="133"/>
      <c r="AT2354" s="135" t="s">
        <v>365</v>
      </c>
      <c r="AU2354" s="135" t="s">
        <v>87</v>
      </c>
      <c r="AV2354" s="113" t="s">
        <v>87</v>
      </c>
      <c r="AW2354" s="113" t="s">
        <v>33</v>
      </c>
      <c r="AX2354" s="113" t="s">
        <v>77</v>
      </c>
      <c r="AY2354" s="135" t="s">
        <v>211</v>
      </c>
    </row>
    <row r="2355" spans="2:65" s="137" customFormat="1">
      <c r="B2355" s="141"/>
      <c r="D2355" s="105" t="s">
        <v>365</v>
      </c>
      <c r="E2355" s="142" t="s">
        <v>1</v>
      </c>
      <c r="F2355" s="143" t="s">
        <v>368</v>
      </c>
      <c r="H2355" s="144">
        <v>1022.82</v>
      </c>
      <c r="I2355" s="148"/>
      <c r="L2355" s="141"/>
      <c r="M2355" s="149"/>
      <c r="T2355" s="151"/>
      <c r="AT2355" s="142" t="s">
        <v>365</v>
      </c>
      <c r="AU2355" s="142" t="s">
        <v>87</v>
      </c>
      <c r="AV2355" s="137" t="s">
        <v>218</v>
      </c>
      <c r="AW2355" s="137" t="s">
        <v>33</v>
      </c>
      <c r="AX2355" s="137" t="s">
        <v>85</v>
      </c>
      <c r="AY2355" s="142" t="s">
        <v>211</v>
      </c>
    </row>
    <row r="2356" spans="2:65" s="1" customFormat="1" ht="24.15" customHeight="1">
      <c r="B2356" s="12"/>
      <c r="C2356" s="71" t="s">
        <v>3516</v>
      </c>
      <c r="D2356" s="71" t="s">
        <v>214</v>
      </c>
      <c r="E2356" s="72" t="s">
        <v>3517</v>
      </c>
      <c r="F2356" s="73" t="s">
        <v>3518</v>
      </c>
      <c r="G2356" s="74" t="s">
        <v>444</v>
      </c>
      <c r="H2356" s="75">
        <v>788.45500000000004</v>
      </c>
      <c r="I2356" s="90">
        <v>120</v>
      </c>
      <c r="J2356" s="91">
        <f>ROUND(I2356*H2356,2)</f>
        <v>94614.6</v>
      </c>
      <c r="K2356" s="92"/>
      <c r="L2356" s="12"/>
      <c r="M2356" s="93" t="s">
        <v>1</v>
      </c>
      <c r="N2356" s="94" t="s">
        <v>42</v>
      </c>
      <c r="P2356" s="95">
        <f>O2356*H2356</f>
        <v>0</v>
      </c>
      <c r="Q2356" s="95">
        <v>4.2999999999999999E-4</v>
      </c>
      <c r="R2356" s="95">
        <f>Q2356*H2356</f>
        <v>0.33903565000000002</v>
      </c>
      <c r="S2356" s="95">
        <v>0</v>
      </c>
      <c r="T2356" s="99">
        <f>S2356*H2356</f>
        <v>0</v>
      </c>
      <c r="AR2356" s="101" t="s">
        <v>446</v>
      </c>
      <c r="AT2356" s="101" t="s">
        <v>214</v>
      </c>
      <c r="AU2356" s="101" t="s">
        <v>87</v>
      </c>
      <c r="AY2356" s="23" t="s">
        <v>211</v>
      </c>
      <c r="BE2356" s="104">
        <f>IF(N2356="základní",J2356,0)</f>
        <v>94614.6</v>
      </c>
      <c r="BF2356" s="104">
        <f>IF(N2356="snížená",J2356,0)</f>
        <v>0</v>
      </c>
      <c r="BG2356" s="104">
        <f>IF(N2356="zákl. přenesená",J2356,0)</f>
        <v>0</v>
      </c>
      <c r="BH2356" s="104">
        <f>IF(N2356="sníž. přenesená",J2356,0)</f>
        <v>0</v>
      </c>
      <c r="BI2356" s="104">
        <f>IF(N2356="nulová",J2356,0)</f>
        <v>0</v>
      </c>
      <c r="BJ2356" s="23" t="s">
        <v>85</v>
      </c>
      <c r="BK2356" s="104">
        <f>ROUND(I2356*H2356,2)</f>
        <v>94614.6</v>
      </c>
      <c r="BL2356" s="23" t="s">
        <v>446</v>
      </c>
      <c r="BM2356" s="101" t="s">
        <v>3519</v>
      </c>
    </row>
    <row r="2357" spans="2:65" s="136" customFormat="1">
      <c r="B2357" s="138"/>
      <c r="D2357" s="105" t="s">
        <v>365</v>
      </c>
      <c r="E2357" s="139" t="s">
        <v>1</v>
      </c>
      <c r="F2357" s="140" t="s">
        <v>3520</v>
      </c>
      <c r="H2357" s="139" t="s">
        <v>1</v>
      </c>
      <c r="I2357" s="146"/>
      <c r="L2357" s="138"/>
      <c r="M2357" s="147"/>
      <c r="T2357" s="150"/>
      <c r="AT2357" s="139" t="s">
        <v>365</v>
      </c>
      <c r="AU2357" s="139" t="s">
        <v>87</v>
      </c>
      <c r="AV2357" s="136" t="s">
        <v>85</v>
      </c>
      <c r="AW2357" s="136" t="s">
        <v>33</v>
      </c>
      <c r="AX2357" s="136" t="s">
        <v>77</v>
      </c>
      <c r="AY2357" s="139" t="s">
        <v>211</v>
      </c>
    </row>
    <row r="2358" spans="2:65" s="113" customFormat="1">
      <c r="B2358" s="119"/>
      <c r="D2358" s="105" t="s">
        <v>365</v>
      </c>
      <c r="E2358" s="135" t="s">
        <v>1</v>
      </c>
      <c r="F2358" s="120" t="s">
        <v>3521</v>
      </c>
      <c r="H2358" s="121">
        <v>101.44</v>
      </c>
      <c r="I2358" s="128"/>
      <c r="L2358" s="119"/>
      <c r="M2358" s="129"/>
      <c r="T2358" s="133"/>
      <c r="AT2358" s="135" t="s">
        <v>365</v>
      </c>
      <c r="AU2358" s="135" t="s">
        <v>87</v>
      </c>
      <c r="AV2358" s="113" t="s">
        <v>87</v>
      </c>
      <c r="AW2358" s="113" t="s">
        <v>33</v>
      </c>
      <c r="AX2358" s="113" t="s">
        <v>77</v>
      </c>
      <c r="AY2358" s="135" t="s">
        <v>211</v>
      </c>
    </row>
    <row r="2359" spans="2:65" s="113" customFormat="1">
      <c r="B2359" s="119"/>
      <c r="D2359" s="105" t="s">
        <v>365</v>
      </c>
      <c r="E2359" s="135" t="s">
        <v>1</v>
      </c>
      <c r="F2359" s="120" t="s">
        <v>3522</v>
      </c>
      <c r="H2359" s="121">
        <v>87.05</v>
      </c>
      <c r="I2359" s="128"/>
      <c r="L2359" s="119"/>
      <c r="M2359" s="129"/>
      <c r="T2359" s="133"/>
      <c r="AT2359" s="135" t="s">
        <v>365</v>
      </c>
      <c r="AU2359" s="135" t="s">
        <v>87</v>
      </c>
      <c r="AV2359" s="113" t="s">
        <v>87</v>
      </c>
      <c r="AW2359" s="113" t="s">
        <v>33</v>
      </c>
      <c r="AX2359" s="113" t="s">
        <v>77</v>
      </c>
      <c r="AY2359" s="135" t="s">
        <v>211</v>
      </c>
    </row>
    <row r="2360" spans="2:65" s="113" customFormat="1">
      <c r="B2360" s="119"/>
      <c r="D2360" s="105" t="s">
        <v>365</v>
      </c>
      <c r="E2360" s="135" t="s">
        <v>1</v>
      </c>
      <c r="F2360" s="120" t="s">
        <v>3523</v>
      </c>
      <c r="H2360" s="121">
        <v>80.48</v>
      </c>
      <c r="I2360" s="128"/>
      <c r="L2360" s="119"/>
      <c r="M2360" s="129"/>
      <c r="T2360" s="133"/>
      <c r="AT2360" s="135" t="s">
        <v>365</v>
      </c>
      <c r="AU2360" s="135" t="s">
        <v>87</v>
      </c>
      <c r="AV2360" s="113" t="s">
        <v>87</v>
      </c>
      <c r="AW2360" s="113" t="s">
        <v>33</v>
      </c>
      <c r="AX2360" s="113" t="s">
        <v>77</v>
      </c>
      <c r="AY2360" s="135" t="s">
        <v>211</v>
      </c>
    </row>
    <row r="2361" spans="2:65" s="113" customFormat="1">
      <c r="B2361" s="119"/>
      <c r="D2361" s="105" t="s">
        <v>365</v>
      </c>
      <c r="E2361" s="135" t="s">
        <v>1</v>
      </c>
      <c r="F2361" s="120" t="s">
        <v>3524</v>
      </c>
      <c r="H2361" s="121">
        <v>80.37</v>
      </c>
      <c r="I2361" s="128"/>
      <c r="L2361" s="119"/>
      <c r="M2361" s="129"/>
      <c r="T2361" s="133"/>
      <c r="AT2361" s="135" t="s">
        <v>365</v>
      </c>
      <c r="AU2361" s="135" t="s">
        <v>87</v>
      </c>
      <c r="AV2361" s="113" t="s">
        <v>87</v>
      </c>
      <c r="AW2361" s="113" t="s">
        <v>33</v>
      </c>
      <c r="AX2361" s="113" t="s">
        <v>77</v>
      </c>
      <c r="AY2361" s="135" t="s">
        <v>211</v>
      </c>
    </row>
    <row r="2362" spans="2:65" s="136" customFormat="1">
      <c r="B2362" s="138"/>
      <c r="D2362" s="105" t="s">
        <v>365</v>
      </c>
      <c r="E2362" s="139" t="s">
        <v>1</v>
      </c>
      <c r="F2362" s="140" t="s">
        <v>3525</v>
      </c>
      <c r="H2362" s="139" t="s">
        <v>1</v>
      </c>
      <c r="I2362" s="146"/>
      <c r="L2362" s="138"/>
      <c r="M2362" s="147"/>
      <c r="T2362" s="150"/>
      <c r="AT2362" s="139" t="s">
        <v>365</v>
      </c>
      <c r="AU2362" s="139" t="s">
        <v>87</v>
      </c>
      <c r="AV2362" s="136" t="s">
        <v>85</v>
      </c>
      <c r="AW2362" s="136" t="s">
        <v>33</v>
      </c>
      <c r="AX2362" s="136" t="s">
        <v>77</v>
      </c>
      <c r="AY2362" s="139" t="s">
        <v>211</v>
      </c>
    </row>
    <row r="2363" spans="2:65" s="113" customFormat="1">
      <c r="B2363" s="119"/>
      <c r="D2363" s="105" t="s">
        <v>365</v>
      </c>
      <c r="E2363" s="135" t="s">
        <v>1</v>
      </c>
      <c r="F2363" s="120" t="s">
        <v>3526</v>
      </c>
      <c r="H2363" s="121">
        <v>52.534999999999997</v>
      </c>
      <c r="I2363" s="128"/>
      <c r="L2363" s="119"/>
      <c r="M2363" s="129"/>
      <c r="T2363" s="133"/>
      <c r="AT2363" s="135" t="s">
        <v>365</v>
      </c>
      <c r="AU2363" s="135" t="s">
        <v>87</v>
      </c>
      <c r="AV2363" s="113" t="s">
        <v>87</v>
      </c>
      <c r="AW2363" s="113" t="s">
        <v>33</v>
      </c>
      <c r="AX2363" s="113" t="s">
        <v>77</v>
      </c>
      <c r="AY2363" s="135" t="s">
        <v>211</v>
      </c>
    </row>
    <row r="2364" spans="2:65" s="113" customFormat="1">
      <c r="B2364" s="119"/>
      <c r="D2364" s="105" t="s">
        <v>365</v>
      </c>
      <c r="E2364" s="135" t="s">
        <v>1</v>
      </c>
      <c r="F2364" s="120" t="s">
        <v>3527</v>
      </c>
      <c r="H2364" s="121">
        <v>97.385000000000005</v>
      </c>
      <c r="I2364" s="128"/>
      <c r="L2364" s="119"/>
      <c r="M2364" s="129"/>
      <c r="T2364" s="133"/>
      <c r="AT2364" s="135" t="s">
        <v>365</v>
      </c>
      <c r="AU2364" s="135" t="s">
        <v>87</v>
      </c>
      <c r="AV2364" s="113" t="s">
        <v>87</v>
      </c>
      <c r="AW2364" s="113" t="s">
        <v>33</v>
      </c>
      <c r="AX2364" s="113" t="s">
        <v>77</v>
      </c>
      <c r="AY2364" s="135" t="s">
        <v>211</v>
      </c>
    </row>
    <row r="2365" spans="2:65" s="113" customFormat="1">
      <c r="B2365" s="119"/>
      <c r="D2365" s="105" t="s">
        <v>365</v>
      </c>
      <c r="E2365" s="135" t="s">
        <v>1</v>
      </c>
      <c r="F2365" s="120" t="s">
        <v>3528</v>
      </c>
      <c r="H2365" s="121">
        <v>79.515000000000001</v>
      </c>
      <c r="I2365" s="128"/>
      <c r="L2365" s="119"/>
      <c r="M2365" s="129"/>
      <c r="T2365" s="133"/>
      <c r="AT2365" s="135" t="s">
        <v>365</v>
      </c>
      <c r="AU2365" s="135" t="s">
        <v>87</v>
      </c>
      <c r="AV2365" s="113" t="s">
        <v>87</v>
      </c>
      <c r="AW2365" s="113" t="s">
        <v>33</v>
      </c>
      <c r="AX2365" s="113" t="s">
        <v>77</v>
      </c>
      <c r="AY2365" s="135" t="s">
        <v>211</v>
      </c>
    </row>
    <row r="2366" spans="2:65" s="113" customFormat="1">
      <c r="B2366" s="119"/>
      <c r="D2366" s="105" t="s">
        <v>365</v>
      </c>
      <c r="E2366" s="135" t="s">
        <v>1</v>
      </c>
      <c r="F2366" s="120" t="s">
        <v>3529</v>
      </c>
      <c r="H2366" s="121">
        <v>101.89</v>
      </c>
      <c r="I2366" s="128"/>
      <c r="L2366" s="119"/>
      <c r="M2366" s="129"/>
      <c r="T2366" s="133"/>
      <c r="AT2366" s="135" t="s">
        <v>365</v>
      </c>
      <c r="AU2366" s="135" t="s">
        <v>87</v>
      </c>
      <c r="AV2366" s="113" t="s">
        <v>87</v>
      </c>
      <c r="AW2366" s="113" t="s">
        <v>33</v>
      </c>
      <c r="AX2366" s="113" t="s">
        <v>77</v>
      </c>
      <c r="AY2366" s="135" t="s">
        <v>211</v>
      </c>
    </row>
    <row r="2367" spans="2:65" s="136" customFormat="1">
      <c r="B2367" s="138"/>
      <c r="D2367" s="105" t="s">
        <v>365</v>
      </c>
      <c r="E2367" s="139" t="s">
        <v>1</v>
      </c>
      <c r="F2367" s="140" t="s">
        <v>3530</v>
      </c>
      <c r="H2367" s="139" t="s">
        <v>1</v>
      </c>
      <c r="I2367" s="146"/>
      <c r="L2367" s="138"/>
      <c r="M2367" s="147"/>
      <c r="T2367" s="150"/>
      <c r="AT2367" s="139" t="s">
        <v>365</v>
      </c>
      <c r="AU2367" s="139" t="s">
        <v>87</v>
      </c>
      <c r="AV2367" s="136" t="s">
        <v>85</v>
      </c>
      <c r="AW2367" s="136" t="s">
        <v>33</v>
      </c>
      <c r="AX2367" s="136" t="s">
        <v>77</v>
      </c>
      <c r="AY2367" s="139" t="s">
        <v>211</v>
      </c>
    </row>
    <row r="2368" spans="2:65" s="113" customFormat="1">
      <c r="B2368" s="119"/>
      <c r="D2368" s="105" t="s">
        <v>365</v>
      </c>
      <c r="E2368" s="135" t="s">
        <v>1</v>
      </c>
      <c r="F2368" s="120" t="s">
        <v>3531</v>
      </c>
      <c r="H2368" s="121">
        <v>107.79</v>
      </c>
      <c r="I2368" s="128"/>
      <c r="L2368" s="119"/>
      <c r="M2368" s="129"/>
      <c r="T2368" s="133"/>
      <c r="AT2368" s="135" t="s">
        <v>365</v>
      </c>
      <c r="AU2368" s="135" t="s">
        <v>87</v>
      </c>
      <c r="AV2368" s="113" t="s">
        <v>87</v>
      </c>
      <c r="AW2368" s="113" t="s">
        <v>33</v>
      </c>
      <c r="AX2368" s="113" t="s">
        <v>77</v>
      </c>
      <c r="AY2368" s="135" t="s">
        <v>211</v>
      </c>
    </row>
    <row r="2369" spans="2:65" s="137" customFormat="1">
      <c r="B2369" s="141"/>
      <c r="D2369" s="105" t="s">
        <v>365</v>
      </c>
      <c r="E2369" s="142" t="s">
        <v>1</v>
      </c>
      <c r="F2369" s="143" t="s">
        <v>368</v>
      </c>
      <c r="H2369" s="144">
        <v>788.45500000000004</v>
      </c>
      <c r="I2369" s="148"/>
      <c r="L2369" s="141"/>
      <c r="M2369" s="149"/>
      <c r="T2369" s="151"/>
      <c r="AT2369" s="142" t="s">
        <v>365</v>
      </c>
      <c r="AU2369" s="142" t="s">
        <v>87</v>
      </c>
      <c r="AV2369" s="137" t="s">
        <v>218</v>
      </c>
      <c r="AW2369" s="137" t="s">
        <v>33</v>
      </c>
      <c r="AX2369" s="137" t="s">
        <v>85</v>
      </c>
      <c r="AY2369" s="142" t="s">
        <v>211</v>
      </c>
    </row>
    <row r="2370" spans="2:65" s="1" customFormat="1" ht="66.75" customHeight="1">
      <c r="B2370" s="12"/>
      <c r="C2370" s="114" t="s">
        <v>3532</v>
      </c>
      <c r="D2370" s="114" t="s">
        <v>438</v>
      </c>
      <c r="E2370" s="115" t="s">
        <v>3533</v>
      </c>
      <c r="F2370" s="116" t="s">
        <v>3534</v>
      </c>
      <c r="G2370" s="117" t="s">
        <v>279</v>
      </c>
      <c r="H2370" s="118">
        <v>120.52200000000001</v>
      </c>
      <c r="I2370" s="122">
        <v>899</v>
      </c>
      <c r="J2370" s="123">
        <f>ROUND(I2370*H2370,2)</f>
        <v>108349.28</v>
      </c>
      <c r="K2370" s="124"/>
      <c r="L2370" s="125"/>
      <c r="M2370" s="126" t="s">
        <v>1</v>
      </c>
      <c r="N2370" s="127" t="s">
        <v>42</v>
      </c>
      <c r="P2370" s="95">
        <f>O2370*H2370</f>
        <v>0</v>
      </c>
      <c r="Q2370" s="95">
        <v>2.1000000000000001E-2</v>
      </c>
      <c r="R2370" s="95">
        <f>Q2370*H2370</f>
        <v>2.5309620000000002</v>
      </c>
      <c r="S2370" s="95">
        <v>0</v>
      </c>
      <c r="T2370" s="99">
        <f>S2370*H2370</f>
        <v>0</v>
      </c>
      <c r="AR2370" s="101" t="s">
        <v>527</v>
      </c>
      <c r="AT2370" s="101" t="s">
        <v>438</v>
      </c>
      <c r="AU2370" s="101" t="s">
        <v>87</v>
      </c>
      <c r="AY2370" s="23" t="s">
        <v>211</v>
      </c>
      <c r="BE2370" s="104">
        <f>IF(N2370="základní",J2370,0)</f>
        <v>108349.28</v>
      </c>
      <c r="BF2370" s="104">
        <f>IF(N2370="snížená",J2370,0)</f>
        <v>0</v>
      </c>
      <c r="BG2370" s="104">
        <f>IF(N2370="zákl. přenesená",J2370,0)</f>
        <v>0</v>
      </c>
      <c r="BH2370" s="104">
        <f>IF(N2370="sníž. přenesená",J2370,0)</f>
        <v>0</v>
      </c>
      <c r="BI2370" s="104">
        <f>IF(N2370="nulová",J2370,0)</f>
        <v>0</v>
      </c>
      <c r="BJ2370" s="23" t="s">
        <v>85</v>
      </c>
      <c r="BK2370" s="104">
        <f>ROUND(I2370*H2370,2)</f>
        <v>108349.28</v>
      </c>
      <c r="BL2370" s="23" t="s">
        <v>446</v>
      </c>
      <c r="BM2370" s="101" t="s">
        <v>3535</v>
      </c>
    </row>
    <row r="2371" spans="2:65" s="136" customFormat="1">
      <c r="B2371" s="138"/>
      <c r="D2371" s="105" t="s">
        <v>365</v>
      </c>
      <c r="E2371" s="139" t="s">
        <v>1</v>
      </c>
      <c r="F2371" s="140" t="s">
        <v>3520</v>
      </c>
      <c r="H2371" s="139" t="s">
        <v>1</v>
      </c>
      <c r="I2371" s="146"/>
      <c r="L2371" s="138"/>
      <c r="M2371" s="147"/>
      <c r="T2371" s="150"/>
      <c r="AT2371" s="139" t="s">
        <v>365</v>
      </c>
      <c r="AU2371" s="139" t="s">
        <v>87</v>
      </c>
      <c r="AV2371" s="136" t="s">
        <v>85</v>
      </c>
      <c r="AW2371" s="136" t="s">
        <v>33</v>
      </c>
      <c r="AX2371" s="136" t="s">
        <v>77</v>
      </c>
      <c r="AY2371" s="139" t="s">
        <v>211</v>
      </c>
    </row>
    <row r="2372" spans="2:65" s="113" customFormat="1">
      <c r="B2372" s="119"/>
      <c r="D2372" s="105" t="s">
        <v>365</v>
      </c>
      <c r="E2372" s="135" t="s">
        <v>1</v>
      </c>
      <c r="F2372" s="120" t="s">
        <v>3536</v>
      </c>
      <c r="H2372" s="121">
        <v>30.431999999999999</v>
      </c>
      <c r="I2372" s="128"/>
      <c r="L2372" s="119"/>
      <c r="M2372" s="129"/>
      <c r="T2372" s="133"/>
      <c r="AT2372" s="135" t="s">
        <v>365</v>
      </c>
      <c r="AU2372" s="135" t="s">
        <v>87</v>
      </c>
      <c r="AV2372" s="113" t="s">
        <v>87</v>
      </c>
      <c r="AW2372" s="113" t="s">
        <v>33</v>
      </c>
      <c r="AX2372" s="113" t="s">
        <v>77</v>
      </c>
      <c r="AY2372" s="135" t="s">
        <v>211</v>
      </c>
    </row>
    <row r="2373" spans="2:65" s="113" customFormat="1">
      <c r="B2373" s="119"/>
      <c r="D2373" s="105" t="s">
        <v>365</v>
      </c>
      <c r="E2373" s="135" t="s">
        <v>1</v>
      </c>
      <c r="F2373" s="120" t="s">
        <v>3537</v>
      </c>
      <c r="H2373" s="121">
        <v>26.114999999999998</v>
      </c>
      <c r="I2373" s="128"/>
      <c r="L2373" s="119"/>
      <c r="M2373" s="129"/>
      <c r="T2373" s="133"/>
      <c r="AT2373" s="135" t="s">
        <v>365</v>
      </c>
      <c r="AU2373" s="135" t="s">
        <v>87</v>
      </c>
      <c r="AV2373" s="113" t="s">
        <v>87</v>
      </c>
      <c r="AW2373" s="113" t="s">
        <v>33</v>
      </c>
      <c r="AX2373" s="113" t="s">
        <v>77</v>
      </c>
      <c r="AY2373" s="135" t="s">
        <v>211</v>
      </c>
    </row>
    <row r="2374" spans="2:65" s="113" customFormat="1">
      <c r="B2374" s="119"/>
      <c r="D2374" s="105" t="s">
        <v>365</v>
      </c>
      <c r="E2374" s="135" t="s">
        <v>1</v>
      </c>
      <c r="F2374" s="120" t="s">
        <v>3538</v>
      </c>
      <c r="H2374" s="121">
        <v>24.143999999999998</v>
      </c>
      <c r="I2374" s="128"/>
      <c r="L2374" s="119"/>
      <c r="M2374" s="129"/>
      <c r="T2374" s="133"/>
      <c r="AT2374" s="135" t="s">
        <v>365</v>
      </c>
      <c r="AU2374" s="135" t="s">
        <v>87</v>
      </c>
      <c r="AV2374" s="113" t="s">
        <v>87</v>
      </c>
      <c r="AW2374" s="113" t="s">
        <v>33</v>
      </c>
      <c r="AX2374" s="113" t="s">
        <v>77</v>
      </c>
      <c r="AY2374" s="135" t="s">
        <v>211</v>
      </c>
    </row>
    <row r="2375" spans="2:65" s="113" customFormat="1">
      <c r="B2375" s="119"/>
      <c r="D2375" s="105" t="s">
        <v>365</v>
      </c>
      <c r="E2375" s="135" t="s">
        <v>1</v>
      </c>
      <c r="F2375" s="120" t="s">
        <v>3539</v>
      </c>
      <c r="H2375" s="121">
        <v>24.111000000000001</v>
      </c>
      <c r="I2375" s="128"/>
      <c r="L2375" s="119"/>
      <c r="M2375" s="129"/>
      <c r="T2375" s="133"/>
      <c r="AT2375" s="135" t="s">
        <v>365</v>
      </c>
      <c r="AU2375" s="135" t="s">
        <v>87</v>
      </c>
      <c r="AV2375" s="113" t="s">
        <v>87</v>
      </c>
      <c r="AW2375" s="113" t="s">
        <v>33</v>
      </c>
      <c r="AX2375" s="113" t="s">
        <v>77</v>
      </c>
      <c r="AY2375" s="135" t="s">
        <v>211</v>
      </c>
    </row>
    <row r="2376" spans="2:65" s="137" customFormat="1">
      <c r="B2376" s="141"/>
      <c r="D2376" s="105" t="s">
        <v>365</v>
      </c>
      <c r="E2376" s="142" t="s">
        <v>1</v>
      </c>
      <c r="F2376" s="143" t="s">
        <v>368</v>
      </c>
      <c r="H2376" s="144">
        <v>104.80200000000001</v>
      </c>
      <c r="I2376" s="148"/>
      <c r="L2376" s="141"/>
      <c r="M2376" s="149"/>
      <c r="T2376" s="151"/>
      <c r="AT2376" s="142" t="s">
        <v>365</v>
      </c>
      <c r="AU2376" s="142" t="s">
        <v>87</v>
      </c>
      <c r="AV2376" s="137" t="s">
        <v>218</v>
      </c>
      <c r="AW2376" s="137" t="s">
        <v>33</v>
      </c>
      <c r="AX2376" s="137" t="s">
        <v>85</v>
      </c>
      <c r="AY2376" s="142" t="s">
        <v>211</v>
      </c>
    </row>
    <row r="2377" spans="2:65" s="113" customFormat="1">
      <c r="B2377" s="119"/>
      <c r="D2377" s="105" t="s">
        <v>365</v>
      </c>
      <c r="F2377" s="120" t="s">
        <v>3540</v>
      </c>
      <c r="H2377" s="121">
        <v>120.52200000000001</v>
      </c>
      <c r="I2377" s="128"/>
      <c r="L2377" s="119"/>
      <c r="M2377" s="129"/>
      <c r="T2377" s="133"/>
      <c r="AT2377" s="135" t="s">
        <v>365</v>
      </c>
      <c r="AU2377" s="135" t="s">
        <v>87</v>
      </c>
      <c r="AV2377" s="113" t="s">
        <v>87</v>
      </c>
      <c r="AW2377" s="113" t="s">
        <v>4</v>
      </c>
      <c r="AX2377" s="113" t="s">
        <v>85</v>
      </c>
      <c r="AY2377" s="135" t="s">
        <v>211</v>
      </c>
    </row>
    <row r="2378" spans="2:65" s="1" customFormat="1" ht="66.75" customHeight="1">
      <c r="B2378" s="12"/>
      <c r="C2378" s="114" t="s">
        <v>3541</v>
      </c>
      <c r="D2378" s="114" t="s">
        <v>438</v>
      </c>
      <c r="E2378" s="115" t="s">
        <v>3542</v>
      </c>
      <c r="F2378" s="116" t="s">
        <v>3543</v>
      </c>
      <c r="G2378" s="117" t="s">
        <v>279</v>
      </c>
      <c r="H2378" s="118">
        <v>151.501</v>
      </c>
      <c r="I2378" s="122">
        <v>940</v>
      </c>
      <c r="J2378" s="123">
        <f>ROUND(I2378*H2378,2)</f>
        <v>142410.94</v>
      </c>
      <c r="K2378" s="124"/>
      <c r="L2378" s="125"/>
      <c r="M2378" s="126" t="s">
        <v>1</v>
      </c>
      <c r="N2378" s="127" t="s">
        <v>42</v>
      </c>
      <c r="P2378" s="95">
        <f>O2378*H2378</f>
        <v>0</v>
      </c>
      <c r="Q2378" s="95">
        <v>2.3E-2</v>
      </c>
      <c r="R2378" s="95">
        <f>Q2378*H2378</f>
        <v>3.4845229999999998</v>
      </c>
      <c r="S2378" s="95">
        <v>0</v>
      </c>
      <c r="T2378" s="99">
        <f>S2378*H2378</f>
        <v>0</v>
      </c>
      <c r="AR2378" s="101" t="s">
        <v>527</v>
      </c>
      <c r="AT2378" s="101" t="s">
        <v>438</v>
      </c>
      <c r="AU2378" s="101" t="s">
        <v>87</v>
      </c>
      <c r="AY2378" s="23" t="s">
        <v>211</v>
      </c>
      <c r="BE2378" s="104">
        <f>IF(N2378="základní",J2378,0)</f>
        <v>142410.94</v>
      </c>
      <c r="BF2378" s="104">
        <f>IF(N2378="snížená",J2378,0)</f>
        <v>0</v>
      </c>
      <c r="BG2378" s="104">
        <f>IF(N2378="zákl. přenesená",J2378,0)</f>
        <v>0</v>
      </c>
      <c r="BH2378" s="104">
        <f>IF(N2378="sníž. přenesená",J2378,0)</f>
        <v>0</v>
      </c>
      <c r="BI2378" s="104">
        <f>IF(N2378="nulová",J2378,0)</f>
        <v>0</v>
      </c>
      <c r="BJ2378" s="23" t="s">
        <v>85</v>
      </c>
      <c r="BK2378" s="104">
        <f>ROUND(I2378*H2378,2)</f>
        <v>142410.94</v>
      </c>
      <c r="BL2378" s="23" t="s">
        <v>446</v>
      </c>
      <c r="BM2378" s="101" t="s">
        <v>3544</v>
      </c>
    </row>
    <row r="2379" spans="2:65" s="136" customFormat="1">
      <c r="B2379" s="138"/>
      <c r="D2379" s="105" t="s">
        <v>365</v>
      </c>
      <c r="E2379" s="139" t="s">
        <v>1</v>
      </c>
      <c r="F2379" s="140" t="s">
        <v>3525</v>
      </c>
      <c r="H2379" s="139" t="s">
        <v>1</v>
      </c>
      <c r="I2379" s="146"/>
      <c r="L2379" s="138"/>
      <c r="M2379" s="147"/>
      <c r="T2379" s="150"/>
      <c r="AT2379" s="139" t="s">
        <v>365</v>
      </c>
      <c r="AU2379" s="139" t="s">
        <v>87</v>
      </c>
      <c r="AV2379" s="136" t="s">
        <v>85</v>
      </c>
      <c r="AW2379" s="136" t="s">
        <v>33</v>
      </c>
      <c r="AX2379" s="136" t="s">
        <v>77</v>
      </c>
      <c r="AY2379" s="139" t="s">
        <v>211</v>
      </c>
    </row>
    <row r="2380" spans="2:65" s="113" customFormat="1">
      <c r="B2380" s="119"/>
      <c r="D2380" s="105" t="s">
        <v>365</v>
      </c>
      <c r="E2380" s="135" t="s">
        <v>1</v>
      </c>
      <c r="F2380" s="120" t="s">
        <v>3545</v>
      </c>
      <c r="H2380" s="121">
        <v>15.76</v>
      </c>
      <c r="I2380" s="128"/>
      <c r="L2380" s="119"/>
      <c r="M2380" s="129"/>
      <c r="T2380" s="133"/>
      <c r="AT2380" s="135" t="s">
        <v>365</v>
      </c>
      <c r="AU2380" s="135" t="s">
        <v>87</v>
      </c>
      <c r="AV2380" s="113" t="s">
        <v>87</v>
      </c>
      <c r="AW2380" s="113" t="s">
        <v>33</v>
      </c>
      <c r="AX2380" s="113" t="s">
        <v>77</v>
      </c>
      <c r="AY2380" s="135" t="s">
        <v>211</v>
      </c>
    </row>
    <row r="2381" spans="2:65" s="113" customFormat="1">
      <c r="B2381" s="119"/>
      <c r="D2381" s="105" t="s">
        <v>365</v>
      </c>
      <c r="E2381" s="135" t="s">
        <v>1</v>
      </c>
      <c r="F2381" s="120" t="s">
        <v>3546</v>
      </c>
      <c r="H2381" s="121">
        <v>29.22</v>
      </c>
      <c r="I2381" s="128"/>
      <c r="L2381" s="119"/>
      <c r="M2381" s="129"/>
      <c r="T2381" s="133"/>
      <c r="AT2381" s="135" t="s">
        <v>365</v>
      </c>
      <c r="AU2381" s="135" t="s">
        <v>87</v>
      </c>
      <c r="AV2381" s="113" t="s">
        <v>87</v>
      </c>
      <c r="AW2381" s="113" t="s">
        <v>33</v>
      </c>
      <c r="AX2381" s="113" t="s">
        <v>77</v>
      </c>
      <c r="AY2381" s="135" t="s">
        <v>211</v>
      </c>
    </row>
    <row r="2382" spans="2:65" s="113" customFormat="1">
      <c r="B2382" s="119"/>
      <c r="D2382" s="105" t="s">
        <v>365</v>
      </c>
      <c r="E2382" s="135" t="s">
        <v>1</v>
      </c>
      <c r="F2382" s="120" t="s">
        <v>3547</v>
      </c>
      <c r="H2382" s="121">
        <v>23.85</v>
      </c>
      <c r="I2382" s="128"/>
      <c r="L2382" s="119"/>
      <c r="M2382" s="129"/>
      <c r="T2382" s="133"/>
      <c r="AT2382" s="135" t="s">
        <v>365</v>
      </c>
      <c r="AU2382" s="135" t="s">
        <v>87</v>
      </c>
      <c r="AV2382" s="113" t="s">
        <v>87</v>
      </c>
      <c r="AW2382" s="113" t="s">
        <v>33</v>
      </c>
      <c r="AX2382" s="113" t="s">
        <v>77</v>
      </c>
      <c r="AY2382" s="135" t="s">
        <v>211</v>
      </c>
    </row>
    <row r="2383" spans="2:65" s="113" customFormat="1">
      <c r="B2383" s="119"/>
      <c r="D2383" s="105" t="s">
        <v>365</v>
      </c>
      <c r="E2383" s="135" t="s">
        <v>1</v>
      </c>
      <c r="F2383" s="120" t="s">
        <v>3548</v>
      </c>
      <c r="H2383" s="121">
        <v>30.57</v>
      </c>
      <c r="I2383" s="128"/>
      <c r="L2383" s="119"/>
      <c r="M2383" s="129"/>
      <c r="T2383" s="133"/>
      <c r="AT2383" s="135" t="s">
        <v>365</v>
      </c>
      <c r="AU2383" s="135" t="s">
        <v>87</v>
      </c>
      <c r="AV2383" s="113" t="s">
        <v>87</v>
      </c>
      <c r="AW2383" s="113" t="s">
        <v>33</v>
      </c>
      <c r="AX2383" s="113" t="s">
        <v>77</v>
      </c>
      <c r="AY2383" s="135" t="s">
        <v>211</v>
      </c>
    </row>
    <row r="2384" spans="2:65" s="136" customFormat="1">
      <c r="B2384" s="138"/>
      <c r="D2384" s="105" t="s">
        <v>365</v>
      </c>
      <c r="E2384" s="139" t="s">
        <v>1</v>
      </c>
      <c r="F2384" s="140" t="s">
        <v>3530</v>
      </c>
      <c r="H2384" s="139" t="s">
        <v>1</v>
      </c>
      <c r="I2384" s="146"/>
      <c r="L2384" s="138"/>
      <c r="M2384" s="147"/>
      <c r="T2384" s="150"/>
      <c r="AT2384" s="139" t="s">
        <v>365</v>
      </c>
      <c r="AU2384" s="139" t="s">
        <v>87</v>
      </c>
      <c r="AV2384" s="136" t="s">
        <v>85</v>
      </c>
      <c r="AW2384" s="136" t="s">
        <v>33</v>
      </c>
      <c r="AX2384" s="136" t="s">
        <v>77</v>
      </c>
      <c r="AY2384" s="139" t="s">
        <v>211</v>
      </c>
    </row>
    <row r="2385" spans="2:65" s="113" customFormat="1">
      <c r="B2385" s="119"/>
      <c r="D2385" s="105" t="s">
        <v>365</v>
      </c>
      <c r="E2385" s="135" t="s">
        <v>1</v>
      </c>
      <c r="F2385" s="120" t="s">
        <v>3549</v>
      </c>
      <c r="H2385" s="121">
        <v>32.340000000000003</v>
      </c>
      <c r="I2385" s="128"/>
      <c r="L2385" s="119"/>
      <c r="M2385" s="129"/>
      <c r="T2385" s="133"/>
      <c r="AT2385" s="135" t="s">
        <v>365</v>
      </c>
      <c r="AU2385" s="135" t="s">
        <v>87</v>
      </c>
      <c r="AV2385" s="113" t="s">
        <v>87</v>
      </c>
      <c r="AW2385" s="113" t="s">
        <v>33</v>
      </c>
      <c r="AX2385" s="113" t="s">
        <v>77</v>
      </c>
      <c r="AY2385" s="135" t="s">
        <v>211</v>
      </c>
    </row>
    <row r="2386" spans="2:65" s="137" customFormat="1">
      <c r="B2386" s="141"/>
      <c r="D2386" s="105" t="s">
        <v>365</v>
      </c>
      <c r="E2386" s="142" t="s">
        <v>1</v>
      </c>
      <c r="F2386" s="143" t="s">
        <v>368</v>
      </c>
      <c r="H2386" s="144">
        <v>131.74</v>
      </c>
      <c r="I2386" s="148"/>
      <c r="L2386" s="141"/>
      <c r="M2386" s="149"/>
      <c r="T2386" s="151"/>
      <c r="AT2386" s="142" t="s">
        <v>365</v>
      </c>
      <c r="AU2386" s="142" t="s">
        <v>87</v>
      </c>
      <c r="AV2386" s="137" t="s">
        <v>218</v>
      </c>
      <c r="AW2386" s="137" t="s">
        <v>33</v>
      </c>
      <c r="AX2386" s="137" t="s">
        <v>85</v>
      </c>
      <c r="AY2386" s="142" t="s">
        <v>211</v>
      </c>
    </row>
    <row r="2387" spans="2:65" s="113" customFormat="1">
      <c r="B2387" s="119"/>
      <c r="D2387" s="105" t="s">
        <v>365</v>
      </c>
      <c r="F2387" s="120" t="s">
        <v>3550</v>
      </c>
      <c r="H2387" s="121">
        <v>151.501</v>
      </c>
      <c r="I2387" s="128"/>
      <c r="L2387" s="119"/>
      <c r="M2387" s="129"/>
      <c r="T2387" s="133"/>
      <c r="AT2387" s="135" t="s">
        <v>365</v>
      </c>
      <c r="AU2387" s="135" t="s">
        <v>87</v>
      </c>
      <c r="AV2387" s="113" t="s">
        <v>87</v>
      </c>
      <c r="AW2387" s="113" t="s">
        <v>4</v>
      </c>
      <c r="AX2387" s="113" t="s">
        <v>85</v>
      </c>
      <c r="AY2387" s="135" t="s">
        <v>211</v>
      </c>
    </row>
    <row r="2388" spans="2:65" s="1" customFormat="1" ht="33" customHeight="1">
      <c r="B2388" s="12"/>
      <c r="C2388" s="71" t="s">
        <v>3551</v>
      </c>
      <c r="D2388" s="71" t="s">
        <v>214</v>
      </c>
      <c r="E2388" s="72" t="s">
        <v>3552</v>
      </c>
      <c r="F2388" s="73" t="s">
        <v>3553</v>
      </c>
      <c r="G2388" s="74" t="s">
        <v>444</v>
      </c>
      <c r="H2388" s="75">
        <v>66.36</v>
      </c>
      <c r="I2388" s="90">
        <v>171</v>
      </c>
      <c r="J2388" s="91">
        <f>ROUND(I2388*H2388,2)</f>
        <v>11347.56</v>
      </c>
      <c r="K2388" s="92"/>
      <c r="L2388" s="12"/>
      <c r="M2388" s="93" t="s">
        <v>1</v>
      </c>
      <c r="N2388" s="94" t="s">
        <v>42</v>
      </c>
      <c r="P2388" s="95">
        <f>O2388*H2388</f>
        <v>0</v>
      </c>
      <c r="Q2388" s="95">
        <v>4.2999999999999999E-4</v>
      </c>
      <c r="R2388" s="95">
        <f>Q2388*H2388</f>
        <v>2.8534799999999999E-2</v>
      </c>
      <c r="S2388" s="95">
        <v>0</v>
      </c>
      <c r="T2388" s="99">
        <f>S2388*H2388</f>
        <v>0</v>
      </c>
      <c r="AR2388" s="101" t="s">
        <v>446</v>
      </c>
      <c r="AT2388" s="101" t="s">
        <v>214</v>
      </c>
      <c r="AU2388" s="101" t="s">
        <v>87</v>
      </c>
      <c r="AY2388" s="23" t="s">
        <v>211</v>
      </c>
      <c r="BE2388" s="104">
        <f>IF(N2388="základní",J2388,0)</f>
        <v>11347.56</v>
      </c>
      <c r="BF2388" s="104">
        <f>IF(N2388="snížená",J2388,0)</f>
        <v>0</v>
      </c>
      <c r="BG2388" s="104">
        <f>IF(N2388="zákl. přenesená",J2388,0)</f>
        <v>0</v>
      </c>
      <c r="BH2388" s="104">
        <f>IF(N2388="sníž. přenesená",J2388,0)</f>
        <v>0</v>
      </c>
      <c r="BI2388" s="104">
        <f>IF(N2388="nulová",J2388,0)</f>
        <v>0</v>
      </c>
      <c r="BJ2388" s="23" t="s">
        <v>85</v>
      </c>
      <c r="BK2388" s="104">
        <f>ROUND(I2388*H2388,2)</f>
        <v>11347.56</v>
      </c>
      <c r="BL2388" s="23" t="s">
        <v>446</v>
      </c>
      <c r="BM2388" s="101" t="s">
        <v>3554</v>
      </c>
    </row>
    <row r="2389" spans="2:65" s="136" customFormat="1">
      <c r="B2389" s="138"/>
      <c r="D2389" s="105" t="s">
        <v>365</v>
      </c>
      <c r="E2389" s="139" t="s">
        <v>1</v>
      </c>
      <c r="F2389" s="140" t="s">
        <v>3520</v>
      </c>
      <c r="H2389" s="139" t="s">
        <v>1</v>
      </c>
      <c r="I2389" s="146"/>
      <c r="L2389" s="138"/>
      <c r="M2389" s="147"/>
      <c r="T2389" s="150"/>
      <c r="AT2389" s="139" t="s">
        <v>365</v>
      </c>
      <c r="AU2389" s="139" t="s">
        <v>87</v>
      </c>
      <c r="AV2389" s="136" t="s">
        <v>85</v>
      </c>
      <c r="AW2389" s="136" t="s">
        <v>33</v>
      </c>
      <c r="AX2389" s="136" t="s">
        <v>77</v>
      </c>
      <c r="AY2389" s="139" t="s">
        <v>211</v>
      </c>
    </row>
    <row r="2390" spans="2:65" s="113" customFormat="1">
      <c r="B2390" s="119"/>
      <c r="D2390" s="105" t="s">
        <v>365</v>
      </c>
      <c r="E2390" s="135" t="s">
        <v>1</v>
      </c>
      <c r="F2390" s="120" t="s">
        <v>3555</v>
      </c>
      <c r="H2390" s="121">
        <v>16.59</v>
      </c>
      <c r="I2390" s="128"/>
      <c r="L2390" s="119"/>
      <c r="M2390" s="129"/>
      <c r="T2390" s="133"/>
      <c r="AT2390" s="135" t="s">
        <v>365</v>
      </c>
      <c r="AU2390" s="135" t="s">
        <v>87</v>
      </c>
      <c r="AV2390" s="113" t="s">
        <v>87</v>
      </c>
      <c r="AW2390" s="113" t="s">
        <v>33</v>
      </c>
      <c r="AX2390" s="113" t="s">
        <v>77</v>
      </c>
      <c r="AY2390" s="135" t="s">
        <v>211</v>
      </c>
    </row>
    <row r="2391" spans="2:65" s="113" customFormat="1">
      <c r="B2391" s="119"/>
      <c r="D2391" s="105" t="s">
        <v>365</v>
      </c>
      <c r="E2391" s="135" t="s">
        <v>1</v>
      </c>
      <c r="F2391" s="120" t="s">
        <v>3556</v>
      </c>
      <c r="H2391" s="121">
        <v>16.59</v>
      </c>
      <c r="I2391" s="128"/>
      <c r="L2391" s="119"/>
      <c r="M2391" s="129"/>
      <c r="T2391" s="133"/>
      <c r="AT2391" s="135" t="s">
        <v>365</v>
      </c>
      <c r="AU2391" s="135" t="s">
        <v>87</v>
      </c>
      <c r="AV2391" s="113" t="s">
        <v>87</v>
      </c>
      <c r="AW2391" s="113" t="s">
        <v>33</v>
      </c>
      <c r="AX2391" s="113" t="s">
        <v>77</v>
      </c>
      <c r="AY2391" s="135" t="s">
        <v>211</v>
      </c>
    </row>
    <row r="2392" spans="2:65" s="113" customFormat="1">
      <c r="B2392" s="119"/>
      <c r="D2392" s="105" t="s">
        <v>365</v>
      </c>
      <c r="E2392" s="135" t="s">
        <v>1</v>
      </c>
      <c r="F2392" s="120" t="s">
        <v>3557</v>
      </c>
      <c r="H2392" s="121">
        <v>16.59</v>
      </c>
      <c r="I2392" s="128"/>
      <c r="L2392" s="119"/>
      <c r="M2392" s="129"/>
      <c r="T2392" s="133"/>
      <c r="AT2392" s="135" t="s">
        <v>365</v>
      </c>
      <c r="AU2392" s="135" t="s">
        <v>87</v>
      </c>
      <c r="AV2392" s="113" t="s">
        <v>87</v>
      </c>
      <c r="AW2392" s="113" t="s">
        <v>33</v>
      </c>
      <c r="AX2392" s="113" t="s">
        <v>77</v>
      </c>
      <c r="AY2392" s="135" t="s">
        <v>211</v>
      </c>
    </row>
    <row r="2393" spans="2:65" s="113" customFormat="1">
      <c r="B2393" s="119"/>
      <c r="D2393" s="105" t="s">
        <v>365</v>
      </c>
      <c r="E2393" s="135" t="s">
        <v>1</v>
      </c>
      <c r="F2393" s="120" t="s">
        <v>3558</v>
      </c>
      <c r="H2393" s="121">
        <v>16.59</v>
      </c>
      <c r="I2393" s="128"/>
      <c r="L2393" s="119"/>
      <c r="M2393" s="129"/>
      <c r="T2393" s="133"/>
      <c r="AT2393" s="135" t="s">
        <v>365</v>
      </c>
      <c r="AU2393" s="135" t="s">
        <v>87</v>
      </c>
      <c r="AV2393" s="113" t="s">
        <v>87</v>
      </c>
      <c r="AW2393" s="113" t="s">
        <v>33</v>
      </c>
      <c r="AX2393" s="113" t="s">
        <v>77</v>
      </c>
      <c r="AY2393" s="135" t="s">
        <v>211</v>
      </c>
    </row>
    <row r="2394" spans="2:65" s="137" customFormat="1">
      <c r="B2394" s="141"/>
      <c r="D2394" s="105" t="s">
        <v>365</v>
      </c>
      <c r="E2394" s="142" t="s">
        <v>1</v>
      </c>
      <c r="F2394" s="143" t="s">
        <v>368</v>
      </c>
      <c r="H2394" s="144">
        <v>66.36</v>
      </c>
      <c r="I2394" s="148"/>
      <c r="L2394" s="141"/>
      <c r="M2394" s="149"/>
      <c r="T2394" s="151"/>
      <c r="AT2394" s="142" t="s">
        <v>365</v>
      </c>
      <c r="AU2394" s="142" t="s">
        <v>87</v>
      </c>
      <c r="AV2394" s="137" t="s">
        <v>218</v>
      </c>
      <c r="AW2394" s="137" t="s">
        <v>33</v>
      </c>
      <c r="AX2394" s="137" t="s">
        <v>85</v>
      </c>
      <c r="AY2394" s="142" t="s">
        <v>211</v>
      </c>
    </row>
    <row r="2395" spans="2:65" s="1" customFormat="1" ht="66.75" customHeight="1">
      <c r="B2395" s="12"/>
      <c r="C2395" s="114" t="s">
        <v>3559</v>
      </c>
      <c r="D2395" s="114" t="s">
        <v>438</v>
      </c>
      <c r="E2395" s="115" t="s">
        <v>3533</v>
      </c>
      <c r="F2395" s="116" t="s">
        <v>3534</v>
      </c>
      <c r="G2395" s="117" t="s">
        <v>279</v>
      </c>
      <c r="H2395" s="118">
        <v>22.908000000000001</v>
      </c>
      <c r="I2395" s="122">
        <v>899</v>
      </c>
      <c r="J2395" s="123">
        <f>ROUND(I2395*H2395,2)</f>
        <v>20594.29</v>
      </c>
      <c r="K2395" s="124"/>
      <c r="L2395" s="125"/>
      <c r="M2395" s="126" t="s">
        <v>1</v>
      </c>
      <c r="N2395" s="127" t="s">
        <v>42</v>
      </c>
      <c r="P2395" s="95">
        <f>O2395*H2395</f>
        <v>0</v>
      </c>
      <c r="Q2395" s="95">
        <v>2.1000000000000001E-2</v>
      </c>
      <c r="R2395" s="95">
        <f>Q2395*H2395</f>
        <v>0.481068</v>
      </c>
      <c r="S2395" s="95">
        <v>0</v>
      </c>
      <c r="T2395" s="99">
        <f>S2395*H2395</f>
        <v>0</v>
      </c>
      <c r="AR2395" s="101" t="s">
        <v>527</v>
      </c>
      <c r="AT2395" s="101" t="s">
        <v>438</v>
      </c>
      <c r="AU2395" s="101" t="s">
        <v>87</v>
      </c>
      <c r="AY2395" s="23" t="s">
        <v>211</v>
      </c>
      <c r="BE2395" s="104">
        <f>IF(N2395="základní",J2395,0)</f>
        <v>20594.29</v>
      </c>
      <c r="BF2395" s="104">
        <f>IF(N2395="snížená",J2395,0)</f>
        <v>0</v>
      </c>
      <c r="BG2395" s="104">
        <f>IF(N2395="zákl. přenesená",J2395,0)</f>
        <v>0</v>
      </c>
      <c r="BH2395" s="104">
        <f>IF(N2395="sníž. přenesená",J2395,0)</f>
        <v>0</v>
      </c>
      <c r="BI2395" s="104">
        <f>IF(N2395="nulová",J2395,0)</f>
        <v>0</v>
      </c>
      <c r="BJ2395" s="23" t="s">
        <v>85</v>
      </c>
      <c r="BK2395" s="104">
        <f>ROUND(I2395*H2395,2)</f>
        <v>20594.29</v>
      </c>
      <c r="BL2395" s="23" t="s">
        <v>446</v>
      </c>
      <c r="BM2395" s="101" t="s">
        <v>3560</v>
      </c>
    </row>
    <row r="2396" spans="2:65" s="136" customFormat="1">
      <c r="B2396" s="138"/>
      <c r="D2396" s="105" t="s">
        <v>365</v>
      </c>
      <c r="E2396" s="139" t="s">
        <v>1</v>
      </c>
      <c r="F2396" s="140" t="s">
        <v>3520</v>
      </c>
      <c r="H2396" s="139" t="s">
        <v>1</v>
      </c>
      <c r="I2396" s="146"/>
      <c r="L2396" s="138"/>
      <c r="M2396" s="147"/>
      <c r="T2396" s="150"/>
      <c r="AT2396" s="139" t="s">
        <v>365</v>
      </c>
      <c r="AU2396" s="139" t="s">
        <v>87</v>
      </c>
      <c r="AV2396" s="136" t="s">
        <v>85</v>
      </c>
      <c r="AW2396" s="136" t="s">
        <v>33</v>
      </c>
      <c r="AX2396" s="136" t="s">
        <v>77</v>
      </c>
      <c r="AY2396" s="139" t="s">
        <v>211</v>
      </c>
    </row>
    <row r="2397" spans="2:65" s="113" customFormat="1">
      <c r="B2397" s="119"/>
      <c r="D2397" s="105" t="s">
        <v>365</v>
      </c>
      <c r="E2397" s="135" t="s">
        <v>1</v>
      </c>
      <c r="F2397" s="120" t="s">
        <v>3561</v>
      </c>
      <c r="H2397" s="121">
        <v>4.9800000000000004</v>
      </c>
      <c r="I2397" s="128"/>
      <c r="L2397" s="119"/>
      <c r="M2397" s="129"/>
      <c r="T2397" s="133"/>
      <c r="AT2397" s="135" t="s">
        <v>365</v>
      </c>
      <c r="AU2397" s="135" t="s">
        <v>87</v>
      </c>
      <c r="AV2397" s="113" t="s">
        <v>87</v>
      </c>
      <c r="AW2397" s="113" t="s">
        <v>33</v>
      </c>
      <c r="AX2397" s="113" t="s">
        <v>77</v>
      </c>
      <c r="AY2397" s="135" t="s">
        <v>211</v>
      </c>
    </row>
    <row r="2398" spans="2:65" s="113" customFormat="1">
      <c r="B2398" s="119"/>
      <c r="D2398" s="105" t="s">
        <v>365</v>
      </c>
      <c r="E2398" s="135" t="s">
        <v>1</v>
      </c>
      <c r="F2398" s="120" t="s">
        <v>3562</v>
      </c>
      <c r="H2398" s="121">
        <v>4.9800000000000004</v>
      </c>
      <c r="I2398" s="128"/>
      <c r="L2398" s="119"/>
      <c r="M2398" s="129"/>
      <c r="T2398" s="133"/>
      <c r="AT2398" s="135" t="s">
        <v>365</v>
      </c>
      <c r="AU2398" s="135" t="s">
        <v>87</v>
      </c>
      <c r="AV2398" s="113" t="s">
        <v>87</v>
      </c>
      <c r="AW2398" s="113" t="s">
        <v>33</v>
      </c>
      <c r="AX2398" s="113" t="s">
        <v>77</v>
      </c>
      <c r="AY2398" s="135" t="s">
        <v>211</v>
      </c>
    </row>
    <row r="2399" spans="2:65" s="113" customFormat="1">
      <c r="B2399" s="119"/>
      <c r="D2399" s="105" t="s">
        <v>365</v>
      </c>
      <c r="E2399" s="135" t="s">
        <v>1</v>
      </c>
      <c r="F2399" s="120" t="s">
        <v>3563</v>
      </c>
      <c r="H2399" s="121">
        <v>4.9800000000000004</v>
      </c>
      <c r="I2399" s="128"/>
      <c r="L2399" s="119"/>
      <c r="M2399" s="129"/>
      <c r="T2399" s="133"/>
      <c r="AT2399" s="135" t="s">
        <v>365</v>
      </c>
      <c r="AU2399" s="135" t="s">
        <v>87</v>
      </c>
      <c r="AV2399" s="113" t="s">
        <v>87</v>
      </c>
      <c r="AW2399" s="113" t="s">
        <v>33</v>
      </c>
      <c r="AX2399" s="113" t="s">
        <v>77</v>
      </c>
      <c r="AY2399" s="135" t="s">
        <v>211</v>
      </c>
    </row>
    <row r="2400" spans="2:65" s="113" customFormat="1">
      <c r="B2400" s="119"/>
      <c r="D2400" s="105" t="s">
        <v>365</v>
      </c>
      <c r="E2400" s="135" t="s">
        <v>1</v>
      </c>
      <c r="F2400" s="120" t="s">
        <v>3564</v>
      </c>
      <c r="H2400" s="121">
        <v>4.9800000000000004</v>
      </c>
      <c r="I2400" s="128"/>
      <c r="L2400" s="119"/>
      <c r="M2400" s="129"/>
      <c r="T2400" s="133"/>
      <c r="AT2400" s="135" t="s">
        <v>365</v>
      </c>
      <c r="AU2400" s="135" t="s">
        <v>87</v>
      </c>
      <c r="AV2400" s="113" t="s">
        <v>87</v>
      </c>
      <c r="AW2400" s="113" t="s">
        <v>33</v>
      </c>
      <c r="AX2400" s="113" t="s">
        <v>77</v>
      </c>
      <c r="AY2400" s="135" t="s">
        <v>211</v>
      </c>
    </row>
    <row r="2401" spans="2:65" s="137" customFormat="1">
      <c r="B2401" s="141"/>
      <c r="D2401" s="105" t="s">
        <v>365</v>
      </c>
      <c r="E2401" s="142" t="s">
        <v>1</v>
      </c>
      <c r="F2401" s="143" t="s">
        <v>368</v>
      </c>
      <c r="H2401" s="144">
        <v>19.920000000000002</v>
      </c>
      <c r="I2401" s="148"/>
      <c r="L2401" s="141"/>
      <c r="M2401" s="149"/>
      <c r="T2401" s="151"/>
      <c r="AT2401" s="142" t="s">
        <v>365</v>
      </c>
      <c r="AU2401" s="142" t="s">
        <v>87</v>
      </c>
      <c r="AV2401" s="137" t="s">
        <v>218</v>
      </c>
      <c r="AW2401" s="137" t="s">
        <v>33</v>
      </c>
      <c r="AX2401" s="137" t="s">
        <v>85</v>
      </c>
      <c r="AY2401" s="142" t="s">
        <v>211</v>
      </c>
    </row>
    <row r="2402" spans="2:65" s="113" customFormat="1">
      <c r="B2402" s="119"/>
      <c r="D2402" s="105" t="s">
        <v>365</v>
      </c>
      <c r="F2402" s="120" t="s">
        <v>3565</v>
      </c>
      <c r="H2402" s="121">
        <v>22.908000000000001</v>
      </c>
      <c r="I2402" s="128"/>
      <c r="L2402" s="119"/>
      <c r="M2402" s="129"/>
      <c r="T2402" s="133"/>
      <c r="AT2402" s="135" t="s">
        <v>365</v>
      </c>
      <c r="AU2402" s="135" t="s">
        <v>87</v>
      </c>
      <c r="AV2402" s="113" t="s">
        <v>87</v>
      </c>
      <c r="AW2402" s="113" t="s">
        <v>4</v>
      </c>
      <c r="AX2402" s="113" t="s">
        <v>85</v>
      </c>
      <c r="AY2402" s="135" t="s">
        <v>211</v>
      </c>
    </row>
    <row r="2403" spans="2:65" s="1" customFormat="1" ht="33" customHeight="1">
      <c r="B2403" s="12"/>
      <c r="C2403" s="71" t="s">
        <v>3566</v>
      </c>
      <c r="D2403" s="71" t="s">
        <v>214</v>
      </c>
      <c r="E2403" s="72" t="s">
        <v>3567</v>
      </c>
      <c r="F2403" s="73" t="s">
        <v>3568</v>
      </c>
      <c r="G2403" s="74" t="s">
        <v>279</v>
      </c>
      <c r="H2403" s="75">
        <v>283.56</v>
      </c>
      <c r="I2403" s="90">
        <v>979</v>
      </c>
      <c r="J2403" s="91">
        <f>ROUND(I2403*H2403,2)</f>
        <v>277605.24</v>
      </c>
      <c r="K2403" s="92"/>
      <c r="L2403" s="12"/>
      <c r="M2403" s="93" t="s">
        <v>1</v>
      </c>
      <c r="N2403" s="94" t="s">
        <v>42</v>
      </c>
      <c r="P2403" s="95">
        <f>O2403*H2403</f>
        <v>0</v>
      </c>
      <c r="Q2403" s="95">
        <v>8.9999999999999993E-3</v>
      </c>
      <c r="R2403" s="95">
        <f>Q2403*H2403</f>
        <v>2.5520399999999999</v>
      </c>
      <c r="S2403" s="95">
        <v>0</v>
      </c>
      <c r="T2403" s="99">
        <f>S2403*H2403</f>
        <v>0</v>
      </c>
      <c r="AR2403" s="101" t="s">
        <v>446</v>
      </c>
      <c r="AT2403" s="101" t="s">
        <v>214</v>
      </c>
      <c r="AU2403" s="101" t="s">
        <v>87</v>
      </c>
      <c r="AY2403" s="23" t="s">
        <v>211</v>
      </c>
      <c r="BE2403" s="104">
        <f>IF(N2403="základní",J2403,0)</f>
        <v>277605.24</v>
      </c>
      <c r="BF2403" s="104">
        <f>IF(N2403="snížená",J2403,0)</f>
        <v>0</v>
      </c>
      <c r="BG2403" s="104">
        <f>IF(N2403="zákl. přenesená",J2403,0)</f>
        <v>0</v>
      </c>
      <c r="BH2403" s="104">
        <f>IF(N2403="sníž. přenesená",J2403,0)</f>
        <v>0</v>
      </c>
      <c r="BI2403" s="104">
        <f>IF(N2403="nulová",J2403,0)</f>
        <v>0</v>
      </c>
      <c r="BJ2403" s="23" t="s">
        <v>85</v>
      </c>
      <c r="BK2403" s="104">
        <f>ROUND(I2403*H2403,2)</f>
        <v>277605.24</v>
      </c>
      <c r="BL2403" s="23" t="s">
        <v>446</v>
      </c>
      <c r="BM2403" s="101" t="s">
        <v>3569</v>
      </c>
    </row>
    <row r="2404" spans="2:65" s="136" customFormat="1">
      <c r="B2404" s="138"/>
      <c r="D2404" s="105" t="s">
        <v>365</v>
      </c>
      <c r="E2404" s="139" t="s">
        <v>1</v>
      </c>
      <c r="F2404" s="140" t="s">
        <v>3570</v>
      </c>
      <c r="H2404" s="139" t="s">
        <v>1</v>
      </c>
      <c r="I2404" s="146"/>
      <c r="L2404" s="138"/>
      <c r="M2404" s="147"/>
      <c r="T2404" s="150"/>
      <c r="AT2404" s="139" t="s">
        <v>365</v>
      </c>
      <c r="AU2404" s="139" t="s">
        <v>87</v>
      </c>
      <c r="AV2404" s="136" t="s">
        <v>85</v>
      </c>
      <c r="AW2404" s="136" t="s">
        <v>33</v>
      </c>
      <c r="AX2404" s="136" t="s">
        <v>77</v>
      </c>
      <c r="AY2404" s="139" t="s">
        <v>211</v>
      </c>
    </row>
    <row r="2405" spans="2:65" s="136" customFormat="1">
      <c r="B2405" s="138"/>
      <c r="D2405" s="105" t="s">
        <v>365</v>
      </c>
      <c r="E2405" s="139" t="s">
        <v>1</v>
      </c>
      <c r="F2405" s="140" t="s">
        <v>866</v>
      </c>
      <c r="H2405" s="139" t="s">
        <v>1</v>
      </c>
      <c r="I2405" s="146"/>
      <c r="L2405" s="138"/>
      <c r="M2405" s="147"/>
      <c r="T2405" s="150"/>
      <c r="AT2405" s="139" t="s">
        <v>365</v>
      </c>
      <c r="AU2405" s="139" t="s">
        <v>87</v>
      </c>
      <c r="AV2405" s="136" t="s">
        <v>85</v>
      </c>
      <c r="AW2405" s="136" t="s">
        <v>33</v>
      </c>
      <c r="AX2405" s="136" t="s">
        <v>77</v>
      </c>
      <c r="AY2405" s="139" t="s">
        <v>211</v>
      </c>
    </row>
    <row r="2406" spans="2:65" s="113" customFormat="1">
      <c r="B2406" s="119"/>
      <c r="D2406" s="105" t="s">
        <v>365</v>
      </c>
      <c r="E2406" s="135" t="s">
        <v>1</v>
      </c>
      <c r="F2406" s="120" t="s">
        <v>3571</v>
      </c>
      <c r="H2406" s="121">
        <v>81.02</v>
      </c>
      <c r="I2406" s="128"/>
      <c r="L2406" s="119"/>
      <c r="M2406" s="129"/>
      <c r="T2406" s="133"/>
      <c r="AT2406" s="135" t="s">
        <v>365</v>
      </c>
      <c r="AU2406" s="135" t="s">
        <v>87</v>
      </c>
      <c r="AV2406" s="113" t="s">
        <v>87</v>
      </c>
      <c r="AW2406" s="113" t="s">
        <v>33</v>
      </c>
      <c r="AX2406" s="113" t="s">
        <v>77</v>
      </c>
      <c r="AY2406" s="135" t="s">
        <v>211</v>
      </c>
    </row>
    <row r="2407" spans="2:65" s="136" customFormat="1">
      <c r="B2407" s="138"/>
      <c r="D2407" s="105" t="s">
        <v>365</v>
      </c>
      <c r="E2407" s="139" t="s">
        <v>1</v>
      </c>
      <c r="F2407" s="140" t="s">
        <v>868</v>
      </c>
      <c r="H2407" s="139" t="s">
        <v>1</v>
      </c>
      <c r="I2407" s="146"/>
      <c r="L2407" s="138"/>
      <c r="M2407" s="147"/>
      <c r="T2407" s="150"/>
      <c r="AT2407" s="139" t="s">
        <v>365</v>
      </c>
      <c r="AU2407" s="139" t="s">
        <v>87</v>
      </c>
      <c r="AV2407" s="136" t="s">
        <v>85</v>
      </c>
      <c r="AW2407" s="136" t="s">
        <v>33</v>
      </c>
      <c r="AX2407" s="136" t="s">
        <v>77</v>
      </c>
      <c r="AY2407" s="139" t="s">
        <v>211</v>
      </c>
    </row>
    <row r="2408" spans="2:65" s="113" customFormat="1">
      <c r="B2408" s="119"/>
      <c r="D2408" s="105" t="s">
        <v>365</v>
      </c>
      <c r="E2408" s="135" t="s">
        <v>1</v>
      </c>
      <c r="F2408" s="120" t="s">
        <v>3572</v>
      </c>
      <c r="H2408" s="121">
        <v>70.12</v>
      </c>
      <c r="I2408" s="128"/>
      <c r="L2408" s="119"/>
      <c r="M2408" s="129"/>
      <c r="T2408" s="133"/>
      <c r="AT2408" s="135" t="s">
        <v>365</v>
      </c>
      <c r="AU2408" s="135" t="s">
        <v>87</v>
      </c>
      <c r="AV2408" s="113" t="s">
        <v>87</v>
      </c>
      <c r="AW2408" s="113" t="s">
        <v>33</v>
      </c>
      <c r="AX2408" s="113" t="s">
        <v>77</v>
      </c>
      <c r="AY2408" s="135" t="s">
        <v>211</v>
      </c>
    </row>
    <row r="2409" spans="2:65" s="136" customFormat="1">
      <c r="B2409" s="138"/>
      <c r="D2409" s="105" t="s">
        <v>365</v>
      </c>
      <c r="E2409" s="139" t="s">
        <v>1</v>
      </c>
      <c r="F2409" s="140" t="s">
        <v>870</v>
      </c>
      <c r="H2409" s="139" t="s">
        <v>1</v>
      </c>
      <c r="I2409" s="146"/>
      <c r="L2409" s="138"/>
      <c r="M2409" s="147"/>
      <c r="T2409" s="150"/>
      <c r="AT2409" s="139" t="s">
        <v>365</v>
      </c>
      <c r="AU2409" s="139" t="s">
        <v>87</v>
      </c>
      <c r="AV2409" s="136" t="s">
        <v>85</v>
      </c>
      <c r="AW2409" s="136" t="s">
        <v>33</v>
      </c>
      <c r="AX2409" s="136" t="s">
        <v>77</v>
      </c>
      <c r="AY2409" s="139" t="s">
        <v>211</v>
      </c>
    </row>
    <row r="2410" spans="2:65" s="113" customFormat="1">
      <c r="B2410" s="119"/>
      <c r="D2410" s="105" t="s">
        <v>365</v>
      </c>
      <c r="E2410" s="135" t="s">
        <v>1</v>
      </c>
      <c r="F2410" s="120" t="s">
        <v>3573</v>
      </c>
      <c r="H2410" s="121">
        <v>64.44</v>
      </c>
      <c r="I2410" s="128"/>
      <c r="L2410" s="119"/>
      <c r="M2410" s="129"/>
      <c r="T2410" s="133"/>
      <c r="AT2410" s="135" t="s">
        <v>365</v>
      </c>
      <c r="AU2410" s="135" t="s">
        <v>87</v>
      </c>
      <c r="AV2410" s="113" t="s">
        <v>87</v>
      </c>
      <c r="AW2410" s="113" t="s">
        <v>33</v>
      </c>
      <c r="AX2410" s="113" t="s">
        <v>77</v>
      </c>
      <c r="AY2410" s="135" t="s">
        <v>211</v>
      </c>
    </row>
    <row r="2411" spans="2:65" s="136" customFormat="1">
      <c r="B2411" s="138"/>
      <c r="D2411" s="105" t="s">
        <v>365</v>
      </c>
      <c r="E2411" s="139" t="s">
        <v>1</v>
      </c>
      <c r="F2411" s="140" t="s">
        <v>872</v>
      </c>
      <c r="H2411" s="139" t="s">
        <v>1</v>
      </c>
      <c r="I2411" s="146"/>
      <c r="L2411" s="138"/>
      <c r="M2411" s="147"/>
      <c r="T2411" s="150"/>
      <c r="AT2411" s="139" t="s">
        <v>365</v>
      </c>
      <c r="AU2411" s="139" t="s">
        <v>87</v>
      </c>
      <c r="AV2411" s="136" t="s">
        <v>85</v>
      </c>
      <c r="AW2411" s="136" t="s">
        <v>33</v>
      </c>
      <c r="AX2411" s="136" t="s">
        <v>77</v>
      </c>
      <c r="AY2411" s="139" t="s">
        <v>211</v>
      </c>
    </row>
    <row r="2412" spans="2:65" s="113" customFormat="1">
      <c r="B2412" s="119"/>
      <c r="D2412" s="105" t="s">
        <v>365</v>
      </c>
      <c r="E2412" s="135" t="s">
        <v>1</v>
      </c>
      <c r="F2412" s="120" t="s">
        <v>3574</v>
      </c>
      <c r="H2412" s="121">
        <v>67.98</v>
      </c>
      <c r="I2412" s="128"/>
      <c r="L2412" s="119"/>
      <c r="M2412" s="129"/>
      <c r="T2412" s="133"/>
      <c r="AT2412" s="135" t="s">
        <v>365</v>
      </c>
      <c r="AU2412" s="135" t="s">
        <v>87</v>
      </c>
      <c r="AV2412" s="113" t="s">
        <v>87</v>
      </c>
      <c r="AW2412" s="113" t="s">
        <v>33</v>
      </c>
      <c r="AX2412" s="113" t="s">
        <v>77</v>
      </c>
      <c r="AY2412" s="135" t="s">
        <v>211</v>
      </c>
    </row>
    <row r="2413" spans="2:65" s="137" customFormat="1">
      <c r="B2413" s="141"/>
      <c r="D2413" s="105" t="s">
        <v>365</v>
      </c>
      <c r="E2413" s="142" t="s">
        <v>1</v>
      </c>
      <c r="F2413" s="143" t="s">
        <v>368</v>
      </c>
      <c r="H2413" s="144">
        <v>283.56</v>
      </c>
      <c r="I2413" s="148"/>
      <c r="L2413" s="141"/>
      <c r="M2413" s="149"/>
      <c r="T2413" s="151"/>
      <c r="AT2413" s="142" t="s">
        <v>365</v>
      </c>
      <c r="AU2413" s="142" t="s">
        <v>87</v>
      </c>
      <c r="AV2413" s="137" t="s">
        <v>218</v>
      </c>
      <c r="AW2413" s="137" t="s">
        <v>33</v>
      </c>
      <c r="AX2413" s="137" t="s">
        <v>85</v>
      </c>
      <c r="AY2413" s="142" t="s">
        <v>211</v>
      </c>
    </row>
    <row r="2414" spans="2:65" s="1" customFormat="1" ht="66.75" customHeight="1">
      <c r="B2414" s="12"/>
      <c r="C2414" s="114" t="s">
        <v>3575</v>
      </c>
      <c r="D2414" s="114" t="s">
        <v>438</v>
      </c>
      <c r="E2414" s="115" t="s">
        <v>3533</v>
      </c>
      <c r="F2414" s="116" t="s">
        <v>3534</v>
      </c>
      <c r="G2414" s="117" t="s">
        <v>279</v>
      </c>
      <c r="H2414" s="118">
        <v>326.09399999999999</v>
      </c>
      <c r="I2414" s="122">
        <v>899</v>
      </c>
      <c r="J2414" s="123">
        <f>ROUND(I2414*H2414,2)</f>
        <v>293158.51</v>
      </c>
      <c r="K2414" s="124"/>
      <c r="L2414" s="125"/>
      <c r="M2414" s="126" t="s">
        <v>1</v>
      </c>
      <c r="N2414" s="127" t="s">
        <v>42</v>
      </c>
      <c r="P2414" s="95">
        <f>O2414*H2414</f>
        <v>0</v>
      </c>
      <c r="Q2414" s="95">
        <v>2.1000000000000001E-2</v>
      </c>
      <c r="R2414" s="95">
        <f>Q2414*H2414</f>
        <v>6.8479739999999998</v>
      </c>
      <c r="S2414" s="95">
        <v>0</v>
      </c>
      <c r="T2414" s="99">
        <f>S2414*H2414</f>
        <v>0</v>
      </c>
      <c r="AR2414" s="101" t="s">
        <v>527</v>
      </c>
      <c r="AT2414" s="101" t="s">
        <v>438</v>
      </c>
      <c r="AU2414" s="101" t="s">
        <v>87</v>
      </c>
      <c r="AY2414" s="23" t="s">
        <v>211</v>
      </c>
      <c r="BE2414" s="104">
        <f>IF(N2414="základní",J2414,0)</f>
        <v>293158.51</v>
      </c>
      <c r="BF2414" s="104">
        <f>IF(N2414="snížená",J2414,0)</f>
        <v>0</v>
      </c>
      <c r="BG2414" s="104">
        <f>IF(N2414="zákl. přenesená",J2414,0)</f>
        <v>0</v>
      </c>
      <c r="BH2414" s="104">
        <f>IF(N2414="sníž. přenesená",J2414,0)</f>
        <v>0</v>
      </c>
      <c r="BI2414" s="104">
        <f>IF(N2414="nulová",J2414,0)</f>
        <v>0</v>
      </c>
      <c r="BJ2414" s="23" t="s">
        <v>85</v>
      </c>
      <c r="BK2414" s="104">
        <f>ROUND(I2414*H2414,2)</f>
        <v>293158.51</v>
      </c>
      <c r="BL2414" s="23" t="s">
        <v>446</v>
      </c>
      <c r="BM2414" s="101" t="s">
        <v>3576</v>
      </c>
    </row>
    <row r="2415" spans="2:65" s="113" customFormat="1">
      <c r="B2415" s="119"/>
      <c r="D2415" s="105" t="s">
        <v>365</v>
      </c>
      <c r="F2415" s="120" t="s">
        <v>3577</v>
      </c>
      <c r="H2415" s="121">
        <v>326.09399999999999</v>
      </c>
      <c r="I2415" s="128"/>
      <c r="L2415" s="119"/>
      <c r="M2415" s="129"/>
      <c r="T2415" s="133"/>
      <c r="AT2415" s="135" t="s">
        <v>365</v>
      </c>
      <c r="AU2415" s="135" t="s">
        <v>87</v>
      </c>
      <c r="AV2415" s="113" t="s">
        <v>87</v>
      </c>
      <c r="AW2415" s="113" t="s">
        <v>4</v>
      </c>
      <c r="AX2415" s="113" t="s">
        <v>85</v>
      </c>
      <c r="AY2415" s="135" t="s">
        <v>211</v>
      </c>
    </row>
    <row r="2416" spans="2:65" s="1" customFormat="1" ht="33" customHeight="1">
      <c r="B2416" s="12"/>
      <c r="C2416" s="71" t="s">
        <v>3578</v>
      </c>
      <c r="D2416" s="71" t="s">
        <v>214</v>
      </c>
      <c r="E2416" s="72" t="s">
        <v>3579</v>
      </c>
      <c r="F2416" s="73" t="s">
        <v>3580</v>
      </c>
      <c r="G2416" s="74" t="s">
        <v>279</v>
      </c>
      <c r="H2416" s="75">
        <v>739.26</v>
      </c>
      <c r="I2416" s="90">
        <v>979</v>
      </c>
      <c r="J2416" s="91">
        <f>ROUND(I2416*H2416,2)</f>
        <v>723735.54</v>
      </c>
      <c r="K2416" s="92"/>
      <c r="L2416" s="12"/>
      <c r="M2416" s="93" t="s">
        <v>1</v>
      </c>
      <c r="N2416" s="94" t="s">
        <v>42</v>
      </c>
      <c r="P2416" s="95">
        <f>O2416*H2416</f>
        <v>0</v>
      </c>
      <c r="Q2416" s="95">
        <v>8.9999999999999993E-3</v>
      </c>
      <c r="R2416" s="95">
        <f>Q2416*H2416</f>
        <v>6.65334</v>
      </c>
      <c r="S2416" s="95">
        <v>0</v>
      </c>
      <c r="T2416" s="99">
        <f>S2416*H2416</f>
        <v>0</v>
      </c>
      <c r="AR2416" s="101" t="s">
        <v>446</v>
      </c>
      <c r="AT2416" s="101" t="s">
        <v>214</v>
      </c>
      <c r="AU2416" s="101" t="s">
        <v>87</v>
      </c>
      <c r="AY2416" s="23" t="s">
        <v>211</v>
      </c>
      <c r="BE2416" s="104">
        <f>IF(N2416="základní",J2416,0)</f>
        <v>723735.54</v>
      </c>
      <c r="BF2416" s="104">
        <f>IF(N2416="snížená",J2416,0)</f>
        <v>0</v>
      </c>
      <c r="BG2416" s="104">
        <f>IF(N2416="zákl. přenesená",J2416,0)</f>
        <v>0</v>
      </c>
      <c r="BH2416" s="104">
        <f>IF(N2416="sníž. přenesená",J2416,0)</f>
        <v>0</v>
      </c>
      <c r="BI2416" s="104">
        <f>IF(N2416="nulová",J2416,0)</f>
        <v>0</v>
      </c>
      <c r="BJ2416" s="23" t="s">
        <v>85</v>
      </c>
      <c r="BK2416" s="104">
        <f>ROUND(I2416*H2416,2)</f>
        <v>723735.54</v>
      </c>
      <c r="BL2416" s="23" t="s">
        <v>446</v>
      </c>
      <c r="BM2416" s="101" t="s">
        <v>3581</v>
      </c>
    </row>
    <row r="2417" spans="2:51" s="136" customFormat="1">
      <c r="B2417" s="138"/>
      <c r="D2417" s="105" t="s">
        <v>365</v>
      </c>
      <c r="E2417" s="139" t="s">
        <v>1</v>
      </c>
      <c r="F2417" s="140" t="s">
        <v>3582</v>
      </c>
      <c r="H2417" s="139" t="s">
        <v>1</v>
      </c>
      <c r="I2417" s="146"/>
      <c r="L2417" s="138"/>
      <c r="M2417" s="147"/>
      <c r="T2417" s="150"/>
      <c r="AT2417" s="139" t="s">
        <v>365</v>
      </c>
      <c r="AU2417" s="139" t="s">
        <v>87</v>
      </c>
      <c r="AV2417" s="136" t="s">
        <v>85</v>
      </c>
      <c r="AW2417" s="136" t="s">
        <v>33</v>
      </c>
      <c r="AX2417" s="136" t="s">
        <v>77</v>
      </c>
      <c r="AY2417" s="139" t="s">
        <v>211</v>
      </c>
    </row>
    <row r="2418" spans="2:51" s="136" customFormat="1">
      <c r="B2418" s="138"/>
      <c r="D2418" s="105" t="s">
        <v>365</v>
      </c>
      <c r="E2418" s="139" t="s">
        <v>1</v>
      </c>
      <c r="F2418" s="140" t="s">
        <v>866</v>
      </c>
      <c r="H2418" s="139" t="s">
        <v>1</v>
      </c>
      <c r="I2418" s="146"/>
      <c r="L2418" s="138"/>
      <c r="M2418" s="147"/>
      <c r="T2418" s="150"/>
      <c r="AT2418" s="139" t="s">
        <v>365</v>
      </c>
      <c r="AU2418" s="139" t="s">
        <v>87</v>
      </c>
      <c r="AV2418" s="136" t="s">
        <v>85</v>
      </c>
      <c r="AW2418" s="136" t="s">
        <v>33</v>
      </c>
      <c r="AX2418" s="136" t="s">
        <v>77</v>
      </c>
      <c r="AY2418" s="139" t="s">
        <v>211</v>
      </c>
    </row>
    <row r="2419" spans="2:51" s="113" customFormat="1">
      <c r="B2419" s="119"/>
      <c r="D2419" s="105" t="s">
        <v>365</v>
      </c>
      <c r="E2419" s="135" t="s">
        <v>1</v>
      </c>
      <c r="F2419" s="120" t="s">
        <v>619</v>
      </c>
      <c r="H2419" s="121">
        <v>48</v>
      </c>
      <c r="I2419" s="128"/>
      <c r="L2419" s="119"/>
      <c r="M2419" s="129"/>
      <c r="T2419" s="133"/>
      <c r="AT2419" s="135" t="s">
        <v>365</v>
      </c>
      <c r="AU2419" s="135" t="s">
        <v>87</v>
      </c>
      <c r="AV2419" s="113" t="s">
        <v>87</v>
      </c>
      <c r="AW2419" s="113" t="s">
        <v>33</v>
      </c>
      <c r="AX2419" s="113" t="s">
        <v>77</v>
      </c>
      <c r="AY2419" s="135" t="s">
        <v>211</v>
      </c>
    </row>
    <row r="2420" spans="2:51" s="136" customFormat="1">
      <c r="B2420" s="138"/>
      <c r="D2420" s="105" t="s">
        <v>365</v>
      </c>
      <c r="E2420" s="139" t="s">
        <v>1</v>
      </c>
      <c r="F2420" s="140" t="s">
        <v>868</v>
      </c>
      <c r="H2420" s="139" t="s">
        <v>1</v>
      </c>
      <c r="I2420" s="146"/>
      <c r="L2420" s="138"/>
      <c r="M2420" s="147"/>
      <c r="T2420" s="150"/>
      <c r="AT2420" s="139" t="s">
        <v>365</v>
      </c>
      <c r="AU2420" s="139" t="s">
        <v>87</v>
      </c>
      <c r="AV2420" s="136" t="s">
        <v>85</v>
      </c>
      <c r="AW2420" s="136" t="s">
        <v>33</v>
      </c>
      <c r="AX2420" s="136" t="s">
        <v>77</v>
      </c>
      <c r="AY2420" s="139" t="s">
        <v>211</v>
      </c>
    </row>
    <row r="2421" spans="2:51" s="113" customFormat="1">
      <c r="B2421" s="119"/>
      <c r="D2421" s="105" t="s">
        <v>365</v>
      </c>
      <c r="E2421" s="135" t="s">
        <v>1</v>
      </c>
      <c r="F2421" s="120" t="s">
        <v>3583</v>
      </c>
      <c r="H2421" s="121">
        <v>94.09</v>
      </c>
      <c r="I2421" s="128"/>
      <c r="L2421" s="119"/>
      <c r="M2421" s="129"/>
      <c r="T2421" s="133"/>
      <c r="AT2421" s="135" t="s">
        <v>365</v>
      </c>
      <c r="AU2421" s="135" t="s">
        <v>87</v>
      </c>
      <c r="AV2421" s="113" t="s">
        <v>87</v>
      </c>
      <c r="AW2421" s="113" t="s">
        <v>33</v>
      </c>
      <c r="AX2421" s="113" t="s">
        <v>77</v>
      </c>
      <c r="AY2421" s="135" t="s">
        <v>211</v>
      </c>
    </row>
    <row r="2422" spans="2:51" s="136" customFormat="1">
      <c r="B2422" s="138"/>
      <c r="D2422" s="105" t="s">
        <v>365</v>
      </c>
      <c r="E2422" s="139" t="s">
        <v>1</v>
      </c>
      <c r="F2422" s="140" t="s">
        <v>870</v>
      </c>
      <c r="H2422" s="139" t="s">
        <v>1</v>
      </c>
      <c r="I2422" s="146"/>
      <c r="L2422" s="138"/>
      <c r="M2422" s="147"/>
      <c r="T2422" s="150"/>
      <c r="AT2422" s="139" t="s">
        <v>365</v>
      </c>
      <c r="AU2422" s="139" t="s">
        <v>87</v>
      </c>
      <c r="AV2422" s="136" t="s">
        <v>85</v>
      </c>
      <c r="AW2422" s="136" t="s">
        <v>33</v>
      </c>
      <c r="AX2422" s="136" t="s">
        <v>77</v>
      </c>
      <c r="AY2422" s="139" t="s">
        <v>211</v>
      </c>
    </row>
    <row r="2423" spans="2:51" s="113" customFormat="1">
      <c r="B2423" s="119"/>
      <c r="D2423" s="105" t="s">
        <v>365</v>
      </c>
      <c r="E2423" s="135" t="s">
        <v>1</v>
      </c>
      <c r="F2423" s="120" t="s">
        <v>3584</v>
      </c>
      <c r="H2423" s="121">
        <v>75.63</v>
      </c>
      <c r="I2423" s="128"/>
      <c r="L2423" s="119"/>
      <c r="M2423" s="129"/>
      <c r="T2423" s="133"/>
      <c r="AT2423" s="135" t="s">
        <v>365</v>
      </c>
      <c r="AU2423" s="135" t="s">
        <v>87</v>
      </c>
      <c r="AV2423" s="113" t="s">
        <v>87</v>
      </c>
      <c r="AW2423" s="113" t="s">
        <v>33</v>
      </c>
      <c r="AX2423" s="113" t="s">
        <v>77</v>
      </c>
      <c r="AY2423" s="135" t="s">
        <v>211</v>
      </c>
    </row>
    <row r="2424" spans="2:51" s="136" customFormat="1">
      <c r="B2424" s="138"/>
      <c r="D2424" s="105" t="s">
        <v>365</v>
      </c>
      <c r="E2424" s="139" t="s">
        <v>1</v>
      </c>
      <c r="F2424" s="140" t="s">
        <v>872</v>
      </c>
      <c r="H2424" s="139" t="s">
        <v>1</v>
      </c>
      <c r="I2424" s="146"/>
      <c r="L2424" s="138"/>
      <c r="M2424" s="147"/>
      <c r="T2424" s="150"/>
      <c r="AT2424" s="139" t="s">
        <v>365</v>
      </c>
      <c r="AU2424" s="139" t="s">
        <v>87</v>
      </c>
      <c r="AV2424" s="136" t="s">
        <v>85</v>
      </c>
      <c r="AW2424" s="136" t="s">
        <v>33</v>
      </c>
      <c r="AX2424" s="136" t="s">
        <v>77</v>
      </c>
      <c r="AY2424" s="139" t="s">
        <v>211</v>
      </c>
    </row>
    <row r="2425" spans="2:51" s="113" customFormat="1">
      <c r="B2425" s="119"/>
      <c r="D2425" s="105" t="s">
        <v>365</v>
      </c>
      <c r="E2425" s="135" t="s">
        <v>1</v>
      </c>
      <c r="F2425" s="120" t="s">
        <v>3585</v>
      </c>
      <c r="H2425" s="121">
        <v>112.56</v>
      </c>
      <c r="I2425" s="128"/>
      <c r="L2425" s="119"/>
      <c r="M2425" s="129"/>
      <c r="T2425" s="133"/>
      <c r="AT2425" s="135" t="s">
        <v>365</v>
      </c>
      <c r="AU2425" s="135" t="s">
        <v>87</v>
      </c>
      <c r="AV2425" s="113" t="s">
        <v>87</v>
      </c>
      <c r="AW2425" s="113" t="s">
        <v>33</v>
      </c>
      <c r="AX2425" s="113" t="s">
        <v>77</v>
      </c>
      <c r="AY2425" s="135" t="s">
        <v>211</v>
      </c>
    </row>
    <row r="2426" spans="2:51" s="154" customFormat="1">
      <c r="B2426" s="156"/>
      <c r="D2426" s="105" t="s">
        <v>365</v>
      </c>
      <c r="E2426" s="157" t="s">
        <v>1</v>
      </c>
      <c r="F2426" s="158" t="s">
        <v>741</v>
      </c>
      <c r="H2426" s="159">
        <v>330.28</v>
      </c>
      <c r="I2426" s="160"/>
      <c r="L2426" s="156"/>
      <c r="M2426" s="161"/>
      <c r="T2426" s="162"/>
      <c r="AT2426" s="157" t="s">
        <v>365</v>
      </c>
      <c r="AU2426" s="157" t="s">
        <v>87</v>
      </c>
      <c r="AV2426" s="154" t="s">
        <v>137</v>
      </c>
      <c r="AW2426" s="154" t="s">
        <v>33</v>
      </c>
      <c r="AX2426" s="154" t="s">
        <v>77</v>
      </c>
      <c r="AY2426" s="157" t="s">
        <v>211</v>
      </c>
    </row>
    <row r="2427" spans="2:51" s="136" customFormat="1">
      <c r="B2427" s="138"/>
      <c r="D2427" s="105" t="s">
        <v>365</v>
      </c>
      <c r="E2427" s="139" t="s">
        <v>1</v>
      </c>
      <c r="F2427" s="140" t="s">
        <v>3586</v>
      </c>
      <c r="H2427" s="139" t="s">
        <v>1</v>
      </c>
      <c r="I2427" s="146"/>
      <c r="L2427" s="138"/>
      <c r="M2427" s="147"/>
      <c r="T2427" s="150"/>
      <c r="AT2427" s="139" t="s">
        <v>365</v>
      </c>
      <c r="AU2427" s="139" t="s">
        <v>87</v>
      </c>
      <c r="AV2427" s="136" t="s">
        <v>85</v>
      </c>
      <c r="AW2427" s="136" t="s">
        <v>33</v>
      </c>
      <c r="AX2427" s="136" t="s">
        <v>77</v>
      </c>
      <c r="AY2427" s="139" t="s">
        <v>211</v>
      </c>
    </row>
    <row r="2428" spans="2:51" s="136" customFormat="1">
      <c r="B2428" s="138"/>
      <c r="D2428" s="105" t="s">
        <v>365</v>
      </c>
      <c r="E2428" s="139" t="s">
        <v>1</v>
      </c>
      <c r="F2428" s="140" t="s">
        <v>866</v>
      </c>
      <c r="H2428" s="139" t="s">
        <v>1</v>
      </c>
      <c r="I2428" s="146"/>
      <c r="L2428" s="138"/>
      <c r="M2428" s="147"/>
      <c r="T2428" s="150"/>
      <c r="AT2428" s="139" t="s">
        <v>365</v>
      </c>
      <c r="AU2428" s="139" t="s">
        <v>87</v>
      </c>
      <c r="AV2428" s="136" t="s">
        <v>85</v>
      </c>
      <c r="AW2428" s="136" t="s">
        <v>33</v>
      </c>
      <c r="AX2428" s="136" t="s">
        <v>77</v>
      </c>
      <c r="AY2428" s="139" t="s">
        <v>211</v>
      </c>
    </row>
    <row r="2429" spans="2:51" s="113" customFormat="1">
      <c r="B2429" s="119"/>
      <c r="D2429" s="105" t="s">
        <v>365</v>
      </c>
      <c r="E2429" s="135" t="s">
        <v>1</v>
      </c>
      <c r="F2429" s="120" t="s">
        <v>3587</v>
      </c>
      <c r="H2429" s="121">
        <v>42.64</v>
      </c>
      <c r="I2429" s="128"/>
      <c r="L2429" s="119"/>
      <c r="M2429" s="129"/>
      <c r="T2429" s="133"/>
      <c r="AT2429" s="135" t="s">
        <v>365</v>
      </c>
      <c r="AU2429" s="135" t="s">
        <v>87</v>
      </c>
      <c r="AV2429" s="113" t="s">
        <v>87</v>
      </c>
      <c r="AW2429" s="113" t="s">
        <v>33</v>
      </c>
      <c r="AX2429" s="113" t="s">
        <v>77</v>
      </c>
      <c r="AY2429" s="135" t="s">
        <v>211</v>
      </c>
    </row>
    <row r="2430" spans="2:51" s="136" customFormat="1">
      <c r="B2430" s="138"/>
      <c r="D2430" s="105" t="s">
        <v>365</v>
      </c>
      <c r="E2430" s="139" t="s">
        <v>1</v>
      </c>
      <c r="F2430" s="140" t="s">
        <v>868</v>
      </c>
      <c r="H2430" s="139" t="s">
        <v>1</v>
      </c>
      <c r="I2430" s="146"/>
      <c r="L2430" s="138"/>
      <c r="M2430" s="147"/>
      <c r="T2430" s="150"/>
      <c r="AT2430" s="139" t="s">
        <v>365</v>
      </c>
      <c r="AU2430" s="139" t="s">
        <v>87</v>
      </c>
      <c r="AV2430" s="136" t="s">
        <v>85</v>
      </c>
      <c r="AW2430" s="136" t="s">
        <v>33</v>
      </c>
      <c r="AX2430" s="136" t="s">
        <v>77</v>
      </c>
      <c r="AY2430" s="139" t="s">
        <v>211</v>
      </c>
    </row>
    <row r="2431" spans="2:51" s="113" customFormat="1">
      <c r="B2431" s="119"/>
      <c r="D2431" s="105" t="s">
        <v>365</v>
      </c>
      <c r="E2431" s="135" t="s">
        <v>1</v>
      </c>
      <c r="F2431" s="120" t="s">
        <v>3588</v>
      </c>
      <c r="H2431" s="121">
        <v>65.790000000000006</v>
      </c>
      <c r="I2431" s="128"/>
      <c r="L2431" s="119"/>
      <c r="M2431" s="129"/>
      <c r="T2431" s="133"/>
      <c r="AT2431" s="135" t="s">
        <v>365</v>
      </c>
      <c r="AU2431" s="135" t="s">
        <v>87</v>
      </c>
      <c r="AV2431" s="113" t="s">
        <v>87</v>
      </c>
      <c r="AW2431" s="113" t="s">
        <v>33</v>
      </c>
      <c r="AX2431" s="113" t="s">
        <v>77</v>
      </c>
      <c r="AY2431" s="135" t="s">
        <v>211</v>
      </c>
    </row>
    <row r="2432" spans="2:51" s="136" customFormat="1">
      <c r="B2432" s="138"/>
      <c r="D2432" s="105" t="s">
        <v>365</v>
      </c>
      <c r="E2432" s="139" t="s">
        <v>1</v>
      </c>
      <c r="F2432" s="140" t="s">
        <v>870</v>
      </c>
      <c r="H2432" s="139" t="s">
        <v>1</v>
      </c>
      <c r="I2432" s="146"/>
      <c r="L2432" s="138"/>
      <c r="M2432" s="147"/>
      <c r="T2432" s="150"/>
      <c r="AT2432" s="139" t="s">
        <v>365</v>
      </c>
      <c r="AU2432" s="139" t="s">
        <v>87</v>
      </c>
      <c r="AV2432" s="136" t="s">
        <v>85</v>
      </c>
      <c r="AW2432" s="136" t="s">
        <v>33</v>
      </c>
      <c r="AX2432" s="136" t="s">
        <v>77</v>
      </c>
      <c r="AY2432" s="139" t="s">
        <v>211</v>
      </c>
    </row>
    <row r="2433" spans="2:65" s="113" customFormat="1">
      <c r="B2433" s="119"/>
      <c r="D2433" s="105" t="s">
        <v>365</v>
      </c>
      <c r="E2433" s="135" t="s">
        <v>1</v>
      </c>
      <c r="F2433" s="120" t="s">
        <v>3589</v>
      </c>
      <c r="H2433" s="121">
        <v>56.76</v>
      </c>
      <c r="I2433" s="128"/>
      <c r="L2433" s="119"/>
      <c r="M2433" s="129"/>
      <c r="T2433" s="133"/>
      <c r="AT2433" s="135" t="s">
        <v>365</v>
      </c>
      <c r="AU2433" s="135" t="s">
        <v>87</v>
      </c>
      <c r="AV2433" s="113" t="s">
        <v>87</v>
      </c>
      <c r="AW2433" s="113" t="s">
        <v>33</v>
      </c>
      <c r="AX2433" s="113" t="s">
        <v>77</v>
      </c>
      <c r="AY2433" s="135" t="s">
        <v>211</v>
      </c>
    </row>
    <row r="2434" spans="2:65" s="136" customFormat="1">
      <c r="B2434" s="138"/>
      <c r="D2434" s="105" t="s">
        <v>365</v>
      </c>
      <c r="E2434" s="139" t="s">
        <v>1</v>
      </c>
      <c r="F2434" s="140" t="s">
        <v>872</v>
      </c>
      <c r="H2434" s="139" t="s">
        <v>1</v>
      </c>
      <c r="I2434" s="146"/>
      <c r="L2434" s="138"/>
      <c r="M2434" s="147"/>
      <c r="T2434" s="150"/>
      <c r="AT2434" s="139" t="s">
        <v>365</v>
      </c>
      <c r="AU2434" s="139" t="s">
        <v>87</v>
      </c>
      <c r="AV2434" s="136" t="s">
        <v>85</v>
      </c>
      <c r="AW2434" s="136" t="s">
        <v>33</v>
      </c>
      <c r="AX2434" s="136" t="s">
        <v>77</v>
      </c>
      <c r="AY2434" s="139" t="s">
        <v>211</v>
      </c>
    </row>
    <row r="2435" spans="2:65" s="113" customFormat="1">
      <c r="B2435" s="119"/>
      <c r="D2435" s="105" t="s">
        <v>365</v>
      </c>
      <c r="E2435" s="135" t="s">
        <v>1</v>
      </c>
      <c r="F2435" s="120" t="s">
        <v>3590</v>
      </c>
      <c r="H2435" s="121">
        <v>68.05</v>
      </c>
      <c r="I2435" s="128"/>
      <c r="L2435" s="119"/>
      <c r="M2435" s="129"/>
      <c r="T2435" s="133"/>
      <c r="AT2435" s="135" t="s">
        <v>365</v>
      </c>
      <c r="AU2435" s="135" t="s">
        <v>87</v>
      </c>
      <c r="AV2435" s="113" t="s">
        <v>87</v>
      </c>
      <c r="AW2435" s="113" t="s">
        <v>33</v>
      </c>
      <c r="AX2435" s="113" t="s">
        <v>77</v>
      </c>
      <c r="AY2435" s="135" t="s">
        <v>211</v>
      </c>
    </row>
    <row r="2436" spans="2:65" s="154" customFormat="1">
      <c r="B2436" s="156"/>
      <c r="D2436" s="105" t="s">
        <v>365</v>
      </c>
      <c r="E2436" s="157" t="s">
        <v>3591</v>
      </c>
      <c r="F2436" s="158" t="s">
        <v>741</v>
      </c>
      <c r="H2436" s="159">
        <v>233.24</v>
      </c>
      <c r="I2436" s="160"/>
      <c r="L2436" s="156"/>
      <c r="M2436" s="161"/>
      <c r="T2436" s="162"/>
      <c r="AT2436" s="157" t="s">
        <v>365</v>
      </c>
      <c r="AU2436" s="157" t="s">
        <v>87</v>
      </c>
      <c r="AV2436" s="154" t="s">
        <v>137</v>
      </c>
      <c r="AW2436" s="154" t="s">
        <v>33</v>
      </c>
      <c r="AX2436" s="154" t="s">
        <v>77</v>
      </c>
      <c r="AY2436" s="157" t="s">
        <v>211</v>
      </c>
    </row>
    <row r="2437" spans="2:65" s="136" customFormat="1">
      <c r="B2437" s="138"/>
      <c r="D2437" s="105" t="s">
        <v>365</v>
      </c>
      <c r="E2437" s="139" t="s">
        <v>1</v>
      </c>
      <c r="F2437" s="140" t="s">
        <v>3592</v>
      </c>
      <c r="H2437" s="139" t="s">
        <v>1</v>
      </c>
      <c r="I2437" s="146"/>
      <c r="L2437" s="138"/>
      <c r="M2437" s="147"/>
      <c r="T2437" s="150"/>
      <c r="AT2437" s="139" t="s">
        <v>365</v>
      </c>
      <c r="AU2437" s="139" t="s">
        <v>87</v>
      </c>
      <c r="AV2437" s="136" t="s">
        <v>85</v>
      </c>
      <c r="AW2437" s="136" t="s">
        <v>33</v>
      </c>
      <c r="AX2437" s="136" t="s">
        <v>77</v>
      </c>
      <c r="AY2437" s="139" t="s">
        <v>211</v>
      </c>
    </row>
    <row r="2438" spans="2:65" s="136" customFormat="1">
      <c r="B2438" s="138"/>
      <c r="D2438" s="105" t="s">
        <v>365</v>
      </c>
      <c r="E2438" s="139" t="s">
        <v>1</v>
      </c>
      <c r="F2438" s="140" t="s">
        <v>866</v>
      </c>
      <c r="H2438" s="139" t="s">
        <v>1</v>
      </c>
      <c r="I2438" s="146"/>
      <c r="L2438" s="138"/>
      <c r="M2438" s="147"/>
      <c r="T2438" s="150"/>
      <c r="AT2438" s="139" t="s">
        <v>365</v>
      </c>
      <c r="AU2438" s="139" t="s">
        <v>87</v>
      </c>
      <c r="AV2438" s="136" t="s">
        <v>85</v>
      </c>
      <c r="AW2438" s="136" t="s">
        <v>33</v>
      </c>
      <c r="AX2438" s="136" t="s">
        <v>77</v>
      </c>
      <c r="AY2438" s="139" t="s">
        <v>211</v>
      </c>
    </row>
    <row r="2439" spans="2:65" s="113" customFormat="1">
      <c r="B2439" s="119"/>
      <c r="D2439" s="105" t="s">
        <v>365</v>
      </c>
      <c r="E2439" s="135" t="s">
        <v>1</v>
      </c>
      <c r="F2439" s="120" t="s">
        <v>3593</v>
      </c>
      <c r="H2439" s="121">
        <v>170.41</v>
      </c>
      <c r="I2439" s="128"/>
      <c r="L2439" s="119"/>
      <c r="M2439" s="129"/>
      <c r="T2439" s="133"/>
      <c r="AT2439" s="135" t="s">
        <v>365</v>
      </c>
      <c r="AU2439" s="135" t="s">
        <v>87</v>
      </c>
      <c r="AV2439" s="113" t="s">
        <v>87</v>
      </c>
      <c r="AW2439" s="113" t="s">
        <v>33</v>
      </c>
      <c r="AX2439" s="113" t="s">
        <v>77</v>
      </c>
      <c r="AY2439" s="135" t="s">
        <v>211</v>
      </c>
    </row>
    <row r="2440" spans="2:65" s="154" customFormat="1">
      <c r="B2440" s="156"/>
      <c r="D2440" s="105" t="s">
        <v>365</v>
      </c>
      <c r="E2440" s="157" t="s">
        <v>1</v>
      </c>
      <c r="F2440" s="158" t="s">
        <v>741</v>
      </c>
      <c r="H2440" s="159">
        <v>170.41</v>
      </c>
      <c r="I2440" s="160"/>
      <c r="L2440" s="156"/>
      <c r="M2440" s="161"/>
      <c r="T2440" s="162"/>
      <c r="AT2440" s="157" t="s">
        <v>365</v>
      </c>
      <c r="AU2440" s="157" t="s">
        <v>87</v>
      </c>
      <c r="AV2440" s="154" t="s">
        <v>137</v>
      </c>
      <c r="AW2440" s="154" t="s">
        <v>33</v>
      </c>
      <c r="AX2440" s="154" t="s">
        <v>77</v>
      </c>
      <c r="AY2440" s="157" t="s">
        <v>211</v>
      </c>
    </row>
    <row r="2441" spans="2:65" s="136" customFormat="1">
      <c r="B2441" s="138"/>
      <c r="D2441" s="105" t="s">
        <v>365</v>
      </c>
      <c r="E2441" s="139" t="s">
        <v>1</v>
      </c>
      <c r="F2441" s="140" t="s">
        <v>3594</v>
      </c>
      <c r="H2441" s="139" t="s">
        <v>1</v>
      </c>
      <c r="I2441" s="146"/>
      <c r="L2441" s="138"/>
      <c r="M2441" s="147"/>
      <c r="T2441" s="150"/>
      <c r="AT2441" s="139" t="s">
        <v>365</v>
      </c>
      <c r="AU2441" s="139" t="s">
        <v>87</v>
      </c>
      <c r="AV2441" s="136" t="s">
        <v>85</v>
      </c>
      <c r="AW2441" s="136" t="s">
        <v>33</v>
      </c>
      <c r="AX2441" s="136" t="s">
        <v>77</v>
      </c>
      <c r="AY2441" s="139" t="s">
        <v>211</v>
      </c>
    </row>
    <row r="2442" spans="2:65" s="136" customFormat="1">
      <c r="B2442" s="138"/>
      <c r="D2442" s="105" t="s">
        <v>365</v>
      </c>
      <c r="E2442" s="139" t="s">
        <v>1</v>
      </c>
      <c r="F2442" s="140" t="s">
        <v>866</v>
      </c>
      <c r="H2442" s="139" t="s">
        <v>1</v>
      </c>
      <c r="I2442" s="146"/>
      <c r="L2442" s="138"/>
      <c r="M2442" s="147"/>
      <c r="T2442" s="150"/>
      <c r="AT2442" s="139" t="s">
        <v>365</v>
      </c>
      <c r="AU2442" s="139" t="s">
        <v>87</v>
      </c>
      <c r="AV2442" s="136" t="s">
        <v>85</v>
      </c>
      <c r="AW2442" s="136" t="s">
        <v>33</v>
      </c>
      <c r="AX2442" s="136" t="s">
        <v>77</v>
      </c>
      <c r="AY2442" s="139" t="s">
        <v>211</v>
      </c>
    </row>
    <row r="2443" spans="2:65" s="113" customFormat="1">
      <c r="B2443" s="119"/>
      <c r="D2443" s="105" t="s">
        <v>365</v>
      </c>
      <c r="E2443" s="135" t="s">
        <v>3595</v>
      </c>
      <c r="F2443" s="120" t="s">
        <v>3596</v>
      </c>
      <c r="H2443" s="121">
        <v>5.33</v>
      </c>
      <c r="I2443" s="128"/>
      <c r="L2443" s="119"/>
      <c r="M2443" s="129"/>
      <c r="T2443" s="133"/>
      <c r="AT2443" s="135" t="s">
        <v>365</v>
      </c>
      <c r="AU2443" s="135" t="s">
        <v>87</v>
      </c>
      <c r="AV2443" s="113" t="s">
        <v>87</v>
      </c>
      <c r="AW2443" s="113" t="s">
        <v>33</v>
      </c>
      <c r="AX2443" s="113" t="s">
        <v>77</v>
      </c>
      <c r="AY2443" s="135" t="s">
        <v>211</v>
      </c>
    </row>
    <row r="2444" spans="2:65" s="137" customFormat="1">
      <c r="B2444" s="141"/>
      <c r="D2444" s="105" t="s">
        <v>365</v>
      </c>
      <c r="E2444" s="142" t="s">
        <v>1</v>
      </c>
      <c r="F2444" s="143" t="s">
        <v>368</v>
      </c>
      <c r="H2444" s="144">
        <v>739.26</v>
      </c>
      <c r="I2444" s="148"/>
      <c r="L2444" s="141"/>
      <c r="M2444" s="149"/>
      <c r="T2444" s="151"/>
      <c r="AT2444" s="142" t="s">
        <v>365</v>
      </c>
      <c r="AU2444" s="142" t="s">
        <v>87</v>
      </c>
      <c r="AV2444" s="137" t="s">
        <v>218</v>
      </c>
      <c r="AW2444" s="137" t="s">
        <v>33</v>
      </c>
      <c r="AX2444" s="137" t="s">
        <v>85</v>
      </c>
      <c r="AY2444" s="142" t="s">
        <v>211</v>
      </c>
    </row>
    <row r="2445" spans="2:65" s="1" customFormat="1" ht="66.75" customHeight="1">
      <c r="B2445" s="12"/>
      <c r="C2445" s="114" t="s">
        <v>3597</v>
      </c>
      <c r="D2445" s="114" t="s">
        <v>438</v>
      </c>
      <c r="E2445" s="115" t="s">
        <v>3542</v>
      </c>
      <c r="F2445" s="116" t="s">
        <v>3543</v>
      </c>
      <c r="G2445" s="117" t="s">
        <v>279</v>
      </c>
      <c r="H2445" s="118">
        <v>850.149</v>
      </c>
      <c r="I2445" s="122">
        <v>899</v>
      </c>
      <c r="J2445" s="123">
        <f>ROUND(I2445*H2445,2)</f>
        <v>764283.95</v>
      </c>
      <c r="K2445" s="124"/>
      <c r="L2445" s="125"/>
      <c r="M2445" s="126" t="s">
        <v>1</v>
      </c>
      <c r="N2445" s="127" t="s">
        <v>42</v>
      </c>
      <c r="P2445" s="95">
        <f>O2445*H2445</f>
        <v>0</v>
      </c>
      <c r="Q2445" s="95">
        <v>2.3E-2</v>
      </c>
      <c r="R2445" s="95">
        <f>Q2445*H2445</f>
        <v>19.553426999999999</v>
      </c>
      <c r="S2445" s="95">
        <v>0</v>
      </c>
      <c r="T2445" s="99">
        <f>S2445*H2445</f>
        <v>0</v>
      </c>
      <c r="AR2445" s="101" t="s">
        <v>527</v>
      </c>
      <c r="AT2445" s="101" t="s">
        <v>438</v>
      </c>
      <c r="AU2445" s="101" t="s">
        <v>87</v>
      </c>
      <c r="AY2445" s="23" t="s">
        <v>211</v>
      </c>
      <c r="BE2445" s="104">
        <f>IF(N2445="základní",J2445,0)</f>
        <v>764283.95</v>
      </c>
      <c r="BF2445" s="104">
        <f>IF(N2445="snížená",J2445,0)</f>
        <v>0</v>
      </c>
      <c r="BG2445" s="104">
        <f>IF(N2445="zákl. přenesená",J2445,0)</f>
        <v>0</v>
      </c>
      <c r="BH2445" s="104">
        <f>IF(N2445="sníž. přenesená",J2445,0)</f>
        <v>0</v>
      </c>
      <c r="BI2445" s="104">
        <f>IF(N2445="nulová",J2445,0)</f>
        <v>0</v>
      </c>
      <c r="BJ2445" s="23" t="s">
        <v>85</v>
      </c>
      <c r="BK2445" s="104">
        <f>ROUND(I2445*H2445,2)</f>
        <v>764283.95</v>
      </c>
      <c r="BL2445" s="23" t="s">
        <v>446</v>
      </c>
      <c r="BM2445" s="101" t="s">
        <v>3598</v>
      </c>
    </row>
    <row r="2446" spans="2:65" s="113" customFormat="1">
      <c r="B2446" s="119"/>
      <c r="D2446" s="105" t="s">
        <v>365</v>
      </c>
      <c r="F2446" s="120" t="s">
        <v>3599</v>
      </c>
      <c r="H2446" s="121">
        <v>850.149</v>
      </c>
      <c r="I2446" s="128"/>
      <c r="L2446" s="119"/>
      <c r="M2446" s="129"/>
      <c r="T2446" s="133"/>
      <c r="AT2446" s="135" t="s">
        <v>365</v>
      </c>
      <c r="AU2446" s="135" t="s">
        <v>87</v>
      </c>
      <c r="AV2446" s="113" t="s">
        <v>87</v>
      </c>
      <c r="AW2446" s="113" t="s">
        <v>4</v>
      </c>
      <c r="AX2446" s="113" t="s">
        <v>85</v>
      </c>
      <c r="AY2446" s="135" t="s">
        <v>211</v>
      </c>
    </row>
    <row r="2447" spans="2:65" s="1" customFormat="1" ht="24.15" customHeight="1">
      <c r="B2447" s="12"/>
      <c r="C2447" s="71" t="s">
        <v>3600</v>
      </c>
      <c r="D2447" s="71" t="s">
        <v>214</v>
      </c>
      <c r="E2447" s="72" t="s">
        <v>3601</v>
      </c>
      <c r="F2447" s="73" t="s">
        <v>3602</v>
      </c>
      <c r="G2447" s="74" t="s">
        <v>279</v>
      </c>
      <c r="H2447" s="75">
        <v>274.35599999999999</v>
      </c>
      <c r="I2447" s="90">
        <v>350</v>
      </c>
      <c r="J2447" s="91">
        <f>ROUND(I2447*H2447,2)</f>
        <v>96024.6</v>
      </c>
      <c r="K2447" s="92"/>
      <c r="L2447" s="12"/>
      <c r="M2447" s="93" t="s">
        <v>1</v>
      </c>
      <c r="N2447" s="94" t="s">
        <v>42</v>
      </c>
      <c r="P2447" s="95">
        <f>O2447*H2447</f>
        <v>0</v>
      </c>
      <c r="Q2447" s="95">
        <v>1.5E-3</v>
      </c>
      <c r="R2447" s="95">
        <f>Q2447*H2447</f>
        <v>0.41153400000000001</v>
      </c>
      <c r="S2447" s="95">
        <v>0</v>
      </c>
      <c r="T2447" s="99">
        <f>S2447*H2447</f>
        <v>0</v>
      </c>
      <c r="AR2447" s="101" t="s">
        <v>446</v>
      </c>
      <c r="AT2447" s="101" t="s">
        <v>214</v>
      </c>
      <c r="AU2447" s="101" t="s">
        <v>87</v>
      </c>
      <c r="AY2447" s="23" t="s">
        <v>211</v>
      </c>
      <c r="BE2447" s="104">
        <f>IF(N2447="základní",J2447,0)</f>
        <v>96024.6</v>
      </c>
      <c r="BF2447" s="104">
        <f>IF(N2447="snížená",J2447,0)</f>
        <v>0</v>
      </c>
      <c r="BG2447" s="104">
        <f>IF(N2447="zákl. přenesená",J2447,0)</f>
        <v>0</v>
      </c>
      <c r="BH2447" s="104">
        <f>IF(N2447="sníž. přenesená",J2447,0)</f>
        <v>0</v>
      </c>
      <c r="BI2447" s="104">
        <f>IF(N2447="nulová",J2447,0)</f>
        <v>0</v>
      </c>
      <c r="BJ2447" s="23" t="s">
        <v>85</v>
      </c>
      <c r="BK2447" s="104">
        <f>ROUND(I2447*H2447,2)</f>
        <v>96024.6</v>
      </c>
      <c r="BL2447" s="23" t="s">
        <v>446</v>
      </c>
      <c r="BM2447" s="101" t="s">
        <v>3603</v>
      </c>
    </row>
    <row r="2448" spans="2:65" s="1" customFormat="1" ht="19.2">
      <c r="B2448" s="12"/>
      <c r="D2448" s="105" t="s">
        <v>227</v>
      </c>
      <c r="F2448" s="106" t="s">
        <v>3604</v>
      </c>
      <c r="I2448" s="107"/>
      <c r="L2448" s="12"/>
      <c r="M2448" s="108"/>
      <c r="T2448" s="111"/>
      <c r="AT2448" s="23" t="s">
        <v>227</v>
      </c>
      <c r="AU2448" s="23" t="s">
        <v>87</v>
      </c>
    </row>
    <row r="2449" spans="2:65" s="113" customFormat="1">
      <c r="B2449" s="119"/>
      <c r="D2449" s="105" t="s">
        <v>365</v>
      </c>
      <c r="E2449" s="135" t="s">
        <v>1</v>
      </c>
      <c r="F2449" s="120" t="s">
        <v>3605</v>
      </c>
      <c r="H2449" s="121">
        <v>268.226</v>
      </c>
      <c r="I2449" s="128"/>
      <c r="L2449" s="119"/>
      <c r="M2449" s="129"/>
      <c r="T2449" s="133"/>
      <c r="AT2449" s="135" t="s">
        <v>365</v>
      </c>
      <c r="AU2449" s="135" t="s">
        <v>87</v>
      </c>
      <c r="AV2449" s="113" t="s">
        <v>87</v>
      </c>
      <c r="AW2449" s="113" t="s">
        <v>33</v>
      </c>
      <c r="AX2449" s="113" t="s">
        <v>77</v>
      </c>
      <c r="AY2449" s="135" t="s">
        <v>211</v>
      </c>
    </row>
    <row r="2450" spans="2:65" s="113" customFormat="1">
      <c r="B2450" s="119"/>
      <c r="D2450" s="105" t="s">
        <v>365</v>
      </c>
      <c r="E2450" s="135" t="s">
        <v>1</v>
      </c>
      <c r="F2450" s="120" t="s">
        <v>3606</v>
      </c>
      <c r="H2450" s="121">
        <v>6.13</v>
      </c>
      <c r="I2450" s="128"/>
      <c r="L2450" s="119"/>
      <c r="M2450" s="129"/>
      <c r="T2450" s="133"/>
      <c r="AT2450" s="135" t="s">
        <v>365</v>
      </c>
      <c r="AU2450" s="135" t="s">
        <v>87</v>
      </c>
      <c r="AV2450" s="113" t="s">
        <v>87</v>
      </c>
      <c r="AW2450" s="113" t="s">
        <v>33</v>
      </c>
      <c r="AX2450" s="113" t="s">
        <v>77</v>
      </c>
      <c r="AY2450" s="135" t="s">
        <v>211</v>
      </c>
    </row>
    <row r="2451" spans="2:65" s="137" customFormat="1">
      <c r="B2451" s="141"/>
      <c r="D2451" s="105" t="s">
        <v>365</v>
      </c>
      <c r="E2451" s="142" t="s">
        <v>1</v>
      </c>
      <c r="F2451" s="143" t="s">
        <v>368</v>
      </c>
      <c r="H2451" s="144">
        <v>274.35599999999999</v>
      </c>
      <c r="I2451" s="148"/>
      <c r="L2451" s="141"/>
      <c r="M2451" s="149"/>
      <c r="T2451" s="151"/>
      <c r="AT2451" s="142" t="s">
        <v>365</v>
      </c>
      <c r="AU2451" s="142" t="s">
        <v>87</v>
      </c>
      <c r="AV2451" s="137" t="s">
        <v>218</v>
      </c>
      <c r="AW2451" s="137" t="s">
        <v>33</v>
      </c>
      <c r="AX2451" s="137" t="s">
        <v>85</v>
      </c>
      <c r="AY2451" s="142" t="s">
        <v>211</v>
      </c>
    </row>
    <row r="2452" spans="2:65" s="1" customFormat="1" ht="24.15" customHeight="1">
      <c r="B2452" s="12"/>
      <c r="C2452" s="71" t="s">
        <v>3607</v>
      </c>
      <c r="D2452" s="71" t="s">
        <v>214</v>
      </c>
      <c r="E2452" s="72" t="s">
        <v>3608</v>
      </c>
      <c r="F2452" s="73" t="s">
        <v>3609</v>
      </c>
      <c r="G2452" s="74" t="s">
        <v>2866</v>
      </c>
      <c r="H2452" s="163">
        <f>SUM(J2342:J2447)/100</f>
        <v>25979.9411</v>
      </c>
      <c r="I2452" s="90">
        <v>5.4</v>
      </c>
      <c r="J2452" s="91">
        <f>ROUND(I2452*H2452,2)</f>
        <v>140291.68</v>
      </c>
      <c r="K2452" s="92"/>
      <c r="L2452" s="12"/>
      <c r="M2452" s="93" t="s">
        <v>1</v>
      </c>
      <c r="N2452" s="94" t="s">
        <v>42</v>
      </c>
      <c r="P2452" s="95">
        <f>O2452*H2452</f>
        <v>0</v>
      </c>
      <c r="Q2452" s="95">
        <v>0</v>
      </c>
      <c r="R2452" s="95">
        <f>Q2452*H2452</f>
        <v>0</v>
      </c>
      <c r="S2452" s="95">
        <v>0</v>
      </c>
      <c r="T2452" s="99">
        <f>S2452*H2452</f>
        <v>0</v>
      </c>
      <c r="AR2452" s="101" t="s">
        <v>446</v>
      </c>
      <c r="AT2452" s="101" t="s">
        <v>214</v>
      </c>
      <c r="AU2452" s="101" t="s">
        <v>87</v>
      </c>
      <c r="AY2452" s="23" t="s">
        <v>211</v>
      </c>
      <c r="BE2452" s="104">
        <f>IF(N2452="základní",J2452,0)</f>
        <v>140291.68</v>
      </c>
      <c r="BF2452" s="104">
        <f>IF(N2452="snížená",J2452,0)</f>
        <v>0</v>
      </c>
      <c r="BG2452" s="104">
        <f>IF(N2452="zákl. přenesená",J2452,0)</f>
        <v>0</v>
      </c>
      <c r="BH2452" s="104">
        <f>IF(N2452="sníž. přenesená",J2452,0)</f>
        <v>0</v>
      </c>
      <c r="BI2452" s="104">
        <f>IF(N2452="nulová",J2452,0)</f>
        <v>0</v>
      </c>
      <c r="BJ2452" s="23" t="s">
        <v>85</v>
      </c>
      <c r="BK2452" s="104">
        <f>ROUND(I2452*H2452,2)</f>
        <v>140291.68</v>
      </c>
      <c r="BL2452" s="23" t="s">
        <v>446</v>
      </c>
      <c r="BM2452" s="101" t="s">
        <v>3610</v>
      </c>
    </row>
    <row r="2453" spans="2:65" s="31" customFormat="1" ht="23.1" customHeight="1">
      <c r="B2453" s="67"/>
      <c r="D2453" s="68" t="s">
        <v>76</v>
      </c>
      <c r="E2453" s="70" t="s">
        <v>3611</v>
      </c>
      <c r="F2453" s="70" t="s">
        <v>3612</v>
      </c>
      <c r="I2453" s="85"/>
      <c r="J2453" s="89">
        <f>BK2453</f>
        <v>826578.61</v>
      </c>
      <c r="L2453" s="67"/>
      <c r="M2453" s="87"/>
      <c r="P2453" s="88">
        <f>SUM(P2454:P2457)</f>
        <v>0</v>
      </c>
      <c r="R2453" s="88">
        <f>SUM(R2454:R2457)</f>
        <v>0</v>
      </c>
      <c r="T2453" s="98">
        <f>SUM(T2454:T2457)</f>
        <v>0</v>
      </c>
      <c r="AR2453" s="68" t="s">
        <v>87</v>
      </c>
      <c r="AT2453" s="100" t="s">
        <v>76</v>
      </c>
      <c r="AU2453" s="100" t="s">
        <v>85</v>
      </c>
      <c r="AY2453" s="68" t="s">
        <v>211</v>
      </c>
      <c r="BK2453" s="103">
        <f>SUM(BK2454:BK2457)</f>
        <v>826578.61</v>
      </c>
    </row>
    <row r="2454" spans="2:65" s="1" customFormat="1" ht="62.85" customHeight="1">
      <c r="B2454" s="12"/>
      <c r="C2454" s="71" t="s">
        <v>3613</v>
      </c>
      <c r="D2454" s="71" t="s">
        <v>214</v>
      </c>
      <c r="E2454" s="72" t="s">
        <v>3614</v>
      </c>
      <c r="F2454" s="73" t="s">
        <v>3615</v>
      </c>
      <c r="G2454" s="74" t="s">
        <v>279</v>
      </c>
      <c r="H2454" s="75">
        <v>456.21</v>
      </c>
      <c r="I2454" s="90">
        <v>1790</v>
      </c>
      <c r="J2454" s="91">
        <f>ROUND(I2454*H2454,2)</f>
        <v>816615.9</v>
      </c>
      <c r="K2454" s="92"/>
      <c r="L2454" s="12"/>
      <c r="M2454" s="93" t="s">
        <v>1</v>
      </c>
      <c r="N2454" s="94" t="s">
        <v>42</v>
      </c>
      <c r="P2454" s="95">
        <f>O2454*H2454</f>
        <v>0</v>
      </c>
      <c r="Q2454" s="95">
        <v>0</v>
      </c>
      <c r="R2454" s="95">
        <f>Q2454*H2454</f>
        <v>0</v>
      </c>
      <c r="S2454" s="95">
        <v>0</v>
      </c>
      <c r="T2454" s="99">
        <f>S2454*H2454</f>
        <v>0</v>
      </c>
      <c r="AR2454" s="101" t="s">
        <v>446</v>
      </c>
      <c r="AT2454" s="101" t="s">
        <v>214</v>
      </c>
      <c r="AU2454" s="101" t="s">
        <v>87</v>
      </c>
      <c r="AY2454" s="23" t="s">
        <v>211</v>
      </c>
      <c r="BE2454" s="104">
        <f>IF(N2454="základní",J2454,0)</f>
        <v>816615.9</v>
      </c>
      <c r="BF2454" s="104">
        <f>IF(N2454="snížená",J2454,0)</f>
        <v>0</v>
      </c>
      <c r="BG2454" s="104">
        <f>IF(N2454="zákl. přenesená",J2454,0)</f>
        <v>0</v>
      </c>
      <c r="BH2454" s="104">
        <f>IF(N2454="sníž. přenesená",J2454,0)</f>
        <v>0</v>
      </c>
      <c r="BI2454" s="104">
        <f>IF(N2454="nulová",J2454,0)</f>
        <v>0</v>
      </c>
      <c r="BJ2454" s="23" t="s">
        <v>85</v>
      </c>
      <c r="BK2454" s="104">
        <f>ROUND(I2454*H2454,2)</f>
        <v>816615.9</v>
      </c>
      <c r="BL2454" s="23" t="s">
        <v>446</v>
      </c>
      <c r="BM2454" s="101" t="s">
        <v>3616</v>
      </c>
    </row>
    <row r="2455" spans="2:65" s="1" customFormat="1" ht="19.2">
      <c r="B2455" s="12"/>
      <c r="D2455" s="105" t="s">
        <v>227</v>
      </c>
      <c r="F2455" s="106" t="s">
        <v>3617</v>
      </c>
      <c r="I2455" s="107"/>
      <c r="L2455" s="12"/>
      <c r="M2455" s="108"/>
      <c r="T2455" s="111"/>
      <c r="AT2455" s="23" t="s">
        <v>227</v>
      </c>
      <c r="AU2455" s="23" t="s">
        <v>87</v>
      </c>
    </row>
    <row r="2456" spans="2:65" s="113" customFormat="1">
      <c r="B2456" s="119"/>
      <c r="D2456" s="105" t="s">
        <v>365</v>
      </c>
      <c r="E2456" s="135" t="s">
        <v>1</v>
      </c>
      <c r="F2456" s="120" t="s">
        <v>3618</v>
      </c>
      <c r="H2456" s="121">
        <v>456.21</v>
      </c>
      <c r="I2456" s="128"/>
      <c r="L2456" s="119"/>
      <c r="M2456" s="129"/>
      <c r="T2456" s="133"/>
      <c r="AT2456" s="135" t="s">
        <v>365</v>
      </c>
      <c r="AU2456" s="135" t="s">
        <v>87</v>
      </c>
      <c r="AV2456" s="113" t="s">
        <v>87</v>
      </c>
      <c r="AW2456" s="113" t="s">
        <v>33</v>
      </c>
      <c r="AX2456" s="113" t="s">
        <v>85</v>
      </c>
      <c r="AY2456" s="135" t="s">
        <v>211</v>
      </c>
    </row>
    <row r="2457" spans="2:65" s="1" customFormat="1" ht="24.15" customHeight="1">
      <c r="B2457" s="12"/>
      <c r="C2457" s="71" t="s">
        <v>3619</v>
      </c>
      <c r="D2457" s="71" t="s">
        <v>214</v>
      </c>
      <c r="E2457" s="72" t="s">
        <v>3620</v>
      </c>
      <c r="F2457" s="73" t="s">
        <v>3621</v>
      </c>
      <c r="G2457" s="74" t="s">
        <v>2866</v>
      </c>
      <c r="H2457" s="163">
        <f>J2454/100</f>
        <v>8166.1589999999997</v>
      </c>
      <c r="I2457" s="90">
        <v>1.22</v>
      </c>
      <c r="J2457" s="91">
        <f>ROUND(I2457*H2457,2)</f>
        <v>9962.7099999999991</v>
      </c>
      <c r="K2457" s="92"/>
      <c r="L2457" s="12"/>
      <c r="M2457" s="93" t="s">
        <v>1</v>
      </c>
      <c r="N2457" s="94" t="s">
        <v>42</v>
      </c>
      <c r="P2457" s="95">
        <f>O2457*H2457</f>
        <v>0</v>
      </c>
      <c r="Q2457" s="95">
        <v>0</v>
      </c>
      <c r="R2457" s="95">
        <f>Q2457*H2457</f>
        <v>0</v>
      </c>
      <c r="S2457" s="95">
        <v>0</v>
      </c>
      <c r="T2457" s="99">
        <f>S2457*H2457</f>
        <v>0</v>
      </c>
      <c r="AR2457" s="101" t="s">
        <v>446</v>
      </c>
      <c r="AT2457" s="101" t="s">
        <v>214</v>
      </c>
      <c r="AU2457" s="101" t="s">
        <v>87</v>
      </c>
      <c r="AY2457" s="23" t="s">
        <v>211</v>
      </c>
      <c r="BE2457" s="104">
        <f>IF(N2457="základní",J2457,0)</f>
        <v>9962.7099999999991</v>
      </c>
      <c r="BF2457" s="104">
        <f>IF(N2457="snížená",J2457,0)</f>
        <v>0</v>
      </c>
      <c r="BG2457" s="104">
        <f>IF(N2457="zákl. přenesená",J2457,0)</f>
        <v>0</v>
      </c>
      <c r="BH2457" s="104">
        <f>IF(N2457="sníž. přenesená",J2457,0)</f>
        <v>0</v>
      </c>
      <c r="BI2457" s="104">
        <f>IF(N2457="nulová",J2457,0)</f>
        <v>0</v>
      </c>
      <c r="BJ2457" s="23" t="s">
        <v>85</v>
      </c>
      <c r="BK2457" s="104">
        <f>ROUND(I2457*H2457,2)</f>
        <v>9962.7099999999991</v>
      </c>
      <c r="BL2457" s="23" t="s">
        <v>446</v>
      </c>
      <c r="BM2457" s="101" t="s">
        <v>3622</v>
      </c>
    </row>
    <row r="2458" spans="2:65" s="31" customFormat="1" ht="23.1" customHeight="1">
      <c r="B2458" s="67"/>
      <c r="D2458" s="68" t="s">
        <v>76</v>
      </c>
      <c r="E2458" s="70" t="s">
        <v>3623</v>
      </c>
      <c r="F2458" s="70" t="s">
        <v>3624</v>
      </c>
      <c r="I2458" s="85"/>
      <c r="J2458" s="89">
        <f>BK2458</f>
        <v>2919791.08</v>
      </c>
      <c r="L2458" s="67"/>
      <c r="M2458" s="87"/>
      <c r="P2458" s="88">
        <f>SUM(P2459:P2483)</f>
        <v>0</v>
      </c>
      <c r="R2458" s="88">
        <f>SUM(R2459:R2483)</f>
        <v>27.631089119999999</v>
      </c>
      <c r="T2458" s="98">
        <f>SUM(T2459:T2483)</f>
        <v>0</v>
      </c>
      <c r="AR2458" s="68" t="s">
        <v>87</v>
      </c>
      <c r="AT2458" s="100" t="s">
        <v>76</v>
      </c>
      <c r="AU2458" s="100" t="s">
        <v>85</v>
      </c>
      <c r="AY2458" s="68" t="s">
        <v>211</v>
      </c>
      <c r="BK2458" s="103">
        <f>SUM(BK2459:BK2483)</f>
        <v>2919791.08</v>
      </c>
    </row>
    <row r="2459" spans="2:65" s="1" customFormat="1" ht="24.15" customHeight="1">
      <c r="B2459" s="12"/>
      <c r="C2459" s="71" t="s">
        <v>3625</v>
      </c>
      <c r="D2459" s="71" t="s">
        <v>214</v>
      </c>
      <c r="E2459" s="72" t="s">
        <v>3626</v>
      </c>
      <c r="F2459" s="73" t="s">
        <v>3627</v>
      </c>
      <c r="G2459" s="74" t="s">
        <v>279</v>
      </c>
      <c r="H2459" s="75">
        <v>1630.73</v>
      </c>
      <c r="I2459" s="90">
        <v>255</v>
      </c>
      <c r="J2459" s="91">
        <f>ROUND(I2459*H2459,2)</f>
        <v>415836.15</v>
      </c>
      <c r="K2459" s="92"/>
      <c r="L2459" s="12"/>
      <c r="M2459" s="93" t="s">
        <v>1</v>
      </c>
      <c r="N2459" s="94" t="s">
        <v>42</v>
      </c>
      <c r="P2459" s="95">
        <f>O2459*H2459</f>
        <v>0</v>
      </c>
      <c r="Q2459" s="95">
        <v>7.5799999999999999E-3</v>
      </c>
      <c r="R2459" s="95">
        <f>Q2459*H2459</f>
        <v>12.3609334</v>
      </c>
      <c r="S2459" s="95">
        <v>0</v>
      </c>
      <c r="T2459" s="99">
        <f>S2459*H2459</f>
        <v>0</v>
      </c>
      <c r="AR2459" s="101" t="s">
        <v>446</v>
      </c>
      <c r="AT2459" s="101" t="s">
        <v>214</v>
      </c>
      <c r="AU2459" s="101" t="s">
        <v>87</v>
      </c>
      <c r="AY2459" s="23" t="s">
        <v>211</v>
      </c>
      <c r="BE2459" s="104">
        <f>IF(N2459="základní",J2459,0)</f>
        <v>415836.15</v>
      </c>
      <c r="BF2459" s="104">
        <f>IF(N2459="snížená",J2459,0)</f>
        <v>0</v>
      </c>
      <c r="BG2459" s="104">
        <f>IF(N2459="zákl. přenesená",J2459,0)</f>
        <v>0</v>
      </c>
      <c r="BH2459" s="104">
        <f>IF(N2459="sníž. přenesená",J2459,0)</f>
        <v>0</v>
      </c>
      <c r="BI2459" s="104">
        <f>IF(N2459="nulová",J2459,0)</f>
        <v>0</v>
      </c>
      <c r="BJ2459" s="23" t="s">
        <v>85</v>
      </c>
      <c r="BK2459" s="104">
        <f>ROUND(I2459*H2459,2)</f>
        <v>415836.15</v>
      </c>
      <c r="BL2459" s="23" t="s">
        <v>446</v>
      </c>
      <c r="BM2459" s="101" t="s">
        <v>3628</v>
      </c>
    </row>
    <row r="2460" spans="2:65" s="136" customFormat="1">
      <c r="B2460" s="138"/>
      <c r="D2460" s="105" t="s">
        <v>365</v>
      </c>
      <c r="E2460" s="139" t="s">
        <v>1</v>
      </c>
      <c r="F2460" s="140" t="s">
        <v>3629</v>
      </c>
      <c r="H2460" s="139" t="s">
        <v>1</v>
      </c>
      <c r="I2460" s="146"/>
      <c r="L2460" s="138"/>
      <c r="M2460" s="147"/>
      <c r="T2460" s="150"/>
      <c r="AT2460" s="139" t="s">
        <v>365</v>
      </c>
      <c r="AU2460" s="139" t="s">
        <v>87</v>
      </c>
      <c r="AV2460" s="136" t="s">
        <v>85</v>
      </c>
      <c r="AW2460" s="136" t="s">
        <v>33</v>
      </c>
      <c r="AX2460" s="136" t="s">
        <v>77</v>
      </c>
      <c r="AY2460" s="139" t="s">
        <v>211</v>
      </c>
    </row>
    <row r="2461" spans="2:65" s="136" customFormat="1">
      <c r="B2461" s="138"/>
      <c r="D2461" s="105" t="s">
        <v>365</v>
      </c>
      <c r="E2461" s="139" t="s">
        <v>1</v>
      </c>
      <c r="F2461" s="140" t="s">
        <v>866</v>
      </c>
      <c r="H2461" s="139" t="s">
        <v>1</v>
      </c>
      <c r="I2461" s="146"/>
      <c r="L2461" s="138"/>
      <c r="M2461" s="147"/>
      <c r="T2461" s="150"/>
      <c r="AT2461" s="139" t="s">
        <v>365</v>
      </c>
      <c r="AU2461" s="139" t="s">
        <v>87</v>
      </c>
      <c r="AV2461" s="136" t="s">
        <v>85</v>
      </c>
      <c r="AW2461" s="136" t="s">
        <v>33</v>
      </c>
      <c r="AX2461" s="136" t="s">
        <v>77</v>
      </c>
      <c r="AY2461" s="139" t="s">
        <v>211</v>
      </c>
    </row>
    <row r="2462" spans="2:65" s="113" customFormat="1">
      <c r="B2462" s="119"/>
      <c r="D2462" s="105" t="s">
        <v>365</v>
      </c>
      <c r="E2462" s="135" t="s">
        <v>1</v>
      </c>
      <c r="F2462" s="120" t="s">
        <v>3630</v>
      </c>
      <c r="H2462" s="121">
        <v>256.47000000000003</v>
      </c>
      <c r="I2462" s="128"/>
      <c r="L2462" s="119"/>
      <c r="M2462" s="129"/>
      <c r="T2462" s="133"/>
      <c r="AT2462" s="135" t="s">
        <v>365</v>
      </c>
      <c r="AU2462" s="135" t="s">
        <v>87</v>
      </c>
      <c r="AV2462" s="113" t="s">
        <v>87</v>
      </c>
      <c r="AW2462" s="113" t="s">
        <v>33</v>
      </c>
      <c r="AX2462" s="113" t="s">
        <v>77</v>
      </c>
      <c r="AY2462" s="135" t="s">
        <v>211</v>
      </c>
    </row>
    <row r="2463" spans="2:65" s="136" customFormat="1">
      <c r="B2463" s="138"/>
      <c r="D2463" s="105" t="s">
        <v>365</v>
      </c>
      <c r="E2463" s="139" t="s">
        <v>1</v>
      </c>
      <c r="F2463" s="140" t="s">
        <v>868</v>
      </c>
      <c r="H2463" s="139" t="s">
        <v>1</v>
      </c>
      <c r="I2463" s="146"/>
      <c r="L2463" s="138"/>
      <c r="M2463" s="147"/>
      <c r="T2463" s="150"/>
      <c r="AT2463" s="139" t="s">
        <v>365</v>
      </c>
      <c r="AU2463" s="139" t="s">
        <v>87</v>
      </c>
      <c r="AV2463" s="136" t="s">
        <v>85</v>
      </c>
      <c r="AW2463" s="136" t="s">
        <v>33</v>
      </c>
      <c r="AX2463" s="136" t="s">
        <v>77</v>
      </c>
      <c r="AY2463" s="139" t="s">
        <v>211</v>
      </c>
    </row>
    <row r="2464" spans="2:65" s="113" customFormat="1">
      <c r="B2464" s="119"/>
      <c r="D2464" s="105" t="s">
        <v>365</v>
      </c>
      <c r="E2464" s="135" t="s">
        <v>1</v>
      </c>
      <c r="F2464" s="120" t="s">
        <v>3631</v>
      </c>
      <c r="H2464" s="121">
        <v>477.56</v>
      </c>
      <c r="I2464" s="128"/>
      <c r="L2464" s="119"/>
      <c r="M2464" s="129"/>
      <c r="T2464" s="133"/>
      <c r="AT2464" s="135" t="s">
        <v>365</v>
      </c>
      <c r="AU2464" s="135" t="s">
        <v>87</v>
      </c>
      <c r="AV2464" s="113" t="s">
        <v>87</v>
      </c>
      <c r="AW2464" s="113" t="s">
        <v>33</v>
      </c>
      <c r="AX2464" s="113" t="s">
        <v>77</v>
      </c>
      <c r="AY2464" s="135" t="s">
        <v>211</v>
      </c>
    </row>
    <row r="2465" spans="2:65" s="136" customFormat="1">
      <c r="B2465" s="138"/>
      <c r="D2465" s="105" t="s">
        <v>365</v>
      </c>
      <c r="E2465" s="139" t="s">
        <v>1</v>
      </c>
      <c r="F2465" s="140" t="s">
        <v>870</v>
      </c>
      <c r="H2465" s="139" t="s">
        <v>1</v>
      </c>
      <c r="I2465" s="146"/>
      <c r="L2465" s="138"/>
      <c r="M2465" s="147"/>
      <c r="T2465" s="150"/>
      <c r="AT2465" s="139" t="s">
        <v>365</v>
      </c>
      <c r="AU2465" s="139" t="s">
        <v>87</v>
      </c>
      <c r="AV2465" s="136" t="s">
        <v>85</v>
      </c>
      <c r="AW2465" s="136" t="s">
        <v>33</v>
      </c>
      <c r="AX2465" s="136" t="s">
        <v>77</v>
      </c>
      <c r="AY2465" s="139" t="s">
        <v>211</v>
      </c>
    </row>
    <row r="2466" spans="2:65" s="113" customFormat="1">
      <c r="B2466" s="119"/>
      <c r="D2466" s="105" t="s">
        <v>365</v>
      </c>
      <c r="E2466" s="135" t="s">
        <v>1</v>
      </c>
      <c r="F2466" s="120" t="s">
        <v>3632</v>
      </c>
      <c r="H2466" s="121">
        <v>406.27</v>
      </c>
      <c r="I2466" s="128"/>
      <c r="L2466" s="119"/>
      <c r="M2466" s="129"/>
      <c r="T2466" s="133"/>
      <c r="AT2466" s="135" t="s">
        <v>365</v>
      </c>
      <c r="AU2466" s="135" t="s">
        <v>87</v>
      </c>
      <c r="AV2466" s="113" t="s">
        <v>87</v>
      </c>
      <c r="AW2466" s="113" t="s">
        <v>33</v>
      </c>
      <c r="AX2466" s="113" t="s">
        <v>77</v>
      </c>
      <c r="AY2466" s="135" t="s">
        <v>211</v>
      </c>
    </row>
    <row r="2467" spans="2:65" s="136" customFormat="1">
      <c r="B2467" s="138"/>
      <c r="D2467" s="105" t="s">
        <v>365</v>
      </c>
      <c r="E2467" s="139" t="s">
        <v>1</v>
      </c>
      <c r="F2467" s="140" t="s">
        <v>3633</v>
      </c>
      <c r="H2467" s="139" t="s">
        <v>1</v>
      </c>
      <c r="I2467" s="146"/>
      <c r="L2467" s="138"/>
      <c r="M2467" s="147"/>
      <c r="T2467" s="150"/>
      <c r="AT2467" s="139" t="s">
        <v>365</v>
      </c>
      <c r="AU2467" s="139" t="s">
        <v>87</v>
      </c>
      <c r="AV2467" s="136" t="s">
        <v>85</v>
      </c>
      <c r="AW2467" s="136" t="s">
        <v>33</v>
      </c>
      <c r="AX2467" s="136" t="s">
        <v>77</v>
      </c>
      <c r="AY2467" s="139" t="s">
        <v>211</v>
      </c>
    </row>
    <row r="2468" spans="2:65" s="113" customFormat="1">
      <c r="B2468" s="119"/>
      <c r="D2468" s="105" t="s">
        <v>365</v>
      </c>
      <c r="E2468" s="135" t="s">
        <v>1</v>
      </c>
      <c r="F2468" s="120" t="s">
        <v>3634</v>
      </c>
      <c r="H2468" s="121">
        <v>490.43</v>
      </c>
      <c r="I2468" s="128"/>
      <c r="L2468" s="119"/>
      <c r="M2468" s="129"/>
      <c r="T2468" s="133"/>
      <c r="AT2468" s="135" t="s">
        <v>365</v>
      </c>
      <c r="AU2468" s="135" t="s">
        <v>87</v>
      </c>
      <c r="AV2468" s="113" t="s">
        <v>87</v>
      </c>
      <c r="AW2468" s="113" t="s">
        <v>33</v>
      </c>
      <c r="AX2468" s="113" t="s">
        <v>77</v>
      </c>
      <c r="AY2468" s="135" t="s">
        <v>211</v>
      </c>
    </row>
    <row r="2469" spans="2:65" s="137" customFormat="1">
      <c r="B2469" s="141"/>
      <c r="D2469" s="105" t="s">
        <v>365</v>
      </c>
      <c r="E2469" s="142" t="s">
        <v>1</v>
      </c>
      <c r="F2469" s="143" t="s">
        <v>368</v>
      </c>
      <c r="H2469" s="144">
        <v>1630.73</v>
      </c>
      <c r="I2469" s="148"/>
      <c r="L2469" s="141"/>
      <c r="M2469" s="149"/>
      <c r="T2469" s="151"/>
      <c r="AT2469" s="142" t="s">
        <v>365</v>
      </c>
      <c r="AU2469" s="142" t="s">
        <v>87</v>
      </c>
      <c r="AV2469" s="137" t="s">
        <v>218</v>
      </c>
      <c r="AW2469" s="137" t="s">
        <v>33</v>
      </c>
      <c r="AX2469" s="137" t="s">
        <v>85</v>
      </c>
      <c r="AY2469" s="142" t="s">
        <v>211</v>
      </c>
    </row>
    <row r="2470" spans="2:65" s="1" customFormat="1" ht="21.75" customHeight="1">
      <c r="B2470" s="12"/>
      <c r="C2470" s="71" t="s">
        <v>3635</v>
      </c>
      <c r="D2470" s="71" t="s">
        <v>214</v>
      </c>
      <c r="E2470" s="72" t="s">
        <v>3636</v>
      </c>
      <c r="F2470" s="73" t="s">
        <v>3637</v>
      </c>
      <c r="G2470" s="74" t="s">
        <v>279</v>
      </c>
      <c r="H2470" s="75">
        <v>1630.73</v>
      </c>
      <c r="I2470" s="90">
        <v>207</v>
      </c>
      <c r="J2470" s="91">
        <f>ROUND(I2470*H2470,2)</f>
        <v>337561.11</v>
      </c>
      <c r="K2470" s="92"/>
      <c r="L2470" s="12"/>
      <c r="M2470" s="93" t="s">
        <v>1</v>
      </c>
      <c r="N2470" s="94" t="s">
        <v>42</v>
      </c>
      <c r="P2470" s="95">
        <f>O2470*H2470</f>
        <v>0</v>
      </c>
      <c r="Q2470" s="95">
        <v>2.9999999999999997E-4</v>
      </c>
      <c r="R2470" s="95">
        <f>Q2470*H2470</f>
        <v>0.48921900000000001</v>
      </c>
      <c r="S2470" s="95">
        <v>0</v>
      </c>
      <c r="T2470" s="99">
        <f>S2470*H2470</f>
        <v>0</v>
      </c>
      <c r="AR2470" s="101" t="s">
        <v>446</v>
      </c>
      <c r="AT2470" s="101" t="s">
        <v>214</v>
      </c>
      <c r="AU2470" s="101" t="s">
        <v>87</v>
      </c>
      <c r="AY2470" s="23" t="s">
        <v>211</v>
      </c>
      <c r="BE2470" s="104">
        <f>IF(N2470="základní",J2470,0)</f>
        <v>337561.11</v>
      </c>
      <c r="BF2470" s="104">
        <f>IF(N2470="snížená",J2470,0)</f>
        <v>0</v>
      </c>
      <c r="BG2470" s="104">
        <f>IF(N2470="zákl. přenesená",J2470,0)</f>
        <v>0</v>
      </c>
      <c r="BH2470" s="104">
        <f>IF(N2470="sníž. přenesená",J2470,0)</f>
        <v>0</v>
      </c>
      <c r="BI2470" s="104">
        <f>IF(N2470="nulová",J2470,0)</f>
        <v>0</v>
      </c>
      <c r="BJ2470" s="23" t="s">
        <v>85</v>
      </c>
      <c r="BK2470" s="104">
        <f>ROUND(I2470*H2470,2)</f>
        <v>337561.11</v>
      </c>
      <c r="BL2470" s="23" t="s">
        <v>446</v>
      </c>
      <c r="BM2470" s="101" t="s">
        <v>3638</v>
      </c>
    </row>
    <row r="2471" spans="2:65" s="136" customFormat="1">
      <c r="B2471" s="138"/>
      <c r="D2471" s="105" t="s">
        <v>365</v>
      </c>
      <c r="E2471" s="139" t="s">
        <v>1</v>
      </c>
      <c r="F2471" s="140" t="s">
        <v>3629</v>
      </c>
      <c r="H2471" s="139" t="s">
        <v>1</v>
      </c>
      <c r="I2471" s="146"/>
      <c r="L2471" s="138"/>
      <c r="M2471" s="147"/>
      <c r="T2471" s="150"/>
      <c r="AT2471" s="139" t="s">
        <v>365</v>
      </c>
      <c r="AU2471" s="139" t="s">
        <v>87</v>
      </c>
      <c r="AV2471" s="136" t="s">
        <v>85</v>
      </c>
      <c r="AW2471" s="136" t="s">
        <v>33</v>
      </c>
      <c r="AX2471" s="136" t="s">
        <v>77</v>
      </c>
      <c r="AY2471" s="139" t="s">
        <v>211</v>
      </c>
    </row>
    <row r="2472" spans="2:65" s="136" customFormat="1">
      <c r="B2472" s="138"/>
      <c r="D2472" s="105" t="s">
        <v>365</v>
      </c>
      <c r="E2472" s="139" t="s">
        <v>1</v>
      </c>
      <c r="F2472" s="140" t="s">
        <v>866</v>
      </c>
      <c r="H2472" s="139" t="s">
        <v>1</v>
      </c>
      <c r="I2472" s="146"/>
      <c r="L2472" s="138"/>
      <c r="M2472" s="147"/>
      <c r="T2472" s="150"/>
      <c r="AT2472" s="139" t="s">
        <v>365</v>
      </c>
      <c r="AU2472" s="139" t="s">
        <v>87</v>
      </c>
      <c r="AV2472" s="136" t="s">
        <v>85</v>
      </c>
      <c r="AW2472" s="136" t="s">
        <v>33</v>
      </c>
      <c r="AX2472" s="136" t="s">
        <v>77</v>
      </c>
      <c r="AY2472" s="139" t="s">
        <v>211</v>
      </c>
    </row>
    <row r="2473" spans="2:65" s="113" customFormat="1">
      <c r="B2473" s="119"/>
      <c r="D2473" s="105" t="s">
        <v>365</v>
      </c>
      <c r="E2473" s="135" t="s">
        <v>1</v>
      </c>
      <c r="F2473" s="120" t="s">
        <v>3630</v>
      </c>
      <c r="H2473" s="121">
        <v>256.47000000000003</v>
      </c>
      <c r="I2473" s="128"/>
      <c r="L2473" s="119"/>
      <c r="M2473" s="129"/>
      <c r="T2473" s="133"/>
      <c r="AT2473" s="135" t="s">
        <v>365</v>
      </c>
      <c r="AU2473" s="135" t="s">
        <v>87</v>
      </c>
      <c r="AV2473" s="113" t="s">
        <v>87</v>
      </c>
      <c r="AW2473" s="113" t="s">
        <v>33</v>
      </c>
      <c r="AX2473" s="113" t="s">
        <v>77</v>
      </c>
      <c r="AY2473" s="135" t="s">
        <v>211</v>
      </c>
    </row>
    <row r="2474" spans="2:65" s="136" customFormat="1">
      <c r="B2474" s="138"/>
      <c r="D2474" s="105" t="s">
        <v>365</v>
      </c>
      <c r="E2474" s="139" t="s">
        <v>1</v>
      </c>
      <c r="F2474" s="140" t="s">
        <v>868</v>
      </c>
      <c r="H2474" s="139" t="s">
        <v>1</v>
      </c>
      <c r="I2474" s="146"/>
      <c r="L2474" s="138"/>
      <c r="M2474" s="147"/>
      <c r="T2474" s="150"/>
      <c r="AT2474" s="139" t="s">
        <v>365</v>
      </c>
      <c r="AU2474" s="139" t="s">
        <v>87</v>
      </c>
      <c r="AV2474" s="136" t="s">
        <v>85</v>
      </c>
      <c r="AW2474" s="136" t="s">
        <v>33</v>
      </c>
      <c r="AX2474" s="136" t="s">
        <v>77</v>
      </c>
      <c r="AY2474" s="139" t="s">
        <v>211</v>
      </c>
    </row>
    <row r="2475" spans="2:65" s="113" customFormat="1">
      <c r="B2475" s="119"/>
      <c r="D2475" s="105" t="s">
        <v>365</v>
      </c>
      <c r="E2475" s="135" t="s">
        <v>1</v>
      </c>
      <c r="F2475" s="120" t="s">
        <v>3631</v>
      </c>
      <c r="H2475" s="121">
        <v>477.56</v>
      </c>
      <c r="I2475" s="128"/>
      <c r="L2475" s="119"/>
      <c r="M2475" s="129"/>
      <c r="T2475" s="133"/>
      <c r="AT2475" s="135" t="s">
        <v>365</v>
      </c>
      <c r="AU2475" s="135" t="s">
        <v>87</v>
      </c>
      <c r="AV2475" s="113" t="s">
        <v>87</v>
      </c>
      <c r="AW2475" s="113" t="s">
        <v>33</v>
      </c>
      <c r="AX2475" s="113" t="s">
        <v>77</v>
      </c>
      <c r="AY2475" s="135" t="s">
        <v>211</v>
      </c>
    </row>
    <row r="2476" spans="2:65" s="136" customFormat="1">
      <c r="B2476" s="138"/>
      <c r="D2476" s="105" t="s">
        <v>365</v>
      </c>
      <c r="E2476" s="139" t="s">
        <v>1</v>
      </c>
      <c r="F2476" s="140" t="s">
        <v>870</v>
      </c>
      <c r="H2476" s="139" t="s">
        <v>1</v>
      </c>
      <c r="I2476" s="146"/>
      <c r="L2476" s="138"/>
      <c r="M2476" s="147"/>
      <c r="T2476" s="150"/>
      <c r="AT2476" s="139" t="s">
        <v>365</v>
      </c>
      <c r="AU2476" s="139" t="s">
        <v>87</v>
      </c>
      <c r="AV2476" s="136" t="s">
        <v>85</v>
      </c>
      <c r="AW2476" s="136" t="s">
        <v>33</v>
      </c>
      <c r="AX2476" s="136" t="s">
        <v>77</v>
      </c>
      <c r="AY2476" s="139" t="s">
        <v>211</v>
      </c>
    </row>
    <row r="2477" spans="2:65" s="113" customFormat="1">
      <c r="B2477" s="119"/>
      <c r="D2477" s="105" t="s">
        <v>365</v>
      </c>
      <c r="E2477" s="135" t="s">
        <v>1</v>
      </c>
      <c r="F2477" s="120" t="s">
        <v>3632</v>
      </c>
      <c r="H2477" s="121">
        <v>406.27</v>
      </c>
      <c r="I2477" s="128"/>
      <c r="L2477" s="119"/>
      <c r="M2477" s="129"/>
      <c r="T2477" s="133"/>
      <c r="AT2477" s="135" t="s">
        <v>365</v>
      </c>
      <c r="AU2477" s="135" t="s">
        <v>87</v>
      </c>
      <c r="AV2477" s="113" t="s">
        <v>87</v>
      </c>
      <c r="AW2477" s="113" t="s">
        <v>33</v>
      </c>
      <c r="AX2477" s="113" t="s">
        <v>77</v>
      </c>
      <c r="AY2477" s="135" t="s">
        <v>211</v>
      </c>
    </row>
    <row r="2478" spans="2:65" s="136" customFormat="1">
      <c r="B2478" s="138"/>
      <c r="D2478" s="105" t="s">
        <v>365</v>
      </c>
      <c r="E2478" s="139" t="s">
        <v>1</v>
      </c>
      <c r="F2478" s="140" t="s">
        <v>3633</v>
      </c>
      <c r="H2478" s="139" t="s">
        <v>1</v>
      </c>
      <c r="I2478" s="146"/>
      <c r="L2478" s="138"/>
      <c r="M2478" s="147"/>
      <c r="T2478" s="150"/>
      <c r="AT2478" s="139" t="s">
        <v>365</v>
      </c>
      <c r="AU2478" s="139" t="s">
        <v>87</v>
      </c>
      <c r="AV2478" s="136" t="s">
        <v>85</v>
      </c>
      <c r="AW2478" s="136" t="s">
        <v>33</v>
      </c>
      <c r="AX2478" s="136" t="s">
        <v>77</v>
      </c>
      <c r="AY2478" s="139" t="s">
        <v>211</v>
      </c>
    </row>
    <row r="2479" spans="2:65" s="113" customFormat="1">
      <c r="B2479" s="119"/>
      <c r="D2479" s="105" t="s">
        <v>365</v>
      </c>
      <c r="E2479" s="135" t="s">
        <v>1</v>
      </c>
      <c r="F2479" s="120" t="s">
        <v>3634</v>
      </c>
      <c r="H2479" s="121">
        <v>490.43</v>
      </c>
      <c r="I2479" s="128"/>
      <c r="L2479" s="119"/>
      <c r="M2479" s="129"/>
      <c r="T2479" s="133"/>
      <c r="AT2479" s="135" t="s">
        <v>365</v>
      </c>
      <c r="AU2479" s="135" t="s">
        <v>87</v>
      </c>
      <c r="AV2479" s="113" t="s">
        <v>87</v>
      </c>
      <c r="AW2479" s="113" t="s">
        <v>33</v>
      </c>
      <c r="AX2479" s="113" t="s">
        <v>77</v>
      </c>
      <c r="AY2479" s="135" t="s">
        <v>211</v>
      </c>
    </row>
    <row r="2480" spans="2:65" s="137" customFormat="1">
      <c r="B2480" s="141"/>
      <c r="D2480" s="105" t="s">
        <v>365</v>
      </c>
      <c r="E2480" s="142" t="s">
        <v>1</v>
      </c>
      <c r="F2480" s="143" t="s">
        <v>368</v>
      </c>
      <c r="H2480" s="144">
        <v>1630.73</v>
      </c>
      <c r="I2480" s="148"/>
      <c r="L2480" s="141"/>
      <c r="M2480" s="149"/>
      <c r="T2480" s="151"/>
      <c r="AT2480" s="142" t="s">
        <v>365</v>
      </c>
      <c r="AU2480" s="142" t="s">
        <v>87</v>
      </c>
      <c r="AV2480" s="137" t="s">
        <v>218</v>
      </c>
      <c r="AW2480" s="137" t="s">
        <v>33</v>
      </c>
      <c r="AX2480" s="137" t="s">
        <v>85</v>
      </c>
      <c r="AY2480" s="142" t="s">
        <v>211</v>
      </c>
    </row>
    <row r="2481" spans="2:65" s="1" customFormat="1" ht="62.85" customHeight="1">
      <c r="B2481" s="12"/>
      <c r="C2481" s="114" t="s">
        <v>3639</v>
      </c>
      <c r="D2481" s="114" t="s">
        <v>438</v>
      </c>
      <c r="E2481" s="115" t="s">
        <v>3640</v>
      </c>
      <c r="F2481" s="116" t="s">
        <v>3641</v>
      </c>
      <c r="G2481" s="117" t="s">
        <v>279</v>
      </c>
      <c r="H2481" s="118">
        <v>1793.8030000000001</v>
      </c>
      <c r="I2481" s="122">
        <v>1190</v>
      </c>
      <c r="J2481" s="123">
        <f>ROUND(I2481*H2481,2)</f>
        <v>2134625.5699999998</v>
      </c>
      <c r="K2481" s="124"/>
      <c r="L2481" s="125"/>
      <c r="M2481" s="126" t="s">
        <v>1</v>
      </c>
      <c r="N2481" s="127" t="s">
        <v>42</v>
      </c>
      <c r="P2481" s="95">
        <f>O2481*H2481</f>
        <v>0</v>
      </c>
      <c r="Q2481" s="95">
        <v>8.2400000000000008E-3</v>
      </c>
      <c r="R2481" s="95">
        <f>Q2481*H2481</f>
        <v>14.78093672</v>
      </c>
      <c r="S2481" s="95">
        <v>0</v>
      </c>
      <c r="T2481" s="99">
        <f>S2481*H2481</f>
        <v>0</v>
      </c>
      <c r="AR2481" s="101" t="s">
        <v>527</v>
      </c>
      <c r="AT2481" s="101" t="s">
        <v>438</v>
      </c>
      <c r="AU2481" s="101" t="s">
        <v>87</v>
      </c>
      <c r="AY2481" s="23" t="s">
        <v>211</v>
      </c>
      <c r="BE2481" s="104">
        <f>IF(N2481="základní",J2481,0)</f>
        <v>2134625.5699999998</v>
      </c>
      <c r="BF2481" s="104">
        <f>IF(N2481="snížená",J2481,0)</f>
        <v>0</v>
      </c>
      <c r="BG2481" s="104">
        <f>IF(N2481="zákl. přenesená",J2481,0)</f>
        <v>0</v>
      </c>
      <c r="BH2481" s="104">
        <f>IF(N2481="sníž. přenesená",J2481,0)</f>
        <v>0</v>
      </c>
      <c r="BI2481" s="104">
        <f>IF(N2481="nulová",J2481,0)</f>
        <v>0</v>
      </c>
      <c r="BJ2481" s="23" t="s">
        <v>85</v>
      </c>
      <c r="BK2481" s="104">
        <f>ROUND(I2481*H2481,2)</f>
        <v>2134625.5699999998</v>
      </c>
      <c r="BL2481" s="23" t="s">
        <v>446</v>
      </c>
      <c r="BM2481" s="101" t="s">
        <v>3642</v>
      </c>
    </row>
    <row r="2482" spans="2:65" s="113" customFormat="1">
      <c r="B2482" s="119"/>
      <c r="D2482" s="105" t="s">
        <v>365</v>
      </c>
      <c r="F2482" s="120" t="s">
        <v>3643</v>
      </c>
      <c r="H2482" s="121">
        <v>1793.8030000000001</v>
      </c>
      <c r="I2482" s="128"/>
      <c r="L2482" s="119"/>
      <c r="M2482" s="129"/>
      <c r="T2482" s="133"/>
      <c r="AT2482" s="135" t="s">
        <v>365</v>
      </c>
      <c r="AU2482" s="135" t="s">
        <v>87</v>
      </c>
      <c r="AV2482" s="113" t="s">
        <v>87</v>
      </c>
      <c r="AW2482" s="113" t="s">
        <v>4</v>
      </c>
      <c r="AX2482" s="113" t="s">
        <v>85</v>
      </c>
      <c r="AY2482" s="135" t="s">
        <v>211</v>
      </c>
    </row>
    <row r="2483" spans="2:65" s="1" customFormat="1" ht="24.15" customHeight="1">
      <c r="B2483" s="12"/>
      <c r="C2483" s="71" t="s">
        <v>3644</v>
      </c>
      <c r="D2483" s="71" t="s">
        <v>214</v>
      </c>
      <c r="E2483" s="72" t="s">
        <v>3645</v>
      </c>
      <c r="F2483" s="73" t="s">
        <v>3646</v>
      </c>
      <c r="G2483" s="74" t="s">
        <v>2866</v>
      </c>
      <c r="H2483" s="163">
        <f>SUM(J2459:J2481)/100</f>
        <v>28880.228299999999</v>
      </c>
      <c r="I2483" s="90">
        <v>1.1000000000000001</v>
      </c>
      <c r="J2483" s="91">
        <f>ROUND(I2483*H2483,2)</f>
        <v>31768.25</v>
      </c>
      <c r="K2483" s="92"/>
      <c r="L2483" s="12"/>
      <c r="M2483" s="93" t="s">
        <v>1</v>
      </c>
      <c r="N2483" s="94" t="s">
        <v>42</v>
      </c>
      <c r="P2483" s="95">
        <f>O2483*H2483</f>
        <v>0</v>
      </c>
      <c r="Q2483" s="95">
        <v>0</v>
      </c>
      <c r="R2483" s="95">
        <f>Q2483*H2483</f>
        <v>0</v>
      </c>
      <c r="S2483" s="95">
        <v>0</v>
      </c>
      <c r="T2483" s="99">
        <f>S2483*H2483</f>
        <v>0</v>
      </c>
      <c r="AR2483" s="101" t="s">
        <v>446</v>
      </c>
      <c r="AT2483" s="101" t="s">
        <v>214</v>
      </c>
      <c r="AU2483" s="101" t="s">
        <v>87</v>
      </c>
      <c r="AY2483" s="23" t="s">
        <v>211</v>
      </c>
      <c r="BE2483" s="104">
        <f>IF(N2483="základní",J2483,0)</f>
        <v>31768.25</v>
      </c>
      <c r="BF2483" s="104">
        <f>IF(N2483="snížená",J2483,0)</f>
        <v>0</v>
      </c>
      <c r="BG2483" s="104">
        <f>IF(N2483="zákl. přenesená",J2483,0)</f>
        <v>0</v>
      </c>
      <c r="BH2483" s="104">
        <f>IF(N2483="sníž. přenesená",J2483,0)</f>
        <v>0</v>
      </c>
      <c r="BI2483" s="104">
        <f>IF(N2483="nulová",J2483,0)</f>
        <v>0</v>
      </c>
      <c r="BJ2483" s="23" t="s">
        <v>85</v>
      </c>
      <c r="BK2483" s="104">
        <f>ROUND(I2483*H2483,2)</f>
        <v>31768.25</v>
      </c>
      <c r="BL2483" s="23" t="s">
        <v>446</v>
      </c>
      <c r="BM2483" s="101" t="s">
        <v>3647</v>
      </c>
    </row>
    <row r="2484" spans="2:65" s="31" customFormat="1" ht="23.1" customHeight="1">
      <c r="B2484" s="67"/>
      <c r="D2484" s="68" t="s">
        <v>76</v>
      </c>
      <c r="E2484" s="70" t="s">
        <v>3648</v>
      </c>
      <c r="F2484" s="70" t="s">
        <v>3649</v>
      </c>
      <c r="I2484" s="85"/>
      <c r="J2484" s="89">
        <f>BK2484</f>
        <v>6234246.6399999997</v>
      </c>
      <c r="L2484" s="67"/>
      <c r="M2484" s="87"/>
      <c r="P2484" s="88">
        <f>SUM(P2485:P2560)</f>
        <v>0</v>
      </c>
      <c r="R2484" s="88">
        <f>SUM(R2485:R2560)</f>
        <v>120.13781725</v>
      </c>
      <c r="T2484" s="98">
        <f>SUM(T2485:T2560)</f>
        <v>0</v>
      </c>
      <c r="AR2484" s="68" t="s">
        <v>87</v>
      </c>
      <c r="AT2484" s="100" t="s">
        <v>76</v>
      </c>
      <c r="AU2484" s="100" t="s">
        <v>85</v>
      </c>
      <c r="AY2484" s="68" t="s">
        <v>211</v>
      </c>
      <c r="BK2484" s="103">
        <f>SUM(BK2485:BK2560)</f>
        <v>6234246.6399999997</v>
      </c>
    </row>
    <row r="2485" spans="2:65" s="1" customFormat="1" ht="16.5" customHeight="1">
      <c r="B2485" s="12"/>
      <c r="C2485" s="71" t="s">
        <v>3650</v>
      </c>
      <c r="D2485" s="71" t="s">
        <v>214</v>
      </c>
      <c r="E2485" s="72" t="s">
        <v>3651</v>
      </c>
      <c r="F2485" s="73" t="s">
        <v>3652</v>
      </c>
      <c r="G2485" s="74" t="s">
        <v>279</v>
      </c>
      <c r="H2485" s="75">
        <v>1154.53</v>
      </c>
      <c r="I2485" s="90">
        <v>6</v>
      </c>
      <c r="J2485" s="91">
        <f>ROUND(I2485*H2485,2)</f>
        <v>6927.18</v>
      </c>
      <c r="K2485" s="92"/>
      <c r="L2485" s="12"/>
      <c r="M2485" s="93" t="s">
        <v>1</v>
      </c>
      <c r="N2485" s="94" t="s">
        <v>42</v>
      </c>
      <c r="P2485" s="95">
        <f>O2485*H2485</f>
        <v>0</v>
      </c>
      <c r="Q2485" s="95">
        <v>0</v>
      </c>
      <c r="R2485" s="95">
        <f>Q2485*H2485</f>
        <v>0</v>
      </c>
      <c r="S2485" s="95">
        <v>0</v>
      </c>
      <c r="T2485" s="99">
        <f>S2485*H2485</f>
        <v>0</v>
      </c>
      <c r="AR2485" s="101" t="s">
        <v>446</v>
      </c>
      <c r="AT2485" s="101" t="s">
        <v>214</v>
      </c>
      <c r="AU2485" s="101" t="s">
        <v>87</v>
      </c>
      <c r="AY2485" s="23" t="s">
        <v>211</v>
      </c>
      <c r="BE2485" s="104">
        <f>IF(N2485="základní",J2485,0)</f>
        <v>6927.18</v>
      </c>
      <c r="BF2485" s="104">
        <f>IF(N2485="snížená",J2485,0)</f>
        <v>0</v>
      </c>
      <c r="BG2485" s="104">
        <f>IF(N2485="zákl. přenesená",J2485,0)</f>
        <v>0</v>
      </c>
      <c r="BH2485" s="104">
        <f>IF(N2485="sníž. přenesená",J2485,0)</f>
        <v>0</v>
      </c>
      <c r="BI2485" s="104">
        <f>IF(N2485="nulová",J2485,0)</f>
        <v>0</v>
      </c>
      <c r="BJ2485" s="23" t="s">
        <v>85</v>
      </c>
      <c r="BK2485" s="104">
        <f>ROUND(I2485*H2485,2)</f>
        <v>6927.18</v>
      </c>
      <c r="BL2485" s="23" t="s">
        <v>446</v>
      </c>
      <c r="BM2485" s="101" t="s">
        <v>3653</v>
      </c>
    </row>
    <row r="2486" spans="2:65" s="1" customFormat="1" ht="16.5" customHeight="1">
      <c r="B2486" s="12"/>
      <c r="C2486" s="71" t="s">
        <v>3654</v>
      </c>
      <c r="D2486" s="71" t="s">
        <v>214</v>
      </c>
      <c r="E2486" s="72" t="s">
        <v>3655</v>
      </c>
      <c r="F2486" s="73" t="s">
        <v>3656</v>
      </c>
      <c r="G2486" s="74" t="s">
        <v>279</v>
      </c>
      <c r="H2486" s="75">
        <v>1154.53</v>
      </c>
      <c r="I2486" s="90">
        <v>53</v>
      </c>
      <c r="J2486" s="91">
        <f>ROUND(I2486*H2486,2)</f>
        <v>61190.09</v>
      </c>
      <c r="K2486" s="92"/>
      <c r="L2486" s="12"/>
      <c r="M2486" s="93" t="s">
        <v>1</v>
      </c>
      <c r="N2486" s="94" t="s">
        <v>42</v>
      </c>
      <c r="P2486" s="95">
        <f>O2486*H2486</f>
        <v>0</v>
      </c>
      <c r="Q2486" s="95">
        <v>2.9999999999999997E-4</v>
      </c>
      <c r="R2486" s="95">
        <f>Q2486*H2486</f>
        <v>0.34635899999999997</v>
      </c>
      <c r="S2486" s="95">
        <v>0</v>
      </c>
      <c r="T2486" s="99">
        <f>S2486*H2486</f>
        <v>0</v>
      </c>
      <c r="AR2486" s="101" t="s">
        <v>446</v>
      </c>
      <c r="AT2486" s="101" t="s">
        <v>214</v>
      </c>
      <c r="AU2486" s="101" t="s">
        <v>87</v>
      </c>
      <c r="AY2486" s="23" t="s">
        <v>211</v>
      </c>
      <c r="BE2486" s="104">
        <f>IF(N2486="základní",J2486,0)</f>
        <v>61190.09</v>
      </c>
      <c r="BF2486" s="104">
        <f>IF(N2486="snížená",J2486,0)</f>
        <v>0</v>
      </c>
      <c r="BG2486" s="104">
        <f>IF(N2486="zákl. přenesená",J2486,0)</f>
        <v>0</v>
      </c>
      <c r="BH2486" s="104">
        <f>IF(N2486="sníž. přenesená",J2486,0)</f>
        <v>0</v>
      </c>
      <c r="BI2486" s="104">
        <f>IF(N2486="nulová",J2486,0)</f>
        <v>0</v>
      </c>
      <c r="BJ2486" s="23" t="s">
        <v>85</v>
      </c>
      <c r="BK2486" s="104">
        <f>ROUND(I2486*H2486,2)</f>
        <v>61190.09</v>
      </c>
      <c r="BL2486" s="23" t="s">
        <v>446</v>
      </c>
      <c r="BM2486" s="101" t="s">
        <v>3657</v>
      </c>
    </row>
    <row r="2487" spans="2:65" s="1" customFormat="1" ht="24.15" customHeight="1">
      <c r="B2487" s="12"/>
      <c r="C2487" s="71" t="s">
        <v>3658</v>
      </c>
      <c r="D2487" s="71" t="s">
        <v>214</v>
      </c>
      <c r="E2487" s="72" t="s">
        <v>3659</v>
      </c>
      <c r="F2487" s="73" t="s">
        <v>3660</v>
      </c>
      <c r="G2487" s="74" t="s">
        <v>279</v>
      </c>
      <c r="H2487" s="75">
        <v>43.1</v>
      </c>
      <c r="I2487" s="90">
        <v>400</v>
      </c>
      <c r="J2487" s="91">
        <f>ROUND(I2487*H2487,2)</f>
        <v>17240</v>
      </c>
      <c r="K2487" s="92"/>
      <c r="L2487" s="12"/>
      <c r="M2487" s="93" t="s">
        <v>1</v>
      </c>
      <c r="N2487" s="94" t="s">
        <v>42</v>
      </c>
      <c r="P2487" s="95">
        <f>O2487*H2487</f>
        <v>0</v>
      </c>
      <c r="Q2487" s="95">
        <v>1.5E-3</v>
      </c>
      <c r="R2487" s="95">
        <f>Q2487*H2487</f>
        <v>6.4649999999999999E-2</v>
      </c>
      <c r="S2487" s="95">
        <v>0</v>
      </c>
      <c r="T2487" s="99">
        <f>S2487*H2487</f>
        <v>0</v>
      </c>
      <c r="AR2487" s="101" t="s">
        <v>446</v>
      </c>
      <c r="AT2487" s="101" t="s">
        <v>214</v>
      </c>
      <c r="AU2487" s="101" t="s">
        <v>87</v>
      </c>
      <c r="AY2487" s="23" t="s">
        <v>211</v>
      </c>
      <c r="BE2487" s="104">
        <f>IF(N2487="základní",J2487,0)</f>
        <v>17240</v>
      </c>
      <c r="BF2487" s="104">
        <f>IF(N2487="snížená",J2487,0)</f>
        <v>0</v>
      </c>
      <c r="BG2487" s="104">
        <f>IF(N2487="zákl. přenesená",J2487,0)</f>
        <v>0</v>
      </c>
      <c r="BH2487" s="104">
        <f>IF(N2487="sníž. přenesená",J2487,0)</f>
        <v>0</v>
      </c>
      <c r="BI2487" s="104">
        <f>IF(N2487="nulová",J2487,0)</f>
        <v>0</v>
      </c>
      <c r="BJ2487" s="23" t="s">
        <v>85</v>
      </c>
      <c r="BK2487" s="104">
        <f>ROUND(I2487*H2487,2)</f>
        <v>17240</v>
      </c>
      <c r="BL2487" s="23" t="s">
        <v>446</v>
      </c>
      <c r="BM2487" s="101" t="s">
        <v>3661</v>
      </c>
    </row>
    <row r="2488" spans="2:65" s="136" customFormat="1">
      <c r="B2488" s="138"/>
      <c r="D2488" s="105" t="s">
        <v>365</v>
      </c>
      <c r="E2488" s="139" t="s">
        <v>1</v>
      </c>
      <c r="F2488" s="140" t="s">
        <v>3662</v>
      </c>
      <c r="H2488" s="139" t="s">
        <v>1</v>
      </c>
      <c r="I2488" s="146"/>
      <c r="L2488" s="138"/>
      <c r="M2488" s="147"/>
      <c r="T2488" s="150"/>
      <c r="AT2488" s="139" t="s">
        <v>365</v>
      </c>
      <c r="AU2488" s="139" t="s">
        <v>87</v>
      </c>
      <c r="AV2488" s="136" t="s">
        <v>85</v>
      </c>
      <c r="AW2488" s="136" t="s">
        <v>33</v>
      </c>
      <c r="AX2488" s="136" t="s">
        <v>77</v>
      </c>
      <c r="AY2488" s="139" t="s">
        <v>211</v>
      </c>
    </row>
    <row r="2489" spans="2:65" s="113" customFormat="1">
      <c r="B2489" s="119"/>
      <c r="D2489" s="105" t="s">
        <v>365</v>
      </c>
      <c r="E2489" s="135" t="s">
        <v>1</v>
      </c>
      <c r="F2489" s="120" t="s">
        <v>3663</v>
      </c>
      <c r="H2489" s="121">
        <v>5.9</v>
      </c>
      <c r="I2489" s="128"/>
      <c r="L2489" s="119"/>
      <c r="M2489" s="129"/>
      <c r="T2489" s="133"/>
      <c r="AT2489" s="135" t="s">
        <v>365</v>
      </c>
      <c r="AU2489" s="135" t="s">
        <v>87</v>
      </c>
      <c r="AV2489" s="113" t="s">
        <v>87</v>
      </c>
      <c r="AW2489" s="113" t="s">
        <v>33</v>
      </c>
      <c r="AX2489" s="113" t="s">
        <v>77</v>
      </c>
      <c r="AY2489" s="135" t="s">
        <v>211</v>
      </c>
    </row>
    <row r="2490" spans="2:65" s="113" customFormat="1">
      <c r="B2490" s="119"/>
      <c r="D2490" s="105" t="s">
        <v>365</v>
      </c>
      <c r="E2490" s="135" t="s">
        <v>1</v>
      </c>
      <c r="F2490" s="120" t="s">
        <v>3664</v>
      </c>
      <c r="H2490" s="121">
        <v>15.79</v>
      </c>
      <c r="I2490" s="128"/>
      <c r="L2490" s="119"/>
      <c r="M2490" s="129"/>
      <c r="T2490" s="133"/>
      <c r="AT2490" s="135" t="s">
        <v>365</v>
      </c>
      <c r="AU2490" s="135" t="s">
        <v>87</v>
      </c>
      <c r="AV2490" s="113" t="s">
        <v>87</v>
      </c>
      <c r="AW2490" s="113" t="s">
        <v>33</v>
      </c>
      <c r="AX2490" s="113" t="s">
        <v>77</v>
      </c>
      <c r="AY2490" s="135" t="s">
        <v>211</v>
      </c>
    </row>
    <row r="2491" spans="2:65" s="113" customFormat="1">
      <c r="B2491" s="119"/>
      <c r="D2491" s="105" t="s">
        <v>365</v>
      </c>
      <c r="E2491" s="135" t="s">
        <v>1</v>
      </c>
      <c r="F2491" s="120" t="s">
        <v>3665</v>
      </c>
      <c r="H2491" s="121">
        <v>10.85</v>
      </c>
      <c r="I2491" s="128"/>
      <c r="L2491" s="119"/>
      <c r="M2491" s="129"/>
      <c r="T2491" s="133"/>
      <c r="AT2491" s="135" t="s">
        <v>365</v>
      </c>
      <c r="AU2491" s="135" t="s">
        <v>87</v>
      </c>
      <c r="AV2491" s="113" t="s">
        <v>87</v>
      </c>
      <c r="AW2491" s="113" t="s">
        <v>33</v>
      </c>
      <c r="AX2491" s="113" t="s">
        <v>77</v>
      </c>
      <c r="AY2491" s="135" t="s">
        <v>211</v>
      </c>
    </row>
    <row r="2492" spans="2:65" s="113" customFormat="1">
      <c r="B2492" s="119"/>
      <c r="D2492" s="105" t="s">
        <v>365</v>
      </c>
      <c r="E2492" s="135" t="s">
        <v>1</v>
      </c>
      <c r="F2492" s="120" t="s">
        <v>3666</v>
      </c>
      <c r="H2492" s="121">
        <v>10.56</v>
      </c>
      <c r="I2492" s="128"/>
      <c r="L2492" s="119"/>
      <c r="M2492" s="129"/>
      <c r="T2492" s="133"/>
      <c r="AT2492" s="135" t="s">
        <v>365</v>
      </c>
      <c r="AU2492" s="135" t="s">
        <v>87</v>
      </c>
      <c r="AV2492" s="113" t="s">
        <v>87</v>
      </c>
      <c r="AW2492" s="113" t="s">
        <v>33</v>
      </c>
      <c r="AX2492" s="113" t="s">
        <v>77</v>
      </c>
      <c r="AY2492" s="135" t="s">
        <v>211</v>
      </c>
    </row>
    <row r="2493" spans="2:65" s="137" customFormat="1">
      <c r="B2493" s="141"/>
      <c r="D2493" s="105" t="s">
        <v>365</v>
      </c>
      <c r="E2493" s="142" t="s">
        <v>1</v>
      </c>
      <c r="F2493" s="143" t="s">
        <v>368</v>
      </c>
      <c r="H2493" s="144">
        <v>43.1</v>
      </c>
      <c r="I2493" s="148"/>
      <c r="L2493" s="141"/>
      <c r="M2493" s="149"/>
      <c r="T2493" s="151"/>
      <c r="AT2493" s="142" t="s">
        <v>365</v>
      </c>
      <c r="AU2493" s="142" t="s">
        <v>87</v>
      </c>
      <c r="AV2493" s="137" t="s">
        <v>218</v>
      </c>
      <c r="AW2493" s="137" t="s">
        <v>33</v>
      </c>
      <c r="AX2493" s="137" t="s">
        <v>85</v>
      </c>
      <c r="AY2493" s="142" t="s">
        <v>211</v>
      </c>
    </row>
    <row r="2494" spans="2:65" s="1" customFormat="1" ht="38.1" customHeight="1">
      <c r="B2494" s="12"/>
      <c r="C2494" s="71" t="s">
        <v>3667</v>
      </c>
      <c r="D2494" s="71" t="s">
        <v>214</v>
      </c>
      <c r="E2494" s="72" t="s">
        <v>3668</v>
      </c>
      <c r="F2494" s="73" t="s">
        <v>3669</v>
      </c>
      <c r="G2494" s="74" t="s">
        <v>279</v>
      </c>
      <c r="H2494" s="75">
        <v>1154.53</v>
      </c>
      <c r="I2494" s="90">
        <v>980</v>
      </c>
      <c r="J2494" s="91">
        <f>ROUND(I2494*H2494,2)</f>
        <v>1131439.3999999999</v>
      </c>
      <c r="K2494" s="92"/>
      <c r="L2494" s="12"/>
      <c r="M2494" s="93" t="s">
        <v>1</v>
      </c>
      <c r="N2494" s="94" t="s">
        <v>42</v>
      </c>
      <c r="P2494" s="95">
        <f>O2494*H2494</f>
        <v>0</v>
      </c>
      <c r="Q2494" s="95">
        <v>8.9999999999999993E-3</v>
      </c>
      <c r="R2494" s="95">
        <f>Q2494*H2494</f>
        <v>10.39077</v>
      </c>
      <c r="S2494" s="95">
        <v>0</v>
      </c>
      <c r="T2494" s="99">
        <f>S2494*H2494</f>
        <v>0</v>
      </c>
      <c r="AR2494" s="101" t="s">
        <v>446</v>
      </c>
      <c r="AT2494" s="101" t="s">
        <v>214</v>
      </c>
      <c r="AU2494" s="101" t="s">
        <v>87</v>
      </c>
      <c r="AY2494" s="23" t="s">
        <v>211</v>
      </c>
      <c r="BE2494" s="104">
        <f>IF(N2494="základní",J2494,0)</f>
        <v>1131439.3999999999</v>
      </c>
      <c r="BF2494" s="104">
        <f>IF(N2494="snížená",J2494,0)</f>
        <v>0</v>
      </c>
      <c r="BG2494" s="104">
        <f>IF(N2494="zákl. přenesená",J2494,0)</f>
        <v>0</v>
      </c>
      <c r="BH2494" s="104">
        <f>IF(N2494="sníž. přenesená",J2494,0)</f>
        <v>0</v>
      </c>
      <c r="BI2494" s="104">
        <f>IF(N2494="nulová",J2494,0)</f>
        <v>0</v>
      </c>
      <c r="BJ2494" s="23" t="s">
        <v>85</v>
      </c>
      <c r="BK2494" s="104">
        <f>ROUND(I2494*H2494,2)</f>
        <v>1131439.3999999999</v>
      </c>
      <c r="BL2494" s="23" t="s">
        <v>446</v>
      </c>
      <c r="BM2494" s="101" t="s">
        <v>3670</v>
      </c>
    </row>
    <row r="2495" spans="2:65" s="136" customFormat="1">
      <c r="B2495" s="138"/>
      <c r="D2495" s="105" t="s">
        <v>365</v>
      </c>
      <c r="E2495" s="139" t="s">
        <v>1</v>
      </c>
      <c r="F2495" s="140" t="s">
        <v>669</v>
      </c>
      <c r="H2495" s="139" t="s">
        <v>1</v>
      </c>
      <c r="I2495" s="146"/>
      <c r="L2495" s="138"/>
      <c r="M2495" s="147"/>
      <c r="T2495" s="150"/>
      <c r="AT2495" s="139" t="s">
        <v>365</v>
      </c>
      <c r="AU2495" s="139" t="s">
        <v>87</v>
      </c>
      <c r="AV2495" s="136" t="s">
        <v>85</v>
      </c>
      <c r="AW2495" s="136" t="s">
        <v>33</v>
      </c>
      <c r="AX2495" s="136" t="s">
        <v>77</v>
      </c>
      <c r="AY2495" s="139" t="s">
        <v>211</v>
      </c>
    </row>
    <row r="2496" spans="2:65" s="113" customFormat="1">
      <c r="B2496" s="119"/>
      <c r="D2496" s="105" t="s">
        <v>365</v>
      </c>
      <c r="E2496" s="135" t="s">
        <v>1</v>
      </c>
      <c r="F2496" s="120" t="s">
        <v>3671</v>
      </c>
      <c r="H2496" s="121">
        <v>45.79</v>
      </c>
      <c r="I2496" s="128"/>
      <c r="L2496" s="119"/>
      <c r="M2496" s="129"/>
      <c r="T2496" s="133"/>
      <c r="AT2496" s="135" t="s">
        <v>365</v>
      </c>
      <c r="AU2496" s="135" t="s">
        <v>87</v>
      </c>
      <c r="AV2496" s="113" t="s">
        <v>87</v>
      </c>
      <c r="AW2496" s="113" t="s">
        <v>33</v>
      </c>
      <c r="AX2496" s="113" t="s">
        <v>77</v>
      </c>
      <c r="AY2496" s="135" t="s">
        <v>211</v>
      </c>
    </row>
    <row r="2497" spans="2:65" s="136" customFormat="1">
      <c r="B2497" s="138"/>
      <c r="D2497" s="105" t="s">
        <v>365</v>
      </c>
      <c r="E2497" s="139" t="s">
        <v>1</v>
      </c>
      <c r="F2497" s="140" t="s">
        <v>866</v>
      </c>
      <c r="H2497" s="139" t="s">
        <v>1</v>
      </c>
      <c r="I2497" s="146"/>
      <c r="L2497" s="138"/>
      <c r="M2497" s="147"/>
      <c r="T2497" s="150"/>
      <c r="AT2497" s="139" t="s">
        <v>365</v>
      </c>
      <c r="AU2497" s="139" t="s">
        <v>87</v>
      </c>
      <c r="AV2497" s="136" t="s">
        <v>85</v>
      </c>
      <c r="AW2497" s="136" t="s">
        <v>33</v>
      </c>
      <c r="AX2497" s="136" t="s">
        <v>77</v>
      </c>
      <c r="AY2497" s="139" t="s">
        <v>211</v>
      </c>
    </row>
    <row r="2498" spans="2:65" s="113" customFormat="1">
      <c r="B2498" s="119"/>
      <c r="D2498" s="105" t="s">
        <v>365</v>
      </c>
      <c r="E2498" s="135" t="s">
        <v>1</v>
      </c>
      <c r="F2498" s="120" t="s">
        <v>3672</v>
      </c>
      <c r="H2498" s="121">
        <v>189.83</v>
      </c>
      <c r="I2498" s="128"/>
      <c r="L2498" s="119"/>
      <c r="M2498" s="129"/>
      <c r="T2498" s="133"/>
      <c r="AT2498" s="135" t="s">
        <v>365</v>
      </c>
      <c r="AU2498" s="135" t="s">
        <v>87</v>
      </c>
      <c r="AV2498" s="113" t="s">
        <v>87</v>
      </c>
      <c r="AW2498" s="113" t="s">
        <v>33</v>
      </c>
      <c r="AX2498" s="113" t="s">
        <v>77</v>
      </c>
      <c r="AY2498" s="135" t="s">
        <v>211</v>
      </c>
    </row>
    <row r="2499" spans="2:65" s="136" customFormat="1">
      <c r="B2499" s="138"/>
      <c r="D2499" s="105" t="s">
        <v>365</v>
      </c>
      <c r="E2499" s="139" t="s">
        <v>1</v>
      </c>
      <c r="F2499" s="140" t="s">
        <v>868</v>
      </c>
      <c r="H2499" s="139" t="s">
        <v>1</v>
      </c>
      <c r="I2499" s="146"/>
      <c r="L2499" s="138"/>
      <c r="M2499" s="147"/>
      <c r="T2499" s="150"/>
      <c r="AT2499" s="139" t="s">
        <v>365</v>
      </c>
      <c r="AU2499" s="139" t="s">
        <v>87</v>
      </c>
      <c r="AV2499" s="136" t="s">
        <v>85</v>
      </c>
      <c r="AW2499" s="136" t="s">
        <v>33</v>
      </c>
      <c r="AX2499" s="136" t="s">
        <v>77</v>
      </c>
      <c r="AY2499" s="139" t="s">
        <v>211</v>
      </c>
    </row>
    <row r="2500" spans="2:65" s="113" customFormat="1">
      <c r="B2500" s="119"/>
      <c r="D2500" s="105" t="s">
        <v>365</v>
      </c>
      <c r="E2500" s="135" t="s">
        <v>1</v>
      </c>
      <c r="F2500" s="120" t="s">
        <v>3673</v>
      </c>
      <c r="H2500" s="121">
        <v>313.36</v>
      </c>
      <c r="I2500" s="128"/>
      <c r="L2500" s="119"/>
      <c r="M2500" s="129"/>
      <c r="T2500" s="133"/>
      <c r="AT2500" s="135" t="s">
        <v>365</v>
      </c>
      <c r="AU2500" s="135" t="s">
        <v>87</v>
      </c>
      <c r="AV2500" s="113" t="s">
        <v>87</v>
      </c>
      <c r="AW2500" s="113" t="s">
        <v>33</v>
      </c>
      <c r="AX2500" s="113" t="s">
        <v>77</v>
      </c>
      <c r="AY2500" s="135" t="s">
        <v>211</v>
      </c>
    </row>
    <row r="2501" spans="2:65" s="136" customFormat="1">
      <c r="B2501" s="138"/>
      <c r="D2501" s="105" t="s">
        <v>365</v>
      </c>
      <c r="E2501" s="139" t="s">
        <v>1</v>
      </c>
      <c r="F2501" s="140" t="s">
        <v>870</v>
      </c>
      <c r="H2501" s="139" t="s">
        <v>1</v>
      </c>
      <c r="I2501" s="146"/>
      <c r="L2501" s="138"/>
      <c r="M2501" s="147"/>
      <c r="T2501" s="150"/>
      <c r="AT2501" s="139" t="s">
        <v>365</v>
      </c>
      <c r="AU2501" s="139" t="s">
        <v>87</v>
      </c>
      <c r="AV2501" s="136" t="s">
        <v>85</v>
      </c>
      <c r="AW2501" s="136" t="s">
        <v>33</v>
      </c>
      <c r="AX2501" s="136" t="s">
        <v>77</v>
      </c>
      <c r="AY2501" s="139" t="s">
        <v>211</v>
      </c>
    </row>
    <row r="2502" spans="2:65" s="113" customFormat="1">
      <c r="B2502" s="119"/>
      <c r="D2502" s="105" t="s">
        <v>365</v>
      </c>
      <c r="E2502" s="135" t="s">
        <v>1</v>
      </c>
      <c r="F2502" s="120" t="s">
        <v>3674</v>
      </c>
      <c r="H2502" s="121">
        <v>284.77</v>
      </c>
      <c r="I2502" s="128"/>
      <c r="L2502" s="119"/>
      <c r="M2502" s="129"/>
      <c r="T2502" s="133"/>
      <c r="AT2502" s="135" t="s">
        <v>365</v>
      </c>
      <c r="AU2502" s="135" t="s">
        <v>87</v>
      </c>
      <c r="AV2502" s="113" t="s">
        <v>87</v>
      </c>
      <c r="AW2502" s="113" t="s">
        <v>33</v>
      </c>
      <c r="AX2502" s="113" t="s">
        <v>77</v>
      </c>
      <c r="AY2502" s="135" t="s">
        <v>211</v>
      </c>
    </row>
    <row r="2503" spans="2:65" s="136" customFormat="1">
      <c r="B2503" s="138"/>
      <c r="D2503" s="105" t="s">
        <v>365</v>
      </c>
      <c r="E2503" s="139" t="s">
        <v>1</v>
      </c>
      <c r="F2503" s="140" t="s">
        <v>872</v>
      </c>
      <c r="H2503" s="139" t="s">
        <v>1</v>
      </c>
      <c r="I2503" s="146"/>
      <c r="L2503" s="138"/>
      <c r="M2503" s="147"/>
      <c r="T2503" s="150"/>
      <c r="AT2503" s="139" t="s">
        <v>365</v>
      </c>
      <c r="AU2503" s="139" t="s">
        <v>87</v>
      </c>
      <c r="AV2503" s="136" t="s">
        <v>85</v>
      </c>
      <c r="AW2503" s="136" t="s">
        <v>33</v>
      </c>
      <c r="AX2503" s="136" t="s">
        <v>77</v>
      </c>
      <c r="AY2503" s="139" t="s">
        <v>211</v>
      </c>
    </row>
    <row r="2504" spans="2:65" s="113" customFormat="1">
      <c r="B2504" s="119"/>
      <c r="D2504" s="105" t="s">
        <v>365</v>
      </c>
      <c r="E2504" s="135" t="s">
        <v>1</v>
      </c>
      <c r="F2504" s="120" t="s">
        <v>3675</v>
      </c>
      <c r="H2504" s="121">
        <v>320.77999999999997</v>
      </c>
      <c r="I2504" s="128"/>
      <c r="L2504" s="119"/>
      <c r="M2504" s="129"/>
      <c r="T2504" s="133"/>
      <c r="AT2504" s="135" t="s">
        <v>365</v>
      </c>
      <c r="AU2504" s="135" t="s">
        <v>87</v>
      </c>
      <c r="AV2504" s="113" t="s">
        <v>87</v>
      </c>
      <c r="AW2504" s="113" t="s">
        <v>33</v>
      </c>
      <c r="AX2504" s="113" t="s">
        <v>77</v>
      </c>
      <c r="AY2504" s="135" t="s">
        <v>211</v>
      </c>
    </row>
    <row r="2505" spans="2:65" s="137" customFormat="1">
      <c r="B2505" s="141"/>
      <c r="D2505" s="105" t="s">
        <v>365</v>
      </c>
      <c r="E2505" s="142" t="s">
        <v>1</v>
      </c>
      <c r="F2505" s="143" t="s">
        <v>368</v>
      </c>
      <c r="H2505" s="144">
        <v>1154.53</v>
      </c>
      <c r="I2505" s="148"/>
      <c r="L2505" s="141"/>
      <c r="M2505" s="149"/>
      <c r="T2505" s="151"/>
      <c r="AT2505" s="142" t="s">
        <v>365</v>
      </c>
      <c r="AU2505" s="142" t="s">
        <v>87</v>
      </c>
      <c r="AV2505" s="137" t="s">
        <v>218</v>
      </c>
      <c r="AW2505" s="137" t="s">
        <v>33</v>
      </c>
      <c r="AX2505" s="137" t="s">
        <v>85</v>
      </c>
      <c r="AY2505" s="142" t="s">
        <v>211</v>
      </c>
    </row>
    <row r="2506" spans="2:65" s="1" customFormat="1" ht="24.15" customHeight="1">
      <c r="B2506" s="12"/>
      <c r="C2506" s="114" t="s">
        <v>3676</v>
      </c>
      <c r="D2506" s="114" t="s">
        <v>438</v>
      </c>
      <c r="E2506" s="115" t="s">
        <v>3677</v>
      </c>
      <c r="F2506" s="116" t="s">
        <v>3678</v>
      </c>
      <c r="G2506" s="117" t="s">
        <v>279</v>
      </c>
      <c r="H2506" s="118">
        <v>1327.71</v>
      </c>
      <c r="I2506" s="122">
        <v>670</v>
      </c>
      <c r="J2506" s="123">
        <f>ROUND(I2506*H2506,2)</f>
        <v>889565.7</v>
      </c>
      <c r="K2506" s="124"/>
      <c r="L2506" s="125"/>
      <c r="M2506" s="126" t="s">
        <v>1</v>
      </c>
      <c r="N2506" s="127" t="s">
        <v>42</v>
      </c>
      <c r="P2506" s="95">
        <f>O2506*H2506</f>
        <v>0</v>
      </c>
      <c r="Q2506" s="95">
        <v>0.02</v>
      </c>
      <c r="R2506" s="95">
        <f>Q2506*H2506</f>
        <v>26.554200000000002</v>
      </c>
      <c r="S2506" s="95">
        <v>0</v>
      </c>
      <c r="T2506" s="99">
        <f>S2506*H2506</f>
        <v>0</v>
      </c>
      <c r="AR2506" s="101" t="s">
        <v>527</v>
      </c>
      <c r="AT2506" s="101" t="s">
        <v>438</v>
      </c>
      <c r="AU2506" s="101" t="s">
        <v>87</v>
      </c>
      <c r="AY2506" s="23" t="s">
        <v>211</v>
      </c>
      <c r="BE2506" s="104">
        <f>IF(N2506="základní",J2506,0)</f>
        <v>889565.7</v>
      </c>
      <c r="BF2506" s="104">
        <f>IF(N2506="snížená",J2506,0)</f>
        <v>0</v>
      </c>
      <c r="BG2506" s="104">
        <f>IF(N2506="zákl. přenesená",J2506,0)</f>
        <v>0</v>
      </c>
      <c r="BH2506" s="104">
        <f>IF(N2506="sníž. přenesená",J2506,0)</f>
        <v>0</v>
      </c>
      <c r="BI2506" s="104">
        <f>IF(N2506="nulová",J2506,0)</f>
        <v>0</v>
      </c>
      <c r="BJ2506" s="23" t="s">
        <v>85</v>
      </c>
      <c r="BK2506" s="104">
        <f>ROUND(I2506*H2506,2)</f>
        <v>889565.7</v>
      </c>
      <c r="BL2506" s="23" t="s">
        <v>446</v>
      </c>
      <c r="BM2506" s="101" t="s">
        <v>3679</v>
      </c>
    </row>
    <row r="2507" spans="2:65" s="113" customFormat="1">
      <c r="B2507" s="119"/>
      <c r="D2507" s="105" t="s">
        <v>365</v>
      </c>
      <c r="F2507" s="120" t="s">
        <v>3680</v>
      </c>
      <c r="H2507" s="121">
        <v>1327.71</v>
      </c>
      <c r="I2507" s="128"/>
      <c r="L2507" s="119"/>
      <c r="M2507" s="129"/>
      <c r="T2507" s="133"/>
      <c r="AT2507" s="135" t="s">
        <v>365</v>
      </c>
      <c r="AU2507" s="135" t="s">
        <v>87</v>
      </c>
      <c r="AV2507" s="113" t="s">
        <v>87</v>
      </c>
      <c r="AW2507" s="113" t="s">
        <v>4</v>
      </c>
      <c r="AX2507" s="113" t="s">
        <v>85</v>
      </c>
      <c r="AY2507" s="135" t="s">
        <v>211</v>
      </c>
    </row>
    <row r="2508" spans="2:65" s="1" customFormat="1" ht="21.75" customHeight="1">
      <c r="B2508" s="12"/>
      <c r="C2508" s="71" t="s">
        <v>3681</v>
      </c>
      <c r="D2508" s="71" t="s">
        <v>214</v>
      </c>
      <c r="E2508" s="72" t="s">
        <v>3682</v>
      </c>
      <c r="F2508" s="73" t="s">
        <v>3683</v>
      </c>
      <c r="G2508" s="74" t="s">
        <v>444</v>
      </c>
      <c r="H2508" s="75">
        <v>368.995</v>
      </c>
      <c r="I2508" s="90">
        <v>460</v>
      </c>
      <c r="J2508" s="91">
        <f>ROUND(I2508*H2508,2)</f>
        <v>169737.7</v>
      </c>
      <c r="K2508" s="92"/>
      <c r="L2508" s="12"/>
      <c r="M2508" s="93" t="s">
        <v>1</v>
      </c>
      <c r="N2508" s="94" t="s">
        <v>42</v>
      </c>
      <c r="P2508" s="95">
        <f>O2508*H2508</f>
        <v>0</v>
      </c>
      <c r="Q2508" s="95">
        <v>5.5000000000000003E-4</v>
      </c>
      <c r="R2508" s="95">
        <f>Q2508*H2508</f>
        <v>0.20294725</v>
      </c>
      <c r="S2508" s="95">
        <v>0</v>
      </c>
      <c r="T2508" s="99">
        <f>S2508*H2508</f>
        <v>0</v>
      </c>
      <c r="AR2508" s="101" t="s">
        <v>446</v>
      </c>
      <c r="AT2508" s="101" t="s">
        <v>214</v>
      </c>
      <c r="AU2508" s="101" t="s">
        <v>87</v>
      </c>
      <c r="AY2508" s="23" t="s">
        <v>211</v>
      </c>
      <c r="BE2508" s="104">
        <f>IF(N2508="základní",J2508,0)</f>
        <v>169737.7</v>
      </c>
      <c r="BF2508" s="104">
        <f>IF(N2508="snížená",J2508,0)</f>
        <v>0</v>
      </c>
      <c r="BG2508" s="104">
        <f>IF(N2508="zákl. přenesená",J2508,0)</f>
        <v>0</v>
      </c>
      <c r="BH2508" s="104">
        <f>IF(N2508="sníž. přenesená",J2508,0)</f>
        <v>0</v>
      </c>
      <c r="BI2508" s="104">
        <f>IF(N2508="nulová",J2508,0)</f>
        <v>0</v>
      </c>
      <c r="BJ2508" s="23" t="s">
        <v>85</v>
      </c>
      <c r="BK2508" s="104">
        <f>ROUND(I2508*H2508,2)</f>
        <v>169737.7</v>
      </c>
      <c r="BL2508" s="23" t="s">
        <v>446</v>
      </c>
      <c r="BM2508" s="101" t="s">
        <v>3684</v>
      </c>
    </row>
    <row r="2509" spans="2:65" s="136" customFormat="1">
      <c r="B2509" s="138"/>
      <c r="D2509" s="105" t="s">
        <v>365</v>
      </c>
      <c r="E2509" s="139" t="s">
        <v>1</v>
      </c>
      <c r="F2509" s="140" t="s">
        <v>3685</v>
      </c>
      <c r="H2509" s="139" t="s">
        <v>1</v>
      </c>
      <c r="I2509" s="146"/>
      <c r="L2509" s="138"/>
      <c r="M2509" s="147"/>
      <c r="T2509" s="150"/>
      <c r="AT2509" s="139" t="s">
        <v>365</v>
      </c>
      <c r="AU2509" s="139" t="s">
        <v>87</v>
      </c>
      <c r="AV2509" s="136" t="s">
        <v>85</v>
      </c>
      <c r="AW2509" s="136" t="s">
        <v>33</v>
      </c>
      <c r="AX2509" s="136" t="s">
        <v>77</v>
      </c>
      <c r="AY2509" s="139" t="s">
        <v>211</v>
      </c>
    </row>
    <row r="2510" spans="2:65" s="113" customFormat="1">
      <c r="B2510" s="119"/>
      <c r="D2510" s="105" t="s">
        <v>365</v>
      </c>
      <c r="E2510" s="135" t="s">
        <v>1</v>
      </c>
      <c r="F2510" s="120" t="s">
        <v>3686</v>
      </c>
      <c r="H2510" s="121">
        <v>75.152000000000001</v>
      </c>
      <c r="I2510" s="128"/>
      <c r="L2510" s="119"/>
      <c r="M2510" s="129"/>
      <c r="T2510" s="133"/>
      <c r="AT2510" s="135" t="s">
        <v>365</v>
      </c>
      <c r="AU2510" s="135" t="s">
        <v>87</v>
      </c>
      <c r="AV2510" s="113" t="s">
        <v>87</v>
      </c>
      <c r="AW2510" s="113" t="s">
        <v>33</v>
      </c>
      <c r="AX2510" s="113" t="s">
        <v>77</v>
      </c>
      <c r="AY2510" s="135" t="s">
        <v>211</v>
      </c>
    </row>
    <row r="2511" spans="2:65" s="113" customFormat="1">
      <c r="B2511" s="119"/>
      <c r="D2511" s="105" t="s">
        <v>365</v>
      </c>
      <c r="E2511" s="135" t="s">
        <v>1</v>
      </c>
      <c r="F2511" s="120" t="s">
        <v>3687</v>
      </c>
      <c r="H2511" s="121">
        <v>95.457999999999998</v>
      </c>
      <c r="I2511" s="128"/>
      <c r="L2511" s="119"/>
      <c r="M2511" s="129"/>
      <c r="T2511" s="133"/>
      <c r="AT2511" s="135" t="s">
        <v>365</v>
      </c>
      <c r="AU2511" s="135" t="s">
        <v>87</v>
      </c>
      <c r="AV2511" s="113" t="s">
        <v>87</v>
      </c>
      <c r="AW2511" s="113" t="s">
        <v>33</v>
      </c>
      <c r="AX2511" s="113" t="s">
        <v>77</v>
      </c>
      <c r="AY2511" s="135" t="s">
        <v>211</v>
      </c>
    </row>
    <row r="2512" spans="2:65" s="113" customFormat="1">
      <c r="B2512" s="119"/>
      <c r="D2512" s="105" t="s">
        <v>365</v>
      </c>
      <c r="E2512" s="135" t="s">
        <v>1</v>
      </c>
      <c r="F2512" s="120" t="s">
        <v>3688</v>
      </c>
      <c r="H2512" s="121">
        <v>97.009</v>
      </c>
      <c r="I2512" s="128"/>
      <c r="L2512" s="119"/>
      <c r="M2512" s="129"/>
      <c r="T2512" s="133"/>
      <c r="AT2512" s="135" t="s">
        <v>365</v>
      </c>
      <c r="AU2512" s="135" t="s">
        <v>87</v>
      </c>
      <c r="AV2512" s="113" t="s">
        <v>87</v>
      </c>
      <c r="AW2512" s="113" t="s">
        <v>33</v>
      </c>
      <c r="AX2512" s="113" t="s">
        <v>77</v>
      </c>
      <c r="AY2512" s="135" t="s">
        <v>211</v>
      </c>
    </row>
    <row r="2513" spans="2:65" s="113" customFormat="1">
      <c r="B2513" s="119"/>
      <c r="D2513" s="105" t="s">
        <v>365</v>
      </c>
      <c r="E2513" s="135" t="s">
        <v>1</v>
      </c>
      <c r="F2513" s="120" t="s">
        <v>3689</v>
      </c>
      <c r="H2513" s="121">
        <v>101.376</v>
      </c>
      <c r="I2513" s="128"/>
      <c r="L2513" s="119"/>
      <c r="M2513" s="129"/>
      <c r="T2513" s="133"/>
      <c r="AT2513" s="135" t="s">
        <v>365</v>
      </c>
      <c r="AU2513" s="135" t="s">
        <v>87</v>
      </c>
      <c r="AV2513" s="113" t="s">
        <v>87</v>
      </c>
      <c r="AW2513" s="113" t="s">
        <v>33</v>
      </c>
      <c r="AX2513" s="113" t="s">
        <v>77</v>
      </c>
      <c r="AY2513" s="135" t="s">
        <v>211</v>
      </c>
    </row>
    <row r="2514" spans="2:65" s="137" customFormat="1">
      <c r="B2514" s="141"/>
      <c r="D2514" s="105" t="s">
        <v>365</v>
      </c>
      <c r="E2514" s="142" t="s">
        <v>1</v>
      </c>
      <c r="F2514" s="143" t="s">
        <v>368</v>
      </c>
      <c r="H2514" s="144">
        <v>368.995</v>
      </c>
      <c r="I2514" s="148"/>
      <c r="L2514" s="141"/>
      <c r="M2514" s="149"/>
      <c r="T2514" s="151"/>
      <c r="AT2514" s="142" t="s">
        <v>365</v>
      </c>
      <c r="AU2514" s="142" t="s">
        <v>87</v>
      </c>
      <c r="AV2514" s="137" t="s">
        <v>218</v>
      </c>
      <c r="AW2514" s="137" t="s">
        <v>33</v>
      </c>
      <c r="AX2514" s="137" t="s">
        <v>85</v>
      </c>
      <c r="AY2514" s="142" t="s">
        <v>211</v>
      </c>
    </row>
    <row r="2515" spans="2:65" s="1" customFormat="1" ht="24.15" customHeight="1">
      <c r="B2515" s="12"/>
      <c r="C2515" s="71" t="s">
        <v>3690</v>
      </c>
      <c r="D2515" s="71" t="s">
        <v>214</v>
      </c>
      <c r="E2515" s="72" t="s">
        <v>3691</v>
      </c>
      <c r="F2515" s="73" t="s">
        <v>3692</v>
      </c>
      <c r="G2515" s="74" t="s">
        <v>444</v>
      </c>
      <c r="H2515" s="75">
        <v>36.101999999999997</v>
      </c>
      <c r="I2515" s="90">
        <v>410</v>
      </c>
      <c r="J2515" s="91">
        <f>ROUND(I2515*H2515,2)</f>
        <v>14801.82</v>
      </c>
      <c r="K2515" s="92"/>
      <c r="L2515" s="12"/>
      <c r="M2515" s="93" t="s">
        <v>1</v>
      </c>
      <c r="N2515" s="94" t="s">
        <v>42</v>
      </c>
      <c r="P2515" s="95">
        <f>O2515*H2515</f>
        <v>0</v>
      </c>
      <c r="Q2515" s="95">
        <v>5.0000000000000001E-4</v>
      </c>
      <c r="R2515" s="95">
        <f>Q2515*H2515</f>
        <v>1.8051000000000001E-2</v>
      </c>
      <c r="S2515" s="95">
        <v>0</v>
      </c>
      <c r="T2515" s="99">
        <f>S2515*H2515</f>
        <v>0</v>
      </c>
      <c r="AR2515" s="101" t="s">
        <v>446</v>
      </c>
      <c r="AT2515" s="101" t="s">
        <v>214</v>
      </c>
      <c r="AU2515" s="101" t="s">
        <v>87</v>
      </c>
      <c r="AY2515" s="23" t="s">
        <v>211</v>
      </c>
      <c r="BE2515" s="104">
        <f>IF(N2515="základní",J2515,0)</f>
        <v>14801.82</v>
      </c>
      <c r="BF2515" s="104">
        <f>IF(N2515="snížená",J2515,0)</f>
        <v>0</v>
      </c>
      <c r="BG2515" s="104">
        <f>IF(N2515="zákl. přenesená",J2515,0)</f>
        <v>0</v>
      </c>
      <c r="BH2515" s="104">
        <f>IF(N2515="sníž. přenesená",J2515,0)</f>
        <v>0</v>
      </c>
      <c r="BI2515" s="104">
        <f>IF(N2515="nulová",J2515,0)</f>
        <v>0</v>
      </c>
      <c r="BJ2515" s="23" t="s">
        <v>85</v>
      </c>
      <c r="BK2515" s="104">
        <f>ROUND(I2515*H2515,2)</f>
        <v>14801.82</v>
      </c>
      <c r="BL2515" s="23" t="s">
        <v>446</v>
      </c>
      <c r="BM2515" s="101" t="s">
        <v>3693</v>
      </c>
    </row>
    <row r="2516" spans="2:65" s="136" customFormat="1">
      <c r="B2516" s="138"/>
      <c r="D2516" s="105" t="s">
        <v>365</v>
      </c>
      <c r="E2516" s="139" t="s">
        <v>1</v>
      </c>
      <c r="F2516" s="140" t="s">
        <v>3685</v>
      </c>
      <c r="H2516" s="139" t="s">
        <v>1</v>
      </c>
      <c r="I2516" s="146"/>
      <c r="L2516" s="138"/>
      <c r="M2516" s="147"/>
      <c r="T2516" s="150"/>
      <c r="AT2516" s="139" t="s">
        <v>365</v>
      </c>
      <c r="AU2516" s="139" t="s">
        <v>87</v>
      </c>
      <c r="AV2516" s="136" t="s">
        <v>85</v>
      </c>
      <c r="AW2516" s="136" t="s">
        <v>33</v>
      </c>
      <c r="AX2516" s="136" t="s">
        <v>77</v>
      </c>
      <c r="AY2516" s="139" t="s">
        <v>211</v>
      </c>
    </row>
    <row r="2517" spans="2:65" s="113" customFormat="1">
      <c r="B2517" s="119"/>
      <c r="D2517" s="105" t="s">
        <v>365</v>
      </c>
      <c r="E2517" s="135" t="s">
        <v>1</v>
      </c>
      <c r="F2517" s="120" t="s">
        <v>3694</v>
      </c>
      <c r="H2517" s="121">
        <v>36.101999999999997</v>
      </c>
      <c r="I2517" s="128"/>
      <c r="L2517" s="119"/>
      <c r="M2517" s="129"/>
      <c r="T2517" s="133"/>
      <c r="AT2517" s="135" t="s">
        <v>365</v>
      </c>
      <c r="AU2517" s="135" t="s">
        <v>87</v>
      </c>
      <c r="AV2517" s="113" t="s">
        <v>87</v>
      </c>
      <c r="AW2517" s="113" t="s">
        <v>33</v>
      </c>
      <c r="AX2517" s="113" t="s">
        <v>77</v>
      </c>
      <c r="AY2517" s="135" t="s">
        <v>211</v>
      </c>
    </row>
    <row r="2518" spans="2:65" s="137" customFormat="1">
      <c r="B2518" s="141"/>
      <c r="D2518" s="105" t="s">
        <v>365</v>
      </c>
      <c r="E2518" s="142" t="s">
        <v>1</v>
      </c>
      <c r="F2518" s="143" t="s">
        <v>368</v>
      </c>
      <c r="H2518" s="144">
        <v>36.101999999999997</v>
      </c>
      <c r="I2518" s="148"/>
      <c r="L2518" s="141"/>
      <c r="M2518" s="149"/>
      <c r="T2518" s="151"/>
      <c r="AT2518" s="142" t="s">
        <v>365</v>
      </c>
      <c r="AU2518" s="142" t="s">
        <v>87</v>
      </c>
      <c r="AV2518" s="137" t="s">
        <v>218</v>
      </c>
      <c r="AW2518" s="137" t="s">
        <v>33</v>
      </c>
      <c r="AX2518" s="137" t="s">
        <v>85</v>
      </c>
      <c r="AY2518" s="142" t="s">
        <v>211</v>
      </c>
    </row>
    <row r="2519" spans="2:65" s="1" customFormat="1" ht="33" customHeight="1">
      <c r="B2519" s="12"/>
      <c r="C2519" s="71" t="s">
        <v>3695</v>
      </c>
      <c r="D2519" s="71" t="s">
        <v>214</v>
      </c>
      <c r="E2519" s="72" t="s">
        <v>3696</v>
      </c>
      <c r="F2519" s="73" t="s">
        <v>3697</v>
      </c>
      <c r="G2519" s="74" t="s">
        <v>279</v>
      </c>
      <c r="H2519" s="75">
        <v>2428.2600000000002</v>
      </c>
      <c r="I2519" s="90">
        <v>620</v>
      </c>
      <c r="J2519" s="91">
        <f>ROUND(I2519*H2519,2)</f>
        <v>1505521.2</v>
      </c>
      <c r="K2519" s="92"/>
      <c r="L2519" s="12"/>
      <c r="M2519" s="93" t="s">
        <v>1</v>
      </c>
      <c r="N2519" s="94" t="s">
        <v>42</v>
      </c>
      <c r="P2519" s="95">
        <f>O2519*H2519</f>
        <v>0</v>
      </c>
      <c r="Q2519" s="95">
        <v>5.0000000000000001E-3</v>
      </c>
      <c r="R2519" s="95">
        <f>Q2519*H2519</f>
        <v>12.141299999999999</v>
      </c>
      <c r="S2519" s="95">
        <v>0</v>
      </c>
      <c r="T2519" s="99">
        <f>S2519*H2519</f>
        <v>0</v>
      </c>
      <c r="AR2519" s="101" t="s">
        <v>446</v>
      </c>
      <c r="AT2519" s="101" t="s">
        <v>214</v>
      </c>
      <c r="AU2519" s="101" t="s">
        <v>87</v>
      </c>
      <c r="AY2519" s="23" t="s">
        <v>211</v>
      </c>
      <c r="BE2519" s="104">
        <f>IF(N2519="základní",J2519,0)</f>
        <v>1505521.2</v>
      </c>
      <c r="BF2519" s="104">
        <f>IF(N2519="snížená",J2519,0)</f>
        <v>0</v>
      </c>
      <c r="BG2519" s="104">
        <f>IF(N2519="zákl. přenesená",J2519,0)</f>
        <v>0</v>
      </c>
      <c r="BH2519" s="104">
        <f>IF(N2519="sníž. přenesená",J2519,0)</f>
        <v>0</v>
      </c>
      <c r="BI2519" s="104">
        <f>IF(N2519="nulová",J2519,0)</f>
        <v>0</v>
      </c>
      <c r="BJ2519" s="23" t="s">
        <v>85</v>
      </c>
      <c r="BK2519" s="104">
        <f>ROUND(I2519*H2519,2)</f>
        <v>1505521.2</v>
      </c>
      <c r="BL2519" s="23" t="s">
        <v>446</v>
      </c>
      <c r="BM2519" s="101" t="s">
        <v>3698</v>
      </c>
    </row>
    <row r="2520" spans="2:65" s="136" customFormat="1">
      <c r="B2520" s="138"/>
      <c r="D2520" s="105" t="s">
        <v>365</v>
      </c>
      <c r="E2520" s="139" t="s">
        <v>1</v>
      </c>
      <c r="F2520" s="140" t="s">
        <v>3699</v>
      </c>
      <c r="H2520" s="139" t="s">
        <v>1</v>
      </c>
      <c r="I2520" s="146"/>
      <c r="L2520" s="138"/>
      <c r="M2520" s="147"/>
      <c r="T2520" s="150"/>
      <c r="AT2520" s="139" t="s">
        <v>365</v>
      </c>
      <c r="AU2520" s="139" t="s">
        <v>87</v>
      </c>
      <c r="AV2520" s="136" t="s">
        <v>85</v>
      </c>
      <c r="AW2520" s="136" t="s">
        <v>33</v>
      </c>
      <c r="AX2520" s="136" t="s">
        <v>77</v>
      </c>
      <c r="AY2520" s="139" t="s">
        <v>211</v>
      </c>
    </row>
    <row r="2521" spans="2:65" s="136" customFormat="1">
      <c r="B2521" s="138"/>
      <c r="D2521" s="105" t="s">
        <v>365</v>
      </c>
      <c r="E2521" s="139" t="s">
        <v>1</v>
      </c>
      <c r="F2521" s="140" t="s">
        <v>866</v>
      </c>
      <c r="H2521" s="139" t="s">
        <v>1</v>
      </c>
      <c r="I2521" s="146"/>
      <c r="L2521" s="138"/>
      <c r="M2521" s="147"/>
      <c r="T2521" s="150"/>
      <c r="AT2521" s="139" t="s">
        <v>365</v>
      </c>
      <c r="AU2521" s="139" t="s">
        <v>87</v>
      </c>
      <c r="AV2521" s="136" t="s">
        <v>85</v>
      </c>
      <c r="AW2521" s="136" t="s">
        <v>33</v>
      </c>
      <c r="AX2521" s="136" t="s">
        <v>77</v>
      </c>
      <c r="AY2521" s="139" t="s">
        <v>211</v>
      </c>
    </row>
    <row r="2522" spans="2:65" s="113" customFormat="1">
      <c r="B2522" s="119"/>
      <c r="D2522" s="105" t="s">
        <v>365</v>
      </c>
      <c r="E2522" s="135" t="s">
        <v>1</v>
      </c>
      <c r="F2522" s="120" t="s">
        <v>3700</v>
      </c>
      <c r="H2522" s="121">
        <v>525.77</v>
      </c>
      <c r="I2522" s="128"/>
      <c r="L2522" s="119"/>
      <c r="M2522" s="129"/>
      <c r="T2522" s="133"/>
      <c r="AT2522" s="135" t="s">
        <v>365</v>
      </c>
      <c r="AU2522" s="135" t="s">
        <v>87</v>
      </c>
      <c r="AV2522" s="113" t="s">
        <v>87</v>
      </c>
      <c r="AW2522" s="113" t="s">
        <v>33</v>
      </c>
      <c r="AX2522" s="113" t="s">
        <v>77</v>
      </c>
      <c r="AY2522" s="135" t="s">
        <v>211</v>
      </c>
    </row>
    <row r="2523" spans="2:65" s="136" customFormat="1">
      <c r="B2523" s="138"/>
      <c r="D2523" s="105" t="s">
        <v>365</v>
      </c>
      <c r="E2523" s="139" t="s">
        <v>1</v>
      </c>
      <c r="F2523" s="140" t="s">
        <v>868</v>
      </c>
      <c r="H2523" s="139" t="s">
        <v>1</v>
      </c>
      <c r="I2523" s="146"/>
      <c r="L2523" s="138"/>
      <c r="M2523" s="147"/>
      <c r="T2523" s="150"/>
      <c r="AT2523" s="139" t="s">
        <v>365</v>
      </c>
      <c r="AU2523" s="139" t="s">
        <v>87</v>
      </c>
      <c r="AV2523" s="136" t="s">
        <v>85</v>
      </c>
      <c r="AW2523" s="136" t="s">
        <v>33</v>
      </c>
      <c r="AX2523" s="136" t="s">
        <v>77</v>
      </c>
      <c r="AY2523" s="139" t="s">
        <v>211</v>
      </c>
    </row>
    <row r="2524" spans="2:65" s="113" customFormat="1">
      <c r="B2524" s="119"/>
      <c r="D2524" s="105" t="s">
        <v>365</v>
      </c>
      <c r="E2524" s="135" t="s">
        <v>1</v>
      </c>
      <c r="F2524" s="120" t="s">
        <v>3701</v>
      </c>
      <c r="H2524" s="121">
        <v>593.6</v>
      </c>
      <c r="I2524" s="128"/>
      <c r="L2524" s="119"/>
      <c r="M2524" s="129"/>
      <c r="T2524" s="133"/>
      <c r="AT2524" s="135" t="s">
        <v>365</v>
      </c>
      <c r="AU2524" s="135" t="s">
        <v>87</v>
      </c>
      <c r="AV2524" s="113" t="s">
        <v>87</v>
      </c>
      <c r="AW2524" s="113" t="s">
        <v>33</v>
      </c>
      <c r="AX2524" s="113" t="s">
        <v>77</v>
      </c>
      <c r="AY2524" s="135" t="s">
        <v>211</v>
      </c>
    </row>
    <row r="2525" spans="2:65" s="136" customFormat="1">
      <c r="B2525" s="138"/>
      <c r="D2525" s="105" t="s">
        <v>365</v>
      </c>
      <c r="E2525" s="139" t="s">
        <v>1</v>
      </c>
      <c r="F2525" s="140" t="s">
        <v>870</v>
      </c>
      <c r="H2525" s="139" t="s">
        <v>1</v>
      </c>
      <c r="I2525" s="146"/>
      <c r="L2525" s="138"/>
      <c r="M2525" s="147"/>
      <c r="T2525" s="150"/>
      <c r="AT2525" s="139" t="s">
        <v>365</v>
      </c>
      <c r="AU2525" s="139" t="s">
        <v>87</v>
      </c>
      <c r="AV2525" s="136" t="s">
        <v>85</v>
      </c>
      <c r="AW2525" s="136" t="s">
        <v>33</v>
      </c>
      <c r="AX2525" s="136" t="s">
        <v>77</v>
      </c>
      <c r="AY2525" s="139" t="s">
        <v>211</v>
      </c>
    </row>
    <row r="2526" spans="2:65" s="113" customFormat="1">
      <c r="B2526" s="119"/>
      <c r="D2526" s="105" t="s">
        <v>365</v>
      </c>
      <c r="E2526" s="135" t="s">
        <v>1</v>
      </c>
      <c r="F2526" s="120" t="s">
        <v>3702</v>
      </c>
      <c r="H2526" s="121">
        <v>509.07</v>
      </c>
      <c r="I2526" s="128"/>
      <c r="L2526" s="119"/>
      <c r="M2526" s="129"/>
      <c r="T2526" s="133"/>
      <c r="AT2526" s="135" t="s">
        <v>365</v>
      </c>
      <c r="AU2526" s="135" t="s">
        <v>87</v>
      </c>
      <c r="AV2526" s="113" t="s">
        <v>87</v>
      </c>
      <c r="AW2526" s="113" t="s">
        <v>33</v>
      </c>
      <c r="AX2526" s="113" t="s">
        <v>77</v>
      </c>
      <c r="AY2526" s="135" t="s">
        <v>211</v>
      </c>
    </row>
    <row r="2527" spans="2:65" s="136" customFormat="1">
      <c r="B2527" s="138"/>
      <c r="D2527" s="105" t="s">
        <v>365</v>
      </c>
      <c r="E2527" s="139" t="s">
        <v>1</v>
      </c>
      <c r="F2527" s="140" t="s">
        <v>872</v>
      </c>
      <c r="H2527" s="139" t="s">
        <v>1</v>
      </c>
      <c r="I2527" s="146"/>
      <c r="L2527" s="138"/>
      <c r="M2527" s="147"/>
      <c r="T2527" s="150"/>
      <c r="AT2527" s="139" t="s">
        <v>365</v>
      </c>
      <c r="AU2527" s="139" t="s">
        <v>87</v>
      </c>
      <c r="AV2527" s="136" t="s">
        <v>85</v>
      </c>
      <c r="AW2527" s="136" t="s">
        <v>33</v>
      </c>
      <c r="AX2527" s="136" t="s">
        <v>77</v>
      </c>
      <c r="AY2527" s="139" t="s">
        <v>211</v>
      </c>
    </row>
    <row r="2528" spans="2:65" s="113" customFormat="1">
      <c r="B2528" s="119"/>
      <c r="D2528" s="105" t="s">
        <v>365</v>
      </c>
      <c r="E2528" s="135" t="s">
        <v>1</v>
      </c>
      <c r="F2528" s="120" t="s">
        <v>3703</v>
      </c>
      <c r="H2528" s="121">
        <v>532.57000000000005</v>
      </c>
      <c r="I2528" s="128"/>
      <c r="L2528" s="119"/>
      <c r="M2528" s="129"/>
      <c r="T2528" s="133"/>
      <c r="AT2528" s="135" t="s">
        <v>365</v>
      </c>
      <c r="AU2528" s="135" t="s">
        <v>87</v>
      </c>
      <c r="AV2528" s="113" t="s">
        <v>87</v>
      </c>
      <c r="AW2528" s="113" t="s">
        <v>33</v>
      </c>
      <c r="AX2528" s="113" t="s">
        <v>77</v>
      </c>
      <c r="AY2528" s="135" t="s">
        <v>211</v>
      </c>
    </row>
    <row r="2529" spans="2:65" s="154" customFormat="1">
      <c r="B2529" s="156"/>
      <c r="D2529" s="105" t="s">
        <v>365</v>
      </c>
      <c r="E2529" s="157" t="s">
        <v>1</v>
      </c>
      <c r="F2529" s="158" t="s">
        <v>741</v>
      </c>
      <c r="H2529" s="159">
        <v>2161.0100000000002</v>
      </c>
      <c r="I2529" s="160"/>
      <c r="L2529" s="156"/>
      <c r="M2529" s="161"/>
      <c r="T2529" s="162"/>
      <c r="AT2529" s="157" t="s">
        <v>365</v>
      </c>
      <c r="AU2529" s="157" t="s">
        <v>87</v>
      </c>
      <c r="AV2529" s="154" t="s">
        <v>137</v>
      </c>
      <c r="AW2529" s="154" t="s">
        <v>33</v>
      </c>
      <c r="AX2529" s="154" t="s">
        <v>77</v>
      </c>
      <c r="AY2529" s="157" t="s">
        <v>211</v>
      </c>
    </row>
    <row r="2530" spans="2:65" s="113" customFormat="1">
      <c r="B2530" s="119"/>
      <c r="D2530" s="105" t="s">
        <v>365</v>
      </c>
      <c r="E2530" s="135" t="s">
        <v>1</v>
      </c>
      <c r="F2530" s="120" t="s">
        <v>3704</v>
      </c>
      <c r="H2530" s="121">
        <v>28.08</v>
      </c>
      <c r="I2530" s="128"/>
      <c r="L2530" s="119"/>
      <c r="M2530" s="129"/>
      <c r="T2530" s="133"/>
      <c r="AT2530" s="135" t="s">
        <v>365</v>
      </c>
      <c r="AU2530" s="135" t="s">
        <v>87</v>
      </c>
      <c r="AV2530" s="113" t="s">
        <v>87</v>
      </c>
      <c r="AW2530" s="113" t="s">
        <v>33</v>
      </c>
      <c r="AX2530" s="113" t="s">
        <v>77</v>
      </c>
      <c r="AY2530" s="135" t="s">
        <v>211</v>
      </c>
    </row>
    <row r="2531" spans="2:65" s="113" customFormat="1">
      <c r="B2531" s="119"/>
      <c r="D2531" s="105" t="s">
        <v>365</v>
      </c>
      <c r="E2531" s="135" t="s">
        <v>1</v>
      </c>
      <c r="F2531" s="120" t="s">
        <v>3705</v>
      </c>
      <c r="H2531" s="121">
        <v>21.16</v>
      </c>
      <c r="I2531" s="128"/>
      <c r="L2531" s="119"/>
      <c r="M2531" s="129"/>
      <c r="T2531" s="133"/>
      <c r="AT2531" s="135" t="s">
        <v>365</v>
      </c>
      <c r="AU2531" s="135" t="s">
        <v>87</v>
      </c>
      <c r="AV2531" s="113" t="s">
        <v>87</v>
      </c>
      <c r="AW2531" s="113" t="s">
        <v>33</v>
      </c>
      <c r="AX2531" s="113" t="s">
        <v>77</v>
      </c>
      <c r="AY2531" s="135" t="s">
        <v>211</v>
      </c>
    </row>
    <row r="2532" spans="2:65" s="113" customFormat="1">
      <c r="B2532" s="119"/>
      <c r="D2532" s="105" t="s">
        <v>365</v>
      </c>
      <c r="E2532" s="135" t="s">
        <v>1</v>
      </c>
      <c r="F2532" s="120" t="s">
        <v>3706</v>
      </c>
      <c r="H2532" s="121">
        <v>8.2899999999999991</v>
      </c>
      <c r="I2532" s="128"/>
      <c r="L2532" s="119"/>
      <c r="M2532" s="129"/>
      <c r="T2532" s="133"/>
      <c r="AT2532" s="135" t="s">
        <v>365</v>
      </c>
      <c r="AU2532" s="135" t="s">
        <v>87</v>
      </c>
      <c r="AV2532" s="113" t="s">
        <v>87</v>
      </c>
      <c r="AW2532" s="113" t="s">
        <v>33</v>
      </c>
      <c r="AX2532" s="113" t="s">
        <v>77</v>
      </c>
      <c r="AY2532" s="135" t="s">
        <v>211</v>
      </c>
    </row>
    <row r="2533" spans="2:65" s="113" customFormat="1">
      <c r="B2533" s="119"/>
      <c r="D2533" s="105" t="s">
        <v>365</v>
      </c>
      <c r="E2533" s="135" t="s">
        <v>1</v>
      </c>
      <c r="F2533" s="120" t="s">
        <v>3707</v>
      </c>
      <c r="H2533" s="121">
        <v>26.12</v>
      </c>
      <c r="I2533" s="128"/>
      <c r="L2533" s="119"/>
      <c r="M2533" s="129"/>
      <c r="T2533" s="133"/>
      <c r="AT2533" s="135" t="s">
        <v>365</v>
      </c>
      <c r="AU2533" s="135" t="s">
        <v>87</v>
      </c>
      <c r="AV2533" s="113" t="s">
        <v>87</v>
      </c>
      <c r="AW2533" s="113" t="s">
        <v>33</v>
      </c>
      <c r="AX2533" s="113" t="s">
        <v>77</v>
      </c>
      <c r="AY2533" s="135" t="s">
        <v>211</v>
      </c>
    </row>
    <row r="2534" spans="2:65" s="154" customFormat="1">
      <c r="B2534" s="156"/>
      <c r="D2534" s="105" t="s">
        <v>365</v>
      </c>
      <c r="E2534" s="157" t="s">
        <v>1</v>
      </c>
      <c r="F2534" s="158" t="s">
        <v>741</v>
      </c>
      <c r="H2534" s="159">
        <v>83.65</v>
      </c>
      <c r="I2534" s="160"/>
      <c r="L2534" s="156"/>
      <c r="M2534" s="161"/>
      <c r="T2534" s="162"/>
      <c r="AT2534" s="157" t="s">
        <v>365</v>
      </c>
      <c r="AU2534" s="157" t="s">
        <v>87</v>
      </c>
      <c r="AV2534" s="154" t="s">
        <v>137</v>
      </c>
      <c r="AW2534" s="154" t="s">
        <v>33</v>
      </c>
      <c r="AX2534" s="154" t="s">
        <v>77</v>
      </c>
      <c r="AY2534" s="157" t="s">
        <v>211</v>
      </c>
    </row>
    <row r="2535" spans="2:65" s="113" customFormat="1">
      <c r="B2535" s="119"/>
      <c r="D2535" s="105" t="s">
        <v>365</v>
      </c>
      <c r="E2535" s="135" t="s">
        <v>1</v>
      </c>
      <c r="F2535" s="120" t="s">
        <v>322</v>
      </c>
      <c r="H2535" s="121">
        <v>183.6</v>
      </c>
      <c r="I2535" s="128"/>
      <c r="L2535" s="119"/>
      <c r="M2535" s="129"/>
      <c r="T2535" s="133"/>
      <c r="AT2535" s="135" t="s">
        <v>365</v>
      </c>
      <c r="AU2535" s="135" t="s">
        <v>87</v>
      </c>
      <c r="AV2535" s="113" t="s">
        <v>87</v>
      </c>
      <c r="AW2535" s="113" t="s">
        <v>33</v>
      </c>
      <c r="AX2535" s="113" t="s">
        <v>77</v>
      </c>
      <c r="AY2535" s="135" t="s">
        <v>211</v>
      </c>
    </row>
    <row r="2536" spans="2:65" s="137" customFormat="1">
      <c r="B2536" s="141"/>
      <c r="D2536" s="105" t="s">
        <v>365</v>
      </c>
      <c r="E2536" s="142" t="s">
        <v>1</v>
      </c>
      <c r="F2536" s="143" t="s">
        <v>368</v>
      </c>
      <c r="H2536" s="144">
        <v>2428.2600000000002</v>
      </c>
      <c r="I2536" s="148"/>
      <c r="L2536" s="141"/>
      <c r="M2536" s="149"/>
      <c r="T2536" s="151"/>
      <c r="AT2536" s="142" t="s">
        <v>365</v>
      </c>
      <c r="AU2536" s="142" t="s">
        <v>87</v>
      </c>
      <c r="AV2536" s="137" t="s">
        <v>218</v>
      </c>
      <c r="AW2536" s="137" t="s">
        <v>33</v>
      </c>
      <c r="AX2536" s="137" t="s">
        <v>85</v>
      </c>
      <c r="AY2536" s="142" t="s">
        <v>211</v>
      </c>
    </row>
    <row r="2537" spans="2:65" s="1" customFormat="1" ht="33" customHeight="1">
      <c r="B2537" s="12"/>
      <c r="C2537" s="114" t="s">
        <v>3708</v>
      </c>
      <c r="D2537" s="114" t="s">
        <v>438</v>
      </c>
      <c r="E2537" s="115" t="s">
        <v>3709</v>
      </c>
      <c r="F2537" s="116" t="s">
        <v>3710</v>
      </c>
      <c r="G2537" s="117" t="s">
        <v>1599</v>
      </c>
      <c r="H2537" s="118">
        <v>135987.38</v>
      </c>
      <c r="I2537" s="122">
        <v>15.97</v>
      </c>
      <c r="J2537" s="123">
        <f>ROUND(I2537*H2537,2)</f>
        <v>2171718.46</v>
      </c>
      <c r="K2537" s="124"/>
      <c r="L2537" s="125"/>
      <c r="M2537" s="126" t="s">
        <v>1</v>
      </c>
      <c r="N2537" s="127" t="s">
        <v>42</v>
      </c>
      <c r="P2537" s="95">
        <f>O2537*H2537</f>
        <v>0</v>
      </c>
      <c r="Q2537" s="95">
        <v>5.0000000000000001E-4</v>
      </c>
      <c r="R2537" s="95">
        <f>Q2537*H2537</f>
        <v>67.993690000000001</v>
      </c>
      <c r="S2537" s="95">
        <v>0</v>
      </c>
      <c r="T2537" s="99">
        <f>S2537*H2537</f>
        <v>0</v>
      </c>
      <c r="AR2537" s="101" t="s">
        <v>527</v>
      </c>
      <c r="AT2537" s="101" t="s">
        <v>438</v>
      </c>
      <c r="AU2537" s="101" t="s">
        <v>87</v>
      </c>
      <c r="AY2537" s="23" t="s">
        <v>211</v>
      </c>
      <c r="BE2537" s="104">
        <f>IF(N2537="základní",J2537,0)</f>
        <v>2171718.46</v>
      </c>
      <c r="BF2537" s="104">
        <f>IF(N2537="snížená",J2537,0)</f>
        <v>0</v>
      </c>
      <c r="BG2537" s="104">
        <f>IF(N2537="zákl. přenesená",J2537,0)</f>
        <v>0</v>
      </c>
      <c r="BH2537" s="104">
        <f>IF(N2537="sníž. přenesená",J2537,0)</f>
        <v>0</v>
      </c>
      <c r="BI2537" s="104">
        <f>IF(N2537="nulová",J2537,0)</f>
        <v>0</v>
      </c>
      <c r="BJ2537" s="23" t="s">
        <v>85</v>
      </c>
      <c r="BK2537" s="104">
        <f>ROUND(I2537*H2537,2)</f>
        <v>2171718.46</v>
      </c>
      <c r="BL2537" s="23" t="s">
        <v>446</v>
      </c>
      <c r="BM2537" s="101" t="s">
        <v>3711</v>
      </c>
    </row>
    <row r="2538" spans="2:65" s="1" customFormat="1" ht="19.2">
      <c r="B2538" s="12"/>
      <c r="D2538" s="105" t="s">
        <v>227</v>
      </c>
      <c r="F2538" s="106" t="s">
        <v>3712</v>
      </c>
      <c r="I2538" s="107"/>
      <c r="L2538" s="12"/>
      <c r="M2538" s="108"/>
      <c r="T2538" s="111"/>
      <c r="AT2538" s="23" t="s">
        <v>227</v>
      </c>
      <c r="AU2538" s="23" t="s">
        <v>87</v>
      </c>
    </row>
    <row r="2539" spans="2:65" s="136" customFormat="1">
      <c r="B2539" s="138"/>
      <c r="D2539" s="105" t="s">
        <v>365</v>
      </c>
      <c r="E2539" s="139" t="s">
        <v>1</v>
      </c>
      <c r="F2539" s="140" t="s">
        <v>3699</v>
      </c>
      <c r="H2539" s="139" t="s">
        <v>1</v>
      </c>
      <c r="I2539" s="146"/>
      <c r="L2539" s="138"/>
      <c r="M2539" s="147"/>
      <c r="T2539" s="150"/>
      <c r="AT2539" s="139" t="s">
        <v>365</v>
      </c>
      <c r="AU2539" s="139" t="s">
        <v>87</v>
      </c>
      <c r="AV2539" s="136" t="s">
        <v>85</v>
      </c>
      <c r="AW2539" s="136" t="s">
        <v>33</v>
      </c>
      <c r="AX2539" s="136" t="s">
        <v>77</v>
      </c>
      <c r="AY2539" s="139" t="s">
        <v>211</v>
      </c>
    </row>
    <row r="2540" spans="2:65" s="136" customFormat="1">
      <c r="B2540" s="138"/>
      <c r="D2540" s="105" t="s">
        <v>365</v>
      </c>
      <c r="E2540" s="139" t="s">
        <v>1</v>
      </c>
      <c r="F2540" s="140" t="s">
        <v>866</v>
      </c>
      <c r="H2540" s="139" t="s">
        <v>1</v>
      </c>
      <c r="I2540" s="146"/>
      <c r="L2540" s="138"/>
      <c r="M2540" s="147"/>
      <c r="T2540" s="150"/>
      <c r="AT2540" s="139" t="s">
        <v>365</v>
      </c>
      <c r="AU2540" s="139" t="s">
        <v>87</v>
      </c>
      <c r="AV2540" s="136" t="s">
        <v>85</v>
      </c>
      <c r="AW2540" s="136" t="s">
        <v>33</v>
      </c>
      <c r="AX2540" s="136" t="s">
        <v>77</v>
      </c>
      <c r="AY2540" s="139" t="s">
        <v>211</v>
      </c>
    </row>
    <row r="2541" spans="2:65" s="113" customFormat="1">
      <c r="B2541" s="119"/>
      <c r="D2541" s="105" t="s">
        <v>365</v>
      </c>
      <c r="E2541" s="135" t="s">
        <v>1</v>
      </c>
      <c r="F2541" s="120" t="s">
        <v>3700</v>
      </c>
      <c r="H2541" s="121">
        <v>525.77</v>
      </c>
      <c r="I2541" s="128"/>
      <c r="L2541" s="119"/>
      <c r="M2541" s="129"/>
      <c r="T2541" s="133"/>
      <c r="AT2541" s="135" t="s">
        <v>365</v>
      </c>
      <c r="AU2541" s="135" t="s">
        <v>87</v>
      </c>
      <c r="AV2541" s="113" t="s">
        <v>87</v>
      </c>
      <c r="AW2541" s="113" t="s">
        <v>33</v>
      </c>
      <c r="AX2541" s="113" t="s">
        <v>77</v>
      </c>
      <c r="AY2541" s="135" t="s">
        <v>211</v>
      </c>
    </row>
    <row r="2542" spans="2:65" s="136" customFormat="1">
      <c r="B2542" s="138"/>
      <c r="D2542" s="105" t="s">
        <v>365</v>
      </c>
      <c r="E2542" s="139" t="s">
        <v>1</v>
      </c>
      <c r="F2542" s="140" t="s">
        <v>868</v>
      </c>
      <c r="H2542" s="139" t="s">
        <v>1</v>
      </c>
      <c r="I2542" s="146"/>
      <c r="L2542" s="138"/>
      <c r="M2542" s="147"/>
      <c r="T2542" s="150"/>
      <c r="AT2542" s="139" t="s">
        <v>365</v>
      </c>
      <c r="AU2542" s="139" t="s">
        <v>87</v>
      </c>
      <c r="AV2542" s="136" t="s">
        <v>85</v>
      </c>
      <c r="AW2542" s="136" t="s">
        <v>33</v>
      </c>
      <c r="AX2542" s="136" t="s">
        <v>77</v>
      </c>
      <c r="AY2542" s="139" t="s">
        <v>211</v>
      </c>
    </row>
    <row r="2543" spans="2:65" s="113" customFormat="1">
      <c r="B2543" s="119"/>
      <c r="D2543" s="105" t="s">
        <v>365</v>
      </c>
      <c r="E2543" s="135" t="s">
        <v>1</v>
      </c>
      <c r="F2543" s="120" t="s">
        <v>3701</v>
      </c>
      <c r="H2543" s="121">
        <v>593.6</v>
      </c>
      <c r="I2543" s="128"/>
      <c r="L2543" s="119"/>
      <c r="M2543" s="129"/>
      <c r="T2543" s="133"/>
      <c r="AT2543" s="135" t="s">
        <v>365</v>
      </c>
      <c r="AU2543" s="135" t="s">
        <v>87</v>
      </c>
      <c r="AV2543" s="113" t="s">
        <v>87</v>
      </c>
      <c r="AW2543" s="113" t="s">
        <v>33</v>
      </c>
      <c r="AX2543" s="113" t="s">
        <v>77</v>
      </c>
      <c r="AY2543" s="135" t="s">
        <v>211</v>
      </c>
    </row>
    <row r="2544" spans="2:65" s="136" customFormat="1">
      <c r="B2544" s="138"/>
      <c r="D2544" s="105" t="s">
        <v>365</v>
      </c>
      <c r="E2544" s="139" t="s">
        <v>1</v>
      </c>
      <c r="F2544" s="140" t="s">
        <v>870</v>
      </c>
      <c r="H2544" s="139" t="s">
        <v>1</v>
      </c>
      <c r="I2544" s="146"/>
      <c r="L2544" s="138"/>
      <c r="M2544" s="147"/>
      <c r="T2544" s="150"/>
      <c r="AT2544" s="139" t="s">
        <v>365</v>
      </c>
      <c r="AU2544" s="139" t="s">
        <v>87</v>
      </c>
      <c r="AV2544" s="136" t="s">
        <v>85</v>
      </c>
      <c r="AW2544" s="136" t="s">
        <v>33</v>
      </c>
      <c r="AX2544" s="136" t="s">
        <v>77</v>
      </c>
      <c r="AY2544" s="139" t="s">
        <v>211</v>
      </c>
    </row>
    <row r="2545" spans="2:65" s="113" customFormat="1">
      <c r="B2545" s="119"/>
      <c r="D2545" s="105" t="s">
        <v>365</v>
      </c>
      <c r="E2545" s="135" t="s">
        <v>1</v>
      </c>
      <c r="F2545" s="120" t="s">
        <v>3702</v>
      </c>
      <c r="H2545" s="121">
        <v>509.07</v>
      </c>
      <c r="I2545" s="128"/>
      <c r="L2545" s="119"/>
      <c r="M2545" s="129"/>
      <c r="T2545" s="133"/>
      <c r="AT2545" s="135" t="s">
        <v>365</v>
      </c>
      <c r="AU2545" s="135" t="s">
        <v>87</v>
      </c>
      <c r="AV2545" s="113" t="s">
        <v>87</v>
      </c>
      <c r="AW2545" s="113" t="s">
        <v>33</v>
      </c>
      <c r="AX2545" s="113" t="s">
        <v>77</v>
      </c>
      <c r="AY2545" s="135" t="s">
        <v>211</v>
      </c>
    </row>
    <row r="2546" spans="2:65" s="136" customFormat="1">
      <c r="B2546" s="138"/>
      <c r="D2546" s="105" t="s">
        <v>365</v>
      </c>
      <c r="E2546" s="139" t="s">
        <v>1</v>
      </c>
      <c r="F2546" s="140" t="s">
        <v>872</v>
      </c>
      <c r="H2546" s="139" t="s">
        <v>1</v>
      </c>
      <c r="I2546" s="146"/>
      <c r="L2546" s="138"/>
      <c r="M2546" s="147"/>
      <c r="T2546" s="150"/>
      <c r="AT2546" s="139" t="s">
        <v>365</v>
      </c>
      <c r="AU2546" s="139" t="s">
        <v>87</v>
      </c>
      <c r="AV2546" s="136" t="s">
        <v>85</v>
      </c>
      <c r="AW2546" s="136" t="s">
        <v>33</v>
      </c>
      <c r="AX2546" s="136" t="s">
        <v>77</v>
      </c>
      <c r="AY2546" s="139" t="s">
        <v>211</v>
      </c>
    </row>
    <row r="2547" spans="2:65" s="113" customFormat="1">
      <c r="B2547" s="119"/>
      <c r="D2547" s="105" t="s">
        <v>365</v>
      </c>
      <c r="E2547" s="135" t="s">
        <v>1</v>
      </c>
      <c r="F2547" s="120" t="s">
        <v>3703</v>
      </c>
      <c r="H2547" s="121">
        <v>532.57000000000005</v>
      </c>
      <c r="I2547" s="128"/>
      <c r="L2547" s="119"/>
      <c r="M2547" s="129"/>
      <c r="T2547" s="133"/>
      <c r="AT2547" s="135" t="s">
        <v>365</v>
      </c>
      <c r="AU2547" s="135" t="s">
        <v>87</v>
      </c>
      <c r="AV2547" s="113" t="s">
        <v>87</v>
      </c>
      <c r="AW2547" s="113" t="s">
        <v>33</v>
      </c>
      <c r="AX2547" s="113" t="s">
        <v>77</v>
      </c>
      <c r="AY2547" s="135" t="s">
        <v>211</v>
      </c>
    </row>
    <row r="2548" spans="2:65" s="154" customFormat="1">
      <c r="B2548" s="156"/>
      <c r="D2548" s="105" t="s">
        <v>365</v>
      </c>
      <c r="E2548" s="157" t="s">
        <v>1</v>
      </c>
      <c r="F2548" s="158" t="s">
        <v>741</v>
      </c>
      <c r="H2548" s="159">
        <v>2161.0100000000002</v>
      </c>
      <c r="I2548" s="160"/>
      <c r="L2548" s="156"/>
      <c r="M2548" s="161"/>
      <c r="T2548" s="162"/>
      <c r="AT2548" s="157" t="s">
        <v>365</v>
      </c>
      <c r="AU2548" s="157" t="s">
        <v>87</v>
      </c>
      <c r="AV2548" s="154" t="s">
        <v>137</v>
      </c>
      <c r="AW2548" s="154" t="s">
        <v>33</v>
      </c>
      <c r="AX2548" s="154" t="s">
        <v>77</v>
      </c>
      <c r="AY2548" s="157" t="s">
        <v>211</v>
      </c>
    </row>
    <row r="2549" spans="2:65" s="113" customFormat="1">
      <c r="B2549" s="119"/>
      <c r="D2549" s="105" t="s">
        <v>365</v>
      </c>
      <c r="E2549" s="135" t="s">
        <v>1</v>
      </c>
      <c r="F2549" s="120" t="s">
        <v>322</v>
      </c>
      <c r="H2549" s="121">
        <v>183.6</v>
      </c>
      <c r="I2549" s="128"/>
      <c r="L2549" s="119"/>
      <c r="M2549" s="129"/>
      <c r="T2549" s="133"/>
      <c r="AT2549" s="135" t="s">
        <v>365</v>
      </c>
      <c r="AU2549" s="135" t="s">
        <v>87</v>
      </c>
      <c r="AV2549" s="113" t="s">
        <v>87</v>
      </c>
      <c r="AW2549" s="113" t="s">
        <v>33</v>
      </c>
      <c r="AX2549" s="113" t="s">
        <v>77</v>
      </c>
      <c r="AY2549" s="135" t="s">
        <v>211</v>
      </c>
    </row>
    <row r="2550" spans="2:65" s="137" customFormat="1">
      <c r="B2550" s="141"/>
      <c r="D2550" s="105" t="s">
        <v>365</v>
      </c>
      <c r="E2550" s="142" t="s">
        <v>1</v>
      </c>
      <c r="F2550" s="143" t="s">
        <v>368</v>
      </c>
      <c r="H2550" s="144">
        <v>2344.61</v>
      </c>
      <c r="I2550" s="148"/>
      <c r="L2550" s="141"/>
      <c r="M2550" s="149"/>
      <c r="T2550" s="151"/>
      <c r="AT2550" s="142" t="s">
        <v>365</v>
      </c>
      <c r="AU2550" s="142" t="s">
        <v>87</v>
      </c>
      <c r="AV2550" s="137" t="s">
        <v>218</v>
      </c>
      <c r="AW2550" s="137" t="s">
        <v>33</v>
      </c>
      <c r="AX2550" s="137" t="s">
        <v>85</v>
      </c>
      <c r="AY2550" s="142" t="s">
        <v>211</v>
      </c>
    </row>
    <row r="2551" spans="2:65" s="113" customFormat="1">
      <c r="B2551" s="119"/>
      <c r="D2551" s="105" t="s">
        <v>365</v>
      </c>
      <c r="F2551" s="120" t="s">
        <v>3713</v>
      </c>
      <c r="H2551" s="121">
        <v>135987.38</v>
      </c>
      <c r="I2551" s="128"/>
      <c r="L2551" s="119"/>
      <c r="M2551" s="129"/>
      <c r="T2551" s="133"/>
      <c r="AT2551" s="135" t="s">
        <v>365</v>
      </c>
      <c r="AU2551" s="135" t="s">
        <v>87</v>
      </c>
      <c r="AV2551" s="113" t="s">
        <v>87</v>
      </c>
      <c r="AW2551" s="113" t="s">
        <v>4</v>
      </c>
      <c r="AX2551" s="113" t="s">
        <v>85</v>
      </c>
      <c r="AY2551" s="135" t="s">
        <v>211</v>
      </c>
    </row>
    <row r="2552" spans="2:65" s="1" customFormat="1" ht="38.1" customHeight="1">
      <c r="B2552" s="12"/>
      <c r="C2552" s="114" t="s">
        <v>3714</v>
      </c>
      <c r="D2552" s="114" t="s">
        <v>438</v>
      </c>
      <c r="E2552" s="115" t="s">
        <v>3715</v>
      </c>
      <c r="F2552" s="116" t="s">
        <v>3716</v>
      </c>
      <c r="G2552" s="117" t="s">
        <v>1599</v>
      </c>
      <c r="H2552" s="118">
        <v>4851.7</v>
      </c>
      <c r="I2552" s="122">
        <v>15.97</v>
      </c>
      <c r="J2552" s="123">
        <f>ROUND(I2552*H2552,2)</f>
        <v>77481.649999999994</v>
      </c>
      <c r="K2552" s="124"/>
      <c r="L2552" s="125"/>
      <c r="M2552" s="126" t="s">
        <v>1</v>
      </c>
      <c r="N2552" s="127" t="s">
        <v>42</v>
      </c>
      <c r="P2552" s="95">
        <f>O2552*H2552</f>
        <v>0</v>
      </c>
      <c r="Q2552" s="95">
        <v>5.0000000000000001E-4</v>
      </c>
      <c r="R2552" s="95">
        <f>Q2552*H2552</f>
        <v>2.4258500000000001</v>
      </c>
      <c r="S2552" s="95">
        <v>0</v>
      </c>
      <c r="T2552" s="99">
        <f>S2552*H2552</f>
        <v>0</v>
      </c>
      <c r="AR2552" s="101" t="s">
        <v>527</v>
      </c>
      <c r="AT2552" s="101" t="s">
        <v>438</v>
      </c>
      <c r="AU2552" s="101" t="s">
        <v>87</v>
      </c>
      <c r="AY2552" s="23" t="s">
        <v>211</v>
      </c>
      <c r="BE2552" s="104">
        <f>IF(N2552="základní",J2552,0)</f>
        <v>77481.649999999994</v>
      </c>
      <c r="BF2552" s="104">
        <f>IF(N2552="snížená",J2552,0)</f>
        <v>0</v>
      </c>
      <c r="BG2552" s="104">
        <f>IF(N2552="zákl. přenesená",J2552,0)</f>
        <v>0</v>
      </c>
      <c r="BH2552" s="104">
        <f>IF(N2552="sníž. přenesená",J2552,0)</f>
        <v>0</v>
      </c>
      <c r="BI2552" s="104">
        <f>IF(N2552="nulová",J2552,0)</f>
        <v>0</v>
      </c>
      <c r="BJ2552" s="23" t="s">
        <v>85</v>
      </c>
      <c r="BK2552" s="104">
        <f>ROUND(I2552*H2552,2)</f>
        <v>77481.649999999994</v>
      </c>
      <c r="BL2552" s="23" t="s">
        <v>446</v>
      </c>
      <c r="BM2552" s="101" t="s">
        <v>3717</v>
      </c>
    </row>
    <row r="2553" spans="2:65" s="1" customFormat="1" ht="19.2">
      <c r="B2553" s="12"/>
      <c r="D2553" s="105" t="s">
        <v>227</v>
      </c>
      <c r="F2553" s="106" t="s">
        <v>3712</v>
      </c>
      <c r="I2553" s="107"/>
      <c r="L2553" s="12"/>
      <c r="M2553" s="108"/>
      <c r="T2553" s="111"/>
      <c r="AT2553" s="23" t="s">
        <v>227</v>
      </c>
      <c r="AU2553" s="23" t="s">
        <v>87</v>
      </c>
    </row>
    <row r="2554" spans="2:65" s="113" customFormat="1">
      <c r="B2554" s="119"/>
      <c r="D2554" s="105" t="s">
        <v>365</v>
      </c>
      <c r="E2554" s="135" t="s">
        <v>1</v>
      </c>
      <c r="F2554" s="120" t="s">
        <v>3704</v>
      </c>
      <c r="H2554" s="121">
        <v>28.08</v>
      </c>
      <c r="I2554" s="128"/>
      <c r="L2554" s="119"/>
      <c r="M2554" s="129"/>
      <c r="T2554" s="133"/>
      <c r="AT2554" s="135" t="s">
        <v>365</v>
      </c>
      <c r="AU2554" s="135" t="s">
        <v>87</v>
      </c>
      <c r="AV2554" s="113" t="s">
        <v>87</v>
      </c>
      <c r="AW2554" s="113" t="s">
        <v>33</v>
      </c>
      <c r="AX2554" s="113" t="s">
        <v>77</v>
      </c>
      <c r="AY2554" s="135" t="s">
        <v>211</v>
      </c>
    </row>
    <row r="2555" spans="2:65" s="113" customFormat="1">
      <c r="B2555" s="119"/>
      <c r="D2555" s="105" t="s">
        <v>365</v>
      </c>
      <c r="E2555" s="135" t="s">
        <v>1</v>
      </c>
      <c r="F2555" s="120" t="s">
        <v>3705</v>
      </c>
      <c r="H2555" s="121">
        <v>21.16</v>
      </c>
      <c r="I2555" s="128"/>
      <c r="L2555" s="119"/>
      <c r="M2555" s="129"/>
      <c r="T2555" s="133"/>
      <c r="AT2555" s="135" t="s">
        <v>365</v>
      </c>
      <c r="AU2555" s="135" t="s">
        <v>87</v>
      </c>
      <c r="AV2555" s="113" t="s">
        <v>87</v>
      </c>
      <c r="AW2555" s="113" t="s">
        <v>33</v>
      </c>
      <c r="AX2555" s="113" t="s">
        <v>77</v>
      </c>
      <c r="AY2555" s="135" t="s">
        <v>211</v>
      </c>
    </row>
    <row r="2556" spans="2:65" s="113" customFormat="1">
      <c r="B2556" s="119"/>
      <c r="D2556" s="105" t="s">
        <v>365</v>
      </c>
      <c r="E2556" s="135" t="s">
        <v>1</v>
      </c>
      <c r="F2556" s="120" t="s">
        <v>3706</v>
      </c>
      <c r="H2556" s="121">
        <v>8.2899999999999991</v>
      </c>
      <c r="I2556" s="128"/>
      <c r="L2556" s="119"/>
      <c r="M2556" s="129"/>
      <c r="T2556" s="133"/>
      <c r="AT2556" s="135" t="s">
        <v>365</v>
      </c>
      <c r="AU2556" s="135" t="s">
        <v>87</v>
      </c>
      <c r="AV2556" s="113" t="s">
        <v>87</v>
      </c>
      <c r="AW2556" s="113" t="s">
        <v>33</v>
      </c>
      <c r="AX2556" s="113" t="s">
        <v>77</v>
      </c>
      <c r="AY2556" s="135" t="s">
        <v>211</v>
      </c>
    </row>
    <row r="2557" spans="2:65" s="113" customFormat="1">
      <c r="B2557" s="119"/>
      <c r="D2557" s="105" t="s">
        <v>365</v>
      </c>
      <c r="E2557" s="135" t="s">
        <v>1</v>
      </c>
      <c r="F2557" s="120" t="s">
        <v>3707</v>
      </c>
      <c r="H2557" s="121">
        <v>26.12</v>
      </c>
      <c r="I2557" s="128"/>
      <c r="L2557" s="119"/>
      <c r="M2557" s="129"/>
      <c r="T2557" s="133"/>
      <c r="AT2557" s="135" t="s">
        <v>365</v>
      </c>
      <c r="AU2557" s="135" t="s">
        <v>87</v>
      </c>
      <c r="AV2557" s="113" t="s">
        <v>87</v>
      </c>
      <c r="AW2557" s="113" t="s">
        <v>33</v>
      </c>
      <c r="AX2557" s="113" t="s">
        <v>77</v>
      </c>
      <c r="AY2557" s="135" t="s">
        <v>211</v>
      </c>
    </row>
    <row r="2558" spans="2:65" s="137" customFormat="1">
      <c r="B2558" s="141"/>
      <c r="D2558" s="105" t="s">
        <v>365</v>
      </c>
      <c r="E2558" s="142" t="s">
        <v>1</v>
      </c>
      <c r="F2558" s="143" t="s">
        <v>368</v>
      </c>
      <c r="H2558" s="144">
        <v>83.65</v>
      </c>
      <c r="I2558" s="148"/>
      <c r="L2558" s="141"/>
      <c r="M2558" s="149"/>
      <c r="T2558" s="151"/>
      <c r="AT2558" s="142" t="s">
        <v>365</v>
      </c>
      <c r="AU2558" s="142" t="s">
        <v>87</v>
      </c>
      <c r="AV2558" s="137" t="s">
        <v>218</v>
      </c>
      <c r="AW2558" s="137" t="s">
        <v>33</v>
      </c>
      <c r="AX2558" s="137" t="s">
        <v>85</v>
      </c>
      <c r="AY2558" s="142" t="s">
        <v>211</v>
      </c>
    </row>
    <row r="2559" spans="2:65" s="113" customFormat="1">
      <c r="B2559" s="119"/>
      <c r="D2559" s="105" t="s">
        <v>365</v>
      </c>
      <c r="F2559" s="120" t="s">
        <v>3718</v>
      </c>
      <c r="H2559" s="121">
        <v>4851.7</v>
      </c>
      <c r="I2559" s="128"/>
      <c r="L2559" s="119"/>
      <c r="M2559" s="129"/>
      <c r="T2559" s="133"/>
      <c r="AT2559" s="135" t="s">
        <v>365</v>
      </c>
      <c r="AU2559" s="135" t="s">
        <v>87</v>
      </c>
      <c r="AV2559" s="113" t="s">
        <v>87</v>
      </c>
      <c r="AW2559" s="113" t="s">
        <v>4</v>
      </c>
      <c r="AX2559" s="113" t="s">
        <v>85</v>
      </c>
      <c r="AY2559" s="135" t="s">
        <v>211</v>
      </c>
    </row>
    <row r="2560" spans="2:65" s="1" customFormat="1" ht="24.15" customHeight="1">
      <c r="B2560" s="12"/>
      <c r="C2560" s="71" t="s">
        <v>3719</v>
      </c>
      <c r="D2560" s="71" t="s">
        <v>214</v>
      </c>
      <c r="E2560" s="72" t="s">
        <v>3720</v>
      </c>
      <c r="F2560" s="73" t="s">
        <v>3721</v>
      </c>
      <c r="G2560" s="74" t="s">
        <v>2866</v>
      </c>
      <c r="H2560" s="163">
        <f>SUM(J2485:J2552)/100</f>
        <v>60456.232000000004</v>
      </c>
      <c r="I2560" s="90">
        <v>3.12</v>
      </c>
      <c r="J2560" s="91">
        <f>ROUND(I2560*H2560,2)</f>
        <v>188623.44</v>
      </c>
      <c r="K2560" s="92"/>
      <c r="L2560" s="12"/>
      <c r="M2560" s="93" t="s">
        <v>1</v>
      </c>
      <c r="N2560" s="94" t="s">
        <v>42</v>
      </c>
      <c r="P2560" s="95">
        <f>O2560*H2560</f>
        <v>0</v>
      </c>
      <c r="Q2560" s="95">
        <v>0</v>
      </c>
      <c r="R2560" s="95">
        <f>Q2560*H2560</f>
        <v>0</v>
      </c>
      <c r="S2560" s="95">
        <v>0</v>
      </c>
      <c r="T2560" s="99">
        <f>S2560*H2560</f>
        <v>0</v>
      </c>
      <c r="AR2560" s="101" t="s">
        <v>446</v>
      </c>
      <c r="AT2560" s="101" t="s">
        <v>214</v>
      </c>
      <c r="AU2560" s="101" t="s">
        <v>87</v>
      </c>
      <c r="AY2560" s="23" t="s">
        <v>211</v>
      </c>
      <c r="BE2560" s="104">
        <f>IF(N2560="základní",J2560,0)</f>
        <v>188623.44</v>
      </c>
      <c r="BF2560" s="104">
        <f>IF(N2560="snížená",J2560,0)</f>
        <v>0</v>
      </c>
      <c r="BG2560" s="104">
        <f>IF(N2560="zákl. přenesená",J2560,0)</f>
        <v>0</v>
      </c>
      <c r="BH2560" s="104">
        <f>IF(N2560="sníž. přenesená",J2560,0)</f>
        <v>0</v>
      </c>
      <c r="BI2560" s="104">
        <f>IF(N2560="nulová",J2560,0)</f>
        <v>0</v>
      </c>
      <c r="BJ2560" s="23" t="s">
        <v>85</v>
      </c>
      <c r="BK2560" s="104">
        <f>ROUND(I2560*H2560,2)</f>
        <v>188623.44</v>
      </c>
      <c r="BL2560" s="23" t="s">
        <v>446</v>
      </c>
      <c r="BM2560" s="101" t="s">
        <v>3722</v>
      </c>
    </row>
    <row r="2561" spans="2:65" s="31" customFormat="1" ht="23.1" customHeight="1">
      <c r="B2561" s="67"/>
      <c r="D2561" s="68" t="s">
        <v>76</v>
      </c>
      <c r="E2561" s="70" t="s">
        <v>3723</v>
      </c>
      <c r="F2561" s="70" t="s">
        <v>3724</v>
      </c>
      <c r="I2561" s="85"/>
      <c r="J2561" s="89">
        <f>BK2561</f>
        <v>376577.59</v>
      </c>
      <c r="L2561" s="67"/>
      <c r="M2561" s="87"/>
      <c r="P2561" s="88">
        <f>SUM(P2562:P2569)</f>
        <v>0</v>
      </c>
      <c r="R2561" s="88">
        <f>SUM(R2562:R2569)</f>
        <v>5.28390381</v>
      </c>
      <c r="T2561" s="98">
        <f>SUM(T2562:T2569)</f>
        <v>0</v>
      </c>
      <c r="AR2561" s="68" t="s">
        <v>87</v>
      </c>
      <c r="AT2561" s="100" t="s">
        <v>76</v>
      </c>
      <c r="AU2561" s="100" t="s">
        <v>85</v>
      </c>
      <c r="AY2561" s="68" t="s">
        <v>211</v>
      </c>
      <c r="BK2561" s="103">
        <f>SUM(BK2562:BK2569)</f>
        <v>376577.59</v>
      </c>
    </row>
    <row r="2562" spans="2:65" s="1" customFormat="1" ht="24.15" customHeight="1">
      <c r="B2562" s="12"/>
      <c r="C2562" s="71" t="s">
        <v>3725</v>
      </c>
      <c r="D2562" s="71" t="s">
        <v>214</v>
      </c>
      <c r="E2562" s="72" t="s">
        <v>3726</v>
      </c>
      <c r="F2562" s="73" t="s">
        <v>3727</v>
      </c>
      <c r="G2562" s="74" t="s">
        <v>279</v>
      </c>
      <c r="H2562" s="75">
        <v>78.947000000000003</v>
      </c>
      <c r="I2562" s="90">
        <v>912</v>
      </c>
      <c r="J2562" s="91">
        <f>ROUND(I2562*H2562,2)</f>
        <v>71999.66</v>
      </c>
      <c r="K2562" s="92"/>
      <c r="L2562" s="12"/>
      <c r="M2562" s="93" t="s">
        <v>1</v>
      </c>
      <c r="N2562" s="94" t="s">
        <v>42</v>
      </c>
      <c r="P2562" s="95">
        <f>O2562*H2562</f>
        <v>0</v>
      </c>
      <c r="Q2562" s="95">
        <v>1.023E-2</v>
      </c>
      <c r="R2562" s="95">
        <f>Q2562*H2562</f>
        <v>0.80762780999999995</v>
      </c>
      <c r="S2562" s="95">
        <v>0</v>
      </c>
      <c r="T2562" s="99">
        <f>S2562*H2562</f>
        <v>0</v>
      </c>
      <c r="AR2562" s="101" t="s">
        <v>446</v>
      </c>
      <c r="AT2562" s="101" t="s">
        <v>214</v>
      </c>
      <c r="AU2562" s="101" t="s">
        <v>87</v>
      </c>
      <c r="AY2562" s="23" t="s">
        <v>211</v>
      </c>
      <c r="BE2562" s="104">
        <f>IF(N2562="základní",J2562,0)</f>
        <v>71999.66</v>
      </c>
      <c r="BF2562" s="104">
        <f>IF(N2562="snížená",J2562,0)</f>
        <v>0</v>
      </c>
      <c r="BG2562" s="104">
        <f>IF(N2562="zákl. přenesená",J2562,0)</f>
        <v>0</v>
      </c>
      <c r="BH2562" s="104">
        <f>IF(N2562="sníž. přenesená",J2562,0)</f>
        <v>0</v>
      </c>
      <c r="BI2562" s="104">
        <f>IF(N2562="nulová",J2562,0)</f>
        <v>0</v>
      </c>
      <c r="BJ2562" s="23" t="s">
        <v>85</v>
      </c>
      <c r="BK2562" s="104">
        <f>ROUND(I2562*H2562,2)</f>
        <v>71999.66</v>
      </c>
      <c r="BL2562" s="23" t="s">
        <v>446</v>
      </c>
      <c r="BM2562" s="101" t="s">
        <v>3728</v>
      </c>
    </row>
    <row r="2563" spans="2:65" s="136" customFormat="1">
      <c r="B2563" s="138"/>
      <c r="D2563" s="105" t="s">
        <v>365</v>
      </c>
      <c r="E2563" s="139" t="s">
        <v>1</v>
      </c>
      <c r="F2563" s="140" t="s">
        <v>3729</v>
      </c>
      <c r="H2563" s="139" t="s">
        <v>1</v>
      </c>
      <c r="I2563" s="146"/>
      <c r="L2563" s="138"/>
      <c r="M2563" s="147"/>
      <c r="T2563" s="150"/>
      <c r="AT2563" s="139" t="s">
        <v>365</v>
      </c>
      <c r="AU2563" s="139" t="s">
        <v>87</v>
      </c>
      <c r="AV2563" s="136" t="s">
        <v>85</v>
      </c>
      <c r="AW2563" s="136" t="s">
        <v>33</v>
      </c>
      <c r="AX2563" s="136" t="s">
        <v>77</v>
      </c>
      <c r="AY2563" s="139" t="s">
        <v>211</v>
      </c>
    </row>
    <row r="2564" spans="2:65" s="113" customFormat="1">
      <c r="B2564" s="119"/>
      <c r="D2564" s="105" t="s">
        <v>365</v>
      </c>
      <c r="E2564" s="135" t="s">
        <v>1</v>
      </c>
      <c r="F2564" s="120" t="s">
        <v>3730</v>
      </c>
      <c r="H2564" s="121">
        <v>51.030999999999999</v>
      </c>
      <c r="I2564" s="128"/>
      <c r="L2564" s="119"/>
      <c r="M2564" s="129"/>
      <c r="T2564" s="133"/>
      <c r="AT2564" s="135" t="s">
        <v>365</v>
      </c>
      <c r="AU2564" s="135" t="s">
        <v>87</v>
      </c>
      <c r="AV2564" s="113" t="s">
        <v>87</v>
      </c>
      <c r="AW2564" s="113" t="s">
        <v>33</v>
      </c>
      <c r="AX2564" s="113" t="s">
        <v>77</v>
      </c>
      <c r="AY2564" s="135" t="s">
        <v>211</v>
      </c>
    </row>
    <row r="2565" spans="2:65" s="113" customFormat="1">
      <c r="B2565" s="119"/>
      <c r="D2565" s="105" t="s">
        <v>365</v>
      </c>
      <c r="E2565" s="135" t="s">
        <v>1</v>
      </c>
      <c r="F2565" s="120" t="s">
        <v>3731</v>
      </c>
      <c r="H2565" s="121">
        <v>27.916</v>
      </c>
      <c r="I2565" s="128"/>
      <c r="L2565" s="119"/>
      <c r="M2565" s="129"/>
      <c r="T2565" s="133"/>
      <c r="AT2565" s="135" t="s">
        <v>365</v>
      </c>
      <c r="AU2565" s="135" t="s">
        <v>87</v>
      </c>
      <c r="AV2565" s="113" t="s">
        <v>87</v>
      </c>
      <c r="AW2565" s="113" t="s">
        <v>33</v>
      </c>
      <c r="AX2565" s="113" t="s">
        <v>77</v>
      </c>
      <c r="AY2565" s="135" t="s">
        <v>211</v>
      </c>
    </row>
    <row r="2566" spans="2:65" s="137" customFormat="1">
      <c r="B2566" s="141"/>
      <c r="D2566" s="105" t="s">
        <v>365</v>
      </c>
      <c r="E2566" s="142" t="s">
        <v>1</v>
      </c>
      <c r="F2566" s="143" t="s">
        <v>368</v>
      </c>
      <c r="H2566" s="144">
        <v>78.947000000000003</v>
      </c>
      <c r="I2566" s="148"/>
      <c r="L2566" s="141"/>
      <c r="M2566" s="149"/>
      <c r="T2566" s="151"/>
      <c r="AT2566" s="142" t="s">
        <v>365</v>
      </c>
      <c r="AU2566" s="142" t="s">
        <v>87</v>
      </c>
      <c r="AV2566" s="137" t="s">
        <v>218</v>
      </c>
      <c r="AW2566" s="137" t="s">
        <v>33</v>
      </c>
      <c r="AX2566" s="137" t="s">
        <v>85</v>
      </c>
      <c r="AY2566" s="142" t="s">
        <v>211</v>
      </c>
    </row>
    <row r="2567" spans="2:65" s="1" customFormat="1" ht="24.15" customHeight="1">
      <c r="B2567" s="12"/>
      <c r="C2567" s="114" t="s">
        <v>3732</v>
      </c>
      <c r="D2567" s="114" t="s">
        <v>438</v>
      </c>
      <c r="E2567" s="115" t="s">
        <v>3733</v>
      </c>
      <c r="F2567" s="116" t="s">
        <v>3734</v>
      </c>
      <c r="G2567" s="117" t="s">
        <v>279</v>
      </c>
      <c r="H2567" s="118">
        <v>82.894000000000005</v>
      </c>
      <c r="I2567" s="122">
        <v>3500</v>
      </c>
      <c r="J2567" s="123">
        <f>ROUND(I2567*H2567,2)</f>
        <v>290129</v>
      </c>
      <c r="K2567" s="124"/>
      <c r="L2567" s="125"/>
      <c r="M2567" s="126" t="s">
        <v>1</v>
      </c>
      <c r="N2567" s="127" t="s">
        <v>42</v>
      </c>
      <c r="P2567" s="95">
        <f>O2567*H2567</f>
        <v>0</v>
      </c>
      <c r="Q2567" s="95">
        <v>5.3999999999999999E-2</v>
      </c>
      <c r="R2567" s="95">
        <f>Q2567*H2567</f>
        <v>4.4762760000000004</v>
      </c>
      <c r="S2567" s="95">
        <v>0</v>
      </c>
      <c r="T2567" s="99">
        <f>S2567*H2567</f>
        <v>0</v>
      </c>
      <c r="AR2567" s="101" t="s">
        <v>527</v>
      </c>
      <c r="AT2567" s="101" t="s">
        <v>438</v>
      </c>
      <c r="AU2567" s="101" t="s">
        <v>87</v>
      </c>
      <c r="AY2567" s="23" t="s">
        <v>211</v>
      </c>
      <c r="BE2567" s="104">
        <f>IF(N2567="základní",J2567,0)</f>
        <v>290129</v>
      </c>
      <c r="BF2567" s="104">
        <f>IF(N2567="snížená",J2567,0)</f>
        <v>0</v>
      </c>
      <c r="BG2567" s="104">
        <f>IF(N2567="zákl. přenesená",J2567,0)</f>
        <v>0</v>
      </c>
      <c r="BH2567" s="104">
        <f>IF(N2567="sníž. přenesená",J2567,0)</f>
        <v>0</v>
      </c>
      <c r="BI2567" s="104">
        <f>IF(N2567="nulová",J2567,0)</f>
        <v>0</v>
      </c>
      <c r="BJ2567" s="23" t="s">
        <v>85</v>
      </c>
      <c r="BK2567" s="104">
        <f>ROUND(I2567*H2567,2)</f>
        <v>290129</v>
      </c>
      <c r="BL2567" s="23" t="s">
        <v>446</v>
      </c>
      <c r="BM2567" s="101" t="s">
        <v>3735</v>
      </c>
    </row>
    <row r="2568" spans="2:65" s="113" customFormat="1">
      <c r="B2568" s="119"/>
      <c r="D2568" s="105" t="s">
        <v>365</v>
      </c>
      <c r="F2568" s="120" t="s">
        <v>3736</v>
      </c>
      <c r="H2568" s="121">
        <v>82.894000000000005</v>
      </c>
      <c r="I2568" s="128"/>
      <c r="L2568" s="119"/>
      <c r="M2568" s="129"/>
      <c r="T2568" s="133"/>
      <c r="AT2568" s="135" t="s">
        <v>365</v>
      </c>
      <c r="AU2568" s="135" t="s">
        <v>87</v>
      </c>
      <c r="AV2568" s="113" t="s">
        <v>87</v>
      </c>
      <c r="AW2568" s="113" t="s">
        <v>4</v>
      </c>
      <c r="AX2568" s="113" t="s">
        <v>85</v>
      </c>
      <c r="AY2568" s="135" t="s">
        <v>211</v>
      </c>
    </row>
    <row r="2569" spans="2:65" s="1" customFormat="1" ht="24.15" customHeight="1">
      <c r="B2569" s="12"/>
      <c r="C2569" s="71" t="s">
        <v>3737</v>
      </c>
      <c r="D2569" s="71" t="s">
        <v>214</v>
      </c>
      <c r="E2569" s="72" t="s">
        <v>3738</v>
      </c>
      <c r="F2569" s="73" t="s">
        <v>3739</v>
      </c>
      <c r="G2569" s="74" t="s">
        <v>2866</v>
      </c>
      <c r="H2569" s="163">
        <f>SUM(J2562:J2567)/100</f>
        <v>3621.2865999999999</v>
      </c>
      <c r="I2569" s="90">
        <v>3.99</v>
      </c>
      <c r="J2569" s="91">
        <f>ROUND(I2569*H2569,2)</f>
        <v>14448.93</v>
      </c>
      <c r="K2569" s="92"/>
      <c r="L2569" s="12"/>
      <c r="M2569" s="93" t="s">
        <v>1</v>
      </c>
      <c r="N2569" s="94" t="s">
        <v>42</v>
      </c>
      <c r="P2569" s="95">
        <f>O2569*H2569</f>
        <v>0</v>
      </c>
      <c r="Q2569" s="95">
        <v>0</v>
      </c>
      <c r="R2569" s="95">
        <f>Q2569*H2569</f>
        <v>0</v>
      </c>
      <c r="S2569" s="95">
        <v>0</v>
      </c>
      <c r="T2569" s="99">
        <f>S2569*H2569</f>
        <v>0</v>
      </c>
      <c r="AR2569" s="101" t="s">
        <v>446</v>
      </c>
      <c r="AT2569" s="101" t="s">
        <v>214</v>
      </c>
      <c r="AU2569" s="101" t="s">
        <v>87</v>
      </c>
      <c r="AY2569" s="23" t="s">
        <v>211</v>
      </c>
      <c r="BE2569" s="104">
        <f>IF(N2569="základní",J2569,0)</f>
        <v>14448.93</v>
      </c>
      <c r="BF2569" s="104">
        <f>IF(N2569="snížená",J2569,0)</f>
        <v>0</v>
      </c>
      <c r="BG2569" s="104">
        <f>IF(N2569="zákl. přenesená",J2569,0)</f>
        <v>0</v>
      </c>
      <c r="BH2569" s="104">
        <f>IF(N2569="sníž. přenesená",J2569,0)</f>
        <v>0</v>
      </c>
      <c r="BI2569" s="104">
        <f>IF(N2569="nulová",J2569,0)</f>
        <v>0</v>
      </c>
      <c r="BJ2569" s="23" t="s">
        <v>85</v>
      </c>
      <c r="BK2569" s="104">
        <f>ROUND(I2569*H2569,2)</f>
        <v>14448.93</v>
      </c>
      <c r="BL2569" s="23" t="s">
        <v>446</v>
      </c>
      <c r="BM2569" s="101" t="s">
        <v>3740</v>
      </c>
    </row>
    <row r="2570" spans="2:65" s="31" customFormat="1" ht="23.1" customHeight="1">
      <c r="B2570" s="67"/>
      <c r="D2570" s="68" t="s">
        <v>76</v>
      </c>
      <c r="E2570" s="70" t="s">
        <v>3741</v>
      </c>
      <c r="F2570" s="70" t="s">
        <v>3742</v>
      </c>
      <c r="I2570" s="85"/>
      <c r="J2570" s="89">
        <f>BK2570</f>
        <v>1065537.21</v>
      </c>
      <c r="L2570" s="67"/>
      <c r="M2570" s="87"/>
      <c r="P2570" s="88">
        <f>SUM(P2571:P2631)</f>
        <v>0</v>
      </c>
      <c r="R2570" s="88">
        <f>SUM(R2571:R2631)</f>
        <v>1.93491177</v>
      </c>
      <c r="T2570" s="98">
        <f>SUM(T2571:T2631)</f>
        <v>0</v>
      </c>
      <c r="AR2570" s="68" t="s">
        <v>87</v>
      </c>
      <c r="AT2570" s="100" t="s">
        <v>76</v>
      </c>
      <c r="AU2570" s="100" t="s">
        <v>85</v>
      </c>
      <c r="AY2570" s="68" t="s">
        <v>211</v>
      </c>
      <c r="BK2570" s="103">
        <f>SUM(BK2571:BK2631)</f>
        <v>1065537.21</v>
      </c>
    </row>
    <row r="2571" spans="2:65" s="1" customFormat="1" ht="24.15" customHeight="1">
      <c r="B2571" s="12"/>
      <c r="C2571" s="71" t="s">
        <v>3743</v>
      </c>
      <c r="D2571" s="71" t="s">
        <v>214</v>
      </c>
      <c r="E2571" s="72" t="s">
        <v>3744</v>
      </c>
      <c r="F2571" s="73" t="s">
        <v>3745</v>
      </c>
      <c r="G2571" s="74" t="s">
        <v>279</v>
      </c>
      <c r="H2571" s="75">
        <v>1923.16</v>
      </c>
      <c r="I2571" s="90">
        <v>100</v>
      </c>
      <c r="J2571" s="91">
        <f>ROUND(I2571*H2571,2)</f>
        <v>192316</v>
      </c>
      <c r="K2571" s="92"/>
      <c r="L2571" s="12"/>
      <c r="M2571" s="93" t="s">
        <v>1</v>
      </c>
      <c r="N2571" s="94" t="s">
        <v>42</v>
      </c>
      <c r="P2571" s="95">
        <f>O2571*H2571</f>
        <v>0</v>
      </c>
      <c r="Q2571" s="95">
        <v>0</v>
      </c>
      <c r="R2571" s="95">
        <f>Q2571*H2571</f>
        <v>0</v>
      </c>
      <c r="S2571" s="95">
        <v>0</v>
      </c>
      <c r="T2571" s="99">
        <f>S2571*H2571</f>
        <v>0</v>
      </c>
      <c r="AR2571" s="101" t="s">
        <v>446</v>
      </c>
      <c r="AT2571" s="101" t="s">
        <v>214</v>
      </c>
      <c r="AU2571" s="101" t="s">
        <v>87</v>
      </c>
      <c r="AY2571" s="23" t="s">
        <v>211</v>
      </c>
      <c r="BE2571" s="104">
        <f>IF(N2571="základní",J2571,0)</f>
        <v>192316</v>
      </c>
      <c r="BF2571" s="104">
        <f>IF(N2571="snížená",J2571,0)</f>
        <v>0</v>
      </c>
      <c r="BG2571" s="104">
        <f>IF(N2571="zákl. přenesená",J2571,0)</f>
        <v>0</v>
      </c>
      <c r="BH2571" s="104">
        <f>IF(N2571="sníž. přenesená",J2571,0)</f>
        <v>0</v>
      </c>
      <c r="BI2571" s="104">
        <f>IF(N2571="nulová",J2571,0)</f>
        <v>0</v>
      </c>
      <c r="BJ2571" s="23" t="s">
        <v>85</v>
      </c>
      <c r="BK2571" s="104">
        <f>ROUND(I2571*H2571,2)</f>
        <v>192316</v>
      </c>
      <c r="BL2571" s="23" t="s">
        <v>446</v>
      </c>
      <c r="BM2571" s="101" t="s">
        <v>3746</v>
      </c>
    </row>
    <row r="2572" spans="2:65" s="113" customFormat="1">
      <c r="B2572" s="119"/>
      <c r="D2572" s="105" t="s">
        <v>365</v>
      </c>
      <c r="E2572" s="135" t="s">
        <v>1</v>
      </c>
      <c r="F2572" s="120" t="s">
        <v>3747</v>
      </c>
      <c r="H2572" s="121">
        <v>456.72</v>
      </c>
      <c r="I2572" s="128"/>
      <c r="L2572" s="119"/>
      <c r="M2572" s="129"/>
      <c r="T2572" s="133"/>
      <c r="AT2572" s="135" t="s">
        <v>365</v>
      </c>
      <c r="AU2572" s="135" t="s">
        <v>87</v>
      </c>
      <c r="AV2572" s="113" t="s">
        <v>87</v>
      </c>
      <c r="AW2572" s="113" t="s">
        <v>33</v>
      </c>
      <c r="AX2572" s="113" t="s">
        <v>77</v>
      </c>
      <c r="AY2572" s="135" t="s">
        <v>211</v>
      </c>
    </row>
    <row r="2573" spans="2:65" s="113" customFormat="1">
      <c r="B2573" s="119"/>
      <c r="D2573" s="105" t="s">
        <v>365</v>
      </c>
      <c r="E2573" s="135" t="s">
        <v>1</v>
      </c>
      <c r="F2573" s="120" t="s">
        <v>3748</v>
      </c>
      <c r="H2573" s="121">
        <v>570.86</v>
      </c>
      <c r="I2573" s="128"/>
      <c r="L2573" s="119"/>
      <c r="M2573" s="129"/>
      <c r="T2573" s="133"/>
      <c r="AT2573" s="135" t="s">
        <v>365</v>
      </c>
      <c r="AU2573" s="135" t="s">
        <v>87</v>
      </c>
      <c r="AV2573" s="113" t="s">
        <v>87</v>
      </c>
      <c r="AW2573" s="113" t="s">
        <v>33</v>
      </c>
      <c r="AX2573" s="113" t="s">
        <v>77</v>
      </c>
      <c r="AY2573" s="135" t="s">
        <v>211</v>
      </c>
    </row>
    <row r="2574" spans="2:65" s="113" customFormat="1">
      <c r="B2574" s="119"/>
      <c r="D2574" s="105" t="s">
        <v>365</v>
      </c>
      <c r="E2574" s="135" t="s">
        <v>1</v>
      </c>
      <c r="F2574" s="120" t="s">
        <v>3749</v>
      </c>
      <c r="H2574" s="121">
        <v>354.85</v>
      </c>
      <c r="I2574" s="128"/>
      <c r="L2574" s="119"/>
      <c r="M2574" s="129"/>
      <c r="T2574" s="133"/>
      <c r="AT2574" s="135" t="s">
        <v>365</v>
      </c>
      <c r="AU2574" s="135" t="s">
        <v>87</v>
      </c>
      <c r="AV2574" s="113" t="s">
        <v>87</v>
      </c>
      <c r="AW2574" s="113" t="s">
        <v>33</v>
      </c>
      <c r="AX2574" s="113" t="s">
        <v>77</v>
      </c>
      <c r="AY2574" s="135" t="s">
        <v>211</v>
      </c>
    </row>
    <row r="2575" spans="2:65" s="113" customFormat="1">
      <c r="B2575" s="119"/>
      <c r="D2575" s="105" t="s">
        <v>365</v>
      </c>
      <c r="E2575" s="135" t="s">
        <v>1</v>
      </c>
      <c r="F2575" s="120" t="s">
        <v>3750</v>
      </c>
      <c r="H2575" s="121">
        <v>540.73</v>
      </c>
      <c r="I2575" s="128"/>
      <c r="L2575" s="119"/>
      <c r="M2575" s="129"/>
      <c r="T2575" s="133"/>
      <c r="AT2575" s="135" t="s">
        <v>365</v>
      </c>
      <c r="AU2575" s="135" t="s">
        <v>87</v>
      </c>
      <c r="AV2575" s="113" t="s">
        <v>87</v>
      </c>
      <c r="AW2575" s="113" t="s">
        <v>33</v>
      </c>
      <c r="AX2575" s="113" t="s">
        <v>77</v>
      </c>
      <c r="AY2575" s="135" t="s">
        <v>211</v>
      </c>
    </row>
    <row r="2576" spans="2:65" s="137" customFormat="1">
      <c r="B2576" s="141"/>
      <c r="D2576" s="105" t="s">
        <v>365</v>
      </c>
      <c r="E2576" s="142" t="s">
        <v>1</v>
      </c>
      <c r="F2576" s="143" t="s">
        <v>368</v>
      </c>
      <c r="H2576" s="144">
        <v>1923.16</v>
      </c>
      <c r="I2576" s="148"/>
      <c r="L2576" s="141"/>
      <c r="M2576" s="149"/>
      <c r="T2576" s="151"/>
      <c r="AT2576" s="142" t="s">
        <v>365</v>
      </c>
      <c r="AU2576" s="142" t="s">
        <v>87</v>
      </c>
      <c r="AV2576" s="137" t="s">
        <v>218</v>
      </c>
      <c r="AW2576" s="137" t="s">
        <v>33</v>
      </c>
      <c r="AX2576" s="137" t="s">
        <v>85</v>
      </c>
      <c r="AY2576" s="142" t="s">
        <v>211</v>
      </c>
    </row>
    <row r="2577" spans="2:65" s="1" customFormat="1" ht="49.35" customHeight="1">
      <c r="B2577" s="12"/>
      <c r="C2577" s="71" t="s">
        <v>3751</v>
      </c>
      <c r="D2577" s="71" t="s">
        <v>214</v>
      </c>
      <c r="E2577" s="72" t="s">
        <v>3752</v>
      </c>
      <c r="F2577" s="73" t="s">
        <v>3753</v>
      </c>
      <c r="G2577" s="74" t="s">
        <v>279</v>
      </c>
      <c r="H2577" s="75">
        <v>2018.8710000000001</v>
      </c>
      <c r="I2577" s="90">
        <v>75</v>
      </c>
      <c r="J2577" s="91">
        <f>ROUND(I2577*H2577,2)</f>
        <v>151415.32999999999</v>
      </c>
      <c r="K2577" s="92"/>
      <c r="L2577" s="12"/>
      <c r="M2577" s="93" t="s">
        <v>1</v>
      </c>
      <c r="N2577" s="94" t="s">
        <v>42</v>
      </c>
      <c r="P2577" s="95">
        <f>O2577*H2577</f>
        <v>0</v>
      </c>
      <c r="Q2577" s="95">
        <v>2.7E-4</v>
      </c>
      <c r="R2577" s="95">
        <f>Q2577*H2577</f>
        <v>0.54509516999999996</v>
      </c>
      <c r="S2577" s="95">
        <v>0</v>
      </c>
      <c r="T2577" s="99">
        <f>S2577*H2577</f>
        <v>0</v>
      </c>
      <c r="AR2577" s="101" t="s">
        <v>446</v>
      </c>
      <c r="AT2577" s="101" t="s">
        <v>214</v>
      </c>
      <c r="AU2577" s="101" t="s">
        <v>87</v>
      </c>
      <c r="AY2577" s="23" t="s">
        <v>211</v>
      </c>
      <c r="BE2577" s="104">
        <f>IF(N2577="základní",J2577,0)</f>
        <v>151415.32999999999</v>
      </c>
      <c r="BF2577" s="104">
        <f>IF(N2577="snížená",J2577,0)</f>
        <v>0</v>
      </c>
      <c r="BG2577" s="104">
        <f>IF(N2577="zákl. přenesená",J2577,0)</f>
        <v>0</v>
      </c>
      <c r="BH2577" s="104">
        <f>IF(N2577="sníž. přenesená",J2577,0)</f>
        <v>0</v>
      </c>
      <c r="BI2577" s="104">
        <f>IF(N2577="nulová",J2577,0)</f>
        <v>0</v>
      </c>
      <c r="BJ2577" s="23" t="s">
        <v>85</v>
      </c>
      <c r="BK2577" s="104">
        <f>ROUND(I2577*H2577,2)</f>
        <v>151415.32999999999</v>
      </c>
      <c r="BL2577" s="23" t="s">
        <v>446</v>
      </c>
      <c r="BM2577" s="101" t="s">
        <v>3754</v>
      </c>
    </row>
    <row r="2578" spans="2:65" s="136" customFormat="1">
      <c r="B2578" s="138"/>
      <c r="D2578" s="105" t="s">
        <v>365</v>
      </c>
      <c r="E2578" s="139" t="s">
        <v>1</v>
      </c>
      <c r="F2578" s="140" t="s">
        <v>3755</v>
      </c>
      <c r="H2578" s="139" t="s">
        <v>1</v>
      </c>
      <c r="I2578" s="146"/>
      <c r="L2578" s="138"/>
      <c r="M2578" s="147"/>
      <c r="T2578" s="150"/>
      <c r="AT2578" s="139" t="s">
        <v>365</v>
      </c>
      <c r="AU2578" s="139" t="s">
        <v>87</v>
      </c>
      <c r="AV2578" s="136" t="s">
        <v>85</v>
      </c>
      <c r="AW2578" s="136" t="s">
        <v>33</v>
      </c>
      <c r="AX2578" s="136" t="s">
        <v>77</v>
      </c>
      <c r="AY2578" s="139" t="s">
        <v>211</v>
      </c>
    </row>
    <row r="2579" spans="2:65" s="136" customFormat="1">
      <c r="B2579" s="138"/>
      <c r="D2579" s="105" t="s">
        <v>365</v>
      </c>
      <c r="E2579" s="139" t="s">
        <v>1</v>
      </c>
      <c r="F2579" s="140" t="s">
        <v>3756</v>
      </c>
      <c r="H2579" s="139" t="s">
        <v>1</v>
      </c>
      <c r="I2579" s="146"/>
      <c r="L2579" s="138"/>
      <c r="M2579" s="147"/>
      <c r="T2579" s="150"/>
      <c r="AT2579" s="139" t="s">
        <v>365</v>
      </c>
      <c r="AU2579" s="139" t="s">
        <v>87</v>
      </c>
      <c r="AV2579" s="136" t="s">
        <v>85</v>
      </c>
      <c r="AW2579" s="136" t="s">
        <v>33</v>
      </c>
      <c r="AX2579" s="136" t="s">
        <v>77</v>
      </c>
      <c r="AY2579" s="139" t="s">
        <v>211</v>
      </c>
    </row>
    <row r="2580" spans="2:65" s="113" customFormat="1">
      <c r="B2580" s="119"/>
      <c r="D2580" s="105" t="s">
        <v>365</v>
      </c>
      <c r="E2580" s="135" t="s">
        <v>1</v>
      </c>
      <c r="F2580" s="120" t="s">
        <v>3593</v>
      </c>
      <c r="H2580" s="121">
        <v>170.41</v>
      </c>
      <c r="I2580" s="128"/>
      <c r="L2580" s="119"/>
      <c r="M2580" s="129"/>
      <c r="T2580" s="133"/>
      <c r="AT2580" s="135" t="s">
        <v>365</v>
      </c>
      <c r="AU2580" s="135" t="s">
        <v>87</v>
      </c>
      <c r="AV2580" s="113" t="s">
        <v>87</v>
      </c>
      <c r="AW2580" s="113" t="s">
        <v>33</v>
      </c>
      <c r="AX2580" s="113" t="s">
        <v>77</v>
      </c>
      <c r="AY2580" s="135" t="s">
        <v>211</v>
      </c>
    </row>
    <row r="2581" spans="2:65" s="154" customFormat="1">
      <c r="B2581" s="156"/>
      <c r="D2581" s="105" t="s">
        <v>365</v>
      </c>
      <c r="E2581" s="157" t="s">
        <v>1</v>
      </c>
      <c r="F2581" s="158" t="s">
        <v>741</v>
      </c>
      <c r="H2581" s="159">
        <v>170.41</v>
      </c>
      <c r="I2581" s="160"/>
      <c r="L2581" s="156"/>
      <c r="M2581" s="161"/>
      <c r="T2581" s="162"/>
      <c r="AT2581" s="157" t="s">
        <v>365</v>
      </c>
      <c r="AU2581" s="157" t="s">
        <v>87</v>
      </c>
      <c r="AV2581" s="154" t="s">
        <v>137</v>
      </c>
      <c r="AW2581" s="154" t="s">
        <v>33</v>
      </c>
      <c r="AX2581" s="154" t="s">
        <v>77</v>
      </c>
      <c r="AY2581" s="157" t="s">
        <v>211</v>
      </c>
    </row>
    <row r="2582" spans="2:65" s="136" customFormat="1">
      <c r="B2582" s="138"/>
      <c r="D2582" s="105" t="s">
        <v>365</v>
      </c>
      <c r="E2582" s="139" t="s">
        <v>1</v>
      </c>
      <c r="F2582" s="140" t="s">
        <v>3757</v>
      </c>
      <c r="H2582" s="139" t="s">
        <v>1</v>
      </c>
      <c r="I2582" s="146"/>
      <c r="L2582" s="138"/>
      <c r="M2582" s="147"/>
      <c r="T2582" s="150"/>
      <c r="AT2582" s="139" t="s">
        <v>365</v>
      </c>
      <c r="AU2582" s="139" t="s">
        <v>87</v>
      </c>
      <c r="AV2582" s="136" t="s">
        <v>85</v>
      </c>
      <c r="AW2582" s="136" t="s">
        <v>33</v>
      </c>
      <c r="AX2582" s="136" t="s">
        <v>77</v>
      </c>
      <c r="AY2582" s="139" t="s">
        <v>211</v>
      </c>
    </row>
    <row r="2583" spans="2:65" s="136" customFormat="1">
      <c r="B2583" s="138"/>
      <c r="D2583" s="105" t="s">
        <v>365</v>
      </c>
      <c r="E2583" s="139" t="s">
        <v>1</v>
      </c>
      <c r="F2583" s="140" t="s">
        <v>3758</v>
      </c>
      <c r="H2583" s="139" t="s">
        <v>1</v>
      </c>
      <c r="I2583" s="146"/>
      <c r="L2583" s="138"/>
      <c r="M2583" s="147"/>
      <c r="T2583" s="150"/>
      <c r="AT2583" s="139" t="s">
        <v>365</v>
      </c>
      <c r="AU2583" s="139" t="s">
        <v>87</v>
      </c>
      <c r="AV2583" s="136" t="s">
        <v>85</v>
      </c>
      <c r="AW2583" s="136" t="s">
        <v>33</v>
      </c>
      <c r="AX2583" s="136" t="s">
        <v>77</v>
      </c>
      <c r="AY2583" s="139" t="s">
        <v>211</v>
      </c>
    </row>
    <row r="2584" spans="2:65" s="113" customFormat="1">
      <c r="B2584" s="119"/>
      <c r="D2584" s="105" t="s">
        <v>365</v>
      </c>
      <c r="E2584" s="135" t="s">
        <v>1</v>
      </c>
      <c r="F2584" s="120" t="s">
        <v>3759</v>
      </c>
      <c r="H2584" s="121">
        <v>87.44</v>
      </c>
      <c r="I2584" s="128"/>
      <c r="L2584" s="119"/>
      <c r="M2584" s="129"/>
      <c r="T2584" s="133"/>
      <c r="AT2584" s="135" t="s">
        <v>365</v>
      </c>
      <c r="AU2584" s="135" t="s">
        <v>87</v>
      </c>
      <c r="AV2584" s="113" t="s">
        <v>87</v>
      </c>
      <c r="AW2584" s="113" t="s">
        <v>33</v>
      </c>
      <c r="AX2584" s="113" t="s">
        <v>77</v>
      </c>
      <c r="AY2584" s="135" t="s">
        <v>211</v>
      </c>
    </row>
    <row r="2585" spans="2:65" s="136" customFormat="1">
      <c r="B2585" s="138"/>
      <c r="D2585" s="105" t="s">
        <v>365</v>
      </c>
      <c r="E2585" s="139" t="s">
        <v>1</v>
      </c>
      <c r="F2585" s="140" t="s">
        <v>3760</v>
      </c>
      <c r="H2585" s="139" t="s">
        <v>1</v>
      </c>
      <c r="I2585" s="146"/>
      <c r="L2585" s="138"/>
      <c r="M2585" s="147"/>
      <c r="T2585" s="150"/>
      <c r="AT2585" s="139" t="s">
        <v>365</v>
      </c>
      <c r="AU2585" s="139" t="s">
        <v>87</v>
      </c>
      <c r="AV2585" s="136" t="s">
        <v>85</v>
      </c>
      <c r="AW2585" s="136" t="s">
        <v>33</v>
      </c>
      <c r="AX2585" s="136" t="s">
        <v>77</v>
      </c>
      <c r="AY2585" s="139" t="s">
        <v>211</v>
      </c>
    </row>
    <row r="2586" spans="2:65" s="113" customFormat="1">
      <c r="B2586" s="119"/>
      <c r="D2586" s="105" t="s">
        <v>365</v>
      </c>
      <c r="E2586" s="135" t="s">
        <v>1</v>
      </c>
      <c r="F2586" s="120" t="s">
        <v>3761</v>
      </c>
      <c r="H2586" s="121">
        <v>423.9</v>
      </c>
      <c r="I2586" s="128"/>
      <c r="L2586" s="119"/>
      <c r="M2586" s="129"/>
      <c r="T2586" s="133"/>
      <c r="AT2586" s="135" t="s">
        <v>365</v>
      </c>
      <c r="AU2586" s="135" t="s">
        <v>87</v>
      </c>
      <c r="AV2586" s="113" t="s">
        <v>87</v>
      </c>
      <c r="AW2586" s="113" t="s">
        <v>33</v>
      </c>
      <c r="AX2586" s="113" t="s">
        <v>77</v>
      </c>
      <c r="AY2586" s="135" t="s">
        <v>211</v>
      </c>
    </row>
    <row r="2587" spans="2:65" s="136" customFormat="1">
      <c r="B2587" s="138"/>
      <c r="D2587" s="105" t="s">
        <v>365</v>
      </c>
      <c r="E2587" s="139" t="s">
        <v>1</v>
      </c>
      <c r="F2587" s="140" t="s">
        <v>3762</v>
      </c>
      <c r="H2587" s="139" t="s">
        <v>1</v>
      </c>
      <c r="I2587" s="146"/>
      <c r="L2587" s="138"/>
      <c r="M2587" s="147"/>
      <c r="T2587" s="150"/>
      <c r="AT2587" s="139" t="s">
        <v>365</v>
      </c>
      <c r="AU2587" s="139" t="s">
        <v>87</v>
      </c>
      <c r="AV2587" s="136" t="s">
        <v>85</v>
      </c>
      <c r="AW2587" s="136" t="s">
        <v>33</v>
      </c>
      <c r="AX2587" s="136" t="s">
        <v>77</v>
      </c>
      <c r="AY2587" s="139" t="s">
        <v>211</v>
      </c>
    </row>
    <row r="2588" spans="2:65" s="113" customFormat="1">
      <c r="B2588" s="119"/>
      <c r="D2588" s="105" t="s">
        <v>365</v>
      </c>
      <c r="E2588" s="135" t="s">
        <v>1</v>
      </c>
      <c r="F2588" s="120" t="s">
        <v>3763</v>
      </c>
      <c r="H2588" s="121">
        <v>641.84</v>
      </c>
      <c r="I2588" s="128"/>
      <c r="L2588" s="119"/>
      <c r="M2588" s="129"/>
      <c r="T2588" s="133"/>
      <c r="AT2588" s="135" t="s">
        <v>365</v>
      </c>
      <c r="AU2588" s="135" t="s">
        <v>87</v>
      </c>
      <c r="AV2588" s="113" t="s">
        <v>87</v>
      </c>
      <c r="AW2588" s="113" t="s">
        <v>33</v>
      </c>
      <c r="AX2588" s="113" t="s">
        <v>77</v>
      </c>
      <c r="AY2588" s="135" t="s">
        <v>211</v>
      </c>
    </row>
    <row r="2589" spans="2:65" s="136" customFormat="1">
      <c r="B2589" s="138"/>
      <c r="D2589" s="105" t="s">
        <v>365</v>
      </c>
      <c r="E2589" s="139" t="s">
        <v>1</v>
      </c>
      <c r="F2589" s="140" t="s">
        <v>3764</v>
      </c>
      <c r="H2589" s="139" t="s">
        <v>1</v>
      </c>
      <c r="I2589" s="146"/>
      <c r="L2589" s="138"/>
      <c r="M2589" s="147"/>
      <c r="T2589" s="150"/>
      <c r="AT2589" s="139" t="s">
        <v>365</v>
      </c>
      <c r="AU2589" s="139" t="s">
        <v>87</v>
      </c>
      <c r="AV2589" s="136" t="s">
        <v>85</v>
      </c>
      <c r="AW2589" s="136" t="s">
        <v>33</v>
      </c>
      <c r="AX2589" s="136" t="s">
        <v>77</v>
      </c>
      <c r="AY2589" s="139" t="s">
        <v>211</v>
      </c>
    </row>
    <row r="2590" spans="2:65" s="113" customFormat="1">
      <c r="B2590" s="119"/>
      <c r="D2590" s="105" t="s">
        <v>365</v>
      </c>
      <c r="E2590" s="135" t="s">
        <v>1</v>
      </c>
      <c r="F2590" s="120" t="s">
        <v>3765</v>
      </c>
      <c r="H2590" s="121">
        <v>68.8</v>
      </c>
      <c r="I2590" s="128"/>
      <c r="L2590" s="119"/>
      <c r="M2590" s="129"/>
      <c r="T2590" s="133"/>
      <c r="AT2590" s="135" t="s">
        <v>365</v>
      </c>
      <c r="AU2590" s="135" t="s">
        <v>87</v>
      </c>
      <c r="AV2590" s="113" t="s">
        <v>87</v>
      </c>
      <c r="AW2590" s="113" t="s">
        <v>33</v>
      </c>
      <c r="AX2590" s="113" t="s">
        <v>77</v>
      </c>
      <c r="AY2590" s="135" t="s">
        <v>211</v>
      </c>
    </row>
    <row r="2591" spans="2:65" s="154" customFormat="1">
      <c r="B2591" s="156"/>
      <c r="D2591" s="105" t="s">
        <v>365</v>
      </c>
      <c r="E2591" s="157" t="s">
        <v>1</v>
      </c>
      <c r="F2591" s="158" t="s">
        <v>741</v>
      </c>
      <c r="H2591" s="159">
        <v>1221.98</v>
      </c>
      <c r="I2591" s="160"/>
      <c r="L2591" s="156"/>
      <c r="M2591" s="161"/>
      <c r="T2591" s="162"/>
      <c r="AT2591" s="157" t="s">
        <v>365</v>
      </c>
      <c r="AU2591" s="157" t="s">
        <v>87</v>
      </c>
      <c r="AV2591" s="154" t="s">
        <v>137</v>
      </c>
      <c r="AW2591" s="154" t="s">
        <v>33</v>
      </c>
      <c r="AX2591" s="154" t="s">
        <v>77</v>
      </c>
      <c r="AY2591" s="157" t="s">
        <v>211</v>
      </c>
    </row>
    <row r="2592" spans="2:65" s="136" customFormat="1">
      <c r="B2592" s="138"/>
      <c r="D2592" s="105" t="s">
        <v>365</v>
      </c>
      <c r="E2592" s="139" t="s">
        <v>1</v>
      </c>
      <c r="F2592" s="140" t="s">
        <v>3766</v>
      </c>
      <c r="H2592" s="139" t="s">
        <v>1</v>
      </c>
      <c r="I2592" s="146"/>
      <c r="L2592" s="138"/>
      <c r="M2592" s="147"/>
      <c r="T2592" s="150"/>
      <c r="AT2592" s="139" t="s">
        <v>365</v>
      </c>
      <c r="AU2592" s="139" t="s">
        <v>87</v>
      </c>
      <c r="AV2592" s="136" t="s">
        <v>85</v>
      </c>
      <c r="AW2592" s="136" t="s">
        <v>33</v>
      </c>
      <c r="AX2592" s="136" t="s">
        <v>77</v>
      </c>
      <c r="AY2592" s="139" t="s">
        <v>211</v>
      </c>
    </row>
    <row r="2593" spans="2:65" s="136" customFormat="1">
      <c r="B2593" s="138"/>
      <c r="D2593" s="105" t="s">
        <v>365</v>
      </c>
      <c r="E2593" s="139" t="s">
        <v>1</v>
      </c>
      <c r="F2593" s="140" t="s">
        <v>3767</v>
      </c>
      <c r="H2593" s="139" t="s">
        <v>1</v>
      </c>
      <c r="I2593" s="146"/>
      <c r="L2593" s="138"/>
      <c r="M2593" s="147"/>
      <c r="T2593" s="150"/>
      <c r="AT2593" s="139" t="s">
        <v>365</v>
      </c>
      <c r="AU2593" s="139" t="s">
        <v>87</v>
      </c>
      <c r="AV2593" s="136" t="s">
        <v>85</v>
      </c>
      <c r="AW2593" s="136" t="s">
        <v>33</v>
      </c>
      <c r="AX2593" s="136" t="s">
        <v>77</v>
      </c>
      <c r="AY2593" s="139" t="s">
        <v>211</v>
      </c>
    </row>
    <row r="2594" spans="2:65" s="113" customFormat="1">
      <c r="B2594" s="119"/>
      <c r="D2594" s="105" t="s">
        <v>365</v>
      </c>
      <c r="E2594" s="135" t="s">
        <v>1</v>
      </c>
      <c r="F2594" s="120" t="s">
        <v>3768</v>
      </c>
      <c r="H2594" s="121">
        <v>251.80199999999999</v>
      </c>
      <c r="I2594" s="128"/>
      <c r="L2594" s="119"/>
      <c r="M2594" s="129"/>
      <c r="T2594" s="133"/>
      <c r="AT2594" s="135" t="s">
        <v>365</v>
      </c>
      <c r="AU2594" s="135" t="s">
        <v>87</v>
      </c>
      <c r="AV2594" s="113" t="s">
        <v>87</v>
      </c>
      <c r="AW2594" s="113" t="s">
        <v>33</v>
      </c>
      <c r="AX2594" s="113" t="s">
        <v>77</v>
      </c>
      <c r="AY2594" s="135" t="s">
        <v>211</v>
      </c>
    </row>
    <row r="2595" spans="2:65" s="136" customFormat="1">
      <c r="B2595" s="138"/>
      <c r="D2595" s="105" t="s">
        <v>365</v>
      </c>
      <c r="E2595" s="139" t="s">
        <v>1</v>
      </c>
      <c r="F2595" s="140" t="s">
        <v>3769</v>
      </c>
      <c r="H2595" s="139" t="s">
        <v>1</v>
      </c>
      <c r="I2595" s="146"/>
      <c r="L2595" s="138"/>
      <c r="M2595" s="147"/>
      <c r="T2595" s="150"/>
      <c r="AT2595" s="139" t="s">
        <v>365</v>
      </c>
      <c r="AU2595" s="139" t="s">
        <v>87</v>
      </c>
      <c r="AV2595" s="136" t="s">
        <v>85</v>
      </c>
      <c r="AW2595" s="136" t="s">
        <v>33</v>
      </c>
      <c r="AX2595" s="136" t="s">
        <v>77</v>
      </c>
      <c r="AY2595" s="139" t="s">
        <v>211</v>
      </c>
    </row>
    <row r="2596" spans="2:65" s="113" customFormat="1">
      <c r="B2596" s="119"/>
      <c r="D2596" s="105" t="s">
        <v>365</v>
      </c>
      <c r="E2596" s="135" t="s">
        <v>1</v>
      </c>
      <c r="F2596" s="120" t="s">
        <v>3770</v>
      </c>
      <c r="H2596" s="121">
        <v>305.55900000000003</v>
      </c>
      <c r="I2596" s="128"/>
      <c r="L2596" s="119"/>
      <c r="M2596" s="129"/>
      <c r="T2596" s="133"/>
      <c r="AT2596" s="135" t="s">
        <v>365</v>
      </c>
      <c r="AU2596" s="135" t="s">
        <v>87</v>
      </c>
      <c r="AV2596" s="113" t="s">
        <v>87</v>
      </c>
      <c r="AW2596" s="113" t="s">
        <v>33</v>
      </c>
      <c r="AX2596" s="113" t="s">
        <v>77</v>
      </c>
      <c r="AY2596" s="135" t="s">
        <v>211</v>
      </c>
    </row>
    <row r="2597" spans="2:65" s="136" customFormat="1">
      <c r="B2597" s="138"/>
      <c r="D2597" s="105" t="s">
        <v>365</v>
      </c>
      <c r="E2597" s="139" t="s">
        <v>1</v>
      </c>
      <c r="F2597" s="140" t="s">
        <v>3764</v>
      </c>
      <c r="H2597" s="139" t="s">
        <v>1</v>
      </c>
      <c r="I2597" s="146"/>
      <c r="L2597" s="138"/>
      <c r="M2597" s="147"/>
      <c r="T2597" s="150"/>
      <c r="AT2597" s="139" t="s">
        <v>365</v>
      </c>
      <c r="AU2597" s="139" t="s">
        <v>87</v>
      </c>
      <c r="AV2597" s="136" t="s">
        <v>85</v>
      </c>
      <c r="AW2597" s="136" t="s">
        <v>33</v>
      </c>
      <c r="AX2597" s="136" t="s">
        <v>77</v>
      </c>
      <c r="AY2597" s="139" t="s">
        <v>211</v>
      </c>
    </row>
    <row r="2598" spans="2:65" s="113" customFormat="1">
      <c r="B2598" s="119"/>
      <c r="D2598" s="105" t="s">
        <v>365</v>
      </c>
      <c r="E2598" s="135" t="s">
        <v>1</v>
      </c>
      <c r="F2598" s="120" t="s">
        <v>3771</v>
      </c>
      <c r="H2598" s="121">
        <v>69.12</v>
      </c>
      <c r="I2598" s="128"/>
      <c r="L2598" s="119"/>
      <c r="M2598" s="129"/>
      <c r="T2598" s="133"/>
      <c r="AT2598" s="135" t="s">
        <v>365</v>
      </c>
      <c r="AU2598" s="135" t="s">
        <v>87</v>
      </c>
      <c r="AV2598" s="113" t="s">
        <v>87</v>
      </c>
      <c r="AW2598" s="113" t="s">
        <v>33</v>
      </c>
      <c r="AX2598" s="113" t="s">
        <v>77</v>
      </c>
      <c r="AY2598" s="135" t="s">
        <v>211</v>
      </c>
    </row>
    <row r="2599" spans="2:65" s="154" customFormat="1">
      <c r="B2599" s="156"/>
      <c r="D2599" s="105" t="s">
        <v>365</v>
      </c>
      <c r="E2599" s="157" t="s">
        <v>1</v>
      </c>
      <c r="F2599" s="158" t="s">
        <v>741</v>
      </c>
      <c r="H2599" s="159">
        <v>626.48099999999999</v>
      </c>
      <c r="I2599" s="160"/>
      <c r="L2599" s="156"/>
      <c r="M2599" s="161"/>
      <c r="T2599" s="162"/>
      <c r="AT2599" s="157" t="s">
        <v>365</v>
      </c>
      <c r="AU2599" s="157" t="s">
        <v>87</v>
      </c>
      <c r="AV2599" s="154" t="s">
        <v>137</v>
      </c>
      <c r="AW2599" s="154" t="s">
        <v>33</v>
      </c>
      <c r="AX2599" s="154" t="s">
        <v>77</v>
      </c>
      <c r="AY2599" s="157" t="s">
        <v>211</v>
      </c>
    </row>
    <row r="2600" spans="2:65" s="137" customFormat="1">
      <c r="B2600" s="141"/>
      <c r="D2600" s="105" t="s">
        <v>365</v>
      </c>
      <c r="E2600" s="142" t="s">
        <v>1</v>
      </c>
      <c r="F2600" s="143" t="s">
        <v>368</v>
      </c>
      <c r="H2600" s="144">
        <v>2018.8710000000001</v>
      </c>
      <c r="I2600" s="148"/>
      <c r="L2600" s="141"/>
      <c r="M2600" s="149"/>
      <c r="T2600" s="151"/>
      <c r="AT2600" s="142" t="s">
        <v>365</v>
      </c>
      <c r="AU2600" s="142" t="s">
        <v>87</v>
      </c>
      <c r="AV2600" s="137" t="s">
        <v>218</v>
      </c>
      <c r="AW2600" s="137" t="s">
        <v>33</v>
      </c>
      <c r="AX2600" s="137" t="s">
        <v>85</v>
      </c>
      <c r="AY2600" s="142" t="s">
        <v>211</v>
      </c>
    </row>
    <row r="2601" spans="2:65" s="1" customFormat="1" ht="16.5" customHeight="1">
      <c r="B2601" s="12"/>
      <c r="C2601" s="71" t="s">
        <v>3772</v>
      </c>
      <c r="D2601" s="71" t="s">
        <v>214</v>
      </c>
      <c r="E2601" s="72" t="s">
        <v>3773</v>
      </c>
      <c r="F2601" s="73" t="s">
        <v>3774</v>
      </c>
      <c r="G2601" s="74" t="s">
        <v>279</v>
      </c>
      <c r="H2601" s="75">
        <v>722</v>
      </c>
      <c r="I2601" s="90">
        <v>240</v>
      </c>
      <c r="J2601" s="91">
        <f>ROUND(I2601*H2601,2)</f>
        <v>173280</v>
      </c>
      <c r="K2601" s="92"/>
      <c r="L2601" s="12"/>
      <c r="M2601" s="93" t="s">
        <v>1</v>
      </c>
      <c r="N2601" s="94" t="s">
        <v>42</v>
      </c>
      <c r="P2601" s="95">
        <f>O2601*H2601</f>
        <v>0</v>
      </c>
      <c r="Q2601" s="95">
        <v>5.0000000000000001E-4</v>
      </c>
      <c r="R2601" s="95">
        <f>Q2601*H2601</f>
        <v>0.36099999999999999</v>
      </c>
      <c r="S2601" s="95">
        <v>0</v>
      </c>
      <c r="T2601" s="99">
        <f>S2601*H2601</f>
        <v>0</v>
      </c>
      <c r="AR2601" s="101" t="s">
        <v>446</v>
      </c>
      <c r="AT2601" s="101" t="s">
        <v>214</v>
      </c>
      <c r="AU2601" s="101" t="s">
        <v>87</v>
      </c>
      <c r="AY2601" s="23" t="s">
        <v>211</v>
      </c>
      <c r="BE2601" s="104">
        <f>IF(N2601="základní",J2601,0)</f>
        <v>173280</v>
      </c>
      <c r="BF2601" s="104">
        <f>IF(N2601="snížená",J2601,0)</f>
        <v>0</v>
      </c>
      <c r="BG2601" s="104">
        <f>IF(N2601="zákl. přenesená",J2601,0)</f>
        <v>0</v>
      </c>
      <c r="BH2601" s="104">
        <f>IF(N2601="sníž. přenesená",J2601,0)</f>
        <v>0</v>
      </c>
      <c r="BI2601" s="104">
        <f>IF(N2601="nulová",J2601,0)</f>
        <v>0</v>
      </c>
      <c r="BJ2601" s="23" t="s">
        <v>85</v>
      </c>
      <c r="BK2601" s="104">
        <f>ROUND(I2601*H2601,2)</f>
        <v>173280</v>
      </c>
      <c r="BL2601" s="23" t="s">
        <v>446</v>
      </c>
      <c r="BM2601" s="101" t="s">
        <v>3775</v>
      </c>
    </row>
    <row r="2602" spans="2:65" s="1" customFormat="1" ht="48">
      <c r="B2602" s="12"/>
      <c r="D2602" s="105" t="s">
        <v>227</v>
      </c>
      <c r="F2602" s="106" t="s">
        <v>3776</v>
      </c>
      <c r="I2602" s="107"/>
      <c r="L2602" s="12"/>
      <c r="M2602" s="108"/>
      <c r="T2602" s="111"/>
      <c r="AT2602" s="23" t="s">
        <v>227</v>
      </c>
      <c r="AU2602" s="23" t="s">
        <v>87</v>
      </c>
    </row>
    <row r="2603" spans="2:65" s="136" customFormat="1">
      <c r="B2603" s="138"/>
      <c r="D2603" s="105" t="s">
        <v>365</v>
      </c>
      <c r="E2603" s="139" t="s">
        <v>1</v>
      </c>
      <c r="F2603" s="140" t="s">
        <v>3777</v>
      </c>
      <c r="H2603" s="139" t="s">
        <v>1</v>
      </c>
      <c r="I2603" s="146"/>
      <c r="L2603" s="138"/>
      <c r="M2603" s="147"/>
      <c r="T2603" s="150"/>
      <c r="AT2603" s="139" t="s">
        <v>365</v>
      </c>
      <c r="AU2603" s="139" t="s">
        <v>87</v>
      </c>
      <c r="AV2603" s="136" t="s">
        <v>85</v>
      </c>
      <c r="AW2603" s="136" t="s">
        <v>33</v>
      </c>
      <c r="AX2603" s="136" t="s">
        <v>77</v>
      </c>
      <c r="AY2603" s="139" t="s">
        <v>211</v>
      </c>
    </row>
    <row r="2604" spans="2:65" s="113" customFormat="1">
      <c r="B2604" s="119"/>
      <c r="D2604" s="105" t="s">
        <v>365</v>
      </c>
      <c r="E2604" s="135" t="s">
        <v>1</v>
      </c>
      <c r="F2604" s="120" t="s">
        <v>3778</v>
      </c>
      <c r="H2604" s="121">
        <v>144</v>
      </c>
      <c r="I2604" s="128"/>
      <c r="L2604" s="119"/>
      <c r="M2604" s="129"/>
      <c r="T2604" s="133"/>
      <c r="AT2604" s="135" t="s">
        <v>365</v>
      </c>
      <c r="AU2604" s="135" t="s">
        <v>87</v>
      </c>
      <c r="AV2604" s="113" t="s">
        <v>87</v>
      </c>
      <c r="AW2604" s="113" t="s">
        <v>33</v>
      </c>
      <c r="AX2604" s="113" t="s">
        <v>77</v>
      </c>
      <c r="AY2604" s="135" t="s">
        <v>211</v>
      </c>
    </row>
    <row r="2605" spans="2:65" s="113" customFormat="1">
      <c r="B2605" s="119"/>
      <c r="D2605" s="105" t="s">
        <v>365</v>
      </c>
      <c r="E2605" s="135" t="s">
        <v>1</v>
      </c>
      <c r="F2605" s="120" t="s">
        <v>3779</v>
      </c>
      <c r="H2605" s="121">
        <v>578</v>
      </c>
      <c r="I2605" s="128"/>
      <c r="L2605" s="119"/>
      <c r="M2605" s="129"/>
      <c r="T2605" s="133"/>
      <c r="AT2605" s="135" t="s">
        <v>365</v>
      </c>
      <c r="AU2605" s="135" t="s">
        <v>87</v>
      </c>
      <c r="AV2605" s="113" t="s">
        <v>87</v>
      </c>
      <c r="AW2605" s="113" t="s">
        <v>33</v>
      </c>
      <c r="AX2605" s="113" t="s">
        <v>77</v>
      </c>
      <c r="AY2605" s="135" t="s">
        <v>211</v>
      </c>
    </row>
    <row r="2606" spans="2:65" s="137" customFormat="1">
      <c r="B2606" s="141"/>
      <c r="D2606" s="105" t="s">
        <v>365</v>
      </c>
      <c r="E2606" s="142" t="s">
        <v>1</v>
      </c>
      <c r="F2606" s="143" t="s">
        <v>368</v>
      </c>
      <c r="H2606" s="144">
        <v>722</v>
      </c>
      <c r="I2606" s="148"/>
      <c r="L2606" s="141"/>
      <c r="M2606" s="149"/>
      <c r="T2606" s="151"/>
      <c r="AT2606" s="142" t="s">
        <v>365</v>
      </c>
      <c r="AU2606" s="142" t="s">
        <v>87</v>
      </c>
      <c r="AV2606" s="137" t="s">
        <v>218</v>
      </c>
      <c r="AW2606" s="137" t="s">
        <v>33</v>
      </c>
      <c r="AX2606" s="137" t="s">
        <v>85</v>
      </c>
      <c r="AY2606" s="142" t="s">
        <v>211</v>
      </c>
    </row>
    <row r="2607" spans="2:65" s="1" customFormat="1" ht="16.5" customHeight="1">
      <c r="B2607" s="12"/>
      <c r="C2607" s="71" t="s">
        <v>3780</v>
      </c>
      <c r="D2607" s="71" t="s">
        <v>214</v>
      </c>
      <c r="E2607" s="72" t="s">
        <v>3781</v>
      </c>
      <c r="F2607" s="73" t="s">
        <v>3782</v>
      </c>
      <c r="G2607" s="74" t="s">
        <v>279</v>
      </c>
      <c r="H2607" s="75">
        <v>722</v>
      </c>
      <c r="I2607" s="90">
        <v>80</v>
      </c>
      <c r="J2607" s="91">
        <f>ROUND(I2607*H2607,2)</f>
        <v>57760</v>
      </c>
      <c r="K2607" s="92"/>
      <c r="L2607" s="12"/>
      <c r="M2607" s="93" t="s">
        <v>1</v>
      </c>
      <c r="N2607" s="94" t="s">
        <v>42</v>
      </c>
      <c r="P2607" s="95">
        <f>O2607*H2607</f>
        <v>0</v>
      </c>
      <c r="Q2607" s="95">
        <v>5.0000000000000001E-4</v>
      </c>
      <c r="R2607" s="95">
        <f>Q2607*H2607</f>
        <v>0.36099999999999999</v>
      </c>
      <c r="S2607" s="95">
        <v>0</v>
      </c>
      <c r="T2607" s="99">
        <f>S2607*H2607</f>
        <v>0</v>
      </c>
      <c r="AR2607" s="101" t="s">
        <v>446</v>
      </c>
      <c r="AT2607" s="101" t="s">
        <v>214</v>
      </c>
      <c r="AU2607" s="101" t="s">
        <v>87</v>
      </c>
      <c r="AY2607" s="23" t="s">
        <v>211</v>
      </c>
      <c r="BE2607" s="104">
        <f>IF(N2607="základní",J2607,0)</f>
        <v>57760</v>
      </c>
      <c r="BF2607" s="104">
        <f>IF(N2607="snížená",J2607,0)</f>
        <v>0</v>
      </c>
      <c r="BG2607" s="104">
        <f>IF(N2607="zákl. přenesená",J2607,0)</f>
        <v>0</v>
      </c>
      <c r="BH2607" s="104">
        <f>IF(N2607="sníž. přenesená",J2607,0)</f>
        <v>0</v>
      </c>
      <c r="BI2607" s="104">
        <f>IF(N2607="nulová",J2607,0)</f>
        <v>0</v>
      </c>
      <c r="BJ2607" s="23" t="s">
        <v>85</v>
      </c>
      <c r="BK2607" s="104">
        <f>ROUND(I2607*H2607,2)</f>
        <v>57760</v>
      </c>
      <c r="BL2607" s="23" t="s">
        <v>446</v>
      </c>
      <c r="BM2607" s="101" t="s">
        <v>3783</v>
      </c>
    </row>
    <row r="2608" spans="2:65" s="1" customFormat="1" ht="57.6">
      <c r="B2608" s="12"/>
      <c r="D2608" s="105" t="s">
        <v>227</v>
      </c>
      <c r="F2608" s="106" t="s">
        <v>3784</v>
      </c>
      <c r="I2608" s="107"/>
      <c r="L2608" s="12"/>
      <c r="M2608" s="108"/>
      <c r="T2608" s="111"/>
      <c r="AT2608" s="23" t="s">
        <v>227</v>
      </c>
      <c r="AU2608" s="23" t="s">
        <v>87</v>
      </c>
    </row>
    <row r="2609" spans="2:65" s="136" customFormat="1">
      <c r="B2609" s="138"/>
      <c r="D2609" s="105" t="s">
        <v>365</v>
      </c>
      <c r="E2609" s="139" t="s">
        <v>1</v>
      </c>
      <c r="F2609" s="140" t="s">
        <v>3777</v>
      </c>
      <c r="H2609" s="139" t="s">
        <v>1</v>
      </c>
      <c r="I2609" s="146"/>
      <c r="L2609" s="138"/>
      <c r="M2609" s="147"/>
      <c r="T2609" s="150"/>
      <c r="AT2609" s="139" t="s">
        <v>365</v>
      </c>
      <c r="AU2609" s="139" t="s">
        <v>87</v>
      </c>
      <c r="AV2609" s="136" t="s">
        <v>85</v>
      </c>
      <c r="AW2609" s="136" t="s">
        <v>33</v>
      </c>
      <c r="AX2609" s="136" t="s">
        <v>77</v>
      </c>
      <c r="AY2609" s="139" t="s">
        <v>211</v>
      </c>
    </row>
    <row r="2610" spans="2:65" s="113" customFormat="1">
      <c r="B2610" s="119"/>
      <c r="D2610" s="105" t="s">
        <v>365</v>
      </c>
      <c r="E2610" s="135" t="s">
        <v>1</v>
      </c>
      <c r="F2610" s="120" t="s">
        <v>3778</v>
      </c>
      <c r="H2610" s="121">
        <v>144</v>
      </c>
      <c r="I2610" s="128"/>
      <c r="L2610" s="119"/>
      <c r="M2610" s="129"/>
      <c r="T2610" s="133"/>
      <c r="AT2610" s="135" t="s">
        <v>365</v>
      </c>
      <c r="AU2610" s="135" t="s">
        <v>87</v>
      </c>
      <c r="AV2610" s="113" t="s">
        <v>87</v>
      </c>
      <c r="AW2610" s="113" t="s">
        <v>33</v>
      </c>
      <c r="AX2610" s="113" t="s">
        <v>77</v>
      </c>
      <c r="AY2610" s="135" t="s">
        <v>211</v>
      </c>
    </row>
    <row r="2611" spans="2:65" s="113" customFormat="1">
      <c r="B2611" s="119"/>
      <c r="D2611" s="105" t="s">
        <v>365</v>
      </c>
      <c r="E2611" s="135" t="s">
        <v>1</v>
      </c>
      <c r="F2611" s="120" t="s">
        <v>3779</v>
      </c>
      <c r="H2611" s="121">
        <v>578</v>
      </c>
      <c r="I2611" s="128"/>
      <c r="L2611" s="119"/>
      <c r="M2611" s="129"/>
      <c r="T2611" s="133"/>
      <c r="AT2611" s="135" t="s">
        <v>365</v>
      </c>
      <c r="AU2611" s="135" t="s">
        <v>87</v>
      </c>
      <c r="AV2611" s="113" t="s">
        <v>87</v>
      </c>
      <c r="AW2611" s="113" t="s">
        <v>33</v>
      </c>
      <c r="AX2611" s="113" t="s">
        <v>77</v>
      </c>
      <c r="AY2611" s="135" t="s">
        <v>211</v>
      </c>
    </row>
    <row r="2612" spans="2:65" s="137" customFormat="1">
      <c r="B2612" s="141"/>
      <c r="D2612" s="105" t="s">
        <v>365</v>
      </c>
      <c r="E2612" s="142" t="s">
        <v>1</v>
      </c>
      <c r="F2612" s="143" t="s">
        <v>368</v>
      </c>
      <c r="H2612" s="144">
        <v>722</v>
      </c>
      <c r="I2612" s="148"/>
      <c r="L2612" s="141"/>
      <c r="M2612" s="149"/>
      <c r="T2612" s="151"/>
      <c r="AT2612" s="142" t="s">
        <v>365</v>
      </c>
      <c r="AU2612" s="142" t="s">
        <v>87</v>
      </c>
      <c r="AV2612" s="137" t="s">
        <v>218</v>
      </c>
      <c r="AW2612" s="137" t="s">
        <v>33</v>
      </c>
      <c r="AX2612" s="137" t="s">
        <v>85</v>
      </c>
      <c r="AY2612" s="142" t="s">
        <v>211</v>
      </c>
    </row>
    <row r="2613" spans="2:65" s="1" customFormat="1" ht="76.349999999999994" customHeight="1">
      <c r="B2613" s="12"/>
      <c r="C2613" s="71" t="s">
        <v>3785</v>
      </c>
      <c r="D2613" s="71" t="s">
        <v>214</v>
      </c>
      <c r="E2613" s="72" t="s">
        <v>3786</v>
      </c>
      <c r="F2613" s="73" t="s">
        <v>3787</v>
      </c>
      <c r="G2613" s="74" t="s">
        <v>279</v>
      </c>
      <c r="H2613" s="75">
        <v>1134.54</v>
      </c>
      <c r="I2613" s="90">
        <v>122</v>
      </c>
      <c r="J2613" s="91">
        <f>ROUND(I2613*H2613,2)</f>
        <v>138413.88</v>
      </c>
      <c r="K2613" s="92"/>
      <c r="L2613" s="12"/>
      <c r="M2613" s="93" t="s">
        <v>1</v>
      </c>
      <c r="N2613" s="94" t="s">
        <v>42</v>
      </c>
      <c r="P2613" s="95">
        <f>O2613*H2613</f>
        <v>0</v>
      </c>
      <c r="Q2613" s="95">
        <v>2.9E-4</v>
      </c>
      <c r="R2613" s="95">
        <f>Q2613*H2613</f>
        <v>0.32901659999999999</v>
      </c>
      <c r="S2613" s="95">
        <v>0</v>
      </c>
      <c r="T2613" s="99">
        <f>S2613*H2613</f>
        <v>0</v>
      </c>
      <c r="AR2613" s="101" t="s">
        <v>446</v>
      </c>
      <c r="AT2613" s="101" t="s">
        <v>214</v>
      </c>
      <c r="AU2613" s="101" t="s">
        <v>87</v>
      </c>
      <c r="AY2613" s="23" t="s">
        <v>211</v>
      </c>
      <c r="BE2613" s="104">
        <f>IF(N2613="základní",J2613,0)</f>
        <v>138413.88</v>
      </c>
      <c r="BF2613" s="104">
        <f>IF(N2613="snížená",J2613,0)</f>
        <v>0</v>
      </c>
      <c r="BG2613" s="104">
        <f>IF(N2613="zákl. přenesená",J2613,0)</f>
        <v>0</v>
      </c>
      <c r="BH2613" s="104">
        <f>IF(N2613="sníž. přenesená",J2613,0)</f>
        <v>0</v>
      </c>
      <c r="BI2613" s="104">
        <f>IF(N2613="nulová",J2613,0)</f>
        <v>0</v>
      </c>
      <c r="BJ2613" s="23" t="s">
        <v>85</v>
      </c>
      <c r="BK2613" s="104">
        <f>ROUND(I2613*H2613,2)</f>
        <v>138413.88</v>
      </c>
      <c r="BL2613" s="23" t="s">
        <v>446</v>
      </c>
      <c r="BM2613" s="101" t="s">
        <v>3788</v>
      </c>
    </row>
    <row r="2614" spans="2:65" s="1" customFormat="1" ht="134.4">
      <c r="B2614" s="12"/>
      <c r="D2614" s="105" t="s">
        <v>227</v>
      </c>
      <c r="F2614" s="106" t="s">
        <v>3789</v>
      </c>
      <c r="I2614" s="107"/>
      <c r="L2614" s="12"/>
      <c r="M2614" s="108"/>
      <c r="T2614" s="111"/>
      <c r="AT2614" s="23" t="s">
        <v>227</v>
      </c>
      <c r="AU2614" s="23" t="s">
        <v>87</v>
      </c>
    </row>
    <row r="2615" spans="2:65" s="136" customFormat="1">
      <c r="B2615" s="138"/>
      <c r="D2615" s="105" t="s">
        <v>365</v>
      </c>
      <c r="E2615" s="139" t="s">
        <v>1</v>
      </c>
      <c r="F2615" s="140" t="s">
        <v>3790</v>
      </c>
      <c r="H2615" s="139" t="s">
        <v>1</v>
      </c>
      <c r="I2615" s="146"/>
      <c r="L2615" s="138"/>
      <c r="M2615" s="147"/>
      <c r="T2615" s="150"/>
      <c r="AT2615" s="139" t="s">
        <v>365</v>
      </c>
      <c r="AU2615" s="139" t="s">
        <v>87</v>
      </c>
      <c r="AV2615" s="136" t="s">
        <v>85</v>
      </c>
      <c r="AW2615" s="136" t="s">
        <v>33</v>
      </c>
      <c r="AX2615" s="136" t="s">
        <v>77</v>
      </c>
      <c r="AY2615" s="139" t="s">
        <v>211</v>
      </c>
    </row>
    <row r="2616" spans="2:65" s="136" customFormat="1">
      <c r="B2616" s="138"/>
      <c r="D2616" s="105" t="s">
        <v>365</v>
      </c>
      <c r="E2616" s="139" t="s">
        <v>1</v>
      </c>
      <c r="F2616" s="140" t="s">
        <v>868</v>
      </c>
      <c r="H2616" s="139" t="s">
        <v>1</v>
      </c>
      <c r="I2616" s="146"/>
      <c r="L2616" s="138"/>
      <c r="M2616" s="147"/>
      <c r="T2616" s="150"/>
      <c r="AT2616" s="139" t="s">
        <v>365</v>
      </c>
      <c r="AU2616" s="139" t="s">
        <v>87</v>
      </c>
      <c r="AV2616" s="136" t="s">
        <v>85</v>
      </c>
      <c r="AW2616" s="136" t="s">
        <v>33</v>
      </c>
      <c r="AX2616" s="136" t="s">
        <v>77</v>
      </c>
      <c r="AY2616" s="139" t="s">
        <v>211</v>
      </c>
    </row>
    <row r="2617" spans="2:65" s="113" customFormat="1">
      <c r="B2617" s="119"/>
      <c r="D2617" s="105" t="s">
        <v>365</v>
      </c>
      <c r="E2617" s="135" t="s">
        <v>1</v>
      </c>
      <c r="F2617" s="120" t="s">
        <v>3761</v>
      </c>
      <c r="H2617" s="121">
        <v>423.9</v>
      </c>
      <c r="I2617" s="128"/>
      <c r="L2617" s="119"/>
      <c r="M2617" s="129"/>
      <c r="T2617" s="133"/>
      <c r="AT2617" s="135" t="s">
        <v>365</v>
      </c>
      <c r="AU2617" s="135" t="s">
        <v>87</v>
      </c>
      <c r="AV2617" s="113" t="s">
        <v>87</v>
      </c>
      <c r="AW2617" s="113" t="s">
        <v>33</v>
      </c>
      <c r="AX2617" s="113" t="s">
        <v>77</v>
      </c>
      <c r="AY2617" s="135" t="s">
        <v>211</v>
      </c>
    </row>
    <row r="2618" spans="2:65" s="136" customFormat="1">
      <c r="B2618" s="138"/>
      <c r="D2618" s="105" t="s">
        <v>365</v>
      </c>
      <c r="E2618" s="139" t="s">
        <v>1</v>
      </c>
      <c r="F2618" s="140" t="s">
        <v>870</v>
      </c>
      <c r="H2618" s="139" t="s">
        <v>1</v>
      </c>
      <c r="I2618" s="146"/>
      <c r="L2618" s="138"/>
      <c r="M2618" s="147"/>
      <c r="T2618" s="150"/>
      <c r="AT2618" s="139" t="s">
        <v>365</v>
      </c>
      <c r="AU2618" s="139" t="s">
        <v>87</v>
      </c>
      <c r="AV2618" s="136" t="s">
        <v>85</v>
      </c>
      <c r="AW2618" s="136" t="s">
        <v>33</v>
      </c>
      <c r="AX2618" s="136" t="s">
        <v>77</v>
      </c>
      <c r="AY2618" s="139" t="s">
        <v>211</v>
      </c>
    </row>
    <row r="2619" spans="2:65" s="113" customFormat="1">
      <c r="B2619" s="119"/>
      <c r="D2619" s="105" t="s">
        <v>365</v>
      </c>
      <c r="E2619" s="135" t="s">
        <v>1</v>
      </c>
      <c r="F2619" s="120" t="s">
        <v>3791</v>
      </c>
      <c r="H2619" s="121">
        <v>710.64</v>
      </c>
      <c r="I2619" s="128"/>
      <c r="L2619" s="119"/>
      <c r="M2619" s="129"/>
      <c r="T2619" s="133"/>
      <c r="AT2619" s="135" t="s">
        <v>365</v>
      </c>
      <c r="AU2619" s="135" t="s">
        <v>87</v>
      </c>
      <c r="AV2619" s="113" t="s">
        <v>87</v>
      </c>
      <c r="AW2619" s="113" t="s">
        <v>33</v>
      </c>
      <c r="AX2619" s="113" t="s">
        <v>77</v>
      </c>
      <c r="AY2619" s="135" t="s">
        <v>211</v>
      </c>
    </row>
    <row r="2620" spans="2:65" s="137" customFormat="1">
      <c r="B2620" s="141"/>
      <c r="D2620" s="105" t="s">
        <v>365</v>
      </c>
      <c r="E2620" s="142" t="s">
        <v>1</v>
      </c>
      <c r="F2620" s="143" t="s">
        <v>368</v>
      </c>
      <c r="H2620" s="144">
        <v>1134.54</v>
      </c>
      <c r="I2620" s="148"/>
      <c r="L2620" s="141"/>
      <c r="M2620" s="149"/>
      <c r="T2620" s="151"/>
      <c r="AT2620" s="142" t="s">
        <v>365</v>
      </c>
      <c r="AU2620" s="142" t="s">
        <v>87</v>
      </c>
      <c r="AV2620" s="137" t="s">
        <v>218</v>
      </c>
      <c r="AW2620" s="137" t="s">
        <v>33</v>
      </c>
      <c r="AX2620" s="137" t="s">
        <v>85</v>
      </c>
      <c r="AY2620" s="142" t="s">
        <v>211</v>
      </c>
    </row>
    <row r="2621" spans="2:65" s="1" customFormat="1" ht="55.5" customHeight="1">
      <c r="B2621" s="12"/>
      <c r="C2621" s="71" t="s">
        <v>3792</v>
      </c>
      <c r="D2621" s="71" t="s">
        <v>214</v>
      </c>
      <c r="E2621" s="72" t="s">
        <v>3793</v>
      </c>
      <c r="F2621" s="73" t="s">
        <v>3794</v>
      </c>
      <c r="G2621" s="74" t="s">
        <v>279</v>
      </c>
      <c r="H2621" s="75">
        <v>677.6</v>
      </c>
      <c r="I2621" s="90">
        <v>520</v>
      </c>
      <c r="J2621" s="91">
        <f>ROUND(I2621*H2621,2)</f>
        <v>352352</v>
      </c>
      <c r="K2621" s="92"/>
      <c r="L2621" s="12"/>
      <c r="M2621" s="93" t="s">
        <v>1</v>
      </c>
      <c r="N2621" s="94" t="s">
        <v>42</v>
      </c>
      <c r="P2621" s="95">
        <f>O2621*H2621</f>
        <v>0</v>
      </c>
      <c r="Q2621" s="95">
        <v>5.0000000000000001E-4</v>
      </c>
      <c r="R2621" s="95">
        <f>Q2621*H2621</f>
        <v>0.33879999999999999</v>
      </c>
      <c r="S2621" s="95">
        <v>0</v>
      </c>
      <c r="T2621" s="99">
        <f>S2621*H2621</f>
        <v>0</v>
      </c>
      <c r="AR2621" s="101" t="s">
        <v>446</v>
      </c>
      <c r="AT2621" s="101" t="s">
        <v>214</v>
      </c>
      <c r="AU2621" s="101" t="s">
        <v>87</v>
      </c>
      <c r="AY2621" s="23" t="s">
        <v>211</v>
      </c>
      <c r="BE2621" s="104">
        <f>IF(N2621="základní",J2621,0)</f>
        <v>352352</v>
      </c>
      <c r="BF2621" s="104">
        <f>IF(N2621="snížená",J2621,0)</f>
        <v>0</v>
      </c>
      <c r="BG2621" s="104">
        <f>IF(N2621="zákl. přenesená",J2621,0)</f>
        <v>0</v>
      </c>
      <c r="BH2621" s="104">
        <f>IF(N2621="sníž. přenesená",J2621,0)</f>
        <v>0</v>
      </c>
      <c r="BI2621" s="104">
        <f>IF(N2621="nulová",J2621,0)</f>
        <v>0</v>
      </c>
      <c r="BJ2621" s="23" t="s">
        <v>85</v>
      </c>
      <c r="BK2621" s="104">
        <f>ROUND(I2621*H2621,2)</f>
        <v>352352</v>
      </c>
      <c r="BL2621" s="23" t="s">
        <v>446</v>
      </c>
      <c r="BM2621" s="101" t="s">
        <v>3795</v>
      </c>
    </row>
    <row r="2622" spans="2:65" s="136" customFormat="1">
      <c r="B2622" s="138"/>
      <c r="D2622" s="105" t="s">
        <v>365</v>
      </c>
      <c r="E2622" s="139" t="s">
        <v>1</v>
      </c>
      <c r="F2622" s="140" t="s">
        <v>3796</v>
      </c>
      <c r="H2622" s="139" t="s">
        <v>1</v>
      </c>
      <c r="I2622" s="146"/>
      <c r="L2622" s="138"/>
      <c r="M2622" s="147"/>
      <c r="T2622" s="150"/>
      <c r="AT2622" s="139" t="s">
        <v>365</v>
      </c>
      <c r="AU2622" s="139" t="s">
        <v>87</v>
      </c>
      <c r="AV2622" s="136" t="s">
        <v>85</v>
      </c>
      <c r="AW2622" s="136" t="s">
        <v>33</v>
      </c>
      <c r="AX2622" s="136" t="s">
        <v>77</v>
      </c>
      <c r="AY2622" s="139" t="s">
        <v>211</v>
      </c>
    </row>
    <row r="2623" spans="2:65" s="136" customFormat="1">
      <c r="B2623" s="138"/>
      <c r="D2623" s="105" t="s">
        <v>365</v>
      </c>
      <c r="E2623" s="139" t="s">
        <v>1</v>
      </c>
      <c r="F2623" s="140" t="s">
        <v>866</v>
      </c>
      <c r="H2623" s="139" t="s">
        <v>1</v>
      </c>
      <c r="I2623" s="146"/>
      <c r="L2623" s="138"/>
      <c r="M2623" s="147"/>
      <c r="T2623" s="150"/>
      <c r="AT2623" s="139" t="s">
        <v>365</v>
      </c>
      <c r="AU2623" s="139" t="s">
        <v>87</v>
      </c>
      <c r="AV2623" s="136" t="s">
        <v>85</v>
      </c>
      <c r="AW2623" s="136" t="s">
        <v>33</v>
      </c>
      <c r="AX2623" s="136" t="s">
        <v>77</v>
      </c>
      <c r="AY2623" s="139" t="s">
        <v>211</v>
      </c>
    </row>
    <row r="2624" spans="2:65" s="113" customFormat="1">
      <c r="B2624" s="119"/>
      <c r="D2624" s="105" t="s">
        <v>365</v>
      </c>
      <c r="E2624" s="135" t="s">
        <v>1</v>
      </c>
      <c r="F2624" s="120" t="s">
        <v>3797</v>
      </c>
      <c r="H2624" s="121">
        <v>344.53</v>
      </c>
      <c r="I2624" s="128"/>
      <c r="L2624" s="119"/>
      <c r="M2624" s="129"/>
      <c r="T2624" s="133"/>
      <c r="AT2624" s="135" t="s">
        <v>365</v>
      </c>
      <c r="AU2624" s="135" t="s">
        <v>87</v>
      </c>
      <c r="AV2624" s="113" t="s">
        <v>87</v>
      </c>
      <c r="AW2624" s="113" t="s">
        <v>33</v>
      </c>
      <c r="AX2624" s="113" t="s">
        <v>77</v>
      </c>
      <c r="AY2624" s="135" t="s">
        <v>211</v>
      </c>
    </row>
    <row r="2625" spans="2:65" s="136" customFormat="1">
      <c r="B2625" s="138"/>
      <c r="D2625" s="105" t="s">
        <v>365</v>
      </c>
      <c r="E2625" s="139" t="s">
        <v>1</v>
      </c>
      <c r="F2625" s="140" t="s">
        <v>868</v>
      </c>
      <c r="H2625" s="139" t="s">
        <v>1</v>
      </c>
      <c r="I2625" s="146"/>
      <c r="L2625" s="138"/>
      <c r="M2625" s="147"/>
      <c r="T2625" s="150"/>
      <c r="AT2625" s="139" t="s">
        <v>365</v>
      </c>
      <c r="AU2625" s="139" t="s">
        <v>87</v>
      </c>
      <c r="AV2625" s="136" t="s">
        <v>85</v>
      </c>
      <c r="AW2625" s="136" t="s">
        <v>33</v>
      </c>
      <c r="AX2625" s="136" t="s">
        <v>77</v>
      </c>
      <c r="AY2625" s="139" t="s">
        <v>211</v>
      </c>
    </row>
    <row r="2626" spans="2:65" s="113" customFormat="1">
      <c r="B2626" s="119"/>
      <c r="D2626" s="105" t="s">
        <v>365</v>
      </c>
      <c r="E2626" s="135" t="s">
        <v>1</v>
      </c>
      <c r="F2626" s="120" t="s">
        <v>3798</v>
      </c>
      <c r="H2626" s="121">
        <v>27.28</v>
      </c>
      <c r="I2626" s="128"/>
      <c r="L2626" s="119"/>
      <c r="M2626" s="129"/>
      <c r="T2626" s="133"/>
      <c r="AT2626" s="135" t="s">
        <v>365</v>
      </c>
      <c r="AU2626" s="135" t="s">
        <v>87</v>
      </c>
      <c r="AV2626" s="113" t="s">
        <v>87</v>
      </c>
      <c r="AW2626" s="113" t="s">
        <v>33</v>
      </c>
      <c r="AX2626" s="113" t="s">
        <v>77</v>
      </c>
      <c r="AY2626" s="135" t="s">
        <v>211</v>
      </c>
    </row>
    <row r="2627" spans="2:65" s="136" customFormat="1">
      <c r="B2627" s="138"/>
      <c r="D2627" s="105" t="s">
        <v>365</v>
      </c>
      <c r="E2627" s="139" t="s">
        <v>1</v>
      </c>
      <c r="F2627" s="140" t="s">
        <v>870</v>
      </c>
      <c r="H2627" s="139" t="s">
        <v>1</v>
      </c>
      <c r="I2627" s="146"/>
      <c r="L2627" s="138"/>
      <c r="M2627" s="147"/>
      <c r="T2627" s="150"/>
      <c r="AT2627" s="139" t="s">
        <v>365</v>
      </c>
      <c r="AU2627" s="139" t="s">
        <v>87</v>
      </c>
      <c r="AV2627" s="136" t="s">
        <v>85</v>
      </c>
      <c r="AW2627" s="136" t="s">
        <v>33</v>
      </c>
      <c r="AX2627" s="136" t="s">
        <v>77</v>
      </c>
      <c r="AY2627" s="139" t="s">
        <v>211</v>
      </c>
    </row>
    <row r="2628" spans="2:65" s="113" customFormat="1">
      <c r="B2628" s="119"/>
      <c r="D2628" s="105" t="s">
        <v>365</v>
      </c>
      <c r="E2628" s="135" t="s">
        <v>1</v>
      </c>
      <c r="F2628" s="120" t="s">
        <v>3798</v>
      </c>
      <c r="H2628" s="121">
        <v>27.28</v>
      </c>
      <c r="I2628" s="128"/>
      <c r="L2628" s="119"/>
      <c r="M2628" s="129"/>
      <c r="T2628" s="133"/>
      <c r="AT2628" s="135" t="s">
        <v>365</v>
      </c>
      <c r="AU2628" s="135" t="s">
        <v>87</v>
      </c>
      <c r="AV2628" s="113" t="s">
        <v>87</v>
      </c>
      <c r="AW2628" s="113" t="s">
        <v>33</v>
      </c>
      <c r="AX2628" s="113" t="s">
        <v>77</v>
      </c>
      <c r="AY2628" s="135" t="s">
        <v>211</v>
      </c>
    </row>
    <row r="2629" spans="2:65" s="136" customFormat="1">
      <c r="B2629" s="138"/>
      <c r="D2629" s="105" t="s">
        <v>365</v>
      </c>
      <c r="E2629" s="139" t="s">
        <v>1</v>
      </c>
      <c r="F2629" s="140" t="s">
        <v>872</v>
      </c>
      <c r="H2629" s="139" t="s">
        <v>1</v>
      </c>
      <c r="I2629" s="146"/>
      <c r="L2629" s="138"/>
      <c r="M2629" s="147"/>
      <c r="T2629" s="150"/>
      <c r="AT2629" s="139" t="s">
        <v>365</v>
      </c>
      <c r="AU2629" s="139" t="s">
        <v>87</v>
      </c>
      <c r="AV2629" s="136" t="s">
        <v>85</v>
      </c>
      <c r="AW2629" s="136" t="s">
        <v>33</v>
      </c>
      <c r="AX2629" s="136" t="s">
        <v>77</v>
      </c>
      <c r="AY2629" s="139" t="s">
        <v>211</v>
      </c>
    </row>
    <row r="2630" spans="2:65" s="113" customFormat="1">
      <c r="B2630" s="119"/>
      <c r="D2630" s="105" t="s">
        <v>365</v>
      </c>
      <c r="E2630" s="135" t="s">
        <v>1</v>
      </c>
      <c r="F2630" s="120" t="s">
        <v>3799</v>
      </c>
      <c r="H2630" s="121">
        <v>278.51</v>
      </c>
      <c r="I2630" s="128"/>
      <c r="L2630" s="119"/>
      <c r="M2630" s="129"/>
      <c r="T2630" s="133"/>
      <c r="AT2630" s="135" t="s">
        <v>365</v>
      </c>
      <c r="AU2630" s="135" t="s">
        <v>87</v>
      </c>
      <c r="AV2630" s="113" t="s">
        <v>87</v>
      </c>
      <c r="AW2630" s="113" t="s">
        <v>33</v>
      </c>
      <c r="AX2630" s="113" t="s">
        <v>77</v>
      </c>
      <c r="AY2630" s="135" t="s">
        <v>211</v>
      </c>
    </row>
    <row r="2631" spans="2:65" s="137" customFormat="1">
      <c r="B2631" s="141"/>
      <c r="D2631" s="105" t="s">
        <v>365</v>
      </c>
      <c r="E2631" s="142" t="s">
        <v>1</v>
      </c>
      <c r="F2631" s="143" t="s">
        <v>368</v>
      </c>
      <c r="H2631" s="144">
        <v>677.6</v>
      </c>
      <c r="I2631" s="148"/>
      <c r="L2631" s="141"/>
      <c r="M2631" s="149"/>
      <c r="T2631" s="151"/>
      <c r="AT2631" s="142" t="s">
        <v>365</v>
      </c>
      <c r="AU2631" s="142" t="s">
        <v>87</v>
      </c>
      <c r="AV2631" s="137" t="s">
        <v>218</v>
      </c>
      <c r="AW2631" s="137" t="s">
        <v>33</v>
      </c>
      <c r="AX2631" s="137" t="s">
        <v>85</v>
      </c>
      <c r="AY2631" s="142" t="s">
        <v>211</v>
      </c>
    </row>
    <row r="2632" spans="2:65" s="31" customFormat="1" ht="23.1" customHeight="1">
      <c r="B2632" s="67"/>
      <c r="D2632" s="68" t="s">
        <v>76</v>
      </c>
      <c r="E2632" s="70" t="s">
        <v>3800</v>
      </c>
      <c r="F2632" s="70" t="s">
        <v>3801</v>
      </c>
      <c r="I2632" s="85"/>
      <c r="J2632" s="89">
        <f>BK2632</f>
        <v>1057898.81</v>
      </c>
      <c r="L2632" s="67"/>
      <c r="M2632" s="87"/>
      <c r="P2632" s="88">
        <f>SUM(P2633:P2681)</f>
        <v>0</v>
      </c>
      <c r="R2632" s="88">
        <f>SUM(R2633:R2681)</f>
        <v>3.7237740000000001</v>
      </c>
      <c r="T2632" s="98">
        <f>SUM(T2633:T2681)</f>
        <v>0</v>
      </c>
      <c r="AR2632" s="68" t="s">
        <v>87</v>
      </c>
      <c r="AT2632" s="100" t="s">
        <v>76</v>
      </c>
      <c r="AU2632" s="100" t="s">
        <v>85</v>
      </c>
      <c r="AY2632" s="68" t="s">
        <v>211</v>
      </c>
      <c r="BK2632" s="103">
        <f>SUM(BK2633:BK2681)</f>
        <v>1057898.81</v>
      </c>
    </row>
    <row r="2633" spans="2:65" s="1" customFormat="1" ht="49.35" customHeight="1">
      <c r="B2633" s="12"/>
      <c r="C2633" s="71" t="s">
        <v>3802</v>
      </c>
      <c r="D2633" s="71" t="s">
        <v>214</v>
      </c>
      <c r="E2633" s="72" t="s">
        <v>3803</v>
      </c>
      <c r="F2633" s="73" t="s">
        <v>3804</v>
      </c>
      <c r="G2633" s="74" t="s">
        <v>279</v>
      </c>
      <c r="H2633" s="75">
        <v>1869.53</v>
      </c>
      <c r="I2633" s="90">
        <v>114</v>
      </c>
      <c r="J2633" s="91">
        <f>ROUND(I2633*H2633,2)</f>
        <v>213126.42</v>
      </c>
      <c r="K2633" s="92"/>
      <c r="L2633" s="12"/>
      <c r="M2633" s="93" t="s">
        <v>1</v>
      </c>
      <c r="N2633" s="94" t="s">
        <v>42</v>
      </c>
      <c r="P2633" s="95">
        <f>O2633*H2633</f>
        <v>0</v>
      </c>
      <c r="Q2633" s="95">
        <v>2.9E-4</v>
      </c>
      <c r="R2633" s="95">
        <f>Q2633*H2633</f>
        <v>0.54216370000000003</v>
      </c>
      <c r="S2633" s="95">
        <v>0</v>
      </c>
      <c r="T2633" s="99">
        <f>S2633*H2633</f>
        <v>0</v>
      </c>
      <c r="AR2633" s="101" t="s">
        <v>446</v>
      </c>
      <c r="AT2633" s="101" t="s">
        <v>214</v>
      </c>
      <c r="AU2633" s="101" t="s">
        <v>87</v>
      </c>
      <c r="AY2633" s="23" t="s">
        <v>211</v>
      </c>
      <c r="BE2633" s="104">
        <f>IF(N2633="základní",J2633,0)</f>
        <v>213126.42</v>
      </c>
      <c r="BF2633" s="104">
        <f>IF(N2633="snížená",J2633,0)</f>
        <v>0</v>
      </c>
      <c r="BG2633" s="104">
        <f>IF(N2633="zákl. přenesená",J2633,0)</f>
        <v>0</v>
      </c>
      <c r="BH2633" s="104">
        <f>IF(N2633="sníž. přenesená",J2633,0)</f>
        <v>0</v>
      </c>
      <c r="BI2633" s="104">
        <f>IF(N2633="nulová",J2633,0)</f>
        <v>0</v>
      </c>
      <c r="BJ2633" s="23" t="s">
        <v>85</v>
      </c>
      <c r="BK2633" s="104">
        <f>ROUND(I2633*H2633,2)</f>
        <v>213126.42</v>
      </c>
      <c r="BL2633" s="23" t="s">
        <v>446</v>
      </c>
      <c r="BM2633" s="101" t="s">
        <v>3805</v>
      </c>
    </row>
    <row r="2634" spans="2:65" s="136" customFormat="1">
      <c r="B2634" s="138"/>
      <c r="D2634" s="105" t="s">
        <v>365</v>
      </c>
      <c r="E2634" s="139" t="s">
        <v>1</v>
      </c>
      <c r="F2634" s="140" t="s">
        <v>1249</v>
      </c>
      <c r="H2634" s="139" t="s">
        <v>1</v>
      </c>
      <c r="I2634" s="146"/>
      <c r="L2634" s="138"/>
      <c r="M2634" s="147"/>
      <c r="T2634" s="150"/>
      <c r="AT2634" s="139" t="s">
        <v>365</v>
      </c>
      <c r="AU2634" s="139" t="s">
        <v>87</v>
      </c>
      <c r="AV2634" s="136" t="s">
        <v>85</v>
      </c>
      <c r="AW2634" s="136" t="s">
        <v>33</v>
      </c>
      <c r="AX2634" s="136" t="s">
        <v>77</v>
      </c>
      <c r="AY2634" s="139" t="s">
        <v>211</v>
      </c>
    </row>
    <row r="2635" spans="2:65" s="136" customFormat="1">
      <c r="B2635" s="138"/>
      <c r="D2635" s="105" t="s">
        <v>365</v>
      </c>
      <c r="E2635" s="139" t="s">
        <v>1</v>
      </c>
      <c r="F2635" s="140" t="s">
        <v>669</v>
      </c>
      <c r="H2635" s="139" t="s">
        <v>1</v>
      </c>
      <c r="I2635" s="146"/>
      <c r="L2635" s="138"/>
      <c r="M2635" s="147"/>
      <c r="T2635" s="150"/>
      <c r="AT2635" s="139" t="s">
        <v>365</v>
      </c>
      <c r="AU2635" s="139" t="s">
        <v>87</v>
      </c>
      <c r="AV2635" s="136" t="s">
        <v>85</v>
      </c>
      <c r="AW2635" s="136" t="s">
        <v>33</v>
      </c>
      <c r="AX2635" s="136" t="s">
        <v>77</v>
      </c>
      <c r="AY2635" s="139" t="s">
        <v>211</v>
      </c>
    </row>
    <row r="2636" spans="2:65" s="113" customFormat="1">
      <c r="B2636" s="119"/>
      <c r="D2636" s="105" t="s">
        <v>365</v>
      </c>
      <c r="E2636" s="135" t="s">
        <v>1</v>
      </c>
      <c r="F2636" s="120" t="s">
        <v>1250</v>
      </c>
      <c r="H2636" s="121">
        <v>636.98</v>
      </c>
      <c r="I2636" s="128"/>
      <c r="L2636" s="119"/>
      <c r="M2636" s="129"/>
      <c r="T2636" s="133"/>
      <c r="AT2636" s="135" t="s">
        <v>365</v>
      </c>
      <c r="AU2636" s="135" t="s">
        <v>87</v>
      </c>
      <c r="AV2636" s="113" t="s">
        <v>87</v>
      </c>
      <c r="AW2636" s="113" t="s">
        <v>33</v>
      </c>
      <c r="AX2636" s="113" t="s">
        <v>77</v>
      </c>
      <c r="AY2636" s="135" t="s">
        <v>211</v>
      </c>
    </row>
    <row r="2637" spans="2:65" s="136" customFormat="1">
      <c r="B2637" s="138"/>
      <c r="D2637" s="105" t="s">
        <v>365</v>
      </c>
      <c r="E2637" s="139" t="s">
        <v>1</v>
      </c>
      <c r="F2637" s="140" t="s">
        <v>866</v>
      </c>
      <c r="H2637" s="139" t="s">
        <v>1</v>
      </c>
      <c r="I2637" s="146"/>
      <c r="L2637" s="138"/>
      <c r="M2637" s="147"/>
      <c r="T2637" s="150"/>
      <c r="AT2637" s="139" t="s">
        <v>365</v>
      </c>
      <c r="AU2637" s="139" t="s">
        <v>87</v>
      </c>
      <c r="AV2637" s="136" t="s">
        <v>85</v>
      </c>
      <c r="AW2637" s="136" t="s">
        <v>33</v>
      </c>
      <c r="AX2637" s="136" t="s">
        <v>77</v>
      </c>
      <c r="AY2637" s="139" t="s">
        <v>211</v>
      </c>
    </row>
    <row r="2638" spans="2:65" s="113" customFormat="1">
      <c r="B2638" s="119"/>
      <c r="D2638" s="105" t="s">
        <v>365</v>
      </c>
      <c r="E2638" s="135" t="s">
        <v>1</v>
      </c>
      <c r="F2638" s="120" t="s">
        <v>1251</v>
      </c>
      <c r="H2638" s="121">
        <v>348</v>
      </c>
      <c r="I2638" s="128"/>
      <c r="L2638" s="119"/>
      <c r="M2638" s="129"/>
      <c r="T2638" s="133"/>
      <c r="AT2638" s="135" t="s">
        <v>365</v>
      </c>
      <c r="AU2638" s="135" t="s">
        <v>87</v>
      </c>
      <c r="AV2638" s="113" t="s">
        <v>87</v>
      </c>
      <c r="AW2638" s="113" t="s">
        <v>33</v>
      </c>
      <c r="AX2638" s="113" t="s">
        <v>77</v>
      </c>
      <c r="AY2638" s="135" t="s">
        <v>211</v>
      </c>
    </row>
    <row r="2639" spans="2:65" s="136" customFormat="1">
      <c r="B2639" s="138"/>
      <c r="D2639" s="105" t="s">
        <v>365</v>
      </c>
      <c r="E2639" s="139" t="s">
        <v>1</v>
      </c>
      <c r="F2639" s="140" t="s">
        <v>868</v>
      </c>
      <c r="H2639" s="139" t="s">
        <v>1</v>
      </c>
      <c r="I2639" s="146"/>
      <c r="L2639" s="138"/>
      <c r="M2639" s="147"/>
      <c r="T2639" s="150"/>
      <c r="AT2639" s="139" t="s">
        <v>365</v>
      </c>
      <c r="AU2639" s="139" t="s">
        <v>87</v>
      </c>
      <c r="AV2639" s="136" t="s">
        <v>85</v>
      </c>
      <c r="AW2639" s="136" t="s">
        <v>33</v>
      </c>
      <c r="AX2639" s="136" t="s">
        <v>77</v>
      </c>
      <c r="AY2639" s="139" t="s">
        <v>211</v>
      </c>
    </row>
    <row r="2640" spans="2:65" s="113" customFormat="1">
      <c r="B2640" s="119"/>
      <c r="D2640" s="105" t="s">
        <v>365</v>
      </c>
      <c r="E2640" s="135" t="s">
        <v>1</v>
      </c>
      <c r="F2640" s="120" t="s">
        <v>1252</v>
      </c>
      <c r="H2640" s="121">
        <v>288.8</v>
      </c>
      <c r="I2640" s="128"/>
      <c r="L2640" s="119"/>
      <c r="M2640" s="129"/>
      <c r="T2640" s="133"/>
      <c r="AT2640" s="135" t="s">
        <v>365</v>
      </c>
      <c r="AU2640" s="135" t="s">
        <v>87</v>
      </c>
      <c r="AV2640" s="113" t="s">
        <v>87</v>
      </c>
      <c r="AW2640" s="113" t="s">
        <v>33</v>
      </c>
      <c r="AX2640" s="113" t="s">
        <v>77</v>
      </c>
      <c r="AY2640" s="135" t="s">
        <v>211</v>
      </c>
    </row>
    <row r="2641" spans="2:65" s="136" customFormat="1">
      <c r="B2641" s="138"/>
      <c r="D2641" s="105" t="s">
        <v>365</v>
      </c>
      <c r="E2641" s="139" t="s">
        <v>1</v>
      </c>
      <c r="F2641" s="140" t="s">
        <v>870</v>
      </c>
      <c r="H2641" s="139" t="s">
        <v>1</v>
      </c>
      <c r="I2641" s="146"/>
      <c r="L2641" s="138"/>
      <c r="M2641" s="147"/>
      <c r="T2641" s="150"/>
      <c r="AT2641" s="139" t="s">
        <v>365</v>
      </c>
      <c r="AU2641" s="139" t="s">
        <v>87</v>
      </c>
      <c r="AV2641" s="136" t="s">
        <v>85</v>
      </c>
      <c r="AW2641" s="136" t="s">
        <v>33</v>
      </c>
      <c r="AX2641" s="136" t="s">
        <v>77</v>
      </c>
      <c r="AY2641" s="139" t="s">
        <v>211</v>
      </c>
    </row>
    <row r="2642" spans="2:65" s="113" customFormat="1">
      <c r="B2642" s="119"/>
      <c r="D2642" s="105" t="s">
        <v>365</v>
      </c>
      <c r="E2642" s="135" t="s">
        <v>1</v>
      </c>
      <c r="F2642" s="120" t="s">
        <v>1253</v>
      </c>
      <c r="H2642" s="121">
        <v>314.12</v>
      </c>
      <c r="I2642" s="128"/>
      <c r="L2642" s="119"/>
      <c r="M2642" s="129"/>
      <c r="T2642" s="133"/>
      <c r="AT2642" s="135" t="s">
        <v>365</v>
      </c>
      <c r="AU2642" s="135" t="s">
        <v>87</v>
      </c>
      <c r="AV2642" s="113" t="s">
        <v>87</v>
      </c>
      <c r="AW2642" s="113" t="s">
        <v>33</v>
      </c>
      <c r="AX2642" s="113" t="s">
        <v>77</v>
      </c>
      <c r="AY2642" s="135" t="s">
        <v>211</v>
      </c>
    </row>
    <row r="2643" spans="2:65" s="136" customFormat="1">
      <c r="B2643" s="138"/>
      <c r="D2643" s="105" t="s">
        <v>365</v>
      </c>
      <c r="E2643" s="139" t="s">
        <v>1</v>
      </c>
      <c r="F2643" s="140" t="s">
        <v>872</v>
      </c>
      <c r="H2643" s="139" t="s">
        <v>1</v>
      </c>
      <c r="I2643" s="146"/>
      <c r="L2643" s="138"/>
      <c r="M2643" s="147"/>
      <c r="T2643" s="150"/>
      <c r="AT2643" s="139" t="s">
        <v>365</v>
      </c>
      <c r="AU2643" s="139" t="s">
        <v>87</v>
      </c>
      <c r="AV2643" s="136" t="s">
        <v>85</v>
      </c>
      <c r="AW2643" s="136" t="s">
        <v>33</v>
      </c>
      <c r="AX2643" s="136" t="s">
        <v>77</v>
      </c>
      <c r="AY2643" s="139" t="s">
        <v>211</v>
      </c>
    </row>
    <row r="2644" spans="2:65" s="113" customFormat="1">
      <c r="B2644" s="119"/>
      <c r="D2644" s="105" t="s">
        <v>365</v>
      </c>
      <c r="E2644" s="135" t="s">
        <v>1</v>
      </c>
      <c r="F2644" s="120" t="s">
        <v>1254</v>
      </c>
      <c r="H2644" s="121">
        <v>281.63</v>
      </c>
      <c r="I2644" s="128"/>
      <c r="L2644" s="119"/>
      <c r="M2644" s="129"/>
      <c r="T2644" s="133"/>
      <c r="AT2644" s="135" t="s">
        <v>365</v>
      </c>
      <c r="AU2644" s="135" t="s">
        <v>87</v>
      </c>
      <c r="AV2644" s="113" t="s">
        <v>87</v>
      </c>
      <c r="AW2644" s="113" t="s">
        <v>33</v>
      </c>
      <c r="AX2644" s="113" t="s">
        <v>77</v>
      </c>
      <c r="AY2644" s="135" t="s">
        <v>211</v>
      </c>
    </row>
    <row r="2645" spans="2:65" s="137" customFormat="1">
      <c r="B2645" s="141"/>
      <c r="D2645" s="105" t="s">
        <v>365</v>
      </c>
      <c r="E2645" s="142" t="s">
        <v>1</v>
      </c>
      <c r="F2645" s="143" t="s">
        <v>368</v>
      </c>
      <c r="H2645" s="144">
        <v>1869.53</v>
      </c>
      <c r="I2645" s="148"/>
      <c r="L2645" s="141"/>
      <c r="M2645" s="149"/>
      <c r="T2645" s="151"/>
      <c r="AT2645" s="142" t="s">
        <v>365</v>
      </c>
      <c r="AU2645" s="142" t="s">
        <v>87</v>
      </c>
      <c r="AV2645" s="137" t="s">
        <v>218</v>
      </c>
      <c r="AW2645" s="137" t="s">
        <v>33</v>
      </c>
      <c r="AX2645" s="137" t="s">
        <v>85</v>
      </c>
      <c r="AY2645" s="142" t="s">
        <v>211</v>
      </c>
    </row>
    <row r="2646" spans="2:65" s="1" customFormat="1" ht="38.1" customHeight="1">
      <c r="B2646" s="12"/>
      <c r="C2646" s="71" t="s">
        <v>3806</v>
      </c>
      <c r="D2646" s="71" t="s">
        <v>214</v>
      </c>
      <c r="E2646" s="72" t="s">
        <v>3807</v>
      </c>
      <c r="F2646" s="73" t="s">
        <v>3808</v>
      </c>
      <c r="G2646" s="74" t="s">
        <v>279</v>
      </c>
      <c r="H2646" s="75">
        <v>10971.07</v>
      </c>
      <c r="I2646" s="90">
        <v>77</v>
      </c>
      <c r="J2646" s="91">
        <f>ROUND(I2646*H2646,2)</f>
        <v>844772.39</v>
      </c>
      <c r="K2646" s="92"/>
      <c r="L2646" s="12"/>
      <c r="M2646" s="93" t="s">
        <v>1</v>
      </c>
      <c r="N2646" s="94" t="s">
        <v>42</v>
      </c>
      <c r="P2646" s="95">
        <f>O2646*H2646</f>
        <v>0</v>
      </c>
      <c r="Q2646" s="95">
        <v>2.9E-4</v>
      </c>
      <c r="R2646" s="95">
        <f>Q2646*H2646</f>
        <v>3.1816103</v>
      </c>
      <c r="S2646" s="95">
        <v>0</v>
      </c>
      <c r="T2646" s="99">
        <f>S2646*H2646</f>
        <v>0</v>
      </c>
      <c r="AR2646" s="101" t="s">
        <v>446</v>
      </c>
      <c r="AT2646" s="101" t="s">
        <v>214</v>
      </c>
      <c r="AU2646" s="101" t="s">
        <v>87</v>
      </c>
      <c r="AY2646" s="23" t="s">
        <v>211</v>
      </c>
      <c r="BE2646" s="104">
        <f>IF(N2646="základní",J2646,0)</f>
        <v>844772.39</v>
      </c>
      <c r="BF2646" s="104">
        <f>IF(N2646="snížená",J2646,0)</f>
        <v>0</v>
      </c>
      <c r="BG2646" s="104">
        <f>IF(N2646="zákl. přenesená",J2646,0)</f>
        <v>0</v>
      </c>
      <c r="BH2646" s="104">
        <f>IF(N2646="sníž. přenesená",J2646,0)</f>
        <v>0</v>
      </c>
      <c r="BI2646" s="104">
        <f>IF(N2646="nulová",J2646,0)</f>
        <v>0</v>
      </c>
      <c r="BJ2646" s="23" t="s">
        <v>85</v>
      </c>
      <c r="BK2646" s="104">
        <f>ROUND(I2646*H2646,2)</f>
        <v>844772.39</v>
      </c>
      <c r="BL2646" s="23" t="s">
        <v>446</v>
      </c>
      <c r="BM2646" s="101" t="s">
        <v>3809</v>
      </c>
    </row>
    <row r="2647" spans="2:65" s="136" customFormat="1">
      <c r="B2647" s="138"/>
      <c r="D2647" s="105" t="s">
        <v>365</v>
      </c>
      <c r="E2647" s="139" t="s">
        <v>1</v>
      </c>
      <c r="F2647" s="140" t="s">
        <v>1243</v>
      </c>
      <c r="H2647" s="139" t="s">
        <v>1</v>
      </c>
      <c r="I2647" s="146"/>
      <c r="L2647" s="138"/>
      <c r="M2647" s="147"/>
      <c r="T2647" s="150"/>
      <c r="AT2647" s="139" t="s">
        <v>365</v>
      </c>
      <c r="AU2647" s="139" t="s">
        <v>87</v>
      </c>
      <c r="AV2647" s="136" t="s">
        <v>85</v>
      </c>
      <c r="AW2647" s="136" t="s">
        <v>33</v>
      </c>
      <c r="AX2647" s="136" t="s">
        <v>77</v>
      </c>
      <c r="AY2647" s="139" t="s">
        <v>211</v>
      </c>
    </row>
    <row r="2648" spans="2:65" s="136" customFormat="1">
      <c r="B2648" s="138"/>
      <c r="D2648" s="105" t="s">
        <v>365</v>
      </c>
      <c r="E2648" s="139" t="s">
        <v>1</v>
      </c>
      <c r="F2648" s="140" t="s">
        <v>669</v>
      </c>
      <c r="H2648" s="139" t="s">
        <v>1</v>
      </c>
      <c r="I2648" s="146"/>
      <c r="L2648" s="138"/>
      <c r="M2648" s="147"/>
      <c r="T2648" s="150"/>
      <c r="AT2648" s="139" t="s">
        <v>365</v>
      </c>
      <c r="AU2648" s="139" t="s">
        <v>87</v>
      </c>
      <c r="AV2648" s="136" t="s">
        <v>85</v>
      </c>
      <c r="AW2648" s="136" t="s">
        <v>33</v>
      </c>
      <c r="AX2648" s="136" t="s">
        <v>77</v>
      </c>
      <c r="AY2648" s="139" t="s">
        <v>211</v>
      </c>
    </row>
    <row r="2649" spans="2:65" s="113" customFormat="1">
      <c r="B2649" s="119"/>
      <c r="D2649" s="105" t="s">
        <v>365</v>
      </c>
      <c r="E2649" s="135" t="s">
        <v>1</v>
      </c>
      <c r="F2649" s="120" t="s">
        <v>310</v>
      </c>
      <c r="H2649" s="121">
        <v>1217.07</v>
      </c>
      <c r="I2649" s="128"/>
      <c r="L2649" s="119"/>
      <c r="M2649" s="129"/>
      <c r="T2649" s="133"/>
      <c r="AT2649" s="135" t="s">
        <v>365</v>
      </c>
      <c r="AU2649" s="135" t="s">
        <v>87</v>
      </c>
      <c r="AV2649" s="113" t="s">
        <v>87</v>
      </c>
      <c r="AW2649" s="113" t="s">
        <v>33</v>
      </c>
      <c r="AX2649" s="113" t="s">
        <v>77</v>
      </c>
      <c r="AY2649" s="135" t="s">
        <v>211</v>
      </c>
    </row>
    <row r="2650" spans="2:65" s="154" customFormat="1">
      <c r="B2650" s="156"/>
      <c r="D2650" s="105" t="s">
        <v>365</v>
      </c>
      <c r="E2650" s="157" t="s">
        <v>1</v>
      </c>
      <c r="F2650" s="158" t="s">
        <v>741</v>
      </c>
      <c r="H2650" s="159">
        <v>1217.07</v>
      </c>
      <c r="I2650" s="160"/>
      <c r="L2650" s="156"/>
      <c r="M2650" s="161"/>
      <c r="T2650" s="162"/>
      <c r="AT2650" s="157" t="s">
        <v>365</v>
      </c>
      <c r="AU2650" s="157" t="s">
        <v>87</v>
      </c>
      <c r="AV2650" s="154" t="s">
        <v>137</v>
      </c>
      <c r="AW2650" s="154" t="s">
        <v>33</v>
      </c>
      <c r="AX2650" s="154" t="s">
        <v>77</v>
      </c>
      <c r="AY2650" s="157" t="s">
        <v>211</v>
      </c>
    </row>
    <row r="2651" spans="2:65" s="136" customFormat="1">
      <c r="B2651" s="138"/>
      <c r="D2651" s="105" t="s">
        <v>365</v>
      </c>
      <c r="E2651" s="139" t="s">
        <v>1</v>
      </c>
      <c r="F2651" s="140" t="s">
        <v>3810</v>
      </c>
      <c r="H2651" s="139" t="s">
        <v>1</v>
      </c>
      <c r="I2651" s="146"/>
      <c r="L2651" s="138"/>
      <c r="M2651" s="147"/>
      <c r="T2651" s="150"/>
      <c r="AT2651" s="139" t="s">
        <v>365</v>
      </c>
      <c r="AU2651" s="139" t="s">
        <v>87</v>
      </c>
      <c r="AV2651" s="136" t="s">
        <v>85</v>
      </c>
      <c r="AW2651" s="136" t="s">
        <v>33</v>
      </c>
      <c r="AX2651" s="136" t="s">
        <v>77</v>
      </c>
      <c r="AY2651" s="139" t="s">
        <v>211</v>
      </c>
    </row>
    <row r="2652" spans="2:65" s="136" customFormat="1">
      <c r="B2652" s="138"/>
      <c r="D2652" s="105" t="s">
        <v>365</v>
      </c>
      <c r="E2652" s="139" t="s">
        <v>1</v>
      </c>
      <c r="F2652" s="140" t="s">
        <v>866</v>
      </c>
      <c r="H2652" s="139" t="s">
        <v>1</v>
      </c>
      <c r="I2652" s="146"/>
      <c r="L2652" s="138"/>
      <c r="M2652" s="147"/>
      <c r="T2652" s="150"/>
      <c r="AT2652" s="139" t="s">
        <v>365</v>
      </c>
      <c r="AU2652" s="139" t="s">
        <v>87</v>
      </c>
      <c r="AV2652" s="136" t="s">
        <v>85</v>
      </c>
      <c r="AW2652" s="136" t="s">
        <v>33</v>
      </c>
      <c r="AX2652" s="136" t="s">
        <v>77</v>
      </c>
      <c r="AY2652" s="139" t="s">
        <v>211</v>
      </c>
    </row>
    <row r="2653" spans="2:65" s="113" customFormat="1">
      <c r="B2653" s="119"/>
      <c r="D2653" s="105" t="s">
        <v>365</v>
      </c>
      <c r="E2653" s="135" t="s">
        <v>1</v>
      </c>
      <c r="F2653" s="120" t="s">
        <v>3811</v>
      </c>
      <c r="H2653" s="121">
        <v>176.99</v>
      </c>
      <c r="I2653" s="128"/>
      <c r="L2653" s="119"/>
      <c r="M2653" s="129"/>
      <c r="T2653" s="133"/>
      <c r="AT2653" s="135" t="s">
        <v>365</v>
      </c>
      <c r="AU2653" s="135" t="s">
        <v>87</v>
      </c>
      <c r="AV2653" s="113" t="s">
        <v>87</v>
      </c>
      <c r="AW2653" s="113" t="s">
        <v>33</v>
      </c>
      <c r="AX2653" s="113" t="s">
        <v>77</v>
      </c>
      <c r="AY2653" s="135" t="s">
        <v>211</v>
      </c>
    </row>
    <row r="2654" spans="2:65" s="136" customFormat="1">
      <c r="B2654" s="138"/>
      <c r="D2654" s="105" t="s">
        <v>365</v>
      </c>
      <c r="E2654" s="139" t="s">
        <v>1</v>
      </c>
      <c r="F2654" s="140" t="s">
        <v>868</v>
      </c>
      <c r="H2654" s="139" t="s">
        <v>1</v>
      </c>
      <c r="I2654" s="146"/>
      <c r="L2654" s="138"/>
      <c r="M2654" s="147"/>
      <c r="T2654" s="150"/>
      <c r="AT2654" s="139" t="s">
        <v>365</v>
      </c>
      <c r="AU2654" s="139" t="s">
        <v>87</v>
      </c>
      <c r="AV2654" s="136" t="s">
        <v>85</v>
      </c>
      <c r="AW2654" s="136" t="s">
        <v>33</v>
      </c>
      <c r="AX2654" s="136" t="s">
        <v>77</v>
      </c>
      <c r="AY2654" s="139" t="s">
        <v>211</v>
      </c>
    </row>
    <row r="2655" spans="2:65" s="113" customFormat="1">
      <c r="B2655" s="119"/>
      <c r="D2655" s="105" t="s">
        <v>365</v>
      </c>
      <c r="E2655" s="135" t="s">
        <v>1</v>
      </c>
      <c r="F2655" s="120" t="s">
        <v>1710</v>
      </c>
      <c r="H2655" s="121">
        <v>230</v>
      </c>
      <c r="I2655" s="128"/>
      <c r="L2655" s="119"/>
      <c r="M2655" s="129"/>
      <c r="T2655" s="133"/>
      <c r="AT2655" s="135" t="s">
        <v>365</v>
      </c>
      <c r="AU2655" s="135" t="s">
        <v>87</v>
      </c>
      <c r="AV2655" s="113" t="s">
        <v>87</v>
      </c>
      <c r="AW2655" s="113" t="s">
        <v>33</v>
      </c>
      <c r="AX2655" s="113" t="s">
        <v>77</v>
      </c>
      <c r="AY2655" s="135" t="s">
        <v>211</v>
      </c>
    </row>
    <row r="2656" spans="2:65" s="136" customFormat="1">
      <c r="B2656" s="138"/>
      <c r="D2656" s="105" t="s">
        <v>365</v>
      </c>
      <c r="E2656" s="139" t="s">
        <v>1</v>
      </c>
      <c r="F2656" s="140" t="s">
        <v>870</v>
      </c>
      <c r="H2656" s="139" t="s">
        <v>1</v>
      </c>
      <c r="I2656" s="146"/>
      <c r="L2656" s="138"/>
      <c r="M2656" s="147"/>
      <c r="T2656" s="150"/>
      <c r="AT2656" s="139" t="s">
        <v>365</v>
      </c>
      <c r="AU2656" s="139" t="s">
        <v>87</v>
      </c>
      <c r="AV2656" s="136" t="s">
        <v>85</v>
      </c>
      <c r="AW2656" s="136" t="s">
        <v>33</v>
      </c>
      <c r="AX2656" s="136" t="s">
        <v>77</v>
      </c>
      <c r="AY2656" s="139" t="s">
        <v>211</v>
      </c>
    </row>
    <row r="2657" spans="2:51" s="113" customFormat="1">
      <c r="B2657" s="119"/>
      <c r="D2657" s="105" t="s">
        <v>365</v>
      </c>
      <c r="E2657" s="135" t="s">
        <v>1</v>
      </c>
      <c r="F2657" s="120" t="s">
        <v>3812</v>
      </c>
      <c r="H2657" s="121">
        <v>201.17</v>
      </c>
      <c r="I2657" s="128"/>
      <c r="L2657" s="119"/>
      <c r="M2657" s="129"/>
      <c r="T2657" s="133"/>
      <c r="AT2657" s="135" t="s">
        <v>365</v>
      </c>
      <c r="AU2657" s="135" t="s">
        <v>87</v>
      </c>
      <c r="AV2657" s="113" t="s">
        <v>87</v>
      </c>
      <c r="AW2657" s="113" t="s">
        <v>33</v>
      </c>
      <c r="AX2657" s="113" t="s">
        <v>77</v>
      </c>
      <c r="AY2657" s="135" t="s">
        <v>211</v>
      </c>
    </row>
    <row r="2658" spans="2:51" s="136" customFormat="1">
      <c r="B2658" s="138"/>
      <c r="D2658" s="105" t="s">
        <v>365</v>
      </c>
      <c r="E2658" s="139" t="s">
        <v>1</v>
      </c>
      <c r="F2658" s="140" t="s">
        <v>872</v>
      </c>
      <c r="H2658" s="139" t="s">
        <v>1</v>
      </c>
      <c r="I2658" s="146"/>
      <c r="L2658" s="138"/>
      <c r="M2658" s="147"/>
      <c r="T2658" s="150"/>
      <c r="AT2658" s="139" t="s">
        <v>365</v>
      </c>
      <c r="AU2658" s="139" t="s">
        <v>87</v>
      </c>
      <c r="AV2658" s="136" t="s">
        <v>85</v>
      </c>
      <c r="AW2658" s="136" t="s">
        <v>33</v>
      </c>
      <c r="AX2658" s="136" t="s">
        <v>77</v>
      </c>
      <c r="AY2658" s="139" t="s">
        <v>211</v>
      </c>
    </row>
    <row r="2659" spans="2:51" s="113" customFormat="1">
      <c r="B2659" s="119"/>
      <c r="D2659" s="105" t="s">
        <v>365</v>
      </c>
      <c r="E2659" s="135" t="s">
        <v>1</v>
      </c>
      <c r="F2659" s="120" t="s">
        <v>3813</v>
      </c>
      <c r="H2659" s="121">
        <v>252.17</v>
      </c>
      <c r="I2659" s="128"/>
      <c r="L2659" s="119"/>
      <c r="M2659" s="129"/>
      <c r="T2659" s="133"/>
      <c r="AT2659" s="135" t="s">
        <v>365</v>
      </c>
      <c r="AU2659" s="135" t="s">
        <v>87</v>
      </c>
      <c r="AV2659" s="113" t="s">
        <v>87</v>
      </c>
      <c r="AW2659" s="113" t="s">
        <v>33</v>
      </c>
      <c r="AX2659" s="113" t="s">
        <v>77</v>
      </c>
      <c r="AY2659" s="135" t="s">
        <v>211</v>
      </c>
    </row>
    <row r="2660" spans="2:51" s="154" customFormat="1">
      <c r="B2660" s="156"/>
      <c r="D2660" s="105" t="s">
        <v>365</v>
      </c>
      <c r="E2660" s="157" t="s">
        <v>1</v>
      </c>
      <c r="F2660" s="158" t="s">
        <v>741</v>
      </c>
      <c r="H2660" s="159">
        <v>860.33</v>
      </c>
      <c r="I2660" s="160"/>
      <c r="L2660" s="156"/>
      <c r="M2660" s="161"/>
      <c r="T2660" s="162"/>
      <c r="AT2660" s="157" t="s">
        <v>365</v>
      </c>
      <c r="AU2660" s="157" t="s">
        <v>87</v>
      </c>
      <c r="AV2660" s="154" t="s">
        <v>137</v>
      </c>
      <c r="AW2660" s="154" t="s">
        <v>33</v>
      </c>
      <c r="AX2660" s="154" t="s">
        <v>77</v>
      </c>
      <c r="AY2660" s="157" t="s">
        <v>211</v>
      </c>
    </row>
    <row r="2661" spans="2:51" s="136" customFormat="1">
      <c r="B2661" s="138"/>
      <c r="D2661" s="105" t="s">
        <v>365</v>
      </c>
      <c r="E2661" s="139" t="s">
        <v>1</v>
      </c>
      <c r="F2661" s="140" t="s">
        <v>3814</v>
      </c>
      <c r="H2661" s="139" t="s">
        <v>1</v>
      </c>
      <c r="I2661" s="146"/>
      <c r="L2661" s="138"/>
      <c r="M2661" s="147"/>
      <c r="T2661" s="150"/>
      <c r="AT2661" s="139" t="s">
        <v>365</v>
      </c>
      <c r="AU2661" s="139" t="s">
        <v>87</v>
      </c>
      <c r="AV2661" s="136" t="s">
        <v>85</v>
      </c>
      <c r="AW2661" s="136" t="s">
        <v>33</v>
      </c>
      <c r="AX2661" s="136" t="s">
        <v>77</v>
      </c>
      <c r="AY2661" s="139" t="s">
        <v>211</v>
      </c>
    </row>
    <row r="2662" spans="2:51" s="136" customFormat="1">
      <c r="B2662" s="138"/>
      <c r="D2662" s="105" t="s">
        <v>365</v>
      </c>
      <c r="E2662" s="139" t="s">
        <v>1</v>
      </c>
      <c r="F2662" s="140" t="s">
        <v>866</v>
      </c>
      <c r="H2662" s="139" t="s">
        <v>1</v>
      </c>
      <c r="I2662" s="146"/>
      <c r="L2662" s="138"/>
      <c r="M2662" s="147"/>
      <c r="T2662" s="150"/>
      <c r="AT2662" s="139" t="s">
        <v>365</v>
      </c>
      <c r="AU2662" s="139" t="s">
        <v>87</v>
      </c>
      <c r="AV2662" s="136" t="s">
        <v>85</v>
      </c>
      <c r="AW2662" s="136" t="s">
        <v>33</v>
      </c>
      <c r="AX2662" s="136" t="s">
        <v>77</v>
      </c>
      <c r="AY2662" s="139" t="s">
        <v>211</v>
      </c>
    </row>
    <row r="2663" spans="2:51" s="113" customFormat="1">
      <c r="B2663" s="119"/>
      <c r="D2663" s="105" t="s">
        <v>365</v>
      </c>
      <c r="E2663" s="135" t="s">
        <v>1</v>
      </c>
      <c r="F2663" s="120" t="s">
        <v>3815</v>
      </c>
      <c r="H2663" s="121">
        <v>134.86000000000001</v>
      </c>
      <c r="I2663" s="128"/>
      <c r="L2663" s="119"/>
      <c r="M2663" s="129"/>
      <c r="T2663" s="133"/>
      <c r="AT2663" s="135" t="s">
        <v>365</v>
      </c>
      <c r="AU2663" s="135" t="s">
        <v>87</v>
      </c>
      <c r="AV2663" s="113" t="s">
        <v>87</v>
      </c>
      <c r="AW2663" s="113" t="s">
        <v>33</v>
      </c>
      <c r="AX2663" s="113" t="s">
        <v>77</v>
      </c>
      <c r="AY2663" s="135" t="s">
        <v>211</v>
      </c>
    </row>
    <row r="2664" spans="2:51" s="136" customFormat="1">
      <c r="B2664" s="138"/>
      <c r="D2664" s="105" t="s">
        <v>365</v>
      </c>
      <c r="E2664" s="139" t="s">
        <v>1</v>
      </c>
      <c r="F2664" s="140" t="s">
        <v>868</v>
      </c>
      <c r="H2664" s="139" t="s">
        <v>1</v>
      </c>
      <c r="I2664" s="146"/>
      <c r="L2664" s="138"/>
      <c r="M2664" s="147"/>
      <c r="T2664" s="150"/>
      <c r="AT2664" s="139" t="s">
        <v>365</v>
      </c>
      <c r="AU2664" s="139" t="s">
        <v>87</v>
      </c>
      <c r="AV2664" s="136" t="s">
        <v>85</v>
      </c>
      <c r="AW2664" s="136" t="s">
        <v>33</v>
      </c>
      <c r="AX2664" s="136" t="s">
        <v>77</v>
      </c>
      <c r="AY2664" s="139" t="s">
        <v>211</v>
      </c>
    </row>
    <row r="2665" spans="2:51" s="113" customFormat="1">
      <c r="B2665" s="119"/>
      <c r="D2665" s="105" t="s">
        <v>365</v>
      </c>
      <c r="E2665" s="135" t="s">
        <v>1</v>
      </c>
      <c r="F2665" s="120" t="s">
        <v>3816</v>
      </c>
      <c r="H2665" s="121">
        <v>366.02</v>
      </c>
      <c r="I2665" s="128"/>
      <c r="L2665" s="119"/>
      <c r="M2665" s="129"/>
      <c r="T2665" s="133"/>
      <c r="AT2665" s="135" t="s">
        <v>365</v>
      </c>
      <c r="AU2665" s="135" t="s">
        <v>87</v>
      </c>
      <c r="AV2665" s="113" t="s">
        <v>87</v>
      </c>
      <c r="AW2665" s="113" t="s">
        <v>33</v>
      </c>
      <c r="AX2665" s="113" t="s">
        <v>77</v>
      </c>
      <c r="AY2665" s="135" t="s">
        <v>211</v>
      </c>
    </row>
    <row r="2666" spans="2:51" s="136" customFormat="1">
      <c r="B2666" s="138"/>
      <c r="D2666" s="105" t="s">
        <v>365</v>
      </c>
      <c r="E2666" s="139" t="s">
        <v>1</v>
      </c>
      <c r="F2666" s="140" t="s">
        <v>870</v>
      </c>
      <c r="H2666" s="139" t="s">
        <v>1</v>
      </c>
      <c r="I2666" s="146"/>
      <c r="L2666" s="138"/>
      <c r="M2666" s="147"/>
      <c r="T2666" s="150"/>
      <c r="AT2666" s="139" t="s">
        <v>365</v>
      </c>
      <c r="AU2666" s="139" t="s">
        <v>87</v>
      </c>
      <c r="AV2666" s="136" t="s">
        <v>85</v>
      </c>
      <c r="AW2666" s="136" t="s">
        <v>33</v>
      </c>
      <c r="AX2666" s="136" t="s">
        <v>77</v>
      </c>
      <c r="AY2666" s="139" t="s">
        <v>211</v>
      </c>
    </row>
    <row r="2667" spans="2:51" s="113" customFormat="1">
      <c r="B2667" s="119"/>
      <c r="D2667" s="105" t="s">
        <v>365</v>
      </c>
      <c r="E2667" s="135" t="s">
        <v>1</v>
      </c>
      <c r="F2667" s="120" t="s">
        <v>3817</v>
      </c>
      <c r="H2667" s="121">
        <v>278.91000000000003</v>
      </c>
      <c r="I2667" s="128"/>
      <c r="L2667" s="119"/>
      <c r="M2667" s="129"/>
      <c r="T2667" s="133"/>
      <c r="AT2667" s="135" t="s">
        <v>365</v>
      </c>
      <c r="AU2667" s="135" t="s">
        <v>87</v>
      </c>
      <c r="AV2667" s="113" t="s">
        <v>87</v>
      </c>
      <c r="AW2667" s="113" t="s">
        <v>33</v>
      </c>
      <c r="AX2667" s="113" t="s">
        <v>77</v>
      </c>
      <c r="AY2667" s="135" t="s">
        <v>211</v>
      </c>
    </row>
    <row r="2668" spans="2:51" s="136" customFormat="1">
      <c r="B2668" s="138"/>
      <c r="D2668" s="105" t="s">
        <v>365</v>
      </c>
      <c r="E2668" s="139" t="s">
        <v>1</v>
      </c>
      <c r="F2668" s="140" t="s">
        <v>872</v>
      </c>
      <c r="H2668" s="139" t="s">
        <v>1</v>
      </c>
      <c r="I2668" s="146"/>
      <c r="L2668" s="138"/>
      <c r="M2668" s="147"/>
      <c r="T2668" s="150"/>
      <c r="AT2668" s="139" t="s">
        <v>365</v>
      </c>
      <c r="AU2668" s="139" t="s">
        <v>87</v>
      </c>
      <c r="AV2668" s="136" t="s">
        <v>85</v>
      </c>
      <c r="AW2668" s="136" t="s">
        <v>33</v>
      </c>
      <c r="AX2668" s="136" t="s">
        <v>77</v>
      </c>
      <c r="AY2668" s="139" t="s">
        <v>211</v>
      </c>
    </row>
    <row r="2669" spans="2:51" s="113" customFormat="1">
      <c r="B2669" s="119"/>
      <c r="D2669" s="105" t="s">
        <v>365</v>
      </c>
      <c r="E2669" s="135" t="s">
        <v>1</v>
      </c>
      <c r="F2669" s="120" t="s">
        <v>3818</v>
      </c>
      <c r="H2669" s="121">
        <v>335.13</v>
      </c>
      <c r="I2669" s="128"/>
      <c r="L2669" s="119"/>
      <c r="M2669" s="129"/>
      <c r="T2669" s="133"/>
      <c r="AT2669" s="135" t="s">
        <v>365</v>
      </c>
      <c r="AU2669" s="135" t="s">
        <v>87</v>
      </c>
      <c r="AV2669" s="113" t="s">
        <v>87</v>
      </c>
      <c r="AW2669" s="113" t="s">
        <v>33</v>
      </c>
      <c r="AX2669" s="113" t="s">
        <v>77</v>
      </c>
      <c r="AY2669" s="135" t="s">
        <v>211</v>
      </c>
    </row>
    <row r="2670" spans="2:51" s="154" customFormat="1">
      <c r="B2670" s="156"/>
      <c r="D2670" s="105" t="s">
        <v>365</v>
      </c>
      <c r="E2670" s="157" t="s">
        <v>1</v>
      </c>
      <c r="F2670" s="158" t="s">
        <v>741</v>
      </c>
      <c r="H2670" s="159">
        <v>1114.92</v>
      </c>
      <c r="I2670" s="160"/>
      <c r="L2670" s="156"/>
      <c r="M2670" s="161"/>
      <c r="T2670" s="162"/>
      <c r="AT2670" s="157" t="s">
        <v>365</v>
      </c>
      <c r="AU2670" s="157" t="s">
        <v>87</v>
      </c>
      <c r="AV2670" s="154" t="s">
        <v>137</v>
      </c>
      <c r="AW2670" s="154" t="s">
        <v>33</v>
      </c>
      <c r="AX2670" s="154" t="s">
        <v>77</v>
      </c>
      <c r="AY2670" s="157" t="s">
        <v>211</v>
      </c>
    </row>
    <row r="2671" spans="2:51" s="136" customFormat="1">
      <c r="B2671" s="138"/>
      <c r="D2671" s="105" t="s">
        <v>365</v>
      </c>
      <c r="E2671" s="139" t="s">
        <v>1</v>
      </c>
      <c r="F2671" s="140" t="s">
        <v>1255</v>
      </c>
      <c r="H2671" s="139" t="s">
        <v>1</v>
      </c>
      <c r="I2671" s="146"/>
      <c r="L2671" s="138"/>
      <c r="M2671" s="147"/>
      <c r="T2671" s="150"/>
      <c r="AT2671" s="139" t="s">
        <v>365</v>
      </c>
      <c r="AU2671" s="139" t="s">
        <v>87</v>
      </c>
      <c r="AV2671" s="136" t="s">
        <v>85</v>
      </c>
      <c r="AW2671" s="136" t="s">
        <v>33</v>
      </c>
      <c r="AX2671" s="136" t="s">
        <v>77</v>
      </c>
      <c r="AY2671" s="139" t="s">
        <v>211</v>
      </c>
    </row>
    <row r="2672" spans="2:51" s="136" customFormat="1">
      <c r="B2672" s="138"/>
      <c r="D2672" s="105" t="s">
        <v>365</v>
      </c>
      <c r="E2672" s="139" t="s">
        <v>1</v>
      </c>
      <c r="F2672" s="140" t="s">
        <v>866</v>
      </c>
      <c r="H2672" s="139" t="s">
        <v>1</v>
      </c>
      <c r="I2672" s="146"/>
      <c r="L2672" s="138"/>
      <c r="M2672" s="147"/>
      <c r="T2672" s="150"/>
      <c r="AT2672" s="139" t="s">
        <v>365</v>
      </c>
      <c r="AU2672" s="139" t="s">
        <v>87</v>
      </c>
      <c r="AV2672" s="136" t="s">
        <v>85</v>
      </c>
      <c r="AW2672" s="136" t="s">
        <v>33</v>
      </c>
      <c r="AX2672" s="136" t="s">
        <v>77</v>
      </c>
      <c r="AY2672" s="139" t="s">
        <v>211</v>
      </c>
    </row>
    <row r="2673" spans="2:51" s="113" customFormat="1">
      <c r="B2673" s="119"/>
      <c r="D2673" s="105" t="s">
        <v>365</v>
      </c>
      <c r="E2673" s="135" t="s">
        <v>1</v>
      </c>
      <c r="F2673" s="120" t="s">
        <v>1256</v>
      </c>
      <c r="H2673" s="121">
        <v>2107.85</v>
      </c>
      <c r="I2673" s="128"/>
      <c r="L2673" s="119"/>
      <c r="M2673" s="129"/>
      <c r="T2673" s="133"/>
      <c r="AT2673" s="135" t="s">
        <v>365</v>
      </c>
      <c r="AU2673" s="135" t="s">
        <v>87</v>
      </c>
      <c r="AV2673" s="113" t="s">
        <v>87</v>
      </c>
      <c r="AW2673" s="113" t="s">
        <v>33</v>
      </c>
      <c r="AX2673" s="113" t="s">
        <v>77</v>
      </c>
      <c r="AY2673" s="135" t="s">
        <v>211</v>
      </c>
    </row>
    <row r="2674" spans="2:51" s="136" customFormat="1">
      <c r="B2674" s="138"/>
      <c r="D2674" s="105" t="s">
        <v>365</v>
      </c>
      <c r="E2674" s="139" t="s">
        <v>1</v>
      </c>
      <c r="F2674" s="140" t="s">
        <v>868</v>
      </c>
      <c r="H2674" s="139" t="s">
        <v>1</v>
      </c>
      <c r="I2674" s="146"/>
      <c r="L2674" s="138"/>
      <c r="M2674" s="147"/>
      <c r="T2674" s="150"/>
      <c r="AT2674" s="139" t="s">
        <v>365</v>
      </c>
      <c r="AU2674" s="139" t="s">
        <v>87</v>
      </c>
      <c r="AV2674" s="136" t="s">
        <v>85</v>
      </c>
      <c r="AW2674" s="136" t="s">
        <v>33</v>
      </c>
      <c r="AX2674" s="136" t="s">
        <v>77</v>
      </c>
      <c r="AY2674" s="139" t="s">
        <v>211</v>
      </c>
    </row>
    <row r="2675" spans="2:51" s="113" customFormat="1">
      <c r="B2675" s="119"/>
      <c r="D2675" s="105" t="s">
        <v>365</v>
      </c>
      <c r="E2675" s="135" t="s">
        <v>1</v>
      </c>
      <c r="F2675" s="120" t="s">
        <v>1257</v>
      </c>
      <c r="H2675" s="121">
        <v>1987.18</v>
      </c>
      <c r="I2675" s="128"/>
      <c r="L2675" s="119"/>
      <c r="M2675" s="129"/>
      <c r="T2675" s="133"/>
      <c r="AT2675" s="135" t="s">
        <v>365</v>
      </c>
      <c r="AU2675" s="135" t="s">
        <v>87</v>
      </c>
      <c r="AV2675" s="113" t="s">
        <v>87</v>
      </c>
      <c r="AW2675" s="113" t="s">
        <v>33</v>
      </c>
      <c r="AX2675" s="113" t="s">
        <v>77</v>
      </c>
      <c r="AY2675" s="135" t="s">
        <v>211</v>
      </c>
    </row>
    <row r="2676" spans="2:51" s="136" customFormat="1">
      <c r="B2676" s="138"/>
      <c r="D2676" s="105" t="s">
        <v>365</v>
      </c>
      <c r="E2676" s="139" t="s">
        <v>1</v>
      </c>
      <c r="F2676" s="140" t="s">
        <v>870</v>
      </c>
      <c r="H2676" s="139" t="s">
        <v>1</v>
      </c>
      <c r="I2676" s="146"/>
      <c r="L2676" s="138"/>
      <c r="M2676" s="147"/>
      <c r="T2676" s="150"/>
      <c r="AT2676" s="139" t="s">
        <v>365</v>
      </c>
      <c r="AU2676" s="139" t="s">
        <v>87</v>
      </c>
      <c r="AV2676" s="136" t="s">
        <v>85</v>
      </c>
      <c r="AW2676" s="136" t="s">
        <v>33</v>
      </c>
      <c r="AX2676" s="136" t="s">
        <v>77</v>
      </c>
      <c r="AY2676" s="139" t="s">
        <v>211</v>
      </c>
    </row>
    <row r="2677" spans="2:51" s="113" customFormat="1">
      <c r="B2677" s="119"/>
      <c r="D2677" s="105" t="s">
        <v>365</v>
      </c>
      <c r="E2677" s="135" t="s">
        <v>1</v>
      </c>
      <c r="F2677" s="120" t="s">
        <v>1258</v>
      </c>
      <c r="H2677" s="121">
        <v>1584.52</v>
      </c>
      <c r="I2677" s="128"/>
      <c r="L2677" s="119"/>
      <c r="M2677" s="129"/>
      <c r="T2677" s="133"/>
      <c r="AT2677" s="135" t="s">
        <v>365</v>
      </c>
      <c r="AU2677" s="135" t="s">
        <v>87</v>
      </c>
      <c r="AV2677" s="113" t="s">
        <v>87</v>
      </c>
      <c r="AW2677" s="113" t="s">
        <v>33</v>
      </c>
      <c r="AX2677" s="113" t="s">
        <v>77</v>
      </c>
      <c r="AY2677" s="135" t="s">
        <v>211</v>
      </c>
    </row>
    <row r="2678" spans="2:51" s="136" customFormat="1">
      <c r="B2678" s="138"/>
      <c r="D2678" s="105" t="s">
        <v>365</v>
      </c>
      <c r="E2678" s="139" t="s">
        <v>1</v>
      </c>
      <c r="F2678" s="140" t="s">
        <v>872</v>
      </c>
      <c r="H2678" s="139" t="s">
        <v>1</v>
      </c>
      <c r="I2678" s="146"/>
      <c r="L2678" s="138"/>
      <c r="M2678" s="147"/>
      <c r="T2678" s="150"/>
      <c r="AT2678" s="139" t="s">
        <v>365</v>
      </c>
      <c r="AU2678" s="139" t="s">
        <v>87</v>
      </c>
      <c r="AV2678" s="136" t="s">
        <v>85</v>
      </c>
      <c r="AW2678" s="136" t="s">
        <v>33</v>
      </c>
      <c r="AX2678" s="136" t="s">
        <v>77</v>
      </c>
      <c r="AY2678" s="139" t="s">
        <v>211</v>
      </c>
    </row>
    <row r="2679" spans="2:51" s="113" customFormat="1">
      <c r="B2679" s="119"/>
      <c r="D2679" s="105" t="s">
        <v>365</v>
      </c>
      <c r="E2679" s="135" t="s">
        <v>1</v>
      </c>
      <c r="F2679" s="120" t="s">
        <v>1259</v>
      </c>
      <c r="H2679" s="121">
        <v>2099.1999999999998</v>
      </c>
      <c r="I2679" s="128"/>
      <c r="L2679" s="119"/>
      <c r="M2679" s="129"/>
      <c r="T2679" s="133"/>
      <c r="AT2679" s="135" t="s">
        <v>365</v>
      </c>
      <c r="AU2679" s="135" t="s">
        <v>87</v>
      </c>
      <c r="AV2679" s="113" t="s">
        <v>87</v>
      </c>
      <c r="AW2679" s="113" t="s">
        <v>33</v>
      </c>
      <c r="AX2679" s="113" t="s">
        <v>77</v>
      </c>
      <c r="AY2679" s="135" t="s">
        <v>211</v>
      </c>
    </row>
    <row r="2680" spans="2:51" s="154" customFormat="1">
      <c r="B2680" s="156"/>
      <c r="D2680" s="105" t="s">
        <v>365</v>
      </c>
      <c r="E2680" s="157" t="s">
        <v>1</v>
      </c>
      <c r="F2680" s="158" t="s">
        <v>741</v>
      </c>
      <c r="H2680" s="159">
        <v>7778.75</v>
      </c>
      <c r="I2680" s="160"/>
      <c r="L2680" s="156"/>
      <c r="M2680" s="161"/>
      <c r="T2680" s="162"/>
      <c r="AT2680" s="157" t="s">
        <v>365</v>
      </c>
      <c r="AU2680" s="157" t="s">
        <v>87</v>
      </c>
      <c r="AV2680" s="154" t="s">
        <v>137</v>
      </c>
      <c r="AW2680" s="154" t="s">
        <v>33</v>
      </c>
      <c r="AX2680" s="154" t="s">
        <v>77</v>
      </c>
      <c r="AY2680" s="157" t="s">
        <v>211</v>
      </c>
    </row>
    <row r="2681" spans="2:51" s="137" customFormat="1">
      <c r="B2681" s="141"/>
      <c r="D2681" s="105" t="s">
        <v>365</v>
      </c>
      <c r="E2681" s="142" t="s">
        <v>1</v>
      </c>
      <c r="F2681" s="143" t="s">
        <v>368</v>
      </c>
      <c r="H2681" s="144">
        <v>10971.07</v>
      </c>
      <c r="I2681" s="148"/>
      <c r="L2681" s="141"/>
      <c r="M2681" s="164"/>
      <c r="N2681" s="165"/>
      <c r="O2681" s="165"/>
      <c r="P2681" s="165"/>
      <c r="Q2681" s="165"/>
      <c r="R2681" s="165"/>
      <c r="S2681" s="165"/>
      <c r="T2681" s="166"/>
      <c r="AT2681" s="142" t="s">
        <v>365</v>
      </c>
      <c r="AU2681" s="142" t="s">
        <v>87</v>
      </c>
      <c r="AV2681" s="137" t="s">
        <v>218</v>
      </c>
      <c r="AW2681" s="137" t="s">
        <v>33</v>
      </c>
      <c r="AX2681" s="137" t="s">
        <v>85</v>
      </c>
      <c r="AY2681" s="142" t="s">
        <v>211</v>
      </c>
    </row>
    <row r="2682" spans="2:51" s="1" customFormat="1" ht="6.9" customHeight="1">
      <c r="B2682" s="26"/>
      <c r="C2682" s="27"/>
      <c r="D2682" s="27"/>
      <c r="E2682" s="27"/>
      <c r="F2682" s="27"/>
      <c r="G2682" s="27"/>
      <c r="H2682" s="27"/>
      <c r="I2682" s="27"/>
      <c r="J2682" s="27"/>
      <c r="K2682" s="27"/>
      <c r="L2682" s="12"/>
    </row>
  </sheetData>
  <autoFilter ref="C147:K2681" xr:uid="{00000000-0009-0000-0000-000002000000}"/>
  <mergeCells count="12">
    <mergeCell ref="L2:V2"/>
    <mergeCell ref="E7:H7"/>
    <mergeCell ref="E9:H9"/>
    <mergeCell ref="E11:H11"/>
    <mergeCell ref="E20:H20"/>
    <mergeCell ref="E138:H138"/>
    <mergeCell ref="E140:H140"/>
    <mergeCell ref="E29:H29"/>
    <mergeCell ref="E85:H85"/>
    <mergeCell ref="E87:H87"/>
    <mergeCell ref="E89:H89"/>
    <mergeCell ref="E136:H136"/>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BM192"/>
  <sheetViews>
    <sheetView showGridLines="0" topLeftCell="A126" workbookViewId="0">
      <selection activeCell="I190" sqref="I190"/>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98</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2" customHeight="1">
      <c r="B8" s="5"/>
      <c r="D8" s="10" t="s">
        <v>182</v>
      </c>
      <c r="L8" s="5"/>
    </row>
    <row r="9" spans="2:46" s="1" customFormat="1" ht="16.5" customHeight="1">
      <c r="B9" s="12"/>
      <c r="E9" s="392" t="s">
        <v>293</v>
      </c>
      <c r="F9" s="394"/>
      <c r="G9" s="394"/>
      <c r="H9" s="394"/>
      <c r="L9" s="12"/>
    </row>
    <row r="10" spans="2:46" s="1" customFormat="1" ht="12" customHeight="1">
      <c r="B10" s="12"/>
      <c r="D10" s="10" t="s">
        <v>296</v>
      </c>
      <c r="L10" s="12"/>
    </row>
    <row r="11" spans="2:46" s="1" customFormat="1" ht="16.5" customHeight="1">
      <c r="B11" s="12"/>
      <c r="E11" s="381" t="s">
        <v>3819</v>
      </c>
      <c r="F11" s="394"/>
      <c r="G11" s="394"/>
      <c r="H11" s="394"/>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395" t="str">
        <f>'Rekapitulace stavby'!E14</f>
        <v>DMG Stav a.s.</v>
      </c>
      <c r="F20" s="384"/>
      <c r="G20" s="384"/>
      <c r="H20" s="384"/>
      <c r="I20" s="10" t="s">
        <v>26</v>
      </c>
      <c r="J20" s="33" t="str">
        <f>'Rekapitulace stavby'!AN14</f>
        <v>CZ 08004013</v>
      </c>
      <c r="L20" s="12"/>
    </row>
    <row r="21" spans="2:12" s="1" customFormat="1" ht="6.9"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 customHeight="1">
      <c r="B27" s="12"/>
      <c r="L27" s="12"/>
    </row>
    <row r="28" spans="2:12" s="1" customFormat="1" ht="12" customHeight="1">
      <c r="B28" s="12"/>
      <c r="D28" s="10" t="s">
        <v>36</v>
      </c>
      <c r="L28" s="12"/>
    </row>
    <row r="29" spans="2:12" s="28" customFormat="1" ht="16.5" customHeight="1">
      <c r="B29" s="34"/>
      <c r="E29" s="388" t="s">
        <v>1</v>
      </c>
      <c r="F29" s="388"/>
      <c r="G29" s="388"/>
      <c r="H29" s="388"/>
      <c r="L29" s="34"/>
    </row>
    <row r="30" spans="2:12" s="1" customFormat="1" ht="6.9" customHeight="1">
      <c r="B30" s="12"/>
      <c r="L30" s="12"/>
    </row>
    <row r="31" spans="2:12" s="1" customFormat="1" ht="6.9" customHeight="1">
      <c r="B31" s="12"/>
      <c r="D31" s="35"/>
      <c r="E31" s="35"/>
      <c r="F31" s="35"/>
      <c r="G31" s="35"/>
      <c r="H31" s="35"/>
      <c r="I31" s="35"/>
      <c r="J31" s="35"/>
      <c r="K31" s="35"/>
      <c r="L31" s="12"/>
    </row>
    <row r="32" spans="2:12" s="1" customFormat="1" ht="25.35" customHeight="1">
      <c r="B32" s="12"/>
      <c r="D32" s="36" t="s">
        <v>37</v>
      </c>
      <c r="J32" s="51">
        <f>ROUND(J130,2)</f>
        <v>5975260</v>
      </c>
      <c r="L32" s="12"/>
    </row>
    <row r="33" spans="2:12" s="1" customFormat="1" ht="6.9" customHeight="1">
      <c r="B33" s="12"/>
      <c r="D33" s="35"/>
      <c r="E33" s="35"/>
      <c r="F33" s="35"/>
      <c r="G33" s="35"/>
      <c r="H33" s="35"/>
      <c r="I33" s="35"/>
      <c r="J33" s="35"/>
      <c r="K33" s="35"/>
      <c r="L33" s="12"/>
    </row>
    <row r="34" spans="2:12" s="1" customFormat="1" ht="14.4" customHeight="1">
      <c r="B34" s="12"/>
      <c r="F34" s="37" t="s">
        <v>39</v>
      </c>
      <c r="I34" s="37" t="s">
        <v>38</v>
      </c>
      <c r="J34" s="37" t="s">
        <v>40</v>
      </c>
      <c r="L34" s="12"/>
    </row>
    <row r="35" spans="2:12" s="1" customFormat="1" ht="14.4" customHeight="1">
      <c r="B35" s="12"/>
      <c r="D35" s="38" t="s">
        <v>41</v>
      </c>
      <c r="E35" s="10" t="s">
        <v>42</v>
      </c>
      <c r="F35" s="39">
        <f>ROUND((SUM(BE130:BE191)),2)</f>
        <v>5975260</v>
      </c>
      <c r="I35" s="52">
        <v>0.21</v>
      </c>
      <c r="J35" s="39">
        <f>ROUND(((SUM(BE130:BE191))*I35),2)</f>
        <v>1254804.6000000001</v>
      </c>
      <c r="L35" s="12"/>
    </row>
    <row r="36" spans="2:12" s="1" customFormat="1" ht="14.4" customHeight="1">
      <c r="B36" s="12"/>
      <c r="E36" s="10" t="s">
        <v>43</v>
      </c>
      <c r="F36" s="39">
        <f>ROUND((SUM(BF130:BF191)),2)</f>
        <v>0</v>
      </c>
      <c r="I36" s="52">
        <v>0.15</v>
      </c>
      <c r="J36" s="39">
        <f>ROUND(((SUM(BF130:BF191))*I36),2)</f>
        <v>0</v>
      </c>
      <c r="L36" s="12"/>
    </row>
    <row r="37" spans="2:12" s="1" customFormat="1" ht="14.4" hidden="1" customHeight="1">
      <c r="B37" s="12"/>
      <c r="E37" s="10" t="s">
        <v>44</v>
      </c>
      <c r="F37" s="39">
        <f>ROUND((SUM(BG130:BG191)),2)</f>
        <v>0</v>
      </c>
      <c r="I37" s="52">
        <v>0.21</v>
      </c>
      <c r="J37" s="39">
        <f>0</f>
        <v>0</v>
      </c>
      <c r="L37" s="12"/>
    </row>
    <row r="38" spans="2:12" s="1" customFormat="1" ht="14.4" hidden="1" customHeight="1">
      <c r="B38" s="12"/>
      <c r="E38" s="10" t="s">
        <v>45</v>
      </c>
      <c r="F38" s="39">
        <f>ROUND((SUM(BH130:BH191)),2)</f>
        <v>0</v>
      </c>
      <c r="I38" s="52">
        <v>0.15</v>
      </c>
      <c r="J38" s="39">
        <f>0</f>
        <v>0</v>
      </c>
      <c r="L38" s="12"/>
    </row>
    <row r="39" spans="2:12" s="1" customFormat="1" ht="14.4" hidden="1" customHeight="1">
      <c r="B39" s="12"/>
      <c r="E39" s="10" t="s">
        <v>46</v>
      </c>
      <c r="F39" s="39">
        <f>ROUND((SUM(BI130:BI191)),2)</f>
        <v>0</v>
      </c>
      <c r="I39" s="52">
        <v>0</v>
      </c>
      <c r="J39" s="39">
        <f>0</f>
        <v>0</v>
      </c>
      <c r="L39" s="12"/>
    </row>
    <row r="40" spans="2:12" s="1" customFormat="1" ht="6.9" customHeight="1">
      <c r="B40" s="12"/>
      <c r="L40" s="12"/>
    </row>
    <row r="41" spans="2:12" s="1" customFormat="1" ht="25.35" customHeight="1">
      <c r="B41" s="12"/>
      <c r="C41" s="40"/>
      <c r="D41" s="41" t="s">
        <v>47</v>
      </c>
      <c r="E41" s="42"/>
      <c r="F41" s="42"/>
      <c r="G41" s="43" t="s">
        <v>48</v>
      </c>
      <c r="H41" s="44" t="s">
        <v>49</v>
      </c>
      <c r="I41" s="42"/>
      <c r="J41" s="53">
        <f>SUM(J32:J39)</f>
        <v>7230064.5999999996</v>
      </c>
      <c r="K41" s="54"/>
      <c r="L41" s="12"/>
    </row>
    <row r="42" spans="2:12" s="1" customFormat="1" ht="14.4" customHeight="1">
      <c r="B42" s="12"/>
      <c r="L42" s="12"/>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s="1" customFormat="1" ht="16.5" customHeight="1">
      <c r="B87" s="12"/>
      <c r="E87" s="392" t="s">
        <v>293</v>
      </c>
      <c r="F87" s="394"/>
      <c r="G87" s="394"/>
      <c r="H87" s="394"/>
      <c r="L87" s="12"/>
    </row>
    <row r="88" spans="2:12" s="1" customFormat="1" ht="12" customHeight="1">
      <c r="B88" s="12"/>
      <c r="C88" s="10" t="s">
        <v>296</v>
      </c>
      <c r="L88" s="12"/>
    </row>
    <row r="89" spans="2:12" s="1" customFormat="1" ht="16.5" customHeight="1">
      <c r="B89" s="12"/>
      <c r="E89" s="381" t="str">
        <f>E11</f>
        <v>D1.410 - ZTI - Kanalizace</v>
      </c>
      <c r="F89" s="394"/>
      <c r="G89" s="394"/>
      <c r="H89" s="394"/>
      <c r="L89" s="12"/>
    </row>
    <row r="90" spans="2:12" s="1" customFormat="1" ht="6.9" customHeight="1">
      <c r="B90" s="12"/>
      <c r="L90" s="12"/>
    </row>
    <row r="91" spans="2:12" s="1" customFormat="1" ht="12" customHeight="1">
      <c r="B91" s="12"/>
      <c r="C91" s="10" t="s">
        <v>20</v>
      </c>
      <c r="F91" s="32" t="str">
        <f>F14</f>
        <v>Praha</v>
      </c>
      <c r="I91" s="10" t="s">
        <v>22</v>
      </c>
      <c r="J91" s="11">
        <f>IF(J14="","",J14)</f>
        <v>45000</v>
      </c>
      <c r="L91" s="12"/>
    </row>
    <row r="92" spans="2:12" s="1" customFormat="1" ht="6.9" customHeight="1">
      <c r="B92" s="12"/>
      <c r="L92" s="12"/>
    </row>
    <row r="93" spans="2:12" s="1" customFormat="1" ht="15.15" customHeight="1">
      <c r="B93" s="12"/>
      <c r="C93" s="10" t="s">
        <v>23</v>
      </c>
      <c r="F93" s="32" t="str">
        <f>E17</f>
        <v>VELTON REAL ESTATE</v>
      </c>
      <c r="I93" s="10" t="s">
        <v>31</v>
      </c>
      <c r="J93" s="8" t="str">
        <f>E23</f>
        <v>ABMV World s.r.o</v>
      </c>
      <c r="L93" s="12"/>
    </row>
    <row r="94" spans="2:12" s="1" customFormat="1" ht="15.15"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J130</f>
        <v>5975260</v>
      </c>
      <c r="L98" s="12"/>
      <c r="AU98" s="23" t="s">
        <v>188</v>
      </c>
    </row>
    <row r="99" spans="2:47" s="29" customFormat="1" ht="24.9" customHeight="1">
      <c r="B99" s="60"/>
      <c r="D99" s="61" t="s">
        <v>3820</v>
      </c>
      <c r="E99" s="62"/>
      <c r="F99" s="62"/>
      <c r="G99" s="62"/>
      <c r="H99" s="62"/>
      <c r="I99" s="62"/>
      <c r="J99" s="77">
        <f>J131</f>
        <v>5975260</v>
      </c>
      <c r="L99" s="60"/>
    </row>
    <row r="100" spans="2:47" s="30" customFormat="1" ht="20.100000000000001" customHeight="1">
      <c r="B100" s="63"/>
      <c r="D100" s="64" t="s">
        <v>3821</v>
      </c>
      <c r="E100" s="65"/>
      <c r="F100" s="65"/>
      <c r="G100" s="65"/>
      <c r="H100" s="65"/>
      <c r="I100" s="65"/>
      <c r="J100" s="78">
        <f>J132</f>
        <v>431400</v>
      </c>
      <c r="L100" s="63"/>
    </row>
    <row r="101" spans="2:47" s="30" customFormat="1" ht="20.100000000000001" customHeight="1">
      <c r="B101" s="63"/>
      <c r="D101" s="64" t="s">
        <v>3822</v>
      </c>
      <c r="E101" s="65"/>
      <c r="F101" s="65"/>
      <c r="G101" s="65"/>
      <c r="H101" s="65"/>
      <c r="I101" s="65"/>
      <c r="J101" s="78">
        <f>J137</f>
        <v>1605100</v>
      </c>
      <c r="L101" s="63"/>
    </row>
    <row r="102" spans="2:47" s="30" customFormat="1" ht="20.100000000000001" customHeight="1">
      <c r="B102" s="63"/>
      <c r="D102" s="64" t="s">
        <v>3823</v>
      </c>
      <c r="E102" s="65"/>
      <c r="F102" s="65"/>
      <c r="G102" s="65"/>
      <c r="H102" s="65"/>
      <c r="I102" s="65"/>
      <c r="J102" s="78">
        <f>J147</f>
        <v>67250</v>
      </c>
      <c r="L102" s="63"/>
    </row>
    <row r="103" spans="2:47" s="30" customFormat="1" ht="20.100000000000001" customHeight="1">
      <c r="B103" s="63"/>
      <c r="D103" s="64" t="s">
        <v>3824</v>
      </c>
      <c r="E103" s="65"/>
      <c r="F103" s="65"/>
      <c r="G103" s="65"/>
      <c r="H103" s="65"/>
      <c r="I103" s="65"/>
      <c r="J103" s="78">
        <f>J151</f>
        <v>834200</v>
      </c>
      <c r="L103" s="63"/>
    </row>
    <row r="104" spans="2:47" s="30" customFormat="1" ht="20.100000000000001" customHeight="1">
      <c r="B104" s="63"/>
      <c r="D104" s="64" t="s">
        <v>3825</v>
      </c>
      <c r="E104" s="65"/>
      <c r="F104" s="65"/>
      <c r="G104" s="65"/>
      <c r="H104" s="65"/>
      <c r="I104" s="65"/>
      <c r="J104" s="78">
        <f>J165</f>
        <v>664800</v>
      </c>
      <c r="L104" s="63"/>
    </row>
    <row r="105" spans="2:47" s="30" customFormat="1" ht="20.100000000000001" customHeight="1">
      <c r="B105" s="63"/>
      <c r="D105" s="64" t="s">
        <v>3826</v>
      </c>
      <c r="E105" s="65"/>
      <c r="F105" s="65"/>
      <c r="G105" s="65"/>
      <c r="H105" s="65"/>
      <c r="I105" s="65"/>
      <c r="J105" s="78">
        <f>J170</f>
        <v>268010</v>
      </c>
      <c r="L105" s="63"/>
    </row>
    <row r="106" spans="2:47" s="30" customFormat="1" ht="20.100000000000001" customHeight="1">
      <c r="B106" s="63"/>
      <c r="D106" s="64" t="s">
        <v>3827</v>
      </c>
      <c r="E106" s="65"/>
      <c r="F106" s="65"/>
      <c r="G106" s="65"/>
      <c r="H106" s="65"/>
      <c r="I106" s="65"/>
      <c r="J106" s="78">
        <f>J175</f>
        <v>473000</v>
      </c>
      <c r="L106" s="63"/>
    </row>
    <row r="107" spans="2:47" s="30" customFormat="1" ht="20.100000000000001" customHeight="1">
      <c r="B107" s="63"/>
      <c r="D107" s="64" t="s">
        <v>3828</v>
      </c>
      <c r="E107" s="65"/>
      <c r="F107" s="65"/>
      <c r="G107" s="65"/>
      <c r="H107" s="65"/>
      <c r="I107" s="65"/>
      <c r="J107" s="78">
        <f>J180</f>
        <v>1481500</v>
      </c>
      <c r="L107" s="63"/>
    </row>
    <row r="108" spans="2:47" s="30" customFormat="1" ht="20.100000000000001" customHeight="1">
      <c r="B108" s="63"/>
      <c r="D108" s="64" t="s">
        <v>3829</v>
      </c>
      <c r="E108" s="65"/>
      <c r="F108" s="65"/>
      <c r="G108" s="65"/>
      <c r="H108" s="65"/>
      <c r="I108" s="65"/>
      <c r="J108" s="78">
        <f>J190</f>
        <v>150000</v>
      </c>
      <c r="L108" s="63"/>
    </row>
    <row r="109" spans="2:47" s="1" customFormat="1" ht="21.75" customHeight="1">
      <c r="B109" s="12"/>
      <c r="L109" s="12"/>
    </row>
    <row r="110" spans="2:47" s="1" customFormat="1" ht="6.9" customHeight="1">
      <c r="B110" s="26"/>
      <c r="C110" s="27"/>
      <c r="D110" s="27"/>
      <c r="E110" s="27"/>
      <c r="F110" s="27"/>
      <c r="G110" s="27"/>
      <c r="H110" s="27"/>
      <c r="I110" s="27"/>
      <c r="J110" s="27"/>
      <c r="K110" s="27"/>
      <c r="L110" s="12"/>
    </row>
    <row r="114" spans="2:12" s="1" customFormat="1" ht="6.9" customHeight="1">
      <c r="B114" s="56"/>
      <c r="C114" s="57"/>
      <c r="D114" s="57"/>
      <c r="E114" s="57"/>
      <c r="F114" s="57"/>
      <c r="G114" s="57"/>
      <c r="H114" s="57"/>
      <c r="I114" s="57"/>
      <c r="J114" s="57"/>
      <c r="K114" s="57"/>
      <c r="L114" s="12"/>
    </row>
    <row r="115" spans="2:12" s="1" customFormat="1" ht="24.9" customHeight="1">
      <c r="B115" s="12"/>
      <c r="C115" s="6" t="s">
        <v>195</v>
      </c>
      <c r="L115" s="12"/>
    </row>
    <row r="116" spans="2:12" s="1" customFormat="1" ht="6.9" customHeight="1">
      <c r="B116" s="12"/>
      <c r="L116" s="12"/>
    </row>
    <row r="117" spans="2:12" s="1" customFormat="1" ht="12" customHeight="1">
      <c r="B117" s="12"/>
      <c r="C117" s="10" t="s">
        <v>16</v>
      </c>
      <c r="L117" s="12"/>
    </row>
    <row r="118" spans="2:12" s="1" customFormat="1" ht="16.5" customHeight="1">
      <c r="B118" s="12"/>
      <c r="E118" s="392" t="str">
        <f>E7</f>
        <v>Bytový soubor Libuše</v>
      </c>
      <c r="F118" s="393"/>
      <c r="G118" s="393"/>
      <c r="H118" s="393"/>
      <c r="L118" s="12"/>
    </row>
    <row r="119" spans="2:12" ht="12" customHeight="1">
      <c r="B119" s="5"/>
      <c r="C119" s="10" t="s">
        <v>182</v>
      </c>
      <c r="L119" s="5"/>
    </row>
    <row r="120" spans="2:12" s="1" customFormat="1" ht="16.5" customHeight="1">
      <c r="B120" s="12"/>
      <c r="E120" s="392" t="s">
        <v>293</v>
      </c>
      <c r="F120" s="394"/>
      <c r="G120" s="394"/>
      <c r="H120" s="394"/>
      <c r="L120" s="12"/>
    </row>
    <row r="121" spans="2:12" s="1" customFormat="1" ht="12" customHeight="1">
      <c r="B121" s="12"/>
      <c r="C121" s="10" t="s">
        <v>296</v>
      </c>
      <c r="L121" s="12"/>
    </row>
    <row r="122" spans="2:12" s="1" customFormat="1" ht="16.5" customHeight="1">
      <c r="B122" s="12"/>
      <c r="E122" s="381" t="str">
        <f>E11</f>
        <v>D1.410 - ZTI - Kanalizace</v>
      </c>
      <c r="F122" s="394"/>
      <c r="G122" s="394"/>
      <c r="H122" s="394"/>
      <c r="L122" s="12"/>
    </row>
    <row r="123" spans="2:12" s="1" customFormat="1" ht="6.9" customHeight="1">
      <c r="B123" s="12"/>
      <c r="L123" s="12"/>
    </row>
    <row r="124" spans="2:12" s="1" customFormat="1" ht="12" customHeight="1">
      <c r="B124" s="12"/>
      <c r="C124" s="10" t="s">
        <v>20</v>
      </c>
      <c r="F124" s="32" t="str">
        <f>F14</f>
        <v>Praha</v>
      </c>
      <c r="I124" s="10" t="s">
        <v>22</v>
      </c>
      <c r="J124" s="11">
        <f>IF(J14="","",J14)</f>
        <v>45000</v>
      </c>
      <c r="L124" s="12"/>
    </row>
    <row r="125" spans="2:12" s="1" customFormat="1" ht="6.9" customHeight="1">
      <c r="B125" s="12"/>
      <c r="L125" s="12"/>
    </row>
    <row r="126" spans="2:12" s="1" customFormat="1" ht="15.15" customHeight="1">
      <c r="B126" s="12"/>
      <c r="C126" s="10" t="s">
        <v>23</v>
      </c>
      <c r="F126" s="32" t="str">
        <f>E17</f>
        <v>VELTON REAL ESTATE</v>
      </c>
      <c r="I126" s="10" t="s">
        <v>31</v>
      </c>
      <c r="J126" s="8" t="str">
        <f>E23</f>
        <v>ABMV World s.r.o</v>
      </c>
      <c r="L126" s="12"/>
    </row>
    <row r="127" spans="2:12" s="1" customFormat="1" ht="15.15" customHeight="1">
      <c r="B127" s="12"/>
      <c r="C127" s="10" t="s">
        <v>27</v>
      </c>
      <c r="F127" s="32" t="str">
        <f>IF(E20="","",E20)</f>
        <v>DMG Stav a.s.</v>
      </c>
      <c r="I127" s="10" t="s">
        <v>34</v>
      </c>
      <c r="J127" s="8" t="str">
        <f>E26</f>
        <v>QSB s.r.o.</v>
      </c>
      <c r="L127" s="12"/>
    </row>
    <row r="128" spans="2:12" s="1" customFormat="1" ht="10.35" customHeight="1">
      <c r="B128" s="12"/>
      <c r="L128" s="12"/>
    </row>
    <row r="129" spans="2:65" s="2" customFormat="1" ht="29.25" customHeight="1">
      <c r="B129" s="13"/>
      <c r="C129" s="14" t="s">
        <v>196</v>
      </c>
      <c r="D129" s="15" t="s">
        <v>62</v>
      </c>
      <c r="E129" s="15" t="s">
        <v>58</v>
      </c>
      <c r="F129" s="15" t="s">
        <v>59</v>
      </c>
      <c r="G129" s="15" t="s">
        <v>197</v>
      </c>
      <c r="H129" s="15" t="s">
        <v>198</v>
      </c>
      <c r="I129" s="15" t="s">
        <v>199</v>
      </c>
      <c r="J129" s="16" t="s">
        <v>186</v>
      </c>
      <c r="K129" s="79" t="s">
        <v>200</v>
      </c>
      <c r="L129" s="13"/>
      <c r="M129" s="80" t="s">
        <v>1</v>
      </c>
      <c r="N129" s="81" t="s">
        <v>41</v>
      </c>
      <c r="O129" s="81" t="s">
        <v>201</v>
      </c>
      <c r="P129" s="81" t="s">
        <v>202</v>
      </c>
      <c r="Q129" s="81" t="s">
        <v>203</v>
      </c>
      <c r="R129" s="81" t="s">
        <v>204</v>
      </c>
      <c r="S129" s="81" t="s">
        <v>205</v>
      </c>
      <c r="T129" s="96" t="s">
        <v>206</v>
      </c>
    </row>
    <row r="130" spans="2:65" s="1" customFormat="1" ht="23.1" customHeight="1">
      <c r="B130" s="12"/>
      <c r="C130" s="66" t="s">
        <v>207</v>
      </c>
      <c r="J130" s="82">
        <f>BK130</f>
        <v>5975260</v>
      </c>
      <c r="L130" s="12"/>
      <c r="M130" s="83"/>
      <c r="N130" s="35"/>
      <c r="O130" s="35"/>
      <c r="P130" s="84">
        <f>P131</f>
        <v>0</v>
      </c>
      <c r="Q130" s="35"/>
      <c r="R130" s="84">
        <f>R131</f>
        <v>0</v>
      </c>
      <c r="S130" s="35"/>
      <c r="T130" s="97">
        <f>T131</f>
        <v>0</v>
      </c>
      <c r="AT130" s="23" t="s">
        <v>76</v>
      </c>
      <c r="AU130" s="23" t="s">
        <v>188</v>
      </c>
      <c r="BK130" s="102">
        <f>BK131</f>
        <v>5975260</v>
      </c>
    </row>
    <row r="131" spans="2:65" s="31" customFormat="1" ht="26.1" customHeight="1">
      <c r="B131" s="67"/>
      <c r="D131" s="68" t="s">
        <v>76</v>
      </c>
      <c r="E131" s="69" t="s">
        <v>3830</v>
      </c>
      <c r="F131" s="69" t="s">
        <v>3831</v>
      </c>
      <c r="I131" s="85"/>
      <c r="J131" s="86">
        <f>BK131</f>
        <v>5975260</v>
      </c>
      <c r="L131" s="67"/>
      <c r="M131" s="87"/>
      <c r="P131" s="88">
        <f>P132+P137+P147+P151+P165+P170+P175+P180+P190</f>
        <v>0</v>
      </c>
      <c r="R131" s="88">
        <f>R132+R137+R147+R151+R165+R170+R175+R180+R190</f>
        <v>0</v>
      </c>
      <c r="T131" s="98">
        <f>T132+T137+T147+T151+T165+T170+T175+T180+T190</f>
        <v>0</v>
      </c>
      <c r="AR131" s="68" t="s">
        <v>85</v>
      </c>
      <c r="AT131" s="100" t="s">
        <v>76</v>
      </c>
      <c r="AU131" s="100" t="s">
        <v>77</v>
      </c>
      <c r="AY131" s="68" t="s">
        <v>211</v>
      </c>
      <c r="BK131" s="103">
        <f>BK132+BK137+BK147+BK151+BK165+BK170+BK175+BK180+BK190</f>
        <v>5975260</v>
      </c>
    </row>
    <row r="132" spans="2:65" s="31" customFormat="1" ht="23.1" customHeight="1">
      <c r="B132" s="67"/>
      <c r="D132" s="68" t="s">
        <v>76</v>
      </c>
      <c r="E132" s="70" t="s">
        <v>3832</v>
      </c>
      <c r="F132" s="70" t="s">
        <v>3833</v>
      </c>
      <c r="I132" s="85"/>
      <c r="J132" s="89">
        <f>BK132</f>
        <v>431400</v>
      </c>
      <c r="L132" s="67"/>
      <c r="M132" s="87"/>
      <c r="P132" s="88">
        <f>SUM(P133:P136)</f>
        <v>0</v>
      </c>
      <c r="R132" s="88">
        <f>SUM(R133:R136)</f>
        <v>0</v>
      </c>
      <c r="T132" s="98">
        <f>SUM(T133:T136)</f>
        <v>0</v>
      </c>
      <c r="AR132" s="68" t="s">
        <v>85</v>
      </c>
      <c r="AT132" s="100" t="s">
        <v>76</v>
      </c>
      <c r="AU132" s="100" t="s">
        <v>85</v>
      </c>
      <c r="AY132" s="68" t="s">
        <v>211</v>
      </c>
      <c r="BK132" s="103">
        <f>SUM(BK133:BK136)</f>
        <v>431400</v>
      </c>
    </row>
    <row r="133" spans="2:65" s="1" customFormat="1" ht="44.25" customHeight="1">
      <c r="B133" s="12"/>
      <c r="C133" s="71" t="s">
        <v>85</v>
      </c>
      <c r="D133" s="71" t="s">
        <v>214</v>
      </c>
      <c r="E133" s="72" t="s">
        <v>3834</v>
      </c>
      <c r="F133" s="73" t="s">
        <v>3835</v>
      </c>
      <c r="G133" s="74" t="s">
        <v>431</v>
      </c>
      <c r="H133" s="75">
        <v>20</v>
      </c>
      <c r="I133" s="90">
        <v>1920</v>
      </c>
      <c r="J133" s="91">
        <f>ROUND(I133*H133,2)</f>
        <v>38400</v>
      </c>
      <c r="K133" s="92"/>
      <c r="L133" s="12"/>
      <c r="M133" s="93" t="s">
        <v>1</v>
      </c>
      <c r="N133" s="94" t="s">
        <v>42</v>
      </c>
      <c r="P133" s="95">
        <f>O133*H133</f>
        <v>0</v>
      </c>
      <c r="Q133" s="95">
        <v>0</v>
      </c>
      <c r="R133" s="95">
        <f>Q133*H133</f>
        <v>0</v>
      </c>
      <c r="S133" s="95">
        <v>0</v>
      </c>
      <c r="T133" s="99">
        <f>S133*H133</f>
        <v>0</v>
      </c>
      <c r="AR133" s="101" t="s">
        <v>218</v>
      </c>
      <c r="AT133" s="101" t="s">
        <v>214</v>
      </c>
      <c r="AU133" s="101" t="s">
        <v>87</v>
      </c>
      <c r="AY133" s="23" t="s">
        <v>211</v>
      </c>
      <c r="BE133" s="104">
        <f>IF(N133="základní",J133,0)</f>
        <v>38400</v>
      </c>
      <c r="BF133" s="104">
        <f>IF(N133="snížená",J133,0)</f>
        <v>0</v>
      </c>
      <c r="BG133" s="104">
        <f>IF(N133="zákl. přenesená",J133,0)</f>
        <v>0</v>
      </c>
      <c r="BH133" s="104">
        <f>IF(N133="sníž. přenesená",J133,0)</f>
        <v>0</v>
      </c>
      <c r="BI133" s="104">
        <f>IF(N133="nulová",J133,0)</f>
        <v>0</v>
      </c>
      <c r="BJ133" s="23" t="s">
        <v>85</v>
      </c>
      <c r="BK133" s="104">
        <f>ROUND(I133*H133,2)</f>
        <v>38400</v>
      </c>
      <c r="BL133" s="23" t="s">
        <v>218</v>
      </c>
      <c r="BM133" s="101" t="s">
        <v>87</v>
      </c>
    </row>
    <row r="134" spans="2:65" s="1" customFormat="1" ht="44.25" customHeight="1">
      <c r="B134" s="12"/>
      <c r="C134" s="71" t="s">
        <v>87</v>
      </c>
      <c r="D134" s="71" t="s">
        <v>214</v>
      </c>
      <c r="E134" s="72" t="s">
        <v>951</v>
      </c>
      <c r="F134" s="73" t="s">
        <v>3836</v>
      </c>
      <c r="G134" s="74" t="s">
        <v>431</v>
      </c>
      <c r="H134" s="75">
        <v>75</v>
      </c>
      <c r="I134" s="90">
        <v>1650</v>
      </c>
      <c r="J134" s="91">
        <f>ROUND(I134*H134,2)</f>
        <v>123750</v>
      </c>
      <c r="K134" s="92"/>
      <c r="L134" s="12"/>
      <c r="M134" s="93" t="s">
        <v>1</v>
      </c>
      <c r="N134" s="94" t="s">
        <v>42</v>
      </c>
      <c r="P134" s="95">
        <f>O134*H134</f>
        <v>0</v>
      </c>
      <c r="Q134" s="95">
        <v>0</v>
      </c>
      <c r="R134" s="95">
        <f>Q134*H134</f>
        <v>0</v>
      </c>
      <c r="S134" s="95">
        <v>0</v>
      </c>
      <c r="T134" s="99">
        <f>S134*H134</f>
        <v>0</v>
      </c>
      <c r="AR134" s="101" t="s">
        <v>218</v>
      </c>
      <c r="AT134" s="101" t="s">
        <v>214</v>
      </c>
      <c r="AU134" s="101" t="s">
        <v>87</v>
      </c>
      <c r="AY134" s="23" t="s">
        <v>211</v>
      </c>
      <c r="BE134" s="104">
        <f>IF(N134="základní",J134,0)</f>
        <v>123750</v>
      </c>
      <c r="BF134" s="104">
        <f>IF(N134="snížená",J134,0)</f>
        <v>0</v>
      </c>
      <c r="BG134" s="104">
        <f>IF(N134="zákl. přenesená",J134,0)</f>
        <v>0</v>
      </c>
      <c r="BH134" s="104">
        <f>IF(N134="sníž. přenesená",J134,0)</f>
        <v>0</v>
      </c>
      <c r="BI134" s="104">
        <f>IF(N134="nulová",J134,0)</f>
        <v>0</v>
      </c>
      <c r="BJ134" s="23" t="s">
        <v>85</v>
      </c>
      <c r="BK134" s="104">
        <f>ROUND(I134*H134,2)</f>
        <v>123750</v>
      </c>
      <c r="BL134" s="23" t="s">
        <v>218</v>
      </c>
      <c r="BM134" s="101" t="s">
        <v>218</v>
      </c>
    </row>
    <row r="135" spans="2:65" s="1" customFormat="1" ht="44.25" customHeight="1">
      <c r="B135" s="12"/>
      <c r="C135" s="71" t="s">
        <v>137</v>
      </c>
      <c r="D135" s="71" t="s">
        <v>214</v>
      </c>
      <c r="E135" s="72" t="s">
        <v>920</v>
      </c>
      <c r="F135" s="73" t="s">
        <v>3837</v>
      </c>
      <c r="G135" s="74" t="s">
        <v>431</v>
      </c>
      <c r="H135" s="75">
        <v>115</v>
      </c>
      <c r="I135" s="90">
        <v>1350</v>
      </c>
      <c r="J135" s="91">
        <f>ROUND(I135*H135,2)</f>
        <v>155250</v>
      </c>
      <c r="K135" s="92"/>
      <c r="L135" s="12"/>
      <c r="M135" s="93" t="s">
        <v>1</v>
      </c>
      <c r="N135" s="94" t="s">
        <v>42</v>
      </c>
      <c r="P135" s="95">
        <f>O135*H135</f>
        <v>0</v>
      </c>
      <c r="Q135" s="95">
        <v>0</v>
      </c>
      <c r="R135" s="95">
        <f>Q135*H135</f>
        <v>0</v>
      </c>
      <c r="S135" s="95">
        <v>0</v>
      </c>
      <c r="T135" s="99">
        <f>S135*H135</f>
        <v>0</v>
      </c>
      <c r="AR135" s="101" t="s">
        <v>218</v>
      </c>
      <c r="AT135" s="101" t="s">
        <v>214</v>
      </c>
      <c r="AU135" s="101" t="s">
        <v>87</v>
      </c>
      <c r="AY135" s="23" t="s">
        <v>211</v>
      </c>
      <c r="BE135" s="104">
        <f>IF(N135="základní",J135,0)</f>
        <v>155250</v>
      </c>
      <c r="BF135" s="104">
        <f>IF(N135="snížená",J135,0)</f>
        <v>0</v>
      </c>
      <c r="BG135" s="104">
        <f>IF(N135="zákl. přenesená",J135,0)</f>
        <v>0</v>
      </c>
      <c r="BH135" s="104">
        <f>IF(N135="sníž. přenesená",J135,0)</f>
        <v>0</v>
      </c>
      <c r="BI135" s="104">
        <f>IF(N135="nulová",J135,0)</f>
        <v>0</v>
      </c>
      <c r="BJ135" s="23" t="s">
        <v>85</v>
      </c>
      <c r="BK135" s="104">
        <f>ROUND(I135*H135,2)</f>
        <v>155250</v>
      </c>
      <c r="BL135" s="23" t="s">
        <v>218</v>
      </c>
      <c r="BM135" s="101" t="s">
        <v>239</v>
      </c>
    </row>
    <row r="136" spans="2:65" s="1" customFormat="1" ht="44.25" customHeight="1">
      <c r="B136" s="12"/>
      <c r="C136" s="71" t="s">
        <v>218</v>
      </c>
      <c r="D136" s="71" t="s">
        <v>214</v>
      </c>
      <c r="E136" s="72" t="s">
        <v>928</v>
      </c>
      <c r="F136" s="73" t="s">
        <v>3838</v>
      </c>
      <c r="G136" s="74" t="s">
        <v>431</v>
      </c>
      <c r="H136" s="75">
        <v>95</v>
      </c>
      <c r="I136" s="90">
        <v>1200</v>
      </c>
      <c r="J136" s="91">
        <f>ROUND(I136*H136,2)</f>
        <v>114000</v>
      </c>
      <c r="K136" s="92"/>
      <c r="L136" s="12"/>
      <c r="M136" s="93" t="s">
        <v>1</v>
      </c>
      <c r="N136" s="94" t="s">
        <v>42</v>
      </c>
      <c r="P136" s="95">
        <f>O136*H136</f>
        <v>0</v>
      </c>
      <c r="Q136" s="95">
        <v>0</v>
      </c>
      <c r="R136" s="95">
        <f>Q136*H136</f>
        <v>0</v>
      </c>
      <c r="S136" s="95">
        <v>0</v>
      </c>
      <c r="T136" s="99">
        <f>S136*H136</f>
        <v>0</v>
      </c>
      <c r="AR136" s="101" t="s">
        <v>218</v>
      </c>
      <c r="AT136" s="101" t="s">
        <v>214</v>
      </c>
      <c r="AU136" s="101" t="s">
        <v>87</v>
      </c>
      <c r="AY136" s="23" t="s">
        <v>211</v>
      </c>
      <c r="BE136" s="104">
        <f>IF(N136="základní",J136,0)</f>
        <v>114000</v>
      </c>
      <c r="BF136" s="104">
        <f>IF(N136="snížená",J136,0)</f>
        <v>0</v>
      </c>
      <c r="BG136" s="104">
        <f>IF(N136="zákl. přenesená",J136,0)</f>
        <v>0</v>
      </c>
      <c r="BH136" s="104">
        <f>IF(N136="sníž. přenesená",J136,0)</f>
        <v>0</v>
      </c>
      <c r="BI136" s="104">
        <f>IF(N136="nulová",J136,0)</f>
        <v>0</v>
      </c>
      <c r="BJ136" s="23" t="s">
        <v>85</v>
      </c>
      <c r="BK136" s="104">
        <f>ROUND(I136*H136,2)</f>
        <v>114000</v>
      </c>
      <c r="BL136" s="23" t="s">
        <v>218</v>
      </c>
      <c r="BM136" s="101" t="s">
        <v>250</v>
      </c>
    </row>
    <row r="137" spans="2:65" s="31" customFormat="1" ht="23.1" customHeight="1">
      <c r="B137" s="67"/>
      <c r="D137" s="68" t="s">
        <v>76</v>
      </c>
      <c r="E137" s="70" t="s">
        <v>3839</v>
      </c>
      <c r="F137" s="70" t="s">
        <v>3840</v>
      </c>
      <c r="I137" s="85"/>
      <c r="J137" s="89">
        <f>BK137</f>
        <v>1605100</v>
      </c>
      <c r="L137" s="67"/>
      <c r="M137" s="87"/>
      <c r="P137" s="88">
        <f>SUM(P138:P146)</f>
        <v>0</v>
      </c>
      <c r="R137" s="88">
        <f>SUM(R138:R146)</f>
        <v>0</v>
      </c>
      <c r="T137" s="98">
        <f>SUM(T138:T146)</f>
        <v>0</v>
      </c>
      <c r="AR137" s="68" t="s">
        <v>85</v>
      </c>
      <c r="AT137" s="100" t="s">
        <v>76</v>
      </c>
      <c r="AU137" s="100" t="s">
        <v>85</v>
      </c>
      <c r="AY137" s="68" t="s">
        <v>211</v>
      </c>
      <c r="BK137" s="103">
        <f>SUM(BK138:BK146)</f>
        <v>1605100</v>
      </c>
    </row>
    <row r="138" spans="2:65" s="1" customFormat="1" ht="38.1" customHeight="1">
      <c r="B138" s="12"/>
      <c r="C138" s="71" t="s">
        <v>210</v>
      </c>
      <c r="D138" s="71" t="s">
        <v>214</v>
      </c>
      <c r="E138" s="72" t="s">
        <v>3841</v>
      </c>
      <c r="F138" s="73" t="s">
        <v>3842</v>
      </c>
      <c r="G138" s="74" t="s">
        <v>431</v>
      </c>
      <c r="H138" s="75">
        <v>70</v>
      </c>
      <c r="I138" s="90">
        <v>690</v>
      </c>
      <c r="J138" s="91">
        <f t="shared" ref="J138:J146" si="0">ROUND(I138*H138,2)</f>
        <v>48300</v>
      </c>
      <c r="K138" s="92"/>
      <c r="L138" s="12"/>
      <c r="M138" s="93" t="s">
        <v>1</v>
      </c>
      <c r="N138" s="94" t="s">
        <v>42</v>
      </c>
      <c r="P138" s="95">
        <f t="shared" ref="P138:P146" si="1">O138*H138</f>
        <v>0</v>
      </c>
      <c r="Q138" s="95">
        <v>0</v>
      </c>
      <c r="R138" s="95">
        <f t="shared" ref="R138:R146" si="2">Q138*H138</f>
        <v>0</v>
      </c>
      <c r="S138" s="95">
        <v>0</v>
      </c>
      <c r="T138" s="99">
        <f t="shared" ref="T138:T146" si="3">S138*H138</f>
        <v>0</v>
      </c>
      <c r="AR138" s="101" t="s">
        <v>218</v>
      </c>
      <c r="AT138" s="101" t="s">
        <v>214</v>
      </c>
      <c r="AU138" s="101" t="s">
        <v>87</v>
      </c>
      <c r="AY138" s="23" t="s">
        <v>211</v>
      </c>
      <c r="BE138" s="104">
        <f t="shared" ref="BE138:BE146" si="4">IF(N138="základní",J138,0)</f>
        <v>48300</v>
      </c>
      <c r="BF138" s="104">
        <f t="shared" ref="BF138:BF146" si="5">IF(N138="snížená",J138,0)</f>
        <v>0</v>
      </c>
      <c r="BG138" s="104">
        <f t="shared" ref="BG138:BG146" si="6">IF(N138="zákl. přenesená",J138,0)</f>
        <v>0</v>
      </c>
      <c r="BH138" s="104">
        <f t="shared" ref="BH138:BH146" si="7">IF(N138="sníž. přenesená",J138,0)</f>
        <v>0</v>
      </c>
      <c r="BI138" s="104">
        <f t="shared" ref="BI138:BI146" si="8">IF(N138="nulová",J138,0)</f>
        <v>0</v>
      </c>
      <c r="BJ138" s="23" t="s">
        <v>85</v>
      </c>
      <c r="BK138" s="104">
        <f t="shared" ref="BK138:BK146" si="9">ROUND(I138*H138,2)</f>
        <v>48300</v>
      </c>
      <c r="BL138" s="23" t="s">
        <v>218</v>
      </c>
      <c r="BM138" s="101" t="s">
        <v>259</v>
      </c>
    </row>
    <row r="139" spans="2:65" s="1" customFormat="1" ht="38.1" customHeight="1">
      <c r="B139" s="12"/>
      <c r="C139" s="71" t="s">
        <v>239</v>
      </c>
      <c r="D139" s="71" t="s">
        <v>214</v>
      </c>
      <c r="E139" s="72" t="s">
        <v>936</v>
      </c>
      <c r="F139" s="73" t="s">
        <v>3843</v>
      </c>
      <c r="G139" s="74" t="s">
        <v>431</v>
      </c>
      <c r="H139" s="75">
        <v>420</v>
      </c>
      <c r="I139" s="90">
        <v>620</v>
      </c>
      <c r="J139" s="91">
        <f t="shared" si="0"/>
        <v>260400</v>
      </c>
      <c r="K139" s="92"/>
      <c r="L139" s="12"/>
      <c r="M139" s="93" t="s">
        <v>1</v>
      </c>
      <c r="N139" s="94" t="s">
        <v>42</v>
      </c>
      <c r="P139" s="95">
        <f t="shared" si="1"/>
        <v>0</v>
      </c>
      <c r="Q139" s="95">
        <v>0</v>
      </c>
      <c r="R139" s="95">
        <f t="shared" si="2"/>
        <v>0</v>
      </c>
      <c r="S139" s="95">
        <v>0</v>
      </c>
      <c r="T139" s="99">
        <f t="shared" si="3"/>
        <v>0</v>
      </c>
      <c r="AR139" s="101" t="s">
        <v>218</v>
      </c>
      <c r="AT139" s="101" t="s">
        <v>214</v>
      </c>
      <c r="AU139" s="101" t="s">
        <v>87</v>
      </c>
      <c r="AY139" s="23" t="s">
        <v>211</v>
      </c>
      <c r="BE139" s="104">
        <f t="shared" si="4"/>
        <v>260400</v>
      </c>
      <c r="BF139" s="104">
        <f t="shared" si="5"/>
        <v>0</v>
      </c>
      <c r="BG139" s="104">
        <f t="shared" si="6"/>
        <v>0</v>
      </c>
      <c r="BH139" s="104">
        <f t="shared" si="7"/>
        <v>0</v>
      </c>
      <c r="BI139" s="104">
        <f t="shared" si="8"/>
        <v>0</v>
      </c>
      <c r="BJ139" s="23" t="s">
        <v>85</v>
      </c>
      <c r="BK139" s="104">
        <f t="shared" si="9"/>
        <v>260400</v>
      </c>
      <c r="BL139" s="23" t="s">
        <v>218</v>
      </c>
      <c r="BM139" s="101" t="s">
        <v>273</v>
      </c>
    </row>
    <row r="140" spans="2:65" s="1" customFormat="1" ht="38.1" customHeight="1">
      <c r="B140" s="12"/>
      <c r="C140" s="71" t="s">
        <v>245</v>
      </c>
      <c r="D140" s="71" t="s">
        <v>214</v>
      </c>
      <c r="E140" s="72" t="s">
        <v>943</v>
      </c>
      <c r="F140" s="73" t="s">
        <v>3844</v>
      </c>
      <c r="G140" s="74" t="s">
        <v>431</v>
      </c>
      <c r="H140" s="75">
        <v>270</v>
      </c>
      <c r="I140" s="90">
        <v>560</v>
      </c>
      <c r="J140" s="91">
        <f t="shared" si="0"/>
        <v>151200</v>
      </c>
      <c r="K140" s="92"/>
      <c r="L140" s="12"/>
      <c r="M140" s="93" t="s">
        <v>1</v>
      </c>
      <c r="N140" s="94" t="s">
        <v>42</v>
      </c>
      <c r="P140" s="95">
        <f t="shared" si="1"/>
        <v>0</v>
      </c>
      <c r="Q140" s="95">
        <v>0</v>
      </c>
      <c r="R140" s="95">
        <f t="shared" si="2"/>
        <v>0</v>
      </c>
      <c r="S140" s="95">
        <v>0</v>
      </c>
      <c r="T140" s="99">
        <f t="shared" si="3"/>
        <v>0</v>
      </c>
      <c r="AR140" s="101" t="s">
        <v>218</v>
      </c>
      <c r="AT140" s="101" t="s">
        <v>214</v>
      </c>
      <c r="AU140" s="101" t="s">
        <v>87</v>
      </c>
      <c r="AY140" s="23" t="s">
        <v>211</v>
      </c>
      <c r="BE140" s="104">
        <f t="shared" si="4"/>
        <v>151200</v>
      </c>
      <c r="BF140" s="104">
        <f t="shared" si="5"/>
        <v>0</v>
      </c>
      <c r="BG140" s="104">
        <f t="shared" si="6"/>
        <v>0</v>
      </c>
      <c r="BH140" s="104">
        <f t="shared" si="7"/>
        <v>0</v>
      </c>
      <c r="BI140" s="104">
        <f t="shared" si="8"/>
        <v>0</v>
      </c>
      <c r="BJ140" s="23" t="s">
        <v>85</v>
      </c>
      <c r="BK140" s="104">
        <f t="shared" si="9"/>
        <v>151200</v>
      </c>
      <c r="BL140" s="23" t="s">
        <v>218</v>
      </c>
      <c r="BM140" s="101" t="s">
        <v>437</v>
      </c>
    </row>
    <row r="141" spans="2:65" s="1" customFormat="1" ht="38.1" customHeight="1">
      <c r="B141" s="12"/>
      <c r="C141" s="71" t="s">
        <v>250</v>
      </c>
      <c r="D141" s="71" t="s">
        <v>214</v>
      </c>
      <c r="E141" s="72" t="s">
        <v>1113</v>
      </c>
      <c r="F141" s="73" t="s">
        <v>3845</v>
      </c>
      <c r="G141" s="74" t="s">
        <v>431</v>
      </c>
      <c r="H141" s="75">
        <v>460</v>
      </c>
      <c r="I141" s="90">
        <v>450</v>
      </c>
      <c r="J141" s="91">
        <f t="shared" si="0"/>
        <v>207000</v>
      </c>
      <c r="K141" s="92"/>
      <c r="L141" s="12"/>
      <c r="M141" s="93" t="s">
        <v>1</v>
      </c>
      <c r="N141" s="94" t="s">
        <v>42</v>
      </c>
      <c r="P141" s="95">
        <f t="shared" si="1"/>
        <v>0</v>
      </c>
      <c r="Q141" s="95">
        <v>0</v>
      </c>
      <c r="R141" s="95">
        <f t="shared" si="2"/>
        <v>0</v>
      </c>
      <c r="S141" s="95">
        <v>0</v>
      </c>
      <c r="T141" s="99">
        <f t="shared" si="3"/>
        <v>0</v>
      </c>
      <c r="AR141" s="101" t="s">
        <v>218</v>
      </c>
      <c r="AT141" s="101" t="s">
        <v>214</v>
      </c>
      <c r="AU141" s="101" t="s">
        <v>87</v>
      </c>
      <c r="AY141" s="23" t="s">
        <v>211</v>
      </c>
      <c r="BE141" s="104">
        <f t="shared" si="4"/>
        <v>207000</v>
      </c>
      <c r="BF141" s="104">
        <f t="shared" si="5"/>
        <v>0</v>
      </c>
      <c r="BG141" s="104">
        <f t="shared" si="6"/>
        <v>0</v>
      </c>
      <c r="BH141" s="104">
        <f t="shared" si="7"/>
        <v>0</v>
      </c>
      <c r="BI141" s="104">
        <f t="shared" si="8"/>
        <v>0</v>
      </c>
      <c r="BJ141" s="23" t="s">
        <v>85</v>
      </c>
      <c r="BK141" s="104">
        <f t="shared" si="9"/>
        <v>207000</v>
      </c>
      <c r="BL141" s="23" t="s">
        <v>218</v>
      </c>
      <c r="BM141" s="101" t="s">
        <v>446</v>
      </c>
    </row>
    <row r="142" spans="2:65" s="1" customFormat="1" ht="38.1" customHeight="1">
      <c r="B142" s="12"/>
      <c r="C142" s="71" t="s">
        <v>255</v>
      </c>
      <c r="D142" s="71" t="s">
        <v>214</v>
      </c>
      <c r="E142" s="72" t="s">
        <v>594</v>
      </c>
      <c r="F142" s="73" t="s">
        <v>3846</v>
      </c>
      <c r="G142" s="74" t="s">
        <v>431</v>
      </c>
      <c r="H142" s="75">
        <v>550</v>
      </c>
      <c r="I142" s="90">
        <v>420</v>
      </c>
      <c r="J142" s="91">
        <f t="shared" si="0"/>
        <v>231000</v>
      </c>
      <c r="K142" s="92"/>
      <c r="L142" s="12"/>
      <c r="M142" s="93" t="s">
        <v>1</v>
      </c>
      <c r="N142" s="94" t="s">
        <v>42</v>
      </c>
      <c r="P142" s="95">
        <f t="shared" si="1"/>
        <v>0</v>
      </c>
      <c r="Q142" s="95">
        <v>0</v>
      </c>
      <c r="R142" s="95">
        <f t="shared" si="2"/>
        <v>0</v>
      </c>
      <c r="S142" s="95">
        <v>0</v>
      </c>
      <c r="T142" s="99">
        <f t="shared" si="3"/>
        <v>0</v>
      </c>
      <c r="AR142" s="101" t="s">
        <v>218</v>
      </c>
      <c r="AT142" s="101" t="s">
        <v>214</v>
      </c>
      <c r="AU142" s="101" t="s">
        <v>87</v>
      </c>
      <c r="AY142" s="23" t="s">
        <v>211</v>
      </c>
      <c r="BE142" s="104">
        <f t="shared" si="4"/>
        <v>231000</v>
      </c>
      <c r="BF142" s="104">
        <f t="shared" si="5"/>
        <v>0</v>
      </c>
      <c r="BG142" s="104">
        <f t="shared" si="6"/>
        <v>0</v>
      </c>
      <c r="BH142" s="104">
        <f t="shared" si="7"/>
        <v>0</v>
      </c>
      <c r="BI142" s="104">
        <f t="shared" si="8"/>
        <v>0</v>
      </c>
      <c r="BJ142" s="23" t="s">
        <v>85</v>
      </c>
      <c r="BK142" s="104">
        <f t="shared" si="9"/>
        <v>231000</v>
      </c>
      <c r="BL142" s="23" t="s">
        <v>218</v>
      </c>
      <c r="BM142" s="101" t="s">
        <v>454</v>
      </c>
    </row>
    <row r="143" spans="2:65" s="1" customFormat="1" ht="38.1" customHeight="1">
      <c r="B143" s="12"/>
      <c r="C143" s="71" t="s">
        <v>259</v>
      </c>
      <c r="D143" s="71" t="s">
        <v>214</v>
      </c>
      <c r="E143" s="72" t="s">
        <v>3847</v>
      </c>
      <c r="F143" s="73" t="s">
        <v>3848</v>
      </c>
      <c r="G143" s="74" t="s">
        <v>431</v>
      </c>
      <c r="H143" s="75">
        <v>0</v>
      </c>
      <c r="I143" s="90">
        <v>380</v>
      </c>
      <c r="J143" s="91">
        <f t="shared" si="0"/>
        <v>0</v>
      </c>
      <c r="K143" s="92"/>
      <c r="L143" s="12"/>
      <c r="M143" s="93" t="s">
        <v>1</v>
      </c>
      <c r="N143" s="94" t="s">
        <v>42</v>
      </c>
      <c r="P143" s="95">
        <f t="shared" si="1"/>
        <v>0</v>
      </c>
      <c r="Q143" s="95">
        <v>0</v>
      </c>
      <c r="R143" s="95">
        <f t="shared" si="2"/>
        <v>0</v>
      </c>
      <c r="S143" s="95">
        <v>0</v>
      </c>
      <c r="T143" s="99">
        <f t="shared" si="3"/>
        <v>0</v>
      </c>
      <c r="AR143" s="101" t="s">
        <v>218</v>
      </c>
      <c r="AT143" s="101" t="s">
        <v>214</v>
      </c>
      <c r="AU143" s="101" t="s">
        <v>87</v>
      </c>
      <c r="AY143" s="23" t="s">
        <v>211</v>
      </c>
      <c r="BE143" s="104">
        <f t="shared" si="4"/>
        <v>0</v>
      </c>
      <c r="BF143" s="104">
        <f t="shared" si="5"/>
        <v>0</v>
      </c>
      <c r="BG143" s="104">
        <f t="shared" si="6"/>
        <v>0</v>
      </c>
      <c r="BH143" s="104">
        <f t="shared" si="7"/>
        <v>0</v>
      </c>
      <c r="BI143" s="104">
        <f t="shared" si="8"/>
        <v>0</v>
      </c>
      <c r="BJ143" s="23" t="s">
        <v>85</v>
      </c>
      <c r="BK143" s="104">
        <f t="shared" si="9"/>
        <v>0</v>
      </c>
      <c r="BL143" s="23" t="s">
        <v>218</v>
      </c>
      <c r="BM143" s="101" t="s">
        <v>465</v>
      </c>
    </row>
    <row r="144" spans="2:65" s="1" customFormat="1" ht="38.1" customHeight="1">
      <c r="B144" s="12"/>
      <c r="C144" s="71" t="s">
        <v>266</v>
      </c>
      <c r="D144" s="71" t="s">
        <v>214</v>
      </c>
      <c r="E144" s="72" t="s">
        <v>3849</v>
      </c>
      <c r="F144" s="73" t="s">
        <v>3850</v>
      </c>
      <c r="G144" s="74" t="s">
        <v>431</v>
      </c>
      <c r="H144" s="75">
        <v>540</v>
      </c>
      <c r="I144" s="90">
        <v>350</v>
      </c>
      <c r="J144" s="91">
        <f t="shared" si="0"/>
        <v>189000</v>
      </c>
      <c r="K144" s="92"/>
      <c r="L144" s="12"/>
      <c r="M144" s="93" t="s">
        <v>1</v>
      </c>
      <c r="N144" s="94" t="s">
        <v>42</v>
      </c>
      <c r="P144" s="95">
        <f t="shared" si="1"/>
        <v>0</v>
      </c>
      <c r="Q144" s="95">
        <v>0</v>
      </c>
      <c r="R144" s="95">
        <f t="shared" si="2"/>
        <v>0</v>
      </c>
      <c r="S144" s="95">
        <v>0</v>
      </c>
      <c r="T144" s="99">
        <f t="shared" si="3"/>
        <v>0</v>
      </c>
      <c r="AR144" s="101" t="s">
        <v>218</v>
      </c>
      <c r="AT144" s="101" t="s">
        <v>214</v>
      </c>
      <c r="AU144" s="101" t="s">
        <v>87</v>
      </c>
      <c r="AY144" s="23" t="s">
        <v>211</v>
      </c>
      <c r="BE144" s="104">
        <f t="shared" si="4"/>
        <v>189000</v>
      </c>
      <c r="BF144" s="104">
        <f t="shared" si="5"/>
        <v>0</v>
      </c>
      <c r="BG144" s="104">
        <f t="shared" si="6"/>
        <v>0</v>
      </c>
      <c r="BH144" s="104">
        <f t="shared" si="7"/>
        <v>0</v>
      </c>
      <c r="BI144" s="104">
        <f t="shared" si="8"/>
        <v>0</v>
      </c>
      <c r="BJ144" s="23" t="s">
        <v>85</v>
      </c>
      <c r="BK144" s="104">
        <f t="shared" si="9"/>
        <v>189000</v>
      </c>
      <c r="BL144" s="23" t="s">
        <v>218</v>
      </c>
      <c r="BM144" s="101" t="s">
        <v>475</v>
      </c>
    </row>
    <row r="145" spans="2:65" s="1" customFormat="1" ht="38.1" customHeight="1">
      <c r="B145" s="12"/>
      <c r="C145" s="71" t="s">
        <v>273</v>
      </c>
      <c r="D145" s="71" t="s">
        <v>214</v>
      </c>
      <c r="E145" s="72" t="s">
        <v>615</v>
      </c>
      <c r="F145" s="73" t="s">
        <v>3851</v>
      </c>
      <c r="G145" s="74" t="s">
        <v>431</v>
      </c>
      <c r="H145" s="75">
        <v>550</v>
      </c>
      <c r="I145" s="90">
        <v>850</v>
      </c>
      <c r="J145" s="91">
        <f t="shared" si="0"/>
        <v>467500</v>
      </c>
      <c r="K145" s="92"/>
      <c r="L145" s="12"/>
      <c r="M145" s="93" t="s">
        <v>1</v>
      </c>
      <c r="N145" s="94" t="s">
        <v>42</v>
      </c>
      <c r="P145" s="95">
        <f t="shared" si="1"/>
        <v>0</v>
      </c>
      <c r="Q145" s="95">
        <v>0</v>
      </c>
      <c r="R145" s="95">
        <f t="shared" si="2"/>
        <v>0</v>
      </c>
      <c r="S145" s="95">
        <v>0</v>
      </c>
      <c r="T145" s="99">
        <f t="shared" si="3"/>
        <v>0</v>
      </c>
      <c r="AR145" s="101" t="s">
        <v>218</v>
      </c>
      <c r="AT145" s="101" t="s">
        <v>214</v>
      </c>
      <c r="AU145" s="101" t="s">
        <v>87</v>
      </c>
      <c r="AY145" s="23" t="s">
        <v>211</v>
      </c>
      <c r="BE145" s="104">
        <f t="shared" si="4"/>
        <v>467500</v>
      </c>
      <c r="BF145" s="104">
        <f t="shared" si="5"/>
        <v>0</v>
      </c>
      <c r="BG145" s="104">
        <f t="shared" si="6"/>
        <v>0</v>
      </c>
      <c r="BH145" s="104">
        <f t="shared" si="7"/>
        <v>0</v>
      </c>
      <c r="BI145" s="104">
        <f t="shared" si="8"/>
        <v>0</v>
      </c>
      <c r="BJ145" s="23" t="s">
        <v>85</v>
      </c>
      <c r="BK145" s="104">
        <f t="shared" si="9"/>
        <v>467500</v>
      </c>
      <c r="BL145" s="23" t="s">
        <v>218</v>
      </c>
      <c r="BM145" s="101" t="s">
        <v>486</v>
      </c>
    </row>
    <row r="146" spans="2:65" s="1" customFormat="1" ht="24.15" customHeight="1">
      <c r="B146" s="12"/>
      <c r="C146" s="71" t="s">
        <v>433</v>
      </c>
      <c r="D146" s="71" t="s">
        <v>214</v>
      </c>
      <c r="E146" s="72" t="s">
        <v>620</v>
      </c>
      <c r="F146" s="73" t="s">
        <v>3852</v>
      </c>
      <c r="G146" s="74" t="s">
        <v>431</v>
      </c>
      <c r="H146" s="75">
        <v>390</v>
      </c>
      <c r="I146" s="90">
        <v>130</v>
      </c>
      <c r="J146" s="91">
        <f t="shared" si="0"/>
        <v>50700</v>
      </c>
      <c r="K146" s="92"/>
      <c r="L146" s="12"/>
      <c r="M146" s="93" t="s">
        <v>1</v>
      </c>
      <c r="N146" s="94" t="s">
        <v>42</v>
      </c>
      <c r="P146" s="95">
        <f t="shared" si="1"/>
        <v>0</v>
      </c>
      <c r="Q146" s="95">
        <v>0</v>
      </c>
      <c r="R146" s="95">
        <f t="shared" si="2"/>
        <v>0</v>
      </c>
      <c r="S146" s="95">
        <v>0</v>
      </c>
      <c r="T146" s="99">
        <f t="shared" si="3"/>
        <v>0</v>
      </c>
      <c r="AR146" s="101" t="s">
        <v>218</v>
      </c>
      <c r="AT146" s="101" t="s">
        <v>214</v>
      </c>
      <c r="AU146" s="101" t="s">
        <v>87</v>
      </c>
      <c r="AY146" s="23" t="s">
        <v>211</v>
      </c>
      <c r="BE146" s="104">
        <f t="shared" si="4"/>
        <v>50700</v>
      </c>
      <c r="BF146" s="104">
        <f t="shared" si="5"/>
        <v>0</v>
      </c>
      <c r="BG146" s="104">
        <f t="shared" si="6"/>
        <v>0</v>
      </c>
      <c r="BH146" s="104">
        <f t="shared" si="7"/>
        <v>0</v>
      </c>
      <c r="BI146" s="104">
        <f t="shared" si="8"/>
        <v>0</v>
      </c>
      <c r="BJ146" s="23" t="s">
        <v>85</v>
      </c>
      <c r="BK146" s="104">
        <f t="shared" si="9"/>
        <v>50700</v>
      </c>
      <c r="BL146" s="23" t="s">
        <v>218</v>
      </c>
      <c r="BM146" s="101" t="s">
        <v>496</v>
      </c>
    </row>
    <row r="147" spans="2:65" s="31" customFormat="1" ht="23.1" customHeight="1">
      <c r="B147" s="67"/>
      <c r="D147" s="68" t="s">
        <v>76</v>
      </c>
      <c r="E147" s="70" t="s">
        <v>3853</v>
      </c>
      <c r="F147" s="70" t="s">
        <v>3854</v>
      </c>
      <c r="I147" s="85"/>
      <c r="J147" s="89">
        <f>BK147</f>
        <v>67250</v>
      </c>
      <c r="L147" s="67"/>
      <c r="M147" s="87"/>
      <c r="P147" s="88">
        <f>SUM(P148:P150)</f>
        <v>0</v>
      </c>
      <c r="R147" s="88">
        <f>SUM(R148:R150)</f>
        <v>0</v>
      </c>
      <c r="T147" s="98">
        <f>SUM(T148:T150)</f>
        <v>0</v>
      </c>
      <c r="AR147" s="68" t="s">
        <v>85</v>
      </c>
      <c r="AT147" s="100" t="s">
        <v>76</v>
      </c>
      <c r="AU147" s="100" t="s">
        <v>85</v>
      </c>
      <c r="AY147" s="68" t="s">
        <v>211</v>
      </c>
      <c r="BK147" s="103">
        <f>SUM(BK148:BK150)</f>
        <v>67250</v>
      </c>
    </row>
    <row r="148" spans="2:65" s="1" customFormat="1" ht="44.25" customHeight="1">
      <c r="B148" s="12"/>
      <c r="C148" s="71" t="s">
        <v>437</v>
      </c>
      <c r="D148" s="71" t="s">
        <v>214</v>
      </c>
      <c r="E148" s="72" t="s">
        <v>625</v>
      </c>
      <c r="F148" s="73" t="s">
        <v>3855</v>
      </c>
      <c r="G148" s="74" t="s">
        <v>431</v>
      </c>
      <c r="H148" s="75">
        <v>25</v>
      </c>
      <c r="I148" s="90">
        <v>1370</v>
      </c>
      <c r="J148" s="91">
        <f>ROUND(I148*H148,2)</f>
        <v>34250</v>
      </c>
      <c r="K148" s="92"/>
      <c r="L148" s="12"/>
      <c r="M148" s="93" t="s">
        <v>1</v>
      </c>
      <c r="N148" s="94" t="s">
        <v>42</v>
      </c>
      <c r="P148" s="95">
        <f>O148*H148</f>
        <v>0</v>
      </c>
      <c r="Q148" s="95">
        <v>0</v>
      </c>
      <c r="R148" s="95">
        <f>Q148*H148</f>
        <v>0</v>
      </c>
      <c r="S148" s="95">
        <v>0</v>
      </c>
      <c r="T148" s="99">
        <f>S148*H148</f>
        <v>0</v>
      </c>
      <c r="AR148" s="101" t="s">
        <v>218</v>
      </c>
      <c r="AT148" s="101" t="s">
        <v>214</v>
      </c>
      <c r="AU148" s="101" t="s">
        <v>87</v>
      </c>
      <c r="AY148" s="23" t="s">
        <v>211</v>
      </c>
      <c r="BE148" s="104">
        <f>IF(N148="základní",J148,0)</f>
        <v>34250</v>
      </c>
      <c r="BF148" s="104">
        <f>IF(N148="snížená",J148,0)</f>
        <v>0</v>
      </c>
      <c r="BG148" s="104">
        <f>IF(N148="zákl. přenesená",J148,0)</f>
        <v>0</v>
      </c>
      <c r="BH148" s="104">
        <f>IF(N148="sníž. přenesená",J148,0)</f>
        <v>0</v>
      </c>
      <c r="BI148" s="104">
        <f>IF(N148="nulová",J148,0)</f>
        <v>0</v>
      </c>
      <c r="BJ148" s="23" t="s">
        <v>85</v>
      </c>
      <c r="BK148" s="104">
        <f>ROUND(I148*H148,2)</f>
        <v>34250</v>
      </c>
      <c r="BL148" s="23" t="s">
        <v>218</v>
      </c>
      <c r="BM148" s="101" t="s">
        <v>507</v>
      </c>
    </row>
    <row r="149" spans="2:65" s="1" customFormat="1" ht="44.25" customHeight="1">
      <c r="B149" s="12"/>
      <c r="C149" s="71" t="s">
        <v>8</v>
      </c>
      <c r="D149" s="71" t="s">
        <v>214</v>
      </c>
      <c r="E149" s="72" t="s">
        <v>635</v>
      </c>
      <c r="F149" s="73" t="s">
        <v>3856</v>
      </c>
      <c r="G149" s="74" t="s">
        <v>1</v>
      </c>
      <c r="H149" s="75">
        <v>30</v>
      </c>
      <c r="I149" s="90">
        <v>660</v>
      </c>
      <c r="J149" s="91">
        <f>ROUND(I149*H149,2)</f>
        <v>19800</v>
      </c>
      <c r="K149" s="92"/>
      <c r="L149" s="12"/>
      <c r="M149" s="93" t="s">
        <v>1</v>
      </c>
      <c r="N149" s="94" t="s">
        <v>42</v>
      </c>
      <c r="P149" s="95">
        <f>O149*H149</f>
        <v>0</v>
      </c>
      <c r="Q149" s="95">
        <v>0</v>
      </c>
      <c r="R149" s="95">
        <f>Q149*H149</f>
        <v>0</v>
      </c>
      <c r="S149" s="95">
        <v>0</v>
      </c>
      <c r="T149" s="99">
        <f>S149*H149</f>
        <v>0</v>
      </c>
      <c r="AR149" s="101" t="s">
        <v>218</v>
      </c>
      <c r="AT149" s="101" t="s">
        <v>214</v>
      </c>
      <c r="AU149" s="101" t="s">
        <v>87</v>
      </c>
      <c r="AY149" s="23" t="s">
        <v>211</v>
      </c>
      <c r="BE149" s="104">
        <f>IF(N149="základní",J149,0)</f>
        <v>19800</v>
      </c>
      <c r="BF149" s="104">
        <f>IF(N149="snížená",J149,0)</f>
        <v>0</v>
      </c>
      <c r="BG149" s="104">
        <f>IF(N149="zákl. přenesená",J149,0)</f>
        <v>0</v>
      </c>
      <c r="BH149" s="104">
        <f>IF(N149="sníž. přenesená",J149,0)</f>
        <v>0</v>
      </c>
      <c r="BI149" s="104">
        <f>IF(N149="nulová",J149,0)</f>
        <v>0</v>
      </c>
      <c r="BJ149" s="23" t="s">
        <v>85</v>
      </c>
      <c r="BK149" s="104">
        <f>ROUND(I149*H149,2)</f>
        <v>19800</v>
      </c>
      <c r="BL149" s="23" t="s">
        <v>218</v>
      </c>
      <c r="BM149" s="101" t="s">
        <v>517</v>
      </c>
    </row>
    <row r="150" spans="2:65" s="1" customFormat="1" ht="44.25" customHeight="1">
      <c r="B150" s="12"/>
      <c r="C150" s="71" t="s">
        <v>446</v>
      </c>
      <c r="D150" s="71" t="s">
        <v>214</v>
      </c>
      <c r="E150" s="72" t="s">
        <v>640</v>
      </c>
      <c r="F150" s="73" t="s">
        <v>3857</v>
      </c>
      <c r="G150" s="74" t="s">
        <v>1</v>
      </c>
      <c r="H150" s="75">
        <v>20</v>
      </c>
      <c r="I150" s="90">
        <v>660</v>
      </c>
      <c r="J150" s="91">
        <f>ROUND(I150*H150,2)</f>
        <v>13200</v>
      </c>
      <c r="K150" s="92"/>
      <c r="L150" s="12"/>
      <c r="M150" s="93" t="s">
        <v>1</v>
      </c>
      <c r="N150" s="94" t="s">
        <v>42</v>
      </c>
      <c r="P150" s="95">
        <f>O150*H150</f>
        <v>0</v>
      </c>
      <c r="Q150" s="95">
        <v>0</v>
      </c>
      <c r="R150" s="95">
        <f>Q150*H150</f>
        <v>0</v>
      </c>
      <c r="S150" s="95">
        <v>0</v>
      </c>
      <c r="T150" s="99">
        <f>S150*H150</f>
        <v>0</v>
      </c>
      <c r="AR150" s="101" t="s">
        <v>218</v>
      </c>
      <c r="AT150" s="101" t="s">
        <v>214</v>
      </c>
      <c r="AU150" s="101" t="s">
        <v>87</v>
      </c>
      <c r="AY150" s="23" t="s">
        <v>211</v>
      </c>
      <c r="BE150" s="104">
        <f>IF(N150="základní",J150,0)</f>
        <v>13200</v>
      </c>
      <c r="BF150" s="104">
        <f>IF(N150="snížená",J150,0)</f>
        <v>0</v>
      </c>
      <c r="BG150" s="104">
        <f>IF(N150="zákl. přenesená",J150,0)</f>
        <v>0</v>
      </c>
      <c r="BH150" s="104">
        <f>IF(N150="sníž. přenesená",J150,0)</f>
        <v>0</v>
      </c>
      <c r="BI150" s="104">
        <f>IF(N150="nulová",J150,0)</f>
        <v>0</v>
      </c>
      <c r="BJ150" s="23" t="s">
        <v>85</v>
      </c>
      <c r="BK150" s="104">
        <f>ROUND(I150*H150,2)</f>
        <v>13200</v>
      </c>
      <c r="BL150" s="23" t="s">
        <v>218</v>
      </c>
      <c r="BM150" s="101" t="s">
        <v>527</v>
      </c>
    </row>
    <row r="151" spans="2:65" s="31" customFormat="1" ht="23.1" customHeight="1">
      <c r="B151" s="67"/>
      <c r="D151" s="68" t="s">
        <v>76</v>
      </c>
      <c r="E151" s="70" t="s">
        <v>3858</v>
      </c>
      <c r="F151" s="70" t="s">
        <v>3859</v>
      </c>
      <c r="I151" s="85"/>
      <c r="J151" s="89">
        <f>BK151</f>
        <v>834200</v>
      </c>
      <c r="L151" s="67"/>
      <c r="M151" s="87"/>
      <c r="P151" s="88">
        <f>SUM(P152:P164)</f>
        <v>0</v>
      </c>
      <c r="R151" s="88">
        <f>SUM(R152:R164)</f>
        <v>0</v>
      </c>
      <c r="T151" s="98">
        <f>SUM(T152:T164)</f>
        <v>0</v>
      </c>
      <c r="AR151" s="68" t="s">
        <v>85</v>
      </c>
      <c r="AT151" s="100" t="s">
        <v>76</v>
      </c>
      <c r="AU151" s="100" t="s">
        <v>85</v>
      </c>
      <c r="AY151" s="68" t="s">
        <v>211</v>
      </c>
      <c r="BK151" s="103">
        <f>SUM(BK152:BK164)</f>
        <v>834200</v>
      </c>
    </row>
    <row r="152" spans="2:65" s="1" customFormat="1" ht="16.5" customHeight="1">
      <c r="B152" s="12"/>
      <c r="C152" s="71" t="s">
        <v>450</v>
      </c>
      <c r="D152" s="71" t="s">
        <v>214</v>
      </c>
      <c r="E152" s="72" t="s">
        <v>645</v>
      </c>
      <c r="F152" s="73" t="s">
        <v>3860</v>
      </c>
      <c r="G152" s="74" t="s">
        <v>234</v>
      </c>
      <c r="H152" s="75">
        <v>54</v>
      </c>
      <c r="I152" s="90">
        <v>1200</v>
      </c>
      <c r="J152" s="91">
        <f t="shared" ref="J152:J164" si="10">ROUND(I152*H152,2)</f>
        <v>64800</v>
      </c>
      <c r="K152" s="92"/>
      <c r="L152" s="12"/>
      <c r="M152" s="93" t="s">
        <v>1</v>
      </c>
      <c r="N152" s="94" t="s">
        <v>42</v>
      </c>
      <c r="P152" s="95">
        <f t="shared" ref="P152:P164" si="11">O152*H152</f>
        <v>0</v>
      </c>
      <c r="Q152" s="95">
        <v>0</v>
      </c>
      <c r="R152" s="95">
        <f t="shared" ref="R152:R164" si="12">Q152*H152</f>
        <v>0</v>
      </c>
      <c r="S152" s="95">
        <v>0</v>
      </c>
      <c r="T152" s="99">
        <f t="shared" ref="T152:T164" si="13">S152*H152</f>
        <v>0</v>
      </c>
      <c r="AR152" s="101" t="s">
        <v>218</v>
      </c>
      <c r="AT152" s="101" t="s">
        <v>214</v>
      </c>
      <c r="AU152" s="101" t="s">
        <v>87</v>
      </c>
      <c r="AY152" s="23" t="s">
        <v>211</v>
      </c>
      <c r="BE152" s="104">
        <f t="shared" ref="BE152:BE164" si="14">IF(N152="základní",J152,0)</f>
        <v>64800</v>
      </c>
      <c r="BF152" s="104">
        <f t="shared" ref="BF152:BF164" si="15">IF(N152="snížená",J152,0)</f>
        <v>0</v>
      </c>
      <c r="BG152" s="104">
        <f t="shared" ref="BG152:BG164" si="16">IF(N152="zákl. přenesená",J152,0)</f>
        <v>0</v>
      </c>
      <c r="BH152" s="104">
        <f t="shared" ref="BH152:BH164" si="17">IF(N152="sníž. přenesená",J152,0)</f>
        <v>0</v>
      </c>
      <c r="BI152" s="104">
        <f t="shared" ref="BI152:BI164" si="18">IF(N152="nulová",J152,0)</f>
        <v>0</v>
      </c>
      <c r="BJ152" s="23" t="s">
        <v>85</v>
      </c>
      <c r="BK152" s="104">
        <f t="shared" ref="BK152:BK164" si="19">ROUND(I152*H152,2)</f>
        <v>64800</v>
      </c>
      <c r="BL152" s="23" t="s">
        <v>218</v>
      </c>
      <c r="BM152" s="101" t="s">
        <v>537</v>
      </c>
    </row>
    <row r="153" spans="2:65" s="1" customFormat="1" ht="21.75" customHeight="1">
      <c r="B153" s="12"/>
      <c r="C153" s="71" t="s">
        <v>454</v>
      </c>
      <c r="D153" s="71" t="s">
        <v>214</v>
      </c>
      <c r="E153" s="72" t="s">
        <v>650</v>
      </c>
      <c r="F153" s="73" t="s">
        <v>3861</v>
      </c>
      <c r="G153" s="74" t="s">
        <v>234</v>
      </c>
      <c r="H153" s="75">
        <v>72</v>
      </c>
      <c r="I153" s="90">
        <v>1200</v>
      </c>
      <c r="J153" s="91">
        <f t="shared" si="10"/>
        <v>86400</v>
      </c>
      <c r="K153" s="92"/>
      <c r="L153" s="12"/>
      <c r="M153" s="93" t="s">
        <v>1</v>
      </c>
      <c r="N153" s="94" t="s">
        <v>42</v>
      </c>
      <c r="P153" s="95">
        <f t="shared" si="11"/>
        <v>0</v>
      </c>
      <c r="Q153" s="95">
        <v>0</v>
      </c>
      <c r="R153" s="95">
        <f t="shared" si="12"/>
        <v>0</v>
      </c>
      <c r="S153" s="95">
        <v>0</v>
      </c>
      <c r="T153" s="99">
        <f t="shared" si="13"/>
        <v>0</v>
      </c>
      <c r="AR153" s="101" t="s">
        <v>218</v>
      </c>
      <c r="AT153" s="101" t="s">
        <v>214</v>
      </c>
      <c r="AU153" s="101" t="s">
        <v>87</v>
      </c>
      <c r="AY153" s="23" t="s">
        <v>211</v>
      </c>
      <c r="BE153" s="104">
        <f t="shared" si="14"/>
        <v>86400</v>
      </c>
      <c r="BF153" s="104">
        <f t="shared" si="15"/>
        <v>0</v>
      </c>
      <c r="BG153" s="104">
        <f t="shared" si="16"/>
        <v>0</v>
      </c>
      <c r="BH153" s="104">
        <f t="shared" si="17"/>
        <v>0</v>
      </c>
      <c r="BI153" s="104">
        <f t="shared" si="18"/>
        <v>0</v>
      </c>
      <c r="BJ153" s="23" t="s">
        <v>85</v>
      </c>
      <c r="BK153" s="104">
        <f t="shared" si="19"/>
        <v>86400</v>
      </c>
      <c r="BL153" s="23" t="s">
        <v>218</v>
      </c>
      <c r="BM153" s="101" t="s">
        <v>551</v>
      </c>
    </row>
    <row r="154" spans="2:65" s="1" customFormat="1" ht="16.5" customHeight="1">
      <c r="B154" s="12"/>
      <c r="C154" s="71" t="s">
        <v>459</v>
      </c>
      <c r="D154" s="71" t="s">
        <v>214</v>
      </c>
      <c r="E154" s="72" t="s">
        <v>655</v>
      </c>
      <c r="F154" s="73" t="s">
        <v>3862</v>
      </c>
      <c r="G154" s="74" t="s">
        <v>234</v>
      </c>
      <c r="H154" s="75">
        <v>18</v>
      </c>
      <c r="I154" s="90">
        <v>3100</v>
      </c>
      <c r="J154" s="91">
        <f t="shared" si="10"/>
        <v>55800</v>
      </c>
      <c r="K154" s="92"/>
      <c r="L154" s="12"/>
      <c r="M154" s="93" t="s">
        <v>1</v>
      </c>
      <c r="N154" s="94" t="s">
        <v>42</v>
      </c>
      <c r="P154" s="95">
        <f t="shared" si="11"/>
        <v>0</v>
      </c>
      <c r="Q154" s="95">
        <v>0</v>
      </c>
      <c r="R154" s="95">
        <f t="shared" si="12"/>
        <v>0</v>
      </c>
      <c r="S154" s="95">
        <v>0</v>
      </c>
      <c r="T154" s="99">
        <f t="shared" si="13"/>
        <v>0</v>
      </c>
      <c r="AR154" s="101" t="s">
        <v>218</v>
      </c>
      <c r="AT154" s="101" t="s">
        <v>214</v>
      </c>
      <c r="AU154" s="101" t="s">
        <v>87</v>
      </c>
      <c r="AY154" s="23" t="s">
        <v>211</v>
      </c>
      <c r="BE154" s="104">
        <f t="shared" si="14"/>
        <v>55800</v>
      </c>
      <c r="BF154" s="104">
        <f t="shared" si="15"/>
        <v>0</v>
      </c>
      <c r="BG154" s="104">
        <f t="shared" si="16"/>
        <v>0</v>
      </c>
      <c r="BH154" s="104">
        <f t="shared" si="17"/>
        <v>0</v>
      </c>
      <c r="BI154" s="104">
        <f t="shared" si="18"/>
        <v>0</v>
      </c>
      <c r="BJ154" s="23" t="s">
        <v>85</v>
      </c>
      <c r="BK154" s="104">
        <f t="shared" si="19"/>
        <v>55800</v>
      </c>
      <c r="BL154" s="23" t="s">
        <v>218</v>
      </c>
      <c r="BM154" s="101" t="s">
        <v>566</v>
      </c>
    </row>
    <row r="155" spans="2:65" s="1" customFormat="1" ht="16.5" customHeight="1">
      <c r="B155" s="12"/>
      <c r="C155" s="71" t="s">
        <v>465</v>
      </c>
      <c r="D155" s="71" t="s">
        <v>214</v>
      </c>
      <c r="E155" s="72" t="s">
        <v>661</v>
      </c>
      <c r="F155" s="73" t="s">
        <v>3863</v>
      </c>
      <c r="G155" s="74" t="s">
        <v>234</v>
      </c>
      <c r="H155" s="75">
        <v>26</v>
      </c>
      <c r="I155" s="90">
        <v>2700</v>
      </c>
      <c r="J155" s="91">
        <f t="shared" si="10"/>
        <v>70200</v>
      </c>
      <c r="K155" s="92"/>
      <c r="L155" s="12"/>
      <c r="M155" s="93" t="s">
        <v>1</v>
      </c>
      <c r="N155" s="94" t="s">
        <v>42</v>
      </c>
      <c r="P155" s="95">
        <f t="shared" si="11"/>
        <v>0</v>
      </c>
      <c r="Q155" s="95">
        <v>0</v>
      </c>
      <c r="R155" s="95">
        <f t="shared" si="12"/>
        <v>0</v>
      </c>
      <c r="S155" s="95">
        <v>0</v>
      </c>
      <c r="T155" s="99">
        <f t="shared" si="13"/>
        <v>0</v>
      </c>
      <c r="AR155" s="101" t="s">
        <v>218</v>
      </c>
      <c r="AT155" s="101" t="s">
        <v>214</v>
      </c>
      <c r="AU155" s="101" t="s">
        <v>87</v>
      </c>
      <c r="AY155" s="23" t="s">
        <v>211</v>
      </c>
      <c r="BE155" s="104">
        <f t="shared" si="14"/>
        <v>70200</v>
      </c>
      <c r="BF155" s="104">
        <f t="shared" si="15"/>
        <v>0</v>
      </c>
      <c r="BG155" s="104">
        <f t="shared" si="16"/>
        <v>0</v>
      </c>
      <c r="BH155" s="104">
        <f t="shared" si="17"/>
        <v>0</v>
      </c>
      <c r="BI155" s="104">
        <f t="shared" si="18"/>
        <v>0</v>
      </c>
      <c r="BJ155" s="23" t="s">
        <v>85</v>
      </c>
      <c r="BK155" s="104">
        <f t="shared" si="19"/>
        <v>70200</v>
      </c>
      <c r="BL155" s="23" t="s">
        <v>218</v>
      </c>
      <c r="BM155" s="101" t="s">
        <v>578</v>
      </c>
    </row>
    <row r="156" spans="2:65" s="1" customFormat="1" ht="16.5" customHeight="1">
      <c r="B156" s="12"/>
      <c r="C156" s="71" t="s">
        <v>7</v>
      </c>
      <c r="D156" s="71" t="s">
        <v>214</v>
      </c>
      <c r="E156" s="72" t="s">
        <v>666</v>
      </c>
      <c r="F156" s="73" t="s">
        <v>3864</v>
      </c>
      <c r="G156" s="74" t="s">
        <v>234</v>
      </c>
      <c r="H156" s="75">
        <v>1</v>
      </c>
      <c r="I156" s="90">
        <v>2000</v>
      </c>
      <c r="J156" s="91">
        <f t="shared" si="10"/>
        <v>2000</v>
      </c>
      <c r="K156" s="92"/>
      <c r="L156" s="12"/>
      <c r="M156" s="93" t="s">
        <v>1</v>
      </c>
      <c r="N156" s="94" t="s">
        <v>42</v>
      </c>
      <c r="P156" s="95">
        <f t="shared" si="11"/>
        <v>0</v>
      </c>
      <c r="Q156" s="95">
        <v>0</v>
      </c>
      <c r="R156" s="95">
        <f t="shared" si="12"/>
        <v>0</v>
      </c>
      <c r="S156" s="95">
        <v>0</v>
      </c>
      <c r="T156" s="99">
        <f t="shared" si="13"/>
        <v>0</v>
      </c>
      <c r="AR156" s="101" t="s">
        <v>218</v>
      </c>
      <c r="AT156" s="101" t="s">
        <v>214</v>
      </c>
      <c r="AU156" s="101" t="s">
        <v>87</v>
      </c>
      <c r="AY156" s="23" t="s">
        <v>211</v>
      </c>
      <c r="BE156" s="104">
        <f t="shared" si="14"/>
        <v>2000</v>
      </c>
      <c r="BF156" s="104">
        <f t="shared" si="15"/>
        <v>0</v>
      </c>
      <c r="BG156" s="104">
        <f t="shared" si="16"/>
        <v>0</v>
      </c>
      <c r="BH156" s="104">
        <f t="shared" si="17"/>
        <v>0</v>
      </c>
      <c r="BI156" s="104">
        <f t="shared" si="18"/>
        <v>0</v>
      </c>
      <c r="BJ156" s="23" t="s">
        <v>85</v>
      </c>
      <c r="BK156" s="104">
        <f t="shared" si="19"/>
        <v>2000</v>
      </c>
      <c r="BL156" s="23" t="s">
        <v>218</v>
      </c>
      <c r="BM156" s="101" t="s">
        <v>588</v>
      </c>
    </row>
    <row r="157" spans="2:65" s="1" customFormat="1" ht="16.5" customHeight="1">
      <c r="B157" s="12"/>
      <c r="C157" s="71" t="s">
        <v>475</v>
      </c>
      <c r="D157" s="71" t="s">
        <v>214</v>
      </c>
      <c r="E157" s="72" t="s">
        <v>680</v>
      </c>
      <c r="F157" s="73" t="s">
        <v>3865</v>
      </c>
      <c r="G157" s="74" t="s">
        <v>234</v>
      </c>
      <c r="H157" s="75">
        <v>2</v>
      </c>
      <c r="I157" s="90">
        <v>700</v>
      </c>
      <c r="J157" s="91">
        <f t="shared" si="10"/>
        <v>1400</v>
      </c>
      <c r="K157" s="92"/>
      <c r="L157" s="12"/>
      <c r="M157" s="93" t="s">
        <v>1</v>
      </c>
      <c r="N157" s="94" t="s">
        <v>42</v>
      </c>
      <c r="P157" s="95">
        <f t="shared" si="11"/>
        <v>0</v>
      </c>
      <c r="Q157" s="95">
        <v>0</v>
      </c>
      <c r="R157" s="95">
        <f t="shared" si="12"/>
        <v>0</v>
      </c>
      <c r="S157" s="95">
        <v>0</v>
      </c>
      <c r="T157" s="99">
        <f t="shared" si="13"/>
        <v>0</v>
      </c>
      <c r="AR157" s="101" t="s">
        <v>218</v>
      </c>
      <c r="AT157" s="101" t="s">
        <v>214</v>
      </c>
      <c r="AU157" s="101" t="s">
        <v>87</v>
      </c>
      <c r="AY157" s="23" t="s">
        <v>211</v>
      </c>
      <c r="BE157" s="104">
        <f t="shared" si="14"/>
        <v>1400</v>
      </c>
      <c r="BF157" s="104">
        <f t="shared" si="15"/>
        <v>0</v>
      </c>
      <c r="BG157" s="104">
        <f t="shared" si="16"/>
        <v>0</v>
      </c>
      <c r="BH157" s="104">
        <f t="shared" si="17"/>
        <v>0</v>
      </c>
      <c r="BI157" s="104">
        <f t="shared" si="18"/>
        <v>0</v>
      </c>
      <c r="BJ157" s="23" t="s">
        <v>85</v>
      </c>
      <c r="BK157" s="104">
        <f t="shared" si="19"/>
        <v>1400</v>
      </c>
      <c r="BL157" s="23" t="s">
        <v>218</v>
      </c>
      <c r="BM157" s="101" t="s">
        <v>598</v>
      </c>
    </row>
    <row r="158" spans="2:65" s="1" customFormat="1" ht="16.5" customHeight="1">
      <c r="B158" s="12"/>
      <c r="C158" s="71" t="s">
        <v>481</v>
      </c>
      <c r="D158" s="71" t="s">
        <v>214</v>
      </c>
      <c r="E158" s="72" t="s">
        <v>695</v>
      </c>
      <c r="F158" s="73" t="s">
        <v>3866</v>
      </c>
      <c r="G158" s="74" t="s">
        <v>234</v>
      </c>
      <c r="H158" s="75">
        <v>20</v>
      </c>
      <c r="I158" s="90">
        <v>800</v>
      </c>
      <c r="J158" s="91">
        <f t="shared" si="10"/>
        <v>16000</v>
      </c>
      <c r="K158" s="92"/>
      <c r="L158" s="12"/>
      <c r="M158" s="93" t="s">
        <v>1</v>
      </c>
      <c r="N158" s="94" t="s">
        <v>42</v>
      </c>
      <c r="P158" s="95">
        <f t="shared" si="11"/>
        <v>0</v>
      </c>
      <c r="Q158" s="95">
        <v>0</v>
      </c>
      <c r="R158" s="95">
        <f t="shared" si="12"/>
        <v>0</v>
      </c>
      <c r="S158" s="95">
        <v>0</v>
      </c>
      <c r="T158" s="99">
        <f t="shared" si="13"/>
        <v>0</v>
      </c>
      <c r="AR158" s="101" t="s">
        <v>218</v>
      </c>
      <c r="AT158" s="101" t="s">
        <v>214</v>
      </c>
      <c r="AU158" s="101" t="s">
        <v>87</v>
      </c>
      <c r="AY158" s="23" t="s">
        <v>211</v>
      </c>
      <c r="BE158" s="104">
        <f t="shared" si="14"/>
        <v>16000</v>
      </c>
      <c r="BF158" s="104">
        <f t="shared" si="15"/>
        <v>0</v>
      </c>
      <c r="BG158" s="104">
        <f t="shared" si="16"/>
        <v>0</v>
      </c>
      <c r="BH158" s="104">
        <f t="shared" si="17"/>
        <v>0</v>
      </c>
      <c r="BI158" s="104">
        <f t="shared" si="18"/>
        <v>0</v>
      </c>
      <c r="BJ158" s="23" t="s">
        <v>85</v>
      </c>
      <c r="BK158" s="104">
        <f t="shared" si="19"/>
        <v>16000</v>
      </c>
      <c r="BL158" s="23" t="s">
        <v>218</v>
      </c>
      <c r="BM158" s="101" t="s">
        <v>608</v>
      </c>
    </row>
    <row r="159" spans="2:65" s="1" customFormat="1" ht="16.5" customHeight="1">
      <c r="B159" s="12"/>
      <c r="C159" s="71" t="s">
        <v>486</v>
      </c>
      <c r="D159" s="71" t="s">
        <v>214</v>
      </c>
      <c r="E159" s="72" t="s">
        <v>706</v>
      </c>
      <c r="F159" s="73" t="s">
        <v>3867</v>
      </c>
      <c r="G159" s="74" t="s">
        <v>234</v>
      </c>
      <c r="H159" s="75">
        <v>3</v>
      </c>
      <c r="I159" s="90">
        <v>1000</v>
      </c>
      <c r="J159" s="91">
        <f t="shared" si="10"/>
        <v>3000</v>
      </c>
      <c r="K159" s="92"/>
      <c r="L159" s="12"/>
      <c r="M159" s="93" t="s">
        <v>1</v>
      </c>
      <c r="N159" s="94" t="s">
        <v>42</v>
      </c>
      <c r="P159" s="95">
        <f t="shared" si="11"/>
        <v>0</v>
      </c>
      <c r="Q159" s="95">
        <v>0</v>
      </c>
      <c r="R159" s="95">
        <f t="shared" si="12"/>
        <v>0</v>
      </c>
      <c r="S159" s="95">
        <v>0</v>
      </c>
      <c r="T159" s="99">
        <f t="shared" si="13"/>
        <v>0</v>
      </c>
      <c r="AR159" s="101" t="s">
        <v>218</v>
      </c>
      <c r="AT159" s="101" t="s">
        <v>214</v>
      </c>
      <c r="AU159" s="101" t="s">
        <v>87</v>
      </c>
      <c r="AY159" s="23" t="s">
        <v>211</v>
      </c>
      <c r="BE159" s="104">
        <f t="shared" si="14"/>
        <v>3000</v>
      </c>
      <c r="BF159" s="104">
        <f t="shared" si="15"/>
        <v>0</v>
      </c>
      <c r="BG159" s="104">
        <f t="shared" si="16"/>
        <v>0</v>
      </c>
      <c r="BH159" s="104">
        <f t="shared" si="17"/>
        <v>0</v>
      </c>
      <c r="BI159" s="104">
        <f t="shared" si="18"/>
        <v>0</v>
      </c>
      <c r="BJ159" s="23" t="s">
        <v>85</v>
      </c>
      <c r="BK159" s="104">
        <f t="shared" si="19"/>
        <v>3000</v>
      </c>
      <c r="BL159" s="23" t="s">
        <v>218</v>
      </c>
      <c r="BM159" s="101" t="s">
        <v>619</v>
      </c>
    </row>
    <row r="160" spans="2:65" s="1" customFormat="1" ht="16.5" customHeight="1">
      <c r="B160" s="12"/>
      <c r="C160" s="71" t="s">
        <v>490</v>
      </c>
      <c r="D160" s="71" t="s">
        <v>214</v>
      </c>
      <c r="E160" s="72" t="s">
        <v>714</v>
      </c>
      <c r="F160" s="73" t="s">
        <v>3868</v>
      </c>
      <c r="G160" s="74" t="s">
        <v>234</v>
      </c>
      <c r="H160" s="75">
        <v>43</v>
      </c>
      <c r="I160" s="90">
        <v>800</v>
      </c>
      <c r="J160" s="91">
        <f t="shared" si="10"/>
        <v>34400</v>
      </c>
      <c r="K160" s="92"/>
      <c r="L160" s="12"/>
      <c r="M160" s="93" t="s">
        <v>1</v>
      </c>
      <c r="N160" s="94" t="s">
        <v>42</v>
      </c>
      <c r="P160" s="95">
        <f t="shared" si="11"/>
        <v>0</v>
      </c>
      <c r="Q160" s="95">
        <v>0</v>
      </c>
      <c r="R160" s="95">
        <f t="shared" si="12"/>
        <v>0</v>
      </c>
      <c r="S160" s="95">
        <v>0</v>
      </c>
      <c r="T160" s="99">
        <f t="shared" si="13"/>
        <v>0</v>
      </c>
      <c r="AR160" s="101" t="s">
        <v>218</v>
      </c>
      <c r="AT160" s="101" t="s">
        <v>214</v>
      </c>
      <c r="AU160" s="101" t="s">
        <v>87</v>
      </c>
      <c r="AY160" s="23" t="s">
        <v>211</v>
      </c>
      <c r="BE160" s="104">
        <f t="shared" si="14"/>
        <v>34400</v>
      </c>
      <c r="BF160" s="104">
        <f t="shared" si="15"/>
        <v>0</v>
      </c>
      <c r="BG160" s="104">
        <f t="shared" si="16"/>
        <v>0</v>
      </c>
      <c r="BH160" s="104">
        <f t="shared" si="17"/>
        <v>0</v>
      </c>
      <c r="BI160" s="104">
        <f t="shared" si="18"/>
        <v>0</v>
      </c>
      <c r="BJ160" s="23" t="s">
        <v>85</v>
      </c>
      <c r="BK160" s="104">
        <f t="shared" si="19"/>
        <v>34400</v>
      </c>
      <c r="BL160" s="23" t="s">
        <v>218</v>
      </c>
      <c r="BM160" s="101" t="s">
        <v>629</v>
      </c>
    </row>
    <row r="161" spans="2:65" s="1" customFormat="1" ht="16.5" customHeight="1">
      <c r="B161" s="12"/>
      <c r="C161" s="71" t="s">
        <v>496</v>
      </c>
      <c r="D161" s="71" t="s">
        <v>214</v>
      </c>
      <c r="E161" s="72" t="s">
        <v>959</v>
      </c>
      <c r="F161" s="73" t="s">
        <v>3869</v>
      </c>
      <c r="G161" s="74" t="s">
        <v>234</v>
      </c>
      <c r="H161" s="75">
        <v>9</v>
      </c>
      <c r="I161" s="90">
        <v>800</v>
      </c>
      <c r="J161" s="91">
        <f t="shared" si="10"/>
        <v>7200</v>
      </c>
      <c r="K161" s="92"/>
      <c r="L161" s="12"/>
      <c r="M161" s="93" t="s">
        <v>1</v>
      </c>
      <c r="N161" s="94" t="s">
        <v>42</v>
      </c>
      <c r="P161" s="95">
        <f t="shared" si="11"/>
        <v>0</v>
      </c>
      <c r="Q161" s="95">
        <v>0</v>
      </c>
      <c r="R161" s="95">
        <f t="shared" si="12"/>
        <v>0</v>
      </c>
      <c r="S161" s="95">
        <v>0</v>
      </c>
      <c r="T161" s="99">
        <f t="shared" si="13"/>
        <v>0</v>
      </c>
      <c r="AR161" s="101" t="s">
        <v>218</v>
      </c>
      <c r="AT161" s="101" t="s">
        <v>214</v>
      </c>
      <c r="AU161" s="101" t="s">
        <v>87</v>
      </c>
      <c r="AY161" s="23" t="s">
        <v>211</v>
      </c>
      <c r="BE161" s="104">
        <f t="shared" si="14"/>
        <v>7200</v>
      </c>
      <c r="BF161" s="104">
        <f t="shared" si="15"/>
        <v>0</v>
      </c>
      <c r="BG161" s="104">
        <f t="shared" si="16"/>
        <v>0</v>
      </c>
      <c r="BH161" s="104">
        <f t="shared" si="17"/>
        <v>0</v>
      </c>
      <c r="BI161" s="104">
        <f t="shared" si="18"/>
        <v>0</v>
      </c>
      <c r="BJ161" s="23" t="s">
        <v>85</v>
      </c>
      <c r="BK161" s="104">
        <f t="shared" si="19"/>
        <v>7200</v>
      </c>
      <c r="BL161" s="23" t="s">
        <v>218</v>
      </c>
      <c r="BM161" s="101" t="s">
        <v>639</v>
      </c>
    </row>
    <row r="162" spans="2:65" s="1" customFormat="1" ht="24.15" customHeight="1">
      <c r="B162" s="12"/>
      <c r="C162" s="71" t="s">
        <v>502</v>
      </c>
      <c r="D162" s="71" t="s">
        <v>214</v>
      </c>
      <c r="E162" s="72" t="s">
        <v>476</v>
      </c>
      <c r="F162" s="73" t="s">
        <v>3870</v>
      </c>
      <c r="G162" s="74" t="s">
        <v>234</v>
      </c>
      <c r="H162" s="75">
        <v>58</v>
      </c>
      <c r="I162" s="90">
        <v>5500</v>
      </c>
      <c r="J162" s="91">
        <f t="shared" si="10"/>
        <v>319000</v>
      </c>
      <c r="K162" s="92"/>
      <c r="L162" s="12"/>
      <c r="M162" s="93" t="s">
        <v>1</v>
      </c>
      <c r="N162" s="94" t="s">
        <v>42</v>
      </c>
      <c r="P162" s="95">
        <f t="shared" si="11"/>
        <v>0</v>
      </c>
      <c r="Q162" s="95">
        <v>0</v>
      </c>
      <c r="R162" s="95">
        <f t="shared" si="12"/>
        <v>0</v>
      </c>
      <c r="S162" s="95">
        <v>0</v>
      </c>
      <c r="T162" s="99">
        <f t="shared" si="13"/>
        <v>0</v>
      </c>
      <c r="AR162" s="101" t="s">
        <v>218</v>
      </c>
      <c r="AT162" s="101" t="s">
        <v>214</v>
      </c>
      <c r="AU162" s="101" t="s">
        <v>87</v>
      </c>
      <c r="AY162" s="23" t="s">
        <v>211</v>
      </c>
      <c r="BE162" s="104">
        <f t="shared" si="14"/>
        <v>319000</v>
      </c>
      <c r="BF162" s="104">
        <f t="shared" si="15"/>
        <v>0</v>
      </c>
      <c r="BG162" s="104">
        <f t="shared" si="16"/>
        <v>0</v>
      </c>
      <c r="BH162" s="104">
        <f t="shared" si="17"/>
        <v>0</v>
      </c>
      <c r="BI162" s="104">
        <f t="shared" si="18"/>
        <v>0</v>
      </c>
      <c r="BJ162" s="23" t="s">
        <v>85</v>
      </c>
      <c r="BK162" s="104">
        <f t="shared" si="19"/>
        <v>319000</v>
      </c>
      <c r="BL162" s="23" t="s">
        <v>218</v>
      </c>
      <c r="BM162" s="101" t="s">
        <v>649</v>
      </c>
    </row>
    <row r="163" spans="2:65" s="1" customFormat="1" ht="49.35" customHeight="1">
      <c r="B163" s="12"/>
      <c r="C163" s="71" t="s">
        <v>507</v>
      </c>
      <c r="D163" s="71" t="s">
        <v>214</v>
      </c>
      <c r="E163" s="72" t="s">
        <v>1040</v>
      </c>
      <c r="F163" s="73" t="s">
        <v>3871</v>
      </c>
      <c r="G163" s="74" t="s">
        <v>234</v>
      </c>
      <c r="H163" s="75">
        <v>2</v>
      </c>
      <c r="I163" s="90">
        <v>82000</v>
      </c>
      <c r="J163" s="91">
        <f t="shared" si="10"/>
        <v>164000</v>
      </c>
      <c r="K163" s="92"/>
      <c r="L163" s="12"/>
      <c r="M163" s="93" t="s">
        <v>1</v>
      </c>
      <c r="N163" s="94" t="s">
        <v>42</v>
      </c>
      <c r="P163" s="95">
        <f t="shared" si="11"/>
        <v>0</v>
      </c>
      <c r="Q163" s="95">
        <v>0</v>
      </c>
      <c r="R163" s="95">
        <f t="shared" si="12"/>
        <v>0</v>
      </c>
      <c r="S163" s="95">
        <v>0</v>
      </c>
      <c r="T163" s="99">
        <f t="shared" si="13"/>
        <v>0</v>
      </c>
      <c r="AR163" s="101" t="s">
        <v>218</v>
      </c>
      <c r="AT163" s="101" t="s">
        <v>214</v>
      </c>
      <c r="AU163" s="101" t="s">
        <v>87</v>
      </c>
      <c r="AY163" s="23" t="s">
        <v>211</v>
      </c>
      <c r="BE163" s="104">
        <f t="shared" si="14"/>
        <v>164000</v>
      </c>
      <c r="BF163" s="104">
        <f t="shared" si="15"/>
        <v>0</v>
      </c>
      <c r="BG163" s="104">
        <f t="shared" si="16"/>
        <v>0</v>
      </c>
      <c r="BH163" s="104">
        <f t="shared" si="17"/>
        <v>0</v>
      </c>
      <c r="BI163" s="104">
        <f t="shared" si="18"/>
        <v>0</v>
      </c>
      <c r="BJ163" s="23" t="s">
        <v>85</v>
      </c>
      <c r="BK163" s="104">
        <f t="shared" si="19"/>
        <v>164000</v>
      </c>
      <c r="BL163" s="23" t="s">
        <v>218</v>
      </c>
      <c r="BM163" s="101" t="s">
        <v>660</v>
      </c>
    </row>
    <row r="164" spans="2:65" s="1" customFormat="1" ht="44.25" customHeight="1">
      <c r="B164" s="12"/>
      <c r="C164" s="71" t="s">
        <v>511</v>
      </c>
      <c r="D164" s="71" t="s">
        <v>214</v>
      </c>
      <c r="E164" s="72" t="s">
        <v>1063</v>
      </c>
      <c r="F164" s="73" t="s">
        <v>3872</v>
      </c>
      <c r="G164" s="74" t="s">
        <v>234</v>
      </c>
      <c r="H164" s="75">
        <v>1</v>
      </c>
      <c r="I164" s="90">
        <v>10000</v>
      </c>
      <c r="J164" s="91">
        <f t="shared" si="10"/>
        <v>10000</v>
      </c>
      <c r="K164" s="92"/>
      <c r="L164" s="12"/>
      <c r="M164" s="93" t="s">
        <v>1</v>
      </c>
      <c r="N164" s="94" t="s">
        <v>42</v>
      </c>
      <c r="P164" s="95">
        <f t="shared" si="11"/>
        <v>0</v>
      </c>
      <c r="Q164" s="95">
        <v>0</v>
      </c>
      <c r="R164" s="95">
        <f t="shared" si="12"/>
        <v>0</v>
      </c>
      <c r="S164" s="95">
        <v>0</v>
      </c>
      <c r="T164" s="99">
        <f t="shared" si="13"/>
        <v>0</v>
      </c>
      <c r="AR164" s="101" t="s">
        <v>218</v>
      </c>
      <c r="AT164" s="101" t="s">
        <v>214</v>
      </c>
      <c r="AU164" s="101" t="s">
        <v>87</v>
      </c>
      <c r="AY164" s="23" t="s">
        <v>211</v>
      </c>
      <c r="BE164" s="104">
        <f t="shared" si="14"/>
        <v>10000</v>
      </c>
      <c r="BF164" s="104">
        <f t="shared" si="15"/>
        <v>0</v>
      </c>
      <c r="BG164" s="104">
        <f t="shared" si="16"/>
        <v>0</v>
      </c>
      <c r="BH164" s="104">
        <f t="shared" si="17"/>
        <v>0</v>
      </c>
      <c r="BI164" s="104">
        <f t="shared" si="18"/>
        <v>0</v>
      </c>
      <c r="BJ164" s="23" t="s">
        <v>85</v>
      </c>
      <c r="BK164" s="104">
        <f t="shared" si="19"/>
        <v>10000</v>
      </c>
      <c r="BL164" s="23" t="s">
        <v>218</v>
      </c>
      <c r="BM164" s="101" t="s">
        <v>679</v>
      </c>
    </row>
    <row r="165" spans="2:65" s="31" customFormat="1" ht="23.1" customHeight="1">
      <c r="B165" s="67"/>
      <c r="D165" s="68" t="s">
        <v>76</v>
      </c>
      <c r="E165" s="70" t="s">
        <v>3873</v>
      </c>
      <c r="F165" s="70" t="s">
        <v>3874</v>
      </c>
      <c r="I165" s="85"/>
      <c r="J165" s="89">
        <f>BK165</f>
        <v>664800</v>
      </c>
      <c r="L165" s="67"/>
      <c r="M165" s="87"/>
      <c r="P165" s="88">
        <f>SUM(P166:P169)</f>
        <v>0</v>
      </c>
      <c r="R165" s="88">
        <f>SUM(R166:R169)</f>
        <v>0</v>
      </c>
      <c r="T165" s="98">
        <f>SUM(T166:T169)</f>
        <v>0</v>
      </c>
      <c r="AR165" s="68" t="s">
        <v>85</v>
      </c>
      <c r="AT165" s="100" t="s">
        <v>76</v>
      </c>
      <c r="AU165" s="100" t="s">
        <v>85</v>
      </c>
      <c r="AY165" s="68" t="s">
        <v>211</v>
      </c>
      <c r="BK165" s="103">
        <f>SUM(BK166:BK169)</f>
        <v>664800</v>
      </c>
    </row>
    <row r="166" spans="2:65" s="1" customFormat="1" ht="24.15" customHeight="1">
      <c r="B166" s="12"/>
      <c r="C166" s="71" t="s">
        <v>517</v>
      </c>
      <c r="D166" s="71" t="s">
        <v>214</v>
      </c>
      <c r="E166" s="72" t="s">
        <v>460</v>
      </c>
      <c r="F166" s="73" t="s">
        <v>3875</v>
      </c>
      <c r="G166" s="74" t="s">
        <v>234</v>
      </c>
      <c r="H166" s="75">
        <v>44</v>
      </c>
      <c r="I166" s="90">
        <v>4200</v>
      </c>
      <c r="J166" s="91">
        <f>ROUND(I166*H166,2)</f>
        <v>184800</v>
      </c>
      <c r="K166" s="92"/>
      <c r="L166" s="12"/>
      <c r="M166" s="93" t="s">
        <v>1</v>
      </c>
      <c r="N166" s="94" t="s">
        <v>42</v>
      </c>
      <c r="P166" s="95">
        <f>O166*H166</f>
        <v>0</v>
      </c>
      <c r="Q166" s="95">
        <v>0</v>
      </c>
      <c r="R166" s="95">
        <f>Q166*H166</f>
        <v>0</v>
      </c>
      <c r="S166" s="95">
        <v>0</v>
      </c>
      <c r="T166" s="99">
        <f>S166*H166</f>
        <v>0</v>
      </c>
      <c r="AR166" s="101" t="s">
        <v>218</v>
      </c>
      <c r="AT166" s="101" t="s">
        <v>214</v>
      </c>
      <c r="AU166" s="101" t="s">
        <v>87</v>
      </c>
      <c r="AY166" s="23" t="s">
        <v>211</v>
      </c>
      <c r="BE166" s="104">
        <f>IF(N166="základní",J166,0)</f>
        <v>184800</v>
      </c>
      <c r="BF166" s="104">
        <f>IF(N166="snížená",J166,0)</f>
        <v>0</v>
      </c>
      <c r="BG166" s="104">
        <f>IF(N166="zákl. přenesená",J166,0)</f>
        <v>0</v>
      </c>
      <c r="BH166" s="104">
        <f>IF(N166="sníž. přenesená",J166,0)</f>
        <v>0</v>
      </c>
      <c r="BI166" s="104">
        <f>IF(N166="nulová",J166,0)</f>
        <v>0</v>
      </c>
      <c r="BJ166" s="23" t="s">
        <v>85</v>
      </c>
      <c r="BK166" s="104">
        <f>ROUND(I166*H166,2)</f>
        <v>184800</v>
      </c>
      <c r="BL166" s="23" t="s">
        <v>218</v>
      </c>
      <c r="BM166" s="101" t="s">
        <v>705</v>
      </c>
    </row>
    <row r="167" spans="2:65" s="1" customFormat="1" ht="24.15" customHeight="1">
      <c r="B167" s="12"/>
      <c r="C167" s="71" t="s">
        <v>522</v>
      </c>
      <c r="D167" s="71" t="s">
        <v>214</v>
      </c>
      <c r="E167" s="72" t="s">
        <v>466</v>
      </c>
      <c r="F167" s="73" t="s">
        <v>3876</v>
      </c>
      <c r="G167" s="74" t="s">
        <v>234</v>
      </c>
      <c r="H167" s="75">
        <v>106</v>
      </c>
      <c r="I167" s="90">
        <v>3500</v>
      </c>
      <c r="J167" s="91">
        <f>ROUND(I167*H167,2)</f>
        <v>371000</v>
      </c>
      <c r="K167" s="92"/>
      <c r="L167" s="12"/>
      <c r="M167" s="93" t="s">
        <v>1</v>
      </c>
      <c r="N167" s="94" t="s">
        <v>42</v>
      </c>
      <c r="P167" s="95">
        <f>O167*H167</f>
        <v>0</v>
      </c>
      <c r="Q167" s="95">
        <v>0</v>
      </c>
      <c r="R167" s="95">
        <f>Q167*H167</f>
        <v>0</v>
      </c>
      <c r="S167" s="95">
        <v>0</v>
      </c>
      <c r="T167" s="99">
        <f>S167*H167</f>
        <v>0</v>
      </c>
      <c r="AR167" s="101" t="s">
        <v>218</v>
      </c>
      <c r="AT167" s="101" t="s">
        <v>214</v>
      </c>
      <c r="AU167" s="101" t="s">
        <v>87</v>
      </c>
      <c r="AY167" s="23" t="s">
        <v>211</v>
      </c>
      <c r="BE167" s="104">
        <f>IF(N167="základní",J167,0)</f>
        <v>371000</v>
      </c>
      <c r="BF167" s="104">
        <f>IF(N167="snížená",J167,0)</f>
        <v>0</v>
      </c>
      <c r="BG167" s="104">
        <f>IF(N167="zákl. přenesená",J167,0)</f>
        <v>0</v>
      </c>
      <c r="BH167" s="104">
        <f>IF(N167="sníž. přenesená",J167,0)</f>
        <v>0</v>
      </c>
      <c r="BI167" s="104">
        <f>IF(N167="nulová",J167,0)</f>
        <v>0</v>
      </c>
      <c r="BJ167" s="23" t="s">
        <v>85</v>
      </c>
      <c r="BK167" s="104">
        <f>ROUND(I167*H167,2)</f>
        <v>371000</v>
      </c>
      <c r="BL167" s="23" t="s">
        <v>218</v>
      </c>
      <c r="BM167" s="101" t="s">
        <v>722</v>
      </c>
    </row>
    <row r="168" spans="2:65" s="1" customFormat="1" ht="24.15" customHeight="1">
      <c r="B168" s="12"/>
      <c r="C168" s="71" t="s">
        <v>527</v>
      </c>
      <c r="D168" s="71" t="s">
        <v>214</v>
      </c>
      <c r="E168" s="72" t="s">
        <v>512</v>
      </c>
      <c r="F168" s="73" t="s">
        <v>3877</v>
      </c>
      <c r="G168" s="74" t="s">
        <v>234</v>
      </c>
      <c r="H168" s="75">
        <v>26</v>
      </c>
      <c r="I168" s="90">
        <v>2500</v>
      </c>
      <c r="J168" s="91">
        <f>ROUND(I168*H168,2)</f>
        <v>65000</v>
      </c>
      <c r="K168" s="92"/>
      <c r="L168" s="12"/>
      <c r="M168" s="93" t="s">
        <v>1</v>
      </c>
      <c r="N168" s="94" t="s">
        <v>42</v>
      </c>
      <c r="P168" s="95">
        <f>O168*H168</f>
        <v>0</v>
      </c>
      <c r="Q168" s="95">
        <v>0</v>
      </c>
      <c r="R168" s="95">
        <f>Q168*H168</f>
        <v>0</v>
      </c>
      <c r="S168" s="95">
        <v>0</v>
      </c>
      <c r="T168" s="99">
        <f>S168*H168</f>
        <v>0</v>
      </c>
      <c r="AR168" s="101" t="s">
        <v>218</v>
      </c>
      <c r="AT168" s="101" t="s">
        <v>214</v>
      </c>
      <c r="AU168" s="101" t="s">
        <v>87</v>
      </c>
      <c r="AY168" s="23" t="s">
        <v>211</v>
      </c>
      <c r="BE168" s="104">
        <f>IF(N168="základní",J168,0)</f>
        <v>65000</v>
      </c>
      <c r="BF168" s="104">
        <f>IF(N168="snížená",J168,0)</f>
        <v>0</v>
      </c>
      <c r="BG168" s="104">
        <f>IF(N168="zákl. přenesená",J168,0)</f>
        <v>0</v>
      </c>
      <c r="BH168" s="104">
        <f>IF(N168="sníž. přenesená",J168,0)</f>
        <v>0</v>
      </c>
      <c r="BI168" s="104">
        <f>IF(N168="nulová",J168,0)</f>
        <v>0</v>
      </c>
      <c r="BJ168" s="23" t="s">
        <v>85</v>
      </c>
      <c r="BK168" s="104">
        <f>ROUND(I168*H168,2)</f>
        <v>65000</v>
      </c>
      <c r="BL168" s="23" t="s">
        <v>218</v>
      </c>
      <c r="BM168" s="101" t="s">
        <v>756</v>
      </c>
    </row>
    <row r="169" spans="2:65" s="1" customFormat="1" ht="24.15" customHeight="1">
      <c r="B169" s="12"/>
      <c r="C169" s="71" t="s">
        <v>532</v>
      </c>
      <c r="D169" s="71" t="s">
        <v>214</v>
      </c>
      <c r="E169" s="72" t="s">
        <v>518</v>
      </c>
      <c r="F169" s="73" t="s">
        <v>3878</v>
      </c>
      <c r="G169" s="74" t="s">
        <v>234</v>
      </c>
      <c r="H169" s="75">
        <v>20</v>
      </c>
      <c r="I169" s="90">
        <v>2200</v>
      </c>
      <c r="J169" s="91">
        <f>ROUND(I169*H169,2)</f>
        <v>44000</v>
      </c>
      <c r="K169" s="92"/>
      <c r="L169" s="12"/>
      <c r="M169" s="93" t="s">
        <v>1</v>
      </c>
      <c r="N169" s="94" t="s">
        <v>42</v>
      </c>
      <c r="P169" s="95">
        <f>O169*H169</f>
        <v>0</v>
      </c>
      <c r="Q169" s="95">
        <v>0</v>
      </c>
      <c r="R169" s="95">
        <f>Q169*H169</f>
        <v>0</v>
      </c>
      <c r="S169" s="95">
        <v>0</v>
      </c>
      <c r="T169" s="99">
        <f>S169*H169</f>
        <v>0</v>
      </c>
      <c r="AR169" s="101" t="s">
        <v>218</v>
      </c>
      <c r="AT169" s="101" t="s">
        <v>214</v>
      </c>
      <c r="AU169" s="101" t="s">
        <v>87</v>
      </c>
      <c r="AY169" s="23" t="s">
        <v>211</v>
      </c>
      <c r="BE169" s="104">
        <f>IF(N169="základní",J169,0)</f>
        <v>44000</v>
      </c>
      <c r="BF169" s="104">
        <f>IF(N169="snížená",J169,0)</f>
        <v>0</v>
      </c>
      <c r="BG169" s="104">
        <f>IF(N169="zákl. přenesená",J169,0)</f>
        <v>0</v>
      </c>
      <c r="BH169" s="104">
        <f>IF(N169="sníž. přenesená",J169,0)</f>
        <v>0</v>
      </c>
      <c r="BI169" s="104">
        <f>IF(N169="nulová",J169,0)</f>
        <v>0</v>
      </c>
      <c r="BJ169" s="23" t="s">
        <v>85</v>
      </c>
      <c r="BK169" s="104">
        <f>ROUND(I169*H169,2)</f>
        <v>44000</v>
      </c>
      <c r="BL169" s="23" t="s">
        <v>218</v>
      </c>
      <c r="BM169" s="101" t="s">
        <v>805</v>
      </c>
    </row>
    <row r="170" spans="2:65" s="31" customFormat="1" ht="23.1" customHeight="1">
      <c r="B170" s="67"/>
      <c r="D170" s="68" t="s">
        <v>76</v>
      </c>
      <c r="E170" s="70" t="s">
        <v>3879</v>
      </c>
      <c r="F170" s="70" t="s">
        <v>3880</v>
      </c>
      <c r="I170" s="85"/>
      <c r="J170" s="89">
        <f>BK170</f>
        <v>268010</v>
      </c>
      <c r="L170" s="67"/>
      <c r="M170" s="87"/>
      <c r="P170" s="88">
        <f>SUM(P171:P174)</f>
        <v>0</v>
      </c>
      <c r="R170" s="88">
        <f>SUM(R171:R174)</f>
        <v>0</v>
      </c>
      <c r="T170" s="98">
        <f>SUM(T171:T174)</f>
        <v>0</v>
      </c>
      <c r="AR170" s="68" t="s">
        <v>85</v>
      </c>
      <c r="AT170" s="100" t="s">
        <v>76</v>
      </c>
      <c r="AU170" s="100" t="s">
        <v>85</v>
      </c>
      <c r="AY170" s="68" t="s">
        <v>211</v>
      </c>
      <c r="BK170" s="103">
        <f>SUM(BK171:BK174)</f>
        <v>268010</v>
      </c>
    </row>
    <row r="171" spans="2:65" s="1" customFormat="1" ht="16.5" customHeight="1">
      <c r="B171" s="12"/>
      <c r="C171" s="71" t="s">
        <v>537</v>
      </c>
      <c r="D171" s="71" t="s">
        <v>214</v>
      </c>
      <c r="E171" s="72" t="s">
        <v>523</v>
      </c>
      <c r="F171" s="73" t="s">
        <v>3881</v>
      </c>
      <c r="G171" s="74" t="s">
        <v>234</v>
      </c>
      <c r="H171" s="75">
        <v>95</v>
      </c>
      <c r="I171" s="90">
        <v>1300</v>
      </c>
      <c r="J171" s="91">
        <f>ROUND(I171*H171,2)</f>
        <v>123500</v>
      </c>
      <c r="K171" s="92"/>
      <c r="L171" s="12"/>
      <c r="M171" s="93" t="s">
        <v>1</v>
      </c>
      <c r="N171" s="94" t="s">
        <v>42</v>
      </c>
      <c r="P171" s="95">
        <f>O171*H171</f>
        <v>0</v>
      </c>
      <c r="Q171" s="95">
        <v>0</v>
      </c>
      <c r="R171" s="95">
        <f>Q171*H171</f>
        <v>0</v>
      </c>
      <c r="S171" s="95">
        <v>0</v>
      </c>
      <c r="T171" s="99">
        <f>S171*H171</f>
        <v>0</v>
      </c>
      <c r="AR171" s="101" t="s">
        <v>218</v>
      </c>
      <c r="AT171" s="101" t="s">
        <v>214</v>
      </c>
      <c r="AU171" s="101" t="s">
        <v>87</v>
      </c>
      <c r="AY171" s="23" t="s">
        <v>211</v>
      </c>
      <c r="BE171" s="104">
        <f>IF(N171="základní",J171,0)</f>
        <v>123500</v>
      </c>
      <c r="BF171" s="104">
        <f>IF(N171="snížená",J171,0)</f>
        <v>0</v>
      </c>
      <c r="BG171" s="104">
        <f>IF(N171="zákl. přenesená",J171,0)</f>
        <v>0</v>
      </c>
      <c r="BH171" s="104">
        <f>IF(N171="sníž. přenesená",J171,0)</f>
        <v>0</v>
      </c>
      <c r="BI171" s="104">
        <f>IF(N171="nulová",J171,0)</f>
        <v>0</v>
      </c>
      <c r="BJ171" s="23" t="s">
        <v>85</v>
      </c>
      <c r="BK171" s="104">
        <f>ROUND(I171*H171,2)</f>
        <v>123500</v>
      </c>
      <c r="BL171" s="23" t="s">
        <v>218</v>
      </c>
      <c r="BM171" s="101" t="s">
        <v>814</v>
      </c>
    </row>
    <row r="172" spans="2:65" s="1" customFormat="1" ht="16.5" customHeight="1">
      <c r="B172" s="12"/>
      <c r="C172" s="71" t="s">
        <v>542</v>
      </c>
      <c r="D172" s="71" t="s">
        <v>214</v>
      </c>
      <c r="E172" s="72" t="s">
        <v>533</v>
      </c>
      <c r="F172" s="73" t="s">
        <v>3882</v>
      </c>
      <c r="G172" s="74" t="s">
        <v>234</v>
      </c>
      <c r="H172" s="75">
        <v>39</v>
      </c>
      <c r="I172" s="90">
        <v>2000</v>
      </c>
      <c r="J172" s="91">
        <f>ROUND(I172*H172,2)</f>
        <v>78000</v>
      </c>
      <c r="K172" s="92"/>
      <c r="L172" s="12"/>
      <c r="M172" s="93" t="s">
        <v>1</v>
      </c>
      <c r="N172" s="94" t="s">
        <v>42</v>
      </c>
      <c r="P172" s="95">
        <f>O172*H172</f>
        <v>0</v>
      </c>
      <c r="Q172" s="95">
        <v>0</v>
      </c>
      <c r="R172" s="95">
        <f>Q172*H172</f>
        <v>0</v>
      </c>
      <c r="S172" s="95">
        <v>0</v>
      </c>
      <c r="T172" s="99">
        <f>S172*H172</f>
        <v>0</v>
      </c>
      <c r="AR172" s="101" t="s">
        <v>218</v>
      </c>
      <c r="AT172" s="101" t="s">
        <v>214</v>
      </c>
      <c r="AU172" s="101" t="s">
        <v>87</v>
      </c>
      <c r="AY172" s="23" t="s">
        <v>211</v>
      </c>
      <c r="BE172" s="104">
        <f>IF(N172="základní",J172,0)</f>
        <v>78000</v>
      </c>
      <c r="BF172" s="104">
        <f>IF(N172="snížená",J172,0)</f>
        <v>0</v>
      </c>
      <c r="BG172" s="104">
        <f>IF(N172="zákl. přenesená",J172,0)</f>
        <v>0</v>
      </c>
      <c r="BH172" s="104">
        <f>IF(N172="sníž. přenesená",J172,0)</f>
        <v>0</v>
      </c>
      <c r="BI172" s="104">
        <f>IF(N172="nulová",J172,0)</f>
        <v>0</v>
      </c>
      <c r="BJ172" s="23" t="s">
        <v>85</v>
      </c>
      <c r="BK172" s="104">
        <f>ROUND(I172*H172,2)</f>
        <v>78000</v>
      </c>
      <c r="BL172" s="23" t="s">
        <v>218</v>
      </c>
      <c r="BM172" s="101" t="s">
        <v>822</v>
      </c>
    </row>
    <row r="173" spans="2:65" s="1" customFormat="1" ht="16.5" customHeight="1">
      <c r="B173" s="12"/>
      <c r="C173" s="71" t="s">
        <v>551</v>
      </c>
      <c r="D173" s="71" t="s">
        <v>214</v>
      </c>
      <c r="E173" s="72" t="s">
        <v>538</v>
      </c>
      <c r="F173" s="73" t="s">
        <v>3883</v>
      </c>
      <c r="G173" s="74" t="s">
        <v>234</v>
      </c>
      <c r="H173" s="75">
        <v>37</v>
      </c>
      <c r="I173" s="90">
        <v>1230</v>
      </c>
      <c r="J173" s="91">
        <f>ROUND(I173*H173,2)</f>
        <v>45510</v>
      </c>
      <c r="K173" s="92"/>
      <c r="L173" s="12"/>
      <c r="M173" s="93" t="s">
        <v>1</v>
      </c>
      <c r="N173" s="94" t="s">
        <v>42</v>
      </c>
      <c r="P173" s="95">
        <f>O173*H173</f>
        <v>0</v>
      </c>
      <c r="Q173" s="95">
        <v>0</v>
      </c>
      <c r="R173" s="95">
        <f>Q173*H173</f>
        <v>0</v>
      </c>
      <c r="S173" s="95">
        <v>0</v>
      </c>
      <c r="T173" s="99">
        <f>S173*H173</f>
        <v>0</v>
      </c>
      <c r="AR173" s="101" t="s">
        <v>218</v>
      </c>
      <c r="AT173" s="101" t="s">
        <v>214</v>
      </c>
      <c r="AU173" s="101" t="s">
        <v>87</v>
      </c>
      <c r="AY173" s="23" t="s">
        <v>211</v>
      </c>
      <c r="BE173" s="104">
        <f>IF(N173="základní",J173,0)</f>
        <v>45510</v>
      </c>
      <c r="BF173" s="104">
        <f>IF(N173="snížená",J173,0)</f>
        <v>0</v>
      </c>
      <c r="BG173" s="104">
        <f>IF(N173="zákl. přenesená",J173,0)</f>
        <v>0</v>
      </c>
      <c r="BH173" s="104">
        <f>IF(N173="sníž. přenesená",J173,0)</f>
        <v>0</v>
      </c>
      <c r="BI173" s="104">
        <f>IF(N173="nulová",J173,0)</f>
        <v>0</v>
      </c>
      <c r="BJ173" s="23" t="s">
        <v>85</v>
      </c>
      <c r="BK173" s="104">
        <f>ROUND(I173*H173,2)</f>
        <v>45510</v>
      </c>
      <c r="BL173" s="23" t="s">
        <v>218</v>
      </c>
      <c r="BM173" s="101" t="s">
        <v>830</v>
      </c>
    </row>
    <row r="174" spans="2:65" s="1" customFormat="1" ht="16.5" customHeight="1">
      <c r="B174" s="12"/>
      <c r="C174" s="71" t="s">
        <v>555</v>
      </c>
      <c r="D174" s="71" t="s">
        <v>214</v>
      </c>
      <c r="E174" s="72" t="s">
        <v>3884</v>
      </c>
      <c r="F174" s="73" t="s">
        <v>3885</v>
      </c>
      <c r="G174" s="74" t="s">
        <v>234</v>
      </c>
      <c r="H174" s="75">
        <v>10</v>
      </c>
      <c r="I174" s="90">
        <v>2100</v>
      </c>
      <c r="J174" s="91">
        <f>ROUND(I174*H174,2)</f>
        <v>21000</v>
      </c>
      <c r="K174" s="92"/>
      <c r="L174" s="12"/>
      <c r="M174" s="93" t="s">
        <v>1</v>
      </c>
      <c r="N174" s="94" t="s">
        <v>42</v>
      </c>
      <c r="P174" s="95">
        <f>O174*H174</f>
        <v>0</v>
      </c>
      <c r="Q174" s="95">
        <v>0</v>
      </c>
      <c r="R174" s="95">
        <f>Q174*H174</f>
        <v>0</v>
      </c>
      <c r="S174" s="95">
        <v>0</v>
      </c>
      <c r="T174" s="99">
        <f>S174*H174</f>
        <v>0</v>
      </c>
      <c r="AR174" s="101" t="s">
        <v>218</v>
      </c>
      <c r="AT174" s="101" t="s">
        <v>214</v>
      </c>
      <c r="AU174" s="101" t="s">
        <v>87</v>
      </c>
      <c r="AY174" s="23" t="s">
        <v>211</v>
      </c>
      <c r="BE174" s="104">
        <f>IF(N174="základní",J174,0)</f>
        <v>21000</v>
      </c>
      <c r="BF174" s="104">
        <f>IF(N174="snížená",J174,0)</f>
        <v>0</v>
      </c>
      <c r="BG174" s="104">
        <f>IF(N174="zákl. přenesená",J174,0)</f>
        <v>0</v>
      </c>
      <c r="BH174" s="104">
        <f>IF(N174="sníž. přenesená",J174,0)</f>
        <v>0</v>
      </c>
      <c r="BI174" s="104">
        <f>IF(N174="nulová",J174,0)</f>
        <v>0</v>
      </c>
      <c r="BJ174" s="23" t="s">
        <v>85</v>
      </c>
      <c r="BK174" s="104">
        <f>ROUND(I174*H174,2)</f>
        <v>21000</v>
      </c>
      <c r="BL174" s="23" t="s">
        <v>218</v>
      </c>
      <c r="BM174" s="101" t="s">
        <v>838</v>
      </c>
    </row>
    <row r="175" spans="2:65" s="31" customFormat="1" ht="23.1" customHeight="1">
      <c r="B175" s="67"/>
      <c r="D175" s="68" t="s">
        <v>76</v>
      </c>
      <c r="E175" s="70" t="s">
        <v>3886</v>
      </c>
      <c r="F175" s="70" t="s">
        <v>3887</v>
      </c>
      <c r="I175" s="85"/>
      <c r="J175" s="89">
        <f>BK175</f>
        <v>473000</v>
      </c>
      <c r="L175" s="67"/>
      <c r="M175" s="87"/>
      <c r="P175" s="88">
        <f>SUM(P176:P179)</f>
        <v>0</v>
      </c>
      <c r="R175" s="88">
        <f>SUM(R176:R179)</f>
        <v>0</v>
      </c>
      <c r="T175" s="98">
        <f>SUM(T176:T179)</f>
        <v>0</v>
      </c>
      <c r="AR175" s="68" t="s">
        <v>85</v>
      </c>
      <c r="AT175" s="100" t="s">
        <v>76</v>
      </c>
      <c r="AU175" s="100" t="s">
        <v>85</v>
      </c>
      <c r="AY175" s="68" t="s">
        <v>211</v>
      </c>
      <c r="BK175" s="103">
        <f>SUM(BK176:BK179)</f>
        <v>473000</v>
      </c>
    </row>
    <row r="176" spans="2:65" s="1" customFormat="1" ht="55.5" customHeight="1">
      <c r="B176" s="12"/>
      <c r="C176" s="71" t="s">
        <v>566</v>
      </c>
      <c r="D176" s="71" t="s">
        <v>214</v>
      </c>
      <c r="E176" s="72" t="s">
        <v>3888</v>
      </c>
      <c r="F176" s="73" t="s">
        <v>3889</v>
      </c>
      <c r="G176" s="74" t="s">
        <v>234</v>
      </c>
      <c r="H176" s="75">
        <v>1</v>
      </c>
      <c r="I176" s="90">
        <v>130000</v>
      </c>
      <c r="J176" s="91">
        <f>ROUND(I176*H176,2)</f>
        <v>130000</v>
      </c>
      <c r="K176" s="92"/>
      <c r="L176" s="12"/>
      <c r="M176" s="93" t="s">
        <v>1</v>
      </c>
      <c r="N176" s="94" t="s">
        <v>42</v>
      </c>
      <c r="P176" s="95">
        <f>O176*H176</f>
        <v>0</v>
      </c>
      <c r="Q176" s="95">
        <v>0</v>
      </c>
      <c r="R176" s="95">
        <f>Q176*H176</f>
        <v>0</v>
      </c>
      <c r="S176" s="95">
        <v>0</v>
      </c>
      <c r="T176" s="99">
        <f>S176*H176</f>
        <v>0</v>
      </c>
      <c r="AR176" s="101" t="s">
        <v>218</v>
      </c>
      <c r="AT176" s="101" t="s">
        <v>214</v>
      </c>
      <c r="AU176" s="101" t="s">
        <v>87</v>
      </c>
      <c r="AY176" s="23" t="s">
        <v>211</v>
      </c>
      <c r="BE176" s="104">
        <f>IF(N176="základní",J176,0)</f>
        <v>130000</v>
      </c>
      <c r="BF176" s="104">
        <f>IF(N176="snížená",J176,0)</f>
        <v>0</v>
      </c>
      <c r="BG176" s="104">
        <f>IF(N176="zákl. přenesená",J176,0)</f>
        <v>0</v>
      </c>
      <c r="BH176" s="104">
        <f>IF(N176="sníž. přenesená",J176,0)</f>
        <v>0</v>
      </c>
      <c r="BI176" s="104">
        <f>IF(N176="nulová",J176,0)</f>
        <v>0</v>
      </c>
      <c r="BJ176" s="23" t="s">
        <v>85</v>
      </c>
      <c r="BK176" s="104">
        <f>ROUND(I176*H176,2)</f>
        <v>130000</v>
      </c>
      <c r="BL176" s="23" t="s">
        <v>218</v>
      </c>
      <c r="BM176" s="101" t="s">
        <v>846</v>
      </c>
    </row>
    <row r="177" spans="2:65" s="1" customFormat="1" ht="33" customHeight="1">
      <c r="B177" s="12"/>
      <c r="C177" s="71" t="s">
        <v>570</v>
      </c>
      <c r="D177" s="71" t="s">
        <v>214</v>
      </c>
      <c r="E177" s="72" t="s">
        <v>3890</v>
      </c>
      <c r="F177" s="73" t="s">
        <v>3891</v>
      </c>
      <c r="G177" s="74" t="s">
        <v>234</v>
      </c>
      <c r="H177" s="75">
        <v>1</v>
      </c>
      <c r="I177" s="90">
        <v>35000</v>
      </c>
      <c r="J177" s="91">
        <f>ROUND(I177*H177,2)</f>
        <v>35000</v>
      </c>
      <c r="K177" s="92"/>
      <c r="L177" s="12"/>
      <c r="M177" s="93" t="s">
        <v>1</v>
      </c>
      <c r="N177" s="94" t="s">
        <v>42</v>
      </c>
      <c r="P177" s="95">
        <f>O177*H177</f>
        <v>0</v>
      </c>
      <c r="Q177" s="95">
        <v>0</v>
      </c>
      <c r="R177" s="95">
        <f>Q177*H177</f>
        <v>0</v>
      </c>
      <c r="S177" s="95">
        <v>0</v>
      </c>
      <c r="T177" s="99">
        <f>S177*H177</f>
        <v>0</v>
      </c>
      <c r="AR177" s="101" t="s">
        <v>218</v>
      </c>
      <c r="AT177" s="101" t="s">
        <v>214</v>
      </c>
      <c r="AU177" s="101" t="s">
        <v>87</v>
      </c>
      <c r="AY177" s="23" t="s">
        <v>211</v>
      </c>
      <c r="BE177" s="104">
        <f>IF(N177="základní",J177,0)</f>
        <v>35000</v>
      </c>
      <c r="BF177" s="104">
        <f>IF(N177="snížená",J177,0)</f>
        <v>0</v>
      </c>
      <c r="BG177" s="104">
        <f>IF(N177="zákl. přenesená",J177,0)</f>
        <v>0</v>
      </c>
      <c r="BH177" s="104">
        <f>IF(N177="sníž. přenesená",J177,0)</f>
        <v>0</v>
      </c>
      <c r="BI177" s="104">
        <f>IF(N177="nulová",J177,0)</f>
        <v>0</v>
      </c>
      <c r="BJ177" s="23" t="s">
        <v>85</v>
      </c>
      <c r="BK177" s="104">
        <f>ROUND(I177*H177,2)</f>
        <v>35000</v>
      </c>
      <c r="BL177" s="23" t="s">
        <v>218</v>
      </c>
      <c r="BM177" s="101" t="s">
        <v>854</v>
      </c>
    </row>
    <row r="178" spans="2:65" s="1" customFormat="1" ht="38.1" customHeight="1">
      <c r="B178" s="12"/>
      <c r="C178" s="71" t="s">
        <v>578</v>
      </c>
      <c r="D178" s="71" t="s">
        <v>214</v>
      </c>
      <c r="E178" s="72" t="s">
        <v>3892</v>
      </c>
      <c r="F178" s="73" t="s">
        <v>3893</v>
      </c>
      <c r="G178" s="74" t="s">
        <v>234</v>
      </c>
      <c r="H178" s="75">
        <v>1</v>
      </c>
      <c r="I178" s="90">
        <v>162000</v>
      </c>
      <c r="J178" s="91">
        <f>ROUND(I178*H178,2)</f>
        <v>162000</v>
      </c>
      <c r="K178" s="92"/>
      <c r="L178" s="12"/>
      <c r="M178" s="93" t="s">
        <v>1</v>
      </c>
      <c r="N178" s="94" t="s">
        <v>42</v>
      </c>
      <c r="P178" s="95">
        <f>O178*H178</f>
        <v>0</v>
      </c>
      <c r="Q178" s="95">
        <v>0</v>
      </c>
      <c r="R178" s="95">
        <f>Q178*H178</f>
        <v>0</v>
      </c>
      <c r="S178" s="95">
        <v>0</v>
      </c>
      <c r="T178" s="99">
        <f>S178*H178</f>
        <v>0</v>
      </c>
      <c r="AR178" s="101" t="s">
        <v>218</v>
      </c>
      <c r="AT178" s="101" t="s">
        <v>214</v>
      </c>
      <c r="AU178" s="101" t="s">
        <v>87</v>
      </c>
      <c r="AY178" s="23" t="s">
        <v>211</v>
      </c>
      <c r="BE178" s="104">
        <f>IF(N178="základní",J178,0)</f>
        <v>162000</v>
      </c>
      <c r="BF178" s="104">
        <f>IF(N178="snížená",J178,0)</f>
        <v>0</v>
      </c>
      <c r="BG178" s="104">
        <f>IF(N178="zákl. přenesená",J178,0)</f>
        <v>0</v>
      </c>
      <c r="BH178" s="104">
        <f>IF(N178="sníž. přenesená",J178,0)</f>
        <v>0</v>
      </c>
      <c r="BI178" s="104">
        <f>IF(N178="nulová",J178,0)</f>
        <v>0</v>
      </c>
      <c r="BJ178" s="23" t="s">
        <v>85</v>
      </c>
      <c r="BK178" s="104">
        <f>ROUND(I178*H178,2)</f>
        <v>162000</v>
      </c>
      <c r="BL178" s="23" t="s">
        <v>218</v>
      </c>
      <c r="BM178" s="101" t="s">
        <v>862</v>
      </c>
    </row>
    <row r="179" spans="2:65" s="1" customFormat="1" ht="62.85" customHeight="1">
      <c r="B179" s="12"/>
      <c r="C179" s="71" t="s">
        <v>582</v>
      </c>
      <c r="D179" s="71" t="s">
        <v>214</v>
      </c>
      <c r="E179" s="72" t="s">
        <v>3894</v>
      </c>
      <c r="F179" s="73" t="s">
        <v>3895</v>
      </c>
      <c r="G179" s="74" t="s">
        <v>234</v>
      </c>
      <c r="H179" s="75">
        <v>2</v>
      </c>
      <c r="I179" s="90">
        <v>73000</v>
      </c>
      <c r="J179" s="91">
        <f>ROUND(I179*H179,2)</f>
        <v>146000</v>
      </c>
      <c r="K179" s="92"/>
      <c r="L179" s="12"/>
      <c r="M179" s="93" t="s">
        <v>1</v>
      </c>
      <c r="N179" s="94" t="s">
        <v>42</v>
      </c>
      <c r="P179" s="95">
        <f>O179*H179</f>
        <v>0</v>
      </c>
      <c r="Q179" s="95">
        <v>0</v>
      </c>
      <c r="R179" s="95">
        <f>Q179*H179</f>
        <v>0</v>
      </c>
      <c r="S179" s="95">
        <v>0</v>
      </c>
      <c r="T179" s="99">
        <f>S179*H179</f>
        <v>0</v>
      </c>
      <c r="AR179" s="101" t="s">
        <v>218</v>
      </c>
      <c r="AT179" s="101" t="s">
        <v>214</v>
      </c>
      <c r="AU179" s="101" t="s">
        <v>87</v>
      </c>
      <c r="AY179" s="23" t="s">
        <v>211</v>
      </c>
      <c r="BE179" s="104">
        <f>IF(N179="základní",J179,0)</f>
        <v>146000</v>
      </c>
      <c r="BF179" s="104">
        <f>IF(N179="snížená",J179,0)</f>
        <v>0</v>
      </c>
      <c r="BG179" s="104">
        <f>IF(N179="zákl. přenesená",J179,0)</f>
        <v>0</v>
      </c>
      <c r="BH179" s="104">
        <f>IF(N179="sníž. přenesená",J179,0)</f>
        <v>0</v>
      </c>
      <c r="BI179" s="104">
        <f>IF(N179="nulová",J179,0)</f>
        <v>0</v>
      </c>
      <c r="BJ179" s="23" t="s">
        <v>85</v>
      </c>
      <c r="BK179" s="104">
        <f>ROUND(I179*H179,2)</f>
        <v>146000</v>
      </c>
      <c r="BL179" s="23" t="s">
        <v>218</v>
      </c>
      <c r="BM179" s="101" t="s">
        <v>883</v>
      </c>
    </row>
    <row r="180" spans="2:65" s="31" customFormat="1" ht="23.1" customHeight="1">
      <c r="B180" s="67"/>
      <c r="D180" s="68" t="s">
        <v>76</v>
      </c>
      <c r="E180" s="70" t="s">
        <v>3896</v>
      </c>
      <c r="F180" s="70" t="s">
        <v>3897</v>
      </c>
      <c r="I180" s="85"/>
      <c r="J180" s="89">
        <f>BK180</f>
        <v>1481500</v>
      </c>
      <c r="L180" s="67"/>
      <c r="M180" s="87"/>
      <c r="P180" s="88">
        <f>SUM(P181:P189)</f>
        <v>0</v>
      </c>
      <c r="R180" s="88">
        <f>SUM(R181:R189)</f>
        <v>0</v>
      </c>
      <c r="T180" s="98">
        <f>SUM(T181:T189)</f>
        <v>0</v>
      </c>
      <c r="AR180" s="68" t="s">
        <v>85</v>
      </c>
      <c r="AT180" s="100" t="s">
        <v>76</v>
      </c>
      <c r="AU180" s="100" t="s">
        <v>85</v>
      </c>
      <c r="AY180" s="68" t="s">
        <v>211</v>
      </c>
      <c r="BK180" s="103">
        <f>SUM(BK181:BK189)</f>
        <v>1481500</v>
      </c>
    </row>
    <row r="181" spans="2:65" s="1" customFormat="1" ht="33" customHeight="1">
      <c r="B181" s="12"/>
      <c r="C181" s="71" t="s">
        <v>588</v>
      </c>
      <c r="D181" s="71" t="s">
        <v>214</v>
      </c>
      <c r="E181" s="72" t="s">
        <v>3898</v>
      </c>
      <c r="F181" s="73" t="s">
        <v>3899</v>
      </c>
      <c r="G181" s="74" t="s">
        <v>234</v>
      </c>
      <c r="H181" s="75">
        <v>7</v>
      </c>
      <c r="I181" s="90">
        <v>17000</v>
      </c>
      <c r="J181" s="91">
        <f t="shared" ref="J181:J189" si="20">ROUND(I181*H181,2)</f>
        <v>119000</v>
      </c>
      <c r="K181" s="92"/>
      <c r="L181" s="12"/>
      <c r="M181" s="93" t="s">
        <v>1</v>
      </c>
      <c r="N181" s="94" t="s">
        <v>42</v>
      </c>
      <c r="P181" s="95">
        <f t="shared" ref="P181:P189" si="21">O181*H181</f>
        <v>0</v>
      </c>
      <c r="Q181" s="95">
        <v>0</v>
      </c>
      <c r="R181" s="95">
        <f t="shared" ref="R181:R189" si="22">Q181*H181</f>
        <v>0</v>
      </c>
      <c r="S181" s="95">
        <v>0</v>
      </c>
      <c r="T181" s="99">
        <f t="shared" ref="T181:T189" si="23">S181*H181</f>
        <v>0</v>
      </c>
      <c r="AR181" s="101" t="s">
        <v>218</v>
      </c>
      <c r="AT181" s="101" t="s">
        <v>214</v>
      </c>
      <c r="AU181" s="101" t="s">
        <v>87</v>
      </c>
      <c r="AY181" s="23" t="s">
        <v>211</v>
      </c>
      <c r="BE181" s="104">
        <f t="shared" ref="BE181:BE189" si="24">IF(N181="základní",J181,0)</f>
        <v>119000</v>
      </c>
      <c r="BF181" s="104">
        <f t="shared" ref="BF181:BF189" si="25">IF(N181="snížená",J181,0)</f>
        <v>0</v>
      </c>
      <c r="BG181" s="104">
        <f t="shared" ref="BG181:BG189" si="26">IF(N181="zákl. přenesená",J181,0)</f>
        <v>0</v>
      </c>
      <c r="BH181" s="104">
        <f t="shared" ref="BH181:BH189" si="27">IF(N181="sníž. přenesená",J181,0)</f>
        <v>0</v>
      </c>
      <c r="BI181" s="104">
        <f t="shared" ref="BI181:BI189" si="28">IF(N181="nulová",J181,0)</f>
        <v>0</v>
      </c>
      <c r="BJ181" s="23" t="s">
        <v>85</v>
      </c>
      <c r="BK181" s="104">
        <f t="shared" ref="BK181:BK189" si="29">ROUND(I181*H181,2)</f>
        <v>119000</v>
      </c>
      <c r="BL181" s="23" t="s">
        <v>218</v>
      </c>
      <c r="BM181" s="101" t="s">
        <v>905</v>
      </c>
    </row>
    <row r="182" spans="2:65" s="1" customFormat="1" ht="33" customHeight="1">
      <c r="B182" s="12"/>
      <c r="C182" s="71" t="s">
        <v>593</v>
      </c>
      <c r="D182" s="71" t="s">
        <v>214</v>
      </c>
      <c r="E182" s="72" t="s">
        <v>3900</v>
      </c>
      <c r="F182" s="73" t="s">
        <v>3901</v>
      </c>
      <c r="G182" s="74" t="s">
        <v>234</v>
      </c>
      <c r="H182" s="75">
        <v>3</v>
      </c>
      <c r="I182" s="90">
        <v>36500</v>
      </c>
      <c r="J182" s="91">
        <f t="shared" si="20"/>
        <v>109500</v>
      </c>
      <c r="K182" s="92"/>
      <c r="L182" s="12"/>
      <c r="M182" s="93" t="s">
        <v>1</v>
      </c>
      <c r="N182" s="94" t="s">
        <v>42</v>
      </c>
      <c r="P182" s="95">
        <f t="shared" si="21"/>
        <v>0</v>
      </c>
      <c r="Q182" s="95">
        <v>0</v>
      </c>
      <c r="R182" s="95">
        <f t="shared" si="22"/>
        <v>0</v>
      </c>
      <c r="S182" s="95">
        <v>0</v>
      </c>
      <c r="T182" s="99">
        <f t="shared" si="23"/>
        <v>0</v>
      </c>
      <c r="AR182" s="101" t="s">
        <v>218</v>
      </c>
      <c r="AT182" s="101" t="s">
        <v>214</v>
      </c>
      <c r="AU182" s="101" t="s">
        <v>87</v>
      </c>
      <c r="AY182" s="23" t="s">
        <v>211</v>
      </c>
      <c r="BE182" s="104">
        <f t="shared" si="24"/>
        <v>109500</v>
      </c>
      <c r="BF182" s="104">
        <f t="shared" si="25"/>
        <v>0</v>
      </c>
      <c r="BG182" s="104">
        <f t="shared" si="26"/>
        <v>0</v>
      </c>
      <c r="BH182" s="104">
        <f t="shared" si="27"/>
        <v>0</v>
      </c>
      <c r="BI182" s="104">
        <f t="shared" si="28"/>
        <v>0</v>
      </c>
      <c r="BJ182" s="23" t="s">
        <v>85</v>
      </c>
      <c r="BK182" s="104">
        <f t="shared" si="29"/>
        <v>109500</v>
      </c>
      <c r="BL182" s="23" t="s">
        <v>218</v>
      </c>
      <c r="BM182" s="101" t="s">
        <v>919</v>
      </c>
    </row>
    <row r="183" spans="2:65" s="1" customFormat="1" ht="33" customHeight="1">
      <c r="B183" s="12"/>
      <c r="C183" s="71" t="s">
        <v>598</v>
      </c>
      <c r="D183" s="71" t="s">
        <v>214</v>
      </c>
      <c r="E183" s="72" t="s">
        <v>3902</v>
      </c>
      <c r="F183" s="73" t="s">
        <v>3903</v>
      </c>
      <c r="G183" s="74" t="s">
        <v>234</v>
      </c>
      <c r="H183" s="75">
        <v>1</v>
      </c>
      <c r="I183" s="90">
        <v>53800</v>
      </c>
      <c r="J183" s="91">
        <f t="shared" si="20"/>
        <v>53800</v>
      </c>
      <c r="K183" s="92"/>
      <c r="L183" s="12"/>
      <c r="M183" s="93" t="s">
        <v>1</v>
      </c>
      <c r="N183" s="94" t="s">
        <v>42</v>
      </c>
      <c r="P183" s="95">
        <f t="shared" si="21"/>
        <v>0</v>
      </c>
      <c r="Q183" s="95">
        <v>0</v>
      </c>
      <c r="R183" s="95">
        <f t="shared" si="22"/>
        <v>0</v>
      </c>
      <c r="S183" s="95">
        <v>0</v>
      </c>
      <c r="T183" s="99">
        <f t="shared" si="23"/>
        <v>0</v>
      </c>
      <c r="AR183" s="101" t="s">
        <v>218</v>
      </c>
      <c r="AT183" s="101" t="s">
        <v>214</v>
      </c>
      <c r="AU183" s="101" t="s">
        <v>87</v>
      </c>
      <c r="AY183" s="23" t="s">
        <v>211</v>
      </c>
      <c r="BE183" s="104">
        <f t="shared" si="24"/>
        <v>53800</v>
      </c>
      <c r="BF183" s="104">
        <f t="shared" si="25"/>
        <v>0</v>
      </c>
      <c r="BG183" s="104">
        <f t="shared" si="26"/>
        <v>0</v>
      </c>
      <c r="BH183" s="104">
        <f t="shared" si="27"/>
        <v>0</v>
      </c>
      <c r="BI183" s="104">
        <f t="shared" si="28"/>
        <v>0</v>
      </c>
      <c r="BJ183" s="23" t="s">
        <v>85</v>
      </c>
      <c r="BK183" s="104">
        <f t="shared" si="29"/>
        <v>53800</v>
      </c>
      <c r="BL183" s="23" t="s">
        <v>218</v>
      </c>
      <c r="BM183" s="101" t="s">
        <v>935</v>
      </c>
    </row>
    <row r="184" spans="2:65" s="1" customFormat="1" ht="33" customHeight="1">
      <c r="B184" s="12"/>
      <c r="C184" s="71" t="s">
        <v>604</v>
      </c>
      <c r="D184" s="71" t="s">
        <v>214</v>
      </c>
      <c r="E184" s="72" t="s">
        <v>3904</v>
      </c>
      <c r="F184" s="73" t="s">
        <v>3905</v>
      </c>
      <c r="G184" s="74" t="s">
        <v>234</v>
      </c>
      <c r="H184" s="75">
        <v>4</v>
      </c>
      <c r="I184" s="90">
        <v>20000</v>
      </c>
      <c r="J184" s="91">
        <f t="shared" si="20"/>
        <v>80000</v>
      </c>
      <c r="K184" s="92"/>
      <c r="L184" s="12"/>
      <c r="M184" s="93" t="s">
        <v>1</v>
      </c>
      <c r="N184" s="94" t="s">
        <v>42</v>
      </c>
      <c r="P184" s="95">
        <f t="shared" si="21"/>
        <v>0</v>
      </c>
      <c r="Q184" s="95">
        <v>0</v>
      </c>
      <c r="R184" s="95">
        <f t="shared" si="22"/>
        <v>0</v>
      </c>
      <c r="S184" s="95">
        <v>0</v>
      </c>
      <c r="T184" s="99">
        <f t="shared" si="23"/>
        <v>0</v>
      </c>
      <c r="AR184" s="101" t="s">
        <v>218</v>
      </c>
      <c r="AT184" s="101" t="s">
        <v>214</v>
      </c>
      <c r="AU184" s="101" t="s">
        <v>87</v>
      </c>
      <c r="AY184" s="23" t="s">
        <v>211</v>
      </c>
      <c r="BE184" s="104">
        <f t="shared" si="24"/>
        <v>80000</v>
      </c>
      <c r="BF184" s="104">
        <f t="shared" si="25"/>
        <v>0</v>
      </c>
      <c r="BG184" s="104">
        <f t="shared" si="26"/>
        <v>0</v>
      </c>
      <c r="BH184" s="104">
        <f t="shared" si="27"/>
        <v>0</v>
      </c>
      <c r="BI184" s="104">
        <f t="shared" si="28"/>
        <v>0</v>
      </c>
      <c r="BJ184" s="23" t="s">
        <v>85</v>
      </c>
      <c r="BK184" s="104">
        <f t="shared" si="29"/>
        <v>80000</v>
      </c>
      <c r="BL184" s="23" t="s">
        <v>218</v>
      </c>
      <c r="BM184" s="101" t="s">
        <v>950</v>
      </c>
    </row>
    <row r="185" spans="2:65" s="1" customFormat="1" ht="33" customHeight="1">
      <c r="B185" s="12"/>
      <c r="C185" s="71" t="s">
        <v>608</v>
      </c>
      <c r="D185" s="71" t="s">
        <v>214</v>
      </c>
      <c r="E185" s="72" t="s">
        <v>3906</v>
      </c>
      <c r="F185" s="73" t="s">
        <v>3907</v>
      </c>
      <c r="G185" s="74" t="s">
        <v>234</v>
      </c>
      <c r="H185" s="75">
        <v>1</v>
      </c>
      <c r="I185" s="90">
        <v>44200</v>
      </c>
      <c r="J185" s="91">
        <f t="shared" si="20"/>
        <v>44200</v>
      </c>
      <c r="K185" s="92"/>
      <c r="L185" s="12"/>
      <c r="M185" s="93" t="s">
        <v>1</v>
      </c>
      <c r="N185" s="94" t="s">
        <v>42</v>
      </c>
      <c r="P185" s="95">
        <f t="shared" si="21"/>
        <v>0</v>
      </c>
      <c r="Q185" s="95">
        <v>0</v>
      </c>
      <c r="R185" s="95">
        <f t="shared" si="22"/>
        <v>0</v>
      </c>
      <c r="S185" s="95">
        <v>0</v>
      </c>
      <c r="T185" s="99">
        <f t="shared" si="23"/>
        <v>0</v>
      </c>
      <c r="AR185" s="101" t="s">
        <v>218</v>
      </c>
      <c r="AT185" s="101" t="s">
        <v>214</v>
      </c>
      <c r="AU185" s="101" t="s">
        <v>87</v>
      </c>
      <c r="AY185" s="23" t="s">
        <v>211</v>
      </c>
      <c r="BE185" s="104">
        <f t="shared" si="24"/>
        <v>44200</v>
      </c>
      <c r="BF185" s="104">
        <f t="shared" si="25"/>
        <v>0</v>
      </c>
      <c r="BG185" s="104">
        <f t="shared" si="26"/>
        <v>0</v>
      </c>
      <c r="BH185" s="104">
        <f t="shared" si="27"/>
        <v>0</v>
      </c>
      <c r="BI185" s="104">
        <f t="shared" si="28"/>
        <v>0</v>
      </c>
      <c r="BJ185" s="23" t="s">
        <v>85</v>
      </c>
      <c r="BK185" s="104">
        <f t="shared" si="29"/>
        <v>44200</v>
      </c>
      <c r="BL185" s="23" t="s">
        <v>218</v>
      </c>
      <c r="BM185" s="101" t="s">
        <v>963</v>
      </c>
    </row>
    <row r="186" spans="2:65" s="1" customFormat="1" ht="62.85" customHeight="1">
      <c r="B186" s="12"/>
      <c r="C186" s="71" t="s">
        <v>614</v>
      </c>
      <c r="D186" s="71" t="s">
        <v>214</v>
      </c>
      <c r="E186" s="72" t="s">
        <v>3908</v>
      </c>
      <c r="F186" s="73" t="s">
        <v>3909</v>
      </c>
      <c r="G186" s="74" t="s">
        <v>234</v>
      </c>
      <c r="H186" s="75">
        <v>1</v>
      </c>
      <c r="I186" s="90">
        <v>325000</v>
      </c>
      <c r="J186" s="91">
        <f t="shared" si="20"/>
        <v>325000</v>
      </c>
      <c r="K186" s="92"/>
      <c r="L186" s="12"/>
      <c r="M186" s="93" t="s">
        <v>1</v>
      </c>
      <c r="N186" s="94" t="s">
        <v>42</v>
      </c>
      <c r="P186" s="95">
        <f t="shared" si="21"/>
        <v>0</v>
      </c>
      <c r="Q186" s="95">
        <v>0</v>
      </c>
      <c r="R186" s="95">
        <f t="shared" si="22"/>
        <v>0</v>
      </c>
      <c r="S186" s="95">
        <v>0</v>
      </c>
      <c r="T186" s="99">
        <f t="shared" si="23"/>
        <v>0</v>
      </c>
      <c r="AR186" s="101" t="s">
        <v>218</v>
      </c>
      <c r="AT186" s="101" t="s">
        <v>214</v>
      </c>
      <c r="AU186" s="101" t="s">
        <v>87</v>
      </c>
      <c r="AY186" s="23" t="s">
        <v>211</v>
      </c>
      <c r="BE186" s="104">
        <f t="shared" si="24"/>
        <v>325000</v>
      </c>
      <c r="BF186" s="104">
        <f t="shared" si="25"/>
        <v>0</v>
      </c>
      <c r="BG186" s="104">
        <f t="shared" si="26"/>
        <v>0</v>
      </c>
      <c r="BH186" s="104">
        <f t="shared" si="27"/>
        <v>0</v>
      </c>
      <c r="BI186" s="104">
        <f t="shared" si="28"/>
        <v>0</v>
      </c>
      <c r="BJ186" s="23" t="s">
        <v>85</v>
      </c>
      <c r="BK186" s="104">
        <f t="shared" si="29"/>
        <v>325000</v>
      </c>
      <c r="BL186" s="23" t="s">
        <v>218</v>
      </c>
      <c r="BM186" s="101" t="s">
        <v>993</v>
      </c>
    </row>
    <row r="187" spans="2:65" s="1" customFormat="1" ht="62.85" customHeight="1">
      <c r="B187" s="12"/>
      <c r="C187" s="71" t="s">
        <v>619</v>
      </c>
      <c r="D187" s="71" t="s">
        <v>214</v>
      </c>
      <c r="E187" s="72" t="s">
        <v>3910</v>
      </c>
      <c r="F187" s="73" t="s">
        <v>3911</v>
      </c>
      <c r="G187" s="74" t="s">
        <v>234</v>
      </c>
      <c r="H187" s="75">
        <v>1</v>
      </c>
      <c r="I187" s="90">
        <v>290000</v>
      </c>
      <c r="J187" s="91">
        <f t="shared" si="20"/>
        <v>290000</v>
      </c>
      <c r="K187" s="92"/>
      <c r="L187" s="12"/>
      <c r="M187" s="93" t="s">
        <v>1</v>
      </c>
      <c r="N187" s="94" t="s">
        <v>42</v>
      </c>
      <c r="P187" s="95">
        <f t="shared" si="21"/>
        <v>0</v>
      </c>
      <c r="Q187" s="95">
        <v>0</v>
      </c>
      <c r="R187" s="95">
        <f t="shared" si="22"/>
        <v>0</v>
      </c>
      <c r="S187" s="95">
        <v>0</v>
      </c>
      <c r="T187" s="99">
        <f t="shared" si="23"/>
        <v>0</v>
      </c>
      <c r="AR187" s="101" t="s">
        <v>218</v>
      </c>
      <c r="AT187" s="101" t="s">
        <v>214</v>
      </c>
      <c r="AU187" s="101" t="s">
        <v>87</v>
      </c>
      <c r="AY187" s="23" t="s">
        <v>211</v>
      </c>
      <c r="BE187" s="104">
        <f t="shared" si="24"/>
        <v>290000</v>
      </c>
      <c r="BF187" s="104">
        <f t="shared" si="25"/>
        <v>0</v>
      </c>
      <c r="BG187" s="104">
        <f t="shared" si="26"/>
        <v>0</v>
      </c>
      <c r="BH187" s="104">
        <f t="shared" si="27"/>
        <v>0</v>
      </c>
      <c r="BI187" s="104">
        <f t="shared" si="28"/>
        <v>0</v>
      </c>
      <c r="BJ187" s="23" t="s">
        <v>85</v>
      </c>
      <c r="BK187" s="104">
        <f t="shared" si="29"/>
        <v>290000</v>
      </c>
      <c r="BL187" s="23" t="s">
        <v>218</v>
      </c>
      <c r="BM187" s="101" t="s">
        <v>1001</v>
      </c>
    </row>
    <row r="188" spans="2:65" s="1" customFormat="1" ht="62.85" customHeight="1">
      <c r="B188" s="12"/>
      <c r="C188" s="71" t="s">
        <v>624</v>
      </c>
      <c r="D188" s="71" t="s">
        <v>214</v>
      </c>
      <c r="E188" s="72" t="s">
        <v>3912</v>
      </c>
      <c r="F188" s="73" t="s">
        <v>3913</v>
      </c>
      <c r="G188" s="74" t="s">
        <v>234</v>
      </c>
      <c r="H188" s="75">
        <v>1</v>
      </c>
      <c r="I188" s="90">
        <v>310000</v>
      </c>
      <c r="J188" s="91">
        <f t="shared" si="20"/>
        <v>310000</v>
      </c>
      <c r="K188" s="92"/>
      <c r="L188" s="12"/>
      <c r="M188" s="93" t="s">
        <v>1</v>
      </c>
      <c r="N188" s="94" t="s">
        <v>42</v>
      </c>
      <c r="P188" s="95">
        <f t="shared" si="21"/>
        <v>0</v>
      </c>
      <c r="Q188" s="95">
        <v>0</v>
      </c>
      <c r="R188" s="95">
        <f t="shared" si="22"/>
        <v>0</v>
      </c>
      <c r="S188" s="95">
        <v>0</v>
      </c>
      <c r="T188" s="99">
        <f t="shared" si="23"/>
        <v>0</v>
      </c>
      <c r="AR188" s="101" t="s">
        <v>218</v>
      </c>
      <c r="AT188" s="101" t="s">
        <v>214</v>
      </c>
      <c r="AU188" s="101" t="s">
        <v>87</v>
      </c>
      <c r="AY188" s="23" t="s">
        <v>211</v>
      </c>
      <c r="BE188" s="104">
        <f t="shared" si="24"/>
        <v>310000</v>
      </c>
      <c r="BF188" s="104">
        <f t="shared" si="25"/>
        <v>0</v>
      </c>
      <c r="BG188" s="104">
        <f t="shared" si="26"/>
        <v>0</v>
      </c>
      <c r="BH188" s="104">
        <f t="shared" si="27"/>
        <v>0</v>
      </c>
      <c r="BI188" s="104">
        <f t="shared" si="28"/>
        <v>0</v>
      </c>
      <c r="BJ188" s="23" t="s">
        <v>85</v>
      </c>
      <c r="BK188" s="104">
        <f t="shared" si="29"/>
        <v>310000</v>
      </c>
      <c r="BL188" s="23" t="s">
        <v>218</v>
      </c>
      <c r="BM188" s="101" t="s">
        <v>1028</v>
      </c>
    </row>
    <row r="189" spans="2:65" s="1" customFormat="1" ht="49.35" customHeight="1">
      <c r="B189" s="12"/>
      <c r="C189" s="71" t="s">
        <v>629</v>
      </c>
      <c r="D189" s="71" t="s">
        <v>214</v>
      </c>
      <c r="E189" s="72" t="s">
        <v>3914</v>
      </c>
      <c r="F189" s="73" t="s">
        <v>3915</v>
      </c>
      <c r="G189" s="74" t="s">
        <v>234</v>
      </c>
      <c r="H189" s="75">
        <v>1</v>
      </c>
      <c r="I189" s="90">
        <v>150000</v>
      </c>
      <c r="J189" s="91">
        <f t="shared" si="20"/>
        <v>150000</v>
      </c>
      <c r="K189" s="92"/>
      <c r="L189" s="12"/>
      <c r="M189" s="93" t="s">
        <v>1</v>
      </c>
      <c r="N189" s="94" t="s">
        <v>42</v>
      </c>
      <c r="P189" s="95">
        <f t="shared" si="21"/>
        <v>0</v>
      </c>
      <c r="Q189" s="95">
        <v>0</v>
      </c>
      <c r="R189" s="95">
        <f t="shared" si="22"/>
        <v>0</v>
      </c>
      <c r="S189" s="95">
        <v>0</v>
      </c>
      <c r="T189" s="99">
        <f t="shared" si="23"/>
        <v>0</v>
      </c>
      <c r="AR189" s="101" t="s">
        <v>218</v>
      </c>
      <c r="AT189" s="101" t="s">
        <v>214</v>
      </c>
      <c r="AU189" s="101" t="s">
        <v>87</v>
      </c>
      <c r="AY189" s="23" t="s">
        <v>211</v>
      </c>
      <c r="BE189" s="104">
        <f t="shared" si="24"/>
        <v>150000</v>
      </c>
      <c r="BF189" s="104">
        <f t="shared" si="25"/>
        <v>0</v>
      </c>
      <c r="BG189" s="104">
        <f t="shared" si="26"/>
        <v>0</v>
      </c>
      <c r="BH189" s="104">
        <f t="shared" si="27"/>
        <v>0</v>
      </c>
      <c r="BI189" s="104">
        <f t="shared" si="28"/>
        <v>0</v>
      </c>
      <c r="BJ189" s="23" t="s">
        <v>85</v>
      </c>
      <c r="BK189" s="104">
        <f t="shared" si="29"/>
        <v>150000</v>
      </c>
      <c r="BL189" s="23" t="s">
        <v>218</v>
      </c>
      <c r="BM189" s="101" t="s">
        <v>92</v>
      </c>
    </row>
    <row r="190" spans="2:65" s="31" customFormat="1" ht="23.1" customHeight="1">
      <c r="B190" s="67"/>
      <c r="D190" s="68" t="s">
        <v>76</v>
      </c>
      <c r="E190" s="70" t="s">
        <v>3916</v>
      </c>
      <c r="F190" s="70" t="s">
        <v>3917</v>
      </c>
      <c r="I190" s="85"/>
      <c r="J190" s="89">
        <f>BK190</f>
        <v>150000</v>
      </c>
      <c r="L190" s="67"/>
      <c r="M190" s="87"/>
      <c r="P190" s="88">
        <f>P191</f>
        <v>0</v>
      </c>
      <c r="R190" s="88">
        <f>R191</f>
        <v>0</v>
      </c>
      <c r="T190" s="98">
        <f>T191</f>
        <v>0</v>
      </c>
      <c r="AR190" s="68" t="s">
        <v>85</v>
      </c>
      <c r="AT190" s="100" t="s">
        <v>76</v>
      </c>
      <c r="AU190" s="100" t="s">
        <v>85</v>
      </c>
      <c r="AY190" s="68" t="s">
        <v>211</v>
      </c>
      <c r="BK190" s="103">
        <f>BK191</f>
        <v>150000</v>
      </c>
    </row>
    <row r="191" spans="2:65" s="1" customFormat="1" ht="24.15" customHeight="1">
      <c r="B191" s="12"/>
      <c r="C191" s="71" t="s">
        <v>634</v>
      </c>
      <c r="D191" s="71" t="s">
        <v>214</v>
      </c>
      <c r="E191" s="72" t="s">
        <v>3918</v>
      </c>
      <c r="F191" s="73" t="s">
        <v>3919</v>
      </c>
      <c r="G191" s="74" t="s">
        <v>234</v>
      </c>
      <c r="H191" s="75">
        <v>1</v>
      </c>
      <c r="I191" s="90">
        <v>150000</v>
      </c>
      <c r="J191" s="91">
        <f>ROUND(I191*H191,2)</f>
        <v>150000</v>
      </c>
      <c r="K191" s="92"/>
      <c r="L191" s="12"/>
      <c r="M191" s="130" t="s">
        <v>1</v>
      </c>
      <c r="N191" s="131" t="s">
        <v>42</v>
      </c>
      <c r="O191" s="110"/>
      <c r="P191" s="132">
        <f>O191*H191</f>
        <v>0</v>
      </c>
      <c r="Q191" s="132">
        <v>0</v>
      </c>
      <c r="R191" s="132">
        <f>Q191*H191</f>
        <v>0</v>
      </c>
      <c r="S191" s="132">
        <v>0</v>
      </c>
      <c r="T191" s="134">
        <f>S191*H191</f>
        <v>0</v>
      </c>
      <c r="AR191" s="101" t="s">
        <v>218</v>
      </c>
      <c r="AT191" s="101" t="s">
        <v>214</v>
      </c>
      <c r="AU191" s="101" t="s">
        <v>87</v>
      </c>
      <c r="AY191" s="23" t="s">
        <v>211</v>
      </c>
      <c r="BE191" s="104">
        <f>IF(N191="základní",J191,0)</f>
        <v>150000</v>
      </c>
      <c r="BF191" s="104">
        <f>IF(N191="snížená",J191,0)</f>
        <v>0</v>
      </c>
      <c r="BG191" s="104">
        <f>IF(N191="zákl. přenesená",J191,0)</f>
        <v>0</v>
      </c>
      <c r="BH191" s="104">
        <f>IF(N191="sníž. přenesená",J191,0)</f>
        <v>0</v>
      </c>
      <c r="BI191" s="104">
        <f>IF(N191="nulová",J191,0)</f>
        <v>0</v>
      </c>
      <c r="BJ191" s="23" t="s">
        <v>85</v>
      </c>
      <c r="BK191" s="104">
        <f>ROUND(I191*H191,2)</f>
        <v>150000</v>
      </c>
      <c r="BL191" s="23" t="s">
        <v>218</v>
      </c>
      <c r="BM191" s="101" t="s">
        <v>1049</v>
      </c>
    </row>
    <row r="192" spans="2:65" s="1" customFormat="1" ht="6.9" customHeight="1">
      <c r="B192" s="26"/>
      <c r="C192" s="27"/>
      <c r="D192" s="27"/>
      <c r="E192" s="27"/>
      <c r="F192" s="27"/>
      <c r="G192" s="27"/>
      <c r="H192" s="27"/>
      <c r="I192" s="27"/>
      <c r="J192" s="27"/>
      <c r="K192" s="27"/>
      <c r="L192" s="12"/>
    </row>
  </sheetData>
  <autoFilter ref="C129:K191" xr:uid="{00000000-0009-0000-0000-000003000000}"/>
  <mergeCells count="12">
    <mergeCell ref="L2:V2"/>
    <mergeCell ref="E7:H7"/>
    <mergeCell ref="E9:H9"/>
    <mergeCell ref="E11:H11"/>
    <mergeCell ref="E20:H20"/>
    <mergeCell ref="E120:H120"/>
    <mergeCell ref="E122:H122"/>
    <mergeCell ref="E29:H29"/>
    <mergeCell ref="E85:H85"/>
    <mergeCell ref="E87:H87"/>
    <mergeCell ref="E89:H89"/>
    <mergeCell ref="E118:H118"/>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BM221"/>
  <sheetViews>
    <sheetView showGridLines="0" topLeftCell="A111" workbookViewId="0">
      <selection activeCell="I220" sqref="I220"/>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101</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2" customHeight="1">
      <c r="B8" s="5"/>
      <c r="D8" s="10" t="s">
        <v>182</v>
      </c>
      <c r="L8" s="5"/>
    </row>
    <row r="9" spans="2:46" s="1" customFormat="1" ht="16.5" customHeight="1">
      <c r="B9" s="12"/>
      <c r="E9" s="392" t="s">
        <v>293</v>
      </c>
      <c r="F9" s="394"/>
      <c r="G9" s="394"/>
      <c r="H9" s="394"/>
      <c r="L9" s="12"/>
    </row>
    <row r="10" spans="2:46" s="1" customFormat="1" ht="12" customHeight="1">
      <c r="B10" s="12"/>
      <c r="D10" s="10" t="s">
        <v>296</v>
      </c>
      <c r="L10" s="12"/>
    </row>
    <row r="11" spans="2:46" s="1" customFormat="1" ht="16.5" customHeight="1">
      <c r="B11" s="12"/>
      <c r="E11" s="381" t="s">
        <v>3920</v>
      </c>
      <c r="F11" s="394"/>
      <c r="G11" s="394"/>
      <c r="H11" s="394"/>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395" t="str">
        <f>'Rekapitulace stavby'!E14</f>
        <v>DMG Stav a.s.</v>
      </c>
      <c r="F20" s="384"/>
      <c r="G20" s="384"/>
      <c r="H20" s="384"/>
      <c r="I20" s="10" t="s">
        <v>26</v>
      </c>
      <c r="J20" s="33" t="str">
        <f>'Rekapitulace stavby'!AN14</f>
        <v>CZ 08004013</v>
      </c>
      <c r="L20" s="12"/>
    </row>
    <row r="21" spans="2:12" s="1" customFormat="1" ht="6.9"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 customHeight="1">
      <c r="B27" s="12"/>
      <c r="L27" s="12"/>
    </row>
    <row r="28" spans="2:12" s="1" customFormat="1" ht="12" customHeight="1">
      <c r="B28" s="12"/>
      <c r="D28" s="10" t="s">
        <v>36</v>
      </c>
      <c r="L28" s="12"/>
    </row>
    <row r="29" spans="2:12" s="28" customFormat="1" ht="16.5" customHeight="1">
      <c r="B29" s="34"/>
      <c r="E29" s="388" t="s">
        <v>1</v>
      </c>
      <c r="F29" s="388"/>
      <c r="G29" s="388"/>
      <c r="H29" s="388"/>
      <c r="L29" s="34"/>
    </row>
    <row r="30" spans="2:12" s="1" customFormat="1" ht="6.9" customHeight="1">
      <c r="B30" s="12"/>
      <c r="L30" s="12"/>
    </row>
    <row r="31" spans="2:12" s="1" customFormat="1" ht="6.9" customHeight="1">
      <c r="B31" s="12"/>
      <c r="D31" s="35"/>
      <c r="E31" s="35"/>
      <c r="F31" s="35"/>
      <c r="G31" s="35"/>
      <c r="H31" s="35"/>
      <c r="I31" s="35"/>
      <c r="J31" s="35"/>
      <c r="K31" s="35"/>
      <c r="L31" s="12"/>
    </row>
    <row r="32" spans="2:12" s="1" customFormat="1" ht="25.35" customHeight="1">
      <c r="B32" s="12"/>
      <c r="D32" s="36" t="s">
        <v>37</v>
      </c>
      <c r="J32" s="51">
        <f>ROUND(J124,2)</f>
        <v>6593470</v>
      </c>
      <c r="L32" s="12"/>
    </row>
    <row r="33" spans="2:12" s="1" customFormat="1" ht="6.9" customHeight="1">
      <c r="B33" s="12"/>
      <c r="D33" s="35"/>
      <c r="E33" s="35"/>
      <c r="F33" s="35"/>
      <c r="G33" s="35"/>
      <c r="H33" s="35"/>
      <c r="I33" s="35"/>
      <c r="J33" s="35"/>
      <c r="K33" s="35"/>
      <c r="L33" s="12"/>
    </row>
    <row r="34" spans="2:12" s="1" customFormat="1" ht="14.4" customHeight="1">
      <c r="B34" s="12"/>
      <c r="F34" s="37" t="s">
        <v>39</v>
      </c>
      <c r="I34" s="37" t="s">
        <v>38</v>
      </c>
      <c r="J34" s="37" t="s">
        <v>40</v>
      </c>
      <c r="L34" s="12"/>
    </row>
    <row r="35" spans="2:12" s="1" customFormat="1" ht="14.4" customHeight="1">
      <c r="B35" s="12"/>
      <c r="D35" s="38" t="s">
        <v>41</v>
      </c>
      <c r="E35" s="10" t="s">
        <v>42</v>
      </c>
      <c r="F35" s="39">
        <f>ROUND((SUM(BE124:BE220)),2)</f>
        <v>6593470</v>
      </c>
      <c r="I35" s="52">
        <v>0.21</v>
      </c>
      <c r="J35" s="39">
        <f>ROUND(((SUM(BE124:BE220))*I35),2)</f>
        <v>1384628.7</v>
      </c>
      <c r="L35" s="12"/>
    </row>
    <row r="36" spans="2:12" s="1" customFormat="1" ht="14.4" customHeight="1">
      <c r="B36" s="12"/>
      <c r="E36" s="10" t="s">
        <v>43</v>
      </c>
      <c r="F36" s="39">
        <f>ROUND((SUM(BF124:BF220)),2)</f>
        <v>0</v>
      </c>
      <c r="I36" s="52">
        <v>0.15</v>
      </c>
      <c r="J36" s="39">
        <f>ROUND(((SUM(BF124:BF220))*I36),2)</f>
        <v>0</v>
      </c>
      <c r="L36" s="12"/>
    </row>
    <row r="37" spans="2:12" s="1" customFormat="1" ht="14.4" hidden="1" customHeight="1">
      <c r="B37" s="12"/>
      <c r="E37" s="10" t="s">
        <v>44</v>
      </c>
      <c r="F37" s="39">
        <f>ROUND((SUM(BG124:BG220)),2)</f>
        <v>0</v>
      </c>
      <c r="I37" s="52">
        <v>0.21</v>
      </c>
      <c r="J37" s="39">
        <f>0</f>
        <v>0</v>
      </c>
      <c r="L37" s="12"/>
    </row>
    <row r="38" spans="2:12" s="1" customFormat="1" ht="14.4" hidden="1" customHeight="1">
      <c r="B38" s="12"/>
      <c r="E38" s="10" t="s">
        <v>45</v>
      </c>
      <c r="F38" s="39">
        <f>ROUND((SUM(BH124:BH220)),2)</f>
        <v>0</v>
      </c>
      <c r="I38" s="52">
        <v>0.15</v>
      </c>
      <c r="J38" s="39">
        <f>0</f>
        <v>0</v>
      </c>
      <c r="L38" s="12"/>
    </row>
    <row r="39" spans="2:12" s="1" customFormat="1" ht="14.4" hidden="1" customHeight="1">
      <c r="B39" s="12"/>
      <c r="E39" s="10" t="s">
        <v>46</v>
      </c>
      <c r="F39" s="39">
        <f>ROUND((SUM(BI124:BI220)),2)</f>
        <v>0</v>
      </c>
      <c r="I39" s="52">
        <v>0</v>
      </c>
      <c r="J39" s="39">
        <f>0</f>
        <v>0</v>
      </c>
      <c r="L39" s="12"/>
    </row>
    <row r="40" spans="2:12" s="1" customFormat="1" ht="6.9" customHeight="1">
      <c r="B40" s="12"/>
      <c r="L40" s="12"/>
    </row>
    <row r="41" spans="2:12" s="1" customFormat="1" ht="25.35" customHeight="1">
      <c r="B41" s="12"/>
      <c r="C41" s="40"/>
      <c r="D41" s="41" t="s">
        <v>47</v>
      </c>
      <c r="E41" s="42"/>
      <c r="F41" s="42"/>
      <c r="G41" s="43" t="s">
        <v>48</v>
      </c>
      <c r="H41" s="44" t="s">
        <v>49</v>
      </c>
      <c r="I41" s="42"/>
      <c r="J41" s="53">
        <f>SUM(J32:J39)</f>
        <v>7978098.7000000002</v>
      </c>
      <c r="K41" s="54"/>
      <c r="L41" s="12"/>
    </row>
    <row r="42" spans="2:12" s="1" customFormat="1" ht="14.4" customHeight="1">
      <c r="B42" s="12"/>
      <c r="L42" s="12"/>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s="1" customFormat="1" ht="16.5" customHeight="1">
      <c r="B87" s="12"/>
      <c r="E87" s="392" t="s">
        <v>293</v>
      </c>
      <c r="F87" s="394"/>
      <c r="G87" s="394"/>
      <c r="H87" s="394"/>
      <c r="L87" s="12"/>
    </row>
    <row r="88" spans="2:12" s="1" customFormat="1" ht="12" customHeight="1">
      <c r="B88" s="12"/>
      <c r="C88" s="10" t="s">
        <v>296</v>
      </c>
      <c r="L88" s="12"/>
    </row>
    <row r="89" spans="2:12" s="1" customFormat="1" ht="16.5" customHeight="1">
      <c r="B89" s="12"/>
      <c r="E89" s="381" t="str">
        <f>E11</f>
        <v>D1.420 - ZTI - Vodovod</v>
      </c>
      <c r="F89" s="394"/>
      <c r="G89" s="394"/>
      <c r="H89" s="394"/>
      <c r="L89" s="12"/>
    </row>
    <row r="90" spans="2:12" s="1" customFormat="1" ht="6.9" customHeight="1">
      <c r="B90" s="12"/>
      <c r="L90" s="12"/>
    </row>
    <row r="91" spans="2:12" s="1" customFormat="1" ht="12" customHeight="1">
      <c r="B91" s="12"/>
      <c r="C91" s="10" t="s">
        <v>20</v>
      </c>
      <c r="F91" s="32" t="str">
        <f>F14</f>
        <v>Praha</v>
      </c>
      <c r="I91" s="10" t="s">
        <v>22</v>
      </c>
      <c r="J91" s="11">
        <f>IF(J14="","",J14)</f>
        <v>45000</v>
      </c>
      <c r="L91" s="12"/>
    </row>
    <row r="92" spans="2:12" s="1" customFormat="1" ht="6.9" customHeight="1">
      <c r="B92" s="12"/>
      <c r="L92" s="12"/>
    </row>
    <row r="93" spans="2:12" s="1" customFormat="1" ht="15.15" customHeight="1">
      <c r="B93" s="12"/>
      <c r="C93" s="10" t="s">
        <v>23</v>
      </c>
      <c r="F93" s="32" t="str">
        <f>E17</f>
        <v>VELTON REAL ESTATE</v>
      </c>
      <c r="I93" s="10" t="s">
        <v>31</v>
      </c>
      <c r="J93" s="8" t="str">
        <f>E23</f>
        <v>ABMV World s.r.o</v>
      </c>
      <c r="L93" s="12"/>
    </row>
    <row r="94" spans="2:12" s="1" customFormat="1" ht="15.15"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J124</f>
        <v>6593470</v>
      </c>
      <c r="L98" s="12"/>
      <c r="AU98" s="23" t="s">
        <v>188</v>
      </c>
    </row>
    <row r="99" spans="2:47" s="29" customFormat="1" ht="24.9" customHeight="1">
      <c r="B99" s="60"/>
      <c r="D99" s="61" t="s">
        <v>3921</v>
      </c>
      <c r="E99" s="62"/>
      <c r="F99" s="62"/>
      <c r="G99" s="62"/>
      <c r="H99" s="62"/>
      <c r="I99" s="62"/>
      <c r="J99" s="77">
        <f>J125</f>
        <v>6593470</v>
      </c>
      <c r="L99" s="60"/>
    </row>
    <row r="100" spans="2:47" s="30" customFormat="1" ht="20.100000000000001" customHeight="1">
      <c r="B100" s="63"/>
      <c r="D100" s="64" t="s">
        <v>3922</v>
      </c>
      <c r="E100" s="65"/>
      <c r="F100" s="65"/>
      <c r="G100" s="65"/>
      <c r="H100" s="65"/>
      <c r="I100" s="65"/>
      <c r="J100" s="78">
        <f>J126</f>
        <v>2753200</v>
      </c>
      <c r="L100" s="63"/>
    </row>
    <row r="101" spans="2:47" s="30" customFormat="1" ht="20.100000000000001" customHeight="1">
      <c r="B101" s="63"/>
      <c r="D101" s="64" t="s">
        <v>3923</v>
      </c>
      <c r="E101" s="65"/>
      <c r="F101" s="65"/>
      <c r="G101" s="65"/>
      <c r="H101" s="65"/>
      <c r="I101" s="65"/>
      <c r="J101" s="78">
        <f>J146</f>
        <v>670000</v>
      </c>
      <c r="L101" s="63"/>
    </row>
    <row r="102" spans="2:47" s="30" customFormat="1" ht="20.100000000000001" customHeight="1">
      <c r="B102" s="63"/>
      <c r="D102" s="64" t="s">
        <v>3924</v>
      </c>
      <c r="E102" s="65"/>
      <c r="F102" s="65"/>
      <c r="G102" s="65"/>
      <c r="H102" s="65"/>
      <c r="I102" s="65"/>
      <c r="J102" s="78">
        <f>J157</f>
        <v>3170270</v>
      </c>
      <c r="L102" s="63"/>
    </row>
    <row r="103" spans="2:47" s="1" customFormat="1" ht="21.75" customHeight="1">
      <c r="B103" s="12"/>
      <c r="L103" s="12"/>
    </row>
    <row r="104" spans="2:47" s="1" customFormat="1" ht="6.9" customHeight="1">
      <c r="B104" s="26"/>
      <c r="C104" s="27"/>
      <c r="D104" s="27"/>
      <c r="E104" s="27"/>
      <c r="F104" s="27"/>
      <c r="G104" s="27"/>
      <c r="H104" s="27"/>
      <c r="I104" s="27"/>
      <c r="J104" s="27"/>
      <c r="K104" s="27"/>
      <c r="L104" s="12"/>
    </row>
    <row r="108" spans="2:47" s="1" customFormat="1" ht="6.9" customHeight="1">
      <c r="B108" s="56"/>
      <c r="C108" s="57"/>
      <c r="D108" s="57"/>
      <c r="E108" s="57"/>
      <c r="F108" s="57"/>
      <c r="G108" s="57"/>
      <c r="H108" s="57"/>
      <c r="I108" s="57"/>
      <c r="J108" s="57"/>
      <c r="K108" s="57"/>
      <c r="L108" s="12"/>
    </row>
    <row r="109" spans="2:47" s="1" customFormat="1" ht="24.9" customHeight="1">
      <c r="B109" s="12"/>
      <c r="C109" s="6" t="s">
        <v>195</v>
      </c>
      <c r="L109" s="12"/>
    </row>
    <row r="110" spans="2:47" s="1" customFormat="1" ht="6.9" customHeight="1">
      <c r="B110" s="12"/>
      <c r="L110" s="12"/>
    </row>
    <row r="111" spans="2:47" s="1" customFormat="1" ht="12" customHeight="1">
      <c r="B111" s="12"/>
      <c r="C111" s="10" t="s">
        <v>16</v>
      </c>
      <c r="L111" s="12"/>
    </row>
    <row r="112" spans="2:47" s="1" customFormat="1" ht="16.5" customHeight="1">
      <c r="B112" s="12"/>
      <c r="E112" s="392" t="str">
        <f>E7</f>
        <v>Bytový soubor Libuše</v>
      </c>
      <c r="F112" s="393"/>
      <c r="G112" s="393"/>
      <c r="H112" s="393"/>
      <c r="L112" s="12"/>
    </row>
    <row r="113" spans="2:65" ht="12" customHeight="1">
      <c r="B113" s="5"/>
      <c r="C113" s="10" t="s">
        <v>182</v>
      </c>
      <c r="L113" s="5"/>
    </row>
    <row r="114" spans="2:65" s="1" customFormat="1" ht="16.5" customHeight="1">
      <c r="B114" s="12"/>
      <c r="E114" s="392" t="s">
        <v>293</v>
      </c>
      <c r="F114" s="394"/>
      <c r="G114" s="394"/>
      <c r="H114" s="394"/>
      <c r="L114" s="12"/>
    </row>
    <row r="115" spans="2:65" s="1" customFormat="1" ht="12" customHeight="1">
      <c r="B115" s="12"/>
      <c r="C115" s="10" t="s">
        <v>296</v>
      </c>
      <c r="L115" s="12"/>
    </row>
    <row r="116" spans="2:65" s="1" customFormat="1" ht="16.5" customHeight="1">
      <c r="B116" s="12"/>
      <c r="E116" s="381" t="str">
        <f>E11</f>
        <v>D1.420 - ZTI - Vodovod</v>
      </c>
      <c r="F116" s="394"/>
      <c r="G116" s="394"/>
      <c r="H116" s="394"/>
      <c r="L116" s="12"/>
    </row>
    <row r="117" spans="2:65" s="1" customFormat="1" ht="6.9" customHeight="1">
      <c r="B117" s="12"/>
      <c r="L117" s="12"/>
    </row>
    <row r="118" spans="2:65" s="1" customFormat="1" ht="12" customHeight="1">
      <c r="B118" s="12"/>
      <c r="C118" s="10" t="s">
        <v>20</v>
      </c>
      <c r="F118" s="32" t="str">
        <f>F14</f>
        <v>Praha</v>
      </c>
      <c r="I118" s="10" t="s">
        <v>22</v>
      </c>
      <c r="J118" s="11">
        <f>IF(J14="","",J14)</f>
        <v>45000</v>
      </c>
      <c r="L118" s="12"/>
    </row>
    <row r="119" spans="2:65" s="1" customFormat="1" ht="6.9" customHeight="1">
      <c r="B119" s="12"/>
      <c r="L119" s="12"/>
    </row>
    <row r="120" spans="2:65" s="1" customFormat="1" ht="15.15" customHeight="1">
      <c r="B120" s="12"/>
      <c r="C120" s="10" t="s">
        <v>23</v>
      </c>
      <c r="F120" s="32" t="str">
        <f>E17</f>
        <v>VELTON REAL ESTATE</v>
      </c>
      <c r="I120" s="10" t="s">
        <v>31</v>
      </c>
      <c r="J120" s="8" t="str">
        <f>E23</f>
        <v>ABMV World s.r.o</v>
      </c>
      <c r="L120" s="12"/>
    </row>
    <row r="121" spans="2:65" s="1" customFormat="1" ht="15.15" customHeight="1">
      <c r="B121" s="12"/>
      <c r="C121" s="10" t="s">
        <v>27</v>
      </c>
      <c r="F121" s="32" t="str">
        <f>IF(E20="","",E20)</f>
        <v>DMG Stav a.s.</v>
      </c>
      <c r="I121" s="10" t="s">
        <v>34</v>
      </c>
      <c r="J121" s="8" t="str">
        <f>E26</f>
        <v>QSB s.r.o.</v>
      </c>
      <c r="L121" s="12"/>
    </row>
    <row r="122" spans="2:65" s="1" customFormat="1" ht="10.35" customHeight="1">
      <c r="B122" s="12"/>
      <c r="L122" s="12"/>
    </row>
    <row r="123" spans="2:65" s="2" customFormat="1" ht="29.25" customHeight="1">
      <c r="B123" s="13"/>
      <c r="C123" s="14" t="s">
        <v>196</v>
      </c>
      <c r="D123" s="15" t="s">
        <v>62</v>
      </c>
      <c r="E123" s="15" t="s">
        <v>58</v>
      </c>
      <c r="F123" s="15" t="s">
        <v>59</v>
      </c>
      <c r="G123" s="15" t="s">
        <v>197</v>
      </c>
      <c r="H123" s="15" t="s">
        <v>198</v>
      </c>
      <c r="I123" s="15" t="s">
        <v>199</v>
      </c>
      <c r="J123" s="16" t="s">
        <v>186</v>
      </c>
      <c r="K123" s="79" t="s">
        <v>200</v>
      </c>
      <c r="L123" s="13"/>
      <c r="M123" s="80" t="s">
        <v>1</v>
      </c>
      <c r="N123" s="81" t="s">
        <v>41</v>
      </c>
      <c r="O123" s="81" t="s">
        <v>201</v>
      </c>
      <c r="P123" s="81" t="s">
        <v>202</v>
      </c>
      <c r="Q123" s="81" t="s">
        <v>203</v>
      </c>
      <c r="R123" s="81" t="s">
        <v>204</v>
      </c>
      <c r="S123" s="81" t="s">
        <v>205</v>
      </c>
      <c r="T123" s="96" t="s">
        <v>206</v>
      </c>
    </row>
    <row r="124" spans="2:65" s="1" customFormat="1" ht="23.1" customHeight="1">
      <c r="B124" s="12"/>
      <c r="C124" s="66" t="s">
        <v>207</v>
      </c>
      <c r="J124" s="82">
        <f>BK124</f>
        <v>6593470</v>
      </c>
      <c r="L124" s="12"/>
      <c r="M124" s="83"/>
      <c r="N124" s="35"/>
      <c r="O124" s="35"/>
      <c r="P124" s="84">
        <f>P125</f>
        <v>0</v>
      </c>
      <c r="Q124" s="35"/>
      <c r="R124" s="84">
        <f>R125</f>
        <v>0</v>
      </c>
      <c r="S124" s="35"/>
      <c r="T124" s="97">
        <f>T125</f>
        <v>0</v>
      </c>
      <c r="AT124" s="23" t="s">
        <v>76</v>
      </c>
      <c r="AU124" s="23" t="s">
        <v>188</v>
      </c>
      <c r="BK124" s="102">
        <f>BK125</f>
        <v>6593470</v>
      </c>
    </row>
    <row r="125" spans="2:65" s="31" customFormat="1" ht="26.1" customHeight="1">
      <c r="B125" s="67"/>
      <c r="D125" s="68" t="s">
        <v>76</v>
      </c>
      <c r="E125" s="69" t="s">
        <v>3925</v>
      </c>
      <c r="F125" s="69" t="s">
        <v>3926</v>
      </c>
      <c r="I125" s="85"/>
      <c r="J125" s="86">
        <f>BK125</f>
        <v>6593470</v>
      </c>
      <c r="L125" s="67"/>
      <c r="M125" s="87"/>
      <c r="P125" s="88">
        <f>P126+P146+P157</f>
        <v>0</v>
      </c>
      <c r="R125" s="88">
        <f>R126+R146+R157</f>
        <v>0</v>
      </c>
      <c r="T125" s="98">
        <f>T126+T146+T157</f>
        <v>0</v>
      </c>
      <c r="AR125" s="68" t="s">
        <v>85</v>
      </c>
      <c r="AT125" s="100" t="s">
        <v>76</v>
      </c>
      <c r="AU125" s="100" t="s">
        <v>77</v>
      </c>
      <c r="AY125" s="68" t="s">
        <v>211</v>
      </c>
      <c r="BK125" s="103">
        <f>BK126+BK146+BK157</f>
        <v>6593470</v>
      </c>
    </row>
    <row r="126" spans="2:65" s="31" customFormat="1" ht="23.1" customHeight="1">
      <c r="B126" s="67"/>
      <c r="D126" s="68" t="s">
        <v>76</v>
      </c>
      <c r="E126" s="70" t="s">
        <v>3830</v>
      </c>
      <c r="F126" s="70" t="s">
        <v>3927</v>
      </c>
      <c r="I126" s="85"/>
      <c r="J126" s="89">
        <f>BK126</f>
        <v>2753200</v>
      </c>
      <c r="L126" s="67"/>
      <c r="M126" s="87"/>
      <c r="P126" s="88">
        <f>SUM(P127:P145)</f>
        <v>0</v>
      </c>
      <c r="R126" s="88">
        <f>SUM(R127:R145)</f>
        <v>0</v>
      </c>
      <c r="T126" s="98">
        <f>SUM(T127:T145)</f>
        <v>0</v>
      </c>
      <c r="AR126" s="68" t="s">
        <v>85</v>
      </c>
      <c r="AT126" s="100" t="s">
        <v>76</v>
      </c>
      <c r="AU126" s="100" t="s">
        <v>85</v>
      </c>
      <c r="AY126" s="68" t="s">
        <v>211</v>
      </c>
      <c r="BK126" s="103">
        <f>SUM(BK127:BK145)</f>
        <v>2753200</v>
      </c>
    </row>
    <row r="127" spans="2:65" s="1" customFormat="1" ht="24.15" customHeight="1">
      <c r="B127" s="12"/>
      <c r="C127" s="71" t="s">
        <v>85</v>
      </c>
      <c r="D127" s="71" t="s">
        <v>214</v>
      </c>
      <c r="E127" s="72" t="s">
        <v>3928</v>
      </c>
      <c r="F127" s="73" t="s">
        <v>3929</v>
      </c>
      <c r="G127" s="74" t="s">
        <v>234</v>
      </c>
      <c r="H127" s="75">
        <v>36</v>
      </c>
      <c r="I127" s="90">
        <v>7500</v>
      </c>
      <c r="J127" s="91">
        <f t="shared" ref="J127:J145" si="0">ROUND(I127*H127,2)</f>
        <v>270000</v>
      </c>
      <c r="K127" s="92"/>
      <c r="L127" s="12"/>
      <c r="M127" s="93" t="s">
        <v>1</v>
      </c>
      <c r="N127" s="94" t="s">
        <v>42</v>
      </c>
      <c r="P127" s="95">
        <f t="shared" ref="P127:P145" si="1">O127*H127</f>
        <v>0</v>
      </c>
      <c r="Q127" s="95">
        <v>0</v>
      </c>
      <c r="R127" s="95">
        <f t="shared" ref="R127:R145" si="2">Q127*H127</f>
        <v>0</v>
      </c>
      <c r="S127" s="95">
        <v>0</v>
      </c>
      <c r="T127" s="99">
        <f t="shared" ref="T127:T145" si="3">S127*H127</f>
        <v>0</v>
      </c>
      <c r="AR127" s="101" t="s">
        <v>446</v>
      </c>
      <c r="AT127" s="101" t="s">
        <v>214</v>
      </c>
      <c r="AU127" s="101" t="s">
        <v>87</v>
      </c>
      <c r="AY127" s="23" t="s">
        <v>211</v>
      </c>
      <c r="BE127" s="104">
        <f t="shared" ref="BE127:BE145" si="4">IF(N127="základní",J127,0)</f>
        <v>270000</v>
      </c>
      <c r="BF127" s="104">
        <f t="shared" ref="BF127:BF145" si="5">IF(N127="snížená",J127,0)</f>
        <v>0</v>
      </c>
      <c r="BG127" s="104">
        <f t="shared" ref="BG127:BG145" si="6">IF(N127="zákl. přenesená",J127,0)</f>
        <v>0</v>
      </c>
      <c r="BH127" s="104">
        <f t="shared" ref="BH127:BH145" si="7">IF(N127="sníž. přenesená",J127,0)</f>
        <v>0</v>
      </c>
      <c r="BI127" s="104">
        <f t="shared" ref="BI127:BI145" si="8">IF(N127="nulová",J127,0)</f>
        <v>0</v>
      </c>
      <c r="BJ127" s="23" t="s">
        <v>85</v>
      </c>
      <c r="BK127" s="104">
        <f t="shared" ref="BK127:BK145" si="9">ROUND(I127*H127,2)</f>
        <v>270000</v>
      </c>
      <c r="BL127" s="23" t="s">
        <v>446</v>
      </c>
      <c r="BM127" s="101" t="s">
        <v>3930</v>
      </c>
    </row>
    <row r="128" spans="2:65" s="1" customFormat="1" ht="38.1" customHeight="1">
      <c r="B128" s="12"/>
      <c r="C128" s="71" t="s">
        <v>87</v>
      </c>
      <c r="D128" s="71" t="s">
        <v>214</v>
      </c>
      <c r="E128" s="72" t="s">
        <v>3931</v>
      </c>
      <c r="F128" s="73" t="s">
        <v>3932</v>
      </c>
      <c r="G128" s="74" t="s">
        <v>234</v>
      </c>
      <c r="H128" s="75">
        <v>39</v>
      </c>
      <c r="I128" s="90">
        <v>10500</v>
      </c>
      <c r="J128" s="91">
        <f t="shared" si="0"/>
        <v>409500</v>
      </c>
      <c r="K128" s="92"/>
      <c r="L128" s="12"/>
      <c r="M128" s="93" t="s">
        <v>1</v>
      </c>
      <c r="N128" s="94" t="s">
        <v>42</v>
      </c>
      <c r="P128" s="95">
        <f t="shared" si="1"/>
        <v>0</v>
      </c>
      <c r="Q128" s="95">
        <v>0</v>
      </c>
      <c r="R128" s="95">
        <f t="shared" si="2"/>
        <v>0</v>
      </c>
      <c r="S128" s="95">
        <v>0</v>
      </c>
      <c r="T128" s="99">
        <f t="shared" si="3"/>
        <v>0</v>
      </c>
      <c r="AR128" s="101" t="s">
        <v>446</v>
      </c>
      <c r="AT128" s="101" t="s">
        <v>214</v>
      </c>
      <c r="AU128" s="101" t="s">
        <v>87</v>
      </c>
      <c r="AY128" s="23" t="s">
        <v>211</v>
      </c>
      <c r="BE128" s="104">
        <f t="shared" si="4"/>
        <v>409500</v>
      </c>
      <c r="BF128" s="104">
        <f t="shared" si="5"/>
        <v>0</v>
      </c>
      <c r="BG128" s="104">
        <f t="shared" si="6"/>
        <v>0</v>
      </c>
      <c r="BH128" s="104">
        <f t="shared" si="7"/>
        <v>0</v>
      </c>
      <c r="BI128" s="104">
        <f t="shared" si="8"/>
        <v>0</v>
      </c>
      <c r="BJ128" s="23" t="s">
        <v>85</v>
      </c>
      <c r="BK128" s="104">
        <f t="shared" si="9"/>
        <v>409500</v>
      </c>
      <c r="BL128" s="23" t="s">
        <v>446</v>
      </c>
      <c r="BM128" s="101" t="s">
        <v>3933</v>
      </c>
    </row>
    <row r="129" spans="2:65" s="1" customFormat="1" ht="38.1" customHeight="1">
      <c r="B129" s="12"/>
      <c r="C129" s="71" t="s">
        <v>137</v>
      </c>
      <c r="D129" s="71" t="s">
        <v>214</v>
      </c>
      <c r="E129" s="72" t="s">
        <v>3934</v>
      </c>
      <c r="F129" s="73" t="s">
        <v>3935</v>
      </c>
      <c r="G129" s="74" t="s">
        <v>234</v>
      </c>
      <c r="H129" s="75">
        <v>21</v>
      </c>
      <c r="I129" s="90">
        <v>8500</v>
      </c>
      <c r="J129" s="91">
        <f t="shared" si="0"/>
        <v>178500</v>
      </c>
      <c r="K129" s="92"/>
      <c r="L129" s="12"/>
      <c r="M129" s="93" t="s">
        <v>1</v>
      </c>
      <c r="N129" s="94" t="s">
        <v>42</v>
      </c>
      <c r="P129" s="95">
        <f t="shared" si="1"/>
        <v>0</v>
      </c>
      <c r="Q129" s="95">
        <v>0</v>
      </c>
      <c r="R129" s="95">
        <f t="shared" si="2"/>
        <v>0</v>
      </c>
      <c r="S129" s="95">
        <v>0</v>
      </c>
      <c r="T129" s="99">
        <f t="shared" si="3"/>
        <v>0</v>
      </c>
      <c r="AR129" s="101" t="s">
        <v>446</v>
      </c>
      <c r="AT129" s="101" t="s">
        <v>214</v>
      </c>
      <c r="AU129" s="101" t="s">
        <v>87</v>
      </c>
      <c r="AY129" s="23" t="s">
        <v>211</v>
      </c>
      <c r="BE129" s="104">
        <f t="shared" si="4"/>
        <v>178500</v>
      </c>
      <c r="BF129" s="104">
        <f t="shared" si="5"/>
        <v>0</v>
      </c>
      <c r="BG129" s="104">
        <f t="shared" si="6"/>
        <v>0</v>
      </c>
      <c r="BH129" s="104">
        <f t="shared" si="7"/>
        <v>0</v>
      </c>
      <c r="BI129" s="104">
        <f t="shared" si="8"/>
        <v>0</v>
      </c>
      <c r="BJ129" s="23" t="s">
        <v>85</v>
      </c>
      <c r="BK129" s="104">
        <f t="shared" si="9"/>
        <v>178500</v>
      </c>
      <c r="BL129" s="23" t="s">
        <v>446</v>
      </c>
      <c r="BM129" s="101" t="s">
        <v>3936</v>
      </c>
    </row>
    <row r="130" spans="2:65" s="1" customFormat="1" ht="55.5" customHeight="1">
      <c r="B130" s="12"/>
      <c r="C130" s="71" t="s">
        <v>218</v>
      </c>
      <c r="D130" s="71" t="s">
        <v>214</v>
      </c>
      <c r="E130" s="72" t="s">
        <v>3937</v>
      </c>
      <c r="F130" s="73" t="s">
        <v>3938</v>
      </c>
      <c r="G130" s="74" t="s">
        <v>234</v>
      </c>
      <c r="H130" s="75">
        <v>58</v>
      </c>
      <c r="I130" s="90">
        <v>7900</v>
      </c>
      <c r="J130" s="91">
        <f t="shared" si="0"/>
        <v>458200</v>
      </c>
      <c r="K130" s="92"/>
      <c r="L130" s="12"/>
      <c r="M130" s="93" t="s">
        <v>1</v>
      </c>
      <c r="N130" s="94" t="s">
        <v>42</v>
      </c>
      <c r="P130" s="95">
        <f t="shared" si="1"/>
        <v>0</v>
      </c>
      <c r="Q130" s="95">
        <v>0</v>
      </c>
      <c r="R130" s="95">
        <f t="shared" si="2"/>
        <v>0</v>
      </c>
      <c r="S130" s="95">
        <v>0</v>
      </c>
      <c r="T130" s="99">
        <f t="shared" si="3"/>
        <v>0</v>
      </c>
      <c r="AR130" s="101" t="s">
        <v>446</v>
      </c>
      <c r="AT130" s="101" t="s">
        <v>214</v>
      </c>
      <c r="AU130" s="101" t="s">
        <v>87</v>
      </c>
      <c r="AY130" s="23" t="s">
        <v>211</v>
      </c>
      <c r="BE130" s="104">
        <f t="shared" si="4"/>
        <v>458200</v>
      </c>
      <c r="BF130" s="104">
        <f t="shared" si="5"/>
        <v>0</v>
      </c>
      <c r="BG130" s="104">
        <f t="shared" si="6"/>
        <v>0</v>
      </c>
      <c r="BH130" s="104">
        <f t="shared" si="7"/>
        <v>0</v>
      </c>
      <c r="BI130" s="104">
        <f t="shared" si="8"/>
        <v>0</v>
      </c>
      <c r="BJ130" s="23" t="s">
        <v>85</v>
      </c>
      <c r="BK130" s="104">
        <f t="shared" si="9"/>
        <v>458200</v>
      </c>
      <c r="BL130" s="23" t="s">
        <v>446</v>
      </c>
      <c r="BM130" s="101" t="s">
        <v>3939</v>
      </c>
    </row>
    <row r="131" spans="2:65" s="1" customFormat="1" ht="49.35" customHeight="1">
      <c r="B131" s="12"/>
      <c r="C131" s="71" t="s">
        <v>210</v>
      </c>
      <c r="D131" s="71" t="s">
        <v>214</v>
      </c>
      <c r="E131" s="72" t="s">
        <v>3940</v>
      </c>
      <c r="F131" s="73" t="s">
        <v>3941</v>
      </c>
      <c r="G131" s="74" t="s">
        <v>234</v>
      </c>
      <c r="H131" s="75">
        <v>32</v>
      </c>
      <c r="I131" s="90">
        <v>24500</v>
      </c>
      <c r="J131" s="91">
        <f t="shared" si="0"/>
        <v>784000</v>
      </c>
      <c r="K131" s="92"/>
      <c r="L131" s="12"/>
      <c r="M131" s="93" t="s">
        <v>1</v>
      </c>
      <c r="N131" s="94" t="s">
        <v>42</v>
      </c>
      <c r="P131" s="95">
        <f t="shared" si="1"/>
        <v>0</v>
      </c>
      <c r="Q131" s="95">
        <v>0</v>
      </c>
      <c r="R131" s="95">
        <f t="shared" si="2"/>
        <v>0</v>
      </c>
      <c r="S131" s="95">
        <v>0</v>
      </c>
      <c r="T131" s="99">
        <f t="shared" si="3"/>
        <v>0</v>
      </c>
      <c r="AR131" s="101" t="s">
        <v>446</v>
      </c>
      <c r="AT131" s="101" t="s">
        <v>214</v>
      </c>
      <c r="AU131" s="101" t="s">
        <v>87</v>
      </c>
      <c r="AY131" s="23" t="s">
        <v>211</v>
      </c>
      <c r="BE131" s="104">
        <f t="shared" si="4"/>
        <v>784000</v>
      </c>
      <c r="BF131" s="104">
        <f t="shared" si="5"/>
        <v>0</v>
      </c>
      <c r="BG131" s="104">
        <f t="shared" si="6"/>
        <v>0</v>
      </c>
      <c r="BH131" s="104">
        <f t="shared" si="7"/>
        <v>0</v>
      </c>
      <c r="BI131" s="104">
        <f t="shared" si="8"/>
        <v>0</v>
      </c>
      <c r="BJ131" s="23" t="s">
        <v>85</v>
      </c>
      <c r="BK131" s="104">
        <f t="shared" si="9"/>
        <v>784000</v>
      </c>
      <c r="BL131" s="23" t="s">
        <v>446</v>
      </c>
      <c r="BM131" s="101" t="s">
        <v>3942</v>
      </c>
    </row>
    <row r="132" spans="2:65" s="1" customFormat="1" ht="49.35" customHeight="1">
      <c r="B132" s="12"/>
      <c r="C132" s="71" t="s">
        <v>239</v>
      </c>
      <c r="D132" s="71" t="s">
        <v>214</v>
      </c>
      <c r="E132" s="72" t="s">
        <v>3943</v>
      </c>
      <c r="F132" s="73" t="s">
        <v>3944</v>
      </c>
      <c r="G132" s="74" t="s">
        <v>234</v>
      </c>
      <c r="H132" s="75">
        <v>1</v>
      </c>
      <c r="I132" s="90">
        <v>24500</v>
      </c>
      <c r="J132" s="91">
        <f t="shared" si="0"/>
        <v>24500</v>
      </c>
      <c r="K132" s="92"/>
      <c r="L132" s="12"/>
      <c r="M132" s="93" t="s">
        <v>1</v>
      </c>
      <c r="N132" s="94" t="s">
        <v>42</v>
      </c>
      <c r="P132" s="95">
        <f t="shared" si="1"/>
        <v>0</v>
      </c>
      <c r="Q132" s="95">
        <v>0</v>
      </c>
      <c r="R132" s="95">
        <f t="shared" si="2"/>
        <v>0</v>
      </c>
      <c r="S132" s="95">
        <v>0</v>
      </c>
      <c r="T132" s="99">
        <f t="shared" si="3"/>
        <v>0</v>
      </c>
      <c r="AR132" s="101" t="s">
        <v>446</v>
      </c>
      <c r="AT132" s="101" t="s">
        <v>214</v>
      </c>
      <c r="AU132" s="101" t="s">
        <v>87</v>
      </c>
      <c r="AY132" s="23" t="s">
        <v>211</v>
      </c>
      <c r="BE132" s="104">
        <f t="shared" si="4"/>
        <v>24500</v>
      </c>
      <c r="BF132" s="104">
        <f t="shared" si="5"/>
        <v>0</v>
      </c>
      <c r="BG132" s="104">
        <f t="shared" si="6"/>
        <v>0</v>
      </c>
      <c r="BH132" s="104">
        <f t="shared" si="7"/>
        <v>0</v>
      </c>
      <c r="BI132" s="104">
        <f t="shared" si="8"/>
        <v>0</v>
      </c>
      <c r="BJ132" s="23" t="s">
        <v>85</v>
      </c>
      <c r="BK132" s="104">
        <f t="shared" si="9"/>
        <v>24500</v>
      </c>
      <c r="BL132" s="23" t="s">
        <v>446</v>
      </c>
      <c r="BM132" s="101" t="s">
        <v>3945</v>
      </c>
    </row>
    <row r="133" spans="2:65" s="1" customFormat="1" ht="49.35" customHeight="1">
      <c r="B133" s="12"/>
      <c r="C133" s="71" t="s">
        <v>245</v>
      </c>
      <c r="D133" s="71" t="s">
        <v>214</v>
      </c>
      <c r="E133" s="72" t="s">
        <v>3946</v>
      </c>
      <c r="F133" s="73" t="s">
        <v>3947</v>
      </c>
      <c r="G133" s="74" t="s">
        <v>234</v>
      </c>
      <c r="H133" s="75">
        <v>1</v>
      </c>
      <c r="I133" s="90">
        <v>24500</v>
      </c>
      <c r="J133" s="91">
        <f t="shared" si="0"/>
        <v>24500</v>
      </c>
      <c r="K133" s="92"/>
      <c r="L133" s="12"/>
      <c r="M133" s="93" t="s">
        <v>1</v>
      </c>
      <c r="N133" s="94" t="s">
        <v>42</v>
      </c>
      <c r="P133" s="95">
        <f t="shared" si="1"/>
        <v>0</v>
      </c>
      <c r="Q133" s="95">
        <v>0</v>
      </c>
      <c r="R133" s="95">
        <f t="shared" si="2"/>
        <v>0</v>
      </c>
      <c r="S133" s="95">
        <v>0</v>
      </c>
      <c r="T133" s="99">
        <f t="shared" si="3"/>
        <v>0</v>
      </c>
      <c r="AR133" s="101" t="s">
        <v>446</v>
      </c>
      <c r="AT133" s="101" t="s">
        <v>214</v>
      </c>
      <c r="AU133" s="101" t="s">
        <v>87</v>
      </c>
      <c r="AY133" s="23" t="s">
        <v>211</v>
      </c>
      <c r="BE133" s="104">
        <f t="shared" si="4"/>
        <v>24500</v>
      </c>
      <c r="BF133" s="104">
        <f t="shared" si="5"/>
        <v>0</v>
      </c>
      <c r="BG133" s="104">
        <f t="shared" si="6"/>
        <v>0</v>
      </c>
      <c r="BH133" s="104">
        <f t="shared" si="7"/>
        <v>0</v>
      </c>
      <c r="BI133" s="104">
        <f t="shared" si="8"/>
        <v>0</v>
      </c>
      <c r="BJ133" s="23" t="s">
        <v>85</v>
      </c>
      <c r="BK133" s="104">
        <f t="shared" si="9"/>
        <v>24500</v>
      </c>
      <c r="BL133" s="23" t="s">
        <v>446</v>
      </c>
      <c r="BM133" s="101" t="s">
        <v>3948</v>
      </c>
    </row>
    <row r="134" spans="2:65" s="1" customFormat="1" ht="55.5" customHeight="1">
      <c r="B134" s="12"/>
      <c r="C134" s="71" t="s">
        <v>250</v>
      </c>
      <c r="D134" s="71" t="s">
        <v>214</v>
      </c>
      <c r="E134" s="72" t="s">
        <v>3949</v>
      </c>
      <c r="F134" s="73" t="s">
        <v>3950</v>
      </c>
      <c r="G134" s="74" t="s">
        <v>234</v>
      </c>
      <c r="H134" s="75">
        <v>1</v>
      </c>
      <c r="I134" s="90">
        <v>37000</v>
      </c>
      <c r="J134" s="91">
        <f t="shared" si="0"/>
        <v>37000</v>
      </c>
      <c r="K134" s="92"/>
      <c r="L134" s="12"/>
      <c r="M134" s="93" t="s">
        <v>1</v>
      </c>
      <c r="N134" s="94" t="s">
        <v>42</v>
      </c>
      <c r="P134" s="95">
        <f t="shared" si="1"/>
        <v>0</v>
      </c>
      <c r="Q134" s="95">
        <v>0</v>
      </c>
      <c r="R134" s="95">
        <f t="shared" si="2"/>
        <v>0</v>
      </c>
      <c r="S134" s="95">
        <v>0</v>
      </c>
      <c r="T134" s="99">
        <f t="shared" si="3"/>
        <v>0</v>
      </c>
      <c r="AR134" s="101" t="s">
        <v>446</v>
      </c>
      <c r="AT134" s="101" t="s">
        <v>214</v>
      </c>
      <c r="AU134" s="101" t="s">
        <v>87</v>
      </c>
      <c r="AY134" s="23" t="s">
        <v>211</v>
      </c>
      <c r="BE134" s="104">
        <f t="shared" si="4"/>
        <v>37000</v>
      </c>
      <c r="BF134" s="104">
        <f t="shared" si="5"/>
        <v>0</v>
      </c>
      <c r="BG134" s="104">
        <f t="shared" si="6"/>
        <v>0</v>
      </c>
      <c r="BH134" s="104">
        <f t="shared" si="7"/>
        <v>0</v>
      </c>
      <c r="BI134" s="104">
        <f t="shared" si="8"/>
        <v>0</v>
      </c>
      <c r="BJ134" s="23" t="s">
        <v>85</v>
      </c>
      <c r="BK134" s="104">
        <f t="shared" si="9"/>
        <v>37000</v>
      </c>
      <c r="BL134" s="23" t="s">
        <v>446</v>
      </c>
      <c r="BM134" s="101" t="s">
        <v>3951</v>
      </c>
    </row>
    <row r="135" spans="2:65" s="1" customFormat="1" ht="55.5" customHeight="1">
      <c r="B135" s="12"/>
      <c r="C135" s="71" t="s">
        <v>255</v>
      </c>
      <c r="D135" s="71" t="s">
        <v>214</v>
      </c>
      <c r="E135" s="72" t="s">
        <v>3952</v>
      </c>
      <c r="F135" s="73" t="s">
        <v>3953</v>
      </c>
      <c r="G135" s="74" t="s">
        <v>234</v>
      </c>
      <c r="H135" s="75">
        <v>5</v>
      </c>
      <c r="I135" s="90">
        <v>37000</v>
      </c>
      <c r="J135" s="91">
        <f t="shared" si="0"/>
        <v>185000</v>
      </c>
      <c r="K135" s="92"/>
      <c r="L135" s="12"/>
      <c r="M135" s="93" t="s">
        <v>1</v>
      </c>
      <c r="N135" s="94" t="s">
        <v>42</v>
      </c>
      <c r="P135" s="95">
        <f t="shared" si="1"/>
        <v>0</v>
      </c>
      <c r="Q135" s="95">
        <v>0</v>
      </c>
      <c r="R135" s="95">
        <f t="shared" si="2"/>
        <v>0</v>
      </c>
      <c r="S135" s="95">
        <v>0</v>
      </c>
      <c r="T135" s="99">
        <f t="shared" si="3"/>
        <v>0</v>
      </c>
      <c r="AR135" s="101" t="s">
        <v>446</v>
      </c>
      <c r="AT135" s="101" t="s">
        <v>214</v>
      </c>
      <c r="AU135" s="101" t="s">
        <v>87</v>
      </c>
      <c r="AY135" s="23" t="s">
        <v>211</v>
      </c>
      <c r="BE135" s="104">
        <f t="shared" si="4"/>
        <v>185000</v>
      </c>
      <c r="BF135" s="104">
        <f t="shared" si="5"/>
        <v>0</v>
      </c>
      <c r="BG135" s="104">
        <f t="shared" si="6"/>
        <v>0</v>
      </c>
      <c r="BH135" s="104">
        <f t="shared" si="7"/>
        <v>0</v>
      </c>
      <c r="BI135" s="104">
        <f t="shared" si="8"/>
        <v>0</v>
      </c>
      <c r="BJ135" s="23" t="s">
        <v>85</v>
      </c>
      <c r="BK135" s="104">
        <f t="shared" si="9"/>
        <v>185000</v>
      </c>
      <c r="BL135" s="23" t="s">
        <v>446</v>
      </c>
      <c r="BM135" s="101" t="s">
        <v>3954</v>
      </c>
    </row>
    <row r="136" spans="2:65" s="1" customFormat="1" ht="55.5" customHeight="1">
      <c r="B136" s="12"/>
      <c r="C136" s="71" t="s">
        <v>259</v>
      </c>
      <c r="D136" s="71" t="s">
        <v>214</v>
      </c>
      <c r="E136" s="72" t="s">
        <v>3955</v>
      </c>
      <c r="F136" s="73" t="s">
        <v>3956</v>
      </c>
      <c r="G136" s="74" t="s">
        <v>234</v>
      </c>
      <c r="H136" s="75">
        <v>3</v>
      </c>
      <c r="I136" s="90">
        <v>37000</v>
      </c>
      <c r="J136" s="91">
        <f t="shared" si="0"/>
        <v>111000</v>
      </c>
      <c r="K136" s="92"/>
      <c r="L136" s="12"/>
      <c r="M136" s="93" t="s">
        <v>1</v>
      </c>
      <c r="N136" s="94" t="s">
        <v>42</v>
      </c>
      <c r="P136" s="95">
        <f t="shared" si="1"/>
        <v>0</v>
      </c>
      <c r="Q136" s="95">
        <v>0</v>
      </c>
      <c r="R136" s="95">
        <f t="shared" si="2"/>
        <v>0</v>
      </c>
      <c r="S136" s="95">
        <v>0</v>
      </c>
      <c r="T136" s="99">
        <f t="shared" si="3"/>
        <v>0</v>
      </c>
      <c r="AR136" s="101" t="s">
        <v>446</v>
      </c>
      <c r="AT136" s="101" t="s">
        <v>214</v>
      </c>
      <c r="AU136" s="101" t="s">
        <v>87</v>
      </c>
      <c r="AY136" s="23" t="s">
        <v>211</v>
      </c>
      <c r="BE136" s="104">
        <f t="shared" si="4"/>
        <v>111000</v>
      </c>
      <c r="BF136" s="104">
        <f t="shared" si="5"/>
        <v>0</v>
      </c>
      <c r="BG136" s="104">
        <f t="shared" si="6"/>
        <v>0</v>
      </c>
      <c r="BH136" s="104">
        <f t="shared" si="7"/>
        <v>0</v>
      </c>
      <c r="BI136" s="104">
        <f t="shared" si="8"/>
        <v>0</v>
      </c>
      <c r="BJ136" s="23" t="s">
        <v>85</v>
      </c>
      <c r="BK136" s="104">
        <f t="shared" si="9"/>
        <v>111000</v>
      </c>
      <c r="BL136" s="23" t="s">
        <v>446</v>
      </c>
      <c r="BM136" s="101" t="s">
        <v>3957</v>
      </c>
    </row>
    <row r="137" spans="2:65" s="1" customFormat="1" ht="55.5" customHeight="1">
      <c r="B137" s="12"/>
      <c r="C137" s="71" t="s">
        <v>266</v>
      </c>
      <c r="D137" s="71" t="s">
        <v>214</v>
      </c>
      <c r="E137" s="72" t="s">
        <v>3958</v>
      </c>
      <c r="F137" s="73" t="s">
        <v>3959</v>
      </c>
      <c r="G137" s="74" t="s">
        <v>234</v>
      </c>
      <c r="H137" s="75">
        <v>1</v>
      </c>
      <c r="I137" s="90">
        <v>37000</v>
      </c>
      <c r="J137" s="91">
        <f t="shared" si="0"/>
        <v>37000</v>
      </c>
      <c r="K137" s="92"/>
      <c r="L137" s="12"/>
      <c r="M137" s="93" t="s">
        <v>1</v>
      </c>
      <c r="N137" s="94" t="s">
        <v>42</v>
      </c>
      <c r="P137" s="95">
        <f t="shared" si="1"/>
        <v>0</v>
      </c>
      <c r="Q137" s="95">
        <v>0</v>
      </c>
      <c r="R137" s="95">
        <f t="shared" si="2"/>
        <v>0</v>
      </c>
      <c r="S137" s="95">
        <v>0</v>
      </c>
      <c r="T137" s="99">
        <f t="shared" si="3"/>
        <v>0</v>
      </c>
      <c r="AR137" s="101" t="s">
        <v>446</v>
      </c>
      <c r="AT137" s="101" t="s">
        <v>214</v>
      </c>
      <c r="AU137" s="101" t="s">
        <v>87</v>
      </c>
      <c r="AY137" s="23" t="s">
        <v>211</v>
      </c>
      <c r="BE137" s="104">
        <f t="shared" si="4"/>
        <v>37000</v>
      </c>
      <c r="BF137" s="104">
        <f t="shared" si="5"/>
        <v>0</v>
      </c>
      <c r="BG137" s="104">
        <f t="shared" si="6"/>
        <v>0</v>
      </c>
      <c r="BH137" s="104">
        <f t="shared" si="7"/>
        <v>0</v>
      </c>
      <c r="BI137" s="104">
        <f t="shared" si="8"/>
        <v>0</v>
      </c>
      <c r="BJ137" s="23" t="s">
        <v>85</v>
      </c>
      <c r="BK137" s="104">
        <f t="shared" si="9"/>
        <v>37000</v>
      </c>
      <c r="BL137" s="23" t="s">
        <v>446</v>
      </c>
      <c r="BM137" s="101" t="s">
        <v>3960</v>
      </c>
    </row>
    <row r="138" spans="2:65" s="1" customFormat="1" ht="55.5" customHeight="1">
      <c r="B138" s="12"/>
      <c r="C138" s="71" t="s">
        <v>273</v>
      </c>
      <c r="D138" s="71" t="s">
        <v>214</v>
      </c>
      <c r="E138" s="72" t="s">
        <v>3961</v>
      </c>
      <c r="F138" s="73" t="s">
        <v>3962</v>
      </c>
      <c r="G138" s="74" t="s">
        <v>234</v>
      </c>
      <c r="H138" s="75">
        <v>1</v>
      </c>
      <c r="I138" s="90">
        <v>37000</v>
      </c>
      <c r="J138" s="91">
        <f t="shared" si="0"/>
        <v>37000</v>
      </c>
      <c r="K138" s="92"/>
      <c r="L138" s="12"/>
      <c r="M138" s="93" t="s">
        <v>1</v>
      </c>
      <c r="N138" s="94" t="s">
        <v>42</v>
      </c>
      <c r="P138" s="95">
        <f t="shared" si="1"/>
        <v>0</v>
      </c>
      <c r="Q138" s="95">
        <v>0</v>
      </c>
      <c r="R138" s="95">
        <f t="shared" si="2"/>
        <v>0</v>
      </c>
      <c r="S138" s="95">
        <v>0</v>
      </c>
      <c r="T138" s="99">
        <f t="shared" si="3"/>
        <v>0</v>
      </c>
      <c r="AR138" s="101" t="s">
        <v>446</v>
      </c>
      <c r="AT138" s="101" t="s">
        <v>214</v>
      </c>
      <c r="AU138" s="101" t="s">
        <v>87</v>
      </c>
      <c r="AY138" s="23" t="s">
        <v>211</v>
      </c>
      <c r="BE138" s="104">
        <f t="shared" si="4"/>
        <v>37000</v>
      </c>
      <c r="BF138" s="104">
        <f t="shared" si="5"/>
        <v>0</v>
      </c>
      <c r="BG138" s="104">
        <f t="shared" si="6"/>
        <v>0</v>
      </c>
      <c r="BH138" s="104">
        <f t="shared" si="7"/>
        <v>0</v>
      </c>
      <c r="BI138" s="104">
        <f t="shared" si="8"/>
        <v>0</v>
      </c>
      <c r="BJ138" s="23" t="s">
        <v>85</v>
      </c>
      <c r="BK138" s="104">
        <f t="shared" si="9"/>
        <v>37000</v>
      </c>
      <c r="BL138" s="23" t="s">
        <v>446</v>
      </c>
      <c r="BM138" s="101" t="s">
        <v>3963</v>
      </c>
    </row>
    <row r="139" spans="2:65" s="1" customFormat="1" ht="55.5" customHeight="1">
      <c r="B139" s="12"/>
      <c r="C139" s="71" t="s">
        <v>433</v>
      </c>
      <c r="D139" s="71" t="s">
        <v>214</v>
      </c>
      <c r="E139" s="72" t="s">
        <v>3964</v>
      </c>
      <c r="F139" s="73" t="s">
        <v>3965</v>
      </c>
      <c r="G139" s="74" t="s">
        <v>234</v>
      </c>
      <c r="H139" s="75">
        <v>1</v>
      </c>
      <c r="I139" s="90">
        <v>37000</v>
      </c>
      <c r="J139" s="91">
        <f t="shared" si="0"/>
        <v>37000</v>
      </c>
      <c r="K139" s="92"/>
      <c r="L139" s="12"/>
      <c r="M139" s="93" t="s">
        <v>1</v>
      </c>
      <c r="N139" s="94" t="s">
        <v>42</v>
      </c>
      <c r="P139" s="95">
        <f t="shared" si="1"/>
        <v>0</v>
      </c>
      <c r="Q139" s="95">
        <v>0</v>
      </c>
      <c r="R139" s="95">
        <f t="shared" si="2"/>
        <v>0</v>
      </c>
      <c r="S139" s="95">
        <v>0</v>
      </c>
      <c r="T139" s="99">
        <f t="shared" si="3"/>
        <v>0</v>
      </c>
      <c r="AR139" s="101" t="s">
        <v>446</v>
      </c>
      <c r="AT139" s="101" t="s">
        <v>214</v>
      </c>
      <c r="AU139" s="101" t="s">
        <v>87</v>
      </c>
      <c r="AY139" s="23" t="s">
        <v>211</v>
      </c>
      <c r="BE139" s="104">
        <f t="shared" si="4"/>
        <v>37000</v>
      </c>
      <c r="BF139" s="104">
        <f t="shared" si="5"/>
        <v>0</v>
      </c>
      <c r="BG139" s="104">
        <f t="shared" si="6"/>
        <v>0</v>
      </c>
      <c r="BH139" s="104">
        <f t="shared" si="7"/>
        <v>0</v>
      </c>
      <c r="BI139" s="104">
        <f t="shared" si="8"/>
        <v>0</v>
      </c>
      <c r="BJ139" s="23" t="s">
        <v>85</v>
      </c>
      <c r="BK139" s="104">
        <f t="shared" si="9"/>
        <v>37000</v>
      </c>
      <c r="BL139" s="23" t="s">
        <v>446</v>
      </c>
      <c r="BM139" s="101" t="s">
        <v>3966</v>
      </c>
    </row>
    <row r="140" spans="2:65" s="1" customFormat="1" ht="16.5" customHeight="1">
      <c r="B140" s="12"/>
      <c r="C140" s="71" t="s">
        <v>437</v>
      </c>
      <c r="D140" s="71" t="s">
        <v>214</v>
      </c>
      <c r="E140" s="72" t="s">
        <v>3967</v>
      </c>
      <c r="F140" s="73" t="s">
        <v>3968</v>
      </c>
      <c r="G140" s="74" t="s">
        <v>234</v>
      </c>
      <c r="H140" s="75">
        <v>2</v>
      </c>
      <c r="I140" s="90">
        <v>8000</v>
      </c>
      <c r="J140" s="91">
        <f t="shared" si="0"/>
        <v>16000</v>
      </c>
      <c r="K140" s="92"/>
      <c r="L140" s="12"/>
      <c r="M140" s="93" t="s">
        <v>1</v>
      </c>
      <c r="N140" s="94" t="s">
        <v>42</v>
      </c>
      <c r="P140" s="95">
        <f t="shared" si="1"/>
        <v>0</v>
      </c>
      <c r="Q140" s="95">
        <v>0</v>
      </c>
      <c r="R140" s="95">
        <f t="shared" si="2"/>
        <v>0</v>
      </c>
      <c r="S140" s="95">
        <v>0</v>
      </c>
      <c r="T140" s="99">
        <f t="shared" si="3"/>
        <v>0</v>
      </c>
      <c r="AR140" s="101" t="s">
        <v>446</v>
      </c>
      <c r="AT140" s="101" t="s">
        <v>214</v>
      </c>
      <c r="AU140" s="101" t="s">
        <v>87</v>
      </c>
      <c r="AY140" s="23" t="s">
        <v>211</v>
      </c>
      <c r="BE140" s="104">
        <f t="shared" si="4"/>
        <v>16000</v>
      </c>
      <c r="BF140" s="104">
        <f t="shared" si="5"/>
        <v>0</v>
      </c>
      <c r="BG140" s="104">
        <f t="shared" si="6"/>
        <v>0</v>
      </c>
      <c r="BH140" s="104">
        <f t="shared" si="7"/>
        <v>0</v>
      </c>
      <c r="BI140" s="104">
        <f t="shared" si="8"/>
        <v>0</v>
      </c>
      <c r="BJ140" s="23" t="s">
        <v>85</v>
      </c>
      <c r="BK140" s="104">
        <f t="shared" si="9"/>
        <v>16000</v>
      </c>
      <c r="BL140" s="23" t="s">
        <v>446</v>
      </c>
      <c r="BM140" s="101" t="s">
        <v>3969</v>
      </c>
    </row>
    <row r="141" spans="2:65" s="1" customFormat="1" ht="21.75" customHeight="1">
      <c r="B141" s="12"/>
      <c r="C141" s="71" t="s">
        <v>8</v>
      </c>
      <c r="D141" s="71" t="s">
        <v>214</v>
      </c>
      <c r="E141" s="72" t="s">
        <v>3970</v>
      </c>
      <c r="F141" s="73" t="s">
        <v>3971</v>
      </c>
      <c r="G141" s="74" t="s">
        <v>234</v>
      </c>
      <c r="H141" s="75">
        <v>8</v>
      </c>
      <c r="I141" s="90">
        <v>12000</v>
      </c>
      <c r="J141" s="91">
        <f t="shared" si="0"/>
        <v>96000</v>
      </c>
      <c r="K141" s="92"/>
      <c r="L141" s="12"/>
      <c r="M141" s="93" t="s">
        <v>1</v>
      </c>
      <c r="N141" s="94" t="s">
        <v>42</v>
      </c>
      <c r="P141" s="95">
        <f t="shared" si="1"/>
        <v>0</v>
      </c>
      <c r="Q141" s="95">
        <v>0</v>
      </c>
      <c r="R141" s="95">
        <f t="shared" si="2"/>
        <v>0</v>
      </c>
      <c r="S141" s="95">
        <v>0</v>
      </c>
      <c r="T141" s="99">
        <f t="shared" si="3"/>
        <v>0</v>
      </c>
      <c r="AR141" s="101" t="s">
        <v>446</v>
      </c>
      <c r="AT141" s="101" t="s">
        <v>214</v>
      </c>
      <c r="AU141" s="101" t="s">
        <v>87</v>
      </c>
      <c r="AY141" s="23" t="s">
        <v>211</v>
      </c>
      <c r="BE141" s="104">
        <f t="shared" si="4"/>
        <v>96000</v>
      </c>
      <c r="BF141" s="104">
        <f t="shared" si="5"/>
        <v>0</v>
      </c>
      <c r="BG141" s="104">
        <f t="shared" si="6"/>
        <v>0</v>
      </c>
      <c r="BH141" s="104">
        <f t="shared" si="7"/>
        <v>0</v>
      </c>
      <c r="BI141" s="104">
        <f t="shared" si="8"/>
        <v>0</v>
      </c>
      <c r="BJ141" s="23" t="s">
        <v>85</v>
      </c>
      <c r="BK141" s="104">
        <f t="shared" si="9"/>
        <v>96000</v>
      </c>
      <c r="BL141" s="23" t="s">
        <v>446</v>
      </c>
      <c r="BM141" s="101" t="s">
        <v>3972</v>
      </c>
    </row>
    <row r="142" spans="2:65" s="1" customFormat="1" ht="21.75" customHeight="1">
      <c r="B142" s="12"/>
      <c r="C142" s="71" t="s">
        <v>446</v>
      </c>
      <c r="D142" s="71" t="s">
        <v>214</v>
      </c>
      <c r="E142" s="72" t="s">
        <v>3973</v>
      </c>
      <c r="F142" s="73" t="s">
        <v>3974</v>
      </c>
      <c r="G142" s="74" t="s">
        <v>234</v>
      </c>
      <c r="H142" s="75">
        <v>3</v>
      </c>
      <c r="I142" s="90">
        <v>16000</v>
      </c>
      <c r="J142" s="91">
        <f t="shared" si="0"/>
        <v>48000</v>
      </c>
      <c r="K142" s="92"/>
      <c r="L142" s="12"/>
      <c r="M142" s="93" t="s">
        <v>1</v>
      </c>
      <c r="N142" s="94" t="s">
        <v>42</v>
      </c>
      <c r="P142" s="95">
        <f t="shared" si="1"/>
        <v>0</v>
      </c>
      <c r="Q142" s="95">
        <v>0</v>
      </c>
      <c r="R142" s="95">
        <f t="shared" si="2"/>
        <v>0</v>
      </c>
      <c r="S142" s="95">
        <v>0</v>
      </c>
      <c r="T142" s="99">
        <f t="shared" si="3"/>
        <v>0</v>
      </c>
      <c r="AR142" s="101" t="s">
        <v>446</v>
      </c>
      <c r="AT142" s="101" t="s">
        <v>214</v>
      </c>
      <c r="AU142" s="101" t="s">
        <v>87</v>
      </c>
      <c r="AY142" s="23" t="s">
        <v>211</v>
      </c>
      <c r="BE142" s="104">
        <f t="shared" si="4"/>
        <v>48000</v>
      </c>
      <c r="BF142" s="104">
        <f t="shared" si="5"/>
        <v>0</v>
      </c>
      <c r="BG142" s="104">
        <f t="shared" si="6"/>
        <v>0</v>
      </c>
      <c r="BH142" s="104">
        <f t="shared" si="7"/>
        <v>0</v>
      </c>
      <c r="BI142" s="104">
        <f t="shared" si="8"/>
        <v>0</v>
      </c>
      <c r="BJ142" s="23" t="s">
        <v>85</v>
      </c>
      <c r="BK142" s="104">
        <f t="shared" si="9"/>
        <v>48000</v>
      </c>
      <c r="BL142" s="23" t="s">
        <v>446</v>
      </c>
      <c r="BM142" s="101" t="s">
        <v>3975</v>
      </c>
    </row>
    <row r="143" spans="2:65" s="1" customFormat="1" ht="24.15" customHeight="1">
      <c r="B143" s="12"/>
      <c r="C143" s="71" t="s">
        <v>450</v>
      </c>
      <c r="D143" s="71" t="s">
        <v>214</v>
      </c>
      <c r="E143" s="72" t="s">
        <v>3976</v>
      </c>
      <c r="F143" s="73" t="s">
        <v>3977</v>
      </c>
      <c r="G143" s="74" t="s">
        <v>234</v>
      </c>
      <c r="H143" s="75">
        <v>36</v>
      </c>
      <c r="I143" s="90">
        <v>0</v>
      </c>
      <c r="J143" s="91">
        <f t="shared" si="0"/>
        <v>0</v>
      </c>
      <c r="K143" s="92"/>
      <c r="L143" s="12"/>
      <c r="M143" s="93" t="s">
        <v>1</v>
      </c>
      <c r="N143" s="94" t="s">
        <v>42</v>
      </c>
      <c r="P143" s="95">
        <f t="shared" si="1"/>
        <v>0</v>
      </c>
      <c r="Q143" s="95">
        <v>0</v>
      </c>
      <c r="R143" s="95">
        <f t="shared" si="2"/>
        <v>0</v>
      </c>
      <c r="S143" s="95">
        <v>0</v>
      </c>
      <c r="T143" s="99">
        <f t="shared" si="3"/>
        <v>0</v>
      </c>
      <c r="AR143" s="101" t="s">
        <v>446</v>
      </c>
      <c r="AT143" s="101" t="s">
        <v>214</v>
      </c>
      <c r="AU143" s="101" t="s">
        <v>87</v>
      </c>
      <c r="AY143" s="23" t="s">
        <v>211</v>
      </c>
      <c r="BE143" s="104">
        <f t="shared" si="4"/>
        <v>0</v>
      </c>
      <c r="BF143" s="104">
        <f t="shared" si="5"/>
        <v>0</v>
      </c>
      <c r="BG143" s="104">
        <f t="shared" si="6"/>
        <v>0</v>
      </c>
      <c r="BH143" s="104">
        <f t="shared" si="7"/>
        <v>0</v>
      </c>
      <c r="BI143" s="104">
        <f t="shared" si="8"/>
        <v>0</v>
      </c>
      <c r="BJ143" s="23" t="s">
        <v>85</v>
      </c>
      <c r="BK143" s="104">
        <f t="shared" si="9"/>
        <v>0</v>
      </c>
      <c r="BL143" s="23" t="s">
        <v>446</v>
      </c>
      <c r="BM143" s="101" t="s">
        <v>3978</v>
      </c>
    </row>
    <row r="144" spans="2:65" s="1" customFormat="1" ht="24.15" customHeight="1">
      <c r="B144" s="12"/>
      <c r="C144" s="71" t="s">
        <v>454</v>
      </c>
      <c r="D144" s="71" t="s">
        <v>214</v>
      </c>
      <c r="E144" s="72" t="s">
        <v>3979</v>
      </c>
      <c r="F144" s="73" t="s">
        <v>3980</v>
      </c>
      <c r="G144" s="74" t="s">
        <v>234</v>
      </c>
      <c r="H144" s="75">
        <v>36</v>
      </c>
      <c r="I144" s="90">
        <v>0</v>
      </c>
      <c r="J144" s="91">
        <f t="shared" si="0"/>
        <v>0</v>
      </c>
      <c r="K144" s="92"/>
      <c r="L144" s="12"/>
      <c r="M144" s="93" t="s">
        <v>1</v>
      </c>
      <c r="N144" s="94" t="s">
        <v>42</v>
      </c>
      <c r="P144" s="95">
        <f t="shared" si="1"/>
        <v>0</v>
      </c>
      <c r="Q144" s="95">
        <v>0</v>
      </c>
      <c r="R144" s="95">
        <f t="shared" si="2"/>
        <v>0</v>
      </c>
      <c r="S144" s="95">
        <v>0</v>
      </c>
      <c r="T144" s="99">
        <f t="shared" si="3"/>
        <v>0</v>
      </c>
      <c r="AR144" s="101" t="s">
        <v>446</v>
      </c>
      <c r="AT144" s="101" t="s">
        <v>214</v>
      </c>
      <c r="AU144" s="101" t="s">
        <v>87</v>
      </c>
      <c r="AY144" s="23" t="s">
        <v>211</v>
      </c>
      <c r="BE144" s="104">
        <f t="shared" si="4"/>
        <v>0</v>
      </c>
      <c r="BF144" s="104">
        <f t="shared" si="5"/>
        <v>0</v>
      </c>
      <c r="BG144" s="104">
        <f t="shared" si="6"/>
        <v>0</v>
      </c>
      <c r="BH144" s="104">
        <f t="shared" si="7"/>
        <v>0</v>
      </c>
      <c r="BI144" s="104">
        <f t="shared" si="8"/>
        <v>0</v>
      </c>
      <c r="BJ144" s="23" t="s">
        <v>85</v>
      </c>
      <c r="BK144" s="104">
        <f t="shared" si="9"/>
        <v>0</v>
      </c>
      <c r="BL144" s="23" t="s">
        <v>446</v>
      </c>
      <c r="BM144" s="101" t="s">
        <v>3981</v>
      </c>
    </row>
    <row r="145" spans="2:65" s="1" customFormat="1" ht="16.5" customHeight="1">
      <c r="B145" s="12"/>
      <c r="C145" s="71" t="s">
        <v>459</v>
      </c>
      <c r="D145" s="71" t="s">
        <v>214</v>
      </c>
      <c r="E145" s="72" t="s">
        <v>3982</v>
      </c>
      <c r="F145" s="73" t="s">
        <v>3983</v>
      </c>
      <c r="G145" s="74" t="s">
        <v>234</v>
      </c>
      <c r="H145" s="75">
        <v>10</v>
      </c>
      <c r="I145" s="90">
        <v>0</v>
      </c>
      <c r="J145" s="91">
        <f t="shared" si="0"/>
        <v>0</v>
      </c>
      <c r="K145" s="92"/>
      <c r="L145" s="12"/>
      <c r="M145" s="93" t="s">
        <v>1</v>
      </c>
      <c r="N145" s="94" t="s">
        <v>42</v>
      </c>
      <c r="P145" s="95">
        <f t="shared" si="1"/>
        <v>0</v>
      </c>
      <c r="Q145" s="95">
        <v>0</v>
      </c>
      <c r="R145" s="95">
        <f t="shared" si="2"/>
        <v>0</v>
      </c>
      <c r="S145" s="95">
        <v>0</v>
      </c>
      <c r="T145" s="99">
        <f t="shared" si="3"/>
        <v>0</v>
      </c>
      <c r="AR145" s="101" t="s">
        <v>446</v>
      </c>
      <c r="AT145" s="101" t="s">
        <v>214</v>
      </c>
      <c r="AU145" s="101" t="s">
        <v>87</v>
      </c>
      <c r="AY145" s="23" t="s">
        <v>211</v>
      </c>
      <c r="BE145" s="104">
        <f t="shared" si="4"/>
        <v>0</v>
      </c>
      <c r="BF145" s="104">
        <f t="shared" si="5"/>
        <v>0</v>
      </c>
      <c r="BG145" s="104">
        <f t="shared" si="6"/>
        <v>0</v>
      </c>
      <c r="BH145" s="104">
        <f t="shared" si="7"/>
        <v>0</v>
      </c>
      <c r="BI145" s="104">
        <f t="shared" si="8"/>
        <v>0</v>
      </c>
      <c r="BJ145" s="23" t="s">
        <v>85</v>
      </c>
      <c r="BK145" s="104">
        <f t="shared" si="9"/>
        <v>0</v>
      </c>
      <c r="BL145" s="23" t="s">
        <v>446</v>
      </c>
      <c r="BM145" s="101" t="s">
        <v>3984</v>
      </c>
    </row>
    <row r="146" spans="2:65" s="31" customFormat="1" ht="23.1" customHeight="1">
      <c r="B146" s="67"/>
      <c r="D146" s="68" t="s">
        <v>76</v>
      </c>
      <c r="E146" s="70" t="s">
        <v>3839</v>
      </c>
      <c r="F146" s="70" t="s">
        <v>3985</v>
      </c>
      <c r="I146" s="85"/>
      <c r="J146" s="89">
        <f>BK146</f>
        <v>670000</v>
      </c>
      <c r="L146" s="67"/>
      <c r="M146" s="87"/>
      <c r="P146" s="88">
        <f>SUM(P147:P156)</f>
        <v>0</v>
      </c>
      <c r="R146" s="88">
        <f>SUM(R147:R156)</f>
        <v>0</v>
      </c>
      <c r="T146" s="98">
        <f>SUM(T147:T156)</f>
        <v>0</v>
      </c>
      <c r="AR146" s="68" t="s">
        <v>85</v>
      </c>
      <c r="AT146" s="100" t="s">
        <v>76</v>
      </c>
      <c r="AU146" s="100" t="s">
        <v>85</v>
      </c>
      <c r="AY146" s="68" t="s">
        <v>211</v>
      </c>
      <c r="BK146" s="103">
        <f>SUM(BK147:BK156)</f>
        <v>670000</v>
      </c>
    </row>
    <row r="147" spans="2:65" s="1" customFormat="1" ht="21.75" customHeight="1">
      <c r="B147" s="12"/>
      <c r="C147" s="71" t="s">
        <v>465</v>
      </c>
      <c r="D147" s="71" t="s">
        <v>214</v>
      </c>
      <c r="E147" s="72" t="s">
        <v>3986</v>
      </c>
      <c r="F147" s="73" t="s">
        <v>3987</v>
      </c>
      <c r="G147" s="74" t="s">
        <v>234</v>
      </c>
      <c r="H147" s="75">
        <v>1</v>
      </c>
      <c r="I147" s="90">
        <v>140000</v>
      </c>
      <c r="J147" s="91">
        <f>ROUND(I147*H147,2)</f>
        <v>140000</v>
      </c>
      <c r="K147" s="92"/>
      <c r="L147" s="12"/>
      <c r="M147" s="93" t="s">
        <v>1</v>
      </c>
      <c r="N147" s="94" t="s">
        <v>42</v>
      </c>
      <c r="P147" s="95">
        <f>O147*H147</f>
        <v>0</v>
      </c>
      <c r="Q147" s="95">
        <v>0</v>
      </c>
      <c r="R147" s="95">
        <f>Q147*H147</f>
        <v>0</v>
      </c>
      <c r="S147" s="95">
        <v>0</v>
      </c>
      <c r="T147" s="99">
        <f>S147*H147</f>
        <v>0</v>
      </c>
      <c r="AR147" s="101" t="s">
        <v>446</v>
      </c>
      <c r="AT147" s="101" t="s">
        <v>214</v>
      </c>
      <c r="AU147" s="101" t="s">
        <v>87</v>
      </c>
      <c r="AY147" s="23" t="s">
        <v>211</v>
      </c>
      <c r="BE147" s="104">
        <f>IF(N147="základní",J147,0)</f>
        <v>140000</v>
      </c>
      <c r="BF147" s="104">
        <f>IF(N147="snížená",J147,0)</f>
        <v>0</v>
      </c>
      <c r="BG147" s="104">
        <f>IF(N147="zákl. přenesená",J147,0)</f>
        <v>0</v>
      </c>
      <c r="BH147" s="104">
        <f>IF(N147="sníž. přenesená",J147,0)</f>
        <v>0</v>
      </c>
      <c r="BI147" s="104">
        <f>IF(N147="nulová",J147,0)</f>
        <v>0</v>
      </c>
      <c r="BJ147" s="23" t="s">
        <v>85</v>
      </c>
      <c r="BK147" s="104">
        <f>ROUND(I147*H147,2)</f>
        <v>140000</v>
      </c>
      <c r="BL147" s="23" t="s">
        <v>446</v>
      </c>
      <c r="BM147" s="101" t="s">
        <v>3988</v>
      </c>
    </row>
    <row r="148" spans="2:65" s="1" customFormat="1" ht="96">
      <c r="B148" s="12"/>
      <c r="D148" s="105" t="s">
        <v>227</v>
      </c>
      <c r="F148" s="106" t="s">
        <v>3989</v>
      </c>
      <c r="I148" s="107"/>
      <c r="L148" s="12"/>
      <c r="M148" s="108"/>
      <c r="T148" s="111"/>
      <c r="AT148" s="23" t="s">
        <v>227</v>
      </c>
      <c r="AU148" s="23" t="s">
        <v>87</v>
      </c>
    </row>
    <row r="149" spans="2:65" s="1" customFormat="1" ht="21.75" customHeight="1">
      <c r="B149" s="12"/>
      <c r="C149" s="71" t="s">
        <v>7</v>
      </c>
      <c r="D149" s="71" t="s">
        <v>214</v>
      </c>
      <c r="E149" s="72" t="s">
        <v>3990</v>
      </c>
      <c r="F149" s="73" t="s">
        <v>3991</v>
      </c>
      <c r="G149" s="74" t="s">
        <v>234</v>
      </c>
      <c r="H149" s="75">
        <v>1</v>
      </c>
      <c r="I149" s="90">
        <v>140000</v>
      </c>
      <c r="J149" s="91">
        <f>ROUND(I149*H149,2)</f>
        <v>140000</v>
      </c>
      <c r="K149" s="92"/>
      <c r="L149" s="12"/>
      <c r="M149" s="93" t="s">
        <v>1</v>
      </c>
      <c r="N149" s="94" t="s">
        <v>42</v>
      </c>
      <c r="P149" s="95">
        <f>O149*H149</f>
        <v>0</v>
      </c>
      <c r="Q149" s="95">
        <v>0</v>
      </c>
      <c r="R149" s="95">
        <f>Q149*H149</f>
        <v>0</v>
      </c>
      <c r="S149" s="95">
        <v>0</v>
      </c>
      <c r="T149" s="99">
        <f>S149*H149</f>
        <v>0</v>
      </c>
      <c r="AR149" s="101" t="s">
        <v>446</v>
      </c>
      <c r="AT149" s="101" t="s">
        <v>214</v>
      </c>
      <c r="AU149" s="101" t="s">
        <v>87</v>
      </c>
      <c r="AY149" s="23" t="s">
        <v>211</v>
      </c>
      <c r="BE149" s="104">
        <f>IF(N149="základní",J149,0)</f>
        <v>140000</v>
      </c>
      <c r="BF149" s="104">
        <f>IF(N149="snížená",J149,0)</f>
        <v>0</v>
      </c>
      <c r="BG149" s="104">
        <f>IF(N149="zákl. přenesená",J149,0)</f>
        <v>0</v>
      </c>
      <c r="BH149" s="104">
        <f>IF(N149="sníž. přenesená",J149,0)</f>
        <v>0</v>
      </c>
      <c r="BI149" s="104">
        <f>IF(N149="nulová",J149,0)</f>
        <v>0</v>
      </c>
      <c r="BJ149" s="23" t="s">
        <v>85</v>
      </c>
      <c r="BK149" s="104">
        <f>ROUND(I149*H149,2)</f>
        <v>140000</v>
      </c>
      <c r="BL149" s="23" t="s">
        <v>446</v>
      </c>
      <c r="BM149" s="101" t="s">
        <v>3992</v>
      </c>
    </row>
    <row r="150" spans="2:65" s="1" customFormat="1" ht="96">
      <c r="B150" s="12"/>
      <c r="D150" s="105" t="s">
        <v>227</v>
      </c>
      <c r="F150" s="106" t="s">
        <v>3989</v>
      </c>
      <c r="I150" s="107"/>
      <c r="L150" s="12"/>
      <c r="M150" s="108"/>
      <c r="T150" s="111"/>
      <c r="AT150" s="23" t="s">
        <v>227</v>
      </c>
      <c r="AU150" s="23" t="s">
        <v>87</v>
      </c>
    </row>
    <row r="151" spans="2:65" s="1" customFormat="1" ht="21.75" customHeight="1">
      <c r="B151" s="12"/>
      <c r="C151" s="71" t="s">
        <v>475</v>
      </c>
      <c r="D151" s="71" t="s">
        <v>214</v>
      </c>
      <c r="E151" s="72" t="s">
        <v>3993</v>
      </c>
      <c r="F151" s="73" t="s">
        <v>3994</v>
      </c>
      <c r="G151" s="74" t="s">
        <v>234</v>
      </c>
      <c r="H151" s="75">
        <v>1</v>
      </c>
      <c r="I151" s="90">
        <v>140000</v>
      </c>
      <c r="J151" s="91">
        <f>ROUND(I151*H151,2)</f>
        <v>140000</v>
      </c>
      <c r="K151" s="92"/>
      <c r="L151" s="12"/>
      <c r="M151" s="93" t="s">
        <v>1</v>
      </c>
      <c r="N151" s="94" t="s">
        <v>42</v>
      </c>
      <c r="P151" s="95">
        <f>O151*H151</f>
        <v>0</v>
      </c>
      <c r="Q151" s="95">
        <v>0</v>
      </c>
      <c r="R151" s="95">
        <f>Q151*H151</f>
        <v>0</v>
      </c>
      <c r="S151" s="95">
        <v>0</v>
      </c>
      <c r="T151" s="99">
        <f>S151*H151</f>
        <v>0</v>
      </c>
      <c r="AR151" s="101" t="s">
        <v>446</v>
      </c>
      <c r="AT151" s="101" t="s">
        <v>214</v>
      </c>
      <c r="AU151" s="101" t="s">
        <v>87</v>
      </c>
      <c r="AY151" s="23" t="s">
        <v>211</v>
      </c>
      <c r="BE151" s="104">
        <f>IF(N151="základní",J151,0)</f>
        <v>140000</v>
      </c>
      <c r="BF151" s="104">
        <f>IF(N151="snížená",J151,0)</f>
        <v>0</v>
      </c>
      <c r="BG151" s="104">
        <f>IF(N151="zákl. přenesená",J151,0)</f>
        <v>0</v>
      </c>
      <c r="BH151" s="104">
        <f>IF(N151="sníž. přenesená",J151,0)</f>
        <v>0</v>
      </c>
      <c r="BI151" s="104">
        <f>IF(N151="nulová",J151,0)</f>
        <v>0</v>
      </c>
      <c r="BJ151" s="23" t="s">
        <v>85</v>
      </c>
      <c r="BK151" s="104">
        <f>ROUND(I151*H151,2)</f>
        <v>140000</v>
      </c>
      <c r="BL151" s="23" t="s">
        <v>446</v>
      </c>
      <c r="BM151" s="101" t="s">
        <v>3995</v>
      </c>
    </row>
    <row r="152" spans="2:65" s="1" customFormat="1" ht="105.6">
      <c r="B152" s="12"/>
      <c r="D152" s="105" t="s">
        <v>227</v>
      </c>
      <c r="F152" s="106" t="s">
        <v>3996</v>
      </c>
      <c r="I152" s="107"/>
      <c r="L152" s="12"/>
      <c r="M152" s="108"/>
      <c r="T152" s="111"/>
      <c r="AT152" s="23" t="s">
        <v>227</v>
      </c>
      <c r="AU152" s="23" t="s">
        <v>87</v>
      </c>
    </row>
    <row r="153" spans="2:65" s="1" customFormat="1" ht="21.75" customHeight="1">
      <c r="B153" s="12"/>
      <c r="C153" s="71" t="s">
        <v>481</v>
      </c>
      <c r="D153" s="71" t="s">
        <v>214</v>
      </c>
      <c r="E153" s="72" t="s">
        <v>3997</v>
      </c>
      <c r="F153" s="73" t="s">
        <v>3998</v>
      </c>
      <c r="G153" s="74" t="s">
        <v>234</v>
      </c>
      <c r="H153" s="75">
        <v>1</v>
      </c>
      <c r="I153" s="90">
        <v>150000</v>
      </c>
      <c r="J153" s="91">
        <f>ROUND(I153*H153,2)</f>
        <v>150000</v>
      </c>
      <c r="K153" s="92"/>
      <c r="L153" s="12"/>
      <c r="M153" s="93" t="s">
        <v>1</v>
      </c>
      <c r="N153" s="94" t="s">
        <v>42</v>
      </c>
      <c r="P153" s="95">
        <f>O153*H153</f>
        <v>0</v>
      </c>
      <c r="Q153" s="95">
        <v>0</v>
      </c>
      <c r="R153" s="95">
        <f>Q153*H153</f>
        <v>0</v>
      </c>
      <c r="S153" s="95">
        <v>0</v>
      </c>
      <c r="T153" s="99">
        <f>S153*H153</f>
        <v>0</v>
      </c>
      <c r="AR153" s="101" t="s">
        <v>446</v>
      </c>
      <c r="AT153" s="101" t="s">
        <v>214</v>
      </c>
      <c r="AU153" s="101" t="s">
        <v>87</v>
      </c>
      <c r="AY153" s="23" t="s">
        <v>211</v>
      </c>
      <c r="BE153" s="104">
        <f>IF(N153="základní",J153,0)</f>
        <v>150000</v>
      </c>
      <c r="BF153" s="104">
        <f>IF(N153="snížená",J153,0)</f>
        <v>0</v>
      </c>
      <c r="BG153" s="104">
        <f>IF(N153="zákl. přenesená",J153,0)</f>
        <v>0</v>
      </c>
      <c r="BH153" s="104">
        <f>IF(N153="sníž. přenesená",J153,0)</f>
        <v>0</v>
      </c>
      <c r="BI153" s="104">
        <f>IF(N153="nulová",J153,0)</f>
        <v>0</v>
      </c>
      <c r="BJ153" s="23" t="s">
        <v>85</v>
      </c>
      <c r="BK153" s="104">
        <f>ROUND(I153*H153,2)</f>
        <v>150000</v>
      </c>
      <c r="BL153" s="23" t="s">
        <v>446</v>
      </c>
      <c r="BM153" s="101" t="s">
        <v>3999</v>
      </c>
    </row>
    <row r="154" spans="2:65" s="1" customFormat="1" ht="105.6">
      <c r="B154" s="12"/>
      <c r="D154" s="105" t="s">
        <v>227</v>
      </c>
      <c r="F154" s="106" t="s">
        <v>4000</v>
      </c>
      <c r="I154" s="107"/>
      <c r="L154" s="12"/>
      <c r="M154" s="108"/>
      <c r="T154" s="111"/>
      <c r="AT154" s="23" t="s">
        <v>227</v>
      </c>
      <c r="AU154" s="23" t="s">
        <v>87</v>
      </c>
    </row>
    <row r="155" spans="2:65" s="1" customFormat="1" ht="16.5" customHeight="1">
      <c r="B155" s="12"/>
      <c r="C155" s="71" t="s">
        <v>486</v>
      </c>
      <c r="D155" s="71" t="s">
        <v>214</v>
      </c>
      <c r="E155" s="72" t="s">
        <v>4001</v>
      </c>
      <c r="F155" s="73" t="s">
        <v>3917</v>
      </c>
      <c r="G155" s="74" t="s">
        <v>234</v>
      </c>
      <c r="H155" s="75">
        <v>1</v>
      </c>
      <c r="I155" s="90">
        <v>100000</v>
      </c>
      <c r="J155" s="91">
        <f>ROUND(I155*H155,2)</f>
        <v>100000</v>
      </c>
      <c r="K155" s="92"/>
      <c r="L155" s="12"/>
      <c r="M155" s="93" t="s">
        <v>1</v>
      </c>
      <c r="N155" s="94" t="s">
        <v>42</v>
      </c>
      <c r="P155" s="95">
        <f>O155*H155</f>
        <v>0</v>
      </c>
      <c r="Q155" s="95">
        <v>0</v>
      </c>
      <c r="R155" s="95">
        <f>Q155*H155</f>
        <v>0</v>
      </c>
      <c r="S155" s="95">
        <v>0</v>
      </c>
      <c r="T155" s="99">
        <f>S155*H155</f>
        <v>0</v>
      </c>
      <c r="AR155" s="101" t="s">
        <v>446</v>
      </c>
      <c r="AT155" s="101" t="s">
        <v>214</v>
      </c>
      <c r="AU155" s="101" t="s">
        <v>87</v>
      </c>
      <c r="AY155" s="23" t="s">
        <v>211</v>
      </c>
      <c r="BE155" s="104">
        <f>IF(N155="základní",J155,0)</f>
        <v>100000</v>
      </c>
      <c r="BF155" s="104">
        <f>IF(N155="snížená",J155,0)</f>
        <v>0</v>
      </c>
      <c r="BG155" s="104">
        <f>IF(N155="zákl. přenesená",J155,0)</f>
        <v>0</v>
      </c>
      <c r="BH155" s="104">
        <f>IF(N155="sníž. přenesená",J155,0)</f>
        <v>0</v>
      </c>
      <c r="BI155" s="104">
        <f>IF(N155="nulová",J155,0)</f>
        <v>0</v>
      </c>
      <c r="BJ155" s="23" t="s">
        <v>85</v>
      </c>
      <c r="BK155" s="104">
        <f>ROUND(I155*H155,2)</f>
        <v>100000</v>
      </c>
      <c r="BL155" s="23" t="s">
        <v>446</v>
      </c>
      <c r="BM155" s="101" t="s">
        <v>4002</v>
      </c>
    </row>
    <row r="156" spans="2:65" s="1" customFormat="1" ht="57.6">
      <c r="B156" s="12"/>
      <c r="D156" s="105" t="s">
        <v>227</v>
      </c>
      <c r="F156" s="106" t="s">
        <v>4003</v>
      </c>
      <c r="I156" s="107"/>
      <c r="L156" s="12"/>
      <c r="M156" s="108"/>
      <c r="T156" s="111"/>
      <c r="AT156" s="23" t="s">
        <v>227</v>
      </c>
      <c r="AU156" s="23" t="s">
        <v>87</v>
      </c>
    </row>
    <row r="157" spans="2:65" s="31" customFormat="1" ht="23.1" customHeight="1">
      <c r="B157" s="67"/>
      <c r="D157" s="68" t="s">
        <v>76</v>
      </c>
      <c r="E157" s="70" t="s">
        <v>3832</v>
      </c>
      <c r="F157" s="70" t="s">
        <v>4004</v>
      </c>
      <c r="I157" s="85"/>
      <c r="J157" s="89">
        <f>BK157</f>
        <v>3170270</v>
      </c>
      <c r="L157" s="67"/>
      <c r="M157" s="87"/>
      <c r="P157" s="88">
        <f>SUM(P158:P220)</f>
        <v>0</v>
      </c>
      <c r="R157" s="88">
        <f>SUM(R158:R220)</f>
        <v>0</v>
      </c>
      <c r="T157" s="98">
        <f>SUM(T158:T220)</f>
        <v>0</v>
      </c>
      <c r="AR157" s="68" t="s">
        <v>85</v>
      </c>
      <c r="AT157" s="100" t="s">
        <v>76</v>
      </c>
      <c r="AU157" s="100" t="s">
        <v>85</v>
      </c>
      <c r="AY157" s="68" t="s">
        <v>211</v>
      </c>
      <c r="BK157" s="103">
        <f>SUM(BK158:BK220)</f>
        <v>3170270</v>
      </c>
    </row>
    <row r="158" spans="2:65" s="1" customFormat="1" ht="62.85" customHeight="1">
      <c r="B158" s="12"/>
      <c r="C158" s="71" t="s">
        <v>490</v>
      </c>
      <c r="D158" s="71" t="s">
        <v>214</v>
      </c>
      <c r="E158" s="72" t="s">
        <v>4005</v>
      </c>
      <c r="F158" s="73" t="s">
        <v>4006</v>
      </c>
      <c r="G158" s="74" t="s">
        <v>444</v>
      </c>
      <c r="H158" s="75">
        <v>728</v>
      </c>
      <c r="I158" s="90">
        <v>450</v>
      </c>
      <c r="J158" s="91">
        <f t="shared" ref="J158:J189" si="10">ROUND(I158*H158,2)</f>
        <v>327600</v>
      </c>
      <c r="K158" s="92"/>
      <c r="L158" s="12"/>
      <c r="M158" s="93" t="s">
        <v>1</v>
      </c>
      <c r="N158" s="94" t="s">
        <v>42</v>
      </c>
      <c r="P158" s="95">
        <f t="shared" ref="P158:P189" si="11">O158*H158</f>
        <v>0</v>
      </c>
      <c r="Q158" s="95">
        <v>0</v>
      </c>
      <c r="R158" s="95">
        <f t="shared" ref="R158:R189" si="12">Q158*H158</f>
        <v>0</v>
      </c>
      <c r="S158" s="95">
        <v>0</v>
      </c>
      <c r="T158" s="99">
        <f t="shared" ref="T158:T189" si="13">S158*H158</f>
        <v>0</v>
      </c>
      <c r="AR158" s="101" t="s">
        <v>446</v>
      </c>
      <c r="AT158" s="101" t="s">
        <v>214</v>
      </c>
      <c r="AU158" s="101" t="s">
        <v>87</v>
      </c>
      <c r="AY158" s="23" t="s">
        <v>211</v>
      </c>
      <c r="BE158" s="104">
        <f t="shared" ref="BE158:BE189" si="14">IF(N158="základní",J158,0)</f>
        <v>327600</v>
      </c>
      <c r="BF158" s="104">
        <f t="shared" ref="BF158:BF189" si="15">IF(N158="snížená",J158,0)</f>
        <v>0</v>
      </c>
      <c r="BG158" s="104">
        <f t="shared" ref="BG158:BG189" si="16">IF(N158="zákl. přenesená",J158,0)</f>
        <v>0</v>
      </c>
      <c r="BH158" s="104">
        <f t="shared" ref="BH158:BH189" si="17">IF(N158="sníž. přenesená",J158,0)</f>
        <v>0</v>
      </c>
      <c r="BI158" s="104">
        <f t="shared" ref="BI158:BI189" si="18">IF(N158="nulová",J158,0)</f>
        <v>0</v>
      </c>
      <c r="BJ158" s="23" t="s">
        <v>85</v>
      </c>
      <c r="BK158" s="104">
        <f t="shared" ref="BK158:BK189" si="19">ROUND(I158*H158,2)</f>
        <v>327600</v>
      </c>
      <c r="BL158" s="23" t="s">
        <v>446</v>
      </c>
      <c r="BM158" s="101" t="s">
        <v>87</v>
      </c>
    </row>
    <row r="159" spans="2:65" s="1" customFormat="1" ht="62.85" customHeight="1">
      <c r="B159" s="12"/>
      <c r="C159" s="71" t="s">
        <v>496</v>
      </c>
      <c r="D159" s="71" t="s">
        <v>214</v>
      </c>
      <c r="E159" s="72" t="s">
        <v>4007</v>
      </c>
      <c r="F159" s="73" t="s">
        <v>4008</v>
      </c>
      <c r="G159" s="74" t="s">
        <v>444</v>
      </c>
      <c r="H159" s="75">
        <v>480</v>
      </c>
      <c r="I159" s="90">
        <v>530</v>
      </c>
      <c r="J159" s="91">
        <f t="shared" si="10"/>
        <v>254400</v>
      </c>
      <c r="K159" s="92"/>
      <c r="L159" s="12"/>
      <c r="M159" s="93" t="s">
        <v>1</v>
      </c>
      <c r="N159" s="94" t="s">
        <v>42</v>
      </c>
      <c r="P159" s="95">
        <f t="shared" si="11"/>
        <v>0</v>
      </c>
      <c r="Q159" s="95">
        <v>0</v>
      </c>
      <c r="R159" s="95">
        <f t="shared" si="12"/>
        <v>0</v>
      </c>
      <c r="S159" s="95">
        <v>0</v>
      </c>
      <c r="T159" s="99">
        <f t="shared" si="13"/>
        <v>0</v>
      </c>
      <c r="AR159" s="101" t="s">
        <v>446</v>
      </c>
      <c r="AT159" s="101" t="s">
        <v>214</v>
      </c>
      <c r="AU159" s="101" t="s">
        <v>87</v>
      </c>
      <c r="AY159" s="23" t="s">
        <v>211</v>
      </c>
      <c r="BE159" s="104">
        <f t="shared" si="14"/>
        <v>254400</v>
      </c>
      <c r="BF159" s="104">
        <f t="shared" si="15"/>
        <v>0</v>
      </c>
      <c r="BG159" s="104">
        <f t="shared" si="16"/>
        <v>0</v>
      </c>
      <c r="BH159" s="104">
        <f t="shared" si="17"/>
        <v>0</v>
      </c>
      <c r="BI159" s="104">
        <f t="shared" si="18"/>
        <v>0</v>
      </c>
      <c r="BJ159" s="23" t="s">
        <v>85</v>
      </c>
      <c r="BK159" s="104">
        <f t="shared" si="19"/>
        <v>254400</v>
      </c>
      <c r="BL159" s="23" t="s">
        <v>446</v>
      </c>
      <c r="BM159" s="101" t="s">
        <v>218</v>
      </c>
    </row>
    <row r="160" spans="2:65" s="1" customFormat="1" ht="62.85" customHeight="1">
      <c r="B160" s="12"/>
      <c r="C160" s="71" t="s">
        <v>502</v>
      </c>
      <c r="D160" s="71" t="s">
        <v>214</v>
      </c>
      <c r="E160" s="72" t="s">
        <v>4009</v>
      </c>
      <c r="F160" s="73" t="s">
        <v>4010</v>
      </c>
      <c r="G160" s="74" t="s">
        <v>444</v>
      </c>
      <c r="H160" s="75">
        <v>441</v>
      </c>
      <c r="I160" s="90">
        <v>610</v>
      </c>
      <c r="J160" s="91">
        <f t="shared" si="10"/>
        <v>269010</v>
      </c>
      <c r="K160" s="92"/>
      <c r="L160" s="12"/>
      <c r="M160" s="93" t="s">
        <v>1</v>
      </c>
      <c r="N160" s="94" t="s">
        <v>42</v>
      </c>
      <c r="P160" s="95">
        <f t="shared" si="11"/>
        <v>0</v>
      </c>
      <c r="Q160" s="95">
        <v>0</v>
      </c>
      <c r="R160" s="95">
        <f t="shared" si="12"/>
        <v>0</v>
      </c>
      <c r="S160" s="95">
        <v>0</v>
      </c>
      <c r="T160" s="99">
        <f t="shared" si="13"/>
        <v>0</v>
      </c>
      <c r="AR160" s="101" t="s">
        <v>446</v>
      </c>
      <c r="AT160" s="101" t="s">
        <v>214</v>
      </c>
      <c r="AU160" s="101" t="s">
        <v>87</v>
      </c>
      <c r="AY160" s="23" t="s">
        <v>211</v>
      </c>
      <c r="BE160" s="104">
        <f t="shared" si="14"/>
        <v>269010</v>
      </c>
      <c r="BF160" s="104">
        <f t="shared" si="15"/>
        <v>0</v>
      </c>
      <c r="BG160" s="104">
        <f t="shared" si="16"/>
        <v>0</v>
      </c>
      <c r="BH160" s="104">
        <f t="shared" si="17"/>
        <v>0</v>
      </c>
      <c r="BI160" s="104">
        <f t="shared" si="18"/>
        <v>0</v>
      </c>
      <c r="BJ160" s="23" t="s">
        <v>85</v>
      </c>
      <c r="BK160" s="104">
        <f t="shared" si="19"/>
        <v>269010</v>
      </c>
      <c r="BL160" s="23" t="s">
        <v>446</v>
      </c>
      <c r="BM160" s="101" t="s">
        <v>239</v>
      </c>
    </row>
    <row r="161" spans="2:65" s="1" customFormat="1" ht="62.85" customHeight="1">
      <c r="B161" s="12"/>
      <c r="C161" s="71" t="s">
        <v>507</v>
      </c>
      <c r="D161" s="71" t="s">
        <v>214</v>
      </c>
      <c r="E161" s="72" t="s">
        <v>4011</v>
      </c>
      <c r="F161" s="73" t="s">
        <v>4012</v>
      </c>
      <c r="G161" s="74" t="s">
        <v>444</v>
      </c>
      <c r="H161" s="75">
        <v>214</v>
      </c>
      <c r="I161" s="90">
        <v>770</v>
      </c>
      <c r="J161" s="91">
        <f t="shared" si="10"/>
        <v>164780</v>
      </c>
      <c r="K161" s="92"/>
      <c r="L161" s="12"/>
      <c r="M161" s="93" t="s">
        <v>1</v>
      </c>
      <c r="N161" s="94" t="s">
        <v>42</v>
      </c>
      <c r="P161" s="95">
        <f t="shared" si="11"/>
        <v>0</v>
      </c>
      <c r="Q161" s="95">
        <v>0</v>
      </c>
      <c r="R161" s="95">
        <f t="shared" si="12"/>
        <v>0</v>
      </c>
      <c r="S161" s="95">
        <v>0</v>
      </c>
      <c r="T161" s="99">
        <f t="shared" si="13"/>
        <v>0</v>
      </c>
      <c r="AR161" s="101" t="s">
        <v>446</v>
      </c>
      <c r="AT161" s="101" t="s">
        <v>214</v>
      </c>
      <c r="AU161" s="101" t="s">
        <v>87</v>
      </c>
      <c r="AY161" s="23" t="s">
        <v>211</v>
      </c>
      <c r="BE161" s="104">
        <f t="shared" si="14"/>
        <v>164780</v>
      </c>
      <c r="BF161" s="104">
        <f t="shared" si="15"/>
        <v>0</v>
      </c>
      <c r="BG161" s="104">
        <f t="shared" si="16"/>
        <v>0</v>
      </c>
      <c r="BH161" s="104">
        <f t="shared" si="17"/>
        <v>0</v>
      </c>
      <c r="BI161" s="104">
        <f t="shared" si="18"/>
        <v>0</v>
      </c>
      <c r="BJ161" s="23" t="s">
        <v>85</v>
      </c>
      <c r="BK161" s="104">
        <f t="shared" si="19"/>
        <v>164780</v>
      </c>
      <c r="BL161" s="23" t="s">
        <v>446</v>
      </c>
      <c r="BM161" s="101" t="s">
        <v>250</v>
      </c>
    </row>
    <row r="162" spans="2:65" s="1" customFormat="1" ht="62.85" customHeight="1">
      <c r="B162" s="12"/>
      <c r="C162" s="71" t="s">
        <v>511</v>
      </c>
      <c r="D162" s="71" t="s">
        <v>214</v>
      </c>
      <c r="E162" s="72" t="s">
        <v>4013</v>
      </c>
      <c r="F162" s="73" t="s">
        <v>4014</v>
      </c>
      <c r="G162" s="74" t="s">
        <v>444</v>
      </c>
      <c r="H162" s="75">
        <v>207</v>
      </c>
      <c r="I162" s="90">
        <v>990</v>
      </c>
      <c r="J162" s="91">
        <f t="shared" si="10"/>
        <v>204930</v>
      </c>
      <c r="K162" s="92"/>
      <c r="L162" s="12"/>
      <c r="M162" s="93" t="s">
        <v>1</v>
      </c>
      <c r="N162" s="94" t="s">
        <v>42</v>
      </c>
      <c r="P162" s="95">
        <f t="shared" si="11"/>
        <v>0</v>
      </c>
      <c r="Q162" s="95">
        <v>0</v>
      </c>
      <c r="R162" s="95">
        <f t="shared" si="12"/>
        <v>0</v>
      </c>
      <c r="S162" s="95">
        <v>0</v>
      </c>
      <c r="T162" s="99">
        <f t="shared" si="13"/>
        <v>0</v>
      </c>
      <c r="AR162" s="101" t="s">
        <v>446</v>
      </c>
      <c r="AT162" s="101" t="s">
        <v>214</v>
      </c>
      <c r="AU162" s="101" t="s">
        <v>87</v>
      </c>
      <c r="AY162" s="23" t="s">
        <v>211</v>
      </c>
      <c r="BE162" s="104">
        <f t="shared" si="14"/>
        <v>204930</v>
      </c>
      <c r="BF162" s="104">
        <f t="shared" si="15"/>
        <v>0</v>
      </c>
      <c r="BG162" s="104">
        <f t="shared" si="16"/>
        <v>0</v>
      </c>
      <c r="BH162" s="104">
        <f t="shared" si="17"/>
        <v>0</v>
      </c>
      <c r="BI162" s="104">
        <f t="shared" si="18"/>
        <v>0</v>
      </c>
      <c r="BJ162" s="23" t="s">
        <v>85</v>
      </c>
      <c r="BK162" s="104">
        <f t="shared" si="19"/>
        <v>204930</v>
      </c>
      <c r="BL162" s="23" t="s">
        <v>446</v>
      </c>
      <c r="BM162" s="101" t="s">
        <v>259</v>
      </c>
    </row>
    <row r="163" spans="2:65" s="1" customFormat="1" ht="62.85" customHeight="1">
      <c r="B163" s="12"/>
      <c r="C163" s="71" t="s">
        <v>517</v>
      </c>
      <c r="D163" s="71" t="s">
        <v>214</v>
      </c>
      <c r="E163" s="72" t="s">
        <v>4015</v>
      </c>
      <c r="F163" s="73" t="s">
        <v>4016</v>
      </c>
      <c r="G163" s="74" t="s">
        <v>444</v>
      </c>
      <c r="H163" s="75">
        <v>214</v>
      </c>
      <c r="I163" s="90">
        <v>1080</v>
      </c>
      <c r="J163" s="91">
        <f t="shared" si="10"/>
        <v>231120</v>
      </c>
      <c r="K163" s="92"/>
      <c r="L163" s="12"/>
      <c r="M163" s="93" t="s">
        <v>1</v>
      </c>
      <c r="N163" s="94" t="s">
        <v>42</v>
      </c>
      <c r="P163" s="95">
        <f t="shared" si="11"/>
        <v>0</v>
      </c>
      <c r="Q163" s="95">
        <v>0</v>
      </c>
      <c r="R163" s="95">
        <f t="shared" si="12"/>
        <v>0</v>
      </c>
      <c r="S163" s="95">
        <v>0</v>
      </c>
      <c r="T163" s="99">
        <f t="shared" si="13"/>
        <v>0</v>
      </c>
      <c r="AR163" s="101" t="s">
        <v>446</v>
      </c>
      <c r="AT163" s="101" t="s">
        <v>214</v>
      </c>
      <c r="AU163" s="101" t="s">
        <v>87</v>
      </c>
      <c r="AY163" s="23" t="s">
        <v>211</v>
      </c>
      <c r="BE163" s="104">
        <f t="shared" si="14"/>
        <v>231120</v>
      </c>
      <c r="BF163" s="104">
        <f t="shared" si="15"/>
        <v>0</v>
      </c>
      <c r="BG163" s="104">
        <f t="shared" si="16"/>
        <v>0</v>
      </c>
      <c r="BH163" s="104">
        <f t="shared" si="17"/>
        <v>0</v>
      </c>
      <c r="BI163" s="104">
        <f t="shared" si="18"/>
        <v>0</v>
      </c>
      <c r="BJ163" s="23" t="s">
        <v>85</v>
      </c>
      <c r="BK163" s="104">
        <f t="shared" si="19"/>
        <v>231120</v>
      </c>
      <c r="BL163" s="23" t="s">
        <v>446</v>
      </c>
      <c r="BM163" s="101" t="s">
        <v>273</v>
      </c>
    </row>
    <row r="164" spans="2:65" s="1" customFormat="1" ht="16.5" customHeight="1">
      <c r="B164" s="12"/>
      <c r="C164" s="71" t="s">
        <v>522</v>
      </c>
      <c r="D164" s="71" t="s">
        <v>214</v>
      </c>
      <c r="E164" s="72" t="s">
        <v>4017</v>
      </c>
      <c r="F164" s="73" t="s">
        <v>4018</v>
      </c>
      <c r="G164" s="74" t="s">
        <v>444</v>
      </c>
      <c r="H164" s="75">
        <v>38</v>
      </c>
      <c r="I164" s="90">
        <v>550</v>
      </c>
      <c r="J164" s="91">
        <f t="shared" si="10"/>
        <v>20900</v>
      </c>
      <c r="K164" s="92"/>
      <c r="L164" s="12"/>
      <c r="M164" s="93" t="s">
        <v>1</v>
      </c>
      <c r="N164" s="94" t="s">
        <v>42</v>
      </c>
      <c r="P164" s="95">
        <f t="shared" si="11"/>
        <v>0</v>
      </c>
      <c r="Q164" s="95">
        <v>0</v>
      </c>
      <c r="R164" s="95">
        <f t="shared" si="12"/>
        <v>0</v>
      </c>
      <c r="S164" s="95">
        <v>0</v>
      </c>
      <c r="T164" s="99">
        <f t="shared" si="13"/>
        <v>0</v>
      </c>
      <c r="AR164" s="101" t="s">
        <v>446</v>
      </c>
      <c r="AT164" s="101" t="s">
        <v>214</v>
      </c>
      <c r="AU164" s="101" t="s">
        <v>87</v>
      </c>
      <c r="AY164" s="23" t="s">
        <v>211</v>
      </c>
      <c r="BE164" s="104">
        <f t="shared" si="14"/>
        <v>20900</v>
      </c>
      <c r="BF164" s="104">
        <f t="shared" si="15"/>
        <v>0</v>
      </c>
      <c r="BG164" s="104">
        <f t="shared" si="16"/>
        <v>0</v>
      </c>
      <c r="BH164" s="104">
        <f t="shared" si="17"/>
        <v>0</v>
      </c>
      <c r="BI164" s="104">
        <f t="shared" si="18"/>
        <v>0</v>
      </c>
      <c r="BJ164" s="23" t="s">
        <v>85</v>
      </c>
      <c r="BK164" s="104">
        <f t="shared" si="19"/>
        <v>20900</v>
      </c>
      <c r="BL164" s="23" t="s">
        <v>446</v>
      </c>
      <c r="BM164" s="101" t="s">
        <v>437</v>
      </c>
    </row>
    <row r="165" spans="2:65" s="1" customFormat="1" ht="16.5" customHeight="1">
      <c r="B165" s="12"/>
      <c r="C165" s="71" t="s">
        <v>527</v>
      </c>
      <c r="D165" s="71" t="s">
        <v>214</v>
      </c>
      <c r="E165" s="72" t="s">
        <v>4019</v>
      </c>
      <c r="F165" s="73" t="s">
        <v>4020</v>
      </c>
      <c r="G165" s="74" t="s">
        <v>444</v>
      </c>
      <c r="H165" s="75">
        <v>52</v>
      </c>
      <c r="I165" s="90">
        <v>650</v>
      </c>
      <c r="J165" s="91">
        <f t="shared" si="10"/>
        <v>33800</v>
      </c>
      <c r="K165" s="92"/>
      <c r="L165" s="12"/>
      <c r="M165" s="93" t="s">
        <v>1</v>
      </c>
      <c r="N165" s="94" t="s">
        <v>42</v>
      </c>
      <c r="P165" s="95">
        <f t="shared" si="11"/>
        <v>0</v>
      </c>
      <c r="Q165" s="95">
        <v>0</v>
      </c>
      <c r="R165" s="95">
        <f t="shared" si="12"/>
        <v>0</v>
      </c>
      <c r="S165" s="95">
        <v>0</v>
      </c>
      <c r="T165" s="99">
        <f t="shared" si="13"/>
        <v>0</v>
      </c>
      <c r="AR165" s="101" t="s">
        <v>446</v>
      </c>
      <c r="AT165" s="101" t="s">
        <v>214</v>
      </c>
      <c r="AU165" s="101" t="s">
        <v>87</v>
      </c>
      <c r="AY165" s="23" t="s">
        <v>211</v>
      </c>
      <c r="BE165" s="104">
        <f t="shared" si="14"/>
        <v>33800</v>
      </c>
      <c r="BF165" s="104">
        <f t="shared" si="15"/>
        <v>0</v>
      </c>
      <c r="BG165" s="104">
        <f t="shared" si="16"/>
        <v>0</v>
      </c>
      <c r="BH165" s="104">
        <f t="shared" si="17"/>
        <v>0</v>
      </c>
      <c r="BI165" s="104">
        <f t="shared" si="18"/>
        <v>0</v>
      </c>
      <c r="BJ165" s="23" t="s">
        <v>85</v>
      </c>
      <c r="BK165" s="104">
        <f t="shared" si="19"/>
        <v>33800</v>
      </c>
      <c r="BL165" s="23" t="s">
        <v>446</v>
      </c>
      <c r="BM165" s="101" t="s">
        <v>446</v>
      </c>
    </row>
    <row r="166" spans="2:65" s="1" customFormat="1" ht="16.5" customHeight="1">
      <c r="B166" s="12"/>
      <c r="C166" s="71" t="s">
        <v>532</v>
      </c>
      <c r="D166" s="71" t="s">
        <v>214</v>
      </c>
      <c r="E166" s="72" t="s">
        <v>4021</v>
      </c>
      <c r="F166" s="73" t="s">
        <v>4022</v>
      </c>
      <c r="G166" s="74" t="s">
        <v>444</v>
      </c>
      <c r="H166" s="75">
        <v>107</v>
      </c>
      <c r="I166" s="90">
        <v>750</v>
      </c>
      <c r="J166" s="91">
        <f t="shared" si="10"/>
        <v>80250</v>
      </c>
      <c r="K166" s="92"/>
      <c r="L166" s="12"/>
      <c r="M166" s="93" t="s">
        <v>1</v>
      </c>
      <c r="N166" s="94" t="s">
        <v>42</v>
      </c>
      <c r="P166" s="95">
        <f t="shared" si="11"/>
        <v>0</v>
      </c>
      <c r="Q166" s="95">
        <v>0</v>
      </c>
      <c r="R166" s="95">
        <f t="shared" si="12"/>
        <v>0</v>
      </c>
      <c r="S166" s="95">
        <v>0</v>
      </c>
      <c r="T166" s="99">
        <f t="shared" si="13"/>
        <v>0</v>
      </c>
      <c r="AR166" s="101" t="s">
        <v>446</v>
      </c>
      <c r="AT166" s="101" t="s">
        <v>214</v>
      </c>
      <c r="AU166" s="101" t="s">
        <v>87</v>
      </c>
      <c r="AY166" s="23" t="s">
        <v>211</v>
      </c>
      <c r="BE166" s="104">
        <f t="shared" si="14"/>
        <v>80250</v>
      </c>
      <c r="BF166" s="104">
        <f t="shared" si="15"/>
        <v>0</v>
      </c>
      <c r="BG166" s="104">
        <f t="shared" si="16"/>
        <v>0</v>
      </c>
      <c r="BH166" s="104">
        <f t="shared" si="17"/>
        <v>0</v>
      </c>
      <c r="BI166" s="104">
        <f t="shared" si="18"/>
        <v>0</v>
      </c>
      <c r="BJ166" s="23" t="s">
        <v>85</v>
      </c>
      <c r="BK166" s="104">
        <f t="shared" si="19"/>
        <v>80250</v>
      </c>
      <c r="BL166" s="23" t="s">
        <v>446</v>
      </c>
      <c r="BM166" s="101" t="s">
        <v>454</v>
      </c>
    </row>
    <row r="167" spans="2:65" s="1" customFormat="1" ht="16.5" customHeight="1">
      <c r="B167" s="12"/>
      <c r="C167" s="71" t="s">
        <v>537</v>
      </c>
      <c r="D167" s="71" t="s">
        <v>214</v>
      </c>
      <c r="E167" s="72" t="s">
        <v>4023</v>
      </c>
      <c r="F167" s="73" t="s">
        <v>4024</v>
      </c>
      <c r="G167" s="74" t="s">
        <v>444</v>
      </c>
      <c r="H167" s="75">
        <v>61</v>
      </c>
      <c r="I167" s="90">
        <v>900</v>
      </c>
      <c r="J167" s="91">
        <f t="shared" si="10"/>
        <v>54900</v>
      </c>
      <c r="K167" s="92"/>
      <c r="L167" s="12"/>
      <c r="M167" s="93" t="s">
        <v>1</v>
      </c>
      <c r="N167" s="94" t="s">
        <v>42</v>
      </c>
      <c r="P167" s="95">
        <f t="shared" si="11"/>
        <v>0</v>
      </c>
      <c r="Q167" s="95">
        <v>0</v>
      </c>
      <c r="R167" s="95">
        <f t="shared" si="12"/>
        <v>0</v>
      </c>
      <c r="S167" s="95">
        <v>0</v>
      </c>
      <c r="T167" s="99">
        <f t="shared" si="13"/>
        <v>0</v>
      </c>
      <c r="AR167" s="101" t="s">
        <v>446</v>
      </c>
      <c r="AT167" s="101" t="s">
        <v>214</v>
      </c>
      <c r="AU167" s="101" t="s">
        <v>87</v>
      </c>
      <c r="AY167" s="23" t="s">
        <v>211</v>
      </c>
      <c r="BE167" s="104">
        <f t="shared" si="14"/>
        <v>54900</v>
      </c>
      <c r="BF167" s="104">
        <f t="shared" si="15"/>
        <v>0</v>
      </c>
      <c r="BG167" s="104">
        <f t="shared" si="16"/>
        <v>0</v>
      </c>
      <c r="BH167" s="104">
        <f t="shared" si="17"/>
        <v>0</v>
      </c>
      <c r="BI167" s="104">
        <f t="shared" si="18"/>
        <v>0</v>
      </c>
      <c r="BJ167" s="23" t="s">
        <v>85</v>
      </c>
      <c r="BK167" s="104">
        <f t="shared" si="19"/>
        <v>54900</v>
      </c>
      <c r="BL167" s="23" t="s">
        <v>446</v>
      </c>
      <c r="BM167" s="101" t="s">
        <v>465</v>
      </c>
    </row>
    <row r="168" spans="2:65" s="1" customFormat="1" ht="24.15" customHeight="1">
      <c r="B168" s="12"/>
      <c r="C168" s="71" t="s">
        <v>542</v>
      </c>
      <c r="D168" s="71" t="s">
        <v>214</v>
      </c>
      <c r="E168" s="72" t="s">
        <v>4025</v>
      </c>
      <c r="F168" s="73" t="s">
        <v>4026</v>
      </c>
      <c r="G168" s="74" t="s">
        <v>444</v>
      </c>
      <c r="H168" s="75">
        <v>25</v>
      </c>
      <c r="I168" s="90">
        <v>1800</v>
      </c>
      <c r="J168" s="91">
        <f t="shared" si="10"/>
        <v>45000</v>
      </c>
      <c r="K168" s="92"/>
      <c r="L168" s="12"/>
      <c r="M168" s="93" t="s">
        <v>1</v>
      </c>
      <c r="N168" s="94" t="s">
        <v>42</v>
      </c>
      <c r="P168" s="95">
        <f t="shared" si="11"/>
        <v>0</v>
      </c>
      <c r="Q168" s="95">
        <v>0</v>
      </c>
      <c r="R168" s="95">
        <f t="shared" si="12"/>
        <v>0</v>
      </c>
      <c r="S168" s="95">
        <v>0</v>
      </c>
      <c r="T168" s="99">
        <f t="shared" si="13"/>
        <v>0</v>
      </c>
      <c r="AR168" s="101" t="s">
        <v>446</v>
      </c>
      <c r="AT168" s="101" t="s">
        <v>214</v>
      </c>
      <c r="AU168" s="101" t="s">
        <v>87</v>
      </c>
      <c r="AY168" s="23" t="s">
        <v>211</v>
      </c>
      <c r="BE168" s="104">
        <f t="shared" si="14"/>
        <v>45000</v>
      </c>
      <c r="BF168" s="104">
        <f t="shared" si="15"/>
        <v>0</v>
      </c>
      <c r="BG168" s="104">
        <f t="shared" si="16"/>
        <v>0</v>
      </c>
      <c r="BH168" s="104">
        <f t="shared" si="17"/>
        <v>0</v>
      </c>
      <c r="BI168" s="104">
        <f t="shared" si="18"/>
        <v>0</v>
      </c>
      <c r="BJ168" s="23" t="s">
        <v>85</v>
      </c>
      <c r="BK168" s="104">
        <f t="shared" si="19"/>
        <v>45000</v>
      </c>
      <c r="BL168" s="23" t="s">
        <v>446</v>
      </c>
      <c r="BM168" s="101" t="s">
        <v>475</v>
      </c>
    </row>
    <row r="169" spans="2:65" s="1" customFormat="1" ht="21.75" customHeight="1">
      <c r="B169" s="12"/>
      <c r="C169" s="71" t="s">
        <v>551</v>
      </c>
      <c r="D169" s="71" t="s">
        <v>214</v>
      </c>
      <c r="E169" s="72" t="s">
        <v>4027</v>
      </c>
      <c r="F169" s="73" t="s">
        <v>4028</v>
      </c>
      <c r="G169" s="74" t="s">
        <v>444</v>
      </c>
      <c r="H169" s="75">
        <v>653</v>
      </c>
      <c r="I169" s="90">
        <v>60</v>
      </c>
      <c r="J169" s="91">
        <f t="shared" si="10"/>
        <v>39180</v>
      </c>
      <c r="K169" s="92"/>
      <c r="L169" s="12"/>
      <c r="M169" s="93" t="s">
        <v>1</v>
      </c>
      <c r="N169" s="94" t="s">
        <v>42</v>
      </c>
      <c r="P169" s="95">
        <f t="shared" si="11"/>
        <v>0</v>
      </c>
      <c r="Q169" s="95">
        <v>0</v>
      </c>
      <c r="R169" s="95">
        <f t="shared" si="12"/>
        <v>0</v>
      </c>
      <c r="S169" s="95">
        <v>0</v>
      </c>
      <c r="T169" s="99">
        <f t="shared" si="13"/>
        <v>0</v>
      </c>
      <c r="AR169" s="101" t="s">
        <v>446</v>
      </c>
      <c r="AT169" s="101" t="s">
        <v>214</v>
      </c>
      <c r="AU169" s="101" t="s">
        <v>87</v>
      </c>
      <c r="AY169" s="23" t="s">
        <v>211</v>
      </c>
      <c r="BE169" s="104">
        <f t="shared" si="14"/>
        <v>39180</v>
      </c>
      <c r="BF169" s="104">
        <f t="shared" si="15"/>
        <v>0</v>
      </c>
      <c r="BG169" s="104">
        <f t="shared" si="16"/>
        <v>0</v>
      </c>
      <c r="BH169" s="104">
        <f t="shared" si="17"/>
        <v>0</v>
      </c>
      <c r="BI169" s="104">
        <f t="shared" si="18"/>
        <v>0</v>
      </c>
      <c r="BJ169" s="23" t="s">
        <v>85</v>
      </c>
      <c r="BK169" s="104">
        <f t="shared" si="19"/>
        <v>39180</v>
      </c>
      <c r="BL169" s="23" t="s">
        <v>446</v>
      </c>
      <c r="BM169" s="101" t="s">
        <v>486</v>
      </c>
    </row>
    <row r="170" spans="2:65" s="1" customFormat="1" ht="21.75" customHeight="1">
      <c r="B170" s="12"/>
      <c r="C170" s="71" t="s">
        <v>555</v>
      </c>
      <c r="D170" s="71" t="s">
        <v>214</v>
      </c>
      <c r="E170" s="72" t="s">
        <v>4029</v>
      </c>
      <c r="F170" s="73" t="s">
        <v>4030</v>
      </c>
      <c r="G170" s="74" t="s">
        <v>444</v>
      </c>
      <c r="H170" s="75">
        <v>326</v>
      </c>
      <c r="I170" s="90">
        <v>70</v>
      </c>
      <c r="J170" s="91">
        <f t="shared" si="10"/>
        <v>22820</v>
      </c>
      <c r="K170" s="92"/>
      <c r="L170" s="12"/>
      <c r="M170" s="93" t="s">
        <v>1</v>
      </c>
      <c r="N170" s="94" t="s">
        <v>42</v>
      </c>
      <c r="P170" s="95">
        <f t="shared" si="11"/>
        <v>0</v>
      </c>
      <c r="Q170" s="95">
        <v>0</v>
      </c>
      <c r="R170" s="95">
        <f t="shared" si="12"/>
        <v>0</v>
      </c>
      <c r="S170" s="95">
        <v>0</v>
      </c>
      <c r="T170" s="99">
        <f t="shared" si="13"/>
        <v>0</v>
      </c>
      <c r="AR170" s="101" t="s">
        <v>446</v>
      </c>
      <c r="AT170" s="101" t="s">
        <v>214</v>
      </c>
      <c r="AU170" s="101" t="s">
        <v>87</v>
      </c>
      <c r="AY170" s="23" t="s">
        <v>211</v>
      </c>
      <c r="BE170" s="104">
        <f t="shared" si="14"/>
        <v>22820</v>
      </c>
      <c r="BF170" s="104">
        <f t="shared" si="15"/>
        <v>0</v>
      </c>
      <c r="BG170" s="104">
        <f t="shared" si="16"/>
        <v>0</v>
      </c>
      <c r="BH170" s="104">
        <f t="shared" si="17"/>
        <v>0</v>
      </c>
      <c r="BI170" s="104">
        <f t="shared" si="18"/>
        <v>0</v>
      </c>
      <c r="BJ170" s="23" t="s">
        <v>85</v>
      </c>
      <c r="BK170" s="104">
        <f t="shared" si="19"/>
        <v>22820</v>
      </c>
      <c r="BL170" s="23" t="s">
        <v>446</v>
      </c>
      <c r="BM170" s="101" t="s">
        <v>496</v>
      </c>
    </row>
    <row r="171" spans="2:65" s="1" customFormat="1" ht="21.75" customHeight="1">
      <c r="B171" s="12"/>
      <c r="C171" s="71" t="s">
        <v>566</v>
      </c>
      <c r="D171" s="71" t="s">
        <v>214</v>
      </c>
      <c r="E171" s="72" t="s">
        <v>4031</v>
      </c>
      <c r="F171" s="73" t="s">
        <v>4032</v>
      </c>
      <c r="G171" s="74" t="s">
        <v>444</v>
      </c>
      <c r="H171" s="75">
        <v>155</v>
      </c>
      <c r="I171" s="90">
        <v>80</v>
      </c>
      <c r="J171" s="91">
        <f t="shared" si="10"/>
        <v>12400</v>
      </c>
      <c r="K171" s="92"/>
      <c r="L171" s="12"/>
      <c r="M171" s="93" t="s">
        <v>1</v>
      </c>
      <c r="N171" s="94" t="s">
        <v>42</v>
      </c>
      <c r="P171" s="95">
        <f t="shared" si="11"/>
        <v>0</v>
      </c>
      <c r="Q171" s="95">
        <v>0</v>
      </c>
      <c r="R171" s="95">
        <f t="shared" si="12"/>
        <v>0</v>
      </c>
      <c r="S171" s="95">
        <v>0</v>
      </c>
      <c r="T171" s="99">
        <f t="shared" si="13"/>
        <v>0</v>
      </c>
      <c r="AR171" s="101" t="s">
        <v>446</v>
      </c>
      <c r="AT171" s="101" t="s">
        <v>214</v>
      </c>
      <c r="AU171" s="101" t="s">
        <v>87</v>
      </c>
      <c r="AY171" s="23" t="s">
        <v>211</v>
      </c>
      <c r="BE171" s="104">
        <f t="shared" si="14"/>
        <v>12400</v>
      </c>
      <c r="BF171" s="104">
        <f t="shared" si="15"/>
        <v>0</v>
      </c>
      <c r="BG171" s="104">
        <f t="shared" si="16"/>
        <v>0</v>
      </c>
      <c r="BH171" s="104">
        <f t="shared" si="17"/>
        <v>0</v>
      </c>
      <c r="BI171" s="104">
        <f t="shared" si="18"/>
        <v>0</v>
      </c>
      <c r="BJ171" s="23" t="s">
        <v>85</v>
      </c>
      <c r="BK171" s="104">
        <f t="shared" si="19"/>
        <v>12400</v>
      </c>
      <c r="BL171" s="23" t="s">
        <v>446</v>
      </c>
      <c r="BM171" s="101" t="s">
        <v>507</v>
      </c>
    </row>
    <row r="172" spans="2:65" s="1" customFormat="1" ht="21.75" customHeight="1">
      <c r="B172" s="12"/>
      <c r="C172" s="71" t="s">
        <v>570</v>
      </c>
      <c r="D172" s="71" t="s">
        <v>214</v>
      </c>
      <c r="E172" s="72" t="s">
        <v>4033</v>
      </c>
      <c r="F172" s="73" t="s">
        <v>4034</v>
      </c>
      <c r="G172" s="74" t="s">
        <v>444</v>
      </c>
      <c r="H172" s="75">
        <v>24</v>
      </c>
      <c r="I172" s="90">
        <v>100</v>
      </c>
      <c r="J172" s="91">
        <f t="shared" si="10"/>
        <v>2400</v>
      </c>
      <c r="K172" s="92"/>
      <c r="L172" s="12"/>
      <c r="M172" s="93" t="s">
        <v>1</v>
      </c>
      <c r="N172" s="94" t="s">
        <v>42</v>
      </c>
      <c r="P172" s="95">
        <f t="shared" si="11"/>
        <v>0</v>
      </c>
      <c r="Q172" s="95">
        <v>0</v>
      </c>
      <c r="R172" s="95">
        <f t="shared" si="12"/>
        <v>0</v>
      </c>
      <c r="S172" s="95">
        <v>0</v>
      </c>
      <c r="T172" s="99">
        <f t="shared" si="13"/>
        <v>0</v>
      </c>
      <c r="AR172" s="101" t="s">
        <v>446</v>
      </c>
      <c r="AT172" s="101" t="s">
        <v>214</v>
      </c>
      <c r="AU172" s="101" t="s">
        <v>87</v>
      </c>
      <c r="AY172" s="23" t="s">
        <v>211</v>
      </c>
      <c r="BE172" s="104">
        <f t="shared" si="14"/>
        <v>2400</v>
      </c>
      <c r="BF172" s="104">
        <f t="shared" si="15"/>
        <v>0</v>
      </c>
      <c r="BG172" s="104">
        <f t="shared" si="16"/>
        <v>0</v>
      </c>
      <c r="BH172" s="104">
        <f t="shared" si="17"/>
        <v>0</v>
      </c>
      <c r="BI172" s="104">
        <f t="shared" si="18"/>
        <v>0</v>
      </c>
      <c r="BJ172" s="23" t="s">
        <v>85</v>
      </c>
      <c r="BK172" s="104">
        <f t="shared" si="19"/>
        <v>2400</v>
      </c>
      <c r="BL172" s="23" t="s">
        <v>446</v>
      </c>
      <c r="BM172" s="101" t="s">
        <v>517</v>
      </c>
    </row>
    <row r="173" spans="2:65" s="1" customFormat="1" ht="21.75" customHeight="1">
      <c r="B173" s="12"/>
      <c r="C173" s="71" t="s">
        <v>578</v>
      </c>
      <c r="D173" s="71" t="s">
        <v>214</v>
      </c>
      <c r="E173" s="72" t="s">
        <v>4035</v>
      </c>
      <c r="F173" s="73" t="s">
        <v>4036</v>
      </c>
      <c r="G173" s="74" t="s">
        <v>444</v>
      </c>
      <c r="H173" s="75">
        <v>79</v>
      </c>
      <c r="I173" s="90">
        <v>120</v>
      </c>
      <c r="J173" s="91">
        <f t="shared" si="10"/>
        <v>9480</v>
      </c>
      <c r="K173" s="92"/>
      <c r="L173" s="12"/>
      <c r="M173" s="93" t="s">
        <v>1</v>
      </c>
      <c r="N173" s="94" t="s">
        <v>42</v>
      </c>
      <c r="P173" s="95">
        <f t="shared" si="11"/>
        <v>0</v>
      </c>
      <c r="Q173" s="95">
        <v>0</v>
      </c>
      <c r="R173" s="95">
        <f t="shared" si="12"/>
        <v>0</v>
      </c>
      <c r="S173" s="95">
        <v>0</v>
      </c>
      <c r="T173" s="99">
        <f t="shared" si="13"/>
        <v>0</v>
      </c>
      <c r="AR173" s="101" t="s">
        <v>446</v>
      </c>
      <c r="AT173" s="101" t="s">
        <v>214</v>
      </c>
      <c r="AU173" s="101" t="s">
        <v>87</v>
      </c>
      <c r="AY173" s="23" t="s">
        <v>211</v>
      </c>
      <c r="BE173" s="104">
        <f t="shared" si="14"/>
        <v>9480</v>
      </c>
      <c r="BF173" s="104">
        <f t="shared" si="15"/>
        <v>0</v>
      </c>
      <c r="BG173" s="104">
        <f t="shared" si="16"/>
        <v>0</v>
      </c>
      <c r="BH173" s="104">
        <f t="shared" si="17"/>
        <v>0</v>
      </c>
      <c r="BI173" s="104">
        <f t="shared" si="18"/>
        <v>0</v>
      </c>
      <c r="BJ173" s="23" t="s">
        <v>85</v>
      </c>
      <c r="BK173" s="104">
        <f t="shared" si="19"/>
        <v>9480</v>
      </c>
      <c r="BL173" s="23" t="s">
        <v>446</v>
      </c>
      <c r="BM173" s="101" t="s">
        <v>527</v>
      </c>
    </row>
    <row r="174" spans="2:65" s="1" customFormat="1" ht="21.75" customHeight="1">
      <c r="B174" s="12"/>
      <c r="C174" s="71" t="s">
        <v>582</v>
      </c>
      <c r="D174" s="71" t="s">
        <v>214</v>
      </c>
      <c r="E174" s="72" t="s">
        <v>4037</v>
      </c>
      <c r="F174" s="73" t="s">
        <v>4038</v>
      </c>
      <c r="G174" s="74" t="s">
        <v>444</v>
      </c>
      <c r="H174" s="75">
        <v>145</v>
      </c>
      <c r="I174" s="90">
        <v>130</v>
      </c>
      <c r="J174" s="91">
        <f t="shared" si="10"/>
        <v>18850</v>
      </c>
      <c r="K174" s="92"/>
      <c r="L174" s="12"/>
      <c r="M174" s="93" t="s">
        <v>1</v>
      </c>
      <c r="N174" s="94" t="s">
        <v>42</v>
      </c>
      <c r="P174" s="95">
        <f t="shared" si="11"/>
        <v>0</v>
      </c>
      <c r="Q174" s="95">
        <v>0</v>
      </c>
      <c r="R174" s="95">
        <f t="shared" si="12"/>
        <v>0</v>
      </c>
      <c r="S174" s="95">
        <v>0</v>
      </c>
      <c r="T174" s="99">
        <f t="shared" si="13"/>
        <v>0</v>
      </c>
      <c r="AR174" s="101" t="s">
        <v>446</v>
      </c>
      <c r="AT174" s="101" t="s">
        <v>214</v>
      </c>
      <c r="AU174" s="101" t="s">
        <v>87</v>
      </c>
      <c r="AY174" s="23" t="s">
        <v>211</v>
      </c>
      <c r="BE174" s="104">
        <f t="shared" si="14"/>
        <v>18850</v>
      </c>
      <c r="BF174" s="104">
        <f t="shared" si="15"/>
        <v>0</v>
      </c>
      <c r="BG174" s="104">
        <f t="shared" si="16"/>
        <v>0</v>
      </c>
      <c r="BH174" s="104">
        <f t="shared" si="17"/>
        <v>0</v>
      </c>
      <c r="BI174" s="104">
        <f t="shared" si="18"/>
        <v>0</v>
      </c>
      <c r="BJ174" s="23" t="s">
        <v>85</v>
      </c>
      <c r="BK174" s="104">
        <f t="shared" si="19"/>
        <v>18850</v>
      </c>
      <c r="BL174" s="23" t="s">
        <v>446</v>
      </c>
      <c r="BM174" s="101" t="s">
        <v>537</v>
      </c>
    </row>
    <row r="175" spans="2:65" s="1" customFormat="1" ht="21.75" customHeight="1">
      <c r="B175" s="12"/>
      <c r="C175" s="71" t="s">
        <v>588</v>
      </c>
      <c r="D175" s="71" t="s">
        <v>214</v>
      </c>
      <c r="E175" s="72" t="s">
        <v>4039</v>
      </c>
      <c r="F175" s="73" t="s">
        <v>4040</v>
      </c>
      <c r="G175" s="74" t="s">
        <v>444</v>
      </c>
      <c r="H175" s="75">
        <v>113</v>
      </c>
      <c r="I175" s="90">
        <v>150</v>
      </c>
      <c r="J175" s="91">
        <f t="shared" si="10"/>
        <v>16950</v>
      </c>
      <c r="K175" s="92"/>
      <c r="L175" s="12"/>
      <c r="M175" s="93" t="s">
        <v>1</v>
      </c>
      <c r="N175" s="94" t="s">
        <v>42</v>
      </c>
      <c r="P175" s="95">
        <f t="shared" si="11"/>
        <v>0</v>
      </c>
      <c r="Q175" s="95">
        <v>0</v>
      </c>
      <c r="R175" s="95">
        <f t="shared" si="12"/>
        <v>0</v>
      </c>
      <c r="S175" s="95">
        <v>0</v>
      </c>
      <c r="T175" s="99">
        <f t="shared" si="13"/>
        <v>0</v>
      </c>
      <c r="AR175" s="101" t="s">
        <v>446</v>
      </c>
      <c r="AT175" s="101" t="s">
        <v>214</v>
      </c>
      <c r="AU175" s="101" t="s">
        <v>87</v>
      </c>
      <c r="AY175" s="23" t="s">
        <v>211</v>
      </c>
      <c r="BE175" s="104">
        <f t="shared" si="14"/>
        <v>16950</v>
      </c>
      <c r="BF175" s="104">
        <f t="shared" si="15"/>
        <v>0</v>
      </c>
      <c r="BG175" s="104">
        <f t="shared" si="16"/>
        <v>0</v>
      </c>
      <c r="BH175" s="104">
        <f t="shared" si="17"/>
        <v>0</v>
      </c>
      <c r="BI175" s="104">
        <f t="shared" si="18"/>
        <v>0</v>
      </c>
      <c r="BJ175" s="23" t="s">
        <v>85</v>
      </c>
      <c r="BK175" s="104">
        <f t="shared" si="19"/>
        <v>16950</v>
      </c>
      <c r="BL175" s="23" t="s">
        <v>446</v>
      </c>
      <c r="BM175" s="101" t="s">
        <v>551</v>
      </c>
    </row>
    <row r="176" spans="2:65" s="1" customFormat="1" ht="21.75" customHeight="1">
      <c r="B176" s="12"/>
      <c r="C176" s="71" t="s">
        <v>593</v>
      </c>
      <c r="D176" s="71" t="s">
        <v>214</v>
      </c>
      <c r="E176" s="72" t="s">
        <v>4041</v>
      </c>
      <c r="F176" s="73" t="s">
        <v>4042</v>
      </c>
      <c r="G176" s="74" t="s">
        <v>444</v>
      </c>
      <c r="H176" s="75">
        <v>90</v>
      </c>
      <c r="I176" s="90">
        <v>170</v>
      </c>
      <c r="J176" s="91">
        <f t="shared" si="10"/>
        <v>15300</v>
      </c>
      <c r="K176" s="92"/>
      <c r="L176" s="12"/>
      <c r="M176" s="93" t="s">
        <v>1</v>
      </c>
      <c r="N176" s="94" t="s">
        <v>42</v>
      </c>
      <c r="P176" s="95">
        <f t="shared" si="11"/>
        <v>0</v>
      </c>
      <c r="Q176" s="95">
        <v>0</v>
      </c>
      <c r="R176" s="95">
        <f t="shared" si="12"/>
        <v>0</v>
      </c>
      <c r="S176" s="95">
        <v>0</v>
      </c>
      <c r="T176" s="99">
        <f t="shared" si="13"/>
        <v>0</v>
      </c>
      <c r="AR176" s="101" t="s">
        <v>446</v>
      </c>
      <c r="AT176" s="101" t="s">
        <v>214</v>
      </c>
      <c r="AU176" s="101" t="s">
        <v>87</v>
      </c>
      <c r="AY176" s="23" t="s">
        <v>211</v>
      </c>
      <c r="BE176" s="104">
        <f t="shared" si="14"/>
        <v>15300</v>
      </c>
      <c r="BF176" s="104">
        <f t="shared" si="15"/>
        <v>0</v>
      </c>
      <c r="BG176" s="104">
        <f t="shared" si="16"/>
        <v>0</v>
      </c>
      <c r="BH176" s="104">
        <f t="shared" si="17"/>
        <v>0</v>
      </c>
      <c r="BI176" s="104">
        <f t="shared" si="18"/>
        <v>0</v>
      </c>
      <c r="BJ176" s="23" t="s">
        <v>85</v>
      </c>
      <c r="BK176" s="104">
        <f t="shared" si="19"/>
        <v>15300</v>
      </c>
      <c r="BL176" s="23" t="s">
        <v>446</v>
      </c>
      <c r="BM176" s="101" t="s">
        <v>566</v>
      </c>
    </row>
    <row r="177" spans="2:65" s="1" customFormat="1" ht="21.75" customHeight="1">
      <c r="B177" s="12"/>
      <c r="C177" s="71" t="s">
        <v>598</v>
      </c>
      <c r="D177" s="71" t="s">
        <v>214</v>
      </c>
      <c r="E177" s="72" t="s">
        <v>4043</v>
      </c>
      <c r="F177" s="73" t="s">
        <v>4044</v>
      </c>
      <c r="G177" s="74" t="s">
        <v>444</v>
      </c>
      <c r="H177" s="75">
        <v>132</v>
      </c>
      <c r="I177" s="90">
        <v>190</v>
      </c>
      <c r="J177" s="91">
        <f t="shared" si="10"/>
        <v>25080</v>
      </c>
      <c r="K177" s="92"/>
      <c r="L177" s="12"/>
      <c r="M177" s="93" t="s">
        <v>1</v>
      </c>
      <c r="N177" s="94" t="s">
        <v>42</v>
      </c>
      <c r="P177" s="95">
        <f t="shared" si="11"/>
        <v>0</v>
      </c>
      <c r="Q177" s="95">
        <v>0</v>
      </c>
      <c r="R177" s="95">
        <f t="shared" si="12"/>
        <v>0</v>
      </c>
      <c r="S177" s="95">
        <v>0</v>
      </c>
      <c r="T177" s="99">
        <f t="shared" si="13"/>
        <v>0</v>
      </c>
      <c r="AR177" s="101" t="s">
        <v>446</v>
      </c>
      <c r="AT177" s="101" t="s">
        <v>214</v>
      </c>
      <c r="AU177" s="101" t="s">
        <v>87</v>
      </c>
      <c r="AY177" s="23" t="s">
        <v>211</v>
      </c>
      <c r="BE177" s="104">
        <f t="shared" si="14"/>
        <v>25080</v>
      </c>
      <c r="BF177" s="104">
        <f t="shared" si="15"/>
        <v>0</v>
      </c>
      <c r="BG177" s="104">
        <f t="shared" si="16"/>
        <v>0</v>
      </c>
      <c r="BH177" s="104">
        <f t="shared" si="17"/>
        <v>0</v>
      </c>
      <c r="BI177" s="104">
        <f t="shared" si="18"/>
        <v>0</v>
      </c>
      <c r="BJ177" s="23" t="s">
        <v>85</v>
      </c>
      <c r="BK177" s="104">
        <f t="shared" si="19"/>
        <v>25080</v>
      </c>
      <c r="BL177" s="23" t="s">
        <v>446</v>
      </c>
      <c r="BM177" s="101" t="s">
        <v>578</v>
      </c>
    </row>
    <row r="178" spans="2:65" s="1" customFormat="1" ht="21.75" customHeight="1">
      <c r="B178" s="12"/>
      <c r="C178" s="71" t="s">
        <v>604</v>
      </c>
      <c r="D178" s="71" t="s">
        <v>214</v>
      </c>
      <c r="E178" s="72" t="s">
        <v>4045</v>
      </c>
      <c r="F178" s="73" t="s">
        <v>4046</v>
      </c>
      <c r="G178" s="74" t="s">
        <v>444</v>
      </c>
      <c r="H178" s="75">
        <v>51</v>
      </c>
      <c r="I178" s="90">
        <v>250</v>
      </c>
      <c r="J178" s="91">
        <f t="shared" si="10"/>
        <v>12750</v>
      </c>
      <c r="K178" s="92"/>
      <c r="L178" s="12"/>
      <c r="M178" s="93" t="s">
        <v>1</v>
      </c>
      <c r="N178" s="94" t="s">
        <v>42</v>
      </c>
      <c r="P178" s="95">
        <f t="shared" si="11"/>
        <v>0</v>
      </c>
      <c r="Q178" s="95">
        <v>0</v>
      </c>
      <c r="R178" s="95">
        <f t="shared" si="12"/>
        <v>0</v>
      </c>
      <c r="S178" s="95">
        <v>0</v>
      </c>
      <c r="T178" s="99">
        <f t="shared" si="13"/>
        <v>0</v>
      </c>
      <c r="AR178" s="101" t="s">
        <v>446</v>
      </c>
      <c r="AT178" s="101" t="s">
        <v>214</v>
      </c>
      <c r="AU178" s="101" t="s">
        <v>87</v>
      </c>
      <c r="AY178" s="23" t="s">
        <v>211</v>
      </c>
      <c r="BE178" s="104">
        <f t="shared" si="14"/>
        <v>12750</v>
      </c>
      <c r="BF178" s="104">
        <f t="shared" si="15"/>
        <v>0</v>
      </c>
      <c r="BG178" s="104">
        <f t="shared" si="16"/>
        <v>0</v>
      </c>
      <c r="BH178" s="104">
        <f t="shared" si="17"/>
        <v>0</v>
      </c>
      <c r="BI178" s="104">
        <f t="shared" si="18"/>
        <v>0</v>
      </c>
      <c r="BJ178" s="23" t="s">
        <v>85</v>
      </c>
      <c r="BK178" s="104">
        <f t="shared" si="19"/>
        <v>12750</v>
      </c>
      <c r="BL178" s="23" t="s">
        <v>446</v>
      </c>
      <c r="BM178" s="101" t="s">
        <v>588</v>
      </c>
    </row>
    <row r="179" spans="2:65" s="1" customFormat="1" ht="21.75" customHeight="1">
      <c r="B179" s="12"/>
      <c r="C179" s="71" t="s">
        <v>608</v>
      </c>
      <c r="D179" s="71" t="s">
        <v>214</v>
      </c>
      <c r="E179" s="72" t="s">
        <v>4047</v>
      </c>
      <c r="F179" s="73" t="s">
        <v>4048</v>
      </c>
      <c r="G179" s="74" t="s">
        <v>444</v>
      </c>
      <c r="H179" s="75">
        <v>74</v>
      </c>
      <c r="I179" s="90">
        <v>300</v>
      </c>
      <c r="J179" s="91">
        <f t="shared" si="10"/>
        <v>22200</v>
      </c>
      <c r="K179" s="92"/>
      <c r="L179" s="12"/>
      <c r="M179" s="93" t="s">
        <v>1</v>
      </c>
      <c r="N179" s="94" t="s">
        <v>42</v>
      </c>
      <c r="P179" s="95">
        <f t="shared" si="11"/>
        <v>0</v>
      </c>
      <c r="Q179" s="95">
        <v>0</v>
      </c>
      <c r="R179" s="95">
        <f t="shared" si="12"/>
        <v>0</v>
      </c>
      <c r="S179" s="95">
        <v>0</v>
      </c>
      <c r="T179" s="99">
        <f t="shared" si="13"/>
        <v>0</v>
      </c>
      <c r="AR179" s="101" t="s">
        <v>446</v>
      </c>
      <c r="AT179" s="101" t="s">
        <v>214</v>
      </c>
      <c r="AU179" s="101" t="s">
        <v>87</v>
      </c>
      <c r="AY179" s="23" t="s">
        <v>211</v>
      </c>
      <c r="BE179" s="104">
        <f t="shared" si="14"/>
        <v>22200</v>
      </c>
      <c r="BF179" s="104">
        <f t="shared" si="15"/>
        <v>0</v>
      </c>
      <c r="BG179" s="104">
        <f t="shared" si="16"/>
        <v>0</v>
      </c>
      <c r="BH179" s="104">
        <f t="shared" si="17"/>
        <v>0</v>
      </c>
      <c r="BI179" s="104">
        <f t="shared" si="18"/>
        <v>0</v>
      </c>
      <c r="BJ179" s="23" t="s">
        <v>85</v>
      </c>
      <c r="BK179" s="104">
        <f t="shared" si="19"/>
        <v>22200</v>
      </c>
      <c r="BL179" s="23" t="s">
        <v>446</v>
      </c>
      <c r="BM179" s="101" t="s">
        <v>598</v>
      </c>
    </row>
    <row r="180" spans="2:65" s="1" customFormat="1" ht="21.75" customHeight="1">
      <c r="B180" s="12"/>
      <c r="C180" s="71" t="s">
        <v>614</v>
      </c>
      <c r="D180" s="71" t="s">
        <v>214</v>
      </c>
      <c r="E180" s="72" t="s">
        <v>4049</v>
      </c>
      <c r="F180" s="73" t="s">
        <v>4050</v>
      </c>
      <c r="G180" s="74" t="s">
        <v>444</v>
      </c>
      <c r="H180" s="75">
        <v>141</v>
      </c>
      <c r="I180" s="90">
        <v>450</v>
      </c>
      <c r="J180" s="91">
        <f t="shared" si="10"/>
        <v>63450</v>
      </c>
      <c r="K180" s="92"/>
      <c r="L180" s="12"/>
      <c r="M180" s="93" t="s">
        <v>1</v>
      </c>
      <c r="N180" s="94" t="s">
        <v>42</v>
      </c>
      <c r="P180" s="95">
        <f t="shared" si="11"/>
        <v>0</v>
      </c>
      <c r="Q180" s="95">
        <v>0</v>
      </c>
      <c r="R180" s="95">
        <f t="shared" si="12"/>
        <v>0</v>
      </c>
      <c r="S180" s="95">
        <v>0</v>
      </c>
      <c r="T180" s="99">
        <f t="shared" si="13"/>
        <v>0</v>
      </c>
      <c r="AR180" s="101" t="s">
        <v>446</v>
      </c>
      <c r="AT180" s="101" t="s">
        <v>214</v>
      </c>
      <c r="AU180" s="101" t="s">
        <v>87</v>
      </c>
      <c r="AY180" s="23" t="s">
        <v>211</v>
      </c>
      <c r="BE180" s="104">
        <f t="shared" si="14"/>
        <v>63450</v>
      </c>
      <c r="BF180" s="104">
        <f t="shared" si="15"/>
        <v>0</v>
      </c>
      <c r="BG180" s="104">
        <f t="shared" si="16"/>
        <v>0</v>
      </c>
      <c r="BH180" s="104">
        <f t="shared" si="17"/>
        <v>0</v>
      </c>
      <c r="BI180" s="104">
        <f t="shared" si="18"/>
        <v>0</v>
      </c>
      <c r="BJ180" s="23" t="s">
        <v>85</v>
      </c>
      <c r="BK180" s="104">
        <f t="shared" si="19"/>
        <v>63450</v>
      </c>
      <c r="BL180" s="23" t="s">
        <v>446</v>
      </c>
      <c r="BM180" s="101" t="s">
        <v>608</v>
      </c>
    </row>
    <row r="181" spans="2:65" s="1" customFormat="1" ht="21.75" customHeight="1">
      <c r="B181" s="12"/>
      <c r="C181" s="71" t="s">
        <v>619</v>
      </c>
      <c r="D181" s="71" t="s">
        <v>214</v>
      </c>
      <c r="E181" s="72" t="s">
        <v>4051</v>
      </c>
      <c r="F181" s="73" t="s">
        <v>4052</v>
      </c>
      <c r="G181" s="74" t="s">
        <v>444</v>
      </c>
      <c r="H181" s="75">
        <v>100</v>
      </c>
      <c r="I181" s="90">
        <v>500</v>
      </c>
      <c r="J181" s="91">
        <f t="shared" si="10"/>
        <v>50000</v>
      </c>
      <c r="K181" s="92"/>
      <c r="L181" s="12"/>
      <c r="M181" s="93" t="s">
        <v>1</v>
      </c>
      <c r="N181" s="94" t="s">
        <v>42</v>
      </c>
      <c r="P181" s="95">
        <f t="shared" si="11"/>
        <v>0</v>
      </c>
      <c r="Q181" s="95">
        <v>0</v>
      </c>
      <c r="R181" s="95">
        <f t="shared" si="12"/>
        <v>0</v>
      </c>
      <c r="S181" s="95">
        <v>0</v>
      </c>
      <c r="T181" s="99">
        <f t="shared" si="13"/>
        <v>0</v>
      </c>
      <c r="AR181" s="101" t="s">
        <v>446</v>
      </c>
      <c r="AT181" s="101" t="s">
        <v>214</v>
      </c>
      <c r="AU181" s="101" t="s">
        <v>87</v>
      </c>
      <c r="AY181" s="23" t="s">
        <v>211</v>
      </c>
      <c r="BE181" s="104">
        <f t="shared" si="14"/>
        <v>50000</v>
      </c>
      <c r="BF181" s="104">
        <f t="shared" si="15"/>
        <v>0</v>
      </c>
      <c r="BG181" s="104">
        <f t="shared" si="16"/>
        <v>0</v>
      </c>
      <c r="BH181" s="104">
        <f t="shared" si="17"/>
        <v>0</v>
      </c>
      <c r="BI181" s="104">
        <f t="shared" si="18"/>
        <v>0</v>
      </c>
      <c r="BJ181" s="23" t="s">
        <v>85</v>
      </c>
      <c r="BK181" s="104">
        <f t="shared" si="19"/>
        <v>50000</v>
      </c>
      <c r="BL181" s="23" t="s">
        <v>446</v>
      </c>
      <c r="BM181" s="101" t="s">
        <v>619</v>
      </c>
    </row>
    <row r="182" spans="2:65" s="1" customFormat="1" ht="21.75" customHeight="1">
      <c r="B182" s="12"/>
      <c r="C182" s="71" t="s">
        <v>624</v>
      </c>
      <c r="D182" s="71" t="s">
        <v>214</v>
      </c>
      <c r="E182" s="72" t="s">
        <v>4053</v>
      </c>
      <c r="F182" s="73" t="s">
        <v>4054</v>
      </c>
      <c r="G182" s="74" t="s">
        <v>444</v>
      </c>
      <c r="H182" s="75">
        <v>117</v>
      </c>
      <c r="I182" s="90">
        <v>550</v>
      </c>
      <c r="J182" s="91">
        <f t="shared" si="10"/>
        <v>64350</v>
      </c>
      <c r="K182" s="92"/>
      <c r="L182" s="12"/>
      <c r="M182" s="93" t="s">
        <v>1</v>
      </c>
      <c r="N182" s="94" t="s">
        <v>42</v>
      </c>
      <c r="P182" s="95">
        <f t="shared" si="11"/>
        <v>0</v>
      </c>
      <c r="Q182" s="95">
        <v>0</v>
      </c>
      <c r="R182" s="95">
        <f t="shared" si="12"/>
        <v>0</v>
      </c>
      <c r="S182" s="95">
        <v>0</v>
      </c>
      <c r="T182" s="99">
        <f t="shared" si="13"/>
        <v>0</v>
      </c>
      <c r="AR182" s="101" t="s">
        <v>446</v>
      </c>
      <c r="AT182" s="101" t="s">
        <v>214</v>
      </c>
      <c r="AU182" s="101" t="s">
        <v>87</v>
      </c>
      <c r="AY182" s="23" t="s">
        <v>211</v>
      </c>
      <c r="BE182" s="104">
        <f t="shared" si="14"/>
        <v>64350</v>
      </c>
      <c r="BF182" s="104">
        <f t="shared" si="15"/>
        <v>0</v>
      </c>
      <c r="BG182" s="104">
        <f t="shared" si="16"/>
        <v>0</v>
      </c>
      <c r="BH182" s="104">
        <f t="shared" si="17"/>
        <v>0</v>
      </c>
      <c r="BI182" s="104">
        <f t="shared" si="18"/>
        <v>0</v>
      </c>
      <c r="BJ182" s="23" t="s">
        <v>85</v>
      </c>
      <c r="BK182" s="104">
        <f t="shared" si="19"/>
        <v>64350</v>
      </c>
      <c r="BL182" s="23" t="s">
        <v>446</v>
      </c>
      <c r="BM182" s="101" t="s">
        <v>629</v>
      </c>
    </row>
    <row r="183" spans="2:65" s="1" customFormat="1" ht="21.75" customHeight="1">
      <c r="B183" s="12"/>
      <c r="C183" s="71" t="s">
        <v>629</v>
      </c>
      <c r="D183" s="71" t="s">
        <v>214</v>
      </c>
      <c r="E183" s="72" t="s">
        <v>4055</v>
      </c>
      <c r="F183" s="73" t="s">
        <v>4056</v>
      </c>
      <c r="G183" s="74" t="s">
        <v>444</v>
      </c>
      <c r="H183" s="75">
        <v>83</v>
      </c>
      <c r="I183" s="90">
        <v>690</v>
      </c>
      <c r="J183" s="91">
        <f t="shared" si="10"/>
        <v>57270</v>
      </c>
      <c r="K183" s="92"/>
      <c r="L183" s="12"/>
      <c r="M183" s="93" t="s">
        <v>1</v>
      </c>
      <c r="N183" s="94" t="s">
        <v>42</v>
      </c>
      <c r="P183" s="95">
        <f t="shared" si="11"/>
        <v>0</v>
      </c>
      <c r="Q183" s="95">
        <v>0</v>
      </c>
      <c r="R183" s="95">
        <f t="shared" si="12"/>
        <v>0</v>
      </c>
      <c r="S183" s="95">
        <v>0</v>
      </c>
      <c r="T183" s="99">
        <f t="shared" si="13"/>
        <v>0</v>
      </c>
      <c r="AR183" s="101" t="s">
        <v>446</v>
      </c>
      <c r="AT183" s="101" t="s">
        <v>214</v>
      </c>
      <c r="AU183" s="101" t="s">
        <v>87</v>
      </c>
      <c r="AY183" s="23" t="s">
        <v>211</v>
      </c>
      <c r="BE183" s="104">
        <f t="shared" si="14"/>
        <v>57270</v>
      </c>
      <c r="BF183" s="104">
        <f t="shared" si="15"/>
        <v>0</v>
      </c>
      <c r="BG183" s="104">
        <f t="shared" si="16"/>
        <v>0</v>
      </c>
      <c r="BH183" s="104">
        <f t="shared" si="17"/>
        <v>0</v>
      </c>
      <c r="BI183" s="104">
        <f t="shared" si="18"/>
        <v>0</v>
      </c>
      <c r="BJ183" s="23" t="s">
        <v>85</v>
      </c>
      <c r="BK183" s="104">
        <f t="shared" si="19"/>
        <v>57270</v>
      </c>
      <c r="BL183" s="23" t="s">
        <v>446</v>
      </c>
      <c r="BM183" s="101" t="s">
        <v>639</v>
      </c>
    </row>
    <row r="184" spans="2:65" s="1" customFormat="1" ht="24.15" customHeight="1">
      <c r="B184" s="12"/>
      <c r="C184" s="71" t="s">
        <v>634</v>
      </c>
      <c r="D184" s="71" t="s">
        <v>214</v>
      </c>
      <c r="E184" s="72" t="s">
        <v>4057</v>
      </c>
      <c r="F184" s="73" t="s">
        <v>4058</v>
      </c>
      <c r="G184" s="74" t="s">
        <v>444</v>
      </c>
      <c r="H184" s="75">
        <v>38</v>
      </c>
      <c r="I184" s="90">
        <v>150</v>
      </c>
      <c r="J184" s="91">
        <f t="shared" si="10"/>
        <v>5700</v>
      </c>
      <c r="K184" s="92"/>
      <c r="L184" s="12"/>
      <c r="M184" s="93" t="s">
        <v>1</v>
      </c>
      <c r="N184" s="94" t="s">
        <v>42</v>
      </c>
      <c r="P184" s="95">
        <f t="shared" si="11"/>
        <v>0</v>
      </c>
      <c r="Q184" s="95">
        <v>0</v>
      </c>
      <c r="R184" s="95">
        <f t="shared" si="12"/>
        <v>0</v>
      </c>
      <c r="S184" s="95">
        <v>0</v>
      </c>
      <c r="T184" s="99">
        <f t="shared" si="13"/>
        <v>0</v>
      </c>
      <c r="AR184" s="101" t="s">
        <v>446</v>
      </c>
      <c r="AT184" s="101" t="s">
        <v>214</v>
      </c>
      <c r="AU184" s="101" t="s">
        <v>87</v>
      </c>
      <c r="AY184" s="23" t="s">
        <v>211</v>
      </c>
      <c r="BE184" s="104">
        <f t="shared" si="14"/>
        <v>5700</v>
      </c>
      <c r="BF184" s="104">
        <f t="shared" si="15"/>
        <v>0</v>
      </c>
      <c r="BG184" s="104">
        <f t="shared" si="16"/>
        <v>0</v>
      </c>
      <c r="BH184" s="104">
        <f t="shared" si="17"/>
        <v>0</v>
      </c>
      <c r="BI184" s="104">
        <f t="shared" si="18"/>
        <v>0</v>
      </c>
      <c r="BJ184" s="23" t="s">
        <v>85</v>
      </c>
      <c r="BK184" s="104">
        <f t="shared" si="19"/>
        <v>5700</v>
      </c>
      <c r="BL184" s="23" t="s">
        <v>446</v>
      </c>
      <c r="BM184" s="101" t="s">
        <v>649</v>
      </c>
    </row>
    <row r="185" spans="2:65" s="1" customFormat="1" ht="24.15" customHeight="1">
      <c r="B185" s="12"/>
      <c r="C185" s="71" t="s">
        <v>639</v>
      </c>
      <c r="D185" s="71" t="s">
        <v>214</v>
      </c>
      <c r="E185" s="72" t="s">
        <v>4059</v>
      </c>
      <c r="F185" s="73" t="s">
        <v>4060</v>
      </c>
      <c r="G185" s="74" t="s">
        <v>444</v>
      </c>
      <c r="H185" s="75">
        <v>52</v>
      </c>
      <c r="I185" s="90">
        <v>160</v>
      </c>
      <c r="J185" s="91">
        <f t="shared" si="10"/>
        <v>8320</v>
      </c>
      <c r="K185" s="92"/>
      <c r="L185" s="12"/>
      <c r="M185" s="93" t="s">
        <v>1</v>
      </c>
      <c r="N185" s="94" t="s">
        <v>42</v>
      </c>
      <c r="P185" s="95">
        <f t="shared" si="11"/>
        <v>0</v>
      </c>
      <c r="Q185" s="95">
        <v>0</v>
      </c>
      <c r="R185" s="95">
        <f t="shared" si="12"/>
        <v>0</v>
      </c>
      <c r="S185" s="95">
        <v>0</v>
      </c>
      <c r="T185" s="99">
        <f t="shared" si="13"/>
        <v>0</v>
      </c>
      <c r="AR185" s="101" t="s">
        <v>446</v>
      </c>
      <c r="AT185" s="101" t="s">
        <v>214</v>
      </c>
      <c r="AU185" s="101" t="s">
        <v>87</v>
      </c>
      <c r="AY185" s="23" t="s">
        <v>211</v>
      </c>
      <c r="BE185" s="104">
        <f t="shared" si="14"/>
        <v>8320</v>
      </c>
      <c r="BF185" s="104">
        <f t="shared" si="15"/>
        <v>0</v>
      </c>
      <c r="BG185" s="104">
        <f t="shared" si="16"/>
        <v>0</v>
      </c>
      <c r="BH185" s="104">
        <f t="shared" si="17"/>
        <v>0</v>
      </c>
      <c r="BI185" s="104">
        <f t="shared" si="18"/>
        <v>0</v>
      </c>
      <c r="BJ185" s="23" t="s">
        <v>85</v>
      </c>
      <c r="BK185" s="104">
        <f t="shared" si="19"/>
        <v>8320</v>
      </c>
      <c r="BL185" s="23" t="s">
        <v>446</v>
      </c>
      <c r="BM185" s="101" t="s">
        <v>660</v>
      </c>
    </row>
    <row r="186" spans="2:65" s="1" customFormat="1" ht="24.15" customHeight="1">
      <c r="B186" s="12"/>
      <c r="C186" s="71" t="s">
        <v>644</v>
      </c>
      <c r="D186" s="71" t="s">
        <v>214</v>
      </c>
      <c r="E186" s="72" t="s">
        <v>4061</v>
      </c>
      <c r="F186" s="73" t="s">
        <v>4062</v>
      </c>
      <c r="G186" s="74" t="s">
        <v>444</v>
      </c>
      <c r="H186" s="75">
        <v>107</v>
      </c>
      <c r="I186" s="90">
        <v>170</v>
      </c>
      <c r="J186" s="91">
        <f t="shared" si="10"/>
        <v>18190</v>
      </c>
      <c r="K186" s="92"/>
      <c r="L186" s="12"/>
      <c r="M186" s="93" t="s">
        <v>1</v>
      </c>
      <c r="N186" s="94" t="s">
        <v>42</v>
      </c>
      <c r="P186" s="95">
        <f t="shared" si="11"/>
        <v>0</v>
      </c>
      <c r="Q186" s="95">
        <v>0</v>
      </c>
      <c r="R186" s="95">
        <f t="shared" si="12"/>
        <v>0</v>
      </c>
      <c r="S186" s="95">
        <v>0</v>
      </c>
      <c r="T186" s="99">
        <f t="shared" si="13"/>
        <v>0</v>
      </c>
      <c r="AR186" s="101" t="s">
        <v>446</v>
      </c>
      <c r="AT186" s="101" t="s">
        <v>214</v>
      </c>
      <c r="AU186" s="101" t="s">
        <v>87</v>
      </c>
      <c r="AY186" s="23" t="s">
        <v>211</v>
      </c>
      <c r="BE186" s="104">
        <f t="shared" si="14"/>
        <v>18190</v>
      </c>
      <c r="BF186" s="104">
        <f t="shared" si="15"/>
        <v>0</v>
      </c>
      <c r="BG186" s="104">
        <f t="shared" si="16"/>
        <v>0</v>
      </c>
      <c r="BH186" s="104">
        <f t="shared" si="17"/>
        <v>0</v>
      </c>
      <c r="BI186" s="104">
        <f t="shared" si="18"/>
        <v>0</v>
      </c>
      <c r="BJ186" s="23" t="s">
        <v>85</v>
      </c>
      <c r="BK186" s="104">
        <f t="shared" si="19"/>
        <v>18190</v>
      </c>
      <c r="BL186" s="23" t="s">
        <v>446</v>
      </c>
      <c r="BM186" s="101" t="s">
        <v>679</v>
      </c>
    </row>
    <row r="187" spans="2:65" s="1" customFormat="1" ht="24.15" customHeight="1">
      <c r="B187" s="12"/>
      <c r="C187" s="71" t="s">
        <v>649</v>
      </c>
      <c r="D187" s="71" t="s">
        <v>214</v>
      </c>
      <c r="E187" s="72" t="s">
        <v>4063</v>
      </c>
      <c r="F187" s="73" t="s">
        <v>4064</v>
      </c>
      <c r="G187" s="74" t="s">
        <v>444</v>
      </c>
      <c r="H187" s="75">
        <v>61</v>
      </c>
      <c r="I187" s="90">
        <v>180</v>
      </c>
      <c r="J187" s="91">
        <f t="shared" si="10"/>
        <v>10980</v>
      </c>
      <c r="K187" s="92"/>
      <c r="L187" s="12"/>
      <c r="M187" s="93" t="s">
        <v>1</v>
      </c>
      <c r="N187" s="94" t="s">
        <v>42</v>
      </c>
      <c r="P187" s="95">
        <f t="shared" si="11"/>
        <v>0</v>
      </c>
      <c r="Q187" s="95">
        <v>0</v>
      </c>
      <c r="R187" s="95">
        <f t="shared" si="12"/>
        <v>0</v>
      </c>
      <c r="S187" s="95">
        <v>0</v>
      </c>
      <c r="T187" s="99">
        <f t="shared" si="13"/>
        <v>0</v>
      </c>
      <c r="AR187" s="101" t="s">
        <v>446</v>
      </c>
      <c r="AT187" s="101" t="s">
        <v>214</v>
      </c>
      <c r="AU187" s="101" t="s">
        <v>87</v>
      </c>
      <c r="AY187" s="23" t="s">
        <v>211</v>
      </c>
      <c r="BE187" s="104">
        <f t="shared" si="14"/>
        <v>10980</v>
      </c>
      <c r="BF187" s="104">
        <f t="shared" si="15"/>
        <v>0</v>
      </c>
      <c r="BG187" s="104">
        <f t="shared" si="16"/>
        <v>0</v>
      </c>
      <c r="BH187" s="104">
        <f t="shared" si="17"/>
        <v>0</v>
      </c>
      <c r="BI187" s="104">
        <f t="shared" si="18"/>
        <v>0</v>
      </c>
      <c r="BJ187" s="23" t="s">
        <v>85</v>
      </c>
      <c r="BK187" s="104">
        <f t="shared" si="19"/>
        <v>10980</v>
      </c>
      <c r="BL187" s="23" t="s">
        <v>446</v>
      </c>
      <c r="BM187" s="101" t="s">
        <v>705</v>
      </c>
    </row>
    <row r="188" spans="2:65" s="1" customFormat="1" ht="16.5" customHeight="1">
      <c r="B188" s="12"/>
      <c r="C188" s="71" t="s">
        <v>654</v>
      </c>
      <c r="D188" s="71" t="s">
        <v>214</v>
      </c>
      <c r="E188" s="72" t="s">
        <v>4065</v>
      </c>
      <c r="F188" s="73" t="s">
        <v>4066</v>
      </c>
      <c r="G188" s="74" t="s">
        <v>808</v>
      </c>
      <c r="H188" s="75">
        <v>129</v>
      </c>
      <c r="I188" s="90">
        <v>2400</v>
      </c>
      <c r="J188" s="91">
        <f t="shared" si="10"/>
        <v>309600</v>
      </c>
      <c r="K188" s="92"/>
      <c r="L188" s="12"/>
      <c r="M188" s="93" t="s">
        <v>1</v>
      </c>
      <c r="N188" s="94" t="s">
        <v>42</v>
      </c>
      <c r="P188" s="95">
        <f t="shared" si="11"/>
        <v>0</v>
      </c>
      <c r="Q188" s="95">
        <v>0</v>
      </c>
      <c r="R188" s="95">
        <f t="shared" si="12"/>
        <v>0</v>
      </c>
      <c r="S188" s="95">
        <v>0</v>
      </c>
      <c r="T188" s="99">
        <f t="shared" si="13"/>
        <v>0</v>
      </c>
      <c r="AR188" s="101" t="s">
        <v>446</v>
      </c>
      <c r="AT188" s="101" t="s">
        <v>214</v>
      </c>
      <c r="AU188" s="101" t="s">
        <v>87</v>
      </c>
      <c r="AY188" s="23" t="s">
        <v>211</v>
      </c>
      <c r="BE188" s="104">
        <f t="shared" si="14"/>
        <v>309600</v>
      </c>
      <c r="BF188" s="104">
        <f t="shared" si="15"/>
        <v>0</v>
      </c>
      <c r="BG188" s="104">
        <f t="shared" si="16"/>
        <v>0</v>
      </c>
      <c r="BH188" s="104">
        <f t="shared" si="17"/>
        <v>0</v>
      </c>
      <c r="BI188" s="104">
        <f t="shared" si="18"/>
        <v>0</v>
      </c>
      <c r="BJ188" s="23" t="s">
        <v>85</v>
      </c>
      <c r="BK188" s="104">
        <f t="shared" si="19"/>
        <v>309600</v>
      </c>
      <c r="BL188" s="23" t="s">
        <v>446</v>
      </c>
      <c r="BM188" s="101" t="s">
        <v>722</v>
      </c>
    </row>
    <row r="189" spans="2:65" s="1" customFormat="1" ht="16.5" customHeight="1">
      <c r="B189" s="12"/>
      <c r="C189" s="71" t="s">
        <v>660</v>
      </c>
      <c r="D189" s="71" t="s">
        <v>214</v>
      </c>
      <c r="E189" s="72" t="s">
        <v>4067</v>
      </c>
      <c r="F189" s="73" t="s">
        <v>4068</v>
      </c>
      <c r="G189" s="74" t="s">
        <v>808</v>
      </c>
      <c r="H189" s="75">
        <v>249</v>
      </c>
      <c r="I189" s="90">
        <v>120</v>
      </c>
      <c r="J189" s="91">
        <f t="shared" si="10"/>
        <v>29880</v>
      </c>
      <c r="K189" s="92"/>
      <c r="L189" s="12"/>
      <c r="M189" s="93" t="s">
        <v>1</v>
      </c>
      <c r="N189" s="94" t="s">
        <v>42</v>
      </c>
      <c r="P189" s="95">
        <f t="shared" si="11"/>
        <v>0</v>
      </c>
      <c r="Q189" s="95">
        <v>0</v>
      </c>
      <c r="R189" s="95">
        <f t="shared" si="12"/>
        <v>0</v>
      </c>
      <c r="S189" s="95">
        <v>0</v>
      </c>
      <c r="T189" s="99">
        <f t="shared" si="13"/>
        <v>0</v>
      </c>
      <c r="AR189" s="101" t="s">
        <v>446</v>
      </c>
      <c r="AT189" s="101" t="s">
        <v>214</v>
      </c>
      <c r="AU189" s="101" t="s">
        <v>87</v>
      </c>
      <c r="AY189" s="23" t="s">
        <v>211</v>
      </c>
      <c r="BE189" s="104">
        <f t="shared" si="14"/>
        <v>29880</v>
      </c>
      <c r="BF189" s="104">
        <f t="shared" si="15"/>
        <v>0</v>
      </c>
      <c r="BG189" s="104">
        <f t="shared" si="16"/>
        <v>0</v>
      </c>
      <c r="BH189" s="104">
        <f t="shared" si="17"/>
        <v>0</v>
      </c>
      <c r="BI189" s="104">
        <f t="shared" si="18"/>
        <v>0</v>
      </c>
      <c r="BJ189" s="23" t="s">
        <v>85</v>
      </c>
      <c r="BK189" s="104">
        <f t="shared" si="19"/>
        <v>29880</v>
      </c>
      <c r="BL189" s="23" t="s">
        <v>446</v>
      </c>
      <c r="BM189" s="101" t="s">
        <v>805</v>
      </c>
    </row>
    <row r="190" spans="2:65" s="1" customFormat="1" ht="16.5" customHeight="1">
      <c r="B190" s="12"/>
      <c r="C190" s="71" t="s">
        <v>665</v>
      </c>
      <c r="D190" s="71" t="s">
        <v>214</v>
      </c>
      <c r="E190" s="72" t="s">
        <v>4069</v>
      </c>
      <c r="F190" s="73" t="s">
        <v>4070</v>
      </c>
      <c r="G190" s="74" t="s">
        <v>808</v>
      </c>
      <c r="H190" s="75">
        <v>48</v>
      </c>
      <c r="I190" s="90">
        <v>200</v>
      </c>
      <c r="J190" s="91">
        <f t="shared" ref="J190:J220" si="20">ROUND(I190*H190,2)</f>
        <v>9600</v>
      </c>
      <c r="K190" s="92"/>
      <c r="L190" s="12"/>
      <c r="M190" s="93" t="s">
        <v>1</v>
      </c>
      <c r="N190" s="94" t="s">
        <v>42</v>
      </c>
      <c r="P190" s="95">
        <f t="shared" ref="P190:P220" si="21">O190*H190</f>
        <v>0</v>
      </c>
      <c r="Q190" s="95">
        <v>0</v>
      </c>
      <c r="R190" s="95">
        <f t="shared" ref="R190:R220" si="22">Q190*H190</f>
        <v>0</v>
      </c>
      <c r="S190" s="95">
        <v>0</v>
      </c>
      <c r="T190" s="99">
        <f t="shared" ref="T190:T220" si="23">S190*H190</f>
        <v>0</v>
      </c>
      <c r="AR190" s="101" t="s">
        <v>446</v>
      </c>
      <c r="AT190" s="101" t="s">
        <v>214</v>
      </c>
      <c r="AU190" s="101" t="s">
        <v>87</v>
      </c>
      <c r="AY190" s="23" t="s">
        <v>211</v>
      </c>
      <c r="BE190" s="104">
        <f t="shared" ref="BE190:BE220" si="24">IF(N190="základní",J190,0)</f>
        <v>9600</v>
      </c>
      <c r="BF190" s="104">
        <f t="shared" ref="BF190:BF220" si="25">IF(N190="snížená",J190,0)</f>
        <v>0</v>
      </c>
      <c r="BG190" s="104">
        <f t="shared" ref="BG190:BG220" si="26">IF(N190="zákl. přenesená",J190,0)</f>
        <v>0</v>
      </c>
      <c r="BH190" s="104">
        <f t="shared" ref="BH190:BH220" si="27">IF(N190="sníž. přenesená",J190,0)</f>
        <v>0</v>
      </c>
      <c r="BI190" s="104">
        <f t="shared" ref="BI190:BI220" si="28">IF(N190="nulová",J190,0)</f>
        <v>0</v>
      </c>
      <c r="BJ190" s="23" t="s">
        <v>85</v>
      </c>
      <c r="BK190" s="104">
        <f t="shared" ref="BK190:BK220" si="29">ROUND(I190*H190,2)</f>
        <v>9600</v>
      </c>
      <c r="BL190" s="23" t="s">
        <v>446</v>
      </c>
      <c r="BM190" s="101" t="s">
        <v>814</v>
      </c>
    </row>
    <row r="191" spans="2:65" s="1" customFormat="1" ht="16.5" customHeight="1">
      <c r="B191" s="12"/>
      <c r="C191" s="71" t="s">
        <v>679</v>
      </c>
      <c r="D191" s="71" t="s">
        <v>214</v>
      </c>
      <c r="E191" s="72" t="s">
        <v>4071</v>
      </c>
      <c r="F191" s="73" t="s">
        <v>4072</v>
      </c>
      <c r="G191" s="74" t="s">
        <v>808</v>
      </c>
      <c r="H191" s="75">
        <v>34</v>
      </c>
      <c r="I191" s="90">
        <v>250</v>
      </c>
      <c r="J191" s="91">
        <f t="shared" si="20"/>
        <v>8500</v>
      </c>
      <c r="K191" s="92"/>
      <c r="L191" s="12"/>
      <c r="M191" s="93" t="s">
        <v>1</v>
      </c>
      <c r="N191" s="94" t="s">
        <v>42</v>
      </c>
      <c r="P191" s="95">
        <f t="shared" si="21"/>
        <v>0</v>
      </c>
      <c r="Q191" s="95">
        <v>0</v>
      </c>
      <c r="R191" s="95">
        <f t="shared" si="22"/>
        <v>0</v>
      </c>
      <c r="S191" s="95">
        <v>0</v>
      </c>
      <c r="T191" s="99">
        <f t="shared" si="23"/>
        <v>0</v>
      </c>
      <c r="AR191" s="101" t="s">
        <v>446</v>
      </c>
      <c r="AT191" s="101" t="s">
        <v>214</v>
      </c>
      <c r="AU191" s="101" t="s">
        <v>87</v>
      </c>
      <c r="AY191" s="23" t="s">
        <v>211</v>
      </c>
      <c r="BE191" s="104">
        <f t="shared" si="24"/>
        <v>8500</v>
      </c>
      <c r="BF191" s="104">
        <f t="shared" si="25"/>
        <v>0</v>
      </c>
      <c r="BG191" s="104">
        <f t="shared" si="26"/>
        <v>0</v>
      </c>
      <c r="BH191" s="104">
        <f t="shared" si="27"/>
        <v>0</v>
      </c>
      <c r="BI191" s="104">
        <f t="shared" si="28"/>
        <v>0</v>
      </c>
      <c r="BJ191" s="23" t="s">
        <v>85</v>
      </c>
      <c r="BK191" s="104">
        <f t="shared" si="29"/>
        <v>8500</v>
      </c>
      <c r="BL191" s="23" t="s">
        <v>446</v>
      </c>
      <c r="BM191" s="101" t="s">
        <v>822</v>
      </c>
    </row>
    <row r="192" spans="2:65" s="1" customFormat="1" ht="16.5" customHeight="1">
      <c r="B192" s="12"/>
      <c r="C192" s="71" t="s">
        <v>694</v>
      </c>
      <c r="D192" s="71" t="s">
        <v>214</v>
      </c>
      <c r="E192" s="72" t="s">
        <v>4073</v>
      </c>
      <c r="F192" s="73" t="s">
        <v>4074</v>
      </c>
      <c r="G192" s="74" t="s">
        <v>808</v>
      </c>
      <c r="H192" s="75">
        <v>57</v>
      </c>
      <c r="I192" s="90">
        <v>300</v>
      </c>
      <c r="J192" s="91">
        <f t="shared" si="20"/>
        <v>17100</v>
      </c>
      <c r="K192" s="92"/>
      <c r="L192" s="12"/>
      <c r="M192" s="93" t="s">
        <v>1</v>
      </c>
      <c r="N192" s="94" t="s">
        <v>42</v>
      </c>
      <c r="P192" s="95">
        <f t="shared" si="21"/>
        <v>0</v>
      </c>
      <c r="Q192" s="95">
        <v>0</v>
      </c>
      <c r="R192" s="95">
        <f t="shared" si="22"/>
        <v>0</v>
      </c>
      <c r="S192" s="95">
        <v>0</v>
      </c>
      <c r="T192" s="99">
        <f t="shared" si="23"/>
        <v>0</v>
      </c>
      <c r="AR192" s="101" t="s">
        <v>446</v>
      </c>
      <c r="AT192" s="101" t="s">
        <v>214</v>
      </c>
      <c r="AU192" s="101" t="s">
        <v>87</v>
      </c>
      <c r="AY192" s="23" t="s">
        <v>211</v>
      </c>
      <c r="BE192" s="104">
        <f t="shared" si="24"/>
        <v>17100</v>
      </c>
      <c r="BF192" s="104">
        <f t="shared" si="25"/>
        <v>0</v>
      </c>
      <c r="BG192" s="104">
        <f t="shared" si="26"/>
        <v>0</v>
      </c>
      <c r="BH192" s="104">
        <f t="shared" si="27"/>
        <v>0</v>
      </c>
      <c r="BI192" s="104">
        <f t="shared" si="28"/>
        <v>0</v>
      </c>
      <c r="BJ192" s="23" t="s">
        <v>85</v>
      </c>
      <c r="BK192" s="104">
        <f t="shared" si="29"/>
        <v>17100</v>
      </c>
      <c r="BL192" s="23" t="s">
        <v>446</v>
      </c>
      <c r="BM192" s="101" t="s">
        <v>830</v>
      </c>
    </row>
    <row r="193" spans="2:65" s="1" customFormat="1" ht="24.15" customHeight="1">
      <c r="B193" s="12"/>
      <c r="C193" s="71" t="s">
        <v>705</v>
      </c>
      <c r="D193" s="71" t="s">
        <v>214</v>
      </c>
      <c r="E193" s="72" t="s">
        <v>4075</v>
      </c>
      <c r="F193" s="73" t="s">
        <v>4076</v>
      </c>
      <c r="G193" s="74" t="s">
        <v>808</v>
      </c>
      <c r="H193" s="75">
        <v>72</v>
      </c>
      <c r="I193" s="90">
        <v>1520</v>
      </c>
      <c r="J193" s="91">
        <f t="shared" si="20"/>
        <v>109440</v>
      </c>
      <c r="K193" s="92"/>
      <c r="L193" s="12"/>
      <c r="M193" s="93" t="s">
        <v>1</v>
      </c>
      <c r="N193" s="94" t="s">
        <v>42</v>
      </c>
      <c r="P193" s="95">
        <f t="shared" si="21"/>
        <v>0</v>
      </c>
      <c r="Q193" s="95">
        <v>0</v>
      </c>
      <c r="R193" s="95">
        <f t="shared" si="22"/>
        <v>0</v>
      </c>
      <c r="S193" s="95">
        <v>0</v>
      </c>
      <c r="T193" s="99">
        <f t="shared" si="23"/>
        <v>0</v>
      </c>
      <c r="AR193" s="101" t="s">
        <v>446</v>
      </c>
      <c r="AT193" s="101" t="s">
        <v>214</v>
      </c>
      <c r="AU193" s="101" t="s">
        <v>87</v>
      </c>
      <c r="AY193" s="23" t="s">
        <v>211</v>
      </c>
      <c r="BE193" s="104">
        <f t="shared" si="24"/>
        <v>109440</v>
      </c>
      <c r="BF193" s="104">
        <f t="shared" si="25"/>
        <v>0</v>
      </c>
      <c r="BG193" s="104">
        <f t="shared" si="26"/>
        <v>0</v>
      </c>
      <c r="BH193" s="104">
        <f t="shared" si="27"/>
        <v>0</v>
      </c>
      <c r="BI193" s="104">
        <f t="shared" si="28"/>
        <v>0</v>
      </c>
      <c r="BJ193" s="23" t="s">
        <v>85</v>
      </c>
      <c r="BK193" s="104">
        <f t="shared" si="29"/>
        <v>109440</v>
      </c>
      <c r="BL193" s="23" t="s">
        <v>446</v>
      </c>
      <c r="BM193" s="101" t="s">
        <v>838</v>
      </c>
    </row>
    <row r="194" spans="2:65" s="1" customFormat="1" ht="24.15" customHeight="1">
      <c r="B194" s="12"/>
      <c r="C194" s="71" t="s">
        <v>713</v>
      </c>
      <c r="D194" s="71" t="s">
        <v>214</v>
      </c>
      <c r="E194" s="72" t="s">
        <v>4077</v>
      </c>
      <c r="F194" s="73" t="s">
        <v>4078</v>
      </c>
      <c r="G194" s="74" t="s">
        <v>808</v>
      </c>
      <c r="H194" s="75">
        <v>10</v>
      </c>
      <c r="I194" s="90">
        <v>3300</v>
      </c>
      <c r="J194" s="91">
        <f t="shared" si="20"/>
        <v>33000</v>
      </c>
      <c r="K194" s="92"/>
      <c r="L194" s="12"/>
      <c r="M194" s="93" t="s">
        <v>1</v>
      </c>
      <c r="N194" s="94" t="s">
        <v>42</v>
      </c>
      <c r="P194" s="95">
        <f t="shared" si="21"/>
        <v>0</v>
      </c>
      <c r="Q194" s="95">
        <v>0</v>
      </c>
      <c r="R194" s="95">
        <f t="shared" si="22"/>
        <v>0</v>
      </c>
      <c r="S194" s="95">
        <v>0</v>
      </c>
      <c r="T194" s="99">
        <f t="shared" si="23"/>
        <v>0</v>
      </c>
      <c r="AR194" s="101" t="s">
        <v>446</v>
      </c>
      <c r="AT194" s="101" t="s">
        <v>214</v>
      </c>
      <c r="AU194" s="101" t="s">
        <v>87</v>
      </c>
      <c r="AY194" s="23" t="s">
        <v>211</v>
      </c>
      <c r="BE194" s="104">
        <f t="shared" si="24"/>
        <v>33000</v>
      </c>
      <c r="BF194" s="104">
        <f t="shared" si="25"/>
        <v>0</v>
      </c>
      <c r="BG194" s="104">
        <f t="shared" si="26"/>
        <v>0</v>
      </c>
      <c r="BH194" s="104">
        <f t="shared" si="27"/>
        <v>0</v>
      </c>
      <c r="BI194" s="104">
        <f t="shared" si="28"/>
        <v>0</v>
      </c>
      <c r="BJ194" s="23" t="s">
        <v>85</v>
      </c>
      <c r="BK194" s="104">
        <f t="shared" si="29"/>
        <v>33000</v>
      </c>
      <c r="BL194" s="23" t="s">
        <v>446</v>
      </c>
      <c r="BM194" s="101" t="s">
        <v>846</v>
      </c>
    </row>
    <row r="195" spans="2:65" s="1" customFormat="1" ht="16.5" customHeight="1">
      <c r="B195" s="12"/>
      <c r="C195" s="71" t="s">
        <v>722</v>
      </c>
      <c r="D195" s="71" t="s">
        <v>214</v>
      </c>
      <c r="E195" s="72" t="s">
        <v>4079</v>
      </c>
      <c r="F195" s="73" t="s">
        <v>4080</v>
      </c>
      <c r="G195" s="74" t="s">
        <v>808</v>
      </c>
      <c r="H195" s="75">
        <v>10</v>
      </c>
      <c r="I195" s="90">
        <v>550</v>
      </c>
      <c r="J195" s="91">
        <f t="shared" si="20"/>
        <v>5500</v>
      </c>
      <c r="K195" s="92"/>
      <c r="L195" s="12"/>
      <c r="M195" s="93" t="s">
        <v>1</v>
      </c>
      <c r="N195" s="94" t="s">
        <v>42</v>
      </c>
      <c r="P195" s="95">
        <f t="shared" si="21"/>
        <v>0</v>
      </c>
      <c r="Q195" s="95">
        <v>0</v>
      </c>
      <c r="R195" s="95">
        <f t="shared" si="22"/>
        <v>0</v>
      </c>
      <c r="S195" s="95">
        <v>0</v>
      </c>
      <c r="T195" s="99">
        <f t="shared" si="23"/>
        <v>0</v>
      </c>
      <c r="AR195" s="101" t="s">
        <v>446</v>
      </c>
      <c r="AT195" s="101" t="s">
        <v>214</v>
      </c>
      <c r="AU195" s="101" t="s">
        <v>87</v>
      </c>
      <c r="AY195" s="23" t="s">
        <v>211</v>
      </c>
      <c r="BE195" s="104">
        <f t="shared" si="24"/>
        <v>5500</v>
      </c>
      <c r="BF195" s="104">
        <f t="shared" si="25"/>
        <v>0</v>
      </c>
      <c r="BG195" s="104">
        <f t="shared" si="26"/>
        <v>0</v>
      </c>
      <c r="BH195" s="104">
        <f t="shared" si="27"/>
        <v>0</v>
      </c>
      <c r="BI195" s="104">
        <f t="shared" si="28"/>
        <v>0</v>
      </c>
      <c r="BJ195" s="23" t="s">
        <v>85</v>
      </c>
      <c r="BK195" s="104">
        <f t="shared" si="29"/>
        <v>5500</v>
      </c>
      <c r="BL195" s="23" t="s">
        <v>446</v>
      </c>
      <c r="BM195" s="101" t="s">
        <v>854</v>
      </c>
    </row>
    <row r="196" spans="2:65" s="1" customFormat="1" ht="16.5" customHeight="1">
      <c r="B196" s="12"/>
      <c r="C196" s="71" t="s">
        <v>727</v>
      </c>
      <c r="D196" s="71" t="s">
        <v>214</v>
      </c>
      <c r="E196" s="72" t="s">
        <v>4081</v>
      </c>
      <c r="F196" s="73" t="s">
        <v>4082</v>
      </c>
      <c r="G196" s="74" t="s">
        <v>808</v>
      </c>
      <c r="H196" s="75">
        <v>10</v>
      </c>
      <c r="I196" s="90">
        <v>1400</v>
      </c>
      <c r="J196" s="91">
        <f t="shared" si="20"/>
        <v>14000</v>
      </c>
      <c r="K196" s="92"/>
      <c r="L196" s="12"/>
      <c r="M196" s="93" t="s">
        <v>1</v>
      </c>
      <c r="N196" s="94" t="s">
        <v>42</v>
      </c>
      <c r="P196" s="95">
        <f t="shared" si="21"/>
        <v>0</v>
      </c>
      <c r="Q196" s="95">
        <v>0</v>
      </c>
      <c r="R196" s="95">
        <f t="shared" si="22"/>
        <v>0</v>
      </c>
      <c r="S196" s="95">
        <v>0</v>
      </c>
      <c r="T196" s="99">
        <f t="shared" si="23"/>
        <v>0</v>
      </c>
      <c r="AR196" s="101" t="s">
        <v>446</v>
      </c>
      <c r="AT196" s="101" t="s">
        <v>214</v>
      </c>
      <c r="AU196" s="101" t="s">
        <v>87</v>
      </c>
      <c r="AY196" s="23" t="s">
        <v>211</v>
      </c>
      <c r="BE196" s="104">
        <f t="shared" si="24"/>
        <v>14000</v>
      </c>
      <c r="BF196" s="104">
        <f t="shared" si="25"/>
        <v>0</v>
      </c>
      <c r="BG196" s="104">
        <f t="shared" si="26"/>
        <v>0</v>
      </c>
      <c r="BH196" s="104">
        <f t="shared" si="27"/>
        <v>0</v>
      </c>
      <c r="BI196" s="104">
        <f t="shared" si="28"/>
        <v>0</v>
      </c>
      <c r="BJ196" s="23" t="s">
        <v>85</v>
      </c>
      <c r="BK196" s="104">
        <f t="shared" si="29"/>
        <v>14000</v>
      </c>
      <c r="BL196" s="23" t="s">
        <v>446</v>
      </c>
      <c r="BM196" s="101" t="s">
        <v>862</v>
      </c>
    </row>
    <row r="197" spans="2:65" s="1" customFormat="1" ht="16.5" customHeight="1">
      <c r="B197" s="12"/>
      <c r="C197" s="71" t="s">
        <v>756</v>
      </c>
      <c r="D197" s="71" t="s">
        <v>214</v>
      </c>
      <c r="E197" s="72" t="s">
        <v>4083</v>
      </c>
      <c r="F197" s="73" t="s">
        <v>4084</v>
      </c>
      <c r="G197" s="74" t="s">
        <v>808</v>
      </c>
      <c r="H197" s="75">
        <v>2</v>
      </c>
      <c r="I197" s="90">
        <v>400</v>
      </c>
      <c r="J197" s="91">
        <f t="shared" si="20"/>
        <v>800</v>
      </c>
      <c r="K197" s="92"/>
      <c r="L197" s="12"/>
      <c r="M197" s="93" t="s">
        <v>1</v>
      </c>
      <c r="N197" s="94" t="s">
        <v>42</v>
      </c>
      <c r="P197" s="95">
        <f t="shared" si="21"/>
        <v>0</v>
      </c>
      <c r="Q197" s="95">
        <v>0</v>
      </c>
      <c r="R197" s="95">
        <f t="shared" si="22"/>
        <v>0</v>
      </c>
      <c r="S197" s="95">
        <v>0</v>
      </c>
      <c r="T197" s="99">
        <f t="shared" si="23"/>
        <v>0</v>
      </c>
      <c r="AR197" s="101" t="s">
        <v>446</v>
      </c>
      <c r="AT197" s="101" t="s">
        <v>214</v>
      </c>
      <c r="AU197" s="101" t="s">
        <v>87</v>
      </c>
      <c r="AY197" s="23" t="s">
        <v>211</v>
      </c>
      <c r="BE197" s="104">
        <f t="shared" si="24"/>
        <v>800</v>
      </c>
      <c r="BF197" s="104">
        <f t="shared" si="25"/>
        <v>0</v>
      </c>
      <c r="BG197" s="104">
        <f t="shared" si="26"/>
        <v>0</v>
      </c>
      <c r="BH197" s="104">
        <f t="shared" si="27"/>
        <v>0</v>
      </c>
      <c r="BI197" s="104">
        <f t="shared" si="28"/>
        <v>0</v>
      </c>
      <c r="BJ197" s="23" t="s">
        <v>85</v>
      </c>
      <c r="BK197" s="104">
        <f t="shared" si="29"/>
        <v>800</v>
      </c>
      <c r="BL197" s="23" t="s">
        <v>446</v>
      </c>
      <c r="BM197" s="101" t="s">
        <v>883</v>
      </c>
    </row>
    <row r="198" spans="2:65" s="1" customFormat="1" ht="16.5" customHeight="1">
      <c r="B198" s="12"/>
      <c r="C198" s="71" t="s">
        <v>760</v>
      </c>
      <c r="D198" s="71" t="s">
        <v>214</v>
      </c>
      <c r="E198" s="72" t="s">
        <v>4085</v>
      </c>
      <c r="F198" s="73" t="s">
        <v>4086</v>
      </c>
      <c r="G198" s="74" t="s">
        <v>808</v>
      </c>
      <c r="H198" s="75">
        <v>13</v>
      </c>
      <c r="I198" s="90">
        <v>500</v>
      </c>
      <c r="J198" s="91">
        <f t="shared" si="20"/>
        <v>6500</v>
      </c>
      <c r="K198" s="92"/>
      <c r="L198" s="12"/>
      <c r="M198" s="93" t="s">
        <v>1</v>
      </c>
      <c r="N198" s="94" t="s">
        <v>42</v>
      </c>
      <c r="P198" s="95">
        <f t="shared" si="21"/>
        <v>0</v>
      </c>
      <c r="Q198" s="95">
        <v>0</v>
      </c>
      <c r="R198" s="95">
        <f t="shared" si="22"/>
        <v>0</v>
      </c>
      <c r="S198" s="95">
        <v>0</v>
      </c>
      <c r="T198" s="99">
        <f t="shared" si="23"/>
        <v>0</v>
      </c>
      <c r="AR198" s="101" t="s">
        <v>446</v>
      </c>
      <c r="AT198" s="101" t="s">
        <v>214</v>
      </c>
      <c r="AU198" s="101" t="s">
        <v>87</v>
      </c>
      <c r="AY198" s="23" t="s">
        <v>211</v>
      </c>
      <c r="BE198" s="104">
        <f t="shared" si="24"/>
        <v>6500</v>
      </c>
      <c r="BF198" s="104">
        <f t="shared" si="25"/>
        <v>0</v>
      </c>
      <c r="BG198" s="104">
        <f t="shared" si="26"/>
        <v>0</v>
      </c>
      <c r="BH198" s="104">
        <f t="shared" si="27"/>
        <v>0</v>
      </c>
      <c r="BI198" s="104">
        <f t="shared" si="28"/>
        <v>0</v>
      </c>
      <c r="BJ198" s="23" t="s">
        <v>85</v>
      </c>
      <c r="BK198" s="104">
        <f t="shared" si="29"/>
        <v>6500</v>
      </c>
      <c r="BL198" s="23" t="s">
        <v>446</v>
      </c>
      <c r="BM198" s="101" t="s">
        <v>905</v>
      </c>
    </row>
    <row r="199" spans="2:65" s="1" customFormat="1" ht="16.5" customHeight="1">
      <c r="B199" s="12"/>
      <c r="C199" s="71" t="s">
        <v>805</v>
      </c>
      <c r="D199" s="71" t="s">
        <v>214</v>
      </c>
      <c r="E199" s="72" t="s">
        <v>4087</v>
      </c>
      <c r="F199" s="73" t="s">
        <v>4088</v>
      </c>
      <c r="G199" s="74" t="s">
        <v>808</v>
      </c>
      <c r="H199" s="75">
        <v>20</v>
      </c>
      <c r="I199" s="90">
        <v>600</v>
      </c>
      <c r="J199" s="91">
        <f t="shared" si="20"/>
        <v>12000</v>
      </c>
      <c r="K199" s="92"/>
      <c r="L199" s="12"/>
      <c r="M199" s="93" t="s">
        <v>1</v>
      </c>
      <c r="N199" s="94" t="s">
        <v>42</v>
      </c>
      <c r="P199" s="95">
        <f t="shared" si="21"/>
        <v>0</v>
      </c>
      <c r="Q199" s="95">
        <v>0</v>
      </c>
      <c r="R199" s="95">
        <f t="shared" si="22"/>
        <v>0</v>
      </c>
      <c r="S199" s="95">
        <v>0</v>
      </c>
      <c r="T199" s="99">
        <f t="shared" si="23"/>
        <v>0</v>
      </c>
      <c r="AR199" s="101" t="s">
        <v>446</v>
      </c>
      <c r="AT199" s="101" t="s">
        <v>214</v>
      </c>
      <c r="AU199" s="101" t="s">
        <v>87</v>
      </c>
      <c r="AY199" s="23" t="s">
        <v>211</v>
      </c>
      <c r="BE199" s="104">
        <f t="shared" si="24"/>
        <v>12000</v>
      </c>
      <c r="BF199" s="104">
        <f t="shared" si="25"/>
        <v>0</v>
      </c>
      <c r="BG199" s="104">
        <f t="shared" si="26"/>
        <v>0</v>
      </c>
      <c r="BH199" s="104">
        <f t="shared" si="27"/>
        <v>0</v>
      </c>
      <c r="BI199" s="104">
        <f t="shared" si="28"/>
        <v>0</v>
      </c>
      <c r="BJ199" s="23" t="s">
        <v>85</v>
      </c>
      <c r="BK199" s="104">
        <f t="shared" si="29"/>
        <v>12000</v>
      </c>
      <c r="BL199" s="23" t="s">
        <v>446</v>
      </c>
      <c r="BM199" s="101" t="s">
        <v>919</v>
      </c>
    </row>
    <row r="200" spans="2:65" s="1" customFormat="1" ht="16.5" customHeight="1">
      <c r="B200" s="12"/>
      <c r="C200" s="71" t="s">
        <v>810</v>
      </c>
      <c r="D200" s="71" t="s">
        <v>214</v>
      </c>
      <c r="E200" s="72" t="s">
        <v>4089</v>
      </c>
      <c r="F200" s="73" t="s">
        <v>4090</v>
      </c>
      <c r="G200" s="74" t="s">
        <v>808</v>
      </c>
      <c r="H200" s="75">
        <v>17</v>
      </c>
      <c r="I200" s="90">
        <v>800</v>
      </c>
      <c r="J200" s="91">
        <f t="shared" si="20"/>
        <v>13600</v>
      </c>
      <c r="K200" s="92"/>
      <c r="L200" s="12"/>
      <c r="M200" s="93" t="s">
        <v>1</v>
      </c>
      <c r="N200" s="94" t="s">
        <v>42</v>
      </c>
      <c r="P200" s="95">
        <f t="shared" si="21"/>
        <v>0</v>
      </c>
      <c r="Q200" s="95">
        <v>0</v>
      </c>
      <c r="R200" s="95">
        <f t="shared" si="22"/>
        <v>0</v>
      </c>
      <c r="S200" s="95">
        <v>0</v>
      </c>
      <c r="T200" s="99">
        <f t="shared" si="23"/>
        <v>0</v>
      </c>
      <c r="AR200" s="101" t="s">
        <v>446</v>
      </c>
      <c r="AT200" s="101" t="s">
        <v>214</v>
      </c>
      <c r="AU200" s="101" t="s">
        <v>87</v>
      </c>
      <c r="AY200" s="23" t="s">
        <v>211</v>
      </c>
      <c r="BE200" s="104">
        <f t="shared" si="24"/>
        <v>13600</v>
      </c>
      <c r="BF200" s="104">
        <f t="shared" si="25"/>
        <v>0</v>
      </c>
      <c r="BG200" s="104">
        <f t="shared" si="26"/>
        <v>0</v>
      </c>
      <c r="BH200" s="104">
        <f t="shared" si="27"/>
        <v>0</v>
      </c>
      <c r="BI200" s="104">
        <f t="shared" si="28"/>
        <v>0</v>
      </c>
      <c r="BJ200" s="23" t="s">
        <v>85</v>
      </c>
      <c r="BK200" s="104">
        <f t="shared" si="29"/>
        <v>13600</v>
      </c>
      <c r="BL200" s="23" t="s">
        <v>446</v>
      </c>
      <c r="BM200" s="101" t="s">
        <v>935</v>
      </c>
    </row>
    <row r="201" spans="2:65" s="1" customFormat="1" ht="16.5" customHeight="1">
      <c r="B201" s="12"/>
      <c r="C201" s="71" t="s">
        <v>814</v>
      </c>
      <c r="D201" s="71" t="s">
        <v>214</v>
      </c>
      <c r="E201" s="72" t="s">
        <v>4091</v>
      </c>
      <c r="F201" s="73" t="s">
        <v>4092</v>
      </c>
      <c r="G201" s="74" t="s">
        <v>808</v>
      </c>
      <c r="H201" s="75">
        <v>4</v>
      </c>
      <c r="I201" s="90">
        <v>1000</v>
      </c>
      <c r="J201" s="91">
        <f t="shared" si="20"/>
        <v>4000</v>
      </c>
      <c r="K201" s="92"/>
      <c r="L201" s="12"/>
      <c r="M201" s="93" t="s">
        <v>1</v>
      </c>
      <c r="N201" s="94" t="s">
        <v>42</v>
      </c>
      <c r="P201" s="95">
        <f t="shared" si="21"/>
        <v>0</v>
      </c>
      <c r="Q201" s="95">
        <v>0</v>
      </c>
      <c r="R201" s="95">
        <f t="shared" si="22"/>
        <v>0</v>
      </c>
      <c r="S201" s="95">
        <v>0</v>
      </c>
      <c r="T201" s="99">
        <f t="shared" si="23"/>
        <v>0</v>
      </c>
      <c r="AR201" s="101" t="s">
        <v>446</v>
      </c>
      <c r="AT201" s="101" t="s">
        <v>214</v>
      </c>
      <c r="AU201" s="101" t="s">
        <v>87</v>
      </c>
      <c r="AY201" s="23" t="s">
        <v>211</v>
      </c>
      <c r="BE201" s="104">
        <f t="shared" si="24"/>
        <v>4000</v>
      </c>
      <c r="BF201" s="104">
        <f t="shared" si="25"/>
        <v>0</v>
      </c>
      <c r="BG201" s="104">
        <f t="shared" si="26"/>
        <v>0</v>
      </c>
      <c r="BH201" s="104">
        <f t="shared" si="27"/>
        <v>0</v>
      </c>
      <c r="BI201" s="104">
        <f t="shared" si="28"/>
        <v>0</v>
      </c>
      <c r="BJ201" s="23" t="s">
        <v>85</v>
      </c>
      <c r="BK201" s="104">
        <f t="shared" si="29"/>
        <v>4000</v>
      </c>
      <c r="BL201" s="23" t="s">
        <v>446</v>
      </c>
      <c r="BM201" s="101" t="s">
        <v>950</v>
      </c>
    </row>
    <row r="202" spans="2:65" s="1" customFormat="1" ht="16.5" customHeight="1">
      <c r="B202" s="12"/>
      <c r="C202" s="71" t="s">
        <v>818</v>
      </c>
      <c r="D202" s="71" t="s">
        <v>214</v>
      </c>
      <c r="E202" s="72" t="s">
        <v>4093</v>
      </c>
      <c r="F202" s="73" t="s">
        <v>4094</v>
      </c>
      <c r="G202" s="74" t="s">
        <v>808</v>
      </c>
      <c r="H202" s="75">
        <v>5</v>
      </c>
      <c r="I202" s="90">
        <v>1600</v>
      </c>
      <c r="J202" s="91">
        <f t="shared" si="20"/>
        <v>8000</v>
      </c>
      <c r="K202" s="92"/>
      <c r="L202" s="12"/>
      <c r="M202" s="93" t="s">
        <v>1</v>
      </c>
      <c r="N202" s="94" t="s">
        <v>42</v>
      </c>
      <c r="P202" s="95">
        <f t="shared" si="21"/>
        <v>0</v>
      </c>
      <c r="Q202" s="95">
        <v>0</v>
      </c>
      <c r="R202" s="95">
        <f t="shared" si="22"/>
        <v>0</v>
      </c>
      <c r="S202" s="95">
        <v>0</v>
      </c>
      <c r="T202" s="99">
        <f t="shared" si="23"/>
        <v>0</v>
      </c>
      <c r="AR202" s="101" t="s">
        <v>446</v>
      </c>
      <c r="AT202" s="101" t="s">
        <v>214</v>
      </c>
      <c r="AU202" s="101" t="s">
        <v>87</v>
      </c>
      <c r="AY202" s="23" t="s">
        <v>211</v>
      </c>
      <c r="BE202" s="104">
        <f t="shared" si="24"/>
        <v>8000</v>
      </c>
      <c r="BF202" s="104">
        <f t="shared" si="25"/>
        <v>0</v>
      </c>
      <c r="BG202" s="104">
        <f t="shared" si="26"/>
        <v>0</v>
      </c>
      <c r="BH202" s="104">
        <f t="shared" si="27"/>
        <v>0</v>
      </c>
      <c r="BI202" s="104">
        <f t="shared" si="28"/>
        <v>0</v>
      </c>
      <c r="BJ202" s="23" t="s">
        <v>85</v>
      </c>
      <c r="BK202" s="104">
        <f t="shared" si="29"/>
        <v>8000</v>
      </c>
      <c r="BL202" s="23" t="s">
        <v>446</v>
      </c>
      <c r="BM202" s="101" t="s">
        <v>963</v>
      </c>
    </row>
    <row r="203" spans="2:65" s="1" customFormat="1" ht="16.5" customHeight="1">
      <c r="B203" s="12"/>
      <c r="C203" s="71" t="s">
        <v>822</v>
      </c>
      <c r="D203" s="71" t="s">
        <v>214</v>
      </c>
      <c r="E203" s="72" t="s">
        <v>4095</v>
      </c>
      <c r="F203" s="73" t="s">
        <v>4096</v>
      </c>
      <c r="G203" s="74" t="s">
        <v>808</v>
      </c>
      <c r="H203" s="75">
        <v>3</v>
      </c>
      <c r="I203" s="90">
        <v>450</v>
      </c>
      <c r="J203" s="91">
        <f t="shared" si="20"/>
        <v>1350</v>
      </c>
      <c r="K203" s="92"/>
      <c r="L203" s="12"/>
      <c r="M203" s="93" t="s">
        <v>1</v>
      </c>
      <c r="N203" s="94" t="s">
        <v>42</v>
      </c>
      <c r="P203" s="95">
        <f t="shared" si="21"/>
        <v>0</v>
      </c>
      <c r="Q203" s="95">
        <v>0</v>
      </c>
      <c r="R203" s="95">
        <f t="shared" si="22"/>
        <v>0</v>
      </c>
      <c r="S203" s="95">
        <v>0</v>
      </c>
      <c r="T203" s="99">
        <f t="shared" si="23"/>
        <v>0</v>
      </c>
      <c r="AR203" s="101" t="s">
        <v>446</v>
      </c>
      <c r="AT203" s="101" t="s">
        <v>214</v>
      </c>
      <c r="AU203" s="101" t="s">
        <v>87</v>
      </c>
      <c r="AY203" s="23" t="s">
        <v>211</v>
      </c>
      <c r="BE203" s="104">
        <f t="shared" si="24"/>
        <v>1350</v>
      </c>
      <c r="BF203" s="104">
        <f t="shared" si="25"/>
        <v>0</v>
      </c>
      <c r="BG203" s="104">
        <f t="shared" si="26"/>
        <v>0</v>
      </c>
      <c r="BH203" s="104">
        <f t="shared" si="27"/>
        <v>0</v>
      </c>
      <c r="BI203" s="104">
        <f t="shared" si="28"/>
        <v>0</v>
      </c>
      <c r="BJ203" s="23" t="s">
        <v>85</v>
      </c>
      <c r="BK203" s="104">
        <f t="shared" si="29"/>
        <v>1350</v>
      </c>
      <c r="BL203" s="23" t="s">
        <v>446</v>
      </c>
      <c r="BM203" s="101" t="s">
        <v>993</v>
      </c>
    </row>
    <row r="204" spans="2:65" s="1" customFormat="1" ht="16.5" customHeight="1">
      <c r="B204" s="12"/>
      <c r="C204" s="71" t="s">
        <v>826</v>
      </c>
      <c r="D204" s="71" t="s">
        <v>214</v>
      </c>
      <c r="E204" s="72" t="s">
        <v>4097</v>
      </c>
      <c r="F204" s="73" t="s">
        <v>4098</v>
      </c>
      <c r="G204" s="74" t="s">
        <v>808</v>
      </c>
      <c r="H204" s="75">
        <v>1</v>
      </c>
      <c r="I204" s="90">
        <v>750</v>
      </c>
      <c r="J204" s="91">
        <f t="shared" si="20"/>
        <v>750</v>
      </c>
      <c r="K204" s="92"/>
      <c r="L204" s="12"/>
      <c r="M204" s="93" t="s">
        <v>1</v>
      </c>
      <c r="N204" s="94" t="s">
        <v>42</v>
      </c>
      <c r="P204" s="95">
        <f t="shared" si="21"/>
        <v>0</v>
      </c>
      <c r="Q204" s="95">
        <v>0</v>
      </c>
      <c r="R204" s="95">
        <f t="shared" si="22"/>
        <v>0</v>
      </c>
      <c r="S204" s="95">
        <v>0</v>
      </c>
      <c r="T204" s="99">
        <f t="shared" si="23"/>
        <v>0</v>
      </c>
      <c r="AR204" s="101" t="s">
        <v>446</v>
      </c>
      <c r="AT204" s="101" t="s">
        <v>214</v>
      </c>
      <c r="AU204" s="101" t="s">
        <v>87</v>
      </c>
      <c r="AY204" s="23" t="s">
        <v>211</v>
      </c>
      <c r="BE204" s="104">
        <f t="shared" si="24"/>
        <v>750</v>
      </c>
      <c r="BF204" s="104">
        <f t="shared" si="25"/>
        <v>0</v>
      </c>
      <c r="BG204" s="104">
        <f t="shared" si="26"/>
        <v>0</v>
      </c>
      <c r="BH204" s="104">
        <f t="shared" si="27"/>
        <v>0</v>
      </c>
      <c r="BI204" s="104">
        <f t="shared" si="28"/>
        <v>0</v>
      </c>
      <c r="BJ204" s="23" t="s">
        <v>85</v>
      </c>
      <c r="BK204" s="104">
        <f t="shared" si="29"/>
        <v>750</v>
      </c>
      <c r="BL204" s="23" t="s">
        <v>446</v>
      </c>
      <c r="BM204" s="101" t="s">
        <v>1001</v>
      </c>
    </row>
    <row r="205" spans="2:65" s="1" customFormat="1" ht="16.5" customHeight="1">
      <c r="B205" s="12"/>
      <c r="C205" s="71" t="s">
        <v>830</v>
      </c>
      <c r="D205" s="71" t="s">
        <v>214</v>
      </c>
      <c r="E205" s="72" t="s">
        <v>4099</v>
      </c>
      <c r="F205" s="73" t="s">
        <v>4100</v>
      </c>
      <c r="G205" s="74" t="s">
        <v>808</v>
      </c>
      <c r="H205" s="75">
        <v>13</v>
      </c>
      <c r="I205" s="90">
        <v>1400</v>
      </c>
      <c r="J205" s="91">
        <f t="shared" si="20"/>
        <v>18200</v>
      </c>
      <c r="K205" s="92"/>
      <c r="L205" s="12"/>
      <c r="M205" s="93" t="s">
        <v>1</v>
      </c>
      <c r="N205" s="94" t="s">
        <v>42</v>
      </c>
      <c r="P205" s="95">
        <f t="shared" si="21"/>
        <v>0</v>
      </c>
      <c r="Q205" s="95">
        <v>0</v>
      </c>
      <c r="R205" s="95">
        <f t="shared" si="22"/>
        <v>0</v>
      </c>
      <c r="S205" s="95">
        <v>0</v>
      </c>
      <c r="T205" s="99">
        <f t="shared" si="23"/>
        <v>0</v>
      </c>
      <c r="AR205" s="101" t="s">
        <v>446</v>
      </c>
      <c r="AT205" s="101" t="s">
        <v>214</v>
      </c>
      <c r="AU205" s="101" t="s">
        <v>87</v>
      </c>
      <c r="AY205" s="23" t="s">
        <v>211</v>
      </c>
      <c r="BE205" s="104">
        <f t="shared" si="24"/>
        <v>18200</v>
      </c>
      <c r="BF205" s="104">
        <f t="shared" si="25"/>
        <v>0</v>
      </c>
      <c r="BG205" s="104">
        <f t="shared" si="26"/>
        <v>0</v>
      </c>
      <c r="BH205" s="104">
        <f t="shared" si="27"/>
        <v>0</v>
      </c>
      <c r="BI205" s="104">
        <f t="shared" si="28"/>
        <v>0</v>
      </c>
      <c r="BJ205" s="23" t="s">
        <v>85</v>
      </c>
      <c r="BK205" s="104">
        <f t="shared" si="29"/>
        <v>18200</v>
      </c>
      <c r="BL205" s="23" t="s">
        <v>446</v>
      </c>
      <c r="BM205" s="101" t="s">
        <v>1028</v>
      </c>
    </row>
    <row r="206" spans="2:65" s="1" customFormat="1" ht="16.5" customHeight="1">
      <c r="B206" s="12"/>
      <c r="C206" s="71" t="s">
        <v>834</v>
      </c>
      <c r="D206" s="71" t="s">
        <v>214</v>
      </c>
      <c r="E206" s="72" t="s">
        <v>4101</v>
      </c>
      <c r="F206" s="73" t="s">
        <v>4102</v>
      </c>
      <c r="G206" s="74" t="s">
        <v>808</v>
      </c>
      <c r="H206" s="75">
        <v>1</v>
      </c>
      <c r="I206" s="90">
        <v>75000</v>
      </c>
      <c r="J206" s="91">
        <f t="shared" si="20"/>
        <v>75000</v>
      </c>
      <c r="K206" s="92"/>
      <c r="L206" s="12"/>
      <c r="M206" s="93" t="s">
        <v>1</v>
      </c>
      <c r="N206" s="94" t="s">
        <v>42</v>
      </c>
      <c r="P206" s="95">
        <f t="shared" si="21"/>
        <v>0</v>
      </c>
      <c r="Q206" s="95">
        <v>0</v>
      </c>
      <c r="R206" s="95">
        <f t="shared" si="22"/>
        <v>0</v>
      </c>
      <c r="S206" s="95">
        <v>0</v>
      </c>
      <c r="T206" s="99">
        <f t="shared" si="23"/>
        <v>0</v>
      </c>
      <c r="AR206" s="101" t="s">
        <v>446</v>
      </c>
      <c r="AT206" s="101" t="s">
        <v>214</v>
      </c>
      <c r="AU206" s="101" t="s">
        <v>87</v>
      </c>
      <c r="AY206" s="23" t="s">
        <v>211</v>
      </c>
      <c r="BE206" s="104">
        <f t="shared" si="24"/>
        <v>75000</v>
      </c>
      <c r="BF206" s="104">
        <f t="shared" si="25"/>
        <v>0</v>
      </c>
      <c r="BG206" s="104">
        <f t="shared" si="26"/>
        <v>0</v>
      </c>
      <c r="BH206" s="104">
        <f t="shared" si="27"/>
        <v>0</v>
      </c>
      <c r="BI206" s="104">
        <f t="shared" si="28"/>
        <v>0</v>
      </c>
      <c r="BJ206" s="23" t="s">
        <v>85</v>
      </c>
      <c r="BK206" s="104">
        <f t="shared" si="29"/>
        <v>75000</v>
      </c>
      <c r="BL206" s="23" t="s">
        <v>446</v>
      </c>
      <c r="BM206" s="101" t="s">
        <v>92</v>
      </c>
    </row>
    <row r="207" spans="2:65" s="1" customFormat="1" ht="16.5" customHeight="1">
      <c r="B207" s="12"/>
      <c r="C207" s="71" t="s">
        <v>838</v>
      </c>
      <c r="D207" s="71" t="s">
        <v>214</v>
      </c>
      <c r="E207" s="72" t="s">
        <v>4103</v>
      </c>
      <c r="F207" s="73" t="s">
        <v>4104</v>
      </c>
      <c r="G207" s="74" t="s">
        <v>808</v>
      </c>
      <c r="H207" s="75">
        <v>2</v>
      </c>
      <c r="I207" s="90">
        <v>5000</v>
      </c>
      <c r="J207" s="91">
        <f t="shared" si="20"/>
        <v>10000</v>
      </c>
      <c r="K207" s="92"/>
      <c r="L207" s="12"/>
      <c r="M207" s="93" t="s">
        <v>1</v>
      </c>
      <c r="N207" s="94" t="s">
        <v>42</v>
      </c>
      <c r="P207" s="95">
        <f t="shared" si="21"/>
        <v>0</v>
      </c>
      <c r="Q207" s="95">
        <v>0</v>
      </c>
      <c r="R207" s="95">
        <f t="shared" si="22"/>
        <v>0</v>
      </c>
      <c r="S207" s="95">
        <v>0</v>
      </c>
      <c r="T207" s="99">
        <f t="shared" si="23"/>
        <v>0</v>
      </c>
      <c r="AR207" s="101" t="s">
        <v>446</v>
      </c>
      <c r="AT207" s="101" t="s">
        <v>214</v>
      </c>
      <c r="AU207" s="101" t="s">
        <v>87</v>
      </c>
      <c r="AY207" s="23" t="s">
        <v>211</v>
      </c>
      <c r="BE207" s="104">
        <f t="shared" si="24"/>
        <v>10000</v>
      </c>
      <c r="BF207" s="104">
        <f t="shared" si="25"/>
        <v>0</v>
      </c>
      <c r="BG207" s="104">
        <f t="shared" si="26"/>
        <v>0</v>
      </c>
      <c r="BH207" s="104">
        <f t="shared" si="27"/>
        <v>0</v>
      </c>
      <c r="BI207" s="104">
        <f t="shared" si="28"/>
        <v>0</v>
      </c>
      <c r="BJ207" s="23" t="s">
        <v>85</v>
      </c>
      <c r="BK207" s="104">
        <f t="shared" si="29"/>
        <v>10000</v>
      </c>
      <c r="BL207" s="23" t="s">
        <v>446</v>
      </c>
      <c r="BM207" s="101" t="s">
        <v>1049</v>
      </c>
    </row>
    <row r="208" spans="2:65" s="1" customFormat="1" ht="16.5" customHeight="1">
      <c r="B208" s="12"/>
      <c r="C208" s="71" t="s">
        <v>842</v>
      </c>
      <c r="D208" s="71" t="s">
        <v>214</v>
      </c>
      <c r="E208" s="72" t="s">
        <v>4105</v>
      </c>
      <c r="F208" s="73" t="s">
        <v>4106</v>
      </c>
      <c r="G208" s="74" t="s">
        <v>808</v>
      </c>
      <c r="H208" s="75">
        <v>1</v>
      </c>
      <c r="I208" s="90">
        <v>5000</v>
      </c>
      <c r="J208" s="91">
        <f t="shared" si="20"/>
        <v>5000</v>
      </c>
      <c r="K208" s="92"/>
      <c r="L208" s="12"/>
      <c r="M208" s="93" t="s">
        <v>1</v>
      </c>
      <c r="N208" s="94" t="s">
        <v>42</v>
      </c>
      <c r="P208" s="95">
        <f t="shared" si="21"/>
        <v>0</v>
      </c>
      <c r="Q208" s="95">
        <v>0</v>
      </c>
      <c r="R208" s="95">
        <f t="shared" si="22"/>
        <v>0</v>
      </c>
      <c r="S208" s="95">
        <v>0</v>
      </c>
      <c r="T208" s="99">
        <f t="shared" si="23"/>
        <v>0</v>
      </c>
      <c r="AR208" s="101" t="s">
        <v>446</v>
      </c>
      <c r="AT208" s="101" t="s">
        <v>214</v>
      </c>
      <c r="AU208" s="101" t="s">
        <v>87</v>
      </c>
      <c r="AY208" s="23" t="s">
        <v>211</v>
      </c>
      <c r="BE208" s="104">
        <f t="shared" si="24"/>
        <v>5000</v>
      </c>
      <c r="BF208" s="104">
        <f t="shared" si="25"/>
        <v>0</v>
      </c>
      <c r="BG208" s="104">
        <f t="shared" si="26"/>
        <v>0</v>
      </c>
      <c r="BH208" s="104">
        <f t="shared" si="27"/>
        <v>0</v>
      </c>
      <c r="BI208" s="104">
        <f t="shared" si="28"/>
        <v>0</v>
      </c>
      <c r="BJ208" s="23" t="s">
        <v>85</v>
      </c>
      <c r="BK208" s="104">
        <f t="shared" si="29"/>
        <v>5000</v>
      </c>
      <c r="BL208" s="23" t="s">
        <v>446</v>
      </c>
      <c r="BM208" s="101" t="s">
        <v>1058</v>
      </c>
    </row>
    <row r="209" spans="2:65" s="1" customFormat="1" ht="16.5" customHeight="1">
      <c r="B209" s="12"/>
      <c r="C209" s="71" t="s">
        <v>846</v>
      </c>
      <c r="D209" s="71" t="s">
        <v>214</v>
      </c>
      <c r="E209" s="72" t="s">
        <v>4107</v>
      </c>
      <c r="F209" s="73" t="s">
        <v>4108</v>
      </c>
      <c r="G209" s="74" t="s">
        <v>808</v>
      </c>
      <c r="H209" s="75">
        <v>2</v>
      </c>
      <c r="I209" s="90">
        <v>1000</v>
      </c>
      <c r="J209" s="91">
        <f t="shared" si="20"/>
        <v>2000</v>
      </c>
      <c r="K209" s="92"/>
      <c r="L209" s="12"/>
      <c r="M209" s="93" t="s">
        <v>1</v>
      </c>
      <c r="N209" s="94" t="s">
        <v>42</v>
      </c>
      <c r="P209" s="95">
        <f t="shared" si="21"/>
        <v>0</v>
      </c>
      <c r="Q209" s="95">
        <v>0</v>
      </c>
      <c r="R209" s="95">
        <f t="shared" si="22"/>
        <v>0</v>
      </c>
      <c r="S209" s="95">
        <v>0</v>
      </c>
      <c r="T209" s="99">
        <f t="shared" si="23"/>
        <v>0</v>
      </c>
      <c r="AR209" s="101" t="s">
        <v>446</v>
      </c>
      <c r="AT209" s="101" t="s">
        <v>214</v>
      </c>
      <c r="AU209" s="101" t="s">
        <v>87</v>
      </c>
      <c r="AY209" s="23" t="s">
        <v>211</v>
      </c>
      <c r="BE209" s="104">
        <f t="shared" si="24"/>
        <v>2000</v>
      </c>
      <c r="BF209" s="104">
        <f t="shared" si="25"/>
        <v>0</v>
      </c>
      <c r="BG209" s="104">
        <f t="shared" si="26"/>
        <v>0</v>
      </c>
      <c r="BH209" s="104">
        <f t="shared" si="27"/>
        <v>0</v>
      </c>
      <c r="BI209" s="104">
        <f t="shared" si="28"/>
        <v>0</v>
      </c>
      <c r="BJ209" s="23" t="s">
        <v>85</v>
      </c>
      <c r="BK209" s="104">
        <f t="shared" si="29"/>
        <v>2000</v>
      </c>
      <c r="BL209" s="23" t="s">
        <v>446</v>
      </c>
      <c r="BM209" s="101" t="s">
        <v>1067</v>
      </c>
    </row>
    <row r="210" spans="2:65" s="1" customFormat="1" ht="24.15" customHeight="1">
      <c r="B210" s="12"/>
      <c r="C210" s="71" t="s">
        <v>850</v>
      </c>
      <c r="D210" s="71" t="s">
        <v>214</v>
      </c>
      <c r="E210" s="72" t="s">
        <v>4109</v>
      </c>
      <c r="F210" s="73" t="s">
        <v>4110</v>
      </c>
      <c r="G210" s="74" t="s">
        <v>808</v>
      </c>
      <c r="H210" s="75">
        <v>1</v>
      </c>
      <c r="I210" s="90">
        <v>7500</v>
      </c>
      <c r="J210" s="91">
        <f t="shared" si="20"/>
        <v>7500</v>
      </c>
      <c r="K210" s="92"/>
      <c r="L210" s="12"/>
      <c r="M210" s="93" t="s">
        <v>1</v>
      </c>
      <c r="N210" s="94" t="s">
        <v>42</v>
      </c>
      <c r="P210" s="95">
        <f t="shared" si="21"/>
        <v>0</v>
      </c>
      <c r="Q210" s="95">
        <v>0</v>
      </c>
      <c r="R210" s="95">
        <f t="shared" si="22"/>
        <v>0</v>
      </c>
      <c r="S210" s="95">
        <v>0</v>
      </c>
      <c r="T210" s="99">
        <f t="shared" si="23"/>
        <v>0</v>
      </c>
      <c r="AR210" s="101" t="s">
        <v>446</v>
      </c>
      <c r="AT210" s="101" t="s">
        <v>214</v>
      </c>
      <c r="AU210" s="101" t="s">
        <v>87</v>
      </c>
      <c r="AY210" s="23" t="s">
        <v>211</v>
      </c>
      <c r="BE210" s="104">
        <f t="shared" si="24"/>
        <v>7500</v>
      </c>
      <c r="BF210" s="104">
        <f t="shared" si="25"/>
        <v>0</v>
      </c>
      <c r="BG210" s="104">
        <f t="shared" si="26"/>
        <v>0</v>
      </c>
      <c r="BH210" s="104">
        <f t="shared" si="27"/>
        <v>0</v>
      </c>
      <c r="BI210" s="104">
        <f t="shared" si="28"/>
        <v>0</v>
      </c>
      <c r="BJ210" s="23" t="s">
        <v>85</v>
      </c>
      <c r="BK210" s="104">
        <f t="shared" si="29"/>
        <v>7500</v>
      </c>
      <c r="BL210" s="23" t="s">
        <v>446</v>
      </c>
      <c r="BM210" s="101" t="s">
        <v>1083</v>
      </c>
    </row>
    <row r="211" spans="2:65" s="1" customFormat="1" ht="16.5" customHeight="1">
      <c r="B211" s="12"/>
      <c r="C211" s="71" t="s">
        <v>854</v>
      </c>
      <c r="D211" s="71" t="s">
        <v>214</v>
      </c>
      <c r="E211" s="72" t="s">
        <v>4111</v>
      </c>
      <c r="F211" s="73" t="s">
        <v>4112</v>
      </c>
      <c r="G211" s="74" t="s">
        <v>808</v>
      </c>
      <c r="H211" s="75">
        <v>2</v>
      </c>
      <c r="I211" s="90">
        <v>1200</v>
      </c>
      <c r="J211" s="91">
        <f t="shared" si="20"/>
        <v>2400</v>
      </c>
      <c r="K211" s="92"/>
      <c r="L211" s="12"/>
      <c r="M211" s="93" t="s">
        <v>1</v>
      </c>
      <c r="N211" s="94" t="s">
        <v>42</v>
      </c>
      <c r="P211" s="95">
        <f t="shared" si="21"/>
        <v>0</v>
      </c>
      <c r="Q211" s="95">
        <v>0</v>
      </c>
      <c r="R211" s="95">
        <f t="shared" si="22"/>
        <v>0</v>
      </c>
      <c r="S211" s="95">
        <v>0</v>
      </c>
      <c r="T211" s="99">
        <f t="shared" si="23"/>
        <v>0</v>
      </c>
      <c r="AR211" s="101" t="s">
        <v>446</v>
      </c>
      <c r="AT211" s="101" t="s">
        <v>214</v>
      </c>
      <c r="AU211" s="101" t="s">
        <v>87</v>
      </c>
      <c r="AY211" s="23" t="s">
        <v>211</v>
      </c>
      <c r="BE211" s="104">
        <f t="shared" si="24"/>
        <v>2400</v>
      </c>
      <c r="BF211" s="104">
        <f t="shared" si="25"/>
        <v>0</v>
      </c>
      <c r="BG211" s="104">
        <f t="shared" si="26"/>
        <v>0</v>
      </c>
      <c r="BH211" s="104">
        <f t="shared" si="27"/>
        <v>0</v>
      </c>
      <c r="BI211" s="104">
        <f t="shared" si="28"/>
        <v>0</v>
      </c>
      <c r="BJ211" s="23" t="s">
        <v>85</v>
      </c>
      <c r="BK211" s="104">
        <f t="shared" si="29"/>
        <v>2400</v>
      </c>
      <c r="BL211" s="23" t="s">
        <v>446</v>
      </c>
      <c r="BM211" s="101" t="s">
        <v>1098</v>
      </c>
    </row>
    <row r="212" spans="2:65" s="1" customFormat="1" ht="16.5" customHeight="1">
      <c r="B212" s="12"/>
      <c r="C212" s="71" t="s">
        <v>858</v>
      </c>
      <c r="D212" s="71" t="s">
        <v>214</v>
      </c>
      <c r="E212" s="72" t="s">
        <v>4113</v>
      </c>
      <c r="F212" s="73" t="s">
        <v>4114</v>
      </c>
      <c r="G212" s="74" t="s">
        <v>808</v>
      </c>
      <c r="H212" s="75">
        <v>1</v>
      </c>
      <c r="I212" s="90">
        <v>1000</v>
      </c>
      <c r="J212" s="91">
        <f t="shared" si="20"/>
        <v>1000</v>
      </c>
      <c r="K212" s="92"/>
      <c r="L212" s="12"/>
      <c r="M212" s="93" t="s">
        <v>1</v>
      </c>
      <c r="N212" s="94" t="s">
        <v>42</v>
      </c>
      <c r="P212" s="95">
        <f t="shared" si="21"/>
        <v>0</v>
      </c>
      <c r="Q212" s="95">
        <v>0</v>
      </c>
      <c r="R212" s="95">
        <f t="shared" si="22"/>
        <v>0</v>
      </c>
      <c r="S212" s="95">
        <v>0</v>
      </c>
      <c r="T212" s="99">
        <f t="shared" si="23"/>
        <v>0</v>
      </c>
      <c r="AR212" s="101" t="s">
        <v>446</v>
      </c>
      <c r="AT212" s="101" t="s">
        <v>214</v>
      </c>
      <c r="AU212" s="101" t="s">
        <v>87</v>
      </c>
      <c r="AY212" s="23" t="s">
        <v>211</v>
      </c>
      <c r="BE212" s="104">
        <f t="shared" si="24"/>
        <v>1000</v>
      </c>
      <c r="BF212" s="104">
        <f t="shared" si="25"/>
        <v>0</v>
      </c>
      <c r="BG212" s="104">
        <f t="shared" si="26"/>
        <v>0</v>
      </c>
      <c r="BH212" s="104">
        <f t="shared" si="27"/>
        <v>0</v>
      </c>
      <c r="BI212" s="104">
        <f t="shared" si="28"/>
        <v>0</v>
      </c>
      <c r="BJ212" s="23" t="s">
        <v>85</v>
      </c>
      <c r="BK212" s="104">
        <f t="shared" si="29"/>
        <v>1000</v>
      </c>
      <c r="BL212" s="23" t="s">
        <v>446</v>
      </c>
      <c r="BM212" s="101" t="s">
        <v>1112</v>
      </c>
    </row>
    <row r="213" spans="2:65" s="1" customFormat="1" ht="16.5" customHeight="1">
      <c r="B213" s="12"/>
      <c r="C213" s="71" t="s">
        <v>862</v>
      </c>
      <c r="D213" s="71" t="s">
        <v>214</v>
      </c>
      <c r="E213" s="72" t="s">
        <v>4115</v>
      </c>
      <c r="F213" s="73" t="s">
        <v>4116</v>
      </c>
      <c r="G213" s="74" t="s">
        <v>808</v>
      </c>
      <c r="H213" s="75">
        <v>2</v>
      </c>
      <c r="I213" s="90">
        <v>1000</v>
      </c>
      <c r="J213" s="91">
        <f t="shared" si="20"/>
        <v>2000</v>
      </c>
      <c r="K213" s="92"/>
      <c r="L213" s="12"/>
      <c r="M213" s="93" t="s">
        <v>1</v>
      </c>
      <c r="N213" s="94" t="s">
        <v>42</v>
      </c>
      <c r="P213" s="95">
        <f t="shared" si="21"/>
        <v>0</v>
      </c>
      <c r="Q213" s="95">
        <v>0</v>
      </c>
      <c r="R213" s="95">
        <f t="shared" si="22"/>
        <v>0</v>
      </c>
      <c r="S213" s="95">
        <v>0</v>
      </c>
      <c r="T213" s="99">
        <f t="shared" si="23"/>
        <v>0</v>
      </c>
      <c r="AR213" s="101" t="s">
        <v>446</v>
      </c>
      <c r="AT213" s="101" t="s">
        <v>214</v>
      </c>
      <c r="AU213" s="101" t="s">
        <v>87</v>
      </c>
      <c r="AY213" s="23" t="s">
        <v>211</v>
      </c>
      <c r="BE213" s="104">
        <f t="shared" si="24"/>
        <v>2000</v>
      </c>
      <c r="BF213" s="104">
        <f t="shared" si="25"/>
        <v>0</v>
      </c>
      <c r="BG213" s="104">
        <f t="shared" si="26"/>
        <v>0</v>
      </c>
      <c r="BH213" s="104">
        <f t="shared" si="27"/>
        <v>0</v>
      </c>
      <c r="BI213" s="104">
        <f t="shared" si="28"/>
        <v>0</v>
      </c>
      <c r="BJ213" s="23" t="s">
        <v>85</v>
      </c>
      <c r="BK213" s="104">
        <f t="shared" si="29"/>
        <v>2000</v>
      </c>
      <c r="BL213" s="23" t="s">
        <v>446</v>
      </c>
      <c r="BM213" s="101" t="s">
        <v>1129</v>
      </c>
    </row>
    <row r="214" spans="2:65" s="1" customFormat="1" ht="16.5" customHeight="1">
      <c r="B214" s="12"/>
      <c r="C214" s="71" t="s">
        <v>874</v>
      </c>
      <c r="D214" s="71" t="s">
        <v>214</v>
      </c>
      <c r="E214" s="72" t="s">
        <v>4117</v>
      </c>
      <c r="F214" s="73" t="s">
        <v>4118</v>
      </c>
      <c r="G214" s="74" t="s">
        <v>808</v>
      </c>
      <c r="H214" s="75">
        <v>1</v>
      </c>
      <c r="I214" s="90">
        <v>35000</v>
      </c>
      <c r="J214" s="91">
        <f t="shared" si="20"/>
        <v>35000</v>
      </c>
      <c r="K214" s="92"/>
      <c r="L214" s="12"/>
      <c r="M214" s="93" t="s">
        <v>1</v>
      </c>
      <c r="N214" s="94" t="s">
        <v>42</v>
      </c>
      <c r="P214" s="95">
        <f t="shared" si="21"/>
        <v>0</v>
      </c>
      <c r="Q214" s="95">
        <v>0</v>
      </c>
      <c r="R214" s="95">
        <f t="shared" si="22"/>
        <v>0</v>
      </c>
      <c r="S214" s="95">
        <v>0</v>
      </c>
      <c r="T214" s="99">
        <f t="shared" si="23"/>
        <v>0</v>
      </c>
      <c r="AR214" s="101" t="s">
        <v>446</v>
      </c>
      <c r="AT214" s="101" t="s">
        <v>214</v>
      </c>
      <c r="AU214" s="101" t="s">
        <v>87</v>
      </c>
      <c r="AY214" s="23" t="s">
        <v>211</v>
      </c>
      <c r="BE214" s="104">
        <f t="shared" si="24"/>
        <v>35000</v>
      </c>
      <c r="BF214" s="104">
        <f t="shared" si="25"/>
        <v>0</v>
      </c>
      <c r="BG214" s="104">
        <f t="shared" si="26"/>
        <v>0</v>
      </c>
      <c r="BH214" s="104">
        <f t="shared" si="27"/>
        <v>0</v>
      </c>
      <c r="BI214" s="104">
        <f t="shared" si="28"/>
        <v>0</v>
      </c>
      <c r="BJ214" s="23" t="s">
        <v>85</v>
      </c>
      <c r="BK214" s="104">
        <f t="shared" si="29"/>
        <v>35000</v>
      </c>
      <c r="BL214" s="23" t="s">
        <v>446</v>
      </c>
      <c r="BM214" s="101" t="s">
        <v>1141</v>
      </c>
    </row>
    <row r="215" spans="2:65" s="1" customFormat="1" ht="16.5" customHeight="1">
      <c r="B215" s="12"/>
      <c r="C215" s="71" t="s">
        <v>883</v>
      </c>
      <c r="D215" s="71" t="s">
        <v>214</v>
      </c>
      <c r="E215" s="72" t="s">
        <v>4119</v>
      </c>
      <c r="F215" s="73" t="s">
        <v>4120</v>
      </c>
      <c r="G215" s="74" t="s">
        <v>808</v>
      </c>
      <c r="H215" s="75">
        <v>3</v>
      </c>
      <c r="I215" s="90">
        <v>500</v>
      </c>
      <c r="J215" s="91">
        <f t="shared" si="20"/>
        <v>1500</v>
      </c>
      <c r="K215" s="92"/>
      <c r="L215" s="12"/>
      <c r="M215" s="93" t="s">
        <v>1</v>
      </c>
      <c r="N215" s="94" t="s">
        <v>42</v>
      </c>
      <c r="P215" s="95">
        <f t="shared" si="21"/>
        <v>0</v>
      </c>
      <c r="Q215" s="95">
        <v>0</v>
      </c>
      <c r="R215" s="95">
        <f t="shared" si="22"/>
        <v>0</v>
      </c>
      <c r="S215" s="95">
        <v>0</v>
      </c>
      <c r="T215" s="99">
        <f t="shared" si="23"/>
        <v>0</v>
      </c>
      <c r="AR215" s="101" t="s">
        <v>446</v>
      </c>
      <c r="AT215" s="101" t="s">
        <v>214</v>
      </c>
      <c r="AU215" s="101" t="s">
        <v>87</v>
      </c>
      <c r="AY215" s="23" t="s">
        <v>211</v>
      </c>
      <c r="BE215" s="104">
        <f t="shared" si="24"/>
        <v>1500</v>
      </c>
      <c r="BF215" s="104">
        <f t="shared" si="25"/>
        <v>0</v>
      </c>
      <c r="BG215" s="104">
        <f t="shared" si="26"/>
        <v>0</v>
      </c>
      <c r="BH215" s="104">
        <f t="shared" si="27"/>
        <v>0</v>
      </c>
      <c r="BI215" s="104">
        <f t="shared" si="28"/>
        <v>0</v>
      </c>
      <c r="BJ215" s="23" t="s">
        <v>85</v>
      </c>
      <c r="BK215" s="104">
        <f t="shared" si="29"/>
        <v>1500</v>
      </c>
      <c r="BL215" s="23" t="s">
        <v>446</v>
      </c>
      <c r="BM215" s="101" t="s">
        <v>1153</v>
      </c>
    </row>
    <row r="216" spans="2:65" s="1" customFormat="1" ht="16.5" customHeight="1">
      <c r="B216" s="12"/>
      <c r="C216" s="71" t="s">
        <v>895</v>
      </c>
      <c r="D216" s="71" t="s">
        <v>214</v>
      </c>
      <c r="E216" s="72" t="s">
        <v>4121</v>
      </c>
      <c r="F216" s="73" t="s">
        <v>4122</v>
      </c>
      <c r="G216" s="74" t="s">
        <v>808</v>
      </c>
      <c r="H216" s="75">
        <v>1</v>
      </c>
      <c r="I216" s="90">
        <v>500</v>
      </c>
      <c r="J216" s="91">
        <f t="shared" si="20"/>
        <v>500</v>
      </c>
      <c r="K216" s="92"/>
      <c r="L216" s="12"/>
      <c r="M216" s="93" t="s">
        <v>1</v>
      </c>
      <c r="N216" s="94" t="s">
        <v>42</v>
      </c>
      <c r="P216" s="95">
        <f t="shared" si="21"/>
        <v>0</v>
      </c>
      <c r="Q216" s="95">
        <v>0</v>
      </c>
      <c r="R216" s="95">
        <f t="shared" si="22"/>
        <v>0</v>
      </c>
      <c r="S216" s="95">
        <v>0</v>
      </c>
      <c r="T216" s="99">
        <f t="shared" si="23"/>
        <v>0</v>
      </c>
      <c r="AR216" s="101" t="s">
        <v>446</v>
      </c>
      <c r="AT216" s="101" t="s">
        <v>214</v>
      </c>
      <c r="AU216" s="101" t="s">
        <v>87</v>
      </c>
      <c r="AY216" s="23" t="s">
        <v>211</v>
      </c>
      <c r="BE216" s="104">
        <f t="shared" si="24"/>
        <v>500</v>
      </c>
      <c r="BF216" s="104">
        <f t="shared" si="25"/>
        <v>0</v>
      </c>
      <c r="BG216" s="104">
        <f t="shared" si="26"/>
        <v>0</v>
      </c>
      <c r="BH216" s="104">
        <f t="shared" si="27"/>
        <v>0</v>
      </c>
      <c r="BI216" s="104">
        <f t="shared" si="28"/>
        <v>0</v>
      </c>
      <c r="BJ216" s="23" t="s">
        <v>85</v>
      </c>
      <c r="BK216" s="104">
        <f t="shared" si="29"/>
        <v>500</v>
      </c>
      <c r="BL216" s="23" t="s">
        <v>446</v>
      </c>
      <c r="BM216" s="101" t="s">
        <v>1167</v>
      </c>
    </row>
    <row r="217" spans="2:65" s="1" customFormat="1" ht="16.5" customHeight="1">
      <c r="B217" s="12"/>
      <c r="C217" s="71" t="s">
        <v>905</v>
      </c>
      <c r="D217" s="71" t="s">
        <v>214</v>
      </c>
      <c r="E217" s="72" t="s">
        <v>4123</v>
      </c>
      <c r="F217" s="73" t="s">
        <v>4124</v>
      </c>
      <c r="G217" s="74" t="s">
        <v>808</v>
      </c>
      <c r="H217" s="75">
        <v>1</v>
      </c>
      <c r="I217" s="90">
        <v>400</v>
      </c>
      <c r="J217" s="91">
        <f t="shared" si="20"/>
        <v>400</v>
      </c>
      <c r="K217" s="92"/>
      <c r="L217" s="12"/>
      <c r="M217" s="93" t="s">
        <v>1</v>
      </c>
      <c r="N217" s="94" t="s">
        <v>42</v>
      </c>
      <c r="P217" s="95">
        <f t="shared" si="21"/>
        <v>0</v>
      </c>
      <c r="Q217" s="95">
        <v>0</v>
      </c>
      <c r="R217" s="95">
        <f t="shared" si="22"/>
        <v>0</v>
      </c>
      <c r="S217" s="95">
        <v>0</v>
      </c>
      <c r="T217" s="99">
        <f t="shared" si="23"/>
        <v>0</v>
      </c>
      <c r="AR217" s="101" t="s">
        <v>446</v>
      </c>
      <c r="AT217" s="101" t="s">
        <v>214</v>
      </c>
      <c r="AU217" s="101" t="s">
        <v>87</v>
      </c>
      <c r="AY217" s="23" t="s">
        <v>211</v>
      </c>
      <c r="BE217" s="104">
        <f t="shared" si="24"/>
        <v>400</v>
      </c>
      <c r="BF217" s="104">
        <f t="shared" si="25"/>
        <v>0</v>
      </c>
      <c r="BG217" s="104">
        <f t="shared" si="26"/>
        <v>0</v>
      </c>
      <c r="BH217" s="104">
        <f t="shared" si="27"/>
        <v>0</v>
      </c>
      <c r="BI217" s="104">
        <f t="shared" si="28"/>
        <v>0</v>
      </c>
      <c r="BJ217" s="23" t="s">
        <v>85</v>
      </c>
      <c r="BK217" s="104">
        <f t="shared" si="29"/>
        <v>400</v>
      </c>
      <c r="BL217" s="23" t="s">
        <v>446</v>
      </c>
      <c r="BM217" s="101" t="s">
        <v>1179</v>
      </c>
    </row>
    <row r="218" spans="2:65" s="1" customFormat="1" ht="16.5" customHeight="1">
      <c r="B218" s="12"/>
      <c r="C218" s="71" t="s">
        <v>913</v>
      </c>
      <c r="D218" s="71" t="s">
        <v>214</v>
      </c>
      <c r="E218" s="72" t="s">
        <v>4125</v>
      </c>
      <c r="F218" s="73" t="s">
        <v>4126</v>
      </c>
      <c r="G218" s="74" t="s">
        <v>808</v>
      </c>
      <c r="H218" s="75">
        <v>206</v>
      </c>
      <c r="I218" s="90">
        <v>350</v>
      </c>
      <c r="J218" s="91">
        <f t="shared" si="20"/>
        <v>72100</v>
      </c>
      <c r="K218" s="92"/>
      <c r="L218" s="12"/>
      <c r="M218" s="93" t="s">
        <v>1</v>
      </c>
      <c r="N218" s="94" t="s">
        <v>42</v>
      </c>
      <c r="P218" s="95">
        <f t="shared" si="21"/>
        <v>0</v>
      </c>
      <c r="Q218" s="95">
        <v>0</v>
      </c>
      <c r="R218" s="95">
        <f t="shared" si="22"/>
        <v>0</v>
      </c>
      <c r="S218" s="95">
        <v>0</v>
      </c>
      <c r="T218" s="99">
        <f t="shared" si="23"/>
        <v>0</v>
      </c>
      <c r="AR218" s="101" t="s">
        <v>446</v>
      </c>
      <c r="AT218" s="101" t="s">
        <v>214</v>
      </c>
      <c r="AU218" s="101" t="s">
        <v>87</v>
      </c>
      <c r="AY218" s="23" t="s">
        <v>211</v>
      </c>
      <c r="BE218" s="104">
        <f t="shared" si="24"/>
        <v>72100</v>
      </c>
      <c r="BF218" s="104">
        <f t="shared" si="25"/>
        <v>0</v>
      </c>
      <c r="BG218" s="104">
        <f t="shared" si="26"/>
        <v>0</v>
      </c>
      <c r="BH218" s="104">
        <f t="shared" si="27"/>
        <v>0</v>
      </c>
      <c r="BI218" s="104">
        <f t="shared" si="28"/>
        <v>0</v>
      </c>
      <c r="BJ218" s="23" t="s">
        <v>85</v>
      </c>
      <c r="BK218" s="104">
        <f t="shared" si="29"/>
        <v>72100</v>
      </c>
      <c r="BL218" s="23" t="s">
        <v>446</v>
      </c>
      <c r="BM218" s="101" t="s">
        <v>1187</v>
      </c>
    </row>
    <row r="219" spans="2:65" s="1" customFormat="1" ht="16.5" customHeight="1">
      <c r="B219" s="12"/>
      <c r="C219" s="71" t="s">
        <v>919</v>
      </c>
      <c r="D219" s="71" t="s">
        <v>214</v>
      </c>
      <c r="E219" s="72" t="s">
        <v>4127</v>
      </c>
      <c r="F219" s="73" t="s">
        <v>4128</v>
      </c>
      <c r="G219" s="74" t="s">
        <v>808</v>
      </c>
      <c r="H219" s="75">
        <v>10</v>
      </c>
      <c r="I219" s="90">
        <v>1200</v>
      </c>
      <c r="J219" s="91">
        <f t="shared" si="20"/>
        <v>12000</v>
      </c>
      <c r="K219" s="92"/>
      <c r="L219" s="12"/>
      <c r="M219" s="93" t="s">
        <v>1</v>
      </c>
      <c r="N219" s="94" t="s">
        <v>42</v>
      </c>
      <c r="P219" s="95">
        <f t="shared" si="21"/>
        <v>0</v>
      </c>
      <c r="Q219" s="95">
        <v>0</v>
      </c>
      <c r="R219" s="95">
        <f t="shared" si="22"/>
        <v>0</v>
      </c>
      <c r="S219" s="95">
        <v>0</v>
      </c>
      <c r="T219" s="99">
        <f t="shared" si="23"/>
        <v>0</v>
      </c>
      <c r="AR219" s="101" t="s">
        <v>446</v>
      </c>
      <c r="AT219" s="101" t="s">
        <v>214</v>
      </c>
      <c r="AU219" s="101" t="s">
        <v>87</v>
      </c>
      <c r="AY219" s="23" t="s">
        <v>211</v>
      </c>
      <c r="BE219" s="104">
        <f t="shared" si="24"/>
        <v>12000</v>
      </c>
      <c r="BF219" s="104">
        <f t="shared" si="25"/>
        <v>0</v>
      </c>
      <c r="BG219" s="104">
        <f t="shared" si="26"/>
        <v>0</v>
      </c>
      <c r="BH219" s="104">
        <f t="shared" si="27"/>
        <v>0</v>
      </c>
      <c r="BI219" s="104">
        <f t="shared" si="28"/>
        <v>0</v>
      </c>
      <c r="BJ219" s="23" t="s">
        <v>85</v>
      </c>
      <c r="BK219" s="104">
        <f t="shared" si="29"/>
        <v>12000</v>
      </c>
      <c r="BL219" s="23" t="s">
        <v>446</v>
      </c>
      <c r="BM219" s="101" t="s">
        <v>1195</v>
      </c>
    </row>
    <row r="220" spans="2:65" s="1" customFormat="1" ht="16.5" customHeight="1">
      <c r="B220" s="12"/>
      <c r="C220" s="71" t="s">
        <v>927</v>
      </c>
      <c r="D220" s="71" t="s">
        <v>214</v>
      </c>
      <c r="E220" s="72" t="s">
        <v>4129</v>
      </c>
      <c r="F220" s="73" t="s">
        <v>4130</v>
      </c>
      <c r="G220" s="74" t="s">
        <v>444</v>
      </c>
      <c r="H220" s="75">
        <v>2567</v>
      </c>
      <c r="I220" s="90">
        <v>70</v>
      </c>
      <c r="J220" s="91">
        <f t="shared" si="20"/>
        <v>179690</v>
      </c>
      <c r="K220" s="92"/>
      <c r="L220" s="12"/>
      <c r="M220" s="130" t="s">
        <v>1</v>
      </c>
      <c r="N220" s="131" t="s">
        <v>42</v>
      </c>
      <c r="O220" s="110"/>
      <c r="P220" s="132">
        <f t="shared" si="21"/>
        <v>0</v>
      </c>
      <c r="Q220" s="132">
        <v>0</v>
      </c>
      <c r="R220" s="132">
        <f t="shared" si="22"/>
        <v>0</v>
      </c>
      <c r="S220" s="132">
        <v>0</v>
      </c>
      <c r="T220" s="134">
        <f t="shared" si="23"/>
        <v>0</v>
      </c>
      <c r="AR220" s="101" t="s">
        <v>446</v>
      </c>
      <c r="AT220" s="101" t="s">
        <v>214</v>
      </c>
      <c r="AU220" s="101" t="s">
        <v>87</v>
      </c>
      <c r="AY220" s="23" t="s">
        <v>211</v>
      </c>
      <c r="BE220" s="104">
        <f t="shared" si="24"/>
        <v>179690</v>
      </c>
      <c r="BF220" s="104">
        <f t="shared" si="25"/>
        <v>0</v>
      </c>
      <c r="BG220" s="104">
        <f t="shared" si="26"/>
        <v>0</v>
      </c>
      <c r="BH220" s="104">
        <f t="shared" si="27"/>
        <v>0</v>
      </c>
      <c r="BI220" s="104">
        <f t="shared" si="28"/>
        <v>0</v>
      </c>
      <c r="BJ220" s="23" t="s">
        <v>85</v>
      </c>
      <c r="BK220" s="104">
        <f t="shared" si="29"/>
        <v>179690</v>
      </c>
      <c r="BL220" s="23" t="s">
        <v>446</v>
      </c>
      <c r="BM220" s="101" t="s">
        <v>1211</v>
      </c>
    </row>
    <row r="221" spans="2:65" s="1" customFormat="1" ht="6.9" customHeight="1">
      <c r="B221" s="26"/>
      <c r="C221" s="27"/>
      <c r="D221" s="27"/>
      <c r="E221" s="27"/>
      <c r="F221" s="27"/>
      <c r="G221" s="27"/>
      <c r="H221" s="27"/>
      <c r="I221" s="27"/>
      <c r="J221" s="27"/>
      <c r="K221" s="27"/>
      <c r="L221" s="12"/>
    </row>
  </sheetData>
  <autoFilter ref="C123:K220" xr:uid="{00000000-0009-0000-0000-000004000000}"/>
  <mergeCells count="12">
    <mergeCell ref="L2:V2"/>
    <mergeCell ref="E7:H7"/>
    <mergeCell ref="E9:H9"/>
    <mergeCell ref="E11:H11"/>
    <mergeCell ref="E20:H20"/>
    <mergeCell ref="E114:H114"/>
    <mergeCell ref="E116:H116"/>
    <mergeCell ref="E29:H29"/>
    <mergeCell ref="E85:H85"/>
    <mergeCell ref="E87:H87"/>
    <mergeCell ref="E89:H89"/>
    <mergeCell ref="E112:H112"/>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BM165"/>
  <sheetViews>
    <sheetView showGridLines="0" topLeftCell="A119" workbookViewId="0">
      <selection activeCell="I165" sqref="I165"/>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104</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2" customHeight="1">
      <c r="B8" s="5"/>
      <c r="D8" s="10" t="s">
        <v>182</v>
      </c>
      <c r="L8" s="5"/>
    </row>
    <row r="9" spans="2:46" s="1" customFormat="1" ht="16.5" customHeight="1">
      <c r="B9" s="12"/>
      <c r="E9" s="392" t="s">
        <v>293</v>
      </c>
      <c r="F9" s="394"/>
      <c r="G9" s="394"/>
      <c r="H9" s="394"/>
      <c r="L9" s="12"/>
    </row>
    <row r="10" spans="2:46" s="1" customFormat="1" ht="12" customHeight="1">
      <c r="B10" s="12"/>
      <c r="D10" s="10" t="s">
        <v>296</v>
      </c>
      <c r="L10" s="12"/>
    </row>
    <row r="11" spans="2:46" s="1" customFormat="1" ht="16.5" customHeight="1">
      <c r="B11" s="12"/>
      <c r="E11" s="381" t="s">
        <v>4131</v>
      </c>
      <c r="F11" s="394"/>
      <c r="G11" s="394"/>
      <c r="H11" s="394"/>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395" t="str">
        <f>'Rekapitulace stavby'!E14</f>
        <v>DMG Stav a.s.</v>
      </c>
      <c r="F20" s="384"/>
      <c r="G20" s="384"/>
      <c r="H20" s="384"/>
      <c r="I20" s="10" t="s">
        <v>26</v>
      </c>
      <c r="J20" s="33" t="str">
        <f>'Rekapitulace stavby'!AN14</f>
        <v>CZ 08004013</v>
      </c>
      <c r="L20" s="12"/>
    </row>
    <row r="21" spans="2:12" s="1" customFormat="1" ht="6.9"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 customHeight="1">
      <c r="B27" s="12"/>
      <c r="L27" s="12"/>
    </row>
    <row r="28" spans="2:12" s="1" customFormat="1" ht="12" customHeight="1">
      <c r="B28" s="12"/>
      <c r="D28" s="10" t="s">
        <v>36</v>
      </c>
      <c r="L28" s="12"/>
    </row>
    <row r="29" spans="2:12" s="28" customFormat="1" ht="16.5" customHeight="1">
      <c r="B29" s="34"/>
      <c r="E29" s="388" t="s">
        <v>1</v>
      </c>
      <c r="F29" s="388"/>
      <c r="G29" s="388"/>
      <c r="H29" s="388"/>
      <c r="L29" s="34"/>
    </row>
    <row r="30" spans="2:12" s="1" customFormat="1" ht="6.9" customHeight="1">
      <c r="B30" s="12"/>
      <c r="L30" s="12"/>
    </row>
    <row r="31" spans="2:12" s="1" customFormat="1" ht="6.9" customHeight="1">
      <c r="B31" s="12"/>
      <c r="D31" s="35"/>
      <c r="E31" s="35"/>
      <c r="F31" s="35"/>
      <c r="G31" s="35"/>
      <c r="H31" s="35"/>
      <c r="I31" s="35"/>
      <c r="J31" s="35"/>
      <c r="K31" s="35"/>
      <c r="L31" s="12"/>
    </row>
    <row r="32" spans="2:12" s="1" customFormat="1" ht="25.35" customHeight="1">
      <c r="B32" s="12"/>
      <c r="D32" s="36" t="s">
        <v>37</v>
      </c>
      <c r="J32" s="51">
        <f>ROUND(J122,2)</f>
        <v>78000</v>
      </c>
      <c r="L32" s="12"/>
    </row>
    <row r="33" spans="2:12" s="1" customFormat="1" ht="6.9" customHeight="1">
      <c r="B33" s="12"/>
      <c r="D33" s="35"/>
      <c r="E33" s="35"/>
      <c r="F33" s="35"/>
      <c r="G33" s="35"/>
      <c r="H33" s="35"/>
      <c r="I33" s="35"/>
      <c r="J33" s="35"/>
      <c r="K33" s="35"/>
      <c r="L33" s="12"/>
    </row>
    <row r="34" spans="2:12" s="1" customFormat="1" ht="14.4" customHeight="1">
      <c r="B34" s="12"/>
      <c r="F34" s="37" t="s">
        <v>39</v>
      </c>
      <c r="I34" s="37" t="s">
        <v>38</v>
      </c>
      <c r="J34" s="37" t="s">
        <v>40</v>
      </c>
      <c r="L34" s="12"/>
    </row>
    <row r="35" spans="2:12" s="1" customFormat="1" ht="14.4" customHeight="1">
      <c r="B35" s="12"/>
      <c r="D35" s="38" t="s">
        <v>41</v>
      </c>
      <c r="E35" s="10" t="s">
        <v>42</v>
      </c>
      <c r="F35" s="39">
        <f>ROUND((SUM(BE122:BE164)),2)</f>
        <v>78000</v>
      </c>
      <c r="I35" s="52">
        <v>0.21</v>
      </c>
      <c r="J35" s="39">
        <f>ROUND(((SUM(BE122:BE164))*I35),2)</f>
        <v>16380</v>
      </c>
      <c r="L35" s="12"/>
    </row>
    <row r="36" spans="2:12" s="1" customFormat="1" ht="14.4" customHeight="1">
      <c r="B36" s="12"/>
      <c r="E36" s="10" t="s">
        <v>43</v>
      </c>
      <c r="F36" s="39">
        <f>ROUND((SUM(BF122:BF164)),2)</f>
        <v>0</v>
      </c>
      <c r="I36" s="52">
        <v>0.15</v>
      </c>
      <c r="J36" s="39">
        <f>ROUND(((SUM(BF122:BF164))*I36),2)</f>
        <v>0</v>
      </c>
      <c r="L36" s="12"/>
    </row>
    <row r="37" spans="2:12" s="1" customFormat="1" ht="14.4" hidden="1" customHeight="1">
      <c r="B37" s="12"/>
      <c r="E37" s="10" t="s">
        <v>44</v>
      </c>
      <c r="F37" s="39">
        <f>ROUND((SUM(BG122:BG164)),2)</f>
        <v>0</v>
      </c>
      <c r="I37" s="52">
        <v>0.21</v>
      </c>
      <c r="J37" s="39">
        <f>0</f>
        <v>0</v>
      </c>
      <c r="L37" s="12"/>
    </row>
    <row r="38" spans="2:12" s="1" customFormat="1" ht="14.4" hidden="1" customHeight="1">
      <c r="B38" s="12"/>
      <c r="E38" s="10" t="s">
        <v>45</v>
      </c>
      <c r="F38" s="39">
        <f>ROUND((SUM(BH122:BH164)),2)</f>
        <v>0</v>
      </c>
      <c r="I38" s="52">
        <v>0.15</v>
      </c>
      <c r="J38" s="39">
        <f>0</f>
        <v>0</v>
      </c>
      <c r="L38" s="12"/>
    </row>
    <row r="39" spans="2:12" s="1" customFormat="1" ht="14.4" hidden="1" customHeight="1">
      <c r="B39" s="12"/>
      <c r="E39" s="10" t="s">
        <v>46</v>
      </c>
      <c r="F39" s="39">
        <f>ROUND((SUM(BI122:BI164)),2)</f>
        <v>0</v>
      </c>
      <c r="I39" s="52">
        <v>0</v>
      </c>
      <c r="J39" s="39">
        <f>0</f>
        <v>0</v>
      </c>
      <c r="L39" s="12"/>
    </row>
    <row r="40" spans="2:12" s="1" customFormat="1" ht="6.9" customHeight="1">
      <c r="B40" s="12"/>
      <c r="L40" s="12"/>
    </row>
    <row r="41" spans="2:12" s="1" customFormat="1" ht="25.35" customHeight="1">
      <c r="B41" s="12"/>
      <c r="C41" s="40"/>
      <c r="D41" s="41" t="s">
        <v>47</v>
      </c>
      <c r="E41" s="42"/>
      <c r="F41" s="42"/>
      <c r="G41" s="43" t="s">
        <v>48</v>
      </c>
      <c r="H41" s="44" t="s">
        <v>49</v>
      </c>
      <c r="I41" s="42"/>
      <c r="J41" s="53">
        <f>SUM(J32:J39)</f>
        <v>94380</v>
      </c>
      <c r="K41" s="54"/>
      <c r="L41" s="12"/>
    </row>
    <row r="42" spans="2:12" s="1" customFormat="1" ht="14.4" customHeight="1">
      <c r="B42" s="12"/>
      <c r="L42" s="12"/>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s="1" customFormat="1" ht="16.5" customHeight="1">
      <c r="B87" s="12"/>
      <c r="E87" s="392" t="s">
        <v>293</v>
      </c>
      <c r="F87" s="394"/>
      <c r="G87" s="394"/>
      <c r="H87" s="394"/>
      <c r="L87" s="12"/>
    </row>
    <row r="88" spans="2:12" s="1" customFormat="1" ht="12" customHeight="1">
      <c r="B88" s="12"/>
      <c r="C88" s="10" t="s">
        <v>296</v>
      </c>
      <c r="L88" s="12"/>
    </row>
    <row r="89" spans="2:12" s="1" customFormat="1" ht="16.5" customHeight="1">
      <c r="B89" s="12"/>
      <c r="E89" s="381" t="str">
        <f>E11</f>
        <v>D1.430 - ZTI - Plynovod</v>
      </c>
      <c r="F89" s="394"/>
      <c r="G89" s="394"/>
      <c r="H89" s="394"/>
      <c r="L89" s="12"/>
    </row>
    <row r="90" spans="2:12" s="1" customFormat="1" ht="6.9" customHeight="1">
      <c r="B90" s="12"/>
      <c r="L90" s="12"/>
    </row>
    <row r="91" spans="2:12" s="1" customFormat="1" ht="12" customHeight="1">
      <c r="B91" s="12"/>
      <c r="C91" s="10" t="s">
        <v>20</v>
      </c>
      <c r="F91" s="32" t="str">
        <f>F14</f>
        <v>Praha</v>
      </c>
      <c r="I91" s="10" t="s">
        <v>22</v>
      </c>
      <c r="J91" s="11">
        <f>IF(J14="","",J14)</f>
        <v>45000</v>
      </c>
      <c r="L91" s="12"/>
    </row>
    <row r="92" spans="2:12" s="1" customFormat="1" ht="6.9" customHeight="1">
      <c r="B92" s="12"/>
      <c r="L92" s="12"/>
    </row>
    <row r="93" spans="2:12" s="1" customFormat="1" ht="15.15" customHeight="1">
      <c r="B93" s="12"/>
      <c r="C93" s="10" t="s">
        <v>23</v>
      </c>
      <c r="F93" s="32" t="str">
        <f>E17</f>
        <v>VELTON REAL ESTATE</v>
      </c>
      <c r="I93" s="10" t="s">
        <v>31</v>
      </c>
      <c r="J93" s="8" t="str">
        <f>E23</f>
        <v>ABMV World s.r.o</v>
      </c>
      <c r="L93" s="12"/>
    </row>
    <row r="94" spans="2:12" s="1" customFormat="1" ht="15.15"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J122</f>
        <v>78000</v>
      </c>
      <c r="L98" s="12"/>
      <c r="AU98" s="23" t="s">
        <v>188</v>
      </c>
    </row>
    <row r="99" spans="2:47" s="29" customFormat="1" ht="24.9" customHeight="1">
      <c r="B99" s="60"/>
      <c r="D99" s="61" t="s">
        <v>4132</v>
      </c>
      <c r="E99" s="62"/>
      <c r="F99" s="62"/>
      <c r="G99" s="62"/>
      <c r="H99" s="62"/>
      <c r="I99" s="62"/>
      <c r="J99" s="77">
        <f>J123</f>
        <v>50640</v>
      </c>
      <c r="L99" s="60"/>
    </row>
    <row r="100" spans="2:47" s="29" customFormat="1" ht="24.9" customHeight="1">
      <c r="B100" s="60"/>
      <c r="D100" s="61" t="s">
        <v>4133</v>
      </c>
      <c r="E100" s="62"/>
      <c r="F100" s="62"/>
      <c r="G100" s="62"/>
      <c r="H100" s="62"/>
      <c r="I100" s="62"/>
      <c r="J100" s="77">
        <f>J148</f>
        <v>27360</v>
      </c>
      <c r="L100" s="60"/>
    </row>
    <row r="101" spans="2:47" s="1" customFormat="1" ht="21.75" customHeight="1">
      <c r="B101" s="12"/>
      <c r="L101" s="12"/>
    </row>
    <row r="102" spans="2:47" s="1" customFormat="1" ht="6.9" customHeight="1">
      <c r="B102" s="26"/>
      <c r="C102" s="27"/>
      <c r="D102" s="27"/>
      <c r="E102" s="27"/>
      <c r="F102" s="27"/>
      <c r="G102" s="27"/>
      <c r="H102" s="27"/>
      <c r="I102" s="27"/>
      <c r="J102" s="27"/>
      <c r="K102" s="27"/>
      <c r="L102" s="12"/>
    </row>
    <row r="106" spans="2:47" s="1" customFormat="1" ht="6.9" customHeight="1">
      <c r="B106" s="56"/>
      <c r="C106" s="57"/>
      <c r="D106" s="57"/>
      <c r="E106" s="57"/>
      <c r="F106" s="57"/>
      <c r="G106" s="57"/>
      <c r="H106" s="57"/>
      <c r="I106" s="57"/>
      <c r="J106" s="57"/>
      <c r="K106" s="57"/>
      <c r="L106" s="12"/>
    </row>
    <row r="107" spans="2:47" s="1" customFormat="1" ht="24.9" customHeight="1">
      <c r="B107" s="12"/>
      <c r="C107" s="6" t="s">
        <v>195</v>
      </c>
      <c r="L107" s="12"/>
    </row>
    <row r="108" spans="2:47" s="1" customFormat="1" ht="6.9" customHeight="1">
      <c r="B108" s="12"/>
      <c r="L108" s="12"/>
    </row>
    <row r="109" spans="2:47" s="1" customFormat="1" ht="12" customHeight="1">
      <c r="B109" s="12"/>
      <c r="C109" s="10" t="s">
        <v>16</v>
      </c>
      <c r="L109" s="12"/>
    </row>
    <row r="110" spans="2:47" s="1" customFormat="1" ht="16.5" customHeight="1">
      <c r="B110" s="12"/>
      <c r="E110" s="392" t="str">
        <f>E7</f>
        <v>Bytový soubor Libuše</v>
      </c>
      <c r="F110" s="393"/>
      <c r="G110" s="393"/>
      <c r="H110" s="393"/>
      <c r="L110" s="12"/>
    </row>
    <row r="111" spans="2:47" ht="12" customHeight="1">
      <c r="B111" s="5"/>
      <c r="C111" s="10" t="s">
        <v>182</v>
      </c>
      <c r="L111" s="5"/>
    </row>
    <row r="112" spans="2:47" s="1" customFormat="1" ht="16.5" customHeight="1">
      <c r="B112" s="12"/>
      <c r="E112" s="392" t="s">
        <v>293</v>
      </c>
      <c r="F112" s="394"/>
      <c r="G112" s="394"/>
      <c r="H112" s="394"/>
      <c r="L112" s="12"/>
    </row>
    <row r="113" spans="2:65" s="1" customFormat="1" ht="12" customHeight="1">
      <c r="B113" s="12"/>
      <c r="C113" s="10" t="s">
        <v>296</v>
      </c>
      <c r="L113" s="12"/>
    </row>
    <row r="114" spans="2:65" s="1" customFormat="1" ht="16.5" customHeight="1">
      <c r="B114" s="12"/>
      <c r="E114" s="381" t="str">
        <f>E11</f>
        <v>D1.430 - ZTI - Plynovod</v>
      </c>
      <c r="F114" s="394"/>
      <c r="G114" s="394"/>
      <c r="H114" s="394"/>
      <c r="L114" s="12"/>
    </row>
    <row r="115" spans="2:65" s="1" customFormat="1" ht="6.9" customHeight="1">
      <c r="B115" s="12"/>
      <c r="L115" s="12"/>
    </row>
    <row r="116" spans="2:65" s="1" customFormat="1" ht="12" customHeight="1">
      <c r="B116" s="12"/>
      <c r="C116" s="10" t="s">
        <v>20</v>
      </c>
      <c r="F116" s="32" t="str">
        <f>F14</f>
        <v>Praha</v>
      </c>
      <c r="I116" s="10" t="s">
        <v>22</v>
      </c>
      <c r="J116" s="11">
        <f>IF(J14="","",J14)</f>
        <v>45000</v>
      </c>
      <c r="L116" s="12"/>
    </row>
    <row r="117" spans="2:65" s="1" customFormat="1" ht="6.9" customHeight="1">
      <c r="B117" s="12"/>
      <c r="L117" s="12"/>
    </row>
    <row r="118" spans="2:65" s="1" customFormat="1" ht="15.15" customHeight="1">
      <c r="B118" s="12"/>
      <c r="C118" s="10" t="s">
        <v>23</v>
      </c>
      <c r="F118" s="32" t="str">
        <f>E17</f>
        <v>VELTON REAL ESTATE</v>
      </c>
      <c r="I118" s="10" t="s">
        <v>31</v>
      </c>
      <c r="J118" s="8" t="str">
        <f>E23</f>
        <v>ABMV World s.r.o</v>
      </c>
      <c r="L118" s="12"/>
    </row>
    <row r="119" spans="2:65" s="1" customFormat="1" ht="15.15" customHeight="1">
      <c r="B119" s="12"/>
      <c r="C119" s="10" t="s">
        <v>27</v>
      </c>
      <c r="F119" s="32" t="str">
        <f>IF(E20="","",E20)</f>
        <v>DMG Stav a.s.</v>
      </c>
      <c r="I119" s="10" t="s">
        <v>34</v>
      </c>
      <c r="J119" s="8" t="str">
        <f>E26</f>
        <v>QSB s.r.o.</v>
      </c>
      <c r="L119" s="12"/>
    </row>
    <row r="120" spans="2:65" s="1" customFormat="1" ht="10.35" customHeight="1">
      <c r="B120" s="12"/>
      <c r="L120" s="12"/>
    </row>
    <row r="121" spans="2:65" s="2" customFormat="1" ht="29.25" customHeight="1">
      <c r="B121" s="13"/>
      <c r="C121" s="14" t="s">
        <v>196</v>
      </c>
      <c r="D121" s="15" t="s">
        <v>62</v>
      </c>
      <c r="E121" s="15" t="s">
        <v>58</v>
      </c>
      <c r="F121" s="15" t="s">
        <v>59</v>
      </c>
      <c r="G121" s="15" t="s">
        <v>197</v>
      </c>
      <c r="H121" s="15" t="s">
        <v>198</v>
      </c>
      <c r="I121" s="15" t="s">
        <v>199</v>
      </c>
      <c r="J121" s="16" t="s">
        <v>186</v>
      </c>
      <c r="K121" s="79" t="s">
        <v>200</v>
      </c>
      <c r="L121" s="13"/>
      <c r="M121" s="80" t="s">
        <v>1</v>
      </c>
      <c r="N121" s="81" t="s">
        <v>41</v>
      </c>
      <c r="O121" s="81" t="s">
        <v>201</v>
      </c>
      <c r="P121" s="81" t="s">
        <v>202</v>
      </c>
      <c r="Q121" s="81" t="s">
        <v>203</v>
      </c>
      <c r="R121" s="81" t="s">
        <v>204</v>
      </c>
      <c r="S121" s="81" t="s">
        <v>205</v>
      </c>
      <c r="T121" s="96" t="s">
        <v>206</v>
      </c>
    </row>
    <row r="122" spans="2:65" s="1" customFormat="1" ht="23.1" customHeight="1">
      <c r="B122" s="12"/>
      <c r="C122" s="66" t="s">
        <v>207</v>
      </c>
      <c r="J122" s="82">
        <f>BK122</f>
        <v>78000</v>
      </c>
      <c r="L122" s="12"/>
      <c r="M122" s="83"/>
      <c r="N122" s="35"/>
      <c r="O122" s="35"/>
      <c r="P122" s="84">
        <f>P123+P148</f>
        <v>0</v>
      </c>
      <c r="Q122" s="35"/>
      <c r="R122" s="84">
        <f>R123+R148</f>
        <v>0</v>
      </c>
      <c r="S122" s="35"/>
      <c r="T122" s="97">
        <f>T123+T148</f>
        <v>0</v>
      </c>
      <c r="AT122" s="23" t="s">
        <v>76</v>
      </c>
      <c r="AU122" s="23" t="s">
        <v>188</v>
      </c>
      <c r="BK122" s="102">
        <f>BK123+BK148</f>
        <v>78000</v>
      </c>
    </row>
    <row r="123" spans="2:65" s="31" customFormat="1" ht="26.1" customHeight="1">
      <c r="B123" s="67"/>
      <c r="D123" s="68" t="s">
        <v>76</v>
      </c>
      <c r="E123" s="69" t="s">
        <v>3830</v>
      </c>
      <c r="F123" s="69" t="s">
        <v>4134</v>
      </c>
      <c r="I123" s="85"/>
      <c r="J123" s="86">
        <f>BK123</f>
        <v>50640</v>
      </c>
      <c r="L123" s="67"/>
      <c r="M123" s="87"/>
      <c r="P123" s="88">
        <f>SUM(P124:P147)</f>
        <v>0</v>
      </c>
      <c r="R123" s="88">
        <f>SUM(R124:R147)</f>
        <v>0</v>
      </c>
      <c r="T123" s="98">
        <f>SUM(T124:T147)</f>
        <v>0</v>
      </c>
      <c r="AR123" s="68" t="s">
        <v>85</v>
      </c>
      <c r="AT123" s="100" t="s">
        <v>76</v>
      </c>
      <c r="AU123" s="100" t="s">
        <v>77</v>
      </c>
      <c r="AY123" s="68" t="s">
        <v>211</v>
      </c>
      <c r="BK123" s="103">
        <f>SUM(BK124:BK147)</f>
        <v>50640</v>
      </c>
    </row>
    <row r="124" spans="2:65" s="1" customFormat="1" ht="21.75" customHeight="1">
      <c r="B124" s="12"/>
      <c r="C124" s="71" t="s">
        <v>85</v>
      </c>
      <c r="D124" s="71" t="s">
        <v>214</v>
      </c>
      <c r="E124" s="72" t="s">
        <v>4135</v>
      </c>
      <c r="F124" s="73" t="s">
        <v>4136</v>
      </c>
      <c r="G124" s="74" t="s">
        <v>444</v>
      </c>
      <c r="H124" s="75">
        <v>24.6</v>
      </c>
      <c r="I124" s="90">
        <v>150</v>
      </c>
      <c r="J124" s="91">
        <f t="shared" ref="J124:J147" si="0">ROUND(I124*H124,2)</f>
        <v>3690</v>
      </c>
      <c r="K124" s="92"/>
      <c r="L124" s="12"/>
      <c r="M124" s="93" t="s">
        <v>1</v>
      </c>
      <c r="N124" s="94" t="s">
        <v>42</v>
      </c>
      <c r="P124" s="95">
        <f t="shared" ref="P124:P147" si="1">O124*H124</f>
        <v>0</v>
      </c>
      <c r="Q124" s="95">
        <v>0</v>
      </c>
      <c r="R124" s="95">
        <f t="shared" ref="R124:R147" si="2">Q124*H124</f>
        <v>0</v>
      </c>
      <c r="S124" s="95">
        <v>0</v>
      </c>
      <c r="T124" s="99">
        <f t="shared" ref="T124:T147" si="3">S124*H124</f>
        <v>0</v>
      </c>
      <c r="AR124" s="101" t="s">
        <v>218</v>
      </c>
      <c r="AT124" s="101" t="s">
        <v>214</v>
      </c>
      <c r="AU124" s="101" t="s">
        <v>85</v>
      </c>
      <c r="AY124" s="23" t="s">
        <v>211</v>
      </c>
      <c r="BE124" s="104">
        <f t="shared" ref="BE124:BE147" si="4">IF(N124="základní",J124,0)</f>
        <v>3690</v>
      </c>
      <c r="BF124" s="104">
        <f t="shared" ref="BF124:BF147" si="5">IF(N124="snížená",J124,0)</f>
        <v>0</v>
      </c>
      <c r="BG124" s="104">
        <f t="shared" ref="BG124:BG147" si="6">IF(N124="zákl. přenesená",J124,0)</f>
        <v>0</v>
      </c>
      <c r="BH124" s="104">
        <f t="shared" ref="BH124:BH147" si="7">IF(N124="sníž. přenesená",J124,0)</f>
        <v>0</v>
      </c>
      <c r="BI124" s="104">
        <f t="shared" ref="BI124:BI147" si="8">IF(N124="nulová",J124,0)</f>
        <v>0</v>
      </c>
      <c r="BJ124" s="23" t="s">
        <v>85</v>
      </c>
      <c r="BK124" s="104">
        <f t="shared" ref="BK124:BK147" si="9">ROUND(I124*H124,2)</f>
        <v>3690</v>
      </c>
      <c r="BL124" s="23" t="s">
        <v>218</v>
      </c>
      <c r="BM124" s="101" t="s">
        <v>87</v>
      </c>
    </row>
    <row r="125" spans="2:65" s="1" customFormat="1" ht="16.5" customHeight="1">
      <c r="B125" s="12"/>
      <c r="C125" s="71" t="s">
        <v>87</v>
      </c>
      <c r="D125" s="71" t="s">
        <v>214</v>
      </c>
      <c r="E125" s="72" t="s">
        <v>4137</v>
      </c>
      <c r="F125" s="73" t="s">
        <v>4138</v>
      </c>
      <c r="G125" s="74" t="s">
        <v>808</v>
      </c>
      <c r="H125" s="75">
        <v>4</v>
      </c>
      <c r="I125" s="90">
        <v>150</v>
      </c>
      <c r="J125" s="91">
        <f t="shared" si="0"/>
        <v>600</v>
      </c>
      <c r="K125" s="92"/>
      <c r="L125" s="12"/>
      <c r="M125" s="93" t="s">
        <v>1</v>
      </c>
      <c r="N125" s="94" t="s">
        <v>42</v>
      </c>
      <c r="P125" s="95">
        <f t="shared" si="1"/>
        <v>0</v>
      </c>
      <c r="Q125" s="95">
        <v>0</v>
      </c>
      <c r="R125" s="95">
        <f t="shared" si="2"/>
        <v>0</v>
      </c>
      <c r="S125" s="95">
        <v>0</v>
      </c>
      <c r="T125" s="99">
        <f t="shared" si="3"/>
        <v>0</v>
      </c>
      <c r="AR125" s="101" t="s">
        <v>218</v>
      </c>
      <c r="AT125" s="101" t="s">
        <v>214</v>
      </c>
      <c r="AU125" s="101" t="s">
        <v>85</v>
      </c>
      <c r="AY125" s="23" t="s">
        <v>211</v>
      </c>
      <c r="BE125" s="104">
        <f t="shared" si="4"/>
        <v>600</v>
      </c>
      <c r="BF125" s="104">
        <f t="shared" si="5"/>
        <v>0</v>
      </c>
      <c r="BG125" s="104">
        <f t="shared" si="6"/>
        <v>0</v>
      </c>
      <c r="BH125" s="104">
        <f t="shared" si="7"/>
        <v>0</v>
      </c>
      <c r="BI125" s="104">
        <f t="shared" si="8"/>
        <v>0</v>
      </c>
      <c r="BJ125" s="23" t="s">
        <v>85</v>
      </c>
      <c r="BK125" s="104">
        <f t="shared" si="9"/>
        <v>600</v>
      </c>
      <c r="BL125" s="23" t="s">
        <v>218</v>
      </c>
      <c r="BM125" s="101" t="s">
        <v>218</v>
      </c>
    </row>
    <row r="126" spans="2:65" s="1" customFormat="1" ht="16.5" customHeight="1">
      <c r="B126" s="12"/>
      <c r="C126" s="71" t="s">
        <v>137</v>
      </c>
      <c r="D126" s="71" t="s">
        <v>214</v>
      </c>
      <c r="E126" s="72" t="s">
        <v>4139</v>
      </c>
      <c r="F126" s="73" t="s">
        <v>4140</v>
      </c>
      <c r="G126" s="74" t="s">
        <v>808</v>
      </c>
      <c r="H126" s="75">
        <v>3</v>
      </c>
      <c r="I126" s="90">
        <v>350</v>
      </c>
      <c r="J126" s="91">
        <f t="shared" si="0"/>
        <v>1050</v>
      </c>
      <c r="K126" s="92"/>
      <c r="L126" s="12"/>
      <c r="M126" s="93" t="s">
        <v>1</v>
      </c>
      <c r="N126" s="94" t="s">
        <v>42</v>
      </c>
      <c r="P126" s="95">
        <f t="shared" si="1"/>
        <v>0</v>
      </c>
      <c r="Q126" s="95">
        <v>0</v>
      </c>
      <c r="R126" s="95">
        <f t="shared" si="2"/>
        <v>0</v>
      </c>
      <c r="S126" s="95">
        <v>0</v>
      </c>
      <c r="T126" s="99">
        <f t="shared" si="3"/>
        <v>0</v>
      </c>
      <c r="AR126" s="101" t="s">
        <v>218</v>
      </c>
      <c r="AT126" s="101" t="s">
        <v>214</v>
      </c>
      <c r="AU126" s="101" t="s">
        <v>85</v>
      </c>
      <c r="AY126" s="23" t="s">
        <v>211</v>
      </c>
      <c r="BE126" s="104">
        <f t="shared" si="4"/>
        <v>1050</v>
      </c>
      <c r="BF126" s="104">
        <f t="shared" si="5"/>
        <v>0</v>
      </c>
      <c r="BG126" s="104">
        <f t="shared" si="6"/>
        <v>0</v>
      </c>
      <c r="BH126" s="104">
        <f t="shared" si="7"/>
        <v>0</v>
      </c>
      <c r="BI126" s="104">
        <f t="shared" si="8"/>
        <v>0</v>
      </c>
      <c r="BJ126" s="23" t="s">
        <v>85</v>
      </c>
      <c r="BK126" s="104">
        <f t="shared" si="9"/>
        <v>1050</v>
      </c>
      <c r="BL126" s="23" t="s">
        <v>218</v>
      </c>
      <c r="BM126" s="101" t="s">
        <v>239</v>
      </c>
    </row>
    <row r="127" spans="2:65" s="1" customFormat="1" ht="16.5" customHeight="1">
      <c r="B127" s="12"/>
      <c r="C127" s="71" t="s">
        <v>218</v>
      </c>
      <c r="D127" s="71" t="s">
        <v>214</v>
      </c>
      <c r="E127" s="72" t="s">
        <v>4141</v>
      </c>
      <c r="F127" s="73" t="s">
        <v>4142</v>
      </c>
      <c r="G127" s="74" t="s">
        <v>808</v>
      </c>
      <c r="H127" s="75">
        <v>2</v>
      </c>
      <c r="I127" s="90">
        <v>1200</v>
      </c>
      <c r="J127" s="91">
        <f t="shared" si="0"/>
        <v>2400</v>
      </c>
      <c r="K127" s="92"/>
      <c r="L127" s="12"/>
      <c r="M127" s="93" t="s">
        <v>1</v>
      </c>
      <c r="N127" s="94" t="s">
        <v>42</v>
      </c>
      <c r="P127" s="95">
        <f t="shared" si="1"/>
        <v>0</v>
      </c>
      <c r="Q127" s="95">
        <v>0</v>
      </c>
      <c r="R127" s="95">
        <f t="shared" si="2"/>
        <v>0</v>
      </c>
      <c r="S127" s="95">
        <v>0</v>
      </c>
      <c r="T127" s="99">
        <f t="shared" si="3"/>
        <v>0</v>
      </c>
      <c r="AR127" s="101" t="s">
        <v>218</v>
      </c>
      <c r="AT127" s="101" t="s">
        <v>214</v>
      </c>
      <c r="AU127" s="101" t="s">
        <v>85</v>
      </c>
      <c r="AY127" s="23" t="s">
        <v>211</v>
      </c>
      <c r="BE127" s="104">
        <f t="shared" si="4"/>
        <v>2400</v>
      </c>
      <c r="BF127" s="104">
        <f t="shared" si="5"/>
        <v>0</v>
      </c>
      <c r="BG127" s="104">
        <f t="shared" si="6"/>
        <v>0</v>
      </c>
      <c r="BH127" s="104">
        <f t="shared" si="7"/>
        <v>0</v>
      </c>
      <c r="BI127" s="104">
        <f t="shared" si="8"/>
        <v>0</v>
      </c>
      <c r="BJ127" s="23" t="s">
        <v>85</v>
      </c>
      <c r="BK127" s="104">
        <f t="shared" si="9"/>
        <v>2400</v>
      </c>
      <c r="BL127" s="23" t="s">
        <v>218</v>
      </c>
      <c r="BM127" s="101" t="s">
        <v>250</v>
      </c>
    </row>
    <row r="128" spans="2:65" s="1" customFormat="1" ht="16.5" customHeight="1">
      <c r="B128" s="12"/>
      <c r="C128" s="71" t="s">
        <v>210</v>
      </c>
      <c r="D128" s="71" t="s">
        <v>214</v>
      </c>
      <c r="E128" s="72" t="s">
        <v>4143</v>
      </c>
      <c r="F128" s="73" t="s">
        <v>4144</v>
      </c>
      <c r="G128" s="74" t="s">
        <v>808</v>
      </c>
      <c r="H128" s="75">
        <v>1</v>
      </c>
      <c r="I128" s="90">
        <v>1200</v>
      </c>
      <c r="J128" s="91">
        <f t="shared" si="0"/>
        <v>1200</v>
      </c>
      <c r="K128" s="92"/>
      <c r="L128" s="12"/>
      <c r="M128" s="93" t="s">
        <v>1</v>
      </c>
      <c r="N128" s="94" t="s">
        <v>42</v>
      </c>
      <c r="P128" s="95">
        <f t="shared" si="1"/>
        <v>0</v>
      </c>
      <c r="Q128" s="95">
        <v>0</v>
      </c>
      <c r="R128" s="95">
        <f t="shared" si="2"/>
        <v>0</v>
      </c>
      <c r="S128" s="95">
        <v>0</v>
      </c>
      <c r="T128" s="99">
        <f t="shared" si="3"/>
        <v>0</v>
      </c>
      <c r="AR128" s="101" t="s">
        <v>218</v>
      </c>
      <c r="AT128" s="101" t="s">
        <v>214</v>
      </c>
      <c r="AU128" s="101" t="s">
        <v>85</v>
      </c>
      <c r="AY128" s="23" t="s">
        <v>211</v>
      </c>
      <c r="BE128" s="104">
        <f t="shared" si="4"/>
        <v>1200</v>
      </c>
      <c r="BF128" s="104">
        <f t="shared" si="5"/>
        <v>0</v>
      </c>
      <c r="BG128" s="104">
        <f t="shared" si="6"/>
        <v>0</v>
      </c>
      <c r="BH128" s="104">
        <f t="shared" si="7"/>
        <v>0</v>
      </c>
      <c r="BI128" s="104">
        <f t="shared" si="8"/>
        <v>0</v>
      </c>
      <c r="BJ128" s="23" t="s">
        <v>85</v>
      </c>
      <c r="BK128" s="104">
        <f t="shared" si="9"/>
        <v>1200</v>
      </c>
      <c r="BL128" s="23" t="s">
        <v>218</v>
      </c>
      <c r="BM128" s="101" t="s">
        <v>259</v>
      </c>
    </row>
    <row r="129" spans="2:65" s="1" customFormat="1" ht="16.5" customHeight="1">
      <c r="B129" s="12"/>
      <c r="C129" s="71" t="s">
        <v>239</v>
      </c>
      <c r="D129" s="71" t="s">
        <v>214</v>
      </c>
      <c r="E129" s="72" t="s">
        <v>4145</v>
      </c>
      <c r="F129" s="73" t="s">
        <v>4146</v>
      </c>
      <c r="G129" s="74" t="s">
        <v>444</v>
      </c>
      <c r="H129" s="75">
        <v>1.5</v>
      </c>
      <c r="I129" s="90">
        <v>400</v>
      </c>
      <c r="J129" s="91">
        <f t="shared" si="0"/>
        <v>600</v>
      </c>
      <c r="K129" s="92"/>
      <c r="L129" s="12"/>
      <c r="M129" s="93" t="s">
        <v>1</v>
      </c>
      <c r="N129" s="94" t="s">
        <v>42</v>
      </c>
      <c r="P129" s="95">
        <f t="shared" si="1"/>
        <v>0</v>
      </c>
      <c r="Q129" s="95">
        <v>0</v>
      </c>
      <c r="R129" s="95">
        <f t="shared" si="2"/>
        <v>0</v>
      </c>
      <c r="S129" s="95">
        <v>0</v>
      </c>
      <c r="T129" s="99">
        <f t="shared" si="3"/>
        <v>0</v>
      </c>
      <c r="AR129" s="101" t="s">
        <v>218</v>
      </c>
      <c r="AT129" s="101" t="s">
        <v>214</v>
      </c>
      <c r="AU129" s="101" t="s">
        <v>85</v>
      </c>
      <c r="AY129" s="23" t="s">
        <v>211</v>
      </c>
      <c r="BE129" s="104">
        <f t="shared" si="4"/>
        <v>600</v>
      </c>
      <c r="BF129" s="104">
        <f t="shared" si="5"/>
        <v>0</v>
      </c>
      <c r="BG129" s="104">
        <f t="shared" si="6"/>
        <v>0</v>
      </c>
      <c r="BH129" s="104">
        <f t="shared" si="7"/>
        <v>0</v>
      </c>
      <c r="BI129" s="104">
        <f t="shared" si="8"/>
        <v>0</v>
      </c>
      <c r="BJ129" s="23" t="s">
        <v>85</v>
      </c>
      <c r="BK129" s="104">
        <f t="shared" si="9"/>
        <v>600</v>
      </c>
      <c r="BL129" s="23" t="s">
        <v>218</v>
      </c>
      <c r="BM129" s="101" t="s">
        <v>273</v>
      </c>
    </row>
    <row r="130" spans="2:65" s="1" customFormat="1" ht="16.5" customHeight="1">
      <c r="B130" s="12"/>
      <c r="C130" s="71" t="s">
        <v>245</v>
      </c>
      <c r="D130" s="71" t="s">
        <v>214</v>
      </c>
      <c r="E130" s="72" t="s">
        <v>4147</v>
      </c>
      <c r="F130" s="73" t="s">
        <v>4148</v>
      </c>
      <c r="G130" s="74" t="s">
        <v>808</v>
      </c>
      <c r="H130" s="75">
        <v>1</v>
      </c>
      <c r="I130" s="90">
        <v>50</v>
      </c>
      <c r="J130" s="91">
        <f t="shared" si="0"/>
        <v>50</v>
      </c>
      <c r="K130" s="92"/>
      <c r="L130" s="12"/>
      <c r="M130" s="93" t="s">
        <v>1</v>
      </c>
      <c r="N130" s="94" t="s">
        <v>42</v>
      </c>
      <c r="P130" s="95">
        <f t="shared" si="1"/>
        <v>0</v>
      </c>
      <c r="Q130" s="95">
        <v>0</v>
      </c>
      <c r="R130" s="95">
        <f t="shared" si="2"/>
        <v>0</v>
      </c>
      <c r="S130" s="95">
        <v>0</v>
      </c>
      <c r="T130" s="99">
        <f t="shared" si="3"/>
        <v>0</v>
      </c>
      <c r="AR130" s="101" t="s">
        <v>218</v>
      </c>
      <c r="AT130" s="101" t="s">
        <v>214</v>
      </c>
      <c r="AU130" s="101" t="s">
        <v>85</v>
      </c>
      <c r="AY130" s="23" t="s">
        <v>211</v>
      </c>
      <c r="BE130" s="104">
        <f t="shared" si="4"/>
        <v>50</v>
      </c>
      <c r="BF130" s="104">
        <f t="shared" si="5"/>
        <v>0</v>
      </c>
      <c r="BG130" s="104">
        <f t="shared" si="6"/>
        <v>0</v>
      </c>
      <c r="BH130" s="104">
        <f t="shared" si="7"/>
        <v>0</v>
      </c>
      <c r="BI130" s="104">
        <f t="shared" si="8"/>
        <v>0</v>
      </c>
      <c r="BJ130" s="23" t="s">
        <v>85</v>
      </c>
      <c r="BK130" s="104">
        <f t="shared" si="9"/>
        <v>50</v>
      </c>
      <c r="BL130" s="23" t="s">
        <v>218</v>
      </c>
      <c r="BM130" s="101" t="s">
        <v>437</v>
      </c>
    </row>
    <row r="131" spans="2:65" s="1" customFormat="1" ht="16.5" customHeight="1">
      <c r="B131" s="12"/>
      <c r="C131" s="71" t="s">
        <v>250</v>
      </c>
      <c r="D131" s="71" t="s">
        <v>214</v>
      </c>
      <c r="E131" s="72" t="s">
        <v>4149</v>
      </c>
      <c r="F131" s="73" t="s">
        <v>4150</v>
      </c>
      <c r="G131" s="74" t="s">
        <v>808</v>
      </c>
      <c r="H131" s="75">
        <v>1</v>
      </c>
      <c r="I131" s="90">
        <v>3200</v>
      </c>
      <c r="J131" s="91">
        <f t="shared" si="0"/>
        <v>3200</v>
      </c>
      <c r="K131" s="92"/>
      <c r="L131" s="12"/>
      <c r="M131" s="93" t="s">
        <v>1</v>
      </c>
      <c r="N131" s="94" t="s">
        <v>42</v>
      </c>
      <c r="P131" s="95">
        <f t="shared" si="1"/>
        <v>0</v>
      </c>
      <c r="Q131" s="95">
        <v>0</v>
      </c>
      <c r="R131" s="95">
        <f t="shared" si="2"/>
        <v>0</v>
      </c>
      <c r="S131" s="95">
        <v>0</v>
      </c>
      <c r="T131" s="99">
        <f t="shared" si="3"/>
        <v>0</v>
      </c>
      <c r="AR131" s="101" t="s">
        <v>218</v>
      </c>
      <c r="AT131" s="101" t="s">
        <v>214</v>
      </c>
      <c r="AU131" s="101" t="s">
        <v>85</v>
      </c>
      <c r="AY131" s="23" t="s">
        <v>211</v>
      </c>
      <c r="BE131" s="104">
        <f t="shared" si="4"/>
        <v>3200</v>
      </c>
      <c r="BF131" s="104">
        <f t="shared" si="5"/>
        <v>0</v>
      </c>
      <c r="BG131" s="104">
        <f t="shared" si="6"/>
        <v>0</v>
      </c>
      <c r="BH131" s="104">
        <f t="shared" si="7"/>
        <v>0</v>
      </c>
      <c r="BI131" s="104">
        <f t="shared" si="8"/>
        <v>0</v>
      </c>
      <c r="BJ131" s="23" t="s">
        <v>85</v>
      </c>
      <c r="BK131" s="104">
        <f t="shared" si="9"/>
        <v>3200</v>
      </c>
      <c r="BL131" s="23" t="s">
        <v>218</v>
      </c>
      <c r="BM131" s="101" t="s">
        <v>446</v>
      </c>
    </row>
    <row r="132" spans="2:65" s="1" customFormat="1" ht="16.5" customHeight="1">
      <c r="B132" s="12"/>
      <c r="C132" s="71" t="s">
        <v>255</v>
      </c>
      <c r="D132" s="71" t="s">
        <v>214</v>
      </c>
      <c r="E132" s="72" t="s">
        <v>4151</v>
      </c>
      <c r="F132" s="73" t="s">
        <v>4152</v>
      </c>
      <c r="G132" s="74" t="s">
        <v>808</v>
      </c>
      <c r="H132" s="75">
        <v>2</v>
      </c>
      <c r="I132" s="90">
        <v>400</v>
      </c>
      <c r="J132" s="91">
        <f t="shared" si="0"/>
        <v>800</v>
      </c>
      <c r="K132" s="92"/>
      <c r="L132" s="12"/>
      <c r="M132" s="93" t="s">
        <v>1</v>
      </c>
      <c r="N132" s="94" t="s">
        <v>42</v>
      </c>
      <c r="P132" s="95">
        <f t="shared" si="1"/>
        <v>0</v>
      </c>
      <c r="Q132" s="95">
        <v>0</v>
      </c>
      <c r="R132" s="95">
        <f t="shared" si="2"/>
        <v>0</v>
      </c>
      <c r="S132" s="95">
        <v>0</v>
      </c>
      <c r="T132" s="99">
        <f t="shared" si="3"/>
        <v>0</v>
      </c>
      <c r="AR132" s="101" t="s">
        <v>218</v>
      </c>
      <c r="AT132" s="101" t="s">
        <v>214</v>
      </c>
      <c r="AU132" s="101" t="s">
        <v>85</v>
      </c>
      <c r="AY132" s="23" t="s">
        <v>211</v>
      </c>
      <c r="BE132" s="104">
        <f t="shared" si="4"/>
        <v>800</v>
      </c>
      <c r="BF132" s="104">
        <f t="shared" si="5"/>
        <v>0</v>
      </c>
      <c r="BG132" s="104">
        <f t="shared" si="6"/>
        <v>0</v>
      </c>
      <c r="BH132" s="104">
        <f t="shared" si="7"/>
        <v>0</v>
      </c>
      <c r="BI132" s="104">
        <f t="shared" si="8"/>
        <v>0</v>
      </c>
      <c r="BJ132" s="23" t="s">
        <v>85</v>
      </c>
      <c r="BK132" s="104">
        <f t="shared" si="9"/>
        <v>800</v>
      </c>
      <c r="BL132" s="23" t="s">
        <v>218</v>
      </c>
      <c r="BM132" s="101" t="s">
        <v>454</v>
      </c>
    </row>
    <row r="133" spans="2:65" s="1" customFormat="1" ht="16.5" customHeight="1">
      <c r="B133" s="12"/>
      <c r="C133" s="71" t="s">
        <v>259</v>
      </c>
      <c r="D133" s="71" t="s">
        <v>214</v>
      </c>
      <c r="E133" s="72" t="s">
        <v>4153</v>
      </c>
      <c r="F133" s="73" t="s">
        <v>4154</v>
      </c>
      <c r="G133" s="74" t="s">
        <v>808</v>
      </c>
      <c r="H133" s="75">
        <v>5</v>
      </c>
      <c r="I133" s="90">
        <v>100</v>
      </c>
      <c r="J133" s="91">
        <f t="shared" si="0"/>
        <v>500</v>
      </c>
      <c r="K133" s="92"/>
      <c r="L133" s="12"/>
      <c r="M133" s="93" t="s">
        <v>1</v>
      </c>
      <c r="N133" s="94" t="s">
        <v>42</v>
      </c>
      <c r="P133" s="95">
        <f t="shared" si="1"/>
        <v>0</v>
      </c>
      <c r="Q133" s="95">
        <v>0</v>
      </c>
      <c r="R133" s="95">
        <f t="shared" si="2"/>
        <v>0</v>
      </c>
      <c r="S133" s="95">
        <v>0</v>
      </c>
      <c r="T133" s="99">
        <f t="shared" si="3"/>
        <v>0</v>
      </c>
      <c r="AR133" s="101" t="s">
        <v>218</v>
      </c>
      <c r="AT133" s="101" t="s">
        <v>214</v>
      </c>
      <c r="AU133" s="101" t="s">
        <v>85</v>
      </c>
      <c r="AY133" s="23" t="s">
        <v>211</v>
      </c>
      <c r="BE133" s="104">
        <f t="shared" si="4"/>
        <v>500</v>
      </c>
      <c r="BF133" s="104">
        <f t="shared" si="5"/>
        <v>0</v>
      </c>
      <c r="BG133" s="104">
        <f t="shared" si="6"/>
        <v>0</v>
      </c>
      <c r="BH133" s="104">
        <f t="shared" si="7"/>
        <v>0</v>
      </c>
      <c r="BI133" s="104">
        <f t="shared" si="8"/>
        <v>0</v>
      </c>
      <c r="BJ133" s="23" t="s">
        <v>85</v>
      </c>
      <c r="BK133" s="104">
        <f t="shared" si="9"/>
        <v>500</v>
      </c>
      <c r="BL133" s="23" t="s">
        <v>218</v>
      </c>
      <c r="BM133" s="101" t="s">
        <v>465</v>
      </c>
    </row>
    <row r="134" spans="2:65" s="1" customFormat="1" ht="16.5" customHeight="1">
      <c r="B134" s="12"/>
      <c r="C134" s="71" t="s">
        <v>266</v>
      </c>
      <c r="D134" s="71" t="s">
        <v>214</v>
      </c>
      <c r="E134" s="72" t="s">
        <v>4155</v>
      </c>
      <c r="F134" s="73" t="s">
        <v>4156</v>
      </c>
      <c r="G134" s="74" t="s">
        <v>808</v>
      </c>
      <c r="H134" s="75">
        <v>1</v>
      </c>
      <c r="I134" s="90">
        <v>200</v>
      </c>
      <c r="J134" s="91">
        <f t="shared" si="0"/>
        <v>200</v>
      </c>
      <c r="K134" s="92"/>
      <c r="L134" s="12"/>
      <c r="M134" s="93" t="s">
        <v>1</v>
      </c>
      <c r="N134" s="94" t="s">
        <v>42</v>
      </c>
      <c r="P134" s="95">
        <f t="shared" si="1"/>
        <v>0</v>
      </c>
      <c r="Q134" s="95">
        <v>0</v>
      </c>
      <c r="R134" s="95">
        <f t="shared" si="2"/>
        <v>0</v>
      </c>
      <c r="S134" s="95">
        <v>0</v>
      </c>
      <c r="T134" s="99">
        <f t="shared" si="3"/>
        <v>0</v>
      </c>
      <c r="AR134" s="101" t="s">
        <v>218</v>
      </c>
      <c r="AT134" s="101" t="s">
        <v>214</v>
      </c>
      <c r="AU134" s="101" t="s">
        <v>85</v>
      </c>
      <c r="AY134" s="23" t="s">
        <v>211</v>
      </c>
      <c r="BE134" s="104">
        <f t="shared" si="4"/>
        <v>200</v>
      </c>
      <c r="BF134" s="104">
        <f t="shared" si="5"/>
        <v>0</v>
      </c>
      <c r="BG134" s="104">
        <f t="shared" si="6"/>
        <v>0</v>
      </c>
      <c r="BH134" s="104">
        <f t="shared" si="7"/>
        <v>0</v>
      </c>
      <c r="BI134" s="104">
        <f t="shared" si="8"/>
        <v>0</v>
      </c>
      <c r="BJ134" s="23" t="s">
        <v>85</v>
      </c>
      <c r="BK134" s="104">
        <f t="shared" si="9"/>
        <v>200</v>
      </c>
      <c r="BL134" s="23" t="s">
        <v>218</v>
      </c>
      <c r="BM134" s="101" t="s">
        <v>475</v>
      </c>
    </row>
    <row r="135" spans="2:65" s="1" customFormat="1" ht="16.5" customHeight="1">
      <c r="B135" s="12"/>
      <c r="C135" s="71" t="s">
        <v>273</v>
      </c>
      <c r="D135" s="71" t="s">
        <v>214</v>
      </c>
      <c r="E135" s="72" t="s">
        <v>4157</v>
      </c>
      <c r="F135" s="73" t="s">
        <v>4158</v>
      </c>
      <c r="G135" s="74" t="s">
        <v>808</v>
      </c>
      <c r="H135" s="75">
        <v>1</v>
      </c>
      <c r="I135" s="90">
        <v>1500</v>
      </c>
      <c r="J135" s="91">
        <f t="shared" si="0"/>
        <v>1500</v>
      </c>
      <c r="K135" s="92"/>
      <c r="L135" s="12"/>
      <c r="M135" s="93" t="s">
        <v>1</v>
      </c>
      <c r="N135" s="94" t="s">
        <v>42</v>
      </c>
      <c r="P135" s="95">
        <f t="shared" si="1"/>
        <v>0</v>
      </c>
      <c r="Q135" s="95">
        <v>0</v>
      </c>
      <c r="R135" s="95">
        <f t="shared" si="2"/>
        <v>0</v>
      </c>
      <c r="S135" s="95">
        <v>0</v>
      </c>
      <c r="T135" s="99">
        <f t="shared" si="3"/>
        <v>0</v>
      </c>
      <c r="AR135" s="101" t="s">
        <v>218</v>
      </c>
      <c r="AT135" s="101" t="s">
        <v>214</v>
      </c>
      <c r="AU135" s="101" t="s">
        <v>85</v>
      </c>
      <c r="AY135" s="23" t="s">
        <v>211</v>
      </c>
      <c r="BE135" s="104">
        <f t="shared" si="4"/>
        <v>1500</v>
      </c>
      <c r="BF135" s="104">
        <f t="shared" si="5"/>
        <v>0</v>
      </c>
      <c r="BG135" s="104">
        <f t="shared" si="6"/>
        <v>0</v>
      </c>
      <c r="BH135" s="104">
        <f t="shared" si="7"/>
        <v>0</v>
      </c>
      <c r="BI135" s="104">
        <f t="shared" si="8"/>
        <v>0</v>
      </c>
      <c r="BJ135" s="23" t="s">
        <v>85</v>
      </c>
      <c r="BK135" s="104">
        <f t="shared" si="9"/>
        <v>1500</v>
      </c>
      <c r="BL135" s="23" t="s">
        <v>218</v>
      </c>
      <c r="BM135" s="101" t="s">
        <v>486</v>
      </c>
    </row>
    <row r="136" spans="2:65" s="1" customFormat="1" ht="16.5" customHeight="1">
      <c r="B136" s="12"/>
      <c r="C136" s="71" t="s">
        <v>433</v>
      </c>
      <c r="D136" s="71" t="s">
        <v>214</v>
      </c>
      <c r="E136" s="72" t="s">
        <v>4159</v>
      </c>
      <c r="F136" s="73" t="s">
        <v>4160</v>
      </c>
      <c r="G136" s="74" t="s">
        <v>234</v>
      </c>
      <c r="H136" s="75">
        <v>1</v>
      </c>
      <c r="I136" s="90">
        <v>100</v>
      </c>
      <c r="J136" s="91">
        <f t="shared" si="0"/>
        <v>100</v>
      </c>
      <c r="K136" s="92"/>
      <c r="L136" s="12"/>
      <c r="M136" s="93" t="s">
        <v>1</v>
      </c>
      <c r="N136" s="94" t="s">
        <v>42</v>
      </c>
      <c r="P136" s="95">
        <f t="shared" si="1"/>
        <v>0</v>
      </c>
      <c r="Q136" s="95">
        <v>0</v>
      </c>
      <c r="R136" s="95">
        <f t="shared" si="2"/>
        <v>0</v>
      </c>
      <c r="S136" s="95">
        <v>0</v>
      </c>
      <c r="T136" s="99">
        <f t="shared" si="3"/>
        <v>0</v>
      </c>
      <c r="AR136" s="101" t="s">
        <v>218</v>
      </c>
      <c r="AT136" s="101" t="s">
        <v>214</v>
      </c>
      <c r="AU136" s="101" t="s">
        <v>85</v>
      </c>
      <c r="AY136" s="23" t="s">
        <v>211</v>
      </c>
      <c r="BE136" s="104">
        <f t="shared" si="4"/>
        <v>100</v>
      </c>
      <c r="BF136" s="104">
        <f t="shared" si="5"/>
        <v>0</v>
      </c>
      <c r="BG136" s="104">
        <f t="shared" si="6"/>
        <v>0</v>
      </c>
      <c r="BH136" s="104">
        <f t="shared" si="7"/>
        <v>0</v>
      </c>
      <c r="BI136" s="104">
        <f t="shared" si="8"/>
        <v>0</v>
      </c>
      <c r="BJ136" s="23" t="s">
        <v>85</v>
      </c>
      <c r="BK136" s="104">
        <f t="shared" si="9"/>
        <v>100</v>
      </c>
      <c r="BL136" s="23" t="s">
        <v>218</v>
      </c>
      <c r="BM136" s="101" t="s">
        <v>496</v>
      </c>
    </row>
    <row r="137" spans="2:65" s="1" customFormat="1" ht="21.75" customHeight="1">
      <c r="B137" s="12"/>
      <c r="C137" s="71" t="s">
        <v>437</v>
      </c>
      <c r="D137" s="71" t="s">
        <v>214</v>
      </c>
      <c r="E137" s="72" t="s">
        <v>4161</v>
      </c>
      <c r="F137" s="73" t="s">
        <v>4162</v>
      </c>
      <c r="G137" s="74" t="s">
        <v>444</v>
      </c>
      <c r="H137" s="75">
        <v>26</v>
      </c>
      <c r="I137" s="90">
        <v>100</v>
      </c>
      <c r="J137" s="91">
        <f t="shared" si="0"/>
        <v>2600</v>
      </c>
      <c r="K137" s="92"/>
      <c r="L137" s="12"/>
      <c r="M137" s="93" t="s">
        <v>1</v>
      </c>
      <c r="N137" s="94" t="s">
        <v>42</v>
      </c>
      <c r="P137" s="95">
        <f t="shared" si="1"/>
        <v>0</v>
      </c>
      <c r="Q137" s="95">
        <v>0</v>
      </c>
      <c r="R137" s="95">
        <f t="shared" si="2"/>
        <v>0</v>
      </c>
      <c r="S137" s="95">
        <v>0</v>
      </c>
      <c r="T137" s="99">
        <f t="shared" si="3"/>
        <v>0</v>
      </c>
      <c r="AR137" s="101" t="s">
        <v>218</v>
      </c>
      <c r="AT137" s="101" t="s">
        <v>214</v>
      </c>
      <c r="AU137" s="101" t="s">
        <v>85</v>
      </c>
      <c r="AY137" s="23" t="s">
        <v>211</v>
      </c>
      <c r="BE137" s="104">
        <f t="shared" si="4"/>
        <v>2600</v>
      </c>
      <c r="BF137" s="104">
        <f t="shared" si="5"/>
        <v>0</v>
      </c>
      <c r="BG137" s="104">
        <f t="shared" si="6"/>
        <v>0</v>
      </c>
      <c r="BH137" s="104">
        <f t="shared" si="7"/>
        <v>0</v>
      </c>
      <c r="BI137" s="104">
        <f t="shared" si="8"/>
        <v>0</v>
      </c>
      <c r="BJ137" s="23" t="s">
        <v>85</v>
      </c>
      <c r="BK137" s="104">
        <f t="shared" si="9"/>
        <v>2600</v>
      </c>
      <c r="BL137" s="23" t="s">
        <v>218</v>
      </c>
      <c r="BM137" s="101" t="s">
        <v>507</v>
      </c>
    </row>
    <row r="138" spans="2:65" s="1" customFormat="1" ht="21.75" customHeight="1">
      <c r="B138" s="12"/>
      <c r="C138" s="71" t="s">
        <v>8</v>
      </c>
      <c r="D138" s="71" t="s">
        <v>214</v>
      </c>
      <c r="E138" s="72" t="s">
        <v>4163</v>
      </c>
      <c r="F138" s="73" t="s">
        <v>4164</v>
      </c>
      <c r="G138" s="74" t="s">
        <v>444</v>
      </c>
      <c r="H138" s="75">
        <v>24</v>
      </c>
      <c r="I138" s="90">
        <v>20</v>
      </c>
      <c r="J138" s="91">
        <f t="shared" si="0"/>
        <v>480</v>
      </c>
      <c r="K138" s="92"/>
      <c r="L138" s="12"/>
      <c r="M138" s="93" t="s">
        <v>1</v>
      </c>
      <c r="N138" s="94" t="s">
        <v>42</v>
      </c>
      <c r="P138" s="95">
        <f t="shared" si="1"/>
        <v>0</v>
      </c>
      <c r="Q138" s="95">
        <v>0</v>
      </c>
      <c r="R138" s="95">
        <f t="shared" si="2"/>
        <v>0</v>
      </c>
      <c r="S138" s="95">
        <v>0</v>
      </c>
      <c r="T138" s="99">
        <f t="shared" si="3"/>
        <v>0</v>
      </c>
      <c r="AR138" s="101" t="s">
        <v>218</v>
      </c>
      <c r="AT138" s="101" t="s">
        <v>214</v>
      </c>
      <c r="AU138" s="101" t="s">
        <v>85</v>
      </c>
      <c r="AY138" s="23" t="s">
        <v>211</v>
      </c>
      <c r="BE138" s="104">
        <f t="shared" si="4"/>
        <v>480</v>
      </c>
      <c r="BF138" s="104">
        <f t="shared" si="5"/>
        <v>0</v>
      </c>
      <c r="BG138" s="104">
        <f t="shared" si="6"/>
        <v>0</v>
      </c>
      <c r="BH138" s="104">
        <f t="shared" si="7"/>
        <v>0</v>
      </c>
      <c r="BI138" s="104">
        <f t="shared" si="8"/>
        <v>0</v>
      </c>
      <c r="BJ138" s="23" t="s">
        <v>85</v>
      </c>
      <c r="BK138" s="104">
        <f t="shared" si="9"/>
        <v>480</v>
      </c>
      <c r="BL138" s="23" t="s">
        <v>218</v>
      </c>
      <c r="BM138" s="101" t="s">
        <v>517</v>
      </c>
    </row>
    <row r="139" spans="2:65" s="1" customFormat="1" ht="16.5" customHeight="1">
      <c r="B139" s="12"/>
      <c r="C139" s="71" t="s">
        <v>446</v>
      </c>
      <c r="D139" s="71" t="s">
        <v>214</v>
      </c>
      <c r="E139" s="72" t="s">
        <v>4165</v>
      </c>
      <c r="F139" s="73" t="s">
        <v>4166</v>
      </c>
      <c r="G139" s="74" t="s">
        <v>234</v>
      </c>
      <c r="H139" s="75">
        <v>1</v>
      </c>
      <c r="I139" s="90">
        <v>1000</v>
      </c>
      <c r="J139" s="91">
        <f t="shared" si="0"/>
        <v>1000</v>
      </c>
      <c r="K139" s="92"/>
      <c r="L139" s="12"/>
      <c r="M139" s="93" t="s">
        <v>1</v>
      </c>
      <c r="N139" s="94" t="s">
        <v>42</v>
      </c>
      <c r="P139" s="95">
        <f t="shared" si="1"/>
        <v>0</v>
      </c>
      <c r="Q139" s="95">
        <v>0</v>
      </c>
      <c r="R139" s="95">
        <f t="shared" si="2"/>
        <v>0</v>
      </c>
      <c r="S139" s="95">
        <v>0</v>
      </c>
      <c r="T139" s="99">
        <f t="shared" si="3"/>
        <v>0</v>
      </c>
      <c r="AR139" s="101" t="s">
        <v>218</v>
      </c>
      <c r="AT139" s="101" t="s">
        <v>214</v>
      </c>
      <c r="AU139" s="101" t="s">
        <v>85</v>
      </c>
      <c r="AY139" s="23" t="s">
        <v>211</v>
      </c>
      <c r="BE139" s="104">
        <f t="shared" si="4"/>
        <v>1000</v>
      </c>
      <c r="BF139" s="104">
        <f t="shared" si="5"/>
        <v>0</v>
      </c>
      <c r="BG139" s="104">
        <f t="shared" si="6"/>
        <v>0</v>
      </c>
      <c r="BH139" s="104">
        <f t="shared" si="7"/>
        <v>0</v>
      </c>
      <c r="BI139" s="104">
        <f t="shared" si="8"/>
        <v>0</v>
      </c>
      <c r="BJ139" s="23" t="s">
        <v>85</v>
      </c>
      <c r="BK139" s="104">
        <f t="shared" si="9"/>
        <v>1000</v>
      </c>
      <c r="BL139" s="23" t="s">
        <v>218</v>
      </c>
      <c r="BM139" s="101" t="s">
        <v>527</v>
      </c>
    </row>
    <row r="140" spans="2:65" s="1" customFormat="1" ht="16.5" customHeight="1">
      <c r="B140" s="12"/>
      <c r="C140" s="71" t="s">
        <v>450</v>
      </c>
      <c r="D140" s="71" t="s">
        <v>214</v>
      </c>
      <c r="E140" s="72" t="s">
        <v>4167</v>
      </c>
      <c r="F140" s="73" t="s">
        <v>4168</v>
      </c>
      <c r="G140" s="74" t="s">
        <v>357</v>
      </c>
      <c r="H140" s="75">
        <v>20.2</v>
      </c>
      <c r="I140" s="90">
        <v>500</v>
      </c>
      <c r="J140" s="91">
        <f t="shared" si="0"/>
        <v>10100</v>
      </c>
      <c r="K140" s="92"/>
      <c r="L140" s="12"/>
      <c r="M140" s="93" t="s">
        <v>1</v>
      </c>
      <c r="N140" s="94" t="s">
        <v>42</v>
      </c>
      <c r="P140" s="95">
        <f t="shared" si="1"/>
        <v>0</v>
      </c>
      <c r="Q140" s="95">
        <v>0</v>
      </c>
      <c r="R140" s="95">
        <f t="shared" si="2"/>
        <v>0</v>
      </c>
      <c r="S140" s="95">
        <v>0</v>
      </c>
      <c r="T140" s="99">
        <f t="shared" si="3"/>
        <v>0</v>
      </c>
      <c r="AR140" s="101" t="s">
        <v>218</v>
      </c>
      <c r="AT140" s="101" t="s">
        <v>214</v>
      </c>
      <c r="AU140" s="101" t="s">
        <v>85</v>
      </c>
      <c r="AY140" s="23" t="s">
        <v>211</v>
      </c>
      <c r="BE140" s="104">
        <f t="shared" si="4"/>
        <v>10100</v>
      </c>
      <c r="BF140" s="104">
        <f t="shared" si="5"/>
        <v>0</v>
      </c>
      <c r="BG140" s="104">
        <f t="shared" si="6"/>
        <v>0</v>
      </c>
      <c r="BH140" s="104">
        <f t="shared" si="7"/>
        <v>0</v>
      </c>
      <c r="BI140" s="104">
        <f t="shared" si="8"/>
        <v>0</v>
      </c>
      <c r="BJ140" s="23" t="s">
        <v>85</v>
      </c>
      <c r="BK140" s="104">
        <f t="shared" si="9"/>
        <v>10100</v>
      </c>
      <c r="BL140" s="23" t="s">
        <v>218</v>
      </c>
      <c r="BM140" s="101" t="s">
        <v>537</v>
      </c>
    </row>
    <row r="141" spans="2:65" s="1" customFormat="1" ht="16.5" customHeight="1">
      <c r="B141" s="12"/>
      <c r="C141" s="71" t="s">
        <v>454</v>
      </c>
      <c r="D141" s="71" t="s">
        <v>214</v>
      </c>
      <c r="E141" s="72" t="s">
        <v>4169</v>
      </c>
      <c r="F141" s="73" t="s">
        <v>4170</v>
      </c>
      <c r="G141" s="74" t="s">
        <v>357</v>
      </c>
      <c r="H141" s="75">
        <v>7.4</v>
      </c>
      <c r="I141" s="90">
        <v>1000</v>
      </c>
      <c r="J141" s="91">
        <f t="shared" si="0"/>
        <v>7400</v>
      </c>
      <c r="K141" s="92"/>
      <c r="L141" s="12"/>
      <c r="M141" s="93" t="s">
        <v>1</v>
      </c>
      <c r="N141" s="94" t="s">
        <v>42</v>
      </c>
      <c r="P141" s="95">
        <f t="shared" si="1"/>
        <v>0</v>
      </c>
      <c r="Q141" s="95">
        <v>0</v>
      </c>
      <c r="R141" s="95">
        <f t="shared" si="2"/>
        <v>0</v>
      </c>
      <c r="S141" s="95">
        <v>0</v>
      </c>
      <c r="T141" s="99">
        <f t="shared" si="3"/>
        <v>0</v>
      </c>
      <c r="AR141" s="101" t="s">
        <v>218</v>
      </c>
      <c r="AT141" s="101" t="s">
        <v>214</v>
      </c>
      <c r="AU141" s="101" t="s">
        <v>85</v>
      </c>
      <c r="AY141" s="23" t="s">
        <v>211</v>
      </c>
      <c r="BE141" s="104">
        <f t="shared" si="4"/>
        <v>7400</v>
      </c>
      <c r="BF141" s="104">
        <f t="shared" si="5"/>
        <v>0</v>
      </c>
      <c r="BG141" s="104">
        <f t="shared" si="6"/>
        <v>0</v>
      </c>
      <c r="BH141" s="104">
        <f t="shared" si="7"/>
        <v>0</v>
      </c>
      <c r="BI141" s="104">
        <f t="shared" si="8"/>
        <v>0</v>
      </c>
      <c r="BJ141" s="23" t="s">
        <v>85</v>
      </c>
      <c r="BK141" s="104">
        <f t="shared" si="9"/>
        <v>7400</v>
      </c>
      <c r="BL141" s="23" t="s">
        <v>218</v>
      </c>
      <c r="BM141" s="101" t="s">
        <v>551</v>
      </c>
    </row>
    <row r="142" spans="2:65" s="1" customFormat="1" ht="16.5" customHeight="1">
      <c r="B142" s="12"/>
      <c r="C142" s="71" t="s">
        <v>459</v>
      </c>
      <c r="D142" s="71" t="s">
        <v>214</v>
      </c>
      <c r="E142" s="72" t="s">
        <v>4171</v>
      </c>
      <c r="F142" s="73" t="s">
        <v>4172</v>
      </c>
      <c r="G142" s="74" t="s">
        <v>357</v>
      </c>
      <c r="H142" s="75">
        <v>1</v>
      </c>
      <c r="I142" s="90">
        <v>600</v>
      </c>
      <c r="J142" s="91">
        <f t="shared" si="0"/>
        <v>600</v>
      </c>
      <c r="K142" s="92"/>
      <c r="L142" s="12"/>
      <c r="M142" s="93" t="s">
        <v>1</v>
      </c>
      <c r="N142" s="94" t="s">
        <v>42</v>
      </c>
      <c r="P142" s="95">
        <f t="shared" si="1"/>
        <v>0</v>
      </c>
      <c r="Q142" s="95">
        <v>0</v>
      </c>
      <c r="R142" s="95">
        <f t="shared" si="2"/>
        <v>0</v>
      </c>
      <c r="S142" s="95">
        <v>0</v>
      </c>
      <c r="T142" s="99">
        <f t="shared" si="3"/>
        <v>0</v>
      </c>
      <c r="AR142" s="101" t="s">
        <v>218</v>
      </c>
      <c r="AT142" s="101" t="s">
        <v>214</v>
      </c>
      <c r="AU142" s="101" t="s">
        <v>85</v>
      </c>
      <c r="AY142" s="23" t="s">
        <v>211</v>
      </c>
      <c r="BE142" s="104">
        <f t="shared" si="4"/>
        <v>600</v>
      </c>
      <c r="BF142" s="104">
        <f t="shared" si="5"/>
        <v>0</v>
      </c>
      <c r="BG142" s="104">
        <f t="shared" si="6"/>
        <v>0</v>
      </c>
      <c r="BH142" s="104">
        <f t="shared" si="7"/>
        <v>0</v>
      </c>
      <c r="BI142" s="104">
        <f t="shared" si="8"/>
        <v>0</v>
      </c>
      <c r="BJ142" s="23" t="s">
        <v>85</v>
      </c>
      <c r="BK142" s="104">
        <f t="shared" si="9"/>
        <v>600</v>
      </c>
      <c r="BL142" s="23" t="s">
        <v>218</v>
      </c>
      <c r="BM142" s="101" t="s">
        <v>566</v>
      </c>
    </row>
    <row r="143" spans="2:65" s="1" customFormat="1" ht="16.5" customHeight="1">
      <c r="B143" s="12"/>
      <c r="C143" s="71" t="s">
        <v>465</v>
      </c>
      <c r="D143" s="71" t="s">
        <v>214</v>
      </c>
      <c r="E143" s="72" t="s">
        <v>4173</v>
      </c>
      <c r="F143" s="73" t="s">
        <v>4174</v>
      </c>
      <c r="G143" s="74" t="s">
        <v>357</v>
      </c>
      <c r="H143" s="75">
        <v>11.8</v>
      </c>
      <c r="I143" s="90">
        <v>150</v>
      </c>
      <c r="J143" s="91">
        <f t="shared" si="0"/>
        <v>1770</v>
      </c>
      <c r="K143" s="92"/>
      <c r="L143" s="12"/>
      <c r="M143" s="93" t="s">
        <v>1</v>
      </c>
      <c r="N143" s="94" t="s">
        <v>42</v>
      </c>
      <c r="P143" s="95">
        <f t="shared" si="1"/>
        <v>0</v>
      </c>
      <c r="Q143" s="95">
        <v>0</v>
      </c>
      <c r="R143" s="95">
        <f t="shared" si="2"/>
        <v>0</v>
      </c>
      <c r="S143" s="95">
        <v>0</v>
      </c>
      <c r="T143" s="99">
        <f t="shared" si="3"/>
        <v>0</v>
      </c>
      <c r="AR143" s="101" t="s">
        <v>218</v>
      </c>
      <c r="AT143" s="101" t="s">
        <v>214</v>
      </c>
      <c r="AU143" s="101" t="s">
        <v>85</v>
      </c>
      <c r="AY143" s="23" t="s">
        <v>211</v>
      </c>
      <c r="BE143" s="104">
        <f t="shared" si="4"/>
        <v>1770</v>
      </c>
      <c r="BF143" s="104">
        <f t="shared" si="5"/>
        <v>0</v>
      </c>
      <c r="BG143" s="104">
        <f t="shared" si="6"/>
        <v>0</v>
      </c>
      <c r="BH143" s="104">
        <f t="shared" si="7"/>
        <v>0</v>
      </c>
      <c r="BI143" s="104">
        <f t="shared" si="8"/>
        <v>0</v>
      </c>
      <c r="BJ143" s="23" t="s">
        <v>85</v>
      </c>
      <c r="BK143" s="104">
        <f t="shared" si="9"/>
        <v>1770</v>
      </c>
      <c r="BL143" s="23" t="s">
        <v>218</v>
      </c>
      <c r="BM143" s="101" t="s">
        <v>578</v>
      </c>
    </row>
    <row r="144" spans="2:65" s="1" customFormat="1" ht="16.5" customHeight="1">
      <c r="B144" s="12"/>
      <c r="C144" s="71" t="s">
        <v>7</v>
      </c>
      <c r="D144" s="71" t="s">
        <v>214</v>
      </c>
      <c r="E144" s="72" t="s">
        <v>4175</v>
      </c>
      <c r="F144" s="73" t="s">
        <v>4176</v>
      </c>
      <c r="G144" s="74" t="s">
        <v>279</v>
      </c>
      <c r="H144" s="75">
        <v>23</v>
      </c>
      <c r="I144" s="90">
        <v>100</v>
      </c>
      <c r="J144" s="91">
        <f t="shared" si="0"/>
        <v>2300</v>
      </c>
      <c r="K144" s="92"/>
      <c r="L144" s="12"/>
      <c r="M144" s="93" t="s">
        <v>1</v>
      </c>
      <c r="N144" s="94" t="s">
        <v>42</v>
      </c>
      <c r="P144" s="95">
        <f t="shared" si="1"/>
        <v>0</v>
      </c>
      <c r="Q144" s="95">
        <v>0</v>
      </c>
      <c r="R144" s="95">
        <f t="shared" si="2"/>
        <v>0</v>
      </c>
      <c r="S144" s="95">
        <v>0</v>
      </c>
      <c r="T144" s="99">
        <f t="shared" si="3"/>
        <v>0</v>
      </c>
      <c r="AR144" s="101" t="s">
        <v>218</v>
      </c>
      <c r="AT144" s="101" t="s">
        <v>214</v>
      </c>
      <c r="AU144" s="101" t="s">
        <v>85</v>
      </c>
      <c r="AY144" s="23" t="s">
        <v>211</v>
      </c>
      <c r="BE144" s="104">
        <f t="shared" si="4"/>
        <v>2300</v>
      </c>
      <c r="BF144" s="104">
        <f t="shared" si="5"/>
        <v>0</v>
      </c>
      <c r="BG144" s="104">
        <f t="shared" si="6"/>
        <v>0</v>
      </c>
      <c r="BH144" s="104">
        <f t="shared" si="7"/>
        <v>0</v>
      </c>
      <c r="BI144" s="104">
        <f t="shared" si="8"/>
        <v>0</v>
      </c>
      <c r="BJ144" s="23" t="s">
        <v>85</v>
      </c>
      <c r="BK144" s="104">
        <f t="shared" si="9"/>
        <v>2300</v>
      </c>
      <c r="BL144" s="23" t="s">
        <v>218</v>
      </c>
      <c r="BM144" s="101" t="s">
        <v>588</v>
      </c>
    </row>
    <row r="145" spans="2:65" s="1" customFormat="1" ht="24.15" customHeight="1">
      <c r="B145" s="12"/>
      <c r="C145" s="71" t="s">
        <v>475</v>
      </c>
      <c r="D145" s="71" t="s">
        <v>214</v>
      </c>
      <c r="E145" s="72" t="s">
        <v>4177</v>
      </c>
      <c r="F145" s="73" t="s">
        <v>4178</v>
      </c>
      <c r="G145" s="74" t="s">
        <v>4179</v>
      </c>
      <c r="H145" s="75">
        <v>1</v>
      </c>
      <c r="I145" s="90">
        <v>0</v>
      </c>
      <c r="J145" s="91">
        <f t="shared" si="0"/>
        <v>0</v>
      </c>
      <c r="K145" s="92"/>
      <c r="L145" s="12"/>
      <c r="M145" s="93" t="s">
        <v>1</v>
      </c>
      <c r="N145" s="94" t="s">
        <v>42</v>
      </c>
      <c r="P145" s="95">
        <f t="shared" si="1"/>
        <v>0</v>
      </c>
      <c r="Q145" s="95">
        <v>0</v>
      </c>
      <c r="R145" s="95">
        <f t="shared" si="2"/>
        <v>0</v>
      </c>
      <c r="S145" s="95">
        <v>0</v>
      </c>
      <c r="T145" s="99">
        <f t="shared" si="3"/>
        <v>0</v>
      </c>
      <c r="AR145" s="101" t="s">
        <v>218</v>
      </c>
      <c r="AT145" s="101" t="s">
        <v>214</v>
      </c>
      <c r="AU145" s="101" t="s">
        <v>85</v>
      </c>
      <c r="AY145" s="23" t="s">
        <v>211</v>
      </c>
      <c r="BE145" s="104">
        <f t="shared" si="4"/>
        <v>0</v>
      </c>
      <c r="BF145" s="104">
        <f t="shared" si="5"/>
        <v>0</v>
      </c>
      <c r="BG145" s="104">
        <f t="shared" si="6"/>
        <v>0</v>
      </c>
      <c r="BH145" s="104">
        <f t="shared" si="7"/>
        <v>0</v>
      </c>
      <c r="BI145" s="104">
        <f t="shared" si="8"/>
        <v>0</v>
      </c>
      <c r="BJ145" s="23" t="s">
        <v>85</v>
      </c>
      <c r="BK145" s="104">
        <f t="shared" si="9"/>
        <v>0</v>
      </c>
      <c r="BL145" s="23" t="s">
        <v>218</v>
      </c>
      <c r="BM145" s="101" t="s">
        <v>598</v>
      </c>
    </row>
    <row r="146" spans="2:65" s="1" customFormat="1" ht="24.15" customHeight="1">
      <c r="B146" s="12"/>
      <c r="C146" s="71" t="s">
        <v>481</v>
      </c>
      <c r="D146" s="71" t="s">
        <v>214</v>
      </c>
      <c r="E146" s="72" t="s">
        <v>4180</v>
      </c>
      <c r="F146" s="73" t="s">
        <v>4181</v>
      </c>
      <c r="G146" s="74" t="s">
        <v>234</v>
      </c>
      <c r="H146" s="75">
        <v>1</v>
      </c>
      <c r="I146" s="90">
        <v>5000</v>
      </c>
      <c r="J146" s="91">
        <f t="shared" si="0"/>
        <v>5000</v>
      </c>
      <c r="K146" s="92"/>
      <c r="L146" s="12"/>
      <c r="M146" s="93" t="s">
        <v>1</v>
      </c>
      <c r="N146" s="94" t="s">
        <v>42</v>
      </c>
      <c r="P146" s="95">
        <f t="shared" si="1"/>
        <v>0</v>
      </c>
      <c r="Q146" s="95">
        <v>0</v>
      </c>
      <c r="R146" s="95">
        <f t="shared" si="2"/>
        <v>0</v>
      </c>
      <c r="S146" s="95">
        <v>0</v>
      </c>
      <c r="T146" s="99">
        <f t="shared" si="3"/>
        <v>0</v>
      </c>
      <c r="AR146" s="101" t="s">
        <v>218</v>
      </c>
      <c r="AT146" s="101" t="s">
        <v>214</v>
      </c>
      <c r="AU146" s="101" t="s">
        <v>85</v>
      </c>
      <c r="AY146" s="23" t="s">
        <v>211</v>
      </c>
      <c r="BE146" s="104">
        <f t="shared" si="4"/>
        <v>5000</v>
      </c>
      <c r="BF146" s="104">
        <f t="shared" si="5"/>
        <v>0</v>
      </c>
      <c r="BG146" s="104">
        <f t="shared" si="6"/>
        <v>0</v>
      </c>
      <c r="BH146" s="104">
        <f t="shared" si="7"/>
        <v>0</v>
      </c>
      <c r="BI146" s="104">
        <f t="shared" si="8"/>
        <v>0</v>
      </c>
      <c r="BJ146" s="23" t="s">
        <v>85</v>
      </c>
      <c r="BK146" s="104">
        <f t="shared" si="9"/>
        <v>5000</v>
      </c>
      <c r="BL146" s="23" t="s">
        <v>218</v>
      </c>
      <c r="BM146" s="101" t="s">
        <v>608</v>
      </c>
    </row>
    <row r="147" spans="2:65" s="1" customFormat="1" ht="24.15" customHeight="1">
      <c r="B147" s="12"/>
      <c r="C147" s="71" t="s">
        <v>486</v>
      </c>
      <c r="D147" s="71" t="s">
        <v>214</v>
      </c>
      <c r="E147" s="72" t="s">
        <v>4182</v>
      </c>
      <c r="F147" s="73" t="s">
        <v>4183</v>
      </c>
      <c r="G147" s="74" t="s">
        <v>234</v>
      </c>
      <c r="H147" s="75">
        <v>1</v>
      </c>
      <c r="I147" s="90">
        <v>3500</v>
      </c>
      <c r="J147" s="91">
        <f t="shared" si="0"/>
        <v>3500</v>
      </c>
      <c r="K147" s="92"/>
      <c r="L147" s="12"/>
      <c r="M147" s="93" t="s">
        <v>1</v>
      </c>
      <c r="N147" s="94" t="s">
        <v>42</v>
      </c>
      <c r="P147" s="95">
        <f t="shared" si="1"/>
        <v>0</v>
      </c>
      <c r="Q147" s="95">
        <v>0</v>
      </c>
      <c r="R147" s="95">
        <f t="shared" si="2"/>
        <v>0</v>
      </c>
      <c r="S147" s="95">
        <v>0</v>
      </c>
      <c r="T147" s="99">
        <f t="shared" si="3"/>
        <v>0</v>
      </c>
      <c r="AR147" s="101" t="s">
        <v>218</v>
      </c>
      <c r="AT147" s="101" t="s">
        <v>214</v>
      </c>
      <c r="AU147" s="101" t="s">
        <v>85</v>
      </c>
      <c r="AY147" s="23" t="s">
        <v>211</v>
      </c>
      <c r="BE147" s="104">
        <f t="shared" si="4"/>
        <v>3500</v>
      </c>
      <c r="BF147" s="104">
        <f t="shared" si="5"/>
        <v>0</v>
      </c>
      <c r="BG147" s="104">
        <f t="shared" si="6"/>
        <v>0</v>
      </c>
      <c r="BH147" s="104">
        <f t="shared" si="7"/>
        <v>0</v>
      </c>
      <c r="BI147" s="104">
        <f t="shared" si="8"/>
        <v>0</v>
      </c>
      <c r="BJ147" s="23" t="s">
        <v>85</v>
      </c>
      <c r="BK147" s="104">
        <f t="shared" si="9"/>
        <v>3500</v>
      </c>
      <c r="BL147" s="23" t="s">
        <v>218</v>
      </c>
      <c r="BM147" s="101" t="s">
        <v>619</v>
      </c>
    </row>
    <row r="148" spans="2:65" s="31" customFormat="1" ht="26.1" customHeight="1">
      <c r="B148" s="67"/>
      <c r="D148" s="68" t="s">
        <v>76</v>
      </c>
      <c r="E148" s="69" t="s">
        <v>3832</v>
      </c>
      <c r="F148" s="69" t="s">
        <v>4184</v>
      </c>
      <c r="I148" s="85"/>
      <c r="J148" s="86">
        <f>BK148</f>
        <v>27360</v>
      </c>
      <c r="L148" s="67"/>
      <c r="M148" s="87"/>
      <c r="P148" s="88">
        <f>SUM(P149:P164)</f>
        <v>0</v>
      </c>
      <c r="R148" s="88">
        <f>SUM(R149:R164)</f>
        <v>0</v>
      </c>
      <c r="T148" s="98">
        <f>SUM(T149:T164)</f>
        <v>0</v>
      </c>
      <c r="AR148" s="68" t="s">
        <v>85</v>
      </c>
      <c r="AT148" s="100" t="s">
        <v>76</v>
      </c>
      <c r="AU148" s="100" t="s">
        <v>77</v>
      </c>
      <c r="AY148" s="68" t="s">
        <v>211</v>
      </c>
      <c r="BK148" s="103">
        <f>SUM(BK149:BK164)</f>
        <v>27360</v>
      </c>
    </row>
    <row r="149" spans="2:65" s="1" customFormat="1" ht="16.5" customHeight="1">
      <c r="B149" s="12"/>
      <c r="C149" s="71" t="s">
        <v>490</v>
      </c>
      <c r="D149" s="71" t="s">
        <v>214</v>
      </c>
      <c r="E149" s="72" t="s">
        <v>4185</v>
      </c>
      <c r="F149" s="73" t="s">
        <v>4186</v>
      </c>
      <c r="G149" s="74" t="s">
        <v>444</v>
      </c>
      <c r="H149" s="75">
        <v>1</v>
      </c>
      <c r="I149" s="90">
        <v>300</v>
      </c>
      <c r="J149" s="91">
        <f t="shared" ref="J149:J164" si="10">ROUND(I149*H149,2)</f>
        <v>300</v>
      </c>
      <c r="K149" s="92"/>
      <c r="L149" s="12"/>
      <c r="M149" s="93" t="s">
        <v>1</v>
      </c>
      <c r="N149" s="94" t="s">
        <v>42</v>
      </c>
      <c r="P149" s="95">
        <f t="shared" ref="P149:P164" si="11">O149*H149</f>
        <v>0</v>
      </c>
      <c r="Q149" s="95">
        <v>0</v>
      </c>
      <c r="R149" s="95">
        <f t="shared" ref="R149:R164" si="12">Q149*H149</f>
        <v>0</v>
      </c>
      <c r="S149" s="95">
        <v>0</v>
      </c>
      <c r="T149" s="99">
        <f t="shared" ref="T149:T164" si="13">S149*H149</f>
        <v>0</v>
      </c>
      <c r="AR149" s="101" t="s">
        <v>218</v>
      </c>
      <c r="AT149" s="101" t="s">
        <v>214</v>
      </c>
      <c r="AU149" s="101" t="s">
        <v>85</v>
      </c>
      <c r="AY149" s="23" t="s">
        <v>211</v>
      </c>
      <c r="BE149" s="104">
        <f t="shared" ref="BE149:BE164" si="14">IF(N149="základní",J149,0)</f>
        <v>300</v>
      </c>
      <c r="BF149" s="104">
        <f t="shared" ref="BF149:BF164" si="15">IF(N149="snížená",J149,0)</f>
        <v>0</v>
      </c>
      <c r="BG149" s="104">
        <f t="shared" ref="BG149:BG164" si="16">IF(N149="zákl. přenesená",J149,0)</f>
        <v>0</v>
      </c>
      <c r="BH149" s="104">
        <f t="shared" ref="BH149:BH164" si="17">IF(N149="sníž. přenesená",J149,0)</f>
        <v>0</v>
      </c>
      <c r="BI149" s="104">
        <f t="shared" ref="BI149:BI164" si="18">IF(N149="nulová",J149,0)</f>
        <v>0</v>
      </c>
      <c r="BJ149" s="23" t="s">
        <v>85</v>
      </c>
      <c r="BK149" s="104">
        <f t="shared" ref="BK149:BK164" si="19">ROUND(I149*H149,2)</f>
        <v>300</v>
      </c>
      <c r="BL149" s="23" t="s">
        <v>218</v>
      </c>
      <c r="BM149" s="101" t="s">
        <v>639</v>
      </c>
    </row>
    <row r="150" spans="2:65" s="1" customFormat="1" ht="16.5" customHeight="1">
      <c r="B150" s="12"/>
      <c r="C150" s="71" t="s">
        <v>496</v>
      </c>
      <c r="D150" s="71" t="s">
        <v>214</v>
      </c>
      <c r="E150" s="72" t="s">
        <v>4187</v>
      </c>
      <c r="F150" s="73" t="s">
        <v>4188</v>
      </c>
      <c r="G150" s="74" t="s">
        <v>444</v>
      </c>
      <c r="H150" s="75">
        <v>4</v>
      </c>
      <c r="I150" s="90">
        <v>3150</v>
      </c>
      <c r="J150" s="91">
        <f t="shared" si="10"/>
        <v>12600</v>
      </c>
      <c r="K150" s="92"/>
      <c r="L150" s="12"/>
      <c r="M150" s="93" t="s">
        <v>1</v>
      </c>
      <c r="N150" s="94" t="s">
        <v>42</v>
      </c>
      <c r="P150" s="95">
        <f t="shared" si="11"/>
        <v>0</v>
      </c>
      <c r="Q150" s="95">
        <v>0</v>
      </c>
      <c r="R150" s="95">
        <f t="shared" si="12"/>
        <v>0</v>
      </c>
      <c r="S150" s="95">
        <v>0</v>
      </c>
      <c r="T150" s="99">
        <f t="shared" si="13"/>
        <v>0</v>
      </c>
      <c r="AR150" s="101" t="s">
        <v>218</v>
      </c>
      <c r="AT150" s="101" t="s">
        <v>214</v>
      </c>
      <c r="AU150" s="101" t="s">
        <v>85</v>
      </c>
      <c r="AY150" s="23" t="s">
        <v>211</v>
      </c>
      <c r="BE150" s="104">
        <f t="shared" si="14"/>
        <v>12600</v>
      </c>
      <c r="BF150" s="104">
        <f t="shared" si="15"/>
        <v>0</v>
      </c>
      <c r="BG150" s="104">
        <f t="shared" si="16"/>
        <v>0</v>
      </c>
      <c r="BH150" s="104">
        <f t="shared" si="17"/>
        <v>0</v>
      </c>
      <c r="BI150" s="104">
        <f t="shared" si="18"/>
        <v>0</v>
      </c>
      <c r="BJ150" s="23" t="s">
        <v>85</v>
      </c>
      <c r="BK150" s="104">
        <f t="shared" si="19"/>
        <v>12600</v>
      </c>
      <c r="BL150" s="23" t="s">
        <v>218</v>
      </c>
      <c r="BM150" s="101" t="s">
        <v>649</v>
      </c>
    </row>
    <row r="151" spans="2:65" s="1" customFormat="1" ht="16.5" customHeight="1">
      <c r="B151" s="12"/>
      <c r="C151" s="71" t="s">
        <v>502</v>
      </c>
      <c r="D151" s="71" t="s">
        <v>214</v>
      </c>
      <c r="E151" s="72" t="s">
        <v>4189</v>
      </c>
      <c r="F151" s="73" t="s">
        <v>4190</v>
      </c>
      <c r="G151" s="74" t="s">
        <v>444</v>
      </c>
      <c r="H151" s="75">
        <v>0.5</v>
      </c>
      <c r="I151" s="90">
        <v>400</v>
      </c>
      <c r="J151" s="91">
        <f t="shared" si="10"/>
        <v>200</v>
      </c>
      <c r="K151" s="92"/>
      <c r="L151" s="12"/>
      <c r="M151" s="93" t="s">
        <v>1</v>
      </c>
      <c r="N151" s="94" t="s">
        <v>42</v>
      </c>
      <c r="P151" s="95">
        <f t="shared" si="11"/>
        <v>0</v>
      </c>
      <c r="Q151" s="95">
        <v>0</v>
      </c>
      <c r="R151" s="95">
        <f t="shared" si="12"/>
        <v>0</v>
      </c>
      <c r="S151" s="95">
        <v>0</v>
      </c>
      <c r="T151" s="99">
        <f t="shared" si="13"/>
        <v>0</v>
      </c>
      <c r="AR151" s="101" t="s">
        <v>218</v>
      </c>
      <c r="AT151" s="101" t="s">
        <v>214</v>
      </c>
      <c r="AU151" s="101" t="s">
        <v>85</v>
      </c>
      <c r="AY151" s="23" t="s">
        <v>211</v>
      </c>
      <c r="BE151" s="104">
        <f t="shared" si="14"/>
        <v>200</v>
      </c>
      <c r="BF151" s="104">
        <f t="shared" si="15"/>
        <v>0</v>
      </c>
      <c r="BG151" s="104">
        <f t="shared" si="16"/>
        <v>0</v>
      </c>
      <c r="BH151" s="104">
        <f t="shared" si="17"/>
        <v>0</v>
      </c>
      <c r="BI151" s="104">
        <f t="shared" si="18"/>
        <v>0</v>
      </c>
      <c r="BJ151" s="23" t="s">
        <v>85</v>
      </c>
      <c r="BK151" s="104">
        <f t="shared" si="19"/>
        <v>200</v>
      </c>
      <c r="BL151" s="23" t="s">
        <v>218</v>
      </c>
      <c r="BM151" s="101" t="s">
        <v>660</v>
      </c>
    </row>
    <row r="152" spans="2:65" s="1" customFormat="1" ht="16.5" customHeight="1">
      <c r="B152" s="12"/>
      <c r="C152" s="71" t="s">
        <v>507</v>
      </c>
      <c r="D152" s="71" t="s">
        <v>214</v>
      </c>
      <c r="E152" s="72" t="s">
        <v>4191</v>
      </c>
      <c r="F152" s="73" t="s">
        <v>4192</v>
      </c>
      <c r="G152" s="74" t="s">
        <v>808</v>
      </c>
      <c r="H152" s="75">
        <v>2</v>
      </c>
      <c r="I152" s="90">
        <v>230</v>
      </c>
      <c r="J152" s="91">
        <f t="shared" si="10"/>
        <v>460</v>
      </c>
      <c r="K152" s="92"/>
      <c r="L152" s="12"/>
      <c r="M152" s="93" t="s">
        <v>1</v>
      </c>
      <c r="N152" s="94" t="s">
        <v>42</v>
      </c>
      <c r="P152" s="95">
        <f t="shared" si="11"/>
        <v>0</v>
      </c>
      <c r="Q152" s="95">
        <v>0</v>
      </c>
      <c r="R152" s="95">
        <f t="shared" si="12"/>
        <v>0</v>
      </c>
      <c r="S152" s="95">
        <v>0</v>
      </c>
      <c r="T152" s="99">
        <f t="shared" si="13"/>
        <v>0</v>
      </c>
      <c r="AR152" s="101" t="s">
        <v>218</v>
      </c>
      <c r="AT152" s="101" t="s">
        <v>214</v>
      </c>
      <c r="AU152" s="101" t="s">
        <v>85</v>
      </c>
      <c r="AY152" s="23" t="s">
        <v>211</v>
      </c>
      <c r="BE152" s="104">
        <f t="shared" si="14"/>
        <v>460</v>
      </c>
      <c r="BF152" s="104">
        <f t="shared" si="15"/>
        <v>0</v>
      </c>
      <c r="BG152" s="104">
        <f t="shared" si="16"/>
        <v>0</v>
      </c>
      <c r="BH152" s="104">
        <f t="shared" si="17"/>
        <v>0</v>
      </c>
      <c r="BI152" s="104">
        <f t="shared" si="18"/>
        <v>0</v>
      </c>
      <c r="BJ152" s="23" t="s">
        <v>85</v>
      </c>
      <c r="BK152" s="104">
        <f t="shared" si="19"/>
        <v>460</v>
      </c>
      <c r="BL152" s="23" t="s">
        <v>218</v>
      </c>
      <c r="BM152" s="101" t="s">
        <v>679</v>
      </c>
    </row>
    <row r="153" spans="2:65" s="1" customFormat="1" ht="16.5" customHeight="1">
      <c r="B153" s="12"/>
      <c r="C153" s="71" t="s">
        <v>511</v>
      </c>
      <c r="D153" s="71" t="s">
        <v>214</v>
      </c>
      <c r="E153" s="72" t="s">
        <v>4193</v>
      </c>
      <c r="F153" s="73" t="s">
        <v>4194</v>
      </c>
      <c r="G153" s="74" t="s">
        <v>4179</v>
      </c>
      <c r="H153" s="75">
        <v>1</v>
      </c>
      <c r="I153" s="90">
        <v>500</v>
      </c>
      <c r="J153" s="91">
        <f t="shared" si="10"/>
        <v>500</v>
      </c>
      <c r="K153" s="92"/>
      <c r="L153" s="12"/>
      <c r="M153" s="93" t="s">
        <v>1</v>
      </c>
      <c r="N153" s="94" t="s">
        <v>42</v>
      </c>
      <c r="P153" s="95">
        <f t="shared" si="11"/>
        <v>0</v>
      </c>
      <c r="Q153" s="95">
        <v>0</v>
      </c>
      <c r="R153" s="95">
        <f t="shared" si="12"/>
        <v>0</v>
      </c>
      <c r="S153" s="95">
        <v>0</v>
      </c>
      <c r="T153" s="99">
        <f t="shared" si="13"/>
        <v>0</v>
      </c>
      <c r="AR153" s="101" t="s">
        <v>218</v>
      </c>
      <c r="AT153" s="101" t="s">
        <v>214</v>
      </c>
      <c r="AU153" s="101" t="s">
        <v>85</v>
      </c>
      <c r="AY153" s="23" t="s">
        <v>211</v>
      </c>
      <c r="BE153" s="104">
        <f t="shared" si="14"/>
        <v>500</v>
      </c>
      <c r="BF153" s="104">
        <f t="shared" si="15"/>
        <v>0</v>
      </c>
      <c r="BG153" s="104">
        <f t="shared" si="16"/>
        <v>0</v>
      </c>
      <c r="BH153" s="104">
        <f t="shared" si="17"/>
        <v>0</v>
      </c>
      <c r="BI153" s="104">
        <f t="shared" si="18"/>
        <v>0</v>
      </c>
      <c r="BJ153" s="23" t="s">
        <v>85</v>
      </c>
      <c r="BK153" s="104">
        <f t="shared" si="19"/>
        <v>500</v>
      </c>
      <c r="BL153" s="23" t="s">
        <v>218</v>
      </c>
      <c r="BM153" s="101" t="s">
        <v>705</v>
      </c>
    </row>
    <row r="154" spans="2:65" s="1" customFormat="1" ht="16.5" customHeight="1">
      <c r="B154" s="12"/>
      <c r="C154" s="71" t="s">
        <v>517</v>
      </c>
      <c r="D154" s="71" t="s">
        <v>214</v>
      </c>
      <c r="E154" s="72" t="s">
        <v>4195</v>
      </c>
      <c r="F154" s="73" t="s">
        <v>4196</v>
      </c>
      <c r="G154" s="74" t="s">
        <v>4179</v>
      </c>
      <c r="H154" s="75">
        <v>1</v>
      </c>
      <c r="I154" s="90">
        <v>300</v>
      </c>
      <c r="J154" s="91">
        <f t="shared" si="10"/>
        <v>300</v>
      </c>
      <c r="K154" s="92"/>
      <c r="L154" s="12"/>
      <c r="M154" s="93" t="s">
        <v>1</v>
      </c>
      <c r="N154" s="94" t="s">
        <v>42</v>
      </c>
      <c r="P154" s="95">
        <f t="shared" si="11"/>
        <v>0</v>
      </c>
      <c r="Q154" s="95">
        <v>0</v>
      </c>
      <c r="R154" s="95">
        <f t="shared" si="12"/>
        <v>0</v>
      </c>
      <c r="S154" s="95">
        <v>0</v>
      </c>
      <c r="T154" s="99">
        <f t="shared" si="13"/>
        <v>0</v>
      </c>
      <c r="AR154" s="101" t="s">
        <v>218</v>
      </c>
      <c r="AT154" s="101" t="s">
        <v>214</v>
      </c>
      <c r="AU154" s="101" t="s">
        <v>85</v>
      </c>
      <c r="AY154" s="23" t="s">
        <v>211</v>
      </c>
      <c r="BE154" s="104">
        <f t="shared" si="14"/>
        <v>300</v>
      </c>
      <c r="BF154" s="104">
        <f t="shared" si="15"/>
        <v>0</v>
      </c>
      <c r="BG154" s="104">
        <f t="shared" si="16"/>
        <v>0</v>
      </c>
      <c r="BH154" s="104">
        <f t="shared" si="17"/>
        <v>0</v>
      </c>
      <c r="BI154" s="104">
        <f t="shared" si="18"/>
        <v>0</v>
      </c>
      <c r="BJ154" s="23" t="s">
        <v>85</v>
      </c>
      <c r="BK154" s="104">
        <f t="shared" si="19"/>
        <v>300</v>
      </c>
      <c r="BL154" s="23" t="s">
        <v>218</v>
      </c>
      <c r="BM154" s="101" t="s">
        <v>722</v>
      </c>
    </row>
    <row r="155" spans="2:65" s="1" customFormat="1" ht="16.5" customHeight="1">
      <c r="B155" s="12"/>
      <c r="C155" s="71" t="s">
        <v>522</v>
      </c>
      <c r="D155" s="71" t="s">
        <v>214</v>
      </c>
      <c r="E155" s="72" t="s">
        <v>4197</v>
      </c>
      <c r="F155" s="73" t="s">
        <v>4198</v>
      </c>
      <c r="G155" s="74" t="s">
        <v>4199</v>
      </c>
      <c r="H155" s="75">
        <v>1</v>
      </c>
      <c r="I155" s="90">
        <v>300</v>
      </c>
      <c r="J155" s="91">
        <f t="shared" si="10"/>
        <v>300</v>
      </c>
      <c r="K155" s="92"/>
      <c r="L155" s="12"/>
      <c r="M155" s="93" t="s">
        <v>1</v>
      </c>
      <c r="N155" s="94" t="s">
        <v>42</v>
      </c>
      <c r="P155" s="95">
        <f t="shared" si="11"/>
        <v>0</v>
      </c>
      <c r="Q155" s="95">
        <v>0</v>
      </c>
      <c r="R155" s="95">
        <f t="shared" si="12"/>
        <v>0</v>
      </c>
      <c r="S155" s="95">
        <v>0</v>
      </c>
      <c r="T155" s="99">
        <f t="shared" si="13"/>
        <v>0</v>
      </c>
      <c r="AR155" s="101" t="s">
        <v>218</v>
      </c>
      <c r="AT155" s="101" t="s">
        <v>214</v>
      </c>
      <c r="AU155" s="101" t="s">
        <v>85</v>
      </c>
      <c r="AY155" s="23" t="s">
        <v>211</v>
      </c>
      <c r="BE155" s="104">
        <f t="shared" si="14"/>
        <v>300</v>
      </c>
      <c r="BF155" s="104">
        <f t="shared" si="15"/>
        <v>0</v>
      </c>
      <c r="BG155" s="104">
        <f t="shared" si="16"/>
        <v>0</v>
      </c>
      <c r="BH155" s="104">
        <f t="shared" si="17"/>
        <v>0</v>
      </c>
      <c r="BI155" s="104">
        <f t="shared" si="18"/>
        <v>0</v>
      </c>
      <c r="BJ155" s="23" t="s">
        <v>85</v>
      </c>
      <c r="BK155" s="104">
        <f t="shared" si="19"/>
        <v>300</v>
      </c>
      <c r="BL155" s="23" t="s">
        <v>218</v>
      </c>
      <c r="BM155" s="101" t="s">
        <v>756</v>
      </c>
    </row>
    <row r="156" spans="2:65" s="1" customFormat="1" ht="16.5" customHeight="1">
      <c r="B156" s="12"/>
      <c r="C156" s="71" t="s">
        <v>527</v>
      </c>
      <c r="D156" s="71" t="s">
        <v>214</v>
      </c>
      <c r="E156" s="72" t="s">
        <v>4200</v>
      </c>
      <c r="F156" s="73" t="s">
        <v>4201</v>
      </c>
      <c r="G156" s="74" t="s">
        <v>4199</v>
      </c>
      <c r="H156" s="75">
        <v>1</v>
      </c>
      <c r="I156" s="90">
        <v>1200</v>
      </c>
      <c r="J156" s="91">
        <f t="shared" si="10"/>
        <v>1200</v>
      </c>
      <c r="K156" s="92"/>
      <c r="L156" s="12"/>
      <c r="M156" s="93" t="s">
        <v>1</v>
      </c>
      <c r="N156" s="94" t="s">
        <v>42</v>
      </c>
      <c r="P156" s="95">
        <f t="shared" si="11"/>
        <v>0</v>
      </c>
      <c r="Q156" s="95">
        <v>0</v>
      </c>
      <c r="R156" s="95">
        <f t="shared" si="12"/>
        <v>0</v>
      </c>
      <c r="S156" s="95">
        <v>0</v>
      </c>
      <c r="T156" s="99">
        <f t="shared" si="13"/>
        <v>0</v>
      </c>
      <c r="AR156" s="101" t="s">
        <v>218</v>
      </c>
      <c r="AT156" s="101" t="s">
        <v>214</v>
      </c>
      <c r="AU156" s="101" t="s">
        <v>85</v>
      </c>
      <c r="AY156" s="23" t="s">
        <v>211</v>
      </c>
      <c r="BE156" s="104">
        <f t="shared" si="14"/>
        <v>1200</v>
      </c>
      <c r="BF156" s="104">
        <f t="shared" si="15"/>
        <v>0</v>
      </c>
      <c r="BG156" s="104">
        <f t="shared" si="16"/>
        <v>0</v>
      </c>
      <c r="BH156" s="104">
        <f t="shared" si="17"/>
        <v>0</v>
      </c>
      <c r="BI156" s="104">
        <f t="shared" si="18"/>
        <v>0</v>
      </c>
      <c r="BJ156" s="23" t="s">
        <v>85</v>
      </c>
      <c r="BK156" s="104">
        <f t="shared" si="19"/>
        <v>1200</v>
      </c>
      <c r="BL156" s="23" t="s">
        <v>218</v>
      </c>
      <c r="BM156" s="101" t="s">
        <v>805</v>
      </c>
    </row>
    <row r="157" spans="2:65" s="1" customFormat="1" ht="16.5" customHeight="1">
      <c r="B157" s="12"/>
      <c r="C157" s="71" t="s">
        <v>532</v>
      </c>
      <c r="D157" s="71" t="s">
        <v>214</v>
      </c>
      <c r="E157" s="72" t="s">
        <v>4202</v>
      </c>
      <c r="F157" s="73" t="s">
        <v>4203</v>
      </c>
      <c r="G157" s="74" t="s">
        <v>4204</v>
      </c>
      <c r="H157" s="75">
        <v>6</v>
      </c>
      <c r="I157" s="90">
        <v>400</v>
      </c>
      <c r="J157" s="91">
        <f t="shared" si="10"/>
        <v>2400</v>
      </c>
      <c r="K157" s="92"/>
      <c r="L157" s="12"/>
      <c r="M157" s="93" t="s">
        <v>1</v>
      </c>
      <c r="N157" s="94" t="s">
        <v>42</v>
      </c>
      <c r="P157" s="95">
        <f t="shared" si="11"/>
        <v>0</v>
      </c>
      <c r="Q157" s="95">
        <v>0</v>
      </c>
      <c r="R157" s="95">
        <f t="shared" si="12"/>
        <v>0</v>
      </c>
      <c r="S157" s="95">
        <v>0</v>
      </c>
      <c r="T157" s="99">
        <f t="shared" si="13"/>
        <v>0</v>
      </c>
      <c r="AR157" s="101" t="s">
        <v>218</v>
      </c>
      <c r="AT157" s="101" t="s">
        <v>214</v>
      </c>
      <c r="AU157" s="101" t="s">
        <v>85</v>
      </c>
      <c r="AY157" s="23" t="s">
        <v>211</v>
      </c>
      <c r="BE157" s="104">
        <f t="shared" si="14"/>
        <v>2400</v>
      </c>
      <c r="BF157" s="104">
        <f t="shared" si="15"/>
        <v>0</v>
      </c>
      <c r="BG157" s="104">
        <f t="shared" si="16"/>
        <v>0</v>
      </c>
      <c r="BH157" s="104">
        <f t="shared" si="17"/>
        <v>0</v>
      </c>
      <c r="BI157" s="104">
        <f t="shared" si="18"/>
        <v>0</v>
      </c>
      <c r="BJ157" s="23" t="s">
        <v>85</v>
      </c>
      <c r="BK157" s="104">
        <f t="shared" si="19"/>
        <v>2400</v>
      </c>
      <c r="BL157" s="23" t="s">
        <v>218</v>
      </c>
      <c r="BM157" s="101" t="s">
        <v>814</v>
      </c>
    </row>
    <row r="158" spans="2:65" s="1" customFormat="1" ht="16.5" customHeight="1">
      <c r="B158" s="12"/>
      <c r="C158" s="71" t="s">
        <v>537</v>
      </c>
      <c r="D158" s="71" t="s">
        <v>214</v>
      </c>
      <c r="E158" s="72" t="s">
        <v>4205</v>
      </c>
      <c r="F158" s="73" t="s">
        <v>4206</v>
      </c>
      <c r="G158" s="74" t="s">
        <v>4179</v>
      </c>
      <c r="H158" s="75">
        <v>1</v>
      </c>
      <c r="I158" s="90">
        <v>0</v>
      </c>
      <c r="J158" s="91">
        <f t="shared" si="10"/>
        <v>0</v>
      </c>
      <c r="K158" s="92"/>
      <c r="L158" s="12"/>
      <c r="M158" s="93" t="s">
        <v>1</v>
      </c>
      <c r="N158" s="94" t="s">
        <v>42</v>
      </c>
      <c r="P158" s="95">
        <f t="shared" si="11"/>
        <v>0</v>
      </c>
      <c r="Q158" s="95">
        <v>0</v>
      </c>
      <c r="R158" s="95">
        <f t="shared" si="12"/>
        <v>0</v>
      </c>
      <c r="S158" s="95">
        <v>0</v>
      </c>
      <c r="T158" s="99">
        <f t="shared" si="13"/>
        <v>0</v>
      </c>
      <c r="AR158" s="101" t="s">
        <v>218</v>
      </c>
      <c r="AT158" s="101" t="s">
        <v>214</v>
      </c>
      <c r="AU158" s="101" t="s">
        <v>85</v>
      </c>
      <c r="AY158" s="23" t="s">
        <v>211</v>
      </c>
      <c r="BE158" s="104">
        <f t="shared" si="14"/>
        <v>0</v>
      </c>
      <c r="BF158" s="104">
        <f t="shared" si="15"/>
        <v>0</v>
      </c>
      <c r="BG158" s="104">
        <f t="shared" si="16"/>
        <v>0</v>
      </c>
      <c r="BH158" s="104">
        <f t="shared" si="17"/>
        <v>0</v>
      </c>
      <c r="BI158" s="104">
        <f t="shared" si="18"/>
        <v>0</v>
      </c>
      <c r="BJ158" s="23" t="s">
        <v>85</v>
      </c>
      <c r="BK158" s="104">
        <f t="shared" si="19"/>
        <v>0</v>
      </c>
      <c r="BL158" s="23" t="s">
        <v>218</v>
      </c>
      <c r="BM158" s="101" t="s">
        <v>822</v>
      </c>
    </row>
    <row r="159" spans="2:65" s="1" customFormat="1" ht="62.85" customHeight="1">
      <c r="B159" s="12"/>
      <c r="C159" s="71" t="s">
        <v>542</v>
      </c>
      <c r="D159" s="71" t="s">
        <v>214</v>
      </c>
      <c r="E159" s="72" t="s">
        <v>4207</v>
      </c>
      <c r="F159" s="73" t="s">
        <v>4208</v>
      </c>
      <c r="G159" s="74" t="s">
        <v>234</v>
      </c>
      <c r="H159" s="75">
        <v>1</v>
      </c>
      <c r="I159" s="90">
        <v>2000</v>
      </c>
      <c r="J159" s="91">
        <f t="shared" si="10"/>
        <v>2000</v>
      </c>
      <c r="K159" s="92"/>
      <c r="L159" s="12"/>
      <c r="M159" s="93" t="s">
        <v>1</v>
      </c>
      <c r="N159" s="94" t="s">
        <v>42</v>
      </c>
      <c r="P159" s="95">
        <f t="shared" si="11"/>
        <v>0</v>
      </c>
      <c r="Q159" s="95">
        <v>0</v>
      </c>
      <c r="R159" s="95">
        <f t="shared" si="12"/>
        <v>0</v>
      </c>
      <c r="S159" s="95">
        <v>0</v>
      </c>
      <c r="T159" s="99">
        <f t="shared" si="13"/>
        <v>0</v>
      </c>
      <c r="AR159" s="101" t="s">
        <v>218</v>
      </c>
      <c r="AT159" s="101" t="s">
        <v>214</v>
      </c>
      <c r="AU159" s="101" t="s">
        <v>85</v>
      </c>
      <c r="AY159" s="23" t="s">
        <v>211</v>
      </c>
      <c r="BE159" s="104">
        <f t="shared" si="14"/>
        <v>2000</v>
      </c>
      <c r="BF159" s="104">
        <f t="shared" si="15"/>
        <v>0</v>
      </c>
      <c r="BG159" s="104">
        <f t="shared" si="16"/>
        <v>0</v>
      </c>
      <c r="BH159" s="104">
        <f t="shared" si="17"/>
        <v>0</v>
      </c>
      <c r="BI159" s="104">
        <f t="shared" si="18"/>
        <v>0</v>
      </c>
      <c r="BJ159" s="23" t="s">
        <v>85</v>
      </c>
      <c r="BK159" s="104">
        <f t="shared" si="19"/>
        <v>2000</v>
      </c>
      <c r="BL159" s="23" t="s">
        <v>218</v>
      </c>
      <c r="BM159" s="101" t="s">
        <v>830</v>
      </c>
    </row>
    <row r="160" spans="2:65" s="1" customFormat="1" ht="49.35" customHeight="1">
      <c r="B160" s="12"/>
      <c r="C160" s="71" t="s">
        <v>551</v>
      </c>
      <c r="D160" s="71" t="s">
        <v>214</v>
      </c>
      <c r="E160" s="72" t="s">
        <v>4209</v>
      </c>
      <c r="F160" s="73" t="s">
        <v>4210</v>
      </c>
      <c r="G160" s="74" t="s">
        <v>234</v>
      </c>
      <c r="H160" s="75">
        <v>1</v>
      </c>
      <c r="I160" s="90">
        <v>400</v>
      </c>
      <c r="J160" s="91">
        <f t="shared" si="10"/>
        <v>400</v>
      </c>
      <c r="K160" s="92"/>
      <c r="L160" s="12"/>
      <c r="M160" s="93" t="s">
        <v>1</v>
      </c>
      <c r="N160" s="94" t="s">
        <v>42</v>
      </c>
      <c r="P160" s="95">
        <f t="shared" si="11"/>
        <v>0</v>
      </c>
      <c r="Q160" s="95">
        <v>0</v>
      </c>
      <c r="R160" s="95">
        <f t="shared" si="12"/>
        <v>0</v>
      </c>
      <c r="S160" s="95">
        <v>0</v>
      </c>
      <c r="T160" s="99">
        <f t="shared" si="13"/>
        <v>0</v>
      </c>
      <c r="AR160" s="101" t="s">
        <v>218</v>
      </c>
      <c r="AT160" s="101" t="s">
        <v>214</v>
      </c>
      <c r="AU160" s="101" t="s">
        <v>85</v>
      </c>
      <c r="AY160" s="23" t="s">
        <v>211</v>
      </c>
      <c r="BE160" s="104">
        <f t="shared" si="14"/>
        <v>400</v>
      </c>
      <c r="BF160" s="104">
        <f t="shared" si="15"/>
        <v>0</v>
      </c>
      <c r="BG160" s="104">
        <f t="shared" si="16"/>
        <v>0</v>
      </c>
      <c r="BH160" s="104">
        <f t="shared" si="17"/>
        <v>0</v>
      </c>
      <c r="BI160" s="104">
        <f t="shared" si="18"/>
        <v>0</v>
      </c>
      <c r="BJ160" s="23" t="s">
        <v>85</v>
      </c>
      <c r="BK160" s="104">
        <f t="shared" si="19"/>
        <v>400</v>
      </c>
      <c r="BL160" s="23" t="s">
        <v>218</v>
      </c>
      <c r="BM160" s="101" t="s">
        <v>838</v>
      </c>
    </row>
    <row r="161" spans="2:65" s="1" customFormat="1" ht="24.15" customHeight="1">
      <c r="B161" s="12"/>
      <c r="C161" s="71" t="s">
        <v>555</v>
      </c>
      <c r="D161" s="71" t="s">
        <v>214</v>
      </c>
      <c r="E161" s="72" t="s">
        <v>4211</v>
      </c>
      <c r="F161" s="73" t="s">
        <v>4212</v>
      </c>
      <c r="G161" s="74" t="s">
        <v>234</v>
      </c>
      <c r="H161" s="75">
        <v>1</v>
      </c>
      <c r="I161" s="90">
        <v>3000</v>
      </c>
      <c r="J161" s="91">
        <f t="shared" si="10"/>
        <v>3000</v>
      </c>
      <c r="K161" s="92"/>
      <c r="L161" s="12"/>
      <c r="M161" s="93" t="s">
        <v>1</v>
      </c>
      <c r="N161" s="94" t="s">
        <v>42</v>
      </c>
      <c r="P161" s="95">
        <f t="shared" si="11"/>
        <v>0</v>
      </c>
      <c r="Q161" s="95">
        <v>0</v>
      </c>
      <c r="R161" s="95">
        <f t="shared" si="12"/>
        <v>0</v>
      </c>
      <c r="S161" s="95">
        <v>0</v>
      </c>
      <c r="T161" s="99">
        <f t="shared" si="13"/>
        <v>0</v>
      </c>
      <c r="AR161" s="101" t="s">
        <v>218</v>
      </c>
      <c r="AT161" s="101" t="s">
        <v>214</v>
      </c>
      <c r="AU161" s="101" t="s">
        <v>85</v>
      </c>
      <c r="AY161" s="23" t="s">
        <v>211</v>
      </c>
      <c r="BE161" s="104">
        <f t="shared" si="14"/>
        <v>3000</v>
      </c>
      <c r="BF161" s="104">
        <f t="shared" si="15"/>
        <v>0</v>
      </c>
      <c r="BG161" s="104">
        <f t="shared" si="16"/>
        <v>0</v>
      </c>
      <c r="BH161" s="104">
        <f t="shared" si="17"/>
        <v>0</v>
      </c>
      <c r="BI161" s="104">
        <f t="shared" si="18"/>
        <v>0</v>
      </c>
      <c r="BJ161" s="23" t="s">
        <v>85</v>
      </c>
      <c r="BK161" s="104">
        <f t="shared" si="19"/>
        <v>3000</v>
      </c>
      <c r="BL161" s="23" t="s">
        <v>218</v>
      </c>
      <c r="BM161" s="101" t="s">
        <v>846</v>
      </c>
    </row>
    <row r="162" spans="2:65" s="1" customFormat="1" ht="24.15" customHeight="1">
      <c r="B162" s="12"/>
      <c r="C162" s="71" t="s">
        <v>566</v>
      </c>
      <c r="D162" s="71" t="s">
        <v>214</v>
      </c>
      <c r="E162" s="72" t="s">
        <v>4213</v>
      </c>
      <c r="F162" s="73" t="s">
        <v>4214</v>
      </c>
      <c r="G162" s="74" t="s">
        <v>234</v>
      </c>
      <c r="H162" s="75">
        <v>1</v>
      </c>
      <c r="I162" s="90">
        <v>1500</v>
      </c>
      <c r="J162" s="91">
        <f t="shared" si="10"/>
        <v>1500</v>
      </c>
      <c r="K162" s="92"/>
      <c r="L162" s="12"/>
      <c r="M162" s="93" t="s">
        <v>1</v>
      </c>
      <c r="N162" s="94" t="s">
        <v>42</v>
      </c>
      <c r="P162" s="95">
        <f t="shared" si="11"/>
        <v>0</v>
      </c>
      <c r="Q162" s="95">
        <v>0</v>
      </c>
      <c r="R162" s="95">
        <f t="shared" si="12"/>
        <v>0</v>
      </c>
      <c r="S162" s="95">
        <v>0</v>
      </c>
      <c r="T162" s="99">
        <f t="shared" si="13"/>
        <v>0</v>
      </c>
      <c r="AR162" s="101" t="s">
        <v>218</v>
      </c>
      <c r="AT162" s="101" t="s">
        <v>214</v>
      </c>
      <c r="AU162" s="101" t="s">
        <v>85</v>
      </c>
      <c r="AY162" s="23" t="s">
        <v>211</v>
      </c>
      <c r="BE162" s="104">
        <f t="shared" si="14"/>
        <v>1500</v>
      </c>
      <c r="BF162" s="104">
        <f t="shared" si="15"/>
        <v>0</v>
      </c>
      <c r="BG162" s="104">
        <f t="shared" si="16"/>
        <v>0</v>
      </c>
      <c r="BH162" s="104">
        <f t="shared" si="17"/>
        <v>0</v>
      </c>
      <c r="BI162" s="104">
        <f t="shared" si="18"/>
        <v>0</v>
      </c>
      <c r="BJ162" s="23" t="s">
        <v>85</v>
      </c>
      <c r="BK162" s="104">
        <f t="shared" si="19"/>
        <v>1500</v>
      </c>
      <c r="BL162" s="23" t="s">
        <v>218</v>
      </c>
      <c r="BM162" s="101" t="s">
        <v>854</v>
      </c>
    </row>
    <row r="163" spans="2:65" s="1" customFormat="1" ht="38.1" customHeight="1">
      <c r="B163" s="12"/>
      <c r="C163" s="71" t="s">
        <v>570</v>
      </c>
      <c r="D163" s="71" t="s">
        <v>214</v>
      </c>
      <c r="E163" s="72" t="s">
        <v>4215</v>
      </c>
      <c r="F163" s="73" t="s">
        <v>4216</v>
      </c>
      <c r="G163" s="74" t="s">
        <v>234</v>
      </c>
      <c r="H163" s="75">
        <v>1</v>
      </c>
      <c r="I163" s="90">
        <v>1500</v>
      </c>
      <c r="J163" s="91">
        <f t="shared" si="10"/>
        <v>1500</v>
      </c>
      <c r="K163" s="92"/>
      <c r="L163" s="12"/>
      <c r="M163" s="93" t="s">
        <v>1</v>
      </c>
      <c r="N163" s="94" t="s">
        <v>42</v>
      </c>
      <c r="P163" s="95">
        <f t="shared" si="11"/>
        <v>0</v>
      </c>
      <c r="Q163" s="95">
        <v>0</v>
      </c>
      <c r="R163" s="95">
        <f t="shared" si="12"/>
        <v>0</v>
      </c>
      <c r="S163" s="95">
        <v>0</v>
      </c>
      <c r="T163" s="99">
        <f t="shared" si="13"/>
        <v>0</v>
      </c>
      <c r="AR163" s="101" t="s">
        <v>218</v>
      </c>
      <c r="AT163" s="101" t="s">
        <v>214</v>
      </c>
      <c r="AU163" s="101" t="s">
        <v>85</v>
      </c>
      <c r="AY163" s="23" t="s">
        <v>211</v>
      </c>
      <c r="BE163" s="104">
        <f t="shared" si="14"/>
        <v>1500</v>
      </c>
      <c r="BF163" s="104">
        <f t="shared" si="15"/>
        <v>0</v>
      </c>
      <c r="BG163" s="104">
        <f t="shared" si="16"/>
        <v>0</v>
      </c>
      <c r="BH163" s="104">
        <f t="shared" si="17"/>
        <v>0</v>
      </c>
      <c r="BI163" s="104">
        <f t="shared" si="18"/>
        <v>0</v>
      </c>
      <c r="BJ163" s="23" t="s">
        <v>85</v>
      </c>
      <c r="BK163" s="104">
        <f t="shared" si="19"/>
        <v>1500</v>
      </c>
      <c r="BL163" s="23" t="s">
        <v>218</v>
      </c>
      <c r="BM163" s="101" t="s">
        <v>862</v>
      </c>
    </row>
    <row r="164" spans="2:65" s="1" customFormat="1" ht="49.35" customHeight="1">
      <c r="B164" s="12"/>
      <c r="C164" s="71" t="s">
        <v>578</v>
      </c>
      <c r="D164" s="71" t="s">
        <v>214</v>
      </c>
      <c r="E164" s="72" t="s">
        <v>4217</v>
      </c>
      <c r="F164" s="73" t="s">
        <v>4218</v>
      </c>
      <c r="G164" s="74" t="s">
        <v>234</v>
      </c>
      <c r="H164" s="75">
        <v>1</v>
      </c>
      <c r="I164" s="90">
        <v>700</v>
      </c>
      <c r="J164" s="91">
        <f t="shared" si="10"/>
        <v>700</v>
      </c>
      <c r="K164" s="92"/>
      <c r="L164" s="12"/>
      <c r="M164" s="130" t="s">
        <v>1</v>
      </c>
      <c r="N164" s="131" t="s">
        <v>42</v>
      </c>
      <c r="O164" s="110"/>
      <c r="P164" s="132">
        <f t="shared" si="11"/>
        <v>0</v>
      </c>
      <c r="Q164" s="132">
        <v>0</v>
      </c>
      <c r="R164" s="132">
        <f t="shared" si="12"/>
        <v>0</v>
      </c>
      <c r="S164" s="132">
        <v>0</v>
      </c>
      <c r="T164" s="134">
        <f t="shared" si="13"/>
        <v>0</v>
      </c>
      <c r="AR164" s="101" t="s">
        <v>218</v>
      </c>
      <c r="AT164" s="101" t="s">
        <v>214</v>
      </c>
      <c r="AU164" s="101" t="s">
        <v>85</v>
      </c>
      <c r="AY164" s="23" t="s">
        <v>211</v>
      </c>
      <c r="BE164" s="104">
        <f t="shared" si="14"/>
        <v>700</v>
      </c>
      <c r="BF164" s="104">
        <f t="shared" si="15"/>
        <v>0</v>
      </c>
      <c r="BG164" s="104">
        <f t="shared" si="16"/>
        <v>0</v>
      </c>
      <c r="BH164" s="104">
        <f t="shared" si="17"/>
        <v>0</v>
      </c>
      <c r="BI164" s="104">
        <f t="shared" si="18"/>
        <v>0</v>
      </c>
      <c r="BJ164" s="23" t="s">
        <v>85</v>
      </c>
      <c r="BK164" s="104">
        <f t="shared" si="19"/>
        <v>700</v>
      </c>
      <c r="BL164" s="23" t="s">
        <v>218</v>
      </c>
      <c r="BM164" s="101" t="s">
        <v>883</v>
      </c>
    </row>
    <row r="165" spans="2:65" s="1" customFormat="1" ht="6.9" customHeight="1">
      <c r="B165" s="26"/>
      <c r="C165" s="27"/>
      <c r="D165" s="27"/>
      <c r="E165" s="27"/>
      <c r="F165" s="27"/>
      <c r="G165" s="27"/>
      <c r="H165" s="27"/>
      <c r="I165" s="27"/>
      <c r="J165" s="27"/>
      <c r="K165" s="27"/>
      <c r="L165" s="12"/>
    </row>
  </sheetData>
  <autoFilter ref="C121:K164" xr:uid="{00000000-0009-0000-0000-000005000000}"/>
  <mergeCells count="12">
    <mergeCell ref="L2:V2"/>
    <mergeCell ref="E7:H7"/>
    <mergeCell ref="E9:H9"/>
    <mergeCell ref="E11:H11"/>
    <mergeCell ref="E20:H20"/>
    <mergeCell ref="E112:H112"/>
    <mergeCell ref="E114:H114"/>
    <mergeCell ref="E29:H29"/>
    <mergeCell ref="E85:H85"/>
    <mergeCell ref="E87:H87"/>
    <mergeCell ref="E89:H89"/>
    <mergeCell ref="E110:H11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BM428"/>
  <sheetViews>
    <sheetView showGridLines="0" topLeftCell="A7" zoomScale="130" zoomScaleNormal="130" workbookViewId="0">
      <selection activeCell="H100" sqref="H100"/>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107</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2" customHeight="1">
      <c r="B8" s="5"/>
      <c r="D8" s="10" t="s">
        <v>182</v>
      </c>
      <c r="L8" s="5"/>
    </row>
    <row r="9" spans="2:46" s="1" customFormat="1" ht="16.5" customHeight="1">
      <c r="B9" s="12"/>
      <c r="E9" s="392" t="s">
        <v>293</v>
      </c>
      <c r="F9" s="394"/>
      <c r="G9" s="394"/>
      <c r="H9" s="394"/>
      <c r="L9" s="12"/>
    </row>
    <row r="10" spans="2:46" s="1" customFormat="1" ht="12" customHeight="1">
      <c r="B10" s="12"/>
      <c r="D10" s="10" t="s">
        <v>296</v>
      </c>
      <c r="L10" s="12"/>
    </row>
    <row r="11" spans="2:46" s="1" customFormat="1" ht="16.5" customHeight="1">
      <c r="B11" s="12"/>
      <c r="E11" s="381" t="s">
        <v>4219</v>
      </c>
      <c r="F11" s="394"/>
      <c r="G11" s="394"/>
      <c r="H11" s="394"/>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395" t="str">
        <f>'Rekapitulace stavby'!E14</f>
        <v>DMG Stav a.s.</v>
      </c>
      <c r="F20" s="384"/>
      <c r="G20" s="384"/>
      <c r="H20" s="384"/>
      <c r="I20" s="10" t="s">
        <v>26</v>
      </c>
      <c r="J20" s="33" t="str">
        <f>'Rekapitulace stavby'!AN14</f>
        <v>CZ 08004013</v>
      </c>
      <c r="L20" s="12"/>
    </row>
    <row r="21" spans="2:12" s="1" customFormat="1" ht="6.9"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 customHeight="1">
      <c r="B27" s="12"/>
      <c r="L27" s="12"/>
    </row>
    <row r="28" spans="2:12" s="1" customFormat="1" ht="12" customHeight="1">
      <c r="B28" s="12"/>
      <c r="D28" s="10" t="s">
        <v>36</v>
      </c>
      <c r="L28" s="12"/>
    </row>
    <row r="29" spans="2:12" s="28" customFormat="1" ht="16.5" customHeight="1">
      <c r="B29" s="34"/>
      <c r="E29" s="388" t="s">
        <v>1</v>
      </c>
      <c r="F29" s="388"/>
      <c r="G29" s="388"/>
      <c r="H29" s="388"/>
      <c r="L29" s="34"/>
    </row>
    <row r="30" spans="2:12" s="1" customFormat="1" ht="6.9" customHeight="1">
      <c r="B30" s="12"/>
      <c r="L30" s="12"/>
    </row>
    <row r="31" spans="2:12" s="1" customFormat="1" ht="6.9" customHeight="1">
      <c r="B31" s="12"/>
      <c r="D31" s="35"/>
      <c r="E31" s="35"/>
      <c r="F31" s="35"/>
      <c r="G31" s="35"/>
      <c r="H31" s="35"/>
      <c r="I31" s="35"/>
      <c r="J31" s="35"/>
      <c r="K31" s="35"/>
      <c r="L31" s="12"/>
    </row>
    <row r="32" spans="2:12" s="1" customFormat="1" ht="25.35" customHeight="1">
      <c r="B32" s="12"/>
      <c r="D32" s="36" t="s">
        <v>37</v>
      </c>
      <c r="J32" s="51">
        <f>ROUND(J150,2)</f>
        <v>3746900</v>
      </c>
      <c r="L32" s="12"/>
    </row>
    <row r="33" spans="2:12" s="1" customFormat="1" ht="6.9" customHeight="1">
      <c r="B33" s="12"/>
      <c r="D33" s="35"/>
      <c r="E33" s="35"/>
      <c r="F33" s="35"/>
      <c r="G33" s="35"/>
      <c r="H33" s="35"/>
      <c r="I33" s="35"/>
      <c r="J33" s="35"/>
      <c r="K33" s="35"/>
      <c r="L33" s="12"/>
    </row>
    <row r="34" spans="2:12" s="1" customFormat="1" ht="14.4" customHeight="1">
      <c r="B34" s="12"/>
      <c r="F34" s="37" t="s">
        <v>39</v>
      </c>
      <c r="I34" s="37" t="s">
        <v>38</v>
      </c>
      <c r="J34" s="37" t="s">
        <v>40</v>
      </c>
      <c r="L34" s="12"/>
    </row>
    <row r="35" spans="2:12" s="1" customFormat="1" ht="14.4" customHeight="1">
      <c r="B35" s="12"/>
      <c r="D35" s="38" t="s">
        <v>41</v>
      </c>
      <c r="E35" s="10" t="s">
        <v>42</v>
      </c>
      <c r="F35" s="39">
        <f>ROUND((SUM(BE150:BE427)),2)</f>
        <v>3746900</v>
      </c>
      <c r="I35" s="52">
        <v>0.21</v>
      </c>
      <c r="J35" s="39">
        <f>ROUND(((SUM(BE150:BE427))*I35),2)</f>
        <v>786849</v>
      </c>
      <c r="L35" s="12"/>
    </row>
    <row r="36" spans="2:12" s="1" customFormat="1" ht="14.4" customHeight="1">
      <c r="B36" s="12"/>
      <c r="E36" s="10" t="s">
        <v>43</v>
      </c>
      <c r="F36" s="39">
        <f>ROUND((SUM(BF150:BF427)),2)</f>
        <v>0</v>
      </c>
      <c r="I36" s="52">
        <v>0.15</v>
      </c>
      <c r="J36" s="39">
        <f>ROUND(((SUM(BF150:BF427))*I36),2)</f>
        <v>0</v>
      </c>
      <c r="L36" s="12"/>
    </row>
    <row r="37" spans="2:12" s="1" customFormat="1" ht="14.4" hidden="1" customHeight="1">
      <c r="B37" s="12"/>
      <c r="E37" s="10" t="s">
        <v>44</v>
      </c>
      <c r="F37" s="39">
        <f>ROUND((SUM(BG150:BG427)),2)</f>
        <v>0</v>
      </c>
      <c r="I37" s="52">
        <v>0.21</v>
      </c>
      <c r="J37" s="39">
        <f>0</f>
        <v>0</v>
      </c>
      <c r="L37" s="12"/>
    </row>
    <row r="38" spans="2:12" s="1" customFormat="1" ht="14.4" hidden="1" customHeight="1">
      <c r="B38" s="12"/>
      <c r="E38" s="10" t="s">
        <v>45</v>
      </c>
      <c r="F38" s="39">
        <f>ROUND((SUM(BH150:BH427)),2)</f>
        <v>0</v>
      </c>
      <c r="I38" s="52">
        <v>0.15</v>
      </c>
      <c r="J38" s="39">
        <f>0</f>
        <v>0</v>
      </c>
      <c r="L38" s="12"/>
    </row>
    <row r="39" spans="2:12" s="1" customFormat="1" ht="14.4" hidden="1" customHeight="1">
      <c r="B39" s="12"/>
      <c r="E39" s="10" t="s">
        <v>46</v>
      </c>
      <c r="F39" s="39">
        <f>ROUND((SUM(BI150:BI427)),2)</f>
        <v>0</v>
      </c>
      <c r="I39" s="52">
        <v>0</v>
      </c>
      <c r="J39" s="39">
        <f>0</f>
        <v>0</v>
      </c>
      <c r="L39" s="12"/>
    </row>
    <row r="40" spans="2:12" s="1" customFormat="1" ht="6.9" customHeight="1">
      <c r="B40" s="12"/>
      <c r="L40" s="12"/>
    </row>
    <row r="41" spans="2:12" s="1" customFormat="1" ht="25.35" customHeight="1">
      <c r="B41" s="12"/>
      <c r="C41" s="40"/>
      <c r="D41" s="41" t="s">
        <v>47</v>
      </c>
      <c r="E41" s="42"/>
      <c r="F41" s="42"/>
      <c r="G41" s="43" t="s">
        <v>48</v>
      </c>
      <c r="H41" s="44" t="s">
        <v>49</v>
      </c>
      <c r="I41" s="42"/>
      <c r="J41" s="53">
        <f>SUM(J32:J39)</f>
        <v>4533749</v>
      </c>
      <c r="K41" s="54"/>
      <c r="L41" s="12"/>
    </row>
    <row r="42" spans="2:12" s="1" customFormat="1" ht="14.4" customHeight="1">
      <c r="B42" s="12"/>
      <c r="L42" s="12"/>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s="1" customFormat="1" ht="16.5" customHeight="1">
      <c r="B87" s="12"/>
      <c r="E87" s="392" t="s">
        <v>293</v>
      </c>
      <c r="F87" s="394"/>
      <c r="G87" s="394"/>
      <c r="H87" s="394"/>
      <c r="L87" s="12"/>
    </row>
    <row r="88" spans="2:12" s="1" customFormat="1" ht="12" customHeight="1">
      <c r="B88" s="12"/>
      <c r="C88" s="10" t="s">
        <v>296</v>
      </c>
      <c r="L88" s="12"/>
    </row>
    <row r="89" spans="2:12" s="1" customFormat="1" ht="16.5" customHeight="1">
      <c r="B89" s="12"/>
      <c r="E89" s="381" t="str">
        <f>E11</f>
        <v>D1.510 - Vzduchotechnika</v>
      </c>
      <c r="F89" s="394"/>
      <c r="G89" s="394"/>
      <c r="H89" s="394"/>
      <c r="L89" s="12"/>
    </row>
    <row r="90" spans="2:12" s="1" customFormat="1" ht="6.9" customHeight="1">
      <c r="B90" s="12"/>
      <c r="L90" s="12"/>
    </row>
    <row r="91" spans="2:12" s="1" customFormat="1" ht="12" customHeight="1">
      <c r="B91" s="12"/>
      <c r="C91" s="10" t="s">
        <v>20</v>
      </c>
      <c r="F91" s="32" t="str">
        <f>F14</f>
        <v>Praha</v>
      </c>
      <c r="I91" s="10" t="s">
        <v>22</v>
      </c>
      <c r="J91" s="11">
        <f>IF(J14="","",J14)</f>
        <v>45000</v>
      </c>
      <c r="L91" s="12"/>
    </row>
    <row r="92" spans="2:12" s="1" customFormat="1" ht="6.9" customHeight="1">
      <c r="B92" s="12"/>
      <c r="L92" s="12"/>
    </row>
    <row r="93" spans="2:12" s="1" customFormat="1" ht="15.15" customHeight="1">
      <c r="B93" s="12"/>
      <c r="C93" s="10" t="s">
        <v>23</v>
      </c>
      <c r="F93" s="32" t="str">
        <f>E17</f>
        <v>VELTON REAL ESTATE</v>
      </c>
      <c r="I93" s="10" t="s">
        <v>31</v>
      </c>
      <c r="J93" s="8" t="str">
        <f>E23</f>
        <v>ABMV World s.r.o</v>
      </c>
      <c r="L93" s="12"/>
    </row>
    <row r="94" spans="2:12" s="1" customFormat="1" ht="15.15"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J150</f>
        <v>3746900</v>
      </c>
      <c r="L98" s="12"/>
      <c r="AU98" s="23" t="s">
        <v>188</v>
      </c>
    </row>
    <row r="99" spans="2:47" s="29" customFormat="1" ht="24.9" customHeight="1">
      <c r="B99" s="60"/>
      <c r="D99" s="61" t="s">
        <v>4220</v>
      </c>
      <c r="E99" s="62"/>
      <c r="F99" s="62"/>
      <c r="G99" s="62"/>
      <c r="H99" s="62"/>
      <c r="I99" s="62"/>
      <c r="J99" s="77">
        <f>J151</f>
        <v>1061060</v>
      </c>
      <c r="L99" s="60"/>
    </row>
    <row r="100" spans="2:47" s="30" customFormat="1" ht="20.100000000000001" customHeight="1">
      <c r="B100" s="63"/>
      <c r="D100" s="64" t="s">
        <v>4221</v>
      </c>
      <c r="E100" s="65"/>
      <c r="F100" s="65"/>
      <c r="G100" s="65"/>
      <c r="H100" s="65"/>
      <c r="I100" s="65"/>
      <c r="J100" s="78">
        <f>J152</f>
        <v>222380</v>
      </c>
      <c r="L100" s="63"/>
    </row>
    <row r="101" spans="2:47" s="30" customFormat="1" ht="20.100000000000001" customHeight="1">
      <c r="B101" s="63"/>
      <c r="D101" s="64" t="s">
        <v>4222</v>
      </c>
      <c r="E101" s="65"/>
      <c r="F101" s="65"/>
      <c r="G101" s="65"/>
      <c r="H101" s="65"/>
      <c r="I101" s="65"/>
      <c r="J101" s="78">
        <f>J176</f>
        <v>427260</v>
      </c>
      <c r="L101" s="63"/>
    </row>
    <row r="102" spans="2:47" s="30" customFormat="1" ht="20.100000000000001" customHeight="1">
      <c r="B102" s="63"/>
      <c r="D102" s="64" t="s">
        <v>4223</v>
      </c>
      <c r="E102" s="65"/>
      <c r="F102" s="65"/>
      <c r="G102" s="65"/>
      <c r="H102" s="65"/>
      <c r="I102" s="65"/>
      <c r="J102" s="78">
        <f>J189</f>
        <v>80050</v>
      </c>
      <c r="L102" s="63"/>
    </row>
    <row r="103" spans="2:47" s="30" customFormat="1" ht="20.100000000000001" customHeight="1">
      <c r="B103" s="63"/>
      <c r="D103" s="64" t="s">
        <v>4224</v>
      </c>
      <c r="E103" s="65"/>
      <c r="F103" s="65"/>
      <c r="G103" s="65"/>
      <c r="H103" s="65"/>
      <c r="I103" s="65"/>
      <c r="J103" s="78">
        <f>J203</f>
        <v>110110</v>
      </c>
      <c r="L103" s="63"/>
    </row>
    <row r="104" spans="2:47" s="30" customFormat="1" ht="20.100000000000001" customHeight="1">
      <c r="B104" s="63"/>
      <c r="D104" s="64" t="s">
        <v>4225</v>
      </c>
      <c r="E104" s="65"/>
      <c r="F104" s="65"/>
      <c r="G104" s="65"/>
      <c r="H104" s="65"/>
      <c r="I104" s="65"/>
      <c r="J104" s="78">
        <f>J218</f>
        <v>94210</v>
      </c>
      <c r="L104" s="63"/>
    </row>
    <row r="105" spans="2:47" s="30" customFormat="1" ht="20.100000000000001" customHeight="1">
      <c r="B105" s="63"/>
      <c r="D105" s="64" t="s">
        <v>4226</v>
      </c>
      <c r="E105" s="65"/>
      <c r="F105" s="65"/>
      <c r="G105" s="65"/>
      <c r="H105" s="65"/>
      <c r="I105" s="65"/>
      <c r="J105" s="78">
        <f>J231</f>
        <v>89790</v>
      </c>
      <c r="L105" s="63"/>
    </row>
    <row r="106" spans="2:47" s="30" customFormat="1" ht="20.100000000000001" customHeight="1">
      <c r="B106" s="63"/>
      <c r="D106" s="64" t="s">
        <v>4227</v>
      </c>
      <c r="E106" s="65"/>
      <c r="F106" s="65"/>
      <c r="G106" s="65"/>
      <c r="H106" s="65"/>
      <c r="I106" s="65"/>
      <c r="J106" s="78">
        <f>J243</f>
        <v>9290</v>
      </c>
      <c r="L106" s="63"/>
    </row>
    <row r="107" spans="2:47" s="30" customFormat="1" ht="20.100000000000001" customHeight="1">
      <c r="B107" s="63"/>
      <c r="D107" s="64" t="s">
        <v>4228</v>
      </c>
      <c r="E107" s="65"/>
      <c r="F107" s="65"/>
      <c r="G107" s="65"/>
      <c r="H107" s="65"/>
      <c r="I107" s="65"/>
      <c r="J107" s="78">
        <f>J249</f>
        <v>8960</v>
      </c>
      <c r="L107" s="63"/>
    </row>
    <row r="108" spans="2:47" s="30" customFormat="1" ht="20.100000000000001" customHeight="1">
      <c r="B108" s="63"/>
      <c r="D108" s="64" t="s">
        <v>4229</v>
      </c>
      <c r="E108" s="65"/>
      <c r="F108" s="65"/>
      <c r="G108" s="65"/>
      <c r="H108" s="65"/>
      <c r="I108" s="65"/>
      <c r="J108" s="78">
        <f>J255</f>
        <v>8960</v>
      </c>
      <c r="L108" s="63"/>
    </row>
    <row r="109" spans="2:47" s="30" customFormat="1" ht="20.100000000000001" customHeight="1">
      <c r="B109" s="63"/>
      <c r="D109" s="64" t="s">
        <v>4230</v>
      </c>
      <c r="E109" s="65"/>
      <c r="F109" s="65"/>
      <c r="G109" s="65"/>
      <c r="H109" s="65"/>
      <c r="I109" s="65"/>
      <c r="J109" s="78">
        <f>J261</f>
        <v>10050</v>
      </c>
      <c r="L109" s="63"/>
    </row>
    <row r="110" spans="2:47" s="29" customFormat="1" ht="24.9" customHeight="1">
      <c r="B110" s="60"/>
      <c r="D110" s="61" t="s">
        <v>4231</v>
      </c>
      <c r="E110" s="62"/>
      <c r="F110" s="62"/>
      <c r="G110" s="62"/>
      <c r="H110" s="62"/>
      <c r="I110" s="62"/>
      <c r="J110" s="77">
        <f>J265</f>
        <v>797000</v>
      </c>
      <c r="L110" s="60"/>
    </row>
    <row r="111" spans="2:47" s="30" customFormat="1" ht="20.100000000000001" customHeight="1">
      <c r="B111" s="63"/>
      <c r="D111" s="64" t="s">
        <v>4232</v>
      </c>
      <c r="E111" s="65"/>
      <c r="F111" s="65"/>
      <c r="G111" s="65"/>
      <c r="H111" s="65"/>
      <c r="I111" s="65"/>
      <c r="J111" s="78">
        <f>J266</f>
        <v>118820</v>
      </c>
      <c r="L111" s="63"/>
    </row>
    <row r="112" spans="2:47" s="30" customFormat="1" ht="20.100000000000001" customHeight="1">
      <c r="B112" s="63"/>
      <c r="D112" s="64" t="s">
        <v>4233</v>
      </c>
      <c r="E112" s="65"/>
      <c r="F112" s="65"/>
      <c r="G112" s="65"/>
      <c r="H112" s="65"/>
      <c r="I112" s="65"/>
      <c r="J112" s="78">
        <f>J279</f>
        <v>142360</v>
      </c>
      <c r="L112" s="63"/>
    </row>
    <row r="113" spans="2:12" s="30" customFormat="1" ht="20.100000000000001" customHeight="1">
      <c r="B113" s="63"/>
      <c r="D113" s="64" t="s">
        <v>4234</v>
      </c>
      <c r="E113" s="65"/>
      <c r="F113" s="65"/>
      <c r="G113" s="65"/>
      <c r="H113" s="65"/>
      <c r="I113" s="65"/>
      <c r="J113" s="78">
        <f>J291</f>
        <v>435550</v>
      </c>
      <c r="L113" s="63"/>
    </row>
    <row r="114" spans="2:12" s="30" customFormat="1" ht="20.100000000000001" customHeight="1">
      <c r="B114" s="63"/>
      <c r="D114" s="64" t="s">
        <v>4235</v>
      </c>
      <c r="E114" s="65"/>
      <c r="F114" s="65"/>
      <c r="G114" s="65"/>
      <c r="H114" s="65"/>
      <c r="I114" s="65"/>
      <c r="J114" s="78">
        <f>J303</f>
        <v>85120</v>
      </c>
      <c r="L114" s="63"/>
    </row>
    <row r="115" spans="2:12" s="30" customFormat="1" ht="20.100000000000001" customHeight="1">
      <c r="B115" s="63"/>
      <c r="D115" s="64" t="s">
        <v>4230</v>
      </c>
      <c r="E115" s="65"/>
      <c r="F115" s="65"/>
      <c r="G115" s="65"/>
      <c r="H115" s="65"/>
      <c r="I115" s="65"/>
      <c r="J115" s="78">
        <f>J315</f>
        <v>15150</v>
      </c>
      <c r="L115" s="63"/>
    </row>
    <row r="116" spans="2:12" s="29" customFormat="1" ht="24.9" customHeight="1">
      <c r="B116" s="60"/>
      <c r="D116" s="61" t="s">
        <v>4236</v>
      </c>
      <c r="E116" s="62"/>
      <c r="F116" s="62"/>
      <c r="G116" s="62"/>
      <c r="H116" s="62"/>
      <c r="I116" s="62"/>
      <c r="J116" s="77">
        <f>J320</f>
        <v>738770</v>
      </c>
      <c r="L116" s="60"/>
    </row>
    <row r="117" spans="2:12" s="30" customFormat="1" ht="20.100000000000001" customHeight="1">
      <c r="B117" s="63"/>
      <c r="D117" s="64" t="s">
        <v>4237</v>
      </c>
      <c r="E117" s="65"/>
      <c r="F117" s="65"/>
      <c r="G117" s="65"/>
      <c r="H117" s="65"/>
      <c r="I117" s="65"/>
      <c r="J117" s="78">
        <f>J321</f>
        <v>91080</v>
      </c>
      <c r="L117" s="63"/>
    </row>
    <row r="118" spans="2:12" s="30" customFormat="1" ht="20.100000000000001" customHeight="1">
      <c r="B118" s="63"/>
      <c r="D118" s="64" t="s">
        <v>4238</v>
      </c>
      <c r="E118" s="65"/>
      <c r="F118" s="65"/>
      <c r="G118" s="65"/>
      <c r="H118" s="65"/>
      <c r="I118" s="65"/>
      <c r="J118" s="78">
        <f>J332</f>
        <v>350830</v>
      </c>
      <c r="L118" s="63"/>
    </row>
    <row r="119" spans="2:12" s="30" customFormat="1" ht="20.100000000000001" customHeight="1">
      <c r="B119" s="63"/>
      <c r="D119" s="64" t="s">
        <v>4239</v>
      </c>
      <c r="E119" s="65"/>
      <c r="F119" s="65"/>
      <c r="G119" s="65"/>
      <c r="H119" s="65"/>
      <c r="I119" s="65"/>
      <c r="J119" s="78">
        <f>J345</f>
        <v>285070</v>
      </c>
      <c r="L119" s="63"/>
    </row>
    <row r="120" spans="2:12" s="30" customFormat="1" ht="20.100000000000001" customHeight="1">
      <c r="B120" s="63"/>
      <c r="D120" s="64" t="s">
        <v>4230</v>
      </c>
      <c r="E120" s="65"/>
      <c r="F120" s="65"/>
      <c r="G120" s="65"/>
      <c r="H120" s="65"/>
      <c r="I120" s="65"/>
      <c r="J120" s="78">
        <f>J358</f>
        <v>11790</v>
      </c>
      <c r="L120" s="63"/>
    </row>
    <row r="121" spans="2:12" s="29" customFormat="1" ht="24.9" customHeight="1">
      <c r="B121" s="60"/>
      <c r="D121" s="61" t="s">
        <v>4240</v>
      </c>
      <c r="E121" s="62"/>
      <c r="F121" s="62"/>
      <c r="G121" s="62"/>
      <c r="H121" s="62"/>
      <c r="I121" s="62"/>
      <c r="J121" s="77">
        <f>J363</f>
        <v>1085070</v>
      </c>
      <c r="L121" s="60"/>
    </row>
    <row r="122" spans="2:12" s="30" customFormat="1" ht="20.100000000000001" customHeight="1">
      <c r="B122" s="63"/>
      <c r="D122" s="64" t="s">
        <v>4241</v>
      </c>
      <c r="E122" s="65"/>
      <c r="F122" s="65"/>
      <c r="G122" s="65"/>
      <c r="H122" s="65"/>
      <c r="I122" s="65"/>
      <c r="J122" s="78">
        <f>J364</f>
        <v>270240</v>
      </c>
      <c r="L122" s="63"/>
    </row>
    <row r="123" spans="2:12" s="30" customFormat="1" ht="20.100000000000001" customHeight="1">
      <c r="B123" s="63"/>
      <c r="D123" s="64" t="s">
        <v>4242</v>
      </c>
      <c r="E123" s="65"/>
      <c r="F123" s="65"/>
      <c r="G123" s="65"/>
      <c r="H123" s="65"/>
      <c r="I123" s="65"/>
      <c r="J123" s="78">
        <f>J384</f>
        <v>24300</v>
      </c>
      <c r="L123" s="63"/>
    </row>
    <row r="124" spans="2:12" s="30" customFormat="1" ht="20.100000000000001" customHeight="1">
      <c r="B124" s="63"/>
      <c r="D124" s="64" t="s">
        <v>4243</v>
      </c>
      <c r="E124" s="65"/>
      <c r="F124" s="65"/>
      <c r="G124" s="65"/>
      <c r="H124" s="65"/>
      <c r="I124" s="65"/>
      <c r="J124" s="78">
        <f>J392</f>
        <v>420930</v>
      </c>
      <c r="L124" s="63"/>
    </row>
    <row r="125" spans="2:12" s="30" customFormat="1" ht="20.100000000000001" customHeight="1">
      <c r="B125" s="63"/>
      <c r="D125" s="64" t="s">
        <v>4244</v>
      </c>
      <c r="E125" s="65"/>
      <c r="F125" s="65"/>
      <c r="G125" s="65"/>
      <c r="H125" s="65"/>
      <c r="I125" s="65"/>
      <c r="J125" s="78">
        <f>J406</f>
        <v>354040</v>
      </c>
      <c r="L125" s="63"/>
    </row>
    <row r="126" spans="2:12" s="30" customFormat="1" ht="20.100000000000001" customHeight="1">
      <c r="B126" s="63"/>
      <c r="D126" s="64" t="s">
        <v>4230</v>
      </c>
      <c r="E126" s="65"/>
      <c r="F126" s="65"/>
      <c r="G126" s="65"/>
      <c r="H126" s="65"/>
      <c r="I126" s="65"/>
      <c r="J126" s="78">
        <f>J419</f>
        <v>15560</v>
      </c>
      <c r="L126" s="63"/>
    </row>
    <row r="127" spans="2:12" s="29" customFormat="1" ht="24.9" customHeight="1">
      <c r="B127" s="60"/>
      <c r="D127" s="61" t="s">
        <v>4245</v>
      </c>
      <c r="E127" s="62"/>
      <c r="F127" s="62"/>
      <c r="G127" s="62"/>
      <c r="H127" s="62"/>
      <c r="I127" s="62"/>
      <c r="J127" s="77">
        <f>J423</f>
        <v>65000</v>
      </c>
      <c r="L127" s="60"/>
    </row>
    <row r="128" spans="2:12" s="30" customFormat="1" ht="20.100000000000001" customHeight="1">
      <c r="B128" s="63"/>
      <c r="D128" s="64" t="s">
        <v>4246</v>
      </c>
      <c r="E128" s="65"/>
      <c r="F128" s="65"/>
      <c r="G128" s="65"/>
      <c r="H128" s="65"/>
      <c r="I128" s="65"/>
      <c r="J128" s="78">
        <f>J424</f>
        <v>65000</v>
      </c>
      <c r="L128" s="63"/>
    </row>
    <row r="129" spans="2:12" s="1" customFormat="1" ht="21.75" customHeight="1">
      <c r="B129" s="12"/>
      <c r="L129" s="12"/>
    </row>
    <row r="130" spans="2:12" s="1" customFormat="1" ht="6.9" customHeight="1">
      <c r="B130" s="26"/>
      <c r="C130" s="27"/>
      <c r="D130" s="27"/>
      <c r="E130" s="27"/>
      <c r="F130" s="27"/>
      <c r="G130" s="27"/>
      <c r="H130" s="27"/>
      <c r="I130" s="27"/>
      <c r="J130" s="27"/>
      <c r="K130" s="27"/>
      <c r="L130" s="12"/>
    </row>
    <row r="134" spans="2:12" s="1" customFormat="1" ht="6.9" customHeight="1">
      <c r="B134" s="56"/>
      <c r="C134" s="57"/>
      <c r="D134" s="57"/>
      <c r="E134" s="57"/>
      <c r="F134" s="57"/>
      <c r="G134" s="57"/>
      <c r="H134" s="57"/>
      <c r="I134" s="57"/>
      <c r="J134" s="57"/>
      <c r="K134" s="57"/>
      <c r="L134" s="12"/>
    </row>
    <row r="135" spans="2:12" s="1" customFormat="1" ht="24.9" customHeight="1">
      <c r="B135" s="12"/>
      <c r="C135" s="6" t="s">
        <v>195</v>
      </c>
      <c r="L135" s="12"/>
    </row>
    <row r="136" spans="2:12" s="1" customFormat="1" ht="6.9" customHeight="1">
      <c r="B136" s="12"/>
      <c r="L136" s="12"/>
    </row>
    <row r="137" spans="2:12" s="1" customFormat="1" ht="12" customHeight="1">
      <c r="B137" s="12"/>
      <c r="C137" s="10" t="s">
        <v>16</v>
      </c>
      <c r="L137" s="12"/>
    </row>
    <row r="138" spans="2:12" s="1" customFormat="1" ht="16.5" customHeight="1">
      <c r="B138" s="12"/>
      <c r="E138" s="392" t="str">
        <f>E7</f>
        <v>Bytový soubor Libuše</v>
      </c>
      <c r="F138" s="393"/>
      <c r="G138" s="393"/>
      <c r="H138" s="393"/>
      <c r="L138" s="12"/>
    </row>
    <row r="139" spans="2:12" ht="12" customHeight="1">
      <c r="B139" s="5"/>
      <c r="C139" s="10" t="s">
        <v>182</v>
      </c>
      <c r="L139" s="5"/>
    </row>
    <row r="140" spans="2:12" s="1" customFormat="1" ht="16.5" customHeight="1">
      <c r="B140" s="12"/>
      <c r="E140" s="392" t="s">
        <v>293</v>
      </c>
      <c r="F140" s="394"/>
      <c r="G140" s="394"/>
      <c r="H140" s="394"/>
      <c r="L140" s="12"/>
    </row>
    <row r="141" spans="2:12" s="1" customFormat="1" ht="12" customHeight="1">
      <c r="B141" s="12"/>
      <c r="C141" s="10" t="s">
        <v>296</v>
      </c>
      <c r="L141" s="12"/>
    </row>
    <row r="142" spans="2:12" s="1" customFormat="1" ht="16.5" customHeight="1">
      <c r="B142" s="12"/>
      <c r="E142" s="381" t="str">
        <f>E11</f>
        <v>D1.510 - Vzduchotechnika</v>
      </c>
      <c r="F142" s="394"/>
      <c r="G142" s="394"/>
      <c r="H142" s="394"/>
      <c r="L142" s="12"/>
    </row>
    <row r="143" spans="2:12" s="1" customFormat="1" ht="6.9" customHeight="1">
      <c r="B143" s="12"/>
      <c r="L143" s="12"/>
    </row>
    <row r="144" spans="2:12" s="1" customFormat="1" ht="12" customHeight="1">
      <c r="B144" s="12"/>
      <c r="C144" s="10" t="s">
        <v>20</v>
      </c>
      <c r="F144" s="32" t="str">
        <f>F14</f>
        <v>Praha</v>
      </c>
      <c r="I144" s="10" t="s">
        <v>22</v>
      </c>
      <c r="J144" s="11">
        <f>IF(J14="","",J14)</f>
        <v>45000</v>
      </c>
      <c r="L144" s="12"/>
    </row>
    <row r="145" spans="2:65" s="1" customFormat="1" ht="6.9" customHeight="1">
      <c r="B145" s="12"/>
      <c r="L145" s="12"/>
    </row>
    <row r="146" spans="2:65" s="1" customFormat="1" ht="15.15" customHeight="1">
      <c r="B146" s="12"/>
      <c r="C146" s="10" t="s">
        <v>23</v>
      </c>
      <c r="F146" s="32" t="str">
        <f>E17</f>
        <v>VELTON REAL ESTATE</v>
      </c>
      <c r="I146" s="10" t="s">
        <v>31</v>
      </c>
      <c r="J146" s="8" t="str">
        <f>E23</f>
        <v>ABMV World s.r.o</v>
      </c>
      <c r="L146" s="12"/>
    </row>
    <row r="147" spans="2:65" s="1" customFormat="1" ht="15.15" customHeight="1">
      <c r="B147" s="12"/>
      <c r="C147" s="10" t="s">
        <v>27</v>
      </c>
      <c r="F147" s="32" t="str">
        <f>IF(E20="","",E20)</f>
        <v>DMG Stav a.s.</v>
      </c>
      <c r="I147" s="10" t="s">
        <v>34</v>
      </c>
      <c r="J147" s="8" t="str">
        <f>E26</f>
        <v>QSB s.r.o.</v>
      </c>
      <c r="L147" s="12"/>
    </row>
    <row r="148" spans="2:65" s="1" customFormat="1" ht="10.35" customHeight="1">
      <c r="B148" s="12"/>
      <c r="L148" s="12"/>
    </row>
    <row r="149" spans="2:65" s="2" customFormat="1" ht="29.25" customHeight="1">
      <c r="B149" s="13"/>
      <c r="C149" s="14" t="s">
        <v>196</v>
      </c>
      <c r="D149" s="15" t="s">
        <v>62</v>
      </c>
      <c r="E149" s="15" t="s">
        <v>58</v>
      </c>
      <c r="F149" s="15" t="s">
        <v>59</v>
      </c>
      <c r="G149" s="15" t="s">
        <v>197</v>
      </c>
      <c r="H149" s="15" t="s">
        <v>198</v>
      </c>
      <c r="I149" s="15" t="s">
        <v>199</v>
      </c>
      <c r="J149" s="16" t="s">
        <v>186</v>
      </c>
      <c r="K149" s="79" t="s">
        <v>200</v>
      </c>
      <c r="L149" s="13"/>
      <c r="M149" s="80" t="s">
        <v>1</v>
      </c>
      <c r="N149" s="81" t="s">
        <v>41</v>
      </c>
      <c r="O149" s="81" t="s">
        <v>201</v>
      </c>
      <c r="P149" s="81" t="s">
        <v>202</v>
      </c>
      <c r="Q149" s="81" t="s">
        <v>203</v>
      </c>
      <c r="R149" s="81" t="s">
        <v>204</v>
      </c>
      <c r="S149" s="81" t="s">
        <v>205</v>
      </c>
      <c r="T149" s="96" t="s">
        <v>206</v>
      </c>
    </row>
    <row r="150" spans="2:65" s="1" customFormat="1" ht="23.1" customHeight="1">
      <c r="B150" s="12"/>
      <c r="C150" s="66" t="s">
        <v>207</v>
      </c>
      <c r="J150" s="82">
        <f>BK150</f>
        <v>3746900</v>
      </c>
      <c r="L150" s="12"/>
      <c r="M150" s="83"/>
      <c r="N150" s="35"/>
      <c r="O150" s="35"/>
      <c r="P150" s="84">
        <f>P151+P265+P320+P363+P423</f>
        <v>0</v>
      </c>
      <c r="Q150" s="35"/>
      <c r="R150" s="84">
        <f>R151+R265+R320+R363+R423</f>
        <v>0</v>
      </c>
      <c r="S150" s="35"/>
      <c r="T150" s="97">
        <f>T151+T265+T320+T363+T423</f>
        <v>0</v>
      </c>
      <c r="AT150" s="23" t="s">
        <v>76</v>
      </c>
      <c r="AU150" s="23" t="s">
        <v>188</v>
      </c>
      <c r="BK150" s="102">
        <f>BK151+BK265+BK320+BK363+BK423</f>
        <v>3746900</v>
      </c>
    </row>
    <row r="151" spans="2:65" s="31" customFormat="1" ht="26.1" customHeight="1">
      <c r="B151" s="67"/>
      <c r="D151" s="68" t="s">
        <v>76</v>
      </c>
      <c r="E151" s="69" t="s">
        <v>3830</v>
      </c>
      <c r="F151" s="69" t="s">
        <v>4247</v>
      </c>
      <c r="I151" s="85"/>
      <c r="J151" s="86">
        <f>BK151</f>
        <v>1061060</v>
      </c>
      <c r="L151" s="67"/>
      <c r="M151" s="87"/>
      <c r="P151" s="88">
        <f>P152+P176+P189+P203+P218+P231+P243+P249+P255+P261</f>
        <v>0</v>
      </c>
      <c r="R151" s="88">
        <f>R152+R176+R189+R203+R218+R231+R243+R249+R255+R261</f>
        <v>0</v>
      </c>
      <c r="T151" s="98">
        <f>T152+T176+T189+T203+T218+T231+T243+T249+T255+T261</f>
        <v>0</v>
      </c>
      <c r="AR151" s="68" t="s">
        <v>85</v>
      </c>
      <c r="AT151" s="100" t="s">
        <v>76</v>
      </c>
      <c r="AU151" s="100" t="s">
        <v>77</v>
      </c>
      <c r="AY151" s="68" t="s">
        <v>211</v>
      </c>
      <c r="BK151" s="103">
        <f>BK152+BK176+BK189+BK203+BK218+BK231+BK243+BK249+BK255+BK261</f>
        <v>1061060</v>
      </c>
    </row>
    <row r="152" spans="2:65" s="31" customFormat="1" ht="23.1" customHeight="1">
      <c r="B152" s="67"/>
      <c r="D152" s="68" t="s">
        <v>76</v>
      </c>
      <c r="E152" s="70" t="s">
        <v>3832</v>
      </c>
      <c r="F152" s="70" t="s">
        <v>4248</v>
      </c>
      <c r="I152" s="85"/>
      <c r="J152" s="89">
        <f>BK152</f>
        <v>222380</v>
      </c>
      <c r="L152" s="67"/>
      <c r="M152" s="87"/>
      <c r="P152" s="88">
        <f>SUM(P153:P175)</f>
        <v>0</v>
      </c>
      <c r="R152" s="88">
        <f>SUM(R153:R175)</f>
        <v>0</v>
      </c>
      <c r="T152" s="98">
        <f>SUM(T153:T175)</f>
        <v>0</v>
      </c>
      <c r="AR152" s="68" t="s">
        <v>85</v>
      </c>
      <c r="AT152" s="100" t="s">
        <v>76</v>
      </c>
      <c r="AU152" s="100" t="s">
        <v>85</v>
      </c>
      <c r="AY152" s="68" t="s">
        <v>211</v>
      </c>
      <c r="BK152" s="103">
        <f>SUM(BK153:BK175)</f>
        <v>222380</v>
      </c>
    </row>
    <row r="153" spans="2:65" s="1" customFormat="1" ht="21.75" customHeight="1">
      <c r="B153" s="12"/>
      <c r="C153" s="71" t="s">
        <v>85</v>
      </c>
      <c r="D153" s="71" t="s">
        <v>214</v>
      </c>
      <c r="E153" s="72" t="s">
        <v>4249</v>
      </c>
      <c r="F153" s="73" t="s">
        <v>4250</v>
      </c>
      <c r="G153" s="74" t="s">
        <v>808</v>
      </c>
      <c r="H153" s="75">
        <v>1</v>
      </c>
      <c r="I153" s="90">
        <v>112000</v>
      </c>
      <c r="J153" s="91">
        <f>ROUND(I153*H153,2)</f>
        <v>112000</v>
      </c>
      <c r="K153" s="92"/>
      <c r="L153" s="12"/>
      <c r="M153" s="93" t="s">
        <v>1</v>
      </c>
      <c r="N153" s="94" t="s">
        <v>42</v>
      </c>
      <c r="P153" s="95">
        <f>O153*H153</f>
        <v>0</v>
      </c>
      <c r="Q153" s="95">
        <v>0</v>
      </c>
      <c r="R153" s="95">
        <f>Q153*H153</f>
        <v>0</v>
      </c>
      <c r="S153" s="95">
        <v>0</v>
      </c>
      <c r="T153" s="99">
        <f>S153*H153</f>
        <v>0</v>
      </c>
      <c r="AR153" s="101" t="s">
        <v>218</v>
      </c>
      <c r="AT153" s="101" t="s">
        <v>214</v>
      </c>
      <c r="AU153" s="101" t="s">
        <v>87</v>
      </c>
      <c r="AY153" s="23" t="s">
        <v>211</v>
      </c>
      <c r="BE153" s="104">
        <f>IF(N153="základní",J153,0)</f>
        <v>112000</v>
      </c>
      <c r="BF153" s="104">
        <f>IF(N153="snížená",J153,0)</f>
        <v>0</v>
      </c>
      <c r="BG153" s="104">
        <f>IF(N153="zákl. přenesená",J153,0)</f>
        <v>0</v>
      </c>
      <c r="BH153" s="104">
        <f>IF(N153="sníž. přenesená",J153,0)</f>
        <v>0</v>
      </c>
      <c r="BI153" s="104">
        <f>IF(N153="nulová",J153,0)</f>
        <v>0</v>
      </c>
      <c r="BJ153" s="23" t="s">
        <v>85</v>
      </c>
      <c r="BK153" s="104">
        <f>ROUND(I153*H153,2)</f>
        <v>112000</v>
      </c>
      <c r="BL153" s="23" t="s">
        <v>218</v>
      </c>
      <c r="BM153" s="101" t="s">
        <v>87</v>
      </c>
    </row>
    <row r="154" spans="2:65" s="1" customFormat="1" ht="76.8">
      <c r="B154" s="12"/>
      <c r="D154" s="105" t="s">
        <v>227</v>
      </c>
      <c r="F154" s="106" t="s">
        <v>4251</v>
      </c>
      <c r="I154" s="107"/>
      <c r="L154" s="12"/>
      <c r="M154" s="108"/>
      <c r="T154" s="111"/>
      <c r="AT154" s="23" t="s">
        <v>227</v>
      </c>
      <c r="AU154" s="23" t="s">
        <v>87</v>
      </c>
    </row>
    <row r="155" spans="2:65" s="1" customFormat="1" ht="16.5" customHeight="1">
      <c r="B155" s="12"/>
      <c r="C155" s="71" t="s">
        <v>87</v>
      </c>
      <c r="D155" s="71" t="s">
        <v>214</v>
      </c>
      <c r="E155" s="72" t="s">
        <v>4252</v>
      </c>
      <c r="F155" s="73" t="s">
        <v>4253</v>
      </c>
      <c r="G155" s="74" t="s">
        <v>808</v>
      </c>
      <c r="H155" s="75">
        <v>6</v>
      </c>
      <c r="I155" s="90">
        <v>2200</v>
      </c>
      <c r="J155" s="91">
        <f t="shared" ref="J155:J175" si="0">ROUND(I155*H155,2)</f>
        <v>13200</v>
      </c>
      <c r="K155" s="92"/>
      <c r="L155" s="12"/>
      <c r="M155" s="93" t="s">
        <v>1</v>
      </c>
      <c r="N155" s="94" t="s">
        <v>42</v>
      </c>
      <c r="P155" s="95">
        <f t="shared" ref="P155:P175" si="1">O155*H155</f>
        <v>0</v>
      </c>
      <c r="Q155" s="95">
        <v>0</v>
      </c>
      <c r="R155" s="95">
        <f t="shared" ref="R155:R175" si="2">Q155*H155</f>
        <v>0</v>
      </c>
      <c r="S155" s="95">
        <v>0</v>
      </c>
      <c r="T155" s="99">
        <f t="shared" ref="T155:T175" si="3">S155*H155</f>
        <v>0</v>
      </c>
      <c r="AR155" s="101" t="s">
        <v>218</v>
      </c>
      <c r="AT155" s="101" t="s">
        <v>214</v>
      </c>
      <c r="AU155" s="101" t="s">
        <v>87</v>
      </c>
      <c r="AY155" s="23" t="s">
        <v>211</v>
      </c>
      <c r="BE155" s="104">
        <f t="shared" ref="BE155:BE175" si="4">IF(N155="základní",J155,0)</f>
        <v>13200</v>
      </c>
      <c r="BF155" s="104">
        <f t="shared" ref="BF155:BF175" si="5">IF(N155="snížená",J155,0)</f>
        <v>0</v>
      </c>
      <c r="BG155" s="104">
        <f t="shared" ref="BG155:BG175" si="6">IF(N155="zákl. přenesená",J155,0)</f>
        <v>0</v>
      </c>
      <c r="BH155" s="104">
        <f t="shared" ref="BH155:BH175" si="7">IF(N155="sníž. přenesená",J155,0)</f>
        <v>0</v>
      </c>
      <c r="BI155" s="104">
        <f t="shared" ref="BI155:BI175" si="8">IF(N155="nulová",J155,0)</f>
        <v>0</v>
      </c>
      <c r="BJ155" s="23" t="s">
        <v>85</v>
      </c>
      <c r="BK155" s="104">
        <f t="shared" ref="BK155:BK175" si="9">ROUND(I155*H155,2)</f>
        <v>13200</v>
      </c>
      <c r="BL155" s="23" t="s">
        <v>218</v>
      </c>
      <c r="BM155" s="101" t="s">
        <v>218</v>
      </c>
    </row>
    <row r="156" spans="2:65" s="1" customFormat="1" ht="16.5" customHeight="1">
      <c r="B156" s="12"/>
      <c r="C156" s="71" t="s">
        <v>137</v>
      </c>
      <c r="D156" s="71" t="s">
        <v>214</v>
      </c>
      <c r="E156" s="72" t="s">
        <v>4254</v>
      </c>
      <c r="F156" s="73" t="s">
        <v>4255</v>
      </c>
      <c r="G156" s="74" t="s">
        <v>808</v>
      </c>
      <c r="H156" s="75">
        <v>1</v>
      </c>
      <c r="I156" s="90">
        <v>2700</v>
      </c>
      <c r="J156" s="91">
        <f t="shared" si="0"/>
        <v>2700</v>
      </c>
      <c r="K156" s="92"/>
      <c r="L156" s="12"/>
      <c r="M156" s="93" t="s">
        <v>1</v>
      </c>
      <c r="N156" s="94" t="s">
        <v>42</v>
      </c>
      <c r="P156" s="95">
        <f t="shared" si="1"/>
        <v>0</v>
      </c>
      <c r="Q156" s="95">
        <v>0</v>
      </c>
      <c r="R156" s="95">
        <f t="shared" si="2"/>
        <v>0</v>
      </c>
      <c r="S156" s="95">
        <v>0</v>
      </c>
      <c r="T156" s="99">
        <f t="shared" si="3"/>
        <v>0</v>
      </c>
      <c r="AR156" s="101" t="s">
        <v>218</v>
      </c>
      <c r="AT156" s="101" t="s">
        <v>214</v>
      </c>
      <c r="AU156" s="101" t="s">
        <v>87</v>
      </c>
      <c r="AY156" s="23" t="s">
        <v>211</v>
      </c>
      <c r="BE156" s="104">
        <f t="shared" si="4"/>
        <v>2700</v>
      </c>
      <c r="BF156" s="104">
        <f t="shared" si="5"/>
        <v>0</v>
      </c>
      <c r="BG156" s="104">
        <f t="shared" si="6"/>
        <v>0</v>
      </c>
      <c r="BH156" s="104">
        <f t="shared" si="7"/>
        <v>0</v>
      </c>
      <c r="BI156" s="104">
        <f t="shared" si="8"/>
        <v>0</v>
      </c>
      <c r="BJ156" s="23" t="s">
        <v>85</v>
      </c>
      <c r="BK156" s="104">
        <f t="shared" si="9"/>
        <v>2700</v>
      </c>
      <c r="BL156" s="23" t="s">
        <v>218</v>
      </c>
      <c r="BM156" s="101" t="s">
        <v>239</v>
      </c>
    </row>
    <row r="157" spans="2:65" s="1" customFormat="1" ht="16.5" customHeight="1">
      <c r="B157" s="12"/>
      <c r="C157" s="71" t="s">
        <v>218</v>
      </c>
      <c r="D157" s="71" t="s">
        <v>214</v>
      </c>
      <c r="E157" s="72" t="s">
        <v>4256</v>
      </c>
      <c r="F157" s="73" t="s">
        <v>4257</v>
      </c>
      <c r="G157" s="74" t="s">
        <v>808</v>
      </c>
      <c r="H157" s="75">
        <v>13</v>
      </c>
      <c r="I157" s="90">
        <v>120</v>
      </c>
      <c r="J157" s="91">
        <f t="shared" si="0"/>
        <v>1560</v>
      </c>
      <c r="K157" s="92"/>
      <c r="L157" s="12"/>
      <c r="M157" s="93" t="s">
        <v>1</v>
      </c>
      <c r="N157" s="94" t="s">
        <v>42</v>
      </c>
      <c r="P157" s="95">
        <f t="shared" si="1"/>
        <v>0</v>
      </c>
      <c r="Q157" s="95">
        <v>0</v>
      </c>
      <c r="R157" s="95">
        <f t="shared" si="2"/>
        <v>0</v>
      </c>
      <c r="S157" s="95">
        <v>0</v>
      </c>
      <c r="T157" s="99">
        <f t="shared" si="3"/>
        <v>0</v>
      </c>
      <c r="AR157" s="101" t="s">
        <v>218</v>
      </c>
      <c r="AT157" s="101" t="s">
        <v>214</v>
      </c>
      <c r="AU157" s="101" t="s">
        <v>87</v>
      </c>
      <c r="AY157" s="23" t="s">
        <v>211</v>
      </c>
      <c r="BE157" s="104">
        <f t="shared" si="4"/>
        <v>1560</v>
      </c>
      <c r="BF157" s="104">
        <f t="shared" si="5"/>
        <v>0</v>
      </c>
      <c r="BG157" s="104">
        <f t="shared" si="6"/>
        <v>0</v>
      </c>
      <c r="BH157" s="104">
        <f t="shared" si="7"/>
        <v>0</v>
      </c>
      <c r="BI157" s="104">
        <f t="shared" si="8"/>
        <v>0</v>
      </c>
      <c r="BJ157" s="23" t="s">
        <v>85</v>
      </c>
      <c r="BK157" s="104">
        <f t="shared" si="9"/>
        <v>1560</v>
      </c>
      <c r="BL157" s="23" t="s">
        <v>218</v>
      </c>
      <c r="BM157" s="101" t="s">
        <v>250</v>
      </c>
    </row>
    <row r="158" spans="2:65" s="1" customFormat="1" ht="16.5" customHeight="1">
      <c r="B158" s="12"/>
      <c r="C158" s="71" t="s">
        <v>210</v>
      </c>
      <c r="D158" s="71" t="s">
        <v>214</v>
      </c>
      <c r="E158" s="72" t="s">
        <v>4258</v>
      </c>
      <c r="F158" s="73" t="s">
        <v>4259</v>
      </c>
      <c r="G158" s="74" t="s">
        <v>808</v>
      </c>
      <c r="H158" s="75">
        <v>3</v>
      </c>
      <c r="I158" s="90">
        <v>180</v>
      </c>
      <c r="J158" s="91">
        <f t="shared" si="0"/>
        <v>540</v>
      </c>
      <c r="K158" s="92"/>
      <c r="L158" s="12"/>
      <c r="M158" s="93" t="s">
        <v>1</v>
      </c>
      <c r="N158" s="94" t="s">
        <v>42</v>
      </c>
      <c r="P158" s="95">
        <f t="shared" si="1"/>
        <v>0</v>
      </c>
      <c r="Q158" s="95">
        <v>0</v>
      </c>
      <c r="R158" s="95">
        <f t="shared" si="2"/>
        <v>0</v>
      </c>
      <c r="S158" s="95">
        <v>0</v>
      </c>
      <c r="T158" s="99">
        <f t="shared" si="3"/>
        <v>0</v>
      </c>
      <c r="AR158" s="101" t="s">
        <v>218</v>
      </c>
      <c r="AT158" s="101" t="s">
        <v>214</v>
      </c>
      <c r="AU158" s="101" t="s">
        <v>87</v>
      </c>
      <c r="AY158" s="23" t="s">
        <v>211</v>
      </c>
      <c r="BE158" s="104">
        <f t="shared" si="4"/>
        <v>540</v>
      </c>
      <c r="BF158" s="104">
        <f t="shared" si="5"/>
        <v>0</v>
      </c>
      <c r="BG158" s="104">
        <f t="shared" si="6"/>
        <v>0</v>
      </c>
      <c r="BH158" s="104">
        <f t="shared" si="7"/>
        <v>0</v>
      </c>
      <c r="BI158" s="104">
        <f t="shared" si="8"/>
        <v>0</v>
      </c>
      <c r="BJ158" s="23" t="s">
        <v>85</v>
      </c>
      <c r="BK158" s="104">
        <f t="shared" si="9"/>
        <v>540</v>
      </c>
      <c r="BL158" s="23" t="s">
        <v>218</v>
      </c>
      <c r="BM158" s="101" t="s">
        <v>259</v>
      </c>
    </row>
    <row r="159" spans="2:65" s="1" customFormat="1" ht="16.5" customHeight="1">
      <c r="B159" s="12"/>
      <c r="C159" s="71" t="s">
        <v>239</v>
      </c>
      <c r="D159" s="71" t="s">
        <v>214</v>
      </c>
      <c r="E159" s="72" t="s">
        <v>4260</v>
      </c>
      <c r="F159" s="73" t="s">
        <v>4261</v>
      </c>
      <c r="G159" s="74" t="s">
        <v>808</v>
      </c>
      <c r="H159" s="75">
        <v>1</v>
      </c>
      <c r="I159" s="90">
        <v>180</v>
      </c>
      <c r="J159" s="91">
        <f t="shared" si="0"/>
        <v>180</v>
      </c>
      <c r="K159" s="92"/>
      <c r="L159" s="12"/>
      <c r="M159" s="93" t="s">
        <v>1</v>
      </c>
      <c r="N159" s="94" t="s">
        <v>42</v>
      </c>
      <c r="P159" s="95">
        <f t="shared" si="1"/>
        <v>0</v>
      </c>
      <c r="Q159" s="95">
        <v>0</v>
      </c>
      <c r="R159" s="95">
        <f t="shared" si="2"/>
        <v>0</v>
      </c>
      <c r="S159" s="95">
        <v>0</v>
      </c>
      <c r="T159" s="99">
        <f t="shared" si="3"/>
        <v>0</v>
      </c>
      <c r="AR159" s="101" t="s">
        <v>218</v>
      </c>
      <c r="AT159" s="101" t="s">
        <v>214</v>
      </c>
      <c r="AU159" s="101" t="s">
        <v>87</v>
      </c>
      <c r="AY159" s="23" t="s">
        <v>211</v>
      </c>
      <c r="BE159" s="104">
        <f t="shared" si="4"/>
        <v>180</v>
      </c>
      <c r="BF159" s="104">
        <f t="shared" si="5"/>
        <v>0</v>
      </c>
      <c r="BG159" s="104">
        <f t="shared" si="6"/>
        <v>0</v>
      </c>
      <c r="BH159" s="104">
        <f t="shared" si="7"/>
        <v>0</v>
      </c>
      <c r="BI159" s="104">
        <f t="shared" si="8"/>
        <v>0</v>
      </c>
      <c r="BJ159" s="23" t="s">
        <v>85</v>
      </c>
      <c r="BK159" s="104">
        <f t="shared" si="9"/>
        <v>180</v>
      </c>
      <c r="BL159" s="23" t="s">
        <v>218</v>
      </c>
      <c r="BM159" s="101" t="s">
        <v>273</v>
      </c>
    </row>
    <row r="160" spans="2:65" s="1" customFormat="1" ht="16.5" customHeight="1">
      <c r="B160" s="12"/>
      <c r="C160" s="71" t="s">
        <v>245</v>
      </c>
      <c r="D160" s="71" t="s">
        <v>214</v>
      </c>
      <c r="E160" s="72" t="s">
        <v>4262</v>
      </c>
      <c r="F160" s="73" t="s">
        <v>4263</v>
      </c>
      <c r="G160" s="74" t="s">
        <v>808</v>
      </c>
      <c r="H160" s="75">
        <v>1</v>
      </c>
      <c r="I160" s="90">
        <v>220</v>
      </c>
      <c r="J160" s="91">
        <f t="shared" si="0"/>
        <v>220</v>
      </c>
      <c r="K160" s="92"/>
      <c r="L160" s="12"/>
      <c r="M160" s="93" t="s">
        <v>1</v>
      </c>
      <c r="N160" s="94" t="s">
        <v>42</v>
      </c>
      <c r="P160" s="95">
        <f t="shared" si="1"/>
        <v>0</v>
      </c>
      <c r="Q160" s="95">
        <v>0</v>
      </c>
      <c r="R160" s="95">
        <f t="shared" si="2"/>
        <v>0</v>
      </c>
      <c r="S160" s="95">
        <v>0</v>
      </c>
      <c r="T160" s="99">
        <f t="shared" si="3"/>
        <v>0</v>
      </c>
      <c r="AR160" s="101" t="s">
        <v>218</v>
      </c>
      <c r="AT160" s="101" t="s">
        <v>214</v>
      </c>
      <c r="AU160" s="101" t="s">
        <v>87</v>
      </c>
      <c r="AY160" s="23" t="s">
        <v>211</v>
      </c>
      <c r="BE160" s="104">
        <f t="shared" si="4"/>
        <v>220</v>
      </c>
      <c r="BF160" s="104">
        <f t="shared" si="5"/>
        <v>0</v>
      </c>
      <c r="BG160" s="104">
        <f t="shared" si="6"/>
        <v>0</v>
      </c>
      <c r="BH160" s="104">
        <f t="shared" si="7"/>
        <v>0</v>
      </c>
      <c r="BI160" s="104">
        <f t="shared" si="8"/>
        <v>0</v>
      </c>
      <c r="BJ160" s="23" t="s">
        <v>85</v>
      </c>
      <c r="BK160" s="104">
        <f t="shared" si="9"/>
        <v>220</v>
      </c>
      <c r="BL160" s="23" t="s">
        <v>218</v>
      </c>
      <c r="BM160" s="101" t="s">
        <v>437</v>
      </c>
    </row>
    <row r="161" spans="2:65" s="1" customFormat="1" ht="16.5" customHeight="1">
      <c r="B161" s="12"/>
      <c r="C161" s="71" t="s">
        <v>250</v>
      </c>
      <c r="D161" s="71" t="s">
        <v>214</v>
      </c>
      <c r="E161" s="72" t="s">
        <v>4264</v>
      </c>
      <c r="F161" s="73" t="s">
        <v>4265</v>
      </c>
      <c r="G161" s="74" t="s">
        <v>808</v>
      </c>
      <c r="H161" s="75">
        <v>2</v>
      </c>
      <c r="I161" s="90">
        <v>120</v>
      </c>
      <c r="J161" s="91">
        <f t="shared" si="0"/>
        <v>240</v>
      </c>
      <c r="K161" s="92"/>
      <c r="L161" s="12"/>
      <c r="M161" s="93" t="s">
        <v>1</v>
      </c>
      <c r="N161" s="94" t="s">
        <v>42</v>
      </c>
      <c r="P161" s="95">
        <f t="shared" si="1"/>
        <v>0</v>
      </c>
      <c r="Q161" s="95">
        <v>0</v>
      </c>
      <c r="R161" s="95">
        <f t="shared" si="2"/>
        <v>0</v>
      </c>
      <c r="S161" s="95">
        <v>0</v>
      </c>
      <c r="T161" s="99">
        <f t="shared" si="3"/>
        <v>0</v>
      </c>
      <c r="AR161" s="101" t="s">
        <v>218</v>
      </c>
      <c r="AT161" s="101" t="s">
        <v>214</v>
      </c>
      <c r="AU161" s="101" t="s">
        <v>87</v>
      </c>
      <c r="AY161" s="23" t="s">
        <v>211</v>
      </c>
      <c r="BE161" s="104">
        <f t="shared" si="4"/>
        <v>240</v>
      </c>
      <c r="BF161" s="104">
        <f t="shared" si="5"/>
        <v>0</v>
      </c>
      <c r="BG161" s="104">
        <f t="shared" si="6"/>
        <v>0</v>
      </c>
      <c r="BH161" s="104">
        <f t="shared" si="7"/>
        <v>0</v>
      </c>
      <c r="BI161" s="104">
        <f t="shared" si="8"/>
        <v>0</v>
      </c>
      <c r="BJ161" s="23" t="s">
        <v>85</v>
      </c>
      <c r="BK161" s="104">
        <f t="shared" si="9"/>
        <v>240</v>
      </c>
      <c r="BL161" s="23" t="s">
        <v>218</v>
      </c>
      <c r="BM161" s="101" t="s">
        <v>446</v>
      </c>
    </row>
    <row r="162" spans="2:65" s="1" customFormat="1" ht="16.5" customHeight="1">
      <c r="B162" s="12"/>
      <c r="C162" s="71" t="s">
        <v>255</v>
      </c>
      <c r="D162" s="71" t="s">
        <v>214</v>
      </c>
      <c r="E162" s="72" t="s">
        <v>4266</v>
      </c>
      <c r="F162" s="73" t="s">
        <v>4267</v>
      </c>
      <c r="G162" s="74" t="s">
        <v>808</v>
      </c>
      <c r="H162" s="75">
        <v>9</v>
      </c>
      <c r="I162" s="90">
        <v>120</v>
      </c>
      <c r="J162" s="91">
        <f t="shared" si="0"/>
        <v>1080</v>
      </c>
      <c r="K162" s="92"/>
      <c r="L162" s="12"/>
      <c r="M162" s="93" t="s">
        <v>1</v>
      </c>
      <c r="N162" s="94" t="s">
        <v>42</v>
      </c>
      <c r="P162" s="95">
        <f t="shared" si="1"/>
        <v>0</v>
      </c>
      <c r="Q162" s="95">
        <v>0</v>
      </c>
      <c r="R162" s="95">
        <f t="shared" si="2"/>
        <v>0</v>
      </c>
      <c r="S162" s="95">
        <v>0</v>
      </c>
      <c r="T162" s="99">
        <f t="shared" si="3"/>
        <v>0</v>
      </c>
      <c r="AR162" s="101" t="s">
        <v>218</v>
      </c>
      <c r="AT162" s="101" t="s">
        <v>214</v>
      </c>
      <c r="AU162" s="101" t="s">
        <v>87</v>
      </c>
      <c r="AY162" s="23" t="s">
        <v>211</v>
      </c>
      <c r="BE162" s="104">
        <f t="shared" si="4"/>
        <v>1080</v>
      </c>
      <c r="BF162" s="104">
        <f t="shared" si="5"/>
        <v>0</v>
      </c>
      <c r="BG162" s="104">
        <f t="shared" si="6"/>
        <v>0</v>
      </c>
      <c r="BH162" s="104">
        <f t="shared" si="7"/>
        <v>0</v>
      </c>
      <c r="BI162" s="104">
        <f t="shared" si="8"/>
        <v>0</v>
      </c>
      <c r="BJ162" s="23" t="s">
        <v>85</v>
      </c>
      <c r="BK162" s="104">
        <f t="shared" si="9"/>
        <v>1080</v>
      </c>
      <c r="BL162" s="23" t="s">
        <v>218</v>
      </c>
      <c r="BM162" s="101" t="s">
        <v>454</v>
      </c>
    </row>
    <row r="163" spans="2:65" s="1" customFormat="1" ht="16.5" customHeight="1">
      <c r="B163" s="12"/>
      <c r="C163" s="71" t="s">
        <v>259</v>
      </c>
      <c r="D163" s="71" t="s">
        <v>214</v>
      </c>
      <c r="E163" s="72" t="s">
        <v>4268</v>
      </c>
      <c r="F163" s="73" t="s">
        <v>4269</v>
      </c>
      <c r="G163" s="74" t="s">
        <v>808</v>
      </c>
      <c r="H163" s="75">
        <v>2</v>
      </c>
      <c r="I163" s="90">
        <v>2500</v>
      </c>
      <c r="J163" s="91">
        <f t="shared" si="0"/>
        <v>5000</v>
      </c>
      <c r="K163" s="92"/>
      <c r="L163" s="12"/>
      <c r="M163" s="93" t="s">
        <v>1</v>
      </c>
      <c r="N163" s="94" t="s">
        <v>42</v>
      </c>
      <c r="P163" s="95">
        <f t="shared" si="1"/>
        <v>0</v>
      </c>
      <c r="Q163" s="95">
        <v>0</v>
      </c>
      <c r="R163" s="95">
        <f t="shared" si="2"/>
        <v>0</v>
      </c>
      <c r="S163" s="95">
        <v>0</v>
      </c>
      <c r="T163" s="99">
        <f t="shared" si="3"/>
        <v>0</v>
      </c>
      <c r="AR163" s="101" t="s">
        <v>218</v>
      </c>
      <c r="AT163" s="101" t="s">
        <v>214</v>
      </c>
      <c r="AU163" s="101" t="s">
        <v>87</v>
      </c>
      <c r="AY163" s="23" t="s">
        <v>211</v>
      </c>
      <c r="BE163" s="104">
        <f t="shared" si="4"/>
        <v>5000</v>
      </c>
      <c r="BF163" s="104">
        <f t="shared" si="5"/>
        <v>0</v>
      </c>
      <c r="BG163" s="104">
        <f t="shared" si="6"/>
        <v>0</v>
      </c>
      <c r="BH163" s="104">
        <f t="shared" si="7"/>
        <v>0</v>
      </c>
      <c r="BI163" s="104">
        <f t="shared" si="8"/>
        <v>0</v>
      </c>
      <c r="BJ163" s="23" t="s">
        <v>85</v>
      </c>
      <c r="BK163" s="104">
        <f t="shared" si="9"/>
        <v>5000</v>
      </c>
      <c r="BL163" s="23" t="s">
        <v>218</v>
      </c>
      <c r="BM163" s="101" t="s">
        <v>465</v>
      </c>
    </row>
    <row r="164" spans="2:65" s="1" customFormat="1" ht="16.5" customHeight="1">
      <c r="B164" s="12"/>
      <c r="C164" s="71" t="s">
        <v>266</v>
      </c>
      <c r="D164" s="71" t="s">
        <v>214</v>
      </c>
      <c r="E164" s="72" t="s">
        <v>4270</v>
      </c>
      <c r="F164" s="73" t="s">
        <v>4271</v>
      </c>
      <c r="G164" s="74" t="s">
        <v>808</v>
      </c>
      <c r="H164" s="75">
        <v>3</v>
      </c>
      <c r="I164" s="90">
        <v>2700</v>
      </c>
      <c r="J164" s="91">
        <f t="shared" si="0"/>
        <v>8100</v>
      </c>
      <c r="K164" s="92"/>
      <c r="L164" s="12"/>
      <c r="M164" s="93" t="s">
        <v>1</v>
      </c>
      <c r="N164" s="94" t="s">
        <v>42</v>
      </c>
      <c r="P164" s="95">
        <f t="shared" si="1"/>
        <v>0</v>
      </c>
      <c r="Q164" s="95">
        <v>0</v>
      </c>
      <c r="R164" s="95">
        <f t="shared" si="2"/>
        <v>0</v>
      </c>
      <c r="S164" s="95">
        <v>0</v>
      </c>
      <c r="T164" s="99">
        <f t="shared" si="3"/>
        <v>0</v>
      </c>
      <c r="AR164" s="101" t="s">
        <v>218</v>
      </c>
      <c r="AT164" s="101" t="s">
        <v>214</v>
      </c>
      <c r="AU164" s="101" t="s">
        <v>87</v>
      </c>
      <c r="AY164" s="23" t="s">
        <v>211</v>
      </c>
      <c r="BE164" s="104">
        <f t="shared" si="4"/>
        <v>8100</v>
      </c>
      <c r="BF164" s="104">
        <f t="shared" si="5"/>
        <v>0</v>
      </c>
      <c r="BG164" s="104">
        <f t="shared" si="6"/>
        <v>0</v>
      </c>
      <c r="BH164" s="104">
        <f t="shared" si="7"/>
        <v>0</v>
      </c>
      <c r="BI164" s="104">
        <f t="shared" si="8"/>
        <v>0</v>
      </c>
      <c r="BJ164" s="23" t="s">
        <v>85</v>
      </c>
      <c r="BK164" s="104">
        <f t="shared" si="9"/>
        <v>8100</v>
      </c>
      <c r="BL164" s="23" t="s">
        <v>218</v>
      </c>
      <c r="BM164" s="101" t="s">
        <v>475</v>
      </c>
    </row>
    <row r="165" spans="2:65" s="1" customFormat="1" ht="16.5" customHeight="1">
      <c r="B165" s="12"/>
      <c r="C165" s="71" t="s">
        <v>273</v>
      </c>
      <c r="D165" s="71" t="s">
        <v>214</v>
      </c>
      <c r="E165" s="72" t="s">
        <v>4272</v>
      </c>
      <c r="F165" s="73" t="s">
        <v>4273</v>
      </c>
      <c r="G165" s="74" t="s">
        <v>808</v>
      </c>
      <c r="H165" s="75">
        <v>1</v>
      </c>
      <c r="I165" s="90">
        <v>3000</v>
      </c>
      <c r="J165" s="91">
        <f t="shared" si="0"/>
        <v>3000</v>
      </c>
      <c r="K165" s="92"/>
      <c r="L165" s="12"/>
      <c r="M165" s="93" t="s">
        <v>1</v>
      </c>
      <c r="N165" s="94" t="s">
        <v>42</v>
      </c>
      <c r="P165" s="95">
        <f t="shared" si="1"/>
        <v>0</v>
      </c>
      <c r="Q165" s="95">
        <v>0</v>
      </c>
      <c r="R165" s="95">
        <f t="shared" si="2"/>
        <v>0</v>
      </c>
      <c r="S165" s="95">
        <v>0</v>
      </c>
      <c r="T165" s="99">
        <f t="shared" si="3"/>
        <v>0</v>
      </c>
      <c r="AR165" s="101" t="s">
        <v>218</v>
      </c>
      <c r="AT165" s="101" t="s">
        <v>214</v>
      </c>
      <c r="AU165" s="101" t="s">
        <v>87</v>
      </c>
      <c r="AY165" s="23" t="s">
        <v>211</v>
      </c>
      <c r="BE165" s="104">
        <f t="shared" si="4"/>
        <v>3000</v>
      </c>
      <c r="BF165" s="104">
        <f t="shared" si="5"/>
        <v>0</v>
      </c>
      <c r="BG165" s="104">
        <f t="shared" si="6"/>
        <v>0</v>
      </c>
      <c r="BH165" s="104">
        <f t="shared" si="7"/>
        <v>0</v>
      </c>
      <c r="BI165" s="104">
        <f t="shared" si="8"/>
        <v>0</v>
      </c>
      <c r="BJ165" s="23" t="s">
        <v>85</v>
      </c>
      <c r="BK165" s="104">
        <f t="shared" si="9"/>
        <v>3000</v>
      </c>
      <c r="BL165" s="23" t="s">
        <v>218</v>
      </c>
      <c r="BM165" s="101" t="s">
        <v>486</v>
      </c>
    </row>
    <row r="166" spans="2:65" s="1" customFormat="1" ht="16.5" customHeight="1">
      <c r="B166" s="12"/>
      <c r="C166" s="71" t="s">
        <v>433</v>
      </c>
      <c r="D166" s="71" t="s">
        <v>214</v>
      </c>
      <c r="E166" s="72" t="s">
        <v>4274</v>
      </c>
      <c r="F166" s="73" t="s">
        <v>4275</v>
      </c>
      <c r="G166" s="74" t="s">
        <v>808</v>
      </c>
      <c r="H166" s="75">
        <v>2</v>
      </c>
      <c r="I166" s="90">
        <v>300</v>
      </c>
      <c r="J166" s="91">
        <f t="shared" si="0"/>
        <v>600</v>
      </c>
      <c r="K166" s="92"/>
      <c r="L166" s="12"/>
      <c r="M166" s="93" t="s">
        <v>1</v>
      </c>
      <c r="N166" s="94" t="s">
        <v>42</v>
      </c>
      <c r="P166" s="95">
        <f t="shared" si="1"/>
        <v>0</v>
      </c>
      <c r="Q166" s="95">
        <v>0</v>
      </c>
      <c r="R166" s="95">
        <f t="shared" si="2"/>
        <v>0</v>
      </c>
      <c r="S166" s="95">
        <v>0</v>
      </c>
      <c r="T166" s="99">
        <f t="shared" si="3"/>
        <v>0</v>
      </c>
      <c r="AR166" s="101" t="s">
        <v>218</v>
      </c>
      <c r="AT166" s="101" t="s">
        <v>214</v>
      </c>
      <c r="AU166" s="101" t="s">
        <v>87</v>
      </c>
      <c r="AY166" s="23" t="s">
        <v>211</v>
      </c>
      <c r="BE166" s="104">
        <f t="shared" si="4"/>
        <v>600</v>
      </c>
      <c r="BF166" s="104">
        <f t="shared" si="5"/>
        <v>0</v>
      </c>
      <c r="BG166" s="104">
        <f t="shared" si="6"/>
        <v>0</v>
      </c>
      <c r="BH166" s="104">
        <f t="shared" si="7"/>
        <v>0</v>
      </c>
      <c r="BI166" s="104">
        <f t="shared" si="8"/>
        <v>0</v>
      </c>
      <c r="BJ166" s="23" t="s">
        <v>85</v>
      </c>
      <c r="BK166" s="104">
        <f t="shared" si="9"/>
        <v>600</v>
      </c>
      <c r="BL166" s="23" t="s">
        <v>218</v>
      </c>
      <c r="BM166" s="101" t="s">
        <v>496</v>
      </c>
    </row>
    <row r="167" spans="2:65" s="1" customFormat="1" ht="24.15" customHeight="1">
      <c r="B167" s="12"/>
      <c r="C167" s="71" t="s">
        <v>437</v>
      </c>
      <c r="D167" s="71" t="s">
        <v>214</v>
      </c>
      <c r="E167" s="72" t="s">
        <v>4276</v>
      </c>
      <c r="F167" s="73" t="s">
        <v>4277</v>
      </c>
      <c r="G167" s="74" t="s">
        <v>808</v>
      </c>
      <c r="H167" s="75">
        <v>1</v>
      </c>
      <c r="I167" s="90">
        <v>7000</v>
      </c>
      <c r="J167" s="91">
        <f t="shared" si="0"/>
        <v>7000</v>
      </c>
      <c r="K167" s="92"/>
      <c r="L167" s="12"/>
      <c r="M167" s="93" t="s">
        <v>1</v>
      </c>
      <c r="N167" s="94" t="s">
        <v>42</v>
      </c>
      <c r="P167" s="95">
        <f t="shared" si="1"/>
        <v>0</v>
      </c>
      <c r="Q167" s="95">
        <v>0</v>
      </c>
      <c r="R167" s="95">
        <f t="shared" si="2"/>
        <v>0</v>
      </c>
      <c r="S167" s="95">
        <v>0</v>
      </c>
      <c r="T167" s="99">
        <f t="shared" si="3"/>
        <v>0</v>
      </c>
      <c r="AR167" s="101" t="s">
        <v>218</v>
      </c>
      <c r="AT167" s="101" t="s">
        <v>214</v>
      </c>
      <c r="AU167" s="101" t="s">
        <v>87</v>
      </c>
      <c r="AY167" s="23" t="s">
        <v>211</v>
      </c>
      <c r="BE167" s="104">
        <f t="shared" si="4"/>
        <v>7000</v>
      </c>
      <c r="BF167" s="104">
        <f t="shared" si="5"/>
        <v>0</v>
      </c>
      <c r="BG167" s="104">
        <f t="shared" si="6"/>
        <v>0</v>
      </c>
      <c r="BH167" s="104">
        <f t="shared" si="7"/>
        <v>0</v>
      </c>
      <c r="BI167" s="104">
        <f t="shared" si="8"/>
        <v>0</v>
      </c>
      <c r="BJ167" s="23" t="s">
        <v>85</v>
      </c>
      <c r="BK167" s="104">
        <f t="shared" si="9"/>
        <v>7000</v>
      </c>
      <c r="BL167" s="23" t="s">
        <v>218</v>
      </c>
      <c r="BM167" s="101" t="s">
        <v>507</v>
      </c>
    </row>
    <row r="168" spans="2:65" s="1" customFormat="1" ht="16.5" customHeight="1">
      <c r="B168" s="12"/>
      <c r="C168" s="71" t="s">
        <v>8</v>
      </c>
      <c r="D168" s="71" t="s">
        <v>214</v>
      </c>
      <c r="E168" s="72" t="s">
        <v>4278</v>
      </c>
      <c r="F168" s="73" t="s">
        <v>4279</v>
      </c>
      <c r="G168" s="74" t="s">
        <v>808</v>
      </c>
      <c r="H168" s="75">
        <v>2</v>
      </c>
      <c r="I168" s="90">
        <v>5500</v>
      </c>
      <c r="J168" s="91">
        <f t="shared" si="0"/>
        <v>11000</v>
      </c>
      <c r="K168" s="92"/>
      <c r="L168" s="12"/>
      <c r="M168" s="93" t="s">
        <v>1</v>
      </c>
      <c r="N168" s="94" t="s">
        <v>42</v>
      </c>
      <c r="P168" s="95">
        <f t="shared" si="1"/>
        <v>0</v>
      </c>
      <c r="Q168" s="95">
        <v>0</v>
      </c>
      <c r="R168" s="95">
        <f t="shared" si="2"/>
        <v>0</v>
      </c>
      <c r="S168" s="95">
        <v>0</v>
      </c>
      <c r="T168" s="99">
        <f t="shared" si="3"/>
        <v>0</v>
      </c>
      <c r="AR168" s="101" t="s">
        <v>218</v>
      </c>
      <c r="AT168" s="101" t="s">
        <v>214</v>
      </c>
      <c r="AU168" s="101" t="s">
        <v>87</v>
      </c>
      <c r="AY168" s="23" t="s">
        <v>211</v>
      </c>
      <c r="BE168" s="104">
        <f t="shared" si="4"/>
        <v>11000</v>
      </c>
      <c r="BF168" s="104">
        <f t="shared" si="5"/>
        <v>0</v>
      </c>
      <c r="BG168" s="104">
        <f t="shared" si="6"/>
        <v>0</v>
      </c>
      <c r="BH168" s="104">
        <f t="shared" si="7"/>
        <v>0</v>
      </c>
      <c r="BI168" s="104">
        <f t="shared" si="8"/>
        <v>0</v>
      </c>
      <c r="BJ168" s="23" t="s">
        <v>85</v>
      </c>
      <c r="BK168" s="104">
        <f t="shared" si="9"/>
        <v>11000</v>
      </c>
      <c r="BL168" s="23" t="s">
        <v>218</v>
      </c>
      <c r="BM168" s="101" t="s">
        <v>517</v>
      </c>
    </row>
    <row r="169" spans="2:65" s="1" customFormat="1" ht="16.5" customHeight="1">
      <c r="B169" s="12"/>
      <c r="C169" s="71" t="s">
        <v>446</v>
      </c>
      <c r="D169" s="71" t="s">
        <v>214</v>
      </c>
      <c r="E169" s="72" t="s">
        <v>4280</v>
      </c>
      <c r="F169" s="73" t="s">
        <v>4281</v>
      </c>
      <c r="G169" s="74" t="s">
        <v>808</v>
      </c>
      <c r="H169" s="75">
        <v>1</v>
      </c>
      <c r="I169" s="90">
        <v>6200</v>
      </c>
      <c r="J169" s="91">
        <f t="shared" si="0"/>
        <v>6200</v>
      </c>
      <c r="K169" s="92"/>
      <c r="L169" s="12"/>
      <c r="M169" s="93" t="s">
        <v>1</v>
      </c>
      <c r="N169" s="94" t="s">
        <v>42</v>
      </c>
      <c r="P169" s="95">
        <f t="shared" si="1"/>
        <v>0</v>
      </c>
      <c r="Q169" s="95">
        <v>0</v>
      </c>
      <c r="R169" s="95">
        <f t="shared" si="2"/>
        <v>0</v>
      </c>
      <c r="S169" s="95">
        <v>0</v>
      </c>
      <c r="T169" s="99">
        <f t="shared" si="3"/>
        <v>0</v>
      </c>
      <c r="AR169" s="101" t="s">
        <v>218</v>
      </c>
      <c r="AT169" s="101" t="s">
        <v>214</v>
      </c>
      <c r="AU169" s="101" t="s">
        <v>87</v>
      </c>
      <c r="AY169" s="23" t="s">
        <v>211</v>
      </c>
      <c r="BE169" s="104">
        <f t="shared" si="4"/>
        <v>6200</v>
      </c>
      <c r="BF169" s="104">
        <f t="shared" si="5"/>
        <v>0</v>
      </c>
      <c r="BG169" s="104">
        <f t="shared" si="6"/>
        <v>0</v>
      </c>
      <c r="BH169" s="104">
        <f t="shared" si="7"/>
        <v>0</v>
      </c>
      <c r="BI169" s="104">
        <f t="shared" si="8"/>
        <v>0</v>
      </c>
      <c r="BJ169" s="23" t="s">
        <v>85</v>
      </c>
      <c r="BK169" s="104">
        <f t="shared" si="9"/>
        <v>6200</v>
      </c>
      <c r="BL169" s="23" t="s">
        <v>218</v>
      </c>
      <c r="BM169" s="101" t="s">
        <v>527</v>
      </c>
    </row>
    <row r="170" spans="2:65" s="1" customFormat="1" ht="49.35" customHeight="1">
      <c r="B170" s="12"/>
      <c r="C170" s="71" t="s">
        <v>450</v>
      </c>
      <c r="D170" s="71" t="s">
        <v>214</v>
      </c>
      <c r="E170" s="72" t="s">
        <v>4282</v>
      </c>
      <c r="F170" s="73" t="s">
        <v>4283</v>
      </c>
      <c r="G170" s="74" t="s">
        <v>431</v>
      </c>
      <c r="H170" s="75">
        <v>87</v>
      </c>
      <c r="I170" s="90">
        <v>330</v>
      </c>
      <c r="J170" s="91">
        <f t="shared" si="0"/>
        <v>28710</v>
      </c>
      <c r="K170" s="92"/>
      <c r="L170" s="12"/>
      <c r="M170" s="93" t="s">
        <v>1</v>
      </c>
      <c r="N170" s="94" t="s">
        <v>42</v>
      </c>
      <c r="P170" s="95">
        <f t="shared" si="1"/>
        <v>0</v>
      </c>
      <c r="Q170" s="95">
        <v>0</v>
      </c>
      <c r="R170" s="95">
        <f t="shared" si="2"/>
        <v>0</v>
      </c>
      <c r="S170" s="95">
        <v>0</v>
      </c>
      <c r="T170" s="99">
        <f t="shared" si="3"/>
        <v>0</v>
      </c>
      <c r="AR170" s="101" t="s">
        <v>218</v>
      </c>
      <c r="AT170" s="101" t="s">
        <v>214</v>
      </c>
      <c r="AU170" s="101" t="s">
        <v>87</v>
      </c>
      <c r="AY170" s="23" t="s">
        <v>211</v>
      </c>
      <c r="BE170" s="104">
        <f t="shared" si="4"/>
        <v>28710</v>
      </c>
      <c r="BF170" s="104">
        <f t="shared" si="5"/>
        <v>0</v>
      </c>
      <c r="BG170" s="104">
        <f t="shared" si="6"/>
        <v>0</v>
      </c>
      <c r="BH170" s="104">
        <f t="shared" si="7"/>
        <v>0</v>
      </c>
      <c r="BI170" s="104">
        <f t="shared" si="8"/>
        <v>0</v>
      </c>
      <c r="BJ170" s="23" t="s">
        <v>85</v>
      </c>
      <c r="BK170" s="104">
        <f t="shared" si="9"/>
        <v>28710</v>
      </c>
      <c r="BL170" s="23" t="s">
        <v>218</v>
      </c>
      <c r="BM170" s="101" t="s">
        <v>537</v>
      </c>
    </row>
    <row r="171" spans="2:65" s="1" customFormat="1" ht="49.35" customHeight="1">
      <c r="B171" s="12"/>
      <c r="C171" s="71" t="s">
        <v>454</v>
      </c>
      <c r="D171" s="71" t="s">
        <v>214</v>
      </c>
      <c r="E171" s="72" t="s">
        <v>4284</v>
      </c>
      <c r="F171" s="73" t="s">
        <v>4285</v>
      </c>
      <c r="G171" s="74" t="s">
        <v>431</v>
      </c>
      <c r="H171" s="75">
        <v>22</v>
      </c>
      <c r="I171" s="90">
        <v>250</v>
      </c>
      <c r="J171" s="91">
        <f t="shared" si="0"/>
        <v>5500</v>
      </c>
      <c r="K171" s="92"/>
      <c r="L171" s="12"/>
      <c r="M171" s="93" t="s">
        <v>1</v>
      </c>
      <c r="N171" s="94" t="s">
        <v>42</v>
      </c>
      <c r="P171" s="95">
        <f t="shared" si="1"/>
        <v>0</v>
      </c>
      <c r="Q171" s="95">
        <v>0</v>
      </c>
      <c r="R171" s="95">
        <f t="shared" si="2"/>
        <v>0</v>
      </c>
      <c r="S171" s="95">
        <v>0</v>
      </c>
      <c r="T171" s="99">
        <f t="shared" si="3"/>
        <v>0</v>
      </c>
      <c r="AR171" s="101" t="s">
        <v>218</v>
      </c>
      <c r="AT171" s="101" t="s">
        <v>214</v>
      </c>
      <c r="AU171" s="101" t="s">
        <v>87</v>
      </c>
      <c r="AY171" s="23" t="s">
        <v>211</v>
      </c>
      <c r="BE171" s="104">
        <f t="shared" si="4"/>
        <v>5500</v>
      </c>
      <c r="BF171" s="104">
        <f t="shared" si="5"/>
        <v>0</v>
      </c>
      <c r="BG171" s="104">
        <f t="shared" si="6"/>
        <v>0</v>
      </c>
      <c r="BH171" s="104">
        <f t="shared" si="7"/>
        <v>0</v>
      </c>
      <c r="BI171" s="104">
        <f t="shared" si="8"/>
        <v>0</v>
      </c>
      <c r="BJ171" s="23" t="s">
        <v>85</v>
      </c>
      <c r="BK171" s="104">
        <f t="shared" si="9"/>
        <v>5500</v>
      </c>
      <c r="BL171" s="23" t="s">
        <v>218</v>
      </c>
      <c r="BM171" s="101" t="s">
        <v>551</v>
      </c>
    </row>
    <row r="172" spans="2:65" s="1" customFormat="1" ht="49.35" customHeight="1">
      <c r="B172" s="12"/>
      <c r="C172" s="71" t="s">
        <v>459</v>
      </c>
      <c r="D172" s="71" t="s">
        <v>214</v>
      </c>
      <c r="E172" s="72" t="s">
        <v>4286</v>
      </c>
      <c r="F172" s="73" t="s">
        <v>4287</v>
      </c>
      <c r="G172" s="74" t="s">
        <v>431</v>
      </c>
      <c r="H172" s="75">
        <v>29</v>
      </c>
      <c r="I172" s="90">
        <v>200</v>
      </c>
      <c r="J172" s="91">
        <f t="shared" si="0"/>
        <v>5800</v>
      </c>
      <c r="K172" s="92"/>
      <c r="L172" s="12"/>
      <c r="M172" s="93" t="s">
        <v>1</v>
      </c>
      <c r="N172" s="94" t="s">
        <v>42</v>
      </c>
      <c r="P172" s="95">
        <f t="shared" si="1"/>
        <v>0</v>
      </c>
      <c r="Q172" s="95">
        <v>0</v>
      </c>
      <c r="R172" s="95">
        <f t="shared" si="2"/>
        <v>0</v>
      </c>
      <c r="S172" s="95">
        <v>0</v>
      </c>
      <c r="T172" s="99">
        <f t="shared" si="3"/>
        <v>0</v>
      </c>
      <c r="AR172" s="101" t="s">
        <v>218</v>
      </c>
      <c r="AT172" s="101" t="s">
        <v>214</v>
      </c>
      <c r="AU172" s="101" t="s">
        <v>87</v>
      </c>
      <c r="AY172" s="23" t="s">
        <v>211</v>
      </c>
      <c r="BE172" s="104">
        <f t="shared" si="4"/>
        <v>5800</v>
      </c>
      <c r="BF172" s="104">
        <f t="shared" si="5"/>
        <v>0</v>
      </c>
      <c r="BG172" s="104">
        <f t="shared" si="6"/>
        <v>0</v>
      </c>
      <c r="BH172" s="104">
        <f t="shared" si="7"/>
        <v>0</v>
      </c>
      <c r="BI172" s="104">
        <f t="shared" si="8"/>
        <v>0</v>
      </c>
      <c r="BJ172" s="23" t="s">
        <v>85</v>
      </c>
      <c r="BK172" s="104">
        <f t="shared" si="9"/>
        <v>5800</v>
      </c>
      <c r="BL172" s="23" t="s">
        <v>218</v>
      </c>
      <c r="BM172" s="101" t="s">
        <v>566</v>
      </c>
    </row>
    <row r="173" spans="2:65" s="1" customFormat="1" ht="49.35" customHeight="1">
      <c r="B173" s="12"/>
      <c r="C173" s="71" t="s">
        <v>465</v>
      </c>
      <c r="D173" s="71" t="s">
        <v>214</v>
      </c>
      <c r="E173" s="72" t="s">
        <v>4288</v>
      </c>
      <c r="F173" s="73" t="s">
        <v>4289</v>
      </c>
      <c r="G173" s="74" t="s">
        <v>431</v>
      </c>
      <c r="H173" s="75">
        <v>25</v>
      </c>
      <c r="I173" s="90">
        <v>170</v>
      </c>
      <c r="J173" s="91">
        <f t="shared" si="0"/>
        <v>4250</v>
      </c>
      <c r="K173" s="92"/>
      <c r="L173" s="12"/>
      <c r="M173" s="93" t="s">
        <v>1</v>
      </c>
      <c r="N173" s="94" t="s">
        <v>42</v>
      </c>
      <c r="P173" s="95">
        <f t="shared" si="1"/>
        <v>0</v>
      </c>
      <c r="Q173" s="95">
        <v>0</v>
      </c>
      <c r="R173" s="95">
        <f t="shared" si="2"/>
        <v>0</v>
      </c>
      <c r="S173" s="95">
        <v>0</v>
      </c>
      <c r="T173" s="99">
        <f t="shared" si="3"/>
        <v>0</v>
      </c>
      <c r="AR173" s="101" t="s">
        <v>218</v>
      </c>
      <c r="AT173" s="101" t="s">
        <v>214</v>
      </c>
      <c r="AU173" s="101" t="s">
        <v>87</v>
      </c>
      <c r="AY173" s="23" t="s">
        <v>211</v>
      </c>
      <c r="BE173" s="104">
        <f t="shared" si="4"/>
        <v>4250</v>
      </c>
      <c r="BF173" s="104">
        <f t="shared" si="5"/>
        <v>0</v>
      </c>
      <c r="BG173" s="104">
        <f t="shared" si="6"/>
        <v>0</v>
      </c>
      <c r="BH173" s="104">
        <f t="shared" si="7"/>
        <v>0</v>
      </c>
      <c r="BI173" s="104">
        <f t="shared" si="8"/>
        <v>0</v>
      </c>
      <c r="BJ173" s="23" t="s">
        <v>85</v>
      </c>
      <c r="BK173" s="104">
        <f t="shared" si="9"/>
        <v>4250</v>
      </c>
      <c r="BL173" s="23" t="s">
        <v>218</v>
      </c>
      <c r="BM173" s="101" t="s">
        <v>578</v>
      </c>
    </row>
    <row r="174" spans="2:65" s="1" customFormat="1" ht="16.5" customHeight="1">
      <c r="B174" s="12"/>
      <c r="C174" s="71" t="s">
        <v>7</v>
      </c>
      <c r="D174" s="71" t="s">
        <v>214</v>
      </c>
      <c r="E174" s="72" t="s">
        <v>4290</v>
      </c>
      <c r="F174" s="73" t="s">
        <v>4291</v>
      </c>
      <c r="G174" s="74" t="s">
        <v>431</v>
      </c>
      <c r="H174" s="75">
        <v>2</v>
      </c>
      <c r="I174" s="90">
        <v>250</v>
      </c>
      <c r="J174" s="91">
        <f t="shared" si="0"/>
        <v>500</v>
      </c>
      <c r="K174" s="92"/>
      <c r="L174" s="12"/>
      <c r="M174" s="93" t="s">
        <v>1</v>
      </c>
      <c r="N174" s="94" t="s">
        <v>42</v>
      </c>
      <c r="P174" s="95">
        <f t="shared" si="1"/>
        <v>0</v>
      </c>
      <c r="Q174" s="95">
        <v>0</v>
      </c>
      <c r="R174" s="95">
        <f t="shared" si="2"/>
        <v>0</v>
      </c>
      <c r="S174" s="95">
        <v>0</v>
      </c>
      <c r="T174" s="99">
        <f t="shared" si="3"/>
        <v>0</v>
      </c>
      <c r="AR174" s="101" t="s">
        <v>218</v>
      </c>
      <c r="AT174" s="101" t="s">
        <v>214</v>
      </c>
      <c r="AU174" s="101" t="s">
        <v>87</v>
      </c>
      <c r="AY174" s="23" t="s">
        <v>211</v>
      </c>
      <c r="BE174" s="104">
        <f t="shared" si="4"/>
        <v>500</v>
      </c>
      <c r="BF174" s="104">
        <f t="shared" si="5"/>
        <v>0</v>
      </c>
      <c r="BG174" s="104">
        <f t="shared" si="6"/>
        <v>0</v>
      </c>
      <c r="BH174" s="104">
        <f t="shared" si="7"/>
        <v>0</v>
      </c>
      <c r="BI174" s="104">
        <f t="shared" si="8"/>
        <v>0</v>
      </c>
      <c r="BJ174" s="23" t="s">
        <v>85</v>
      </c>
      <c r="BK174" s="104">
        <f t="shared" si="9"/>
        <v>500</v>
      </c>
      <c r="BL174" s="23" t="s">
        <v>218</v>
      </c>
      <c r="BM174" s="101" t="s">
        <v>588</v>
      </c>
    </row>
    <row r="175" spans="2:65" s="1" customFormat="1" ht="24.15" customHeight="1">
      <c r="B175" s="12"/>
      <c r="C175" s="71" t="s">
        <v>475</v>
      </c>
      <c r="D175" s="71" t="s">
        <v>214</v>
      </c>
      <c r="E175" s="72" t="s">
        <v>4292</v>
      </c>
      <c r="F175" s="73" t="s">
        <v>4293</v>
      </c>
      <c r="G175" s="74" t="s">
        <v>279</v>
      </c>
      <c r="H175" s="75">
        <v>10</v>
      </c>
      <c r="I175" s="90">
        <v>500</v>
      </c>
      <c r="J175" s="91">
        <f t="shared" si="0"/>
        <v>5000</v>
      </c>
      <c r="K175" s="92"/>
      <c r="L175" s="12"/>
      <c r="M175" s="93" t="s">
        <v>1</v>
      </c>
      <c r="N175" s="94" t="s">
        <v>42</v>
      </c>
      <c r="P175" s="95">
        <f t="shared" si="1"/>
        <v>0</v>
      </c>
      <c r="Q175" s="95">
        <v>0</v>
      </c>
      <c r="R175" s="95">
        <f t="shared" si="2"/>
        <v>0</v>
      </c>
      <c r="S175" s="95">
        <v>0</v>
      </c>
      <c r="T175" s="99">
        <f t="shared" si="3"/>
        <v>0</v>
      </c>
      <c r="AR175" s="101" t="s">
        <v>218</v>
      </c>
      <c r="AT175" s="101" t="s">
        <v>214</v>
      </c>
      <c r="AU175" s="101" t="s">
        <v>87</v>
      </c>
      <c r="AY175" s="23" t="s">
        <v>211</v>
      </c>
      <c r="BE175" s="104">
        <f t="shared" si="4"/>
        <v>5000</v>
      </c>
      <c r="BF175" s="104">
        <f t="shared" si="5"/>
        <v>0</v>
      </c>
      <c r="BG175" s="104">
        <f t="shared" si="6"/>
        <v>0</v>
      </c>
      <c r="BH175" s="104">
        <f t="shared" si="7"/>
        <v>0</v>
      </c>
      <c r="BI175" s="104">
        <f t="shared" si="8"/>
        <v>0</v>
      </c>
      <c r="BJ175" s="23" t="s">
        <v>85</v>
      </c>
      <c r="BK175" s="104">
        <f t="shared" si="9"/>
        <v>5000</v>
      </c>
      <c r="BL175" s="23" t="s">
        <v>218</v>
      </c>
      <c r="BM175" s="101" t="s">
        <v>598</v>
      </c>
    </row>
    <row r="176" spans="2:65" s="31" customFormat="1" ht="23.1" customHeight="1">
      <c r="B176" s="67"/>
      <c r="D176" s="68" t="s">
        <v>76</v>
      </c>
      <c r="E176" s="70" t="s">
        <v>3839</v>
      </c>
      <c r="F176" s="70" t="s">
        <v>4294</v>
      </c>
      <c r="I176" s="85"/>
      <c r="J176" s="89">
        <f>BK176</f>
        <v>427260</v>
      </c>
      <c r="L176" s="67"/>
      <c r="M176" s="87"/>
      <c r="P176" s="88">
        <f>SUM(P177:P188)</f>
        <v>0</v>
      </c>
      <c r="R176" s="88">
        <f>SUM(R177:R188)</f>
        <v>0</v>
      </c>
      <c r="T176" s="98">
        <f>SUM(T177:T188)</f>
        <v>0</v>
      </c>
      <c r="AR176" s="68" t="s">
        <v>85</v>
      </c>
      <c r="AT176" s="100" t="s">
        <v>76</v>
      </c>
      <c r="AU176" s="100" t="s">
        <v>85</v>
      </c>
      <c r="AY176" s="68" t="s">
        <v>211</v>
      </c>
      <c r="BK176" s="103">
        <f>SUM(BK177:BK188)</f>
        <v>427260</v>
      </c>
    </row>
    <row r="177" spans="2:65" s="1" customFormat="1" ht="16.5" customHeight="1">
      <c r="B177" s="12"/>
      <c r="C177" s="71" t="s">
        <v>481</v>
      </c>
      <c r="D177" s="71" t="s">
        <v>214</v>
      </c>
      <c r="E177" s="72" t="s">
        <v>4295</v>
      </c>
      <c r="F177" s="73" t="s">
        <v>4296</v>
      </c>
      <c r="G177" s="74" t="s">
        <v>808</v>
      </c>
      <c r="H177" s="75">
        <v>6</v>
      </c>
      <c r="I177" s="90">
        <v>53000</v>
      </c>
      <c r="J177" s="91">
        <f>ROUND(I177*H177,2)</f>
        <v>318000</v>
      </c>
      <c r="K177" s="92"/>
      <c r="L177" s="12"/>
      <c r="M177" s="93" t="s">
        <v>1</v>
      </c>
      <c r="N177" s="94" t="s">
        <v>42</v>
      </c>
      <c r="P177" s="95">
        <f>O177*H177</f>
        <v>0</v>
      </c>
      <c r="Q177" s="95">
        <v>0</v>
      </c>
      <c r="R177" s="95">
        <f>Q177*H177</f>
        <v>0</v>
      </c>
      <c r="S177" s="95">
        <v>0</v>
      </c>
      <c r="T177" s="99">
        <f>S177*H177</f>
        <v>0</v>
      </c>
      <c r="AR177" s="101" t="s">
        <v>218</v>
      </c>
      <c r="AT177" s="101" t="s">
        <v>214</v>
      </c>
      <c r="AU177" s="101" t="s">
        <v>87</v>
      </c>
      <c r="AY177" s="23" t="s">
        <v>211</v>
      </c>
      <c r="BE177" s="104">
        <f>IF(N177="základní",J177,0)</f>
        <v>318000</v>
      </c>
      <c r="BF177" s="104">
        <f>IF(N177="snížená",J177,0)</f>
        <v>0</v>
      </c>
      <c r="BG177" s="104">
        <f>IF(N177="zákl. přenesená",J177,0)</f>
        <v>0</v>
      </c>
      <c r="BH177" s="104">
        <f>IF(N177="sníž. přenesená",J177,0)</f>
        <v>0</v>
      </c>
      <c r="BI177" s="104">
        <f>IF(N177="nulová",J177,0)</f>
        <v>0</v>
      </c>
      <c r="BJ177" s="23" t="s">
        <v>85</v>
      </c>
      <c r="BK177" s="104">
        <f>ROUND(I177*H177,2)</f>
        <v>318000</v>
      </c>
      <c r="BL177" s="23" t="s">
        <v>218</v>
      </c>
      <c r="BM177" s="101" t="s">
        <v>608</v>
      </c>
    </row>
    <row r="178" spans="2:65" s="1" customFormat="1" ht="76.8">
      <c r="B178" s="12"/>
      <c r="D178" s="105" t="s">
        <v>227</v>
      </c>
      <c r="F178" s="106" t="s">
        <v>4297</v>
      </c>
      <c r="I178" s="107"/>
      <c r="L178" s="12"/>
      <c r="M178" s="108"/>
      <c r="T178" s="111"/>
      <c r="AT178" s="23" t="s">
        <v>227</v>
      </c>
      <c r="AU178" s="23" t="s">
        <v>87</v>
      </c>
    </row>
    <row r="179" spans="2:65" s="1" customFormat="1" ht="16.5" customHeight="1">
      <c r="B179" s="12"/>
      <c r="C179" s="71" t="s">
        <v>486</v>
      </c>
      <c r="D179" s="71" t="s">
        <v>214</v>
      </c>
      <c r="E179" s="72" t="s">
        <v>4298</v>
      </c>
      <c r="F179" s="73" t="s">
        <v>4299</v>
      </c>
      <c r="G179" s="74" t="s">
        <v>808</v>
      </c>
      <c r="H179" s="75">
        <v>24</v>
      </c>
      <c r="I179" s="90">
        <v>1760</v>
      </c>
      <c r="J179" s="91">
        <f t="shared" ref="J179:J188" si="10">ROUND(I179*H179,2)</f>
        <v>42240</v>
      </c>
      <c r="K179" s="92"/>
      <c r="L179" s="12"/>
      <c r="M179" s="93" t="s">
        <v>1</v>
      </c>
      <c r="N179" s="94" t="s">
        <v>42</v>
      </c>
      <c r="P179" s="95">
        <f t="shared" ref="P179:P188" si="11">O179*H179</f>
        <v>0</v>
      </c>
      <c r="Q179" s="95">
        <v>0</v>
      </c>
      <c r="R179" s="95">
        <f t="shared" ref="R179:R188" si="12">Q179*H179</f>
        <v>0</v>
      </c>
      <c r="S179" s="95">
        <v>0</v>
      </c>
      <c r="T179" s="99">
        <f t="shared" ref="T179:T188" si="13">S179*H179</f>
        <v>0</v>
      </c>
      <c r="AR179" s="101" t="s">
        <v>218</v>
      </c>
      <c r="AT179" s="101" t="s">
        <v>214</v>
      </c>
      <c r="AU179" s="101" t="s">
        <v>87</v>
      </c>
      <c r="AY179" s="23" t="s">
        <v>211</v>
      </c>
      <c r="BE179" s="104">
        <f t="shared" ref="BE179:BE188" si="14">IF(N179="základní",J179,0)</f>
        <v>42240</v>
      </c>
      <c r="BF179" s="104">
        <f t="shared" ref="BF179:BF188" si="15">IF(N179="snížená",J179,0)</f>
        <v>0</v>
      </c>
      <c r="BG179" s="104">
        <f t="shared" ref="BG179:BG188" si="16">IF(N179="zákl. přenesená",J179,0)</f>
        <v>0</v>
      </c>
      <c r="BH179" s="104">
        <f t="shared" ref="BH179:BH188" si="17">IF(N179="sníž. přenesená",J179,0)</f>
        <v>0</v>
      </c>
      <c r="BI179" s="104">
        <f t="shared" ref="BI179:BI188" si="18">IF(N179="nulová",J179,0)</f>
        <v>0</v>
      </c>
      <c r="BJ179" s="23" t="s">
        <v>85</v>
      </c>
      <c r="BK179" s="104">
        <f t="shared" ref="BK179:BK188" si="19">ROUND(I179*H179,2)</f>
        <v>42240</v>
      </c>
      <c r="BL179" s="23" t="s">
        <v>218</v>
      </c>
      <c r="BM179" s="101" t="s">
        <v>619</v>
      </c>
    </row>
    <row r="180" spans="2:65" s="1" customFormat="1" ht="16.5" customHeight="1">
      <c r="B180" s="12"/>
      <c r="C180" s="71" t="s">
        <v>490</v>
      </c>
      <c r="D180" s="71" t="s">
        <v>214</v>
      </c>
      <c r="E180" s="72" t="s">
        <v>4300</v>
      </c>
      <c r="F180" s="73" t="s">
        <v>4261</v>
      </c>
      <c r="G180" s="74" t="s">
        <v>808</v>
      </c>
      <c r="H180" s="75">
        <v>15</v>
      </c>
      <c r="I180" s="90">
        <v>120</v>
      </c>
      <c r="J180" s="91">
        <f t="shared" si="10"/>
        <v>1800</v>
      </c>
      <c r="K180" s="92"/>
      <c r="L180" s="12"/>
      <c r="M180" s="93" t="s">
        <v>1</v>
      </c>
      <c r="N180" s="94" t="s">
        <v>42</v>
      </c>
      <c r="P180" s="95">
        <f t="shared" si="11"/>
        <v>0</v>
      </c>
      <c r="Q180" s="95">
        <v>0</v>
      </c>
      <c r="R180" s="95">
        <f t="shared" si="12"/>
        <v>0</v>
      </c>
      <c r="S180" s="95">
        <v>0</v>
      </c>
      <c r="T180" s="99">
        <f t="shared" si="13"/>
        <v>0</v>
      </c>
      <c r="AR180" s="101" t="s">
        <v>218</v>
      </c>
      <c r="AT180" s="101" t="s">
        <v>214</v>
      </c>
      <c r="AU180" s="101" t="s">
        <v>87</v>
      </c>
      <c r="AY180" s="23" t="s">
        <v>211</v>
      </c>
      <c r="BE180" s="104">
        <f t="shared" si="14"/>
        <v>1800</v>
      </c>
      <c r="BF180" s="104">
        <f t="shared" si="15"/>
        <v>0</v>
      </c>
      <c r="BG180" s="104">
        <f t="shared" si="16"/>
        <v>0</v>
      </c>
      <c r="BH180" s="104">
        <f t="shared" si="17"/>
        <v>0</v>
      </c>
      <c r="BI180" s="104">
        <f t="shared" si="18"/>
        <v>0</v>
      </c>
      <c r="BJ180" s="23" t="s">
        <v>85</v>
      </c>
      <c r="BK180" s="104">
        <f t="shared" si="19"/>
        <v>1800</v>
      </c>
      <c r="BL180" s="23" t="s">
        <v>218</v>
      </c>
      <c r="BM180" s="101" t="s">
        <v>629</v>
      </c>
    </row>
    <row r="181" spans="2:65" s="1" customFormat="1" ht="16.5" customHeight="1">
      <c r="B181" s="12"/>
      <c r="C181" s="71" t="s">
        <v>496</v>
      </c>
      <c r="D181" s="71" t="s">
        <v>214</v>
      </c>
      <c r="E181" s="72" t="s">
        <v>4301</v>
      </c>
      <c r="F181" s="73" t="s">
        <v>4302</v>
      </c>
      <c r="G181" s="74" t="s">
        <v>808</v>
      </c>
      <c r="H181" s="75">
        <v>12</v>
      </c>
      <c r="I181" s="90">
        <v>200</v>
      </c>
      <c r="J181" s="91">
        <f t="shared" si="10"/>
        <v>2400</v>
      </c>
      <c r="K181" s="92"/>
      <c r="L181" s="12"/>
      <c r="M181" s="93" t="s">
        <v>1</v>
      </c>
      <c r="N181" s="94" t="s">
        <v>42</v>
      </c>
      <c r="P181" s="95">
        <f t="shared" si="11"/>
        <v>0</v>
      </c>
      <c r="Q181" s="95">
        <v>0</v>
      </c>
      <c r="R181" s="95">
        <f t="shared" si="12"/>
        <v>0</v>
      </c>
      <c r="S181" s="95">
        <v>0</v>
      </c>
      <c r="T181" s="99">
        <f t="shared" si="13"/>
        <v>0</v>
      </c>
      <c r="AR181" s="101" t="s">
        <v>218</v>
      </c>
      <c r="AT181" s="101" t="s">
        <v>214</v>
      </c>
      <c r="AU181" s="101" t="s">
        <v>87</v>
      </c>
      <c r="AY181" s="23" t="s">
        <v>211</v>
      </c>
      <c r="BE181" s="104">
        <f t="shared" si="14"/>
        <v>2400</v>
      </c>
      <c r="BF181" s="104">
        <f t="shared" si="15"/>
        <v>0</v>
      </c>
      <c r="BG181" s="104">
        <f t="shared" si="16"/>
        <v>0</v>
      </c>
      <c r="BH181" s="104">
        <f t="shared" si="17"/>
        <v>0</v>
      </c>
      <c r="BI181" s="104">
        <f t="shared" si="18"/>
        <v>0</v>
      </c>
      <c r="BJ181" s="23" t="s">
        <v>85</v>
      </c>
      <c r="BK181" s="104">
        <f t="shared" si="19"/>
        <v>2400</v>
      </c>
      <c r="BL181" s="23" t="s">
        <v>218</v>
      </c>
      <c r="BM181" s="101" t="s">
        <v>639</v>
      </c>
    </row>
    <row r="182" spans="2:65" s="1" customFormat="1" ht="16.5" customHeight="1">
      <c r="B182" s="12"/>
      <c r="C182" s="71" t="s">
        <v>502</v>
      </c>
      <c r="D182" s="71" t="s">
        <v>214</v>
      </c>
      <c r="E182" s="72" t="s">
        <v>4303</v>
      </c>
      <c r="F182" s="73" t="s">
        <v>4304</v>
      </c>
      <c r="G182" s="74" t="s">
        <v>808</v>
      </c>
      <c r="H182" s="75">
        <v>11</v>
      </c>
      <c r="I182" s="90">
        <v>400</v>
      </c>
      <c r="J182" s="91">
        <f t="shared" si="10"/>
        <v>4400</v>
      </c>
      <c r="K182" s="92"/>
      <c r="L182" s="12"/>
      <c r="M182" s="93" t="s">
        <v>1</v>
      </c>
      <c r="N182" s="94" t="s">
        <v>42</v>
      </c>
      <c r="P182" s="95">
        <f t="shared" si="11"/>
        <v>0</v>
      </c>
      <c r="Q182" s="95">
        <v>0</v>
      </c>
      <c r="R182" s="95">
        <f t="shared" si="12"/>
        <v>0</v>
      </c>
      <c r="S182" s="95">
        <v>0</v>
      </c>
      <c r="T182" s="99">
        <f t="shared" si="13"/>
        <v>0</v>
      </c>
      <c r="AR182" s="101" t="s">
        <v>218</v>
      </c>
      <c r="AT182" s="101" t="s">
        <v>214</v>
      </c>
      <c r="AU182" s="101" t="s">
        <v>87</v>
      </c>
      <c r="AY182" s="23" t="s">
        <v>211</v>
      </c>
      <c r="BE182" s="104">
        <f t="shared" si="14"/>
        <v>4400</v>
      </c>
      <c r="BF182" s="104">
        <f t="shared" si="15"/>
        <v>0</v>
      </c>
      <c r="BG182" s="104">
        <f t="shared" si="16"/>
        <v>0</v>
      </c>
      <c r="BH182" s="104">
        <f t="shared" si="17"/>
        <v>0</v>
      </c>
      <c r="BI182" s="104">
        <f t="shared" si="18"/>
        <v>0</v>
      </c>
      <c r="BJ182" s="23" t="s">
        <v>85</v>
      </c>
      <c r="BK182" s="104">
        <f t="shared" si="19"/>
        <v>4400</v>
      </c>
      <c r="BL182" s="23" t="s">
        <v>218</v>
      </c>
      <c r="BM182" s="101" t="s">
        <v>649</v>
      </c>
    </row>
    <row r="183" spans="2:65" s="1" customFormat="1" ht="16.5" customHeight="1">
      <c r="B183" s="12"/>
      <c r="C183" s="71" t="s">
        <v>507</v>
      </c>
      <c r="D183" s="71" t="s">
        <v>214</v>
      </c>
      <c r="E183" s="72" t="s">
        <v>4305</v>
      </c>
      <c r="F183" s="73" t="s">
        <v>4306</v>
      </c>
      <c r="G183" s="74" t="s">
        <v>808</v>
      </c>
      <c r="H183" s="75">
        <v>4</v>
      </c>
      <c r="I183" s="90">
        <v>270</v>
      </c>
      <c r="J183" s="91">
        <f t="shared" si="10"/>
        <v>1080</v>
      </c>
      <c r="K183" s="92"/>
      <c r="L183" s="12"/>
      <c r="M183" s="93" t="s">
        <v>1</v>
      </c>
      <c r="N183" s="94" t="s">
        <v>42</v>
      </c>
      <c r="P183" s="95">
        <f t="shared" si="11"/>
        <v>0</v>
      </c>
      <c r="Q183" s="95">
        <v>0</v>
      </c>
      <c r="R183" s="95">
        <f t="shared" si="12"/>
        <v>0</v>
      </c>
      <c r="S183" s="95">
        <v>0</v>
      </c>
      <c r="T183" s="99">
        <f t="shared" si="13"/>
        <v>0</v>
      </c>
      <c r="AR183" s="101" t="s">
        <v>218</v>
      </c>
      <c r="AT183" s="101" t="s">
        <v>214</v>
      </c>
      <c r="AU183" s="101" t="s">
        <v>87</v>
      </c>
      <c r="AY183" s="23" t="s">
        <v>211</v>
      </c>
      <c r="BE183" s="104">
        <f t="shared" si="14"/>
        <v>1080</v>
      </c>
      <c r="BF183" s="104">
        <f t="shared" si="15"/>
        <v>0</v>
      </c>
      <c r="BG183" s="104">
        <f t="shared" si="16"/>
        <v>0</v>
      </c>
      <c r="BH183" s="104">
        <f t="shared" si="17"/>
        <v>0</v>
      </c>
      <c r="BI183" s="104">
        <f t="shared" si="18"/>
        <v>0</v>
      </c>
      <c r="BJ183" s="23" t="s">
        <v>85</v>
      </c>
      <c r="BK183" s="104">
        <f t="shared" si="19"/>
        <v>1080</v>
      </c>
      <c r="BL183" s="23" t="s">
        <v>218</v>
      </c>
      <c r="BM183" s="101" t="s">
        <v>660</v>
      </c>
    </row>
    <row r="184" spans="2:65" s="1" customFormat="1" ht="16.5" customHeight="1">
      <c r="B184" s="12"/>
      <c r="C184" s="71" t="s">
        <v>511</v>
      </c>
      <c r="D184" s="71" t="s">
        <v>214</v>
      </c>
      <c r="E184" s="72" t="s">
        <v>4307</v>
      </c>
      <c r="F184" s="73" t="s">
        <v>4308</v>
      </c>
      <c r="G184" s="74" t="s">
        <v>808</v>
      </c>
      <c r="H184" s="75">
        <v>6</v>
      </c>
      <c r="I184" s="90">
        <v>320</v>
      </c>
      <c r="J184" s="91">
        <f t="shared" si="10"/>
        <v>1920</v>
      </c>
      <c r="K184" s="92"/>
      <c r="L184" s="12"/>
      <c r="M184" s="93" t="s">
        <v>1</v>
      </c>
      <c r="N184" s="94" t="s">
        <v>42</v>
      </c>
      <c r="P184" s="95">
        <f t="shared" si="11"/>
        <v>0</v>
      </c>
      <c r="Q184" s="95">
        <v>0</v>
      </c>
      <c r="R184" s="95">
        <f t="shared" si="12"/>
        <v>0</v>
      </c>
      <c r="S184" s="95">
        <v>0</v>
      </c>
      <c r="T184" s="99">
        <f t="shared" si="13"/>
        <v>0</v>
      </c>
      <c r="AR184" s="101" t="s">
        <v>218</v>
      </c>
      <c r="AT184" s="101" t="s">
        <v>214</v>
      </c>
      <c r="AU184" s="101" t="s">
        <v>87</v>
      </c>
      <c r="AY184" s="23" t="s">
        <v>211</v>
      </c>
      <c r="BE184" s="104">
        <f t="shared" si="14"/>
        <v>1920</v>
      </c>
      <c r="BF184" s="104">
        <f t="shared" si="15"/>
        <v>0</v>
      </c>
      <c r="BG184" s="104">
        <f t="shared" si="16"/>
        <v>0</v>
      </c>
      <c r="BH184" s="104">
        <f t="shared" si="17"/>
        <v>0</v>
      </c>
      <c r="BI184" s="104">
        <f t="shared" si="18"/>
        <v>0</v>
      </c>
      <c r="BJ184" s="23" t="s">
        <v>85</v>
      </c>
      <c r="BK184" s="104">
        <f t="shared" si="19"/>
        <v>1920</v>
      </c>
      <c r="BL184" s="23" t="s">
        <v>218</v>
      </c>
      <c r="BM184" s="101" t="s">
        <v>679</v>
      </c>
    </row>
    <row r="185" spans="2:65" s="1" customFormat="1" ht="49.35" customHeight="1">
      <c r="B185" s="12"/>
      <c r="C185" s="71" t="s">
        <v>517</v>
      </c>
      <c r="D185" s="71" t="s">
        <v>214</v>
      </c>
      <c r="E185" s="72" t="s">
        <v>4284</v>
      </c>
      <c r="F185" s="73" t="s">
        <v>4285</v>
      </c>
      <c r="G185" s="74" t="s">
        <v>431</v>
      </c>
      <c r="H185" s="75">
        <v>160</v>
      </c>
      <c r="I185" s="90">
        <v>250</v>
      </c>
      <c r="J185" s="91">
        <f t="shared" si="10"/>
        <v>40000</v>
      </c>
      <c r="K185" s="92"/>
      <c r="L185" s="12"/>
      <c r="M185" s="93" t="s">
        <v>1</v>
      </c>
      <c r="N185" s="94" t="s">
        <v>42</v>
      </c>
      <c r="P185" s="95">
        <f t="shared" si="11"/>
        <v>0</v>
      </c>
      <c r="Q185" s="95">
        <v>0</v>
      </c>
      <c r="R185" s="95">
        <f t="shared" si="12"/>
        <v>0</v>
      </c>
      <c r="S185" s="95">
        <v>0</v>
      </c>
      <c r="T185" s="99">
        <f t="shared" si="13"/>
        <v>0</v>
      </c>
      <c r="AR185" s="101" t="s">
        <v>218</v>
      </c>
      <c r="AT185" s="101" t="s">
        <v>214</v>
      </c>
      <c r="AU185" s="101" t="s">
        <v>87</v>
      </c>
      <c r="AY185" s="23" t="s">
        <v>211</v>
      </c>
      <c r="BE185" s="104">
        <f t="shared" si="14"/>
        <v>40000</v>
      </c>
      <c r="BF185" s="104">
        <f t="shared" si="15"/>
        <v>0</v>
      </c>
      <c r="BG185" s="104">
        <f t="shared" si="16"/>
        <v>0</v>
      </c>
      <c r="BH185" s="104">
        <f t="shared" si="17"/>
        <v>0</v>
      </c>
      <c r="BI185" s="104">
        <f t="shared" si="18"/>
        <v>0</v>
      </c>
      <c r="BJ185" s="23" t="s">
        <v>85</v>
      </c>
      <c r="BK185" s="104">
        <f t="shared" si="19"/>
        <v>40000</v>
      </c>
      <c r="BL185" s="23" t="s">
        <v>218</v>
      </c>
      <c r="BM185" s="101" t="s">
        <v>705</v>
      </c>
    </row>
    <row r="186" spans="2:65" s="1" customFormat="1" ht="49.35" customHeight="1">
      <c r="B186" s="12"/>
      <c r="C186" s="71" t="s">
        <v>522</v>
      </c>
      <c r="D186" s="71" t="s">
        <v>214</v>
      </c>
      <c r="E186" s="72" t="s">
        <v>4286</v>
      </c>
      <c r="F186" s="73" t="s">
        <v>4287</v>
      </c>
      <c r="G186" s="74" t="s">
        <v>431</v>
      </c>
      <c r="H186" s="75">
        <v>30</v>
      </c>
      <c r="I186" s="90">
        <v>200</v>
      </c>
      <c r="J186" s="91">
        <f t="shared" si="10"/>
        <v>6000</v>
      </c>
      <c r="K186" s="92"/>
      <c r="L186" s="12"/>
      <c r="M186" s="93" t="s">
        <v>1</v>
      </c>
      <c r="N186" s="94" t="s">
        <v>42</v>
      </c>
      <c r="P186" s="95">
        <f t="shared" si="11"/>
        <v>0</v>
      </c>
      <c r="Q186" s="95">
        <v>0</v>
      </c>
      <c r="R186" s="95">
        <f t="shared" si="12"/>
        <v>0</v>
      </c>
      <c r="S186" s="95">
        <v>0</v>
      </c>
      <c r="T186" s="99">
        <f t="shared" si="13"/>
        <v>0</v>
      </c>
      <c r="AR186" s="101" t="s">
        <v>218</v>
      </c>
      <c r="AT186" s="101" t="s">
        <v>214</v>
      </c>
      <c r="AU186" s="101" t="s">
        <v>87</v>
      </c>
      <c r="AY186" s="23" t="s">
        <v>211</v>
      </c>
      <c r="BE186" s="104">
        <f t="shared" si="14"/>
        <v>6000</v>
      </c>
      <c r="BF186" s="104">
        <f t="shared" si="15"/>
        <v>0</v>
      </c>
      <c r="BG186" s="104">
        <f t="shared" si="16"/>
        <v>0</v>
      </c>
      <c r="BH186" s="104">
        <f t="shared" si="17"/>
        <v>0</v>
      </c>
      <c r="BI186" s="104">
        <f t="shared" si="18"/>
        <v>0</v>
      </c>
      <c r="BJ186" s="23" t="s">
        <v>85</v>
      </c>
      <c r="BK186" s="104">
        <f t="shared" si="19"/>
        <v>6000</v>
      </c>
      <c r="BL186" s="23" t="s">
        <v>218</v>
      </c>
      <c r="BM186" s="101" t="s">
        <v>722</v>
      </c>
    </row>
    <row r="187" spans="2:65" s="1" customFormat="1" ht="16.5" customHeight="1">
      <c r="B187" s="12"/>
      <c r="C187" s="71" t="s">
        <v>527</v>
      </c>
      <c r="D187" s="71" t="s">
        <v>214</v>
      </c>
      <c r="E187" s="72" t="s">
        <v>4309</v>
      </c>
      <c r="F187" s="73" t="s">
        <v>4310</v>
      </c>
      <c r="G187" s="74" t="s">
        <v>431</v>
      </c>
      <c r="H187" s="75">
        <v>30</v>
      </c>
      <c r="I187" s="90">
        <v>200</v>
      </c>
      <c r="J187" s="91">
        <f t="shared" si="10"/>
        <v>6000</v>
      </c>
      <c r="K187" s="92"/>
      <c r="L187" s="12"/>
      <c r="M187" s="93" t="s">
        <v>1</v>
      </c>
      <c r="N187" s="94" t="s">
        <v>42</v>
      </c>
      <c r="P187" s="95">
        <f t="shared" si="11"/>
        <v>0</v>
      </c>
      <c r="Q187" s="95">
        <v>0</v>
      </c>
      <c r="R187" s="95">
        <f t="shared" si="12"/>
        <v>0</v>
      </c>
      <c r="S187" s="95">
        <v>0</v>
      </c>
      <c r="T187" s="99">
        <f t="shared" si="13"/>
        <v>0</v>
      </c>
      <c r="AR187" s="101" t="s">
        <v>218</v>
      </c>
      <c r="AT187" s="101" t="s">
        <v>214</v>
      </c>
      <c r="AU187" s="101" t="s">
        <v>87</v>
      </c>
      <c r="AY187" s="23" t="s">
        <v>211</v>
      </c>
      <c r="BE187" s="104">
        <f t="shared" si="14"/>
        <v>6000</v>
      </c>
      <c r="BF187" s="104">
        <f t="shared" si="15"/>
        <v>0</v>
      </c>
      <c r="BG187" s="104">
        <f t="shared" si="16"/>
        <v>0</v>
      </c>
      <c r="BH187" s="104">
        <f t="shared" si="17"/>
        <v>0</v>
      </c>
      <c r="BI187" s="104">
        <f t="shared" si="18"/>
        <v>0</v>
      </c>
      <c r="BJ187" s="23" t="s">
        <v>85</v>
      </c>
      <c r="BK187" s="104">
        <f t="shared" si="19"/>
        <v>6000</v>
      </c>
      <c r="BL187" s="23" t="s">
        <v>218</v>
      </c>
      <c r="BM187" s="101" t="s">
        <v>756</v>
      </c>
    </row>
    <row r="188" spans="2:65" s="1" customFormat="1" ht="16.5" customHeight="1">
      <c r="B188" s="12"/>
      <c r="C188" s="71" t="s">
        <v>532</v>
      </c>
      <c r="D188" s="71" t="s">
        <v>214</v>
      </c>
      <c r="E188" s="72" t="s">
        <v>4311</v>
      </c>
      <c r="F188" s="73" t="s">
        <v>4312</v>
      </c>
      <c r="G188" s="74" t="s">
        <v>431</v>
      </c>
      <c r="H188" s="75">
        <v>19</v>
      </c>
      <c r="I188" s="90">
        <v>180</v>
      </c>
      <c r="J188" s="91">
        <f t="shared" si="10"/>
        <v>3420</v>
      </c>
      <c r="K188" s="92"/>
      <c r="L188" s="12"/>
      <c r="M188" s="93" t="s">
        <v>1</v>
      </c>
      <c r="N188" s="94" t="s">
        <v>42</v>
      </c>
      <c r="P188" s="95">
        <f t="shared" si="11"/>
        <v>0</v>
      </c>
      <c r="Q188" s="95">
        <v>0</v>
      </c>
      <c r="R188" s="95">
        <f t="shared" si="12"/>
        <v>0</v>
      </c>
      <c r="S188" s="95">
        <v>0</v>
      </c>
      <c r="T188" s="99">
        <f t="shared" si="13"/>
        <v>0</v>
      </c>
      <c r="AR188" s="101" t="s">
        <v>218</v>
      </c>
      <c r="AT188" s="101" t="s">
        <v>214</v>
      </c>
      <c r="AU188" s="101" t="s">
        <v>87</v>
      </c>
      <c r="AY188" s="23" t="s">
        <v>211</v>
      </c>
      <c r="BE188" s="104">
        <f t="shared" si="14"/>
        <v>3420</v>
      </c>
      <c r="BF188" s="104">
        <f t="shared" si="15"/>
        <v>0</v>
      </c>
      <c r="BG188" s="104">
        <f t="shared" si="16"/>
        <v>0</v>
      </c>
      <c r="BH188" s="104">
        <f t="shared" si="17"/>
        <v>0</v>
      </c>
      <c r="BI188" s="104">
        <f t="shared" si="18"/>
        <v>0</v>
      </c>
      <c r="BJ188" s="23" t="s">
        <v>85</v>
      </c>
      <c r="BK188" s="104">
        <f t="shared" si="19"/>
        <v>3420</v>
      </c>
      <c r="BL188" s="23" t="s">
        <v>218</v>
      </c>
      <c r="BM188" s="101" t="s">
        <v>805</v>
      </c>
    </row>
    <row r="189" spans="2:65" s="31" customFormat="1" ht="23.1" customHeight="1">
      <c r="B189" s="67"/>
      <c r="D189" s="68" t="s">
        <v>76</v>
      </c>
      <c r="E189" s="70" t="s">
        <v>3853</v>
      </c>
      <c r="F189" s="70" t="s">
        <v>4313</v>
      </c>
      <c r="I189" s="85"/>
      <c r="J189" s="89">
        <f>BK189</f>
        <v>80050</v>
      </c>
      <c r="L189" s="67"/>
      <c r="M189" s="87"/>
      <c r="P189" s="88">
        <f>SUM(P190:P202)</f>
        <v>0</v>
      </c>
      <c r="R189" s="88">
        <f>SUM(R190:R202)</f>
        <v>0</v>
      </c>
      <c r="T189" s="98">
        <f>SUM(T190:T202)</f>
        <v>0</v>
      </c>
      <c r="AR189" s="68" t="s">
        <v>85</v>
      </c>
      <c r="AT189" s="100" t="s">
        <v>76</v>
      </c>
      <c r="AU189" s="100" t="s">
        <v>85</v>
      </c>
      <c r="AY189" s="68" t="s">
        <v>211</v>
      </c>
      <c r="BK189" s="103">
        <f>SUM(BK190:BK202)</f>
        <v>80050</v>
      </c>
    </row>
    <row r="190" spans="2:65" s="1" customFormat="1" ht="16.5" customHeight="1">
      <c r="B190" s="12"/>
      <c r="C190" s="71" t="s">
        <v>537</v>
      </c>
      <c r="D190" s="71" t="s">
        <v>214</v>
      </c>
      <c r="E190" s="72" t="s">
        <v>4314</v>
      </c>
      <c r="F190" s="73" t="s">
        <v>4315</v>
      </c>
      <c r="G190" s="74" t="s">
        <v>808</v>
      </c>
      <c r="H190" s="75">
        <v>1</v>
      </c>
      <c r="I190" s="90">
        <v>58500</v>
      </c>
      <c r="J190" s="91">
        <f>ROUND(I190*H190,2)</f>
        <v>58500</v>
      </c>
      <c r="K190" s="92"/>
      <c r="L190" s="12"/>
      <c r="M190" s="93" t="s">
        <v>1</v>
      </c>
      <c r="N190" s="94" t="s">
        <v>42</v>
      </c>
      <c r="P190" s="95">
        <f>O190*H190</f>
        <v>0</v>
      </c>
      <c r="Q190" s="95">
        <v>0</v>
      </c>
      <c r="R190" s="95">
        <f>Q190*H190</f>
        <v>0</v>
      </c>
      <c r="S190" s="95">
        <v>0</v>
      </c>
      <c r="T190" s="99">
        <f>S190*H190</f>
        <v>0</v>
      </c>
      <c r="AR190" s="101" t="s">
        <v>218</v>
      </c>
      <c r="AT190" s="101" t="s">
        <v>214</v>
      </c>
      <c r="AU190" s="101" t="s">
        <v>87</v>
      </c>
      <c r="AY190" s="23" t="s">
        <v>211</v>
      </c>
      <c r="BE190" s="104">
        <f>IF(N190="základní",J190,0)</f>
        <v>58500</v>
      </c>
      <c r="BF190" s="104">
        <f>IF(N190="snížená",J190,0)</f>
        <v>0</v>
      </c>
      <c r="BG190" s="104">
        <f>IF(N190="zákl. přenesená",J190,0)</f>
        <v>0</v>
      </c>
      <c r="BH190" s="104">
        <f>IF(N190="sníž. přenesená",J190,0)</f>
        <v>0</v>
      </c>
      <c r="BI190" s="104">
        <f>IF(N190="nulová",J190,0)</f>
        <v>0</v>
      </c>
      <c r="BJ190" s="23" t="s">
        <v>85</v>
      </c>
      <c r="BK190" s="104">
        <f>ROUND(I190*H190,2)</f>
        <v>58500</v>
      </c>
      <c r="BL190" s="23" t="s">
        <v>218</v>
      </c>
      <c r="BM190" s="101" t="s">
        <v>814</v>
      </c>
    </row>
    <row r="191" spans="2:65" s="1" customFormat="1" ht="76.8">
      <c r="B191" s="12"/>
      <c r="D191" s="105" t="s">
        <v>227</v>
      </c>
      <c r="F191" s="106" t="s">
        <v>4316</v>
      </c>
      <c r="I191" s="107"/>
      <c r="L191" s="12"/>
      <c r="M191" s="108"/>
      <c r="T191" s="111"/>
      <c r="AT191" s="23" t="s">
        <v>227</v>
      </c>
      <c r="AU191" s="23" t="s">
        <v>87</v>
      </c>
    </row>
    <row r="192" spans="2:65" s="1" customFormat="1" ht="16.5" customHeight="1">
      <c r="B192" s="12"/>
      <c r="C192" s="71" t="s">
        <v>542</v>
      </c>
      <c r="D192" s="71" t="s">
        <v>214</v>
      </c>
      <c r="E192" s="72" t="s">
        <v>4298</v>
      </c>
      <c r="F192" s="73" t="s">
        <v>4299</v>
      </c>
      <c r="G192" s="74" t="s">
        <v>808</v>
      </c>
      <c r="H192" s="75">
        <v>4</v>
      </c>
      <c r="I192" s="90">
        <v>1760</v>
      </c>
      <c r="J192" s="91">
        <f t="shared" ref="J192:J202" si="20">ROUND(I192*H192,2)</f>
        <v>7040</v>
      </c>
      <c r="K192" s="92"/>
      <c r="L192" s="12"/>
      <c r="M192" s="93" t="s">
        <v>1</v>
      </c>
      <c r="N192" s="94" t="s">
        <v>42</v>
      </c>
      <c r="P192" s="95">
        <f t="shared" ref="P192:P202" si="21">O192*H192</f>
        <v>0</v>
      </c>
      <c r="Q192" s="95">
        <v>0</v>
      </c>
      <c r="R192" s="95">
        <f t="shared" ref="R192:R202" si="22">Q192*H192</f>
        <v>0</v>
      </c>
      <c r="S192" s="95">
        <v>0</v>
      </c>
      <c r="T192" s="99">
        <f t="shared" ref="T192:T202" si="23">S192*H192</f>
        <v>0</v>
      </c>
      <c r="AR192" s="101" t="s">
        <v>218</v>
      </c>
      <c r="AT192" s="101" t="s">
        <v>214</v>
      </c>
      <c r="AU192" s="101" t="s">
        <v>87</v>
      </c>
      <c r="AY192" s="23" t="s">
        <v>211</v>
      </c>
      <c r="BE192" s="104">
        <f t="shared" ref="BE192:BE202" si="24">IF(N192="základní",J192,0)</f>
        <v>7040</v>
      </c>
      <c r="BF192" s="104">
        <f t="shared" ref="BF192:BF202" si="25">IF(N192="snížená",J192,0)</f>
        <v>0</v>
      </c>
      <c r="BG192" s="104">
        <f t="shared" ref="BG192:BG202" si="26">IF(N192="zákl. přenesená",J192,0)</f>
        <v>0</v>
      </c>
      <c r="BH192" s="104">
        <f t="shared" ref="BH192:BH202" si="27">IF(N192="sníž. přenesená",J192,0)</f>
        <v>0</v>
      </c>
      <c r="BI192" s="104">
        <f t="shared" ref="BI192:BI202" si="28">IF(N192="nulová",J192,0)</f>
        <v>0</v>
      </c>
      <c r="BJ192" s="23" t="s">
        <v>85</v>
      </c>
      <c r="BK192" s="104">
        <f t="shared" ref="BK192:BK202" si="29">ROUND(I192*H192,2)</f>
        <v>7040</v>
      </c>
      <c r="BL192" s="23" t="s">
        <v>218</v>
      </c>
      <c r="BM192" s="101" t="s">
        <v>822</v>
      </c>
    </row>
    <row r="193" spans="2:65" s="1" customFormat="1" ht="16.5" customHeight="1">
      <c r="B193" s="12"/>
      <c r="C193" s="71" t="s">
        <v>551</v>
      </c>
      <c r="D193" s="71" t="s">
        <v>214</v>
      </c>
      <c r="E193" s="72" t="s">
        <v>4300</v>
      </c>
      <c r="F193" s="73" t="s">
        <v>4261</v>
      </c>
      <c r="G193" s="74" t="s">
        <v>808</v>
      </c>
      <c r="H193" s="75">
        <v>3</v>
      </c>
      <c r="I193" s="90">
        <v>120</v>
      </c>
      <c r="J193" s="91">
        <f t="shared" si="20"/>
        <v>360</v>
      </c>
      <c r="K193" s="92"/>
      <c r="L193" s="12"/>
      <c r="M193" s="93" t="s">
        <v>1</v>
      </c>
      <c r="N193" s="94" t="s">
        <v>42</v>
      </c>
      <c r="P193" s="95">
        <f t="shared" si="21"/>
        <v>0</v>
      </c>
      <c r="Q193" s="95">
        <v>0</v>
      </c>
      <c r="R193" s="95">
        <f t="shared" si="22"/>
        <v>0</v>
      </c>
      <c r="S193" s="95">
        <v>0</v>
      </c>
      <c r="T193" s="99">
        <f t="shared" si="23"/>
        <v>0</v>
      </c>
      <c r="AR193" s="101" t="s">
        <v>218</v>
      </c>
      <c r="AT193" s="101" t="s">
        <v>214</v>
      </c>
      <c r="AU193" s="101" t="s">
        <v>87</v>
      </c>
      <c r="AY193" s="23" t="s">
        <v>211</v>
      </c>
      <c r="BE193" s="104">
        <f t="shared" si="24"/>
        <v>360</v>
      </c>
      <c r="BF193" s="104">
        <f t="shared" si="25"/>
        <v>0</v>
      </c>
      <c r="BG193" s="104">
        <f t="shared" si="26"/>
        <v>0</v>
      </c>
      <c r="BH193" s="104">
        <f t="shared" si="27"/>
        <v>0</v>
      </c>
      <c r="BI193" s="104">
        <f t="shared" si="28"/>
        <v>0</v>
      </c>
      <c r="BJ193" s="23" t="s">
        <v>85</v>
      </c>
      <c r="BK193" s="104">
        <f t="shared" si="29"/>
        <v>360</v>
      </c>
      <c r="BL193" s="23" t="s">
        <v>218</v>
      </c>
      <c r="BM193" s="101" t="s">
        <v>830</v>
      </c>
    </row>
    <row r="194" spans="2:65" s="1" customFormat="1" ht="16.5" customHeight="1">
      <c r="B194" s="12"/>
      <c r="C194" s="71" t="s">
        <v>555</v>
      </c>
      <c r="D194" s="71" t="s">
        <v>214</v>
      </c>
      <c r="E194" s="72" t="s">
        <v>4301</v>
      </c>
      <c r="F194" s="73" t="s">
        <v>4302</v>
      </c>
      <c r="G194" s="74" t="s">
        <v>808</v>
      </c>
      <c r="H194" s="75">
        <v>2</v>
      </c>
      <c r="I194" s="90">
        <v>200</v>
      </c>
      <c r="J194" s="91">
        <f t="shared" si="20"/>
        <v>400</v>
      </c>
      <c r="K194" s="92"/>
      <c r="L194" s="12"/>
      <c r="M194" s="93" t="s">
        <v>1</v>
      </c>
      <c r="N194" s="94" t="s">
        <v>42</v>
      </c>
      <c r="P194" s="95">
        <f t="shared" si="21"/>
        <v>0</v>
      </c>
      <c r="Q194" s="95">
        <v>0</v>
      </c>
      <c r="R194" s="95">
        <f t="shared" si="22"/>
        <v>0</v>
      </c>
      <c r="S194" s="95">
        <v>0</v>
      </c>
      <c r="T194" s="99">
        <f t="shared" si="23"/>
        <v>0</v>
      </c>
      <c r="AR194" s="101" t="s">
        <v>218</v>
      </c>
      <c r="AT194" s="101" t="s">
        <v>214</v>
      </c>
      <c r="AU194" s="101" t="s">
        <v>87</v>
      </c>
      <c r="AY194" s="23" t="s">
        <v>211</v>
      </c>
      <c r="BE194" s="104">
        <f t="shared" si="24"/>
        <v>400</v>
      </c>
      <c r="BF194" s="104">
        <f t="shared" si="25"/>
        <v>0</v>
      </c>
      <c r="BG194" s="104">
        <f t="shared" si="26"/>
        <v>0</v>
      </c>
      <c r="BH194" s="104">
        <f t="shared" si="27"/>
        <v>0</v>
      </c>
      <c r="BI194" s="104">
        <f t="shared" si="28"/>
        <v>0</v>
      </c>
      <c r="BJ194" s="23" t="s">
        <v>85</v>
      </c>
      <c r="BK194" s="104">
        <f t="shared" si="29"/>
        <v>400</v>
      </c>
      <c r="BL194" s="23" t="s">
        <v>218</v>
      </c>
      <c r="BM194" s="101" t="s">
        <v>838</v>
      </c>
    </row>
    <row r="195" spans="2:65" s="1" customFormat="1" ht="16.5" customHeight="1">
      <c r="B195" s="12"/>
      <c r="C195" s="71" t="s">
        <v>566</v>
      </c>
      <c r="D195" s="71" t="s">
        <v>214</v>
      </c>
      <c r="E195" s="72" t="s">
        <v>4303</v>
      </c>
      <c r="F195" s="73" t="s">
        <v>4304</v>
      </c>
      <c r="G195" s="74" t="s">
        <v>808</v>
      </c>
      <c r="H195" s="75">
        <v>3</v>
      </c>
      <c r="I195" s="90">
        <v>400</v>
      </c>
      <c r="J195" s="91">
        <f t="shared" si="20"/>
        <v>1200</v>
      </c>
      <c r="K195" s="92"/>
      <c r="L195" s="12"/>
      <c r="M195" s="93" t="s">
        <v>1</v>
      </c>
      <c r="N195" s="94" t="s">
        <v>42</v>
      </c>
      <c r="P195" s="95">
        <f t="shared" si="21"/>
        <v>0</v>
      </c>
      <c r="Q195" s="95">
        <v>0</v>
      </c>
      <c r="R195" s="95">
        <f t="shared" si="22"/>
        <v>0</v>
      </c>
      <c r="S195" s="95">
        <v>0</v>
      </c>
      <c r="T195" s="99">
        <f t="shared" si="23"/>
        <v>0</v>
      </c>
      <c r="AR195" s="101" t="s">
        <v>218</v>
      </c>
      <c r="AT195" s="101" t="s">
        <v>214</v>
      </c>
      <c r="AU195" s="101" t="s">
        <v>87</v>
      </c>
      <c r="AY195" s="23" t="s">
        <v>211</v>
      </c>
      <c r="BE195" s="104">
        <f t="shared" si="24"/>
        <v>1200</v>
      </c>
      <c r="BF195" s="104">
        <f t="shared" si="25"/>
        <v>0</v>
      </c>
      <c r="BG195" s="104">
        <f t="shared" si="26"/>
        <v>0</v>
      </c>
      <c r="BH195" s="104">
        <f t="shared" si="27"/>
        <v>0</v>
      </c>
      <c r="BI195" s="104">
        <f t="shared" si="28"/>
        <v>0</v>
      </c>
      <c r="BJ195" s="23" t="s">
        <v>85</v>
      </c>
      <c r="BK195" s="104">
        <f t="shared" si="29"/>
        <v>1200</v>
      </c>
      <c r="BL195" s="23" t="s">
        <v>218</v>
      </c>
      <c r="BM195" s="101" t="s">
        <v>846</v>
      </c>
    </row>
    <row r="196" spans="2:65" s="1" customFormat="1" ht="16.5" customHeight="1">
      <c r="B196" s="12"/>
      <c r="C196" s="71" t="s">
        <v>570</v>
      </c>
      <c r="D196" s="71" t="s">
        <v>214</v>
      </c>
      <c r="E196" s="72" t="s">
        <v>4305</v>
      </c>
      <c r="F196" s="73" t="s">
        <v>4306</v>
      </c>
      <c r="G196" s="74" t="s">
        <v>808</v>
      </c>
      <c r="H196" s="75">
        <v>3</v>
      </c>
      <c r="I196" s="90">
        <v>270</v>
      </c>
      <c r="J196" s="91">
        <f t="shared" si="20"/>
        <v>810</v>
      </c>
      <c r="K196" s="92"/>
      <c r="L196" s="12"/>
      <c r="M196" s="93" t="s">
        <v>1</v>
      </c>
      <c r="N196" s="94" t="s">
        <v>42</v>
      </c>
      <c r="P196" s="95">
        <f t="shared" si="21"/>
        <v>0</v>
      </c>
      <c r="Q196" s="95">
        <v>0</v>
      </c>
      <c r="R196" s="95">
        <f t="shared" si="22"/>
        <v>0</v>
      </c>
      <c r="S196" s="95">
        <v>0</v>
      </c>
      <c r="T196" s="99">
        <f t="shared" si="23"/>
        <v>0</v>
      </c>
      <c r="AR196" s="101" t="s">
        <v>218</v>
      </c>
      <c r="AT196" s="101" t="s">
        <v>214</v>
      </c>
      <c r="AU196" s="101" t="s">
        <v>87</v>
      </c>
      <c r="AY196" s="23" t="s">
        <v>211</v>
      </c>
      <c r="BE196" s="104">
        <f t="shared" si="24"/>
        <v>810</v>
      </c>
      <c r="BF196" s="104">
        <f t="shared" si="25"/>
        <v>0</v>
      </c>
      <c r="BG196" s="104">
        <f t="shared" si="26"/>
        <v>0</v>
      </c>
      <c r="BH196" s="104">
        <f t="shared" si="27"/>
        <v>0</v>
      </c>
      <c r="BI196" s="104">
        <f t="shared" si="28"/>
        <v>0</v>
      </c>
      <c r="BJ196" s="23" t="s">
        <v>85</v>
      </c>
      <c r="BK196" s="104">
        <f t="shared" si="29"/>
        <v>810</v>
      </c>
      <c r="BL196" s="23" t="s">
        <v>218</v>
      </c>
      <c r="BM196" s="101" t="s">
        <v>854</v>
      </c>
    </row>
    <row r="197" spans="2:65" s="1" customFormat="1" ht="16.5" customHeight="1">
      <c r="B197" s="12"/>
      <c r="C197" s="71" t="s">
        <v>578</v>
      </c>
      <c r="D197" s="71" t="s">
        <v>214</v>
      </c>
      <c r="E197" s="72" t="s">
        <v>4307</v>
      </c>
      <c r="F197" s="73" t="s">
        <v>4308</v>
      </c>
      <c r="G197" s="74" t="s">
        <v>808</v>
      </c>
      <c r="H197" s="75">
        <v>3</v>
      </c>
      <c r="I197" s="90">
        <v>320</v>
      </c>
      <c r="J197" s="91">
        <f t="shared" si="20"/>
        <v>960</v>
      </c>
      <c r="K197" s="92"/>
      <c r="L197" s="12"/>
      <c r="M197" s="93" t="s">
        <v>1</v>
      </c>
      <c r="N197" s="94" t="s">
        <v>42</v>
      </c>
      <c r="P197" s="95">
        <f t="shared" si="21"/>
        <v>0</v>
      </c>
      <c r="Q197" s="95">
        <v>0</v>
      </c>
      <c r="R197" s="95">
        <f t="shared" si="22"/>
        <v>0</v>
      </c>
      <c r="S197" s="95">
        <v>0</v>
      </c>
      <c r="T197" s="99">
        <f t="shared" si="23"/>
        <v>0</v>
      </c>
      <c r="AR197" s="101" t="s">
        <v>218</v>
      </c>
      <c r="AT197" s="101" t="s">
        <v>214</v>
      </c>
      <c r="AU197" s="101" t="s">
        <v>87</v>
      </c>
      <c r="AY197" s="23" t="s">
        <v>211</v>
      </c>
      <c r="BE197" s="104">
        <f t="shared" si="24"/>
        <v>960</v>
      </c>
      <c r="BF197" s="104">
        <f t="shared" si="25"/>
        <v>0</v>
      </c>
      <c r="BG197" s="104">
        <f t="shared" si="26"/>
        <v>0</v>
      </c>
      <c r="BH197" s="104">
        <f t="shared" si="27"/>
        <v>0</v>
      </c>
      <c r="BI197" s="104">
        <f t="shared" si="28"/>
        <v>0</v>
      </c>
      <c r="BJ197" s="23" t="s">
        <v>85</v>
      </c>
      <c r="BK197" s="104">
        <f t="shared" si="29"/>
        <v>960</v>
      </c>
      <c r="BL197" s="23" t="s">
        <v>218</v>
      </c>
      <c r="BM197" s="101" t="s">
        <v>862</v>
      </c>
    </row>
    <row r="198" spans="2:65" s="1" customFormat="1" ht="49.35" customHeight="1">
      <c r="B198" s="12"/>
      <c r="C198" s="71" t="s">
        <v>582</v>
      </c>
      <c r="D198" s="71" t="s">
        <v>214</v>
      </c>
      <c r="E198" s="72" t="s">
        <v>4317</v>
      </c>
      <c r="F198" s="73" t="s">
        <v>4318</v>
      </c>
      <c r="G198" s="74" t="s">
        <v>431</v>
      </c>
      <c r="H198" s="75">
        <v>2</v>
      </c>
      <c r="I198" s="90">
        <v>330</v>
      </c>
      <c r="J198" s="91">
        <f t="shared" si="20"/>
        <v>660</v>
      </c>
      <c r="K198" s="92"/>
      <c r="L198" s="12"/>
      <c r="M198" s="93" t="s">
        <v>1</v>
      </c>
      <c r="N198" s="94" t="s">
        <v>42</v>
      </c>
      <c r="P198" s="95">
        <f t="shared" si="21"/>
        <v>0</v>
      </c>
      <c r="Q198" s="95">
        <v>0</v>
      </c>
      <c r="R198" s="95">
        <f t="shared" si="22"/>
        <v>0</v>
      </c>
      <c r="S198" s="95">
        <v>0</v>
      </c>
      <c r="T198" s="99">
        <f t="shared" si="23"/>
        <v>0</v>
      </c>
      <c r="AR198" s="101" t="s">
        <v>218</v>
      </c>
      <c r="AT198" s="101" t="s">
        <v>214</v>
      </c>
      <c r="AU198" s="101" t="s">
        <v>87</v>
      </c>
      <c r="AY198" s="23" t="s">
        <v>211</v>
      </c>
      <c r="BE198" s="104">
        <f t="shared" si="24"/>
        <v>660</v>
      </c>
      <c r="BF198" s="104">
        <f t="shared" si="25"/>
        <v>0</v>
      </c>
      <c r="BG198" s="104">
        <f t="shared" si="26"/>
        <v>0</v>
      </c>
      <c r="BH198" s="104">
        <f t="shared" si="27"/>
        <v>0</v>
      </c>
      <c r="BI198" s="104">
        <f t="shared" si="28"/>
        <v>0</v>
      </c>
      <c r="BJ198" s="23" t="s">
        <v>85</v>
      </c>
      <c r="BK198" s="104">
        <f t="shared" si="29"/>
        <v>660</v>
      </c>
      <c r="BL198" s="23" t="s">
        <v>218</v>
      </c>
      <c r="BM198" s="101" t="s">
        <v>883</v>
      </c>
    </row>
    <row r="199" spans="2:65" s="1" customFormat="1" ht="49.35" customHeight="1">
      <c r="B199" s="12"/>
      <c r="C199" s="71" t="s">
        <v>588</v>
      </c>
      <c r="D199" s="71" t="s">
        <v>214</v>
      </c>
      <c r="E199" s="72" t="s">
        <v>4319</v>
      </c>
      <c r="F199" s="73" t="s">
        <v>4320</v>
      </c>
      <c r="G199" s="74" t="s">
        <v>431</v>
      </c>
      <c r="H199" s="75">
        <v>20</v>
      </c>
      <c r="I199" s="90">
        <v>250</v>
      </c>
      <c r="J199" s="91">
        <f t="shared" si="20"/>
        <v>5000</v>
      </c>
      <c r="K199" s="92"/>
      <c r="L199" s="12"/>
      <c r="M199" s="93" t="s">
        <v>1</v>
      </c>
      <c r="N199" s="94" t="s">
        <v>42</v>
      </c>
      <c r="P199" s="95">
        <f t="shared" si="21"/>
        <v>0</v>
      </c>
      <c r="Q199" s="95">
        <v>0</v>
      </c>
      <c r="R199" s="95">
        <f t="shared" si="22"/>
        <v>0</v>
      </c>
      <c r="S199" s="95">
        <v>0</v>
      </c>
      <c r="T199" s="99">
        <f t="shared" si="23"/>
        <v>0</v>
      </c>
      <c r="AR199" s="101" t="s">
        <v>218</v>
      </c>
      <c r="AT199" s="101" t="s">
        <v>214</v>
      </c>
      <c r="AU199" s="101" t="s">
        <v>87</v>
      </c>
      <c r="AY199" s="23" t="s">
        <v>211</v>
      </c>
      <c r="BE199" s="104">
        <f t="shared" si="24"/>
        <v>5000</v>
      </c>
      <c r="BF199" s="104">
        <f t="shared" si="25"/>
        <v>0</v>
      </c>
      <c r="BG199" s="104">
        <f t="shared" si="26"/>
        <v>0</v>
      </c>
      <c r="BH199" s="104">
        <f t="shared" si="27"/>
        <v>0</v>
      </c>
      <c r="BI199" s="104">
        <f t="shared" si="28"/>
        <v>0</v>
      </c>
      <c r="BJ199" s="23" t="s">
        <v>85</v>
      </c>
      <c r="BK199" s="104">
        <f t="shared" si="29"/>
        <v>5000</v>
      </c>
      <c r="BL199" s="23" t="s">
        <v>218</v>
      </c>
      <c r="BM199" s="101" t="s">
        <v>905</v>
      </c>
    </row>
    <row r="200" spans="2:65" s="1" customFormat="1" ht="49.35" customHeight="1">
      <c r="B200" s="12"/>
      <c r="C200" s="71" t="s">
        <v>593</v>
      </c>
      <c r="D200" s="71" t="s">
        <v>214</v>
      </c>
      <c r="E200" s="72" t="s">
        <v>4321</v>
      </c>
      <c r="F200" s="73" t="s">
        <v>4322</v>
      </c>
      <c r="G200" s="74" t="s">
        <v>431</v>
      </c>
      <c r="H200" s="75">
        <v>15</v>
      </c>
      <c r="I200" s="90">
        <v>200</v>
      </c>
      <c r="J200" s="91">
        <f t="shared" si="20"/>
        <v>3000</v>
      </c>
      <c r="K200" s="92"/>
      <c r="L200" s="12"/>
      <c r="M200" s="93" t="s">
        <v>1</v>
      </c>
      <c r="N200" s="94" t="s">
        <v>42</v>
      </c>
      <c r="P200" s="95">
        <f t="shared" si="21"/>
        <v>0</v>
      </c>
      <c r="Q200" s="95">
        <v>0</v>
      </c>
      <c r="R200" s="95">
        <f t="shared" si="22"/>
        <v>0</v>
      </c>
      <c r="S200" s="95">
        <v>0</v>
      </c>
      <c r="T200" s="99">
        <f t="shared" si="23"/>
        <v>0</v>
      </c>
      <c r="AR200" s="101" t="s">
        <v>218</v>
      </c>
      <c r="AT200" s="101" t="s">
        <v>214</v>
      </c>
      <c r="AU200" s="101" t="s">
        <v>87</v>
      </c>
      <c r="AY200" s="23" t="s">
        <v>211</v>
      </c>
      <c r="BE200" s="104">
        <f t="shared" si="24"/>
        <v>3000</v>
      </c>
      <c r="BF200" s="104">
        <f t="shared" si="25"/>
        <v>0</v>
      </c>
      <c r="BG200" s="104">
        <f t="shared" si="26"/>
        <v>0</v>
      </c>
      <c r="BH200" s="104">
        <f t="shared" si="27"/>
        <v>0</v>
      </c>
      <c r="BI200" s="104">
        <f t="shared" si="28"/>
        <v>0</v>
      </c>
      <c r="BJ200" s="23" t="s">
        <v>85</v>
      </c>
      <c r="BK200" s="104">
        <f t="shared" si="29"/>
        <v>3000</v>
      </c>
      <c r="BL200" s="23" t="s">
        <v>218</v>
      </c>
      <c r="BM200" s="101" t="s">
        <v>919</v>
      </c>
    </row>
    <row r="201" spans="2:65" s="1" customFormat="1" ht="16.5" customHeight="1">
      <c r="B201" s="12"/>
      <c r="C201" s="71" t="s">
        <v>598</v>
      </c>
      <c r="D201" s="71" t="s">
        <v>214</v>
      </c>
      <c r="E201" s="72" t="s">
        <v>4309</v>
      </c>
      <c r="F201" s="73" t="s">
        <v>4310</v>
      </c>
      <c r="G201" s="74" t="s">
        <v>431</v>
      </c>
      <c r="H201" s="75">
        <v>7</v>
      </c>
      <c r="I201" s="90">
        <v>200</v>
      </c>
      <c r="J201" s="91">
        <f t="shared" si="20"/>
        <v>1400</v>
      </c>
      <c r="K201" s="92"/>
      <c r="L201" s="12"/>
      <c r="M201" s="93" t="s">
        <v>1</v>
      </c>
      <c r="N201" s="94" t="s">
        <v>42</v>
      </c>
      <c r="P201" s="95">
        <f t="shared" si="21"/>
        <v>0</v>
      </c>
      <c r="Q201" s="95">
        <v>0</v>
      </c>
      <c r="R201" s="95">
        <f t="shared" si="22"/>
        <v>0</v>
      </c>
      <c r="S201" s="95">
        <v>0</v>
      </c>
      <c r="T201" s="99">
        <f t="shared" si="23"/>
        <v>0</v>
      </c>
      <c r="AR201" s="101" t="s">
        <v>218</v>
      </c>
      <c r="AT201" s="101" t="s">
        <v>214</v>
      </c>
      <c r="AU201" s="101" t="s">
        <v>87</v>
      </c>
      <c r="AY201" s="23" t="s">
        <v>211</v>
      </c>
      <c r="BE201" s="104">
        <f t="shared" si="24"/>
        <v>1400</v>
      </c>
      <c r="BF201" s="104">
        <f t="shared" si="25"/>
        <v>0</v>
      </c>
      <c r="BG201" s="104">
        <f t="shared" si="26"/>
        <v>0</v>
      </c>
      <c r="BH201" s="104">
        <f t="shared" si="27"/>
        <v>0</v>
      </c>
      <c r="BI201" s="104">
        <f t="shared" si="28"/>
        <v>0</v>
      </c>
      <c r="BJ201" s="23" t="s">
        <v>85</v>
      </c>
      <c r="BK201" s="104">
        <f t="shared" si="29"/>
        <v>1400</v>
      </c>
      <c r="BL201" s="23" t="s">
        <v>218</v>
      </c>
      <c r="BM201" s="101" t="s">
        <v>935</v>
      </c>
    </row>
    <row r="202" spans="2:65" s="1" customFormat="1" ht="16.5" customHeight="1">
      <c r="B202" s="12"/>
      <c r="C202" s="71" t="s">
        <v>604</v>
      </c>
      <c r="D202" s="71" t="s">
        <v>214</v>
      </c>
      <c r="E202" s="72" t="s">
        <v>4311</v>
      </c>
      <c r="F202" s="73" t="s">
        <v>4312</v>
      </c>
      <c r="G202" s="74" t="s">
        <v>431</v>
      </c>
      <c r="H202" s="75">
        <v>4</v>
      </c>
      <c r="I202" s="90">
        <v>180</v>
      </c>
      <c r="J202" s="91">
        <f t="shared" si="20"/>
        <v>720</v>
      </c>
      <c r="K202" s="92"/>
      <c r="L202" s="12"/>
      <c r="M202" s="93" t="s">
        <v>1</v>
      </c>
      <c r="N202" s="94" t="s">
        <v>42</v>
      </c>
      <c r="P202" s="95">
        <f t="shared" si="21"/>
        <v>0</v>
      </c>
      <c r="Q202" s="95">
        <v>0</v>
      </c>
      <c r="R202" s="95">
        <f t="shared" si="22"/>
        <v>0</v>
      </c>
      <c r="S202" s="95">
        <v>0</v>
      </c>
      <c r="T202" s="99">
        <f t="shared" si="23"/>
        <v>0</v>
      </c>
      <c r="AR202" s="101" t="s">
        <v>218</v>
      </c>
      <c r="AT202" s="101" t="s">
        <v>214</v>
      </c>
      <c r="AU202" s="101" t="s">
        <v>87</v>
      </c>
      <c r="AY202" s="23" t="s">
        <v>211</v>
      </c>
      <c r="BE202" s="104">
        <f t="shared" si="24"/>
        <v>720</v>
      </c>
      <c r="BF202" s="104">
        <f t="shared" si="25"/>
        <v>0</v>
      </c>
      <c r="BG202" s="104">
        <f t="shared" si="26"/>
        <v>0</v>
      </c>
      <c r="BH202" s="104">
        <f t="shared" si="27"/>
        <v>0</v>
      </c>
      <c r="BI202" s="104">
        <f t="shared" si="28"/>
        <v>0</v>
      </c>
      <c r="BJ202" s="23" t="s">
        <v>85</v>
      </c>
      <c r="BK202" s="104">
        <f t="shared" si="29"/>
        <v>720</v>
      </c>
      <c r="BL202" s="23" t="s">
        <v>218</v>
      </c>
      <c r="BM202" s="101" t="s">
        <v>950</v>
      </c>
    </row>
    <row r="203" spans="2:65" s="31" customFormat="1" ht="23.1" customHeight="1">
      <c r="B203" s="67"/>
      <c r="D203" s="68" t="s">
        <v>76</v>
      </c>
      <c r="E203" s="70" t="s">
        <v>3858</v>
      </c>
      <c r="F203" s="70" t="s">
        <v>4323</v>
      </c>
      <c r="I203" s="85"/>
      <c r="J203" s="89">
        <f>BK203</f>
        <v>110110</v>
      </c>
      <c r="L203" s="67"/>
      <c r="M203" s="87"/>
      <c r="P203" s="88">
        <f>SUM(P204:P217)</f>
        <v>0</v>
      </c>
      <c r="R203" s="88">
        <f>SUM(R204:R217)</f>
        <v>0</v>
      </c>
      <c r="T203" s="98">
        <f>SUM(T204:T217)</f>
        <v>0</v>
      </c>
      <c r="AR203" s="68" t="s">
        <v>85</v>
      </c>
      <c r="AT203" s="100" t="s">
        <v>76</v>
      </c>
      <c r="AU203" s="100" t="s">
        <v>85</v>
      </c>
      <c r="AY203" s="68" t="s">
        <v>211</v>
      </c>
      <c r="BK203" s="103">
        <f>SUM(BK204:BK217)</f>
        <v>110110</v>
      </c>
    </row>
    <row r="204" spans="2:65" s="1" customFormat="1" ht="16.5" customHeight="1">
      <c r="B204" s="12"/>
      <c r="C204" s="71" t="s">
        <v>608</v>
      </c>
      <c r="D204" s="71" t="s">
        <v>214</v>
      </c>
      <c r="E204" s="72" t="s">
        <v>4324</v>
      </c>
      <c r="F204" s="73" t="s">
        <v>4325</v>
      </c>
      <c r="G204" s="74" t="s">
        <v>808</v>
      </c>
      <c r="H204" s="75">
        <v>1</v>
      </c>
      <c r="I204" s="90">
        <v>67900</v>
      </c>
      <c r="J204" s="91">
        <f>ROUND(I204*H204,2)</f>
        <v>67900</v>
      </c>
      <c r="K204" s="92"/>
      <c r="L204" s="12"/>
      <c r="M204" s="93" t="s">
        <v>1</v>
      </c>
      <c r="N204" s="94" t="s">
        <v>42</v>
      </c>
      <c r="P204" s="95">
        <f>O204*H204</f>
        <v>0</v>
      </c>
      <c r="Q204" s="95">
        <v>0</v>
      </c>
      <c r="R204" s="95">
        <f>Q204*H204</f>
        <v>0</v>
      </c>
      <c r="S204" s="95">
        <v>0</v>
      </c>
      <c r="T204" s="99">
        <f>S204*H204</f>
        <v>0</v>
      </c>
      <c r="AR204" s="101" t="s">
        <v>218</v>
      </c>
      <c r="AT204" s="101" t="s">
        <v>214</v>
      </c>
      <c r="AU204" s="101" t="s">
        <v>87</v>
      </c>
      <c r="AY204" s="23" t="s">
        <v>211</v>
      </c>
      <c r="BE204" s="104">
        <f>IF(N204="základní",J204,0)</f>
        <v>67900</v>
      </c>
      <c r="BF204" s="104">
        <f>IF(N204="snížená",J204,0)</f>
        <v>0</v>
      </c>
      <c r="BG204" s="104">
        <f>IF(N204="zákl. přenesená",J204,0)</f>
        <v>0</v>
      </c>
      <c r="BH204" s="104">
        <f>IF(N204="sníž. přenesená",J204,0)</f>
        <v>0</v>
      </c>
      <c r="BI204" s="104">
        <f>IF(N204="nulová",J204,0)</f>
        <v>0</v>
      </c>
      <c r="BJ204" s="23" t="s">
        <v>85</v>
      </c>
      <c r="BK204" s="104">
        <f>ROUND(I204*H204,2)</f>
        <v>67900</v>
      </c>
      <c r="BL204" s="23" t="s">
        <v>218</v>
      </c>
      <c r="BM204" s="101" t="s">
        <v>963</v>
      </c>
    </row>
    <row r="205" spans="2:65" s="1" customFormat="1" ht="76.8">
      <c r="B205" s="12"/>
      <c r="D205" s="105" t="s">
        <v>227</v>
      </c>
      <c r="F205" s="106" t="s">
        <v>4326</v>
      </c>
      <c r="I205" s="107"/>
      <c r="L205" s="12"/>
      <c r="M205" s="108"/>
      <c r="T205" s="111"/>
      <c r="AT205" s="23" t="s">
        <v>227</v>
      </c>
      <c r="AU205" s="23" t="s">
        <v>87</v>
      </c>
    </row>
    <row r="206" spans="2:65" s="1" customFormat="1" ht="16.5" customHeight="1">
      <c r="B206" s="12"/>
      <c r="C206" s="71" t="s">
        <v>614</v>
      </c>
      <c r="D206" s="71" t="s">
        <v>214</v>
      </c>
      <c r="E206" s="72" t="s">
        <v>4327</v>
      </c>
      <c r="F206" s="73" t="s">
        <v>4328</v>
      </c>
      <c r="G206" s="74" t="s">
        <v>808</v>
      </c>
      <c r="H206" s="75">
        <v>4</v>
      </c>
      <c r="I206" s="90">
        <v>2700</v>
      </c>
      <c r="J206" s="91">
        <f t="shared" ref="J206:J217" si="30">ROUND(I206*H206,2)</f>
        <v>10800</v>
      </c>
      <c r="K206" s="92"/>
      <c r="L206" s="12"/>
      <c r="M206" s="93" t="s">
        <v>1</v>
      </c>
      <c r="N206" s="94" t="s">
        <v>42</v>
      </c>
      <c r="P206" s="95">
        <f t="shared" ref="P206:P217" si="31">O206*H206</f>
        <v>0</v>
      </c>
      <c r="Q206" s="95">
        <v>0</v>
      </c>
      <c r="R206" s="95">
        <f t="shared" ref="R206:R217" si="32">Q206*H206</f>
        <v>0</v>
      </c>
      <c r="S206" s="95">
        <v>0</v>
      </c>
      <c r="T206" s="99">
        <f t="shared" ref="T206:T217" si="33">S206*H206</f>
        <v>0</v>
      </c>
      <c r="AR206" s="101" t="s">
        <v>218</v>
      </c>
      <c r="AT206" s="101" t="s">
        <v>214</v>
      </c>
      <c r="AU206" s="101" t="s">
        <v>87</v>
      </c>
      <c r="AY206" s="23" t="s">
        <v>211</v>
      </c>
      <c r="BE206" s="104">
        <f t="shared" ref="BE206:BE217" si="34">IF(N206="základní",J206,0)</f>
        <v>10800</v>
      </c>
      <c r="BF206" s="104">
        <f t="shared" ref="BF206:BF217" si="35">IF(N206="snížená",J206,0)</f>
        <v>0</v>
      </c>
      <c r="BG206" s="104">
        <f t="shared" ref="BG206:BG217" si="36">IF(N206="zákl. přenesená",J206,0)</f>
        <v>0</v>
      </c>
      <c r="BH206" s="104">
        <f t="shared" ref="BH206:BH217" si="37">IF(N206="sníž. přenesená",J206,0)</f>
        <v>0</v>
      </c>
      <c r="BI206" s="104">
        <f t="shared" ref="BI206:BI217" si="38">IF(N206="nulová",J206,0)</f>
        <v>0</v>
      </c>
      <c r="BJ206" s="23" t="s">
        <v>85</v>
      </c>
      <c r="BK206" s="104">
        <f t="shared" ref="BK206:BK217" si="39">ROUND(I206*H206,2)</f>
        <v>10800</v>
      </c>
      <c r="BL206" s="23" t="s">
        <v>218</v>
      </c>
      <c r="BM206" s="101" t="s">
        <v>993</v>
      </c>
    </row>
    <row r="207" spans="2:65" s="1" customFormat="1" ht="16.5" customHeight="1">
      <c r="B207" s="12"/>
      <c r="C207" s="71" t="s">
        <v>619</v>
      </c>
      <c r="D207" s="71" t="s">
        <v>214</v>
      </c>
      <c r="E207" s="72" t="s">
        <v>4329</v>
      </c>
      <c r="F207" s="73" t="s">
        <v>4263</v>
      </c>
      <c r="G207" s="74" t="s">
        <v>808</v>
      </c>
      <c r="H207" s="75">
        <v>3</v>
      </c>
      <c r="I207" s="90">
        <v>200</v>
      </c>
      <c r="J207" s="91">
        <f t="shared" si="30"/>
        <v>600</v>
      </c>
      <c r="K207" s="92"/>
      <c r="L207" s="12"/>
      <c r="M207" s="93" t="s">
        <v>1</v>
      </c>
      <c r="N207" s="94" t="s">
        <v>42</v>
      </c>
      <c r="P207" s="95">
        <f t="shared" si="31"/>
        <v>0</v>
      </c>
      <c r="Q207" s="95">
        <v>0</v>
      </c>
      <c r="R207" s="95">
        <f t="shared" si="32"/>
        <v>0</v>
      </c>
      <c r="S207" s="95">
        <v>0</v>
      </c>
      <c r="T207" s="99">
        <f t="shared" si="33"/>
        <v>0</v>
      </c>
      <c r="AR207" s="101" t="s">
        <v>218</v>
      </c>
      <c r="AT207" s="101" t="s">
        <v>214</v>
      </c>
      <c r="AU207" s="101" t="s">
        <v>87</v>
      </c>
      <c r="AY207" s="23" t="s">
        <v>211</v>
      </c>
      <c r="BE207" s="104">
        <f t="shared" si="34"/>
        <v>600</v>
      </c>
      <c r="BF207" s="104">
        <f t="shared" si="35"/>
        <v>0</v>
      </c>
      <c r="BG207" s="104">
        <f t="shared" si="36"/>
        <v>0</v>
      </c>
      <c r="BH207" s="104">
        <f t="shared" si="37"/>
        <v>0</v>
      </c>
      <c r="BI207" s="104">
        <f t="shared" si="38"/>
        <v>0</v>
      </c>
      <c r="BJ207" s="23" t="s">
        <v>85</v>
      </c>
      <c r="BK207" s="104">
        <f t="shared" si="39"/>
        <v>600</v>
      </c>
      <c r="BL207" s="23" t="s">
        <v>218</v>
      </c>
      <c r="BM207" s="101" t="s">
        <v>1001</v>
      </c>
    </row>
    <row r="208" spans="2:65" s="1" customFormat="1" ht="16.5" customHeight="1">
      <c r="B208" s="12"/>
      <c r="C208" s="71" t="s">
        <v>624</v>
      </c>
      <c r="D208" s="71" t="s">
        <v>214</v>
      </c>
      <c r="E208" s="72" t="s">
        <v>4264</v>
      </c>
      <c r="F208" s="73" t="s">
        <v>4265</v>
      </c>
      <c r="G208" s="74" t="s">
        <v>808</v>
      </c>
      <c r="H208" s="75">
        <v>1</v>
      </c>
      <c r="I208" s="90">
        <v>150</v>
      </c>
      <c r="J208" s="91">
        <f t="shared" si="30"/>
        <v>150</v>
      </c>
      <c r="K208" s="92"/>
      <c r="L208" s="12"/>
      <c r="M208" s="93" t="s">
        <v>1</v>
      </c>
      <c r="N208" s="94" t="s">
        <v>42</v>
      </c>
      <c r="P208" s="95">
        <f t="shared" si="31"/>
        <v>0</v>
      </c>
      <c r="Q208" s="95">
        <v>0</v>
      </c>
      <c r="R208" s="95">
        <f t="shared" si="32"/>
        <v>0</v>
      </c>
      <c r="S208" s="95">
        <v>0</v>
      </c>
      <c r="T208" s="99">
        <f t="shared" si="33"/>
        <v>0</v>
      </c>
      <c r="AR208" s="101" t="s">
        <v>218</v>
      </c>
      <c r="AT208" s="101" t="s">
        <v>214</v>
      </c>
      <c r="AU208" s="101" t="s">
        <v>87</v>
      </c>
      <c r="AY208" s="23" t="s">
        <v>211</v>
      </c>
      <c r="BE208" s="104">
        <f t="shared" si="34"/>
        <v>150</v>
      </c>
      <c r="BF208" s="104">
        <f t="shared" si="35"/>
        <v>0</v>
      </c>
      <c r="BG208" s="104">
        <f t="shared" si="36"/>
        <v>0</v>
      </c>
      <c r="BH208" s="104">
        <f t="shared" si="37"/>
        <v>0</v>
      </c>
      <c r="BI208" s="104">
        <f t="shared" si="38"/>
        <v>0</v>
      </c>
      <c r="BJ208" s="23" t="s">
        <v>85</v>
      </c>
      <c r="BK208" s="104">
        <f t="shared" si="39"/>
        <v>150</v>
      </c>
      <c r="BL208" s="23" t="s">
        <v>218</v>
      </c>
      <c r="BM208" s="101" t="s">
        <v>1028</v>
      </c>
    </row>
    <row r="209" spans="2:65" s="1" customFormat="1" ht="16.5" customHeight="1">
      <c r="B209" s="12"/>
      <c r="C209" s="71" t="s">
        <v>629</v>
      </c>
      <c r="D209" s="71" t="s">
        <v>214</v>
      </c>
      <c r="E209" s="72" t="s">
        <v>4330</v>
      </c>
      <c r="F209" s="73" t="s">
        <v>4331</v>
      </c>
      <c r="G209" s="74" t="s">
        <v>808</v>
      </c>
      <c r="H209" s="75">
        <v>4</v>
      </c>
      <c r="I209" s="90">
        <v>1650</v>
      </c>
      <c r="J209" s="91">
        <f t="shared" si="30"/>
        <v>6600</v>
      </c>
      <c r="K209" s="92"/>
      <c r="L209" s="12"/>
      <c r="M209" s="93" t="s">
        <v>1</v>
      </c>
      <c r="N209" s="94" t="s">
        <v>42</v>
      </c>
      <c r="P209" s="95">
        <f t="shared" si="31"/>
        <v>0</v>
      </c>
      <c r="Q209" s="95">
        <v>0</v>
      </c>
      <c r="R209" s="95">
        <f t="shared" si="32"/>
        <v>0</v>
      </c>
      <c r="S209" s="95">
        <v>0</v>
      </c>
      <c r="T209" s="99">
        <f t="shared" si="33"/>
        <v>0</v>
      </c>
      <c r="AR209" s="101" t="s">
        <v>218</v>
      </c>
      <c r="AT209" s="101" t="s">
        <v>214</v>
      </c>
      <c r="AU209" s="101" t="s">
        <v>87</v>
      </c>
      <c r="AY209" s="23" t="s">
        <v>211</v>
      </c>
      <c r="BE209" s="104">
        <f t="shared" si="34"/>
        <v>6600</v>
      </c>
      <c r="BF209" s="104">
        <f t="shared" si="35"/>
        <v>0</v>
      </c>
      <c r="BG209" s="104">
        <f t="shared" si="36"/>
        <v>0</v>
      </c>
      <c r="BH209" s="104">
        <f t="shared" si="37"/>
        <v>0</v>
      </c>
      <c r="BI209" s="104">
        <f t="shared" si="38"/>
        <v>0</v>
      </c>
      <c r="BJ209" s="23" t="s">
        <v>85</v>
      </c>
      <c r="BK209" s="104">
        <f t="shared" si="39"/>
        <v>6600</v>
      </c>
      <c r="BL209" s="23" t="s">
        <v>218</v>
      </c>
      <c r="BM209" s="101" t="s">
        <v>92</v>
      </c>
    </row>
    <row r="210" spans="2:65" s="1" customFormat="1" ht="16.5" customHeight="1">
      <c r="B210" s="12"/>
      <c r="C210" s="71" t="s">
        <v>634</v>
      </c>
      <c r="D210" s="71" t="s">
        <v>214</v>
      </c>
      <c r="E210" s="72" t="s">
        <v>4332</v>
      </c>
      <c r="F210" s="73" t="s">
        <v>4275</v>
      </c>
      <c r="G210" s="74" t="s">
        <v>808</v>
      </c>
      <c r="H210" s="75">
        <v>2</v>
      </c>
      <c r="I210" s="90">
        <v>300</v>
      </c>
      <c r="J210" s="91">
        <f t="shared" si="30"/>
        <v>600</v>
      </c>
      <c r="K210" s="92"/>
      <c r="L210" s="12"/>
      <c r="M210" s="93" t="s">
        <v>1</v>
      </c>
      <c r="N210" s="94" t="s">
        <v>42</v>
      </c>
      <c r="P210" s="95">
        <f t="shared" si="31"/>
        <v>0</v>
      </c>
      <c r="Q210" s="95">
        <v>0</v>
      </c>
      <c r="R210" s="95">
        <f t="shared" si="32"/>
        <v>0</v>
      </c>
      <c r="S210" s="95">
        <v>0</v>
      </c>
      <c r="T210" s="99">
        <f t="shared" si="33"/>
        <v>0</v>
      </c>
      <c r="AR210" s="101" t="s">
        <v>218</v>
      </c>
      <c r="AT210" s="101" t="s">
        <v>214</v>
      </c>
      <c r="AU210" s="101" t="s">
        <v>87</v>
      </c>
      <c r="AY210" s="23" t="s">
        <v>211</v>
      </c>
      <c r="BE210" s="104">
        <f t="shared" si="34"/>
        <v>600</v>
      </c>
      <c r="BF210" s="104">
        <f t="shared" si="35"/>
        <v>0</v>
      </c>
      <c r="BG210" s="104">
        <f t="shared" si="36"/>
        <v>0</v>
      </c>
      <c r="BH210" s="104">
        <f t="shared" si="37"/>
        <v>0</v>
      </c>
      <c r="BI210" s="104">
        <f t="shared" si="38"/>
        <v>0</v>
      </c>
      <c r="BJ210" s="23" t="s">
        <v>85</v>
      </c>
      <c r="BK210" s="104">
        <f t="shared" si="39"/>
        <v>600</v>
      </c>
      <c r="BL210" s="23" t="s">
        <v>218</v>
      </c>
      <c r="BM210" s="101" t="s">
        <v>1049</v>
      </c>
    </row>
    <row r="211" spans="2:65" s="1" customFormat="1" ht="49.35" customHeight="1">
      <c r="B211" s="12"/>
      <c r="C211" s="71" t="s">
        <v>639</v>
      </c>
      <c r="D211" s="71" t="s">
        <v>214</v>
      </c>
      <c r="E211" s="72" t="s">
        <v>4333</v>
      </c>
      <c r="F211" s="73" t="s">
        <v>4334</v>
      </c>
      <c r="G211" s="74" t="s">
        <v>431</v>
      </c>
      <c r="H211" s="75">
        <v>2</v>
      </c>
      <c r="I211" s="90">
        <v>390</v>
      </c>
      <c r="J211" s="91">
        <f t="shared" si="30"/>
        <v>780</v>
      </c>
      <c r="K211" s="92"/>
      <c r="L211" s="12"/>
      <c r="M211" s="93" t="s">
        <v>1</v>
      </c>
      <c r="N211" s="94" t="s">
        <v>42</v>
      </c>
      <c r="P211" s="95">
        <f t="shared" si="31"/>
        <v>0</v>
      </c>
      <c r="Q211" s="95">
        <v>0</v>
      </c>
      <c r="R211" s="95">
        <f t="shared" si="32"/>
        <v>0</v>
      </c>
      <c r="S211" s="95">
        <v>0</v>
      </c>
      <c r="T211" s="99">
        <f t="shared" si="33"/>
        <v>0</v>
      </c>
      <c r="AR211" s="101" t="s">
        <v>218</v>
      </c>
      <c r="AT211" s="101" t="s">
        <v>214</v>
      </c>
      <c r="AU211" s="101" t="s">
        <v>87</v>
      </c>
      <c r="AY211" s="23" t="s">
        <v>211</v>
      </c>
      <c r="BE211" s="104">
        <f t="shared" si="34"/>
        <v>780</v>
      </c>
      <c r="BF211" s="104">
        <f t="shared" si="35"/>
        <v>0</v>
      </c>
      <c r="BG211" s="104">
        <f t="shared" si="36"/>
        <v>0</v>
      </c>
      <c r="BH211" s="104">
        <f t="shared" si="37"/>
        <v>0</v>
      </c>
      <c r="BI211" s="104">
        <f t="shared" si="38"/>
        <v>0</v>
      </c>
      <c r="BJ211" s="23" t="s">
        <v>85</v>
      </c>
      <c r="BK211" s="104">
        <f t="shared" si="39"/>
        <v>780</v>
      </c>
      <c r="BL211" s="23" t="s">
        <v>218</v>
      </c>
      <c r="BM211" s="101" t="s">
        <v>1058</v>
      </c>
    </row>
    <row r="212" spans="2:65" s="1" customFormat="1" ht="49.35" customHeight="1">
      <c r="B212" s="12"/>
      <c r="C212" s="71" t="s">
        <v>644</v>
      </c>
      <c r="D212" s="71" t="s">
        <v>214</v>
      </c>
      <c r="E212" s="72" t="s">
        <v>4282</v>
      </c>
      <c r="F212" s="73" t="s">
        <v>4283</v>
      </c>
      <c r="G212" s="74" t="s">
        <v>431</v>
      </c>
      <c r="H212" s="75">
        <v>45</v>
      </c>
      <c r="I212" s="90">
        <v>330</v>
      </c>
      <c r="J212" s="91">
        <f t="shared" si="30"/>
        <v>14850</v>
      </c>
      <c r="K212" s="92"/>
      <c r="L212" s="12"/>
      <c r="M212" s="93" t="s">
        <v>1</v>
      </c>
      <c r="N212" s="94" t="s">
        <v>42</v>
      </c>
      <c r="P212" s="95">
        <f t="shared" si="31"/>
        <v>0</v>
      </c>
      <c r="Q212" s="95">
        <v>0</v>
      </c>
      <c r="R212" s="95">
        <f t="shared" si="32"/>
        <v>0</v>
      </c>
      <c r="S212" s="95">
        <v>0</v>
      </c>
      <c r="T212" s="99">
        <f t="shared" si="33"/>
        <v>0</v>
      </c>
      <c r="AR212" s="101" t="s">
        <v>218</v>
      </c>
      <c r="AT212" s="101" t="s">
        <v>214</v>
      </c>
      <c r="AU212" s="101" t="s">
        <v>87</v>
      </c>
      <c r="AY212" s="23" t="s">
        <v>211</v>
      </c>
      <c r="BE212" s="104">
        <f t="shared" si="34"/>
        <v>14850</v>
      </c>
      <c r="BF212" s="104">
        <f t="shared" si="35"/>
        <v>0</v>
      </c>
      <c r="BG212" s="104">
        <f t="shared" si="36"/>
        <v>0</v>
      </c>
      <c r="BH212" s="104">
        <f t="shared" si="37"/>
        <v>0</v>
      </c>
      <c r="BI212" s="104">
        <f t="shared" si="38"/>
        <v>0</v>
      </c>
      <c r="BJ212" s="23" t="s">
        <v>85</v>
      </c>
      <c r="BK212" s="104">
        <f t="shared" si="39"/>
        <v>14850</v>
      </c>
      <c r="BL212" s="23" t="s">
        <v>218</v>
      </c>
      <c r="BM212" s="101" t="s">
        <v>1067</v>
      </c>
    </row>
    <row r="213" spans="2:65" s="1" customFormat="1" ht="49.35" customHeight="1">
      <c r="B213" s="12"/>
      <c r="C213" s="71" t="s">
        <v>649</v>
      </c>
      <c r="D213" s="71" t="s">
        <v>214</v>
      </c>
      <c r="E213" s="72" t="s">
        <v>4284</v>
      </c>
      <c r="F213" s="73" t="s">
        <v>4285</v>
      </c>
      <c r="G213" s="74" t="s">
        <v>431</v>
      </c>
      <c r="H213" s="75">
        <v>16</v>
      </c>
      <c r="I213" s="90">
        <v>250</v>
      </c>
      <c r="J213" s="91">
        <f t="shared" si="30"/>
        <v>4000</v>
      </c>
      <c r="K213" s="92"/>
      <c r="L213" s="12"/>
      <c r="M213" s="93" t="s">
        <v>1</v>
      </c>
      <c r="N213" s="94" t="s">
        <v>42</v>
      </c>
      <c r="P213" s="95">
        <f t="shared" si="31"/>
        <v>0</v>
      </c>
      <c r="Q213" s="95">
        <v>0</v>
      </c>
      <c r="R213" s="95">
        <f t="shared" si="32"/>
        <v>0</v>
      </c>
      <c r="S213" s="95">
        <v>0</v>
      </c>
      <c r="T213" s="99">
        <f t="shared" si="33"/>
        <v>0</v>
      </c>
      <c r="AR213" s="101" t="s">
        <v>218</v>
      </c>
      <c r="AT213" s="101" t="s">
        <v>214</v>
      </c>
      <c r="AU213" s="101" t="s">
        <v>87</v>
      </c>
      <c r="AY213" s="23" t="s">
        <v>211</v>
      </c>
      <c r="BE213" s="104">
        <f t="shared" si="34"/>
        <v>4000</v>
      </c>
      <c r="BF213" s="104">
        <f t="shared" si="35"/>
        <v>0</v>
      </c>
      <c r="BG213" s="104">
        <f t="shared" si="36"/>
        <v>0</v>
      </c>
      <c r="BH213" s="104">
        <f t="shared" si="37"/>
        <v>0</v>
      </c>
      <c r="BI213" s="104">
        <f t="shared" si="38"/>
        <v>0</v>
      </c>
      <c r="BJ213" s="23" t="s">
        <v>85</v>
      </c>
      <c r="BK213" s="104">
        <f t="shared" si="39"/>
        <v>4000</v>
      </c>
      <c r="BL213" s="23" t="s">
        <v>218</v>
      </c>
      <c r="BM213" s="101" t="s">
        <v>1083</v>
      </c>
    </row>
    <row r="214" spans="2:65" s="1" customFormat="1" ht="49.35" customHeight="1">
      <c r="B214" s="12"/>
      <c r="C214" s="71" t="s">
        <v>654</v>
      </c>
      <c r="D214" s="71" t="s">
        <v>214</v>
      </c>
      <c r="E214" s="72" t="s">
        <v>4288</v>
      </c>
      <c r="F214" s="73" t="s">
        <v>4289</v>
      </c>
      <c r="G214" s="74" t="s">
        <v>431</v>
      </c>
      <c r="H214" s="75">
        <v>5</v>
      </c>
      <c r="I214" s="90">
        <v>170</v>
      </c>
      <c r="J214" s="91">
        <f t="shared" si="30"/>
        <v>850</v>
      </c>
      <c r="K214" s="92"/>
      <c r="L214" s="12"/>
      <c r="M214" s="93" t="s">
        <v>1</v>
      </c>
      <c r="N214" s="94" t="s">
        <v>42</v>
      </c>
      <c r="P214" s="95">
        <f t="shared" si="31"/>
        <v>0</v>
      </c>
      <c r="Q214" s="95">
        <v>0</v>
      </c>
      <c r="R214" s="95">
        <f t="shared" si="32"/>
        <v>0</v>
      </c>
      <c r="S214" s="95">
        <v>0</v>
      </c>
      <c r="T214" s="99">
        <f t="shared" si="33"/>
        <v>0</v>
      </c>
      <c r="AR214" s="101" t="s">
        <v>218</v>
      </c>
      <c r="AT214" s="101" t="s">
        <v>214</v>
      </c>
      <c r="AU214" s="101" t="s">
        <v>87</v>
      </c>
      <c r="AY214" s="23" t="s">
        <v>211</v>
      </c>
      <c r="BE214" s="104">
        <f t="shared" si="34"/>
        <v>850</v>
      </c>
      <c r="BF214" s="104">
        <f t="shared" si="35"/>
        <v>0</v>
      </c>
      <c r="BG214" s="104">
        <f t="shared" si="36"/>
        <v>0</v>
      </c>
      <c r="BH214" s="104">
        <f t="shared" si="37"/>
        <v>0</v>
      </c>
      <c r="BI214" s="104">
        <f t="shared" si="38"/>
        <v>0</v>
      </c>
      <c r="BJ214" s="23" t="s">
        <v>85</v>
      </c>
      <c r="BK214" s="104">
        <f t="shared" si="39"/>
        <v>850</v>
      </c>
      <c r="BL214" s="23" t="s">
        <v>218</v>
      </c>
      <c r="BM214" s="101" t="s">
        <v>1098</v>
      </c>
    </row>
    <row r="215" spans="2:65" s="1" customFormat="1" ht="16.5" customHeight="1">
      <c r="B215" s="12"/>
      <c r="C215" s="71" t="s">
        <v>660</v>
      </c>
      <c r="D215" s="71" t="s">
        <v>214</v>
      </c>
      <c r="E215" s="72" t="s">
        <v>4335</v>
      </c>
      <c r="F215" s="73" t="s">
        <v>4336</v>
      </c>
      <c r="G215" s="74" t="s">
        <v>431</v>
      </c>
      <c r="H215" s="75">
        <v>4</v>
      </c>
      <c r="I215" s="90">
        <v>350</v>
      </c>
      <c r="J215" s="91">
        <f t="shared" si="30"/>
        <v>1400</v>
      </c>
      <c r="K215" s="92"/>
      <c r="L215" s="12"/>
      <c r="M215" s="93" t="s">
        <v>1</v>
      </c>
      <c r="N215" s="94" t="s">
        <v>42</v>
      </c>
      <c r="P215" s="95">
        <f t="shared" si="31"/>
        <v>0</v>
      </c>
      <c r="Q215" s="95">
        <v>0</v>
      </c>
      <c r="R215" s="95">
        <f t="shared" si="32"/>
        <v>0</v>
      </c>
      <c r="S215" s="95">
        <v>0</v>
      </c>
      <c r="T215" s="99">
        <f t="shared" si="33"/>
        <v>0</v>
      </c>
      <c r="AR215" s="101" t="s">
        <v>218</v>
      </c>
      <c r="AT215" s="101" t="s">
        <v>214</v>
      </c>
      <c r="AU215" s="101" t="s">
        <v>87</v>
      </c>
      <c r="AY215" s="23" t="s">
        <v>211</v>
      </c>
      <c r="BE215" s="104">
        <f t="shared" si="34"/>
        <v>1400</v>
      </c>
      <c r="BF215" s="104">
        <f t="shared" si="35"/>
        <v>0</v>
      </c>
      <c r="BG215" s="104">
        <f t="shared" si="36"/>
        <v>0</v>
      </c>
      <c r="BH215" s="104">
        <f t="shared" si="37"/>
        <v>0</v>
      </c>
      <c r="BI215" s="104">
        <f t="shared" si="38"/>
        <v>0</v>
      </c>
      <c r="BJ215" s="23" t="s">
        <v>85</v>
      </c>
      <c r="BK215" s="104">
        <f t="shared" si="39"/>
        <v>1400</v>
      </c>
      <c r="BL215" s="23" t="s">
        <v>218</v>
      </c>
      <c r="BM215" s="101" t="s">
        <v>1112</v>
      </c>
    </row>
    <row r="216" spans="2:65" s="1" customFormat="1" ht="16.5" customHeight="1">
      <c r="B216" s="12"/>
      <c r="C216" s="71" t="s">
        <v>665</v>
      </c>
      <c r="D216" s="71" t="s">
        <v>214</v>
      </c>
      <c r="E216" s="72" t="s">
        <v>4309</v>
      </c>
      <c r="F216" s="73" t="s">
        <v>4310</v>
      </c>
      <c r="G216" s="74" t="s">
        <v>431</v>
      </c>
      <c r="H216" s="75">
        <v>7</v>
      </c>
      <c r="I216" s="90">
        <v>200</v>
      </c>
      <c r="J216" s="91">
        <f t="shared" si="30"/>
        <v>1400</v>
      </c>
      <c r="K216" s="92"/>
      <c r="L216" s="12"/>
      <c r="M216" s="93" t="s">
        <v>1</v>
      </c>
      <c r="N216" s="94" t="s">
        <v>42</v>
      </c>
      <c r="P216" s="95">
        <f t="shared" si="31"/>
        <v>0</v>
      </c>
      <c r="Q216" s="95">
        <v>0</v>
      </c>
      <c r="R216" s="95">
        <f t="shared" si="32"/>
        <v>0</v>
      </c>
      <c r="S216" s="95">
        <v>0</v>
      </c>
      <c r="T216" s="99">
        <f t="shared" si="33"/>
        <v>0</v>
      </c>
      <c r="AR216" s="101" t="s">
        <v>218</v>
      </c>
      <c r="AT216" s="101" t="s">
        <v>214</v>
      </c>
      <c r="AU216" s="101" t="s">
        <v>87</v>
      </c>
      <c r="AY216" s="23" t="s">
        <v>211</v>
      </c>
      <c r="BE216" s="104">
        <f t="shared" si="34"/>
        <v>1400</v>
      </c>
      <c r="BF216" s="104">
        <f t="shared" si="35"/>
        <v>0</v>
      </c>
      <c r="BG216" s="104">
        <f t="shared" si="36"/>
        <v>0</v>
      </c>
      <c r="BH216" s="104">
        <f t="shared" si="37"/>
        <v>0</v>
      </c>
      <c r="BI216" s="104">
        <f t="shared" si="38"/>
        <v>0</v>
      </c>
      <c r="BJ216" s="23" t="s">
        <v>85</v>
      </c>
      <c r="BK216" s="104">
        <f t="shared" si="39"/>
        <v>1400</v>
      </c>
      <c r="BL216" s="23" t="s">
        <v>218</v>
      </c>
      <c r="BM216" s="101" t="s">
        <v>1129</v>
      </c>
    </row>
    <row r="217" spans="2:65" s="1" customFormat="1" ht="16.5" customHeight="1">
      <c r="B217" s="12"/>
      <c r="C217" s="71" t="s">
        <v>679</v>
      </c>
      <c r="D217" s="71" t="s">
        <v>214</v>
      </c>
      <c r="E217" s="72" t="s">
        <v>4337</v>
      </c>
      <c r="F217" s="73" t="s">
        <v>4338</v>
      </c>
      <c r="G217" s="74" t="s">
        <v>431</v>
      </c>
      <c r="H217" s="75">
        <v>1</v>
      </c>
      <c r="I217" s="90">
        <v>180</v>
      </c>
      <c r="J217" s="91">
        <f t="shared" si="30"/>
        <v>180</v>
      </c>
      <c r="K217" s="92"/>
      <c r="L217" s="12"/>
      <c r="M217" s="93" t="s">
        <v>1</v>
      </c>
      <c r="N217" s="94" t="s">
        <v>42</v>
      </c>
      <c r="P217" s="95">
        <f t="shared" si="31"/>
        <v>0</v>
      </c>
      <c r="Q217" s="95">
        <v>0</v>
      </c>
      <c r="R217" s="95">
        <f t="shared" si="32"/>
        <v>0</v>
      </c>
      <c r="S217" s="95">
        <v>0</v>
      </c>
      <c r="T217" s="99">
        <f t="shared" si="33"/>
        <v>0</v>
      </c>
      <c r="AR217" s="101" t="s">
        <v>218</v>
      </c>
      <c r="AT217" s="101" t="s">
        <v>214</v>
      </c>
      <c r="AU217" s="101" t="s">
        <v>87</v>
      </c>
      <c r="AY217" s="23" t="s">
        <v>211</v>
      </c>
      <c r="BE217" s="104">
        <f t="shared" si="34"/>
        <v>180</v>
      </c>
      <c r="BF217" s="104">
        <f t="shared" si="35"/>
        <v>0</v>
      </c>
      <c r="BG217" s="104">
        <f t="shared" si="36"/>
        <v>0</v>
      </c>
      <c r="BH217" s="104">
        <f t="shared" si="37"/>
        <v>0</v>
      </c>
      <c r="BI217" s="104">
        <f t="shared" si="38"/>
        <v>0</v>
      </c>
      <c r="BJ217" s="23" t="s">
        <v>85</v>
      </c>
      <c r="BK217" s="104">
        <f t="shared" si="39"/>
        <v>180</v>
      </c>
      <c r="BL217" s="23" t="s">
        <v>218</v>
      </c>
      <c r="BM217" s="101" t="s">
        <v>1141</v>
      </c>
    </row>
    <row r="218" spans="2:65" s="31" customFormat="1" ht="23.1" customHeight="1">
      <c r="B218" s="67"/>
      <c r="D218" s="68" t="s">
        <v>76</v>
      </c>
      <c r="E218" s="70" t="s">
        <v>3873</v>
      </c>
      <c r="F218" s="70" t="s">
        <v>4339</v>
      </c>
      <c r="I218" s="85"/>
      <c r="J218" s="89">
        <f>BK218</f>
        <v>94210</v>
      </c>
      <c r="L218" s="67"/>
      <c r="M218" s="87"/>
      <c r="P218" s="88">
        <f>SUM(P219:P230)</f>
        <v>0</v>
      </c>
      <c r="R218" s="88">
        <f>SUM(R219:R230)</f>
        <v>0</v>
      </c>
      <c r="T218" s="98">
        <f>SUM(T219:T230)</f>
        <v>0</v>
      </c>
      <c r="AR218" s="68" t="s">
        <v>85</v>
      </c>
      <c r="AT218" s="100" t="s">
        <v>76</v>
      </c>
      <c r="AU218" s="100" t="s">
        <v>85</v>
      </c>
      <c r="AY218" s="68" t="s">
        <v>211</v>
      </c>
      <c r="BK218" s="103">
        <f>SUM(BK219:BK230)</f>
        <v>94210</v>
      </c>
    </row>
    <row r="219" spans="2:65" s="1" customFormat="1" ht="16.5" customHeight="1">
      <c r="B219" s="12"/>
      <c r="C219" s="71" t="s">
        <v>694</v>
      </c>
      <c r="D219" s="71" t="s">
        <v>214</v>
      </c>
      <c r="E219" s="72" t="s">
        <v>4340</v>
      </c>
      <c r="F219" s="73" t="s">
        <v>4315</v>
      </c>
      <c r="G219" s="74" t="s">
        <v>808</v>
      </c>
      <c r="H219" s="75">
        <v>1</v>
      </c>
      <c r="I219" s="90">
        <v>58500</v>
      </c>
      <c r="J219" s="91">
        <f>ROUND(I219*H219,2)</f>
        <v>58500</v>
      </c>
      <c r="K219" s="92"/>
      <c r="L219" s="12"/>
      <c r="M219" s="93" t="s">
        <v>1</v>
      </c>
      <c r="N219" s="94" t="s">
        <v>42</v>
      </c>
      <c r="P219" s="95">
        <f>O219*H219</f>
        <v>0</v>
      </c>
      <c r="Q219" s="95">
        <v>0</v>
      </c>
      <c r="R219" s="95">
        <f>Q219*H219</f>
        <v>0</v>
      </c>
      <c r="S219" s="95">
        <v>0</v>
      </c>
      <c r="T219" s="99">
        <f>S219*H219</f>
        <v>0</v>
      </c>
      <c r="AR219" s="101" t="s">
        <v>218</v>
      </c>
      <c r="AT219" s="101" t="s">
        <v>214</v>
      </c>
      <c r="AU219" s="101" t="s">
        <v>87</v>
      </c>
      <c r="AY219" s="23" t="s">
        <v>211</v>
      </c>
      <c r="BE219" s="104">
        <f>IF(N219="základní",J219,0)</f>
        <v>58500</v>
      </c>
      <c r="BF219" s="104">
        <f>IF(N219="snížená",J219,0)</f>
        <v>0</v>
      </c>
      <c r="BG219" s="104">
        <f>IF(N219="zákl. přenesená",J219,0)</f>
        <v>0</v>
      </c>
      <c r="BH219" s="104">
        <f>IF(N219="sníž. přenesená",J219,0)</f>
        <v>0</v>
      </c>
      <c r="BI219" s="104">
        <f>IF(N219="nulová",J219,0)</f>
        <v>0</v>
      </c>
      <c r="BJ219" s="23" t="s">
        <v>85</v>
      </c>
      <c r="BK219" s="104">
        <f>ROUND(I219*H219,2)</f>
        <v>58500</v>
      </c>
      <c r="BL219" s="23" t="s">
        <v>218</v>
      </c>
      <c r="BM219" s="101" t="s">
        <v>1153</v>
      </c>
    </row>
    <row r="220" spans="2:65" s="1" customFormat="1" ht="76.8">
      <c r="B220" s="12"/>
      <c r="D220" s="105" t="s">
        <v>227</v>
      </c>
      <c r="F220" s="106" t="s">
        <v>4341</v>
      </c>
      <c r="I220" s="107"/>
      <c r="L220" s="12"/>
      <c r="M220" s="108"/>
      <c r="T220" s="111"/>
      <c r="AT220" s="23" t="s">
        <v>227</v>
      </c>
      <c r="AU220" s="23" t="s">
        <v>87</v>
      </c>
    </row>
    <row r="221" spans="2:65" s="1" customFormat="1" ht="16.5" customHeight="1">
      <c r="B221" s="12"/>
      <c r="C221" s="71" t="s">
        <v>705</v>
      </c>
      <c r="D221" s="71" t="s">
        <v>214</v>
      </c>
      <c r="E221" s="72" t="s">
        <v>4298</v>
      </c>
      <c r="F221" s="73" t="s">
        <v>4299</v>
      </c>
      <c r="G221" s="74" t="s">
        <v>808</v>
      </c>
      <c r="H221" s="75">
        <v>4</v>
      </c>
      <c r="I221" s="90">
        <v>1760</v>
      </c>
      <c r="J221" s="91">
        <f t="shared" ref="J221:J230" si="40">ROUND(I221*H221,2)</f>
        <v>7040</v>
      </c>
      <c r="K221" s="92"/>
      <c r="L221" s="12"/>
      <c r="M221" s="93" t="s">
        <v>1</v>
      </c>
      <c r="N221" s="94" t="s">
        <v>42</v>
      </c>
      <c r="P221" s="95">
        <f t="shared" ref="P221:P230" si="41">O221*H221</f>
        <v>0</v>
      </c>
      <c r="Q221" s="95">
        <v>0</v>
      </c>
      <c r="R221" s="95">
        <f t="shared" ref="R221:R230" si="42">Q221*H221</f>
        <v>0</v>
      </c>
      <c r="S221" s="95">
        <v>0</v>
      </c>
      <c r="T221" s="99">
        <f t="shared" ref="T221:T230" si="43">S221*H221</f>
        <v>0</v>
      </c>
      <c r="AR221" s="101" t="s">
        <v>218</v>
      </c>
      <c r="AT221" s="101" t="s">
        <v>214</v>
      </c>
      <c r="AU221" s="101" t="s">
        <v>87</v>
      </c>
      <c r="AY221" s="23" t="s">
        <v>211</v>
      </c>
      <c r="BE221" s="104">
        <f t="shared" ref="BE221:BE230" si="44">IF(N221="základní",J221,0)</f>
        <v>7040</v>
      </c>
      <c r="BF221" s="104">
        <f t="shared" ref="BF221:BF230" si="45">IF(N221="snížená",J221,0)</f>
        <v>0</v>
      </c>
      <c r="BG221" s="104">
        <f t="shared" ref="BG221:BG230" si="46">IF(N221="zákl. přenesená",J221,0)</f>
        <v>0</v>
      </c>
      <c r="BH221" s="104">
        <f t="shared" ref="BH221:BH230" si="47">IF(N221="sníž. přenesená",J221,0)</f>
        <v>0</v>
      </c>
      <c r="BI221" s="104">
        <f t="shared" ref="BI221:BI230" si="48">IF(N221="nulová",J221,0)</f>
        <v>0</v>
      </c>
      <c r="BJ221" s="23" t="s">
        <v>85</v>
      </c>
      <c r="BK221" s="104">
        <f t="shared" ref="BK221:BK230" si="49">ROUND(I221*H221,2)</f>
        <v>7040</v>
      </c>
      <c r="BL221" s="23" t="s">
        <v>218</v>
      </c>
      <c r="BM221" s="101" t="s">
        <v>1167</v>
      </c>
    </row>
    <row r="222" spans="2:65" s="1" customFormat="1" ht="16.5" customHeight="1">
      <c r="B222" s="12"/>
      <c r="C222" s="71" t="s">
        <v>713</v>
      </c>
      <c r="D222" s="71" t="s">
        <v>214</v>
      </c>
      <c r="E222" s="72" t="s">
        <v>4342</v>
      </c>
      <c r="F222" s="73" t="s">
        <v>4343</v>
      </c>
      <c r="G222" s="74" t="s">
        <v>808</v>
      </c>
      <c r="H222" s="75">
        <v>4</v>
      </c>
      <c r="I222" s="90">
        <v>2300</v>
      </c>
      <c r="J222" s="91">
        <f t="shared" si="40"/>
        <v>9200</v>
      </c>
      <c r="K222" s="92"/>
      <c r="L222" s="12"/>
      <c r="M222" s="93" t="s">
        <v>1</v>
      </c>
      <c r="N222" s="94" t="s">
        <v>42</v>
      </c>
      <c r="P222" s="95">
        <f t="shared" si="41"/>
        <v>0</v>
      </c>
      <c r="Q222" s="95">
        <v>0</v>
      </c>
      <c r="R222" s="95">
        <f t="shared" si="42"/>
        <v>0</v>
      </c>
      <c r="S222" s="95">
        <v>0</v>
      </c>
      <c r="T222" s="99">
        <f t="shared" si="43"/>
        <v>0</v>
      </c>
      <c r="AR222" s="101" t="s">
        <v>218</v>
      </c>
      <c r="AT222" s="101" t="s">
        <v>214</v>
      </c>
      <c r="AU222" s="101" t="s">
        <v>87</v>
      </c>
      <c r="AY222" s="23" t="s">
        <v>211</v>
      </c>
      <c r="BE222" s="104">
        <f t="shared" si="44"/>
        <v>9200</v>
      </c>
      <c r="BF222" s="104">
        <f t="shared" si="45"/>
        <v>0</v>
      </c>
      <c r="BG222" s="104">
        <f t="shared" si="46"/>
        <v>0</v>
      </c>
      <c r="BH222" s="104">
        <f t="shared" si="47"/>
        <v>0</v>
      </c>
      <c r="BI222" s="104">
        <f t="shared" si="48"/>
        <v>0</v>
      </c>
      <c r="BJ222" s="23" t="s">
        <v>85</v>
      </c>
      <c r="BK222" s="104">
        <f t="shared" si="49"/>
        <v>9200</v>
      </c>
      <c r="BL222" s="23" t="s">
        <v>218</v>
      </c>
      <c r="BM222" s="101" t="s">
        <v>1179</v>
      </c>
    </row>
    <row r="223" spans="2:65" s="1" customFormat="1" ht="16.5" customHeight="1">
      <c r="B223" s="12"/>
      <c r="C223" s="71" t="s">
        <v>722</v>
      </c>
      <c r="D223" s="71" t="s">
        <v>214</v>
      </c>
      <c r="E223" s="72" t="s">
        <v>4329</v>
      </c>
      <c r="F223" s="73" t="s">
        <v>4263</v>
      </c>
      <c r="G223" s="74" t="s">
        <v>808</v>
      </c>
      <c r="H223" s="75">
        <v>2</v>
      </c>
      <c r="I223" s="90">
        <v>200</v>
      </c>
      <c r="J223" s="91">
        <f t="shared" si="40"/>
        <v>400</v>
      </c>
      <c r="K223" s="92"/>
      <c r="L223" s="12"/>
      <c r="M223" s="93" t="s">
        <v>1</v>
      </c>
      <c r="N223" s="94" t="s">
        <v>42</v>
      </c>
      <c r="P223" s="95">
        <f t="shared" si="41"/>
        <v>0</v>
      </c>
      <c r="Q223" s="95">
        <v>0</v>
      </c>
      <c r="R223" s="95">
        <f t="shared" si="42"/>
        <v>0</v>
      </c>
      <c r="S223" s="95">
        <v>0</v>
      </c>
      <c r="T223" s="99">
        <f t="shared" si="43"/>
        <v>0</v>
      </c>
      <c r="AR223" s="101" t="s">
        <v>218</v>
      </c>
      <c r="AT223" s="101" t="s">
        <v>214</v>
      </c>
      <c r="AU223" s="101" t="s">
        <v>87</v>
      </c>
      <c r="AY223" s="23" t="s">
        <v>211</v>
      </c>
      <c r="BE223" s="104">
        <f t="shared" si="44"/>
        <v>400</v>
      </c>
      <c r="BF223" s="104">
        <f t="shared" si="45"/>
        <v>0</v>
      </c>
      <c r="BG223" s="104">
        <f t="shared" si="46"/>
        <v>0</v>
      </c>
      <c r="BH223" s="104">
        <f t="shared" si="47"/>
        <v>0</v>
      </c>
      <c r="BI223" s="104">
        <f t="shared" si="48"/>
        <v>0</v>
      </c>
      <c r="BJ223" s="23" t="s">
        <v>85</v>
      </c>
      <c r="BK223" s="104">
        <f t="shared" si="49"/>
        <v>400</v>
      </c>
      <c r="BL223" s="23" t="s">
        <v>218</v>
      </c>
      <c r="BM223" s="101" t="s">
        <v>1187</v>
      </c>
    </row>
    <row r="224" spans="2:65" s="1" customFormat="1" ht="16.5" customHeight="1">
      <c r="B224" s="12"/>
      <c r="C224" s="71" t="s">
        <v>727</v>
      </c>
      <c r="D224" s="71" t="s">
        <v>214</v>
      </c>
      <c r="E224" s="72" t="s">
        <v>4264</v>
      </c>
      <c r="F224" s="73" t="s">
        <v>4265</v>
      </c>
      <c r="G224" s="74" t="s">
        <v>808</v>
      </c>
      <c r="H224" s="75">
        <v>1</v>
      </c>
      <c r="I224" s="90">
        <v>150</v>
      </c>
      <c r="J224" s="91">
        <f t="shared" si="40"/>
        <v>150</v>
      </c>
      <c r="K224" s="92"/>
      <c r="L224" s="12"/>
      <c r="M224" s="93" t="s">
        <v>1</v>
      </c>
      <c r="N224" s="94" t="s">
        <v>42</v>
      </c>
      <c r="P224" s="95">
        <f t="shared" si="41"/>
        <v>0</v>
      </c>
      <c r="Q224" s="95">
        <v>0</v>
      </c>
      <c r="R224" s="95">
        <f t="shared" si="42"/>
        <v>0</v>
      </c>
      <c r="S224" s="95">
        <v>0</v>
      </c>
      <c r="T224" s="99">
        <f t="shared" si="43"/>
        <v>0</v>
      </c>
      <c r="AR224" s="101" t="s">
        <v>218</v>
      </c>
      <c r="AT224" s="101" t="s">
        <v>214</v>
      </c>
      <c r="AU224" s="101" t="s">
        <v>87</v>
      </c>
      <c r="AY224" s="23" t="s">
        <v>211</v>
      </c>
      <c r="BE224" s="104">
        <f t="shared" si="44"/>
        <v>150</v>
      </c>
      <c r="BF224" s="104">
        <f t="shared" si="45"/>
        <v>0</v>
      </c>
      <c r="BG224" s="104">
        <f t="shared" si="46"/>
        <v>0</v>
      </c>
      <c r="BH224" s="104">
        <f t="shared" si="47"/>
        <v>0</v>
      </c>
      <c r="BI224" s="104">
        <f t="shared" si="48"/>
        <v>0</v>
      </c>
      <c r="BJ224" s="23" t="s">
        <v>85</v>
      </c>
      <c r="BK224" s="104">
        <f t="shared" si="49"/>
        <v>150</v>
      </c>
      <c r="BL224" s="23" t="s">
        <v>218</v>
      </c>
      <c r="BM224" s="101" t="s">
        <v>1195</v>
      </c>
    </row>
    <row r="225" spans="2:65" s="1" customFormat="1" ht="16.5" customHeight="1">
      <c r="B225" s="12"/>
      <c r="C225" s="71" t="s">
        <v>756</v>
      </c>
      <c r="D225" s="71" t="s">
        <v>214</v>
      </c>
      <c r="E225" s="72" t="s">
        <v>4330</v>
      </c>
      <c r="F225" s="73" t="s">
        <v>4331</v>
      </c>
      <c r="G225" s="74" t="s">
        <v>808</v>
      </c>
      <c r="H225" s="75">
        <v>2</v>
      </c>
      <c r="I225" s="90">
        <v>1490</v>
      </c>
      <c r="J225" s="91">
        <f t="shared" si="40"/>
        <v>2980</v>
      </c>
      <c r="K225" s="92"/>
      <c r="L225" s="12"/>
      <c r="M225" s="93" t="s">
        <v>1</v>
      </c>
      <c r="N225" s="94" t="s">
        <v>42</v>
      </c>
      <c r="P225" s="95">
        <f t="shared" si="41"/>
        <v>0</v>
      </c>
      <c r="Q225" s="95">
        <v>0</v>
      </c>
      <c r="R225" s="95">
        <f t="shared" si="42"/>
        <v>0</v>
      </c>
      <c r="S225" s="95">
        <v>0</v>
      </c>
      <c r="T225" s="99">
        <f t="shared" si="43"/>
        <v>0</v>
      </c>
      <c r="AR225" s="101" t="s">
        <v>218</v>
      </c>
      <c r="AT225" s="101" t="s">
        <v>214</v>
      </c>
      <c r="AU225" s="101" t="s">
        <v>87</v>
      </c>
      <c r="AY225" s="23" t="s">
        <v>211</v>
      </c>
      <c r="BE225" s="104">
        <f t="shared" si="44"/>
        <v>2980</v>
      </c>
      <c r="BF225" s="104">
        <f t="shared" si="45"/>
        <v>0</v>
      </c>
      <c r="BG225" s="104">
        <f t="shared" si="46"/>
        <v>0</v>
      </c>
      <c r="BH225" s="104">
        <f t="shared" si="47"/>
        <v>0</v>
      </c>
      <c r="BI225" s="104">
        <f t="shared" si="48"/>
        <v>0</v>
      </c>
      <c r="BJ225" s="23" t="s">
        <v>85</v>
      </c>
      <c r="BK225" s="104">
        <f t="shared" si="49"/>
        <v>2980</v>
      </c>
      <c r="BL225" s="23" t="s">
        <v>218</v>
      </c>
      <c r="BM225" s="101" t="s">
        <v>1211</v>
      </c>
    </row>
    <row r="226" spans="2:65" s="1" customFormat="1" ht="16.5" customHeight="1">
      <c r="B226" s="12"/>
      <c r="C226" s="71" t="s">
        <v>760</v>
      </c>
      <c r="D226" s="71" t="s">
        <v>214</v>
      </c>
      <c r="E226" s="72" t="s">
        <v>4301</v>
      </c>
      <c r="F226" s="73" t="s">
        <v>4302</v>
      </c>
      <c r="G226" s="74" t="s">
        <v>808</v>
      </c>
      <c r="H226" s="75">
        <v>2</v>
      </c>
      <c r="I226" s="90">
        <v>200</v>
      </c>
      <c r="J226" s="91">
        <f t="shared" si="40"/>
        <v>400</v>
      </c>
      <c r="K226" s="92"/>
      <c r="L226" s="12"/>
      <c r="M226" s="93" t="s">
        <v>1</v>
      </c>
      <c r="N226" s="94" t="s">
        <v>42</v>
      </c>
      <c r="P226" s="95">
        <f t="shared" si="41"/>
        <v>0</v>
      </c>
      <c r="Q226" s="95">
        <v>0</v>
      </c>
      <c r="R226" s="95">
        <f t="shared" si="42"/>
        <v>0</v>
      </c>
      <c r="S226" s="95">
        <v>0</v>
      </c>
      <c r="T226" s="99">
        <f t="shared" si="43"/>
        <v>0</v>
      </c>
      <c r="AR226" s="101" t="s">
        <v>218</v>
      </c>
      <c r="AT226" s="101" t="s">
        <v>214</v>
      </c>
      <c r="AU226" s="101" t="s">
        <v>87</v>
      </c>
      <c r="AY226" s="23" t="s">
        <v>211</v>
      </c>
      <c r="BE226" s="104">
        <f t="shared" si="44"/>
        <v>400</v>
      </c>
      <c r="BF226" s="104">
        <f t="shared" si="45"/>
        <v>0</v>
      </c>
      <c r="BG226" s="104">
        <f t="shared" si="46"/>
        <v>0</v>
      </c>
      <c r="BH226" s="104">
        <f t="shared" si="47"/>
        <v>0</v>
      </c>
      <c r="BI226" s="104">
        <f t="shared" si="48"/>
        <v>0</v>
      </c>
      <c r="BJ226" s="23" t="s">
        <v>85</v>
      </c>
      <c r="BK226" s="104">
        <f t="shared" si="49"/>
        <v>400</v>
      </c>
      <c r="BL226" s="23" t="s">
        <v>218</v>
      </c>
      <c r="BM226" s="101" t="s">
        <v>1224</v>
      </c>
    </row>
    <row r="227" spans="2:65" s="1" customFormat="1" ht="49.35" customHeight="1">
      <c r="B227" s="12"/>
      <c r="C227" s="71" t="s">
        <v>805</v>
      </c>
      <c r="D227" s="71" t="s">
        <v>214</v>
      </c>
      <c r="E227" s="72" t="s">
        <v>4284</v>
      </c>
      <c r="F227" s="73" t="s">
        <v>4285</v>
      </c>
      <c r="G227" s="74" t="s">
        <v>431</v>
      </c>
      <c r="H227" s="75">
        <v>48</v>
      </c>
      <c r="I227" s="90">
        <v>250</v>
      </c>
      <c r="J227" s="91">
        <f t="shared" si="40"/>
        <v>12000</v>
      </c>
      <c r="K227" s="92"/>
      <c r="L227" s="12"/>
      <c r="M227" s="93" t="s">
        <v>1</v>
      </c>
      <c r="N227" s="94" t="s">
        <v>42</v>
      </c>
      <c r="P227" s="95">
        <f t="shared" si="41"/>
        <v>0</v>
      </c>
      <c r="Q227" s="95">
        <v>0</v>
      </c>
      <c r="R227" s="95">
        <f t="shared" si="42"/>
        <v>0</v>
      </c>
      <c r="S227" s="95">
        <v>0</v>
      </c>
      <c r="T227" s="99">
        <f t="shared" si="43"/>
        <v>0</v>
      </c>
      <c r="AR227" s="101" t="s">
        <v>218</v>
      </c>
      <c r="AT227" s="101" t="s">
        <v>214</v>
      </c>
      <c r="AU227" s="101" t="s">
        <v>87</v>
      </c>
      <c r="AY227" s="23" t="s">
        <v>211</v>
      </c>
      <c r="BE227" s="104">
        <f t="shared" si="44"/>
        <v>12000</v>
      </c>
      <c r="BF227" s="104">
        <f t="shared" si="45"/>
        <v>0</v>
      </c>
      <c r="BG227" s="104">
        <f t="shared" si="46"/>
        <v>0</v>
      </c>
      <c r="BH227" s="104">
        <f t="shared" si="47"/>
        <v>0</v>
      </c>
      <c r="BI227" s="104">
        <f t="shared" si="48"/>
        <v>0</v>
      </c>
      <c r="BJ227" s="23" t="s">
        <v>85</v>
      </c>
      <c r="BK227" s="104">
        <f t="shared" si="49"/>
        <v>12000</v>
      </c>
      <c r="BL227" s="23" t="s">
        <v>218</v>
      </c>
      <c r="BM227" s="101" t="s">
        <v>1239</v>
      </c>
    </row>
    <row r="228" spans="2:65" s="1" customFormat="1" ht="49.35" customHeight="1">
      <c r="B228" s="12"/>
      <c r="C228" s="71" t="s">
        <v>810</v>
      </c>
      <c r="D228" s="71" t="s">
        <v>214</v>
      </c>
      <c r="E228" s="72" t="s">
        <v>4288</v>
      </c>
      <c r="F228" s="73" t="s">
        <v>4289</v>
      </c>
      <c r="G228" s="74" t="s">
        <v>431</v>
      </c>
      <c r="H228" s="75">
        <v>8</v>
      </c>
      <c r="I228" s="90">
        <v>170</v>
      </c>
      <c r="J228" s="91">
        <f t="shared" si="40"/>
        <v>1360</v>
      </c>
      <c r="K228" s="92"/>
      <c r="L228" s="12"/>
      <c r="M228" s="93" t="s">
        <v>1</v>
      </c>
      <c r="N228" s="94" t="s">
        <v>42</v>
      </c>
      <c r="P228" s="95">
        <f t="shared" si="41"/>
        <v>0</v>
      </c>
      <c r="Q228" s="95">
        <v>0</v>
      </c>
      <c r="R228" s="95">
        <f t="shared" si="42"/>
        <v>0</v>
      </c>
      <c r="S228" s="95">
        <v>0</v>
      </c>
      <c r="T228" s="99">
        <f t="shared" si="43"/>
        <v>0</v>
      </c>
      <c r="AR228" s="101" t="s">
        <v>218</v>
      </c>
      <c r="AT228" s="101" t="s">
        <v>214</v>
      </c>
      <c r="AU228" s="101" t="s">
        <v>87</v>
      </c>
      <c r="AY228" s="23" t="s">
        <v>211</v>
      </c>
      <c r="BE228" s="104">
        <f t="shared" si="44"/>
        <v>1360</v>
      </c>
      <c r="BF228" s="104">
        <f t="shared" si="45"/>
        <v>0</v>
      </c>
      <c r="BG228" s="104">
        <f t="shared" si="46"/>
        <v>0</v>
      </c>
      <c r="BH228" s="104">
        <f t="shared" si="47"/>
        <v>0</v>
      </c>
      <c r="BI228" s="104">
        <f t="shared" si="48"/>
        <v>0</v>
      </c>
      <c r="BJ228" s="23" t="s">
        <v>85</v>
      </c>
      <c r="BK228" s="104">
        <f t="shared" si="49"/>
        <v>1360</v>
      </c>
      <c r="BL228" s="23" t="s">
        <v>218</v>
      </c>
      <c r="BM228" s="101" t="s">
        <v>1260</v>
      </c>
    </row>
    <row r="229" spans="2:65" s="1" customFormat="1" ht="16.5" customHeight="1">
      <c r="B229" s="12"/>
      <c r="C229" s="71" t="s">
        <v>814</v>
      </c>
      <c r="D229" s="71" t="s">
        <v>214</v>
      </c>
      <c r="E229" s="72" t="s">
        <v>4309</v>
      </c>
      <c r="F229" s="73" t="s">
        <v>4310</v>
      </c>
      <c r="G229" s="74" t="s">
        <v>431</v>
      </c>
      <c r="H229" s="75">
        <v>10</v>
      </c>
      <c r="I229" s="90">
        <v>200</v>
      </c>
      <c r="J229" s="91">
        <f t="shared" si="40"/>
        <v>2000</v>
      </c>
      <c r="K229" s="92"/>
      <c r="L229" s="12"/>
      <c r="M229" s="93" t="s">
        <v>1</v>
      </c>
      <c r="N229" s="94" t="s">
        <v>42</v>
      </c>
      <c r="P229" s="95">
        <f t="shared" si="41"/>
        <v>0</v>
      </c>
      <c r="Q229" s="95">
        <v>0</v>
      </c>
      <c r="R229" s="95">
        <f t="shared" si="42"/>
        <v>0</v>
      </c>
      <c r="S229" s="95">
        <v>0</v>
      </c>
      <c r="T229" s="99">
        <f t="shared" si="43"/>
        <v>0</v>
      </c>
      <c r="AR229" s="101" t="s">
        <v>218</v>
      </c>
      <c r="AT229" s="101" t="s">
        <v>214</v>
      </c>
      <c r="AU229" s="101" t="s">
        <v>87</v>
      </c>
      <c r="AY229" s="23" t="s">
        <v>211</v>
      </c>
      <c r="BE229" s="104">
        <f t="shared" si="44"/>
        <v>2000</v>
      </c>
      <c r="BF229" s="104">
        <f t="shared" si="45"/>
        <v>0</v>
      </c>
      <c r="BG229" s="104">
        <f t="shared" si="46"/>
        <v>0</v>
      </c>
      <c r="BH229" s="104">
        <f t="shared" si="47"/>
        <v>0</v>
      </c>
      <c r="BI229" s="104">
        <f t="shared" si="48"/>
        <v>0</v>
      </c>
      <c r="BJ229" s="23" t="s">
        <v>85</v>
      </c>
      <c r="BK229" s="104">
        <f t="shared" si="49"/>
        <v>2000</v>
      </c>
      <c r="BL229" s="23" t="s">
        <v>218</v>
      </c>
      <c r="BM229" s="101" t="s">
        <v>1269</v>
      </c>
    </row>
    <row r="230" spans="2:65" s="1" customFormat="1" ht="16.5" customHeight="1">
      <c r="B230" s="12"/>
      <c r="C230" s="71" t="s">
        <v>818</v>
      </c>
      <c r="D230" s="71" t="s">
        <v>214</v>
      </c>
      <c r="E230" s="72" t="s">
        <v>4337</v>
      </c>
      <c r="F230" s="73" t="s">
        <v>4338</v>
      </c>
      <c r="G230" s="74" t="s">
        <v>431</v>
      </c>
      <c r="H230" s="75">
        <v>1</v>
      </c>
      <c r="I230" s="90">
        <v>180</v>
      </c>
      <c r="J230" s="91">
        <f t="shared" si="40"/>
        <v>180</v>
      </c>
      <c r="K230" s="92"/>
      <c r="L230" s="12"/>
      <c r="M230" s="93" t="s">
        <v>1</v>
      </c>
      <c r="N230" s="94" t="s">
        <v>42</v>
      </c>
      <c r="P230" s="95">
        <f t="shared" si="41"/>
        <v>0</v>
      </c>
      <c r="Q230" s="95">
        <v>0</v>
      </c>
      <c r="R230" s="95">
        <f t="shared" si="42"/>
        <v>0</v>
      </c>
      <c r="S230" s="95">
        <v>0</v>
      </c>
      <c r="T230" s="99">
        <f t="shared" si="43"/>
        <v>0</v>
      </c>
      <c r="AR230" s="101" t="s">
        <v>218</v>
      </c>
      <c r="AT230" s="101" t="s">
        <v>214</v>
      </c>
      <c r="AU230" s="101" t="s">
        <v>87</v>
      </c>
      <c r="AY230" s="23" t="s">
        <v>211</v>
      </c>
      <c r="BE230" s="104">
        <f t="shared" si="44"/>
        <v>180</v>
      </c>
      <c r="BF230" s="104">
        <f t="shared" si="45"/>
        <v>0</v>
      </c>
      <c r="BG230" s="104">
        <f t="shared" si="46"/>
        <v>0</v>
      </c>
      <c r="BH230" s="104">
        <f t="shared" si="47"/>
        <v>0</v>
      </c>
      <c r="BI230" s="104">
        <f t="shared" si="48"/>
        <v>0</v>
      </c>
      <c r="BJ230" s="23" t="s">
        <v>85</v>
      </c>
      <c r="BK230" s="104">
        <f t="shared" si="49"/>
        <v>180</v>
      </c>
      <c r="BL230" s="23" t="s">
        <v>218</v>
      </c>
      <c r="BM230" s="101" t="s">
        <v>1277</v>
      </c>
    </row>
    <row r="231" spans="2:65" s="31" customFormat="1" ht="23.1" customHeight="1">
      <c r="B231" s="67"/>
      <c r="D231" s="68" t="s">
        <v>76</v>
      </c>
      <c r="E231" s="70" t="s">
        <v>3879</v>
      </c>
      <c r="F231" s="70" t="s">
        <v>4344</v>
      </c>
      <c r="I231" s="85"/>
      <c r="J231" s="89">
        <f>BK231</f>
        <v>89790</v>
      </c>
      <c r="L231" s="67"/>
      <c r="M231" s="87"/>
      <c r="P231" s="88">
        <f>SUM(P232:P242)</f>
        <v>0</v>
      </c>
      <c r="R231" s="88">
        <f>SUM(R232:R242)</f>
        <v>0</v>
      </c>
      <c r="T231" s="98">
        <f>SUM(T232:T242)</f>
        <v>0</v>
      </c>
      <c r="AR231" s="68" t="s">
        <v>85</v>
      </c>
      <c r="AT231" s="100" t="s">
        <v>76</v>
      </c>
      <c r="AU231" s="100" t="s">
        <v>85</v>
      </c>
      <c r="AY231" s="68" t="s">
        <v>211</v>
      </c>
      <c r="BK231" s="103">
        <f>SUM(BK232:BK242)</f>
        <v>89790</v>
      </c>
    </row>
    <row r="232" spans="2:65" s="1" customFormat="1" ht="16.5" customHeight="1">
      <c r="B232" s="12"/>
      <c r="C232" s="71" t="s">
        <v>822</v>
      </c>
      <c r="D232" s="71" t="s">
        <v>214</v>
      </c>
      <c r="E232" s="72" t="s">
        <v>4345</v>
      </c>
      <c r="F232" s="73" t="s">
        <v>4315</v>
      </c>
      <c r="G232" s="74" t="s">
        <v>808</v>
      </c>
      <c r="H232" s="75">
        <v>1</v>
      </c>
      <c r="I232" s="90">
        <v>58500</v>
      </c>
      <c r="J232" s="91">
        <f>ROUND(I232*H232,2)</f>
        <v>58500</v>
      </c>
      <c r="K232" s="92"/>
      <c r="L232" s="12"/>
      <c r="M232" s="93" t="s">
        <v>1</v>
      </c>
      <c r="N232" s="94" t="s">
        <v>42</v>
      </c>
      <c r="P232" s="95">
        <f>O232*H232</f>
        <v>0</v>
      </c>
      <c r="Q232" s="95">
        <v>0</v>
      </c>
      <c r="R232" s="95">
        <f>Q232*H232</f>
        <v>0</v>
      </c>
      <c r="S232" s="95">
        <v>0</v>
      </c>
      <c r="T232" s="99">
        <f>S232*H232</f>
        <v>0</v>
      </c>
      <c r="AR232" s="101" t="s">
        <v>218</v>
      </c>
      <c r="AT232" s="101" t="s">
        <v>214</v>
      </c>
      <c r="AU232" s="101" t="s">
        <v>87</v>
      </c>
      <c r="AY232" s="23" t="s">
        <v>211</v>
      </c>
      <c r="BE232" s="104">
        <f>IF(N232="základní",J232,0)</f>
        <v>58500</v>
      </c>
      <c r="BF232" s="104">
        <f>IF(N232="snížená",J232,0)</f>
        <v>0</v>
      </c>
      <c r="BG232" s="104">
        <f>IF(N232="zákl. přenesená",J232,0)</f>
        <v>0</v>
      </c>
      <c r="BH232" s="104">
        <f>IF(N232="sníž. přenesená",J232,0)</f>
        <v>0</v>
      </c>
      <c r="BI232" s="104">
        <f>IF(N232="nulová",J232,0)</f>
        <v>0</v>
      </c>
      <c r="BJ232" s="23" t="s">
        <v>85</v>
      </c>
      <c r="BK232" s="104">
        <f>ROUND(I232*H232,2)</f>
        <v>58500</v>
      </c>
      <c r="BL232" s="23" t="s">
        <v>218</v>
      </c>
      <c r="BM232" s="101" t="s">
        <v>1296</v>
      </c>
    </row>
    <row r="233" spans="2:65" s="1" customFormat="1" ht="76.8">
      <c r="B233" s="12"/>
      <c r="D233" s="105" t="s">
        <v>227</v>
      </c>
      <c r="F233" s="106" t="s">
        <v>4341</v>
      </c>
      <c r="I233" s="107"/>
      <c r="L233" s="12"/>
      <c r="M233" s="108"/>
      <c r="T233" s="111"/>
      <c r="AT233" s="23" t="s">
        <v>227</v>
      </c>
      <c r="AU233" s="23" t="s">
        <v>87</v>
      </c>
    </row>
    <row r="234" spans="2:65" s="1" customFormat="1" ht="16.5" customHeight="1">
      <c r="B234" s="12"/>
      <c r="C234" s="71" t="s">
        <v>826</v>
      </c>
      <c r="D234" s="71" t="s">
        <v>214</v>
      </c>
      <c r="E234" s="72" t="s">
        <v>4298</v>
      </c>
      <c r="F234" s="73" t="s">
        <v>4299</v>
      </c>
      <c r="G234" s="74" t="s">
        <v>808</v>
      </c>
      <c r="H234" s="75">
        <v>7</v>
      </c>
      <c r="I234" s="90">
        <v>1760</v>
      </c>
      <c r="J234" s="91">
        <f t="shared" ref="J234:J242" si="50">ROUND(I234*H234,2)</f>
        <v>12320</v>
      </c>
      <c r="K234" s="92"/>
      <c r="L234" s="12"/>
      <c r="M234" s="93" t="s">
        <v>1</v>
      </c>
      <c r="N234" s="94" t="s">
        <v>42</v>
      </c>
      <c r="P234" s="95">
        <f t="shared" ref="P234:P242" si="51">O234*H234</f>
        <v>0</v>
      </c>
      <c r="Q234" s="95">
        <v>0</v>
      </c>
      <c r="R234" s="95">
        <f t="shared" ref="R234:R242" si="52">Q234*H234</f>
        <v>0</v>
      </c>
      <c r="S234" s="95">
        <v>0</v>
      </c>
      <c r="T234" s="99">
        <f t="shared" ref="T234:T242" si="53">S234*H234</f>
        <v>0</v>
      </c>
      <c r="AR234" s="101" t="s">
        <v>218</v>
      </c>
      <c r="AT234" s="101" t="s">
        <v>214</v>
      </c>
      <c r="AU234" s="101" t="s">
        <v>87</v>
      </c>
      <c r="AY234" s="23" t="s">
        <v>211</v>
      </c>
      <c r="BE234" s="104">
        <f t="shared" ref="BE234:BE242" si="54">IF(N234="základní",J234,0)</f>
        <v>12320</v>
      </c>
      <c r="BF234" s="104">
        <f t="shared" ref="BF234:BF242" si="55">IF(N234="snížená",J234,0)</f>
        <v>0</v>
      </c>
      <c r="BG234" s="104">
        <f t="shared" ref="BG234:BG242" si="56">IF(N234="zákl. přenesená",J234,0)</f>
        <v>0</v>
      </c>
      <c r="BH234" s="104">
        <f t="shared" ref="BH234:BH242" si="57">IF(N234="sníž. přenesená",J234,0)</f>
        <v>0</v>
      </c>
      <c r="BI234" s="104">
        <f t="shared" ref="BI234:BI242" si="58">IF(N234="nulová",J234,0)</f>
        <v>0</v>
      </c>
      <c r="BJ234" s="23" t="s">
        <v>85</v>
      </c>
      <c r="BK234" s="104">
        <f t="shared" ref="BK234:BK242" si="59">ROUND(I234*H234,2)</f>
        <v>12320</v>
      </c>
      <c r="BL234" s="23" t="s">
        <v>218</v>
      </c>
      <c r="BM234" s="101" t="s">
        <v>1312</v>
      </c>
    </row>
    <row r="235" spans="2:65" s="1" customFormat="1" ht="16.5" customHeight="1">
      <c r="B235" s="12"/>
      <c r="C235" s="71" t="s">
        <v>830</v>
      </c>
      <c r="D235" s="71" t="s">
        <v>214</v>
      </c>
      <c r="E235" s="72" t="s">
        <v>4329</v>
      </c>
      <c r="F235" s="73" t="s">
        <v>4263</v>
      </c>
      <c r="G235" s="74" t="s">
        <v>808</v>
      </c>
      <c r="H235" s="75">
        <v>2</v>
      </c>
      <c r="I235" s="90">
        <v>200</v>
      </c>
      <c r="J235" s="91">
        <f t="shared" si="50"/>
        <v>400</v>
      </c>
      <c r="K235" s="92"/>
      <c r="L235" s="12"/>
      <c r="M235" s="93" t="s">
        <v>1</v>
      </c>
      <c r="N235" s="94" t="s">
        <v>42</v>
      </c>
      <c r="P235" s="95">
        <f t="shared" si="51"/>
        <v>0</v>
      </c>
      <c r="Q235" s="95">
        <v>0</v>
      </c>
      <c r="R235" s="95">
        <f t="shared" si="52"/>
        <v>0</v>
      </c>
      <c r="S235" s="95">
        <v>0</v>
      </c>
      <c r="T235" s="99">
        <f t="shared" si="53"/>
        <v>0</v>
      </c>
      <c r="AR235" s="101" t="s">
        <v>218</v>
      </c>
      <c r="AT235" s="101" t="s">
        <v>214</v>
      </c>
      <c r="AU235" s="101" t="s">
        <v>87</v>
      </c>
      <c r="AY235" s="23" t="s">
        <v>211</v>
      </c>
      <c r="BE235" s="104">
        <f t="shared" si="54"/>
        <v>400</v>
      </c>
      <c r="BF235" s="104">
        <f t="shared" si="55"/>
        <v>0</v>
      </c>
      <c r="BG235" s="104">
        <f t="shared" si="56"/>
        <v>0</v>
      </c>
      <c r="BH235" s="104">
        <f t="shared" si="57"/>
        <v>0</v>
      </c>
      <c r="BI235" s="104">
        <f t="shared" si="58"/>
        <v>0</v>
      </c>
      <c r="BJ235" s="23" t="s">
        <v>85</v>
      </c>
      <c r="BK235" s="104">
        <f t="shared" si="59"/>
        <v>400</v>
      </c>
      <c r="BL235" s="23" t="s">
        <v>218</v>
      </c>
      <c r="BM235" s="101" t="s">
        <v>1323</v>
      </c>
    </row>
    <row r="236" spans="2:65" s="1" customFormat="1" ht="16.5" customHeight="1">
      <c r="B236" s="12"/>
      <c r="C236" s="71" t="s">
        <v>834</v>
      </c>
      <c r="D236" s="71" t="s">
        <v>214</v>
      </c>
      <c r="E236" s="72" t="s">
        <v>4264</v>
      </c>
      <c r="F236" s="73" t="s">
        <v>4265</v>
      </c>
      <c r="G236" s="74" t="s">
        <v>808</v>
      </c>
      <c r="H236" s="75">
        <v>1</v>
      </c>
      <c r="I236" s="90">
        <v>150</v>
      </c>
      <c r="J236" s="91">
        <f t="shared" si="50"/>
        <v>150</v>
      </c>
      <c r="K236" s="92"/>
      <c r="L236" s="12"/>
      <c r="M236" s="93" t="s">
        <v>1</v>
      </c>
      <c r="N236" s="94" t="s">
        <v>42</v>
      </c>
      <c r="P236" s="95">
        <f t="shared" si="51"/>
        <v>0</v>
      </c>
      <c r="Q236" s="95">
        <v>0</v>
      </c>
      <c r="R236" s="95">
        <f t="shared" si="52"/>
        <v>0</v>
      </c>
      <c r="S236" s="95">
        <v>0</v>
      </c>
      <c r="T236" s="99">
        <f t="shared" si="53"/>
        <v>0</v>
      </c>
      <c r="AR236" s="101" t="s">
        <v>218</v>
      </c>
      <c r="AT236" s="101" t="s">
        <v>214</v>
      </c>
      <c r="AU236" s="101" t="s">
        <v>87</v>
      </c>
      <c r="AY236" s="23" t="s">
        <v>211</v>
      </c>
      <c r="BE236" s="104">
        <f t="shared" si="54"/>
        <v>150</v>
      </c>
      <c r="BF236" s="104">
        <f t="shared" si="55"/>
        <v>0</v>
      </c>
      <c r="BG236" s="104">
        <f t="shared" si="56"/>
        <v>0</v>
      </c>
      <c r="BH236" s="104">
        <f t="shared" si="57"/>
        <v>0</v>
      </c>
      <c r="BI236" s="104">
        <f t="shared" si="58"/>
        <v>0</v>
      </c>
      <c r="BJ236" s="23" t="s">
        <v>85</v>
      </c>
      <c r="BK236" s="104">
        <f t="shared" si="59"/>
        <v>150</v>
      </c>
      <c r="BL236" s="23" t="s">
        <v>218</v>
      </c>
      <c r="BM236" s="101" t="s">
        <v>1332</v>
      </c>
    </row>
    <row r="237" spans="2:65" s="1" customFormat="1" ht="16.5" customHeight="1">
      <c r="B237" s="12"/>
      <c r="C237" s="71" t="s">
        <v>838</v>
      </c>
      <c r="D237" s="71" t="s">
        <v>214</v>
      </c>
      <c r="E237" s="72" t="s">
        <v>4330</v>
      </c>
      <c r="F237" s="73" t="s">
        <v>4331</v>
      </c>
      <c r="G237" s="74" t="s">
        <v>808</v>
      </c>
      <c r="H237" s="75">
        <v>2</v>
      </c>
      <c r="I237" s="90">
        <v>1490</v>
      </c>
      <c r="J237" s="91">
        <f t="shared" si="50"/>
        <v>2980</v>
      </c>
      <c r="K237" s="92"/>
      <c r="L237" s="12"/>
      <c r="M237" s="93" t="s">
        <v>1</v>
      </c>
      <c r="N237" s="94" t="s">
        <v>42</v>
      </c>
      <c r="P237" s="95">
        <f t="shared" si="51"/>
        <v>0</v>
      </c>
      <c r="Q237" s="95">
        <v>0</v>
      </c>
      <c r="R237" s="95">
        <f t="shared" si="52"/>
        <v>0</v>
      </c>
      <c r="S237" s="95">
        <v>0</v>
      </c>
      <c r="T237" s="99">
        <f t="shared" si="53"/>
        <v>0</v>
      </c>
      <c r="AR237" s="101" t="s">
        <v>218</v>
      </c>
      <c r="AT237" s="101" t="s">
        <v>214</v>
      </c>
      <c r="AU237" s="101" t="s">
        <v>87</v>
      </c>
      <c r="AY237" s="23" t="s">
        <v>211</v>
      </c>
      <c r="BE237" s="104">
        <f t="shared" si="54"/>
        <v>2980</v>
      </c>
      <c r="BF237" s="104">
        <f t="shared" si="55"/>
        <v>0</v>
      </c>
      <c r="BG237" s="104">
        <f t="shared" si="56"/>
        <v>0</v>
      </c>
      <c r="BH237" s="104">
        <f t="shared" si="57"/>
        <v>0</v>
      </c>
      <c r="BI237" s="104">
        <f t="shared" si="58"/>
        <v>0</v>
      </c>
      <c r="BJ237" s="23" t="s">
        <v>85</v>
      </c>
      <c r="BK237" s="104">
        <f t="shared" si="59"/>
        <v>2980</v>
      </c>
      <c r="BL237" s="23" t="s">
        <v>218</v>
      </c>
      <c r="BM237" s="101" t="s">
        <v>1342</v>
      </c>
    </row>
    <row r="238" spans="2:65" s="1" customFormat="1" ht="16.5" customHeight="1">
      <c r="B238" s="12"/>
      <c r="C238" s="71" t="s">
        <v>842</v>
      </c>
      <c r="D238" s="71" t="s">
        <v>214</v>
      </c>
      <c r="E238" s="72" t="s">
        <v>4301</v>
      </c>
      <c r="F238" s="73" t="s">
        <v>4302</v>
      </c>
      <c r="G238" s="74" t="s">
        <v>808</v>
      </c>
      <c r="H238" s="75">
        <v>2</v>
      </c>
      <c r="I238" s="90">
        <v>200</v>
      </c>
      <c r="J238" s="91">
        <f t="shared" si="50"/>
        <v>400</v>
      </c>
      <c r="K238" s="92"/>
      <c r="L238" s="12"/>
      <c r="M238" s="93" t="s">
        <v>1</v>
      </c>
      <c r="N238" s="94" t="s">
        <v>42</v>
      </c>
      <c r="P238" s="95">
        <f t="shared" si="51"/>
        <v>0</v>
      </c>
      <c r="Q238" s="95">
        <v>0</v>
      </c>
      <c r="R238" s="95">
        <f t="shared" si="52"/>
        <v>0</v>
      </c>
      <c r="S238" s="95">
        <v>0</v>
      </c>
      <c r="T238" s="99">
        <f t="shared" si="53"/>
        <v>0</v>
      </c>
      <c r="AR238" s="101" t="s">
        <v>218</v>
      </c>
      <c r="AT238" s="101" t="s">
        <v>214</v>
      </c>
      <c r="AU238" s="101" t="s">
        <v>87</v>
      </c>
      <c r="AY238" s="23" t="s">
        <v>211</v>
      </c>
      <c r="BE238" s="104">
        <f t="shared" si="54"/>
        <v>400</v>
      </c>
      <c r="BF238" s="104">
        <f t="shared" si="55"/>
        <v>0</v>
      </c>
      <c r="BG238" s="104">
        <f t="shared" si="56"/>
        <v>0</v>
      </c>
      <c r="BH238" s="104">
        <f t="shared" si="57"/>
        <v>0</v>
      </c>
      <c r="BI238" s="104">
        <f t="shared" si="58"/>
        <v>0</v>
      </c>
      <c r="BJ238" s="23" t="s">
        <v>85</v>
      </c>
      <c r="BK238" s="104">
        <f t="shared" si="59"/>
        <v>400</v>
      </c>
      <c r="BL238" s="23" t="s">
        <v>218</v>
      </c>
      <c r="BM238" s="101" t="s">
        <v>1352</v>
      </c>
    </row>
    <row r="239" spans="2:65" s="1" customFormat="1" ht="49.35" customHeight="1">
      <c r="B239" s="12"/>
      <c r="C239" s="71" t="s">
        <v>846</v>
      </c>
      <c r="D239" s="71" t="s">
        <v>214</v>
      </c>
      <c r="E239" s="72" t="s">
        <v>4284</v>
      </c>
      <c r="F239" s="73" t="s">
        <v>4285</v>
      </c>
      <c r="G239" s="74" t="s">
        <v>431</v>
      </c>
      <c r="H239" s="75">
        <v>46</v>
      </c>
      <c r="I239" s="90">
        <v>250</v>
      </c>
      <c r="J239" s="91">
        <f t="shared" si="50"/>
        <v>11500</v>
      </c>
      <c r="K239" s="92"/>
      <c r="L239" s="12"/>
      <c r="M239" s="93" t="s">
        <v>1</v>
      </c>
      <c r="N239" s="94" t="s">
        <v>42</v>
      </c>
      <c r="P239" s="95">
        <f t="shared" si="51"/>
        <v>0</v>
      </c>
      <c r="Q239" s="95">
        <v>0</v>
      </c>
      <c r="R239" s="95">
        <f t="shared" si="52"/>
        <v>0</v>
      </c>
      <c r="S239" s="95">
        <v>0</v>
      </c>
      <c r="T239" s="99">
        <f t="shared" si="53"/>
        <v>0</v>
      </c>
      <c r="AR239" s="101" t="s">
        <v>218</v>
      </c>
      <c r="AT239" s="101" t="s">
        <v>214</v>
      </c>
      <c r="AU239" s="101" t="s">
        <v>87</v>
      </c>
      <c r="AY239" s="23" t="s">
        <v>211</v>
      </c>
      <c r="BE239" s="104">
        <f t="shared" si="54"/>
        <v>11500</v>
      </c>
      <c r="BF239" s="104">
        <f t="shared" si="55"/>
        <v>0</v>
      </c>
      <c r="BG239" s="104">
        <f t="shared" si="56"/>
        <v>0</v>
      </c>
      <c r="BH239" s="104">
        <f t="shared" si="57"/>
        <v>0</v>
      </c>
      <c r="BI239" s="104">
        <f t="shared" si="58"/>
        <v>0</v>
      </c>
      <c r="BJ239" s="23" t="s">
        <v>85</v>
      </c>
      <c r="BK239" s="104">
        <f t="shared" si="59"/>
        <v>11500</v>
      </c>
      <c r="BL239" s="23" t="s">
        <v>218</v>
      </c>
      <c r="BM239" s="101" t="s">
        <v>1361</v>
      </c>
    </row>
    <row r="240" spans="2:65" s="1" customFormat="1" ht="49.35" customHeight="1">
      <c r="B240" s="12"/>
      <c r="C240" s="71" t="s">
        <v>850</v>
      </c>
      <c r="D240" s="71" t="s">
        <v>214</v>
      </c>
      <c r="E240" s="72" t="s">
        <v>4288</v>
      </c>
      <c r="F240" s="73" t="s">
        <v>4289</v>
      </c>
      <c r="G240" s="74" t="s">
        <v>431</v>
      </c>
      <c r="H240" s="75">
        <v>8</v>
      </c>
      <c r="I240" s="90">
        <v>170</v>
      </c>
      <c r="J240" s="91">
        <f t="shared" si="50"/>
        <v>1360</v>
      </c>
      <c r="K240" s="92"/>
      <c r="L240" s="12"/>
      <c r="M240" s="93" t="s">
        <v>1</v>
      </c>
      <c r="N240" s="94" t="s">
        <v>42</v>
      </c>
      <c r="P240" s="95">
        <f t="shared" si="51"/>
        <v>0</v>
      </c>
      <c r="Q240" s="95">
        <v>0</v>
      </c>
      <c r="R240" s="95">
        <f t="shared" si="52"/>
        <v>0</v>
      </c>
      <c r="S240" s="95">
        <v>0</v>
      </c>
      <c r="T240" s="99">
        <f t="shared" si="53"/>
        <v>0</v>
      </c>
      <c r="AR240" s="101" t="s">
        <v>218</v>
      </c>
      <c r="AT240" s="101" t="s">
        <v>214</v>
      </c>
      <c r="AU240" s="101" t="s">
        <v>87</v>
      </c>
      <c r="AY240" s="23" t="s">
        <v>211</v>
      </c>
      <c r="BE240" s="104">
        <f t="shared" si="54"/>
        <v>1360</v>
      </c>
      <c r="BF240" s="104">
        <f t="shared" si="55"/>
        <v>0</v>
      </c>
      <c r="BG240" s="104">
        <f t="shared" si="56"/>
        <v>0</v>
      </c>
      <c r="BH240" s="104">
        <f t="shared" si="57"/>
        <v>0</v>
      </c>
      <c r="BI240" s="104">
        <f t="shared" si="58"/>
        <v>0</v>
      </c>
      <c r="BJ240" s="23" t="s">
        <v>85</v>
      </c>
      <c r="BK240" s="104">
        <f t="shared" si="59"/>
        <v>1360</v>
      </c>
      <c r="BL240" s="23" t="s">
        <v>218</v>
      </c>
      <c r="BM240" s="101" t="s">
        <v>1370</v>
      </c>
    </row>
    <row r="241" spans="2:65" s="1" customFormat="1" ht="16.5" customHeight="1">
      <c r="B241" s="12"/>
      <c r="C241" s="71" t="s">
        <v>854</v>
      </c>
      <c r="D241" s="71" t="s">
        <v>214</v>
      </c>
      <c r="E241" s="72" t="s">
        <v>4309</v>
      </c>
      <c r="F241" s="73" t="s">
        <v>4310</v>
      </c>
      <c r="G241" s="74" t="s">
        <v>431</v>
      </c>
      <c r="H241" s="75">
        <v>10</v>
      </c>
      <c r="I241" s="90">
        <v>200</v>
      </c>
      <c r="J241" s="91">
        <f t="shared" si="50"/>
        <v>2000</v>
      </c>
      <c r="K241" s="92"/>
      <c r="L241" s="12"/>
      <c r="M241" s="93" t="s">
        <v>1</v>
      </c>
      <c r="N241" s="94" t="s">
        <v>42</v>
      </c>
      <c r="P241" s="95">
        <f t="shared" si="51"/>
        <v>0</v>
      </c>
      <c r="Q241" s="95">
        <v>0</v>
      </c>
      <c r="R241" s="95">
        <f t="shared" si="52"/>
        <v>0</v>
      </c>
      <c r="S241" s="95">
        <v>0</v>
      </c>
      <c r="T241" s="99">
        <f t="shared" si="53"/>
        <v>0</v>
      </c>
      <c r="AR241" s="101" t="s">
        <v>218</v>
      </c>
      <c r="AT241" s="101" t="s">
        <v>214</v>
      </c>
      <c r="AU241" s="101" t="s">
        <v>87</v>
      </c>
      <c r="AY241" s="23" t="s">
        <v>211</v>
      </c>
      <c r="BE241" s="104">
        <f t="shared" si="54"/>
        <v>2000</v>
      </c>
      <c r="BF241" s="104">
        <f t="shared" si="55"/>
        <v>0</v>
      </c>
      <c r="BG241" s="104">
        <f t="shared" si="56"/>
        <v>0</v>
      </c>
      <c r="BH241" s="104">
        <f t="shared" si="57"/>
        <v>0</v>
      </c>
      <c r="BI241" s="104">
        <f t="shared" si="58"/>
        <v>0</v>
      </c>
      <c r="BJ241" s="23" t="s">
        <v>85</v>
      </c>
      <c r="BK241" s="104">
        <f t="shared" si="59"/>
        <v>2000</v>
      </c>
      <c r="BL241" s="23" t="s">
        <v>218</v>
      </c>
      <c r="BM241" s="101" t="s">
        <v>1378</v>
      </c>
    </row>
    <row r="242" spans="2:65" s="1" customFormat="1" ht="16.5" customHeight="1">
      <c r="B242" s="12"/>
      <c r="C242" s="71" t="s">
        <v>858</v>
      </c>
      <c r="D242" s="71" t="s">
        <v>214</v>
      </c>
      <c r="E242" s="72" t="s">
        <v>4337</v>
      </c>
      <c r="F242" s="73" t="s">
        <v>4338</v>
      </c>
      <c r="G242" s="74" t="s">
        <v>431</v>
      </c>
      <c r="H242" s="75">
        <v>1</v>
      </c>
      <c r="I242" s="90">
        <v>180</v>
      </c>
      <c r="J242" s="91">
        <f t="shared" si="50"/>
        <v>180</v>
      </c>
      <c r="K242" s="92"/>
      <c r="L242" s="12"/>
      <c r="M242" s="93" t="s">
        <v>1</v>
      </c>
      <c r="N242" s="94" t="s">
        <v>42</v>
      </c>
      <c r="P242" s="95">
        <f t="shared" si="51"/>
        <v>0</v>
      </c>
      <c r="Q242" s="95">
        <v>0</v>
      </c>
      <c r="R242" s="95">
        <f t="shared" si="52"/>
        <v>0</v>
      </c>
      <c r="S242" s="95">
        <v>0</v>
      </c>
      <c r="T242" s="99">
        <f t="shared" si="53"/>
        <v>0</v>
      </c>
      <c r="AR242" s="101" t="s">
        <v>218</v>
      </c>
      <c r="AT242" s="101" t="s">
        <v>214</v>
      </c>
      <c r="AU242" s="101" t="s">
        <v>87</v>
      </c>
      <c r="AY242" s="23" t="s">
        <v>211</v>
      </c>
      <c r="BE242" s="104">
        <f t="shared" si="54"/>
        <v>180</v>
      </c>
      <c r="BF242" s="104">
        <f t="shared" si="55"/>
        <v>0</v>
      </c>
      <c r="BG242" s="104">
        <f t="shared" si="56"/>
        <v>0</v>
      </c>
      <c r="BH242" s="104">
        <f t="shared" si="57"/>
        <v>0</v>
      </c>
      <c r="BI242" s="104">
        <f t="shared" si="58"/>
        <v>0</v>
      </c>
      <c r="BJ242" s="23" t="s">
        <v>85</v>
      </c>
      <c r="BK242" s="104">
        <f t="shared" si="59"/>
        <v>180</v>
      </c>
      <c r="BL242" s="23" t="s">
        <v>218</v>
      </c>
      <c r="BM242" s="101" t="s">
        <v>1387</v>
      </c>
    </row>
    <row r="243" spans="2:65" s="31" customFormat="1" ht="23.1" customHeight="1">
      <c r="B243" s="67"/>
      <c r="D243" s="68" t="s">
        <v>76</v>
      </c>
      <c r="E243" s="70" t="s">
        <v>3886</v>
      </c>
      <c r="F243" s="70" t="s">
        <v>4346</v>
      </c>
      <c r="I243" s="85"/>
      <c r="J243" s="89">
        <f>BK243</f>
        <v>9290</v>
      </c>
      <c r="L243" s="67"/>
      <c r="M243" s="87"/>
      <c r="P243" s="88">
        <f>SUM(P244:P248)</f>
        <v>0</v>
      </c>
      <c r="R243" s="88">
        <f>SUM(R244:R248)</f>
        <v>0</v>
      </c>
      <c r="T243" s="98">
        <f>SUM(T244:T248)</f>
        <v>0</v>
      </c>
      <c r="AR243" s="68" t="s">
        <v>85</v>
      </c>
      <c r="AT243" s="100" t="s">
        <v>76</v>
      </c>
      <c r="AU243" s="100" t="s">
        <v>85</v>
      </c>
      <c r="AY243" s="68" t="s">
        <v>211</v>
      </c>
      <c r="BK243" s="103">
        <f>SUM(BK244:BK248)</f>
        <v>9290</v>
      </c>
    </row>
    <row r="244" spans="2:65" s="1" customFormat="1" ht="24.15" customHeight="1">
      <c r="B244" s="12"/>
      <c r="C244" s="71" t="s">
        <v>862</v>
      </c>
      <c r="D244" s="71" t="s">
        <v>214</v>
      </c>
      <c r="E244" s="72" t="s">
        <v>4347</v>
      </c>
      <c r="F244" s="73" t="s">
        <v>4348</v>
      </c>
      <c r="G244" s="74" t="s">
        <v>808</v>
      </c>
      <c r="H244" s="75">
        <v>1</v>
      </c>
      <c r="I244" s="90">
        <v>6500</v>
      </c>
      <c r="J244" s="91">
        <f>ROUND(I244*H244,2)</f>
        <v>6500</v>
      </c>
      <c r="K244" s="92"/>
      <c r="L244" s="12"/>
      <c r="M244" s="93" t="s">
        <v>1</v>
      </c>
      <c r="N244" s="94" t="s">
        <v>42</v>
      </c>
      <c r="P244" s="95">
        <f>O244*H244</f>
        <v>0</v>
      </c>
      <c r="Q244" s="95">
        <v>0</v>
      </c>
      <c r="R244" s="95">
        <f>Q244*H244</f>
        <v>0</v>
      </c>
      <c r="S244" s="95">
        <v>0</v>
      </c>
      <c r="T244" s="99">
        <f>S244*H244</f>
        <v>0</v>
      </c>
      <c r="AR244" s="101" t="s">
        <v>218</v>
      </c>
      <c r="AT244" s="101" t="s">
        <v>214</v>
      </c>
      <c r="AU244" s="101" t="s">
        <v>87</v>
      </c>
      <c r="AY244" s="23" t="s">
        <v>211</v>
      </c>
      <c r="BE244" s="104">
        <f>IF(N244="základní",J244,0)</f>
        <v>6500</v>
      </c>
      <c r="BF244" s="104">
        <f>IF(N244="snížená",J244,0)</f>
        <v>0</v>
      </c>
      <c r="BG244" s="104">
        <f>IF(N244="zákl. přenesená",J244,0)</f>
        <v>0</v>
      </c>
      <c r="BH244" s="104">
        <f>IF(N244="sníž. přenesená",J244,0)</f>
        <v>0</v>
      </c>
      <c r="BI244" s="104">
        <f>IF(N244="nulová",J244,0)</f>
        <v>0</v>
      </c>
      <c r="BJ244" s="23" t="s">
        <v>85</v>
      </c>
      <c r="BK244" s="104">
        <f>ROUND(I244*H244,2)</f>
        <v>6500</v>
      </c>
      <c r="BL244" s="23" t="s">
        <v>218</v>
      </c>
      <c r="BM244" s="101" t="s">
        <v>1394</v>
      </c>
    </row>
    <row r="245" spans="2:65" s="1" customFormat="1" ht="16.5" customHeight="1">
      <c r="B245" s="12"/>
      <c r="C245" s="71" t="s">
        <v>874</v>
      </c>
      <c r="D245" s="71" t="s">
        <v>214</v>
      </c>
      <c r="E245" s="72" t="s">
        <v>4349</v>
      </c>
      <c r="F245" s="73" t="s">
        <v>4350</v>
      </c>
      <c r="G245" s="74" t="s">
        <v>808</v>
      </c>
      <c r="H245" s="75">
        <v>1</v>
      </c>
      <c r="I245" s="90">
        <v>450</v>
      </c>
      <c r="J245" s="91">
        <f>ROUND(I245*H245,2)</f>
        <v>450</v>
      </c>
      <c r="K245" s="92"/>
      <c r="L245" s="12"/>
      <c r="M245" s="93" t="s">
        <v>1</v>
      </c>
      <c r="N245" s="94" t="s">
        <v>42</v>
      </c>
      <c r="P245" s="95">
        <f>O245*H245</f>
        <v>0</v>
      </c>
      <c r="Q245" s="95">
        <v>0</v>
      </c>
      <c r="R245" s="95">
        <f>Q245*H245</f>
        <v>0</v>
      </c>
      <c r="S245" s="95">
        <v>0</v>
      </c>
      <c r="T245" s="99">
        <f>S245*H245</f>
        <v>0</v>
      </c>
      <c r="AR245" s="101" t="s">
        <v>218</v>
      </c>
      <c r="AT245" s="101" t="s">
        <v>214</v>
      </c>
      <c r="AU245" s="101" t="s">
        <v>87</v>
      </c>
      <c r="AY245" s="23" t="s">
        <v>211</v>
      </c>
      <c r="BE245" s="104">
        <f>IF(N245="základní",J245,0)</f>
        <v>450</v>
      </c>
      <c r="BF245" s="104">
        <f>IF(N245="snížená",J245,0)</f>
        <v>0</v>
      </c>
      <c r="BG245" s="104">
        <f>IF(N245="zákl. přenesená",J245,0)</f>
        <v>0</v>
      </c>
      <c r="BH245" s="104">
        <f>IF(N245="sníž. přenesená",J245,0)</f>
        <v>0</v>
      </c>
      <c r="BI245" s="104">
        <f>IF(N245="nulová",J245,0)</f>
        <v>0</v>
      </c>
      <c r="BJ245" s="23" t="s">
        <v>85</v>
      </c>
      <c r="BK245" s="104">
        <f>ROUND(I245*H245,2)</f>
        <v>450</v>
      </c>
      <c r="BL245" s="23" t="s">
        <v>218</v>
      </c>
      <c r="BM245" s="101" t="s">
        <v>1401</v>
      </c>
    </row>
    <row r="246" spans="2:65" s="1" customFormat="1" ht="49.35" customHeight="1">
      <c r="B246" s="12"/>
      <c r="C246" s="71" t="s">
        <v>883</v>
      </c>
      <c r="D246" s="71" t="s">
        <v>214</v>
      </c>
      <c r="E246" s="72" t="s">
        <v>4351</v>
      </c>
      <c r="F246" s="73" t="s">
        <v>4352</v>
      </c>
      <c r="G246" s="74" t="s">
        <v>431</v>
      </c>
      <c r="H246" s="75">
        <v>2</v>
      </c>
      <c r="I246" s="90">
        <v>160</v>
      </c>
      <c r="J246" s="91">
        <f>ROUND(I246*H246,2)</f>
        <v>320</v>
      </c>
      <c r="K246" s="92"/>
      <c r="L246" s="12"/>
      <c r="M246" s="93" t="s">
        <v>1</v>
      </c>
      <c r="N246" s="94" t="s">
        <v>42</v>
      </c>
      <c r="P246" s="95">
        <f>O246*H246</f>
        <v>0</v>
      </c>
      <c r="Q246" s="95">
        <v>0</v>
      </c>
      <c r="R246" s="95">
        <f>Q246*H246</f>
        <v>0</v>
      </c>
      <c r="S246" s="95">
        <v>0</v>
      </c>
      <c r="T246" s="99">
        <f>S246*H246</f>
        <v>0</v>
      </c>
      <c r="AR246" s="101" t="s">
        <v>218</v>
      </c>
      <c r="AT246" s="101" t="s">
        <v>214</v>
      </c>
      <c r="AU246" s="101" t="s">
        <v>87</v>
      </c>
      <c r="AY246" s="23" t="s">
        <v>211</v>
      </c>
      <c r="BE246" s="104">
        <f>IF(N246="základní",J246,0)</f>
        <v>320</v>
      </c>
      <c r="BF246" s="104">
        <f>IF(N246="snížená",J246,0)</f>
        <v>0</v>
      </c>
      <c r="BG246" s="104">
        <f>IF(N246="zákl. přenesená",J246,0)</f>
        <v>0</v>
      </c>
      <c r="BH246" s="104">
        <f>IF(N246="sníž. přenesená",J246,0)</f>
        <v>0</v>
      </c>
      <c r="BI246" s="104">
        <f>IF(N246="nulová",J246,0)</f>
        <v>0</v>
      </c>
      <c r="BJ246" s="23" t="s">
        <v>85</v>
      </c>
      <c r="BK246" s="104">
        <f>ROUND(I246*H246,2)</f>
        <v>320</v>
      </c>
      <c r="BL246" s="23" t="s">
        <v>218</v>
      </c>
      <c r="BM246" s="101" t="s">
        <v>1408</v>
      </c>
    </row>
    <row r="247" spans="2:65" s="1" customFormat="1" ht="49.35" customHeight="1">
      <c r="B247" s="12"/>
      <c r="C247" s="71" t="s">
        <v>895</v>
      </c>
      <c r="D247" s="71" t="s">
        <v>214</v>
      </c>
      <c r="E247" s="72" t="s">
        <v>4288</v>
      </c>
      <c r="F247" s="73" t="s">
        <v>4289</v>
      </c>
      <c r="G247" s="74" t="s">
        <v>431</v>
      </c>
      <c r="H247" s="75">
        <v>10</v>
      </c>
      <c r="I247" s="90">
        <v>170</v>
      </c>
      <c r="J247" s="91">
        <f>ROUND(I247*H247,2)</f>
        <v>1700</v>
      </c>
      <c r="K247" s="92"/>
      <c r="L247" s="12"/>
      <c r="M247" s="93" t="s">
        <v>1</v>
      </c>
      <c r="N247" s="94" t="s">
        <v>42</v>
      </c>
      <c r="P247" s="95">
        <f>O247*H247</f>
        <v>0</v>
      </c>
      <c r="Q247" s="95">
        <v>0</v>
      </c>
      <c r="R247" s="95">
        <f>Q247*H247</f>
        <v>0</v>
      </c>
      <c r="S247" s="95">
        <v>0</v>
      </c>
      <c r="T247" s="99">
        <f>S247*H247</f>
        <v>0</v>
      </c>
      <c r="AR247" s="101" t="s">
        <v>218</v>
      </c>
      <c r="AT247" s="101" t="s">
        <v>214</v>
      </c>
      <c r="AU247" s="101" t="s">
        <v>87</v>
      </c>
      <c r="AY247" s="23" t="s">
        <v>211</v>
      </c>
      <c r="BE247" s="104">
        <f>IF(N247="základní",J247,0)</f>
        <v>1700</v>
      </c>
      <c r="BF247" s="104">
        <f>IF(N247="snížená",J247,0)</f>
        <v>0</v>
      </c>
      <c r="BG247" s="104">
        <f>IF(N247="zákl. přenesená",J247,0)</f>
        <v>0</v>
      </c>
      <c r="BH247" s="104">
        <f>IF(N247="sníž. přenesená",J247,0)</f>
        <v>0</v>
      </c>
      <c r="BI247" s="104">
        <f>IF(N247="nulová",J247,0)</f>
        <v>0</v>
      </c>
      <c r="BJ247" s="23" t="s">
        <v>85</v>
      </c>
      <c r="BK247" s="104">
        <f>ROUND(I247*H247,2)</f>
        <v>1700</v>
      </c>
      <c r="BL247" s="23" t="s">
        <v>218</v>
      </c>
      <c r="BM247" s="101" t="s">
        <v>1415</v>
      </c>
    </row>
    <row r="248" spans="2:65" s="1" customFormat="1" ht="16.5" customHeight="1">
      <c r="B248" s="12"/>
      <c r="C248" s="71" t="s">
        <v>905</v>
      </c>
      <c r="D248" s="71" t="s">
        <v>214</v>
      </c>
      <c r="E248" s="72" t="s">
        <v>4353</v>
      </c>
      <c r="F248" s="73" t="s">
        <v>4354</v>
      </c>
      <c r="G248" s="74" t="s">
        <v>431</v>
      </c>
      <c r="H248" s="75">
        <v>2</v>
      </c>
      <c r="I248" s="90">
        <v>160</v>
      </c>
      <c r="J248" s="91">
        <f>ROUND(I248*H248,2)</f>
        <v>320</v>
      </c>
      <c r="K248" s="92"/>
      <c r="L248" s="12"/>
      <c r="M248" s="93" t="s">
        <v>1</v>
      </c>
      <c r="N248" s="94" t="s">
        <v>42</v>
      </c>
      <c r="P248" s="95">
        <f>O248*H248</f>
        <v>0</v>
      </c>
      <c r="Q248" s="95">
        <v>0</v>
      </c>
      <c r="R248" s="95">
        <f>Q248*H248</f>
        <v>0</v>
      </c>
      <c r="S248" s="95">
        <v>0</v>
      </c>
      <c r="T248" s="99">
        <f>S248*H248</f>
        <v>0</v>
      </c>
      <c r="AR248" s="101" t="s">
        <v>218</v>
      </c>
      <c r="AT248" s="101" t="s">
        <v>214</v>
      </c>
      <c r="AU248" s="101" t="s">
        <v>87</v>
      </c>
      <c r="AY248" s="23" t="s">
        <v>211</v>
      </c>
      <c r="BE248" s="104">
        <f>IF(N248="základní",J248,0)</f>
        <v>320</v>
      </c>
      <c r="BF248" s="104">
        <f>IF(N248="snížená",J248,0)</f>
        <v>0</v>
      </c>
      <c r="BG248" s="104">
        <f>IF(N248="zákl. přenesená",J248,0)</f>
        <v>0</v>
      </c>
      <c r="BH248" s="104">
        <f>IF(N248="sníž. přenesená",J248,0)</f>
        <v>0</v>
      </c>
      <c r="BI248" s="104">
        <f>IF(N248="nulová",J248,0)</f>
        <v>0</v>
      </c>
      <c r="BJ248" s="23" t="s">
        <v>85</v>
      </c>
      <c r="BK248" s="104">
        <f>ROUND(I248*H248,2)</f>
        <v>320</v>
      </c>
      <c r="BL248" s="23" t="s">
        <v>218</v>
      </c>
      <c r="BM248" s="101" t="s">
        <v>1423</v>
      </c>
    </row>
    <row r="249" spans="2:65" s="31" customFormat="1" ht="23.1" customHeight="1">
      <c r="B249" s="67"/>
      <c r="D249" s="68" t="s">
        <v>76</v>
      </c>
      <c r="E249" s="70" t="s">
        <v>3896</v>
      </c>
      <c r="F249" s="70" t="s">
        <v>4355</v>
      </c>
      <c r="I249" s="85"/>
      <c r="J249" s="89">
        <f>BK249</f>
        <v>8960</v>
      </c>
      <c r="L249" s="67"/>
      <c r="M249" s="87"/>
      <c r="P249" s="88">
        <f>SUM(P250:P254)</f>
        <v>0</v>
      </c>
      <c r="R249" s="88">
        <f>SUM(R250:R254)</f>
        <v>0</v>
      </c>
      <c r="T249" s="98">
        <f>SUM(T250:T254)</f>
        <v>0</v>
      </c>
      <c r="AR249" s="68" t="s">
        <v>85</v>
      </c>
      <c r="AT249" s="100" t="s">
        <v>76</v>
      </c>
      <c r="AU249" s="100" t="s">
        <v>85</v>
      </c>
      <c r="AY249" s="68" t="s">
        <v>211</v>
      </c>
      <c r="BK249" s="103">
        <f>SUM(BK250:BK254)</f>
        <v>8960</v>
      </c>
    </row>
    <row r="250" spans="2:65" s="1" customFormat="1" ht="24.15" customHeight="1">
      <c r="B250" s="12"/>
      <c r="C250" s="71" t="s">
        <v>913</v>
      </c>
      <c r="D250" s="71" t="s">
        <v>214</v>
      </c>
      <c r="E250" s="72" t="s">
        <v>4356</v>
      </c>
      <c r="F250" s="73" t="s">
        <v>4348</v>
      </c>
      <c r="G250" s="74" t="s">
        <v>808</v>
      </c>
      <c r="H250" s="75">
        <v>1</v>
      </c>
      <c r="I250" s="90">
        <v>6500</v>
      </c>
      <c r="J250" s="91">
        <f>ROUND(I250*H250,2)</f>
        <v>6500</v>
      </c>
      <c r="K250" s="92"/>
      <c r="L250" s="12"/>
      <c r="M250" s="93" t="s">
        <v>1</v>
      </c>
      <c r="N250" s="94" t="s">
        <v>42</v>
      </c>
      <c r="P250" s="95">
        <f>O250*H250</f>
        <v>0</v>
      </c>
      <c r="Q250" s="95">
        <v>0</v>
      </c>
      <c r="R250" s="95">
        <f>Q250*H250</f>
        <v>0</v>
      </c>
      <c r="S250" s="95">
        <v>0</v>
      </c>
      <c r="T250" s="99">
        <f>S250*H250</f>
        <v>0</v>
      </c>
      <c r="AR250" s="101" t="s">
        <v>218</v>
      </c>
      <c r="AT250" s="101" t="s">
        <v>214</v>
      </c>
      <c r="AU250" s="101" t="s">
        <v>87</v>
      </c>
      <c r="AY250" s="23" t="s">
        <v>211</v>
      </c>
      <c r="BE250" s="104">
        <f>IF(N250="základní",J250,0)</f>
        <v>6500</v>
      </c>
      <c r="BF250" s="104">
        <f>IF(N250="snížená",J250,0)</f>
        <v>0</v>
      </c>
      <c r="BG250" s="104">
        <f>IF(N250="zákl. přenesená",J250,0)</f>
        <v>0</v>
      </c>
      <c r="BH250" s="104">
        <f>IF(N250="sníž. přenesená",J250,0)</f>
        <v>0</v>
      </c>
      <c r="BI250" s="104">
        <f>IF(N250="nulová",J250,0)</f>
        <v>0</v>
      </c>
      <c r="BJ250" s="23" t="s">
        <v>85</v>
      </c>
      <c r="BK250" s="104">
        <f>ROUND(I250*H250,2)</f>
        <v>6500</v>
      </c>
      <c r="BL250" s="23" t="s">
        <v>218</v>
      </c>
      <c r="BM250" s="101" t="s">
        <v>1433</v>
      </c>
    </row>
    <row r="251" spans="2:65" s="1" customFormat="1" ht="16.5" customHeight="1">
      <c r="B251" s="12"/>
      <c r="C251" s="71" t="s">
        <v>919</v>
      </c>
      <c r="D251" s="71" t="s">
        <v>214</v>
      </c>
      <c r="E251" s="72" t="s">
        <v>4349</v>
      </c>
      <c r="F251" s="73" t="s">
        <v>4350</v>
      </c>
      <c r="G251" s="74" t="s">
        <v>808</v>
      </c>
      <c r="H251" s="75">
        <v>1</v>
      </c>
      <c r="I251" s="90">
        <v>450</v>
      </c>
      <c r="J251" s="91">
        <f>ROUND(I251*H251,2)</f>
        <v>450</v>
      </c>
      <c r="K251" s="92"/>
      <c r="L251" s="12"/>
      <c r="M251" s="93" t="s">
        <v>1</v>
      </c>
      <c r="N251" s="94" t="s">
        <v>42</v>
      </c>
      <c r="P251" s="95">
        <f>O251*H251</f>
        <v>0</v>
      </c>
      <c r="Q251" s="95">
        <v>0</v>
      </c>
      <c r="R251" s="95">
        <f>Q251*H251</f>
        <v>0</v>
      </c>
      <c r="S251" s="95">
        <v>0</v>
      </c>
      <c r="T251" s="99">
        <f>S251*H251</f>
        <v>0</v>
      </c>
      <c r="AR251" s="101" t="s">
        <v>218</v>
      </c>
      <c r="AT251" s="101" t="s">
        <v>214</v>
      </c>
      <c r="AU251" s="101" t="s">
        <v>87</v>
      </c>
      <c r="AY251" s="23" t="s">
        <v>211</v>
      </c>
      <c r="BE251" s="104">
        <f>IF(N251="základní",J251,0)</f>
        <v>450</v>
      </c>
      <c r="BF251" s="104">
        <f>IF(N251="snížená",J251,0)</f>
        <v>0</v>
      </c>
      <c r="BG251" s="104">
        <f>IF(N251="zákl. přenesená",J251,0)</f>
        <v>0</v>
      </c>
      <c r="BH251" s="104">
        <f>IF(N251="sníž. přenesená",J251,0)</f>
        <v>0</v>
      </c>
      <c r="BI251" s="104">
        <f>IF(N251="nulová",J251,0)</f>
        <v>0</v>
      </c>
      <c r="BJ251" s="23" t="s">
        <v>85</v>
      </c>
      <c r="BK251" s="104">
        <f>ROUND(I251*H251,2)</f>
        <v>450</v>
      </c>
      <c r="BL251" s="23" t="s">
        <v>218</v>
      </c>
      <c r="BM251" s="101" t="s">
        <v>1441</v>
      </c>
    </row>
    <row r="252" spans="2:65" s="1" customFormat="1" ht="49.35" customHeight="1">
      <c r="B252" s="12"/>
      <c r="C252" s="71" t="s">
        <v>927</v>
      </c>
      <c r="D252" s="71" t="s">
        <v>214</v>
      </c>
      <c r="E252" s="72" t="s">
        <v>4351</v>
      </c>
      <c r="F252" s="73" t="s">
        <v>4352</v>
      </c>
      <c r="G252" s="74" t="s">
        <v>431</v>
      </c>
      <c r="H252" s="75">
        <v>2</v>
      </c>
      <c r="I252" s="90">
        <v>160</v>
      </c>
      <c r="J252" s="91">
        <f>ROUND(I252*H252,2)</f>
        <v>320</v>
      </c>
      <c r="K252" s="92"/>
      <c r="L252" s="12"/>
      <c r="M252" s="93" t="s">
        <v>1</v>
      </c>
      <c r="N252" s="94" t="s">
        <v>42</v>
      </c>
      <c r="P252" s="95">
        <f>O252*H252</f>
        <v>0</v>
      </c>
      <c r="Q252" s="95">
        <v>0</v>
      </c>
      <c r="R252" s="95">
        <f>Q252*H252</f>
        <v>0</v>
      </c>
      <c r="S252" s="95">
        <v>0</v>
      </c>
      <c r="T252" s="99">
        <f>S252*H252</f>
        <v>0</v>
      </c>
      <c r="AR252" s="101" t="s">
        <v>218</v>
      </c>
      <c r="AT252" s="101" t="s">
        <v>214</v>
      </c>
      <c r="AU252" s="101" t="s">
        <v>87</v>
      </c>
      <c r="AY252" s="23" t="s">
        <v>211</v>
      </c>
      <c r="BE252" s="104">
        <f>IF(N252="základní",J252,0)</f>
        <v>320</v>
      </c>
      <c r="BF252" s="104">
        <f>IF(N252="snížená",J252,0)</f>
        <v>0</v>
      </c>
      <c r="BG252" s="104">
        <f>IF(N252="zákl. přenesená",J252,0)</f>
        <v>0</v>
      </c>
      <c r="BH252" s="104">
        <f>IF(N252="sníž. přenesená",J252,0)</f>
        <v>0</v>
      </c>
      <c r="BI252" s="104">
        <f>IF(N252="nulová",J252,0)</f>
        <v>0</v>
      </c>
      <c r="BJ252" s="23" t="s">
        <v>85</v>
      </c>
      <c r="BK252" s="104">
        <f>ROUND(I252*H252,2)</f>
        <v>320</v>
      </c>
      <c r="BL252" s="23" t="s">
        <v>218</v>
      </c>
      <c r="BM252" s="101" t="s">
        <v>1449</v>
      </c>
    </row>
    <row r="253" spans="2:65" s="1" customFormat="1" ht="49.35" customHeight="1">
      <c r="B253" s="12"/>
      <c r="C253" s="71" t="s">
        <v>935</v>
      </c>
      <c r="D253" s="71" t="s">
        <v>214</v>
      </c>
      <c r="E253" s="72" t="s">
        <v>4288</v>
      </c>
      <c r="F253" s="73" t="s">
        <v>4289</v>
      </c>
      <c r="G253" s="74" t="s">
        <v>431</v>
      </c>
      <c r="H253" s="75">
        <v>9</v>
      </c>
      <c r="I253" s="90">
        <v>170</v>
      </c>
      <c r="J253" s="91">
        <f>ROUND(I253*H253,2)</f>
        <v>1530</v>
      </c>
      <c r="K253" s="92"/>
      <c r="L253" s="12"/>
      <c r="M253" s="93" t="s">
        <v>1</v>
      </c>
      <c r="N253" s="94" t="s">
        <v>42</v>
      </c>
      <c r="P253" s="95">
        <f>O253*H253</f>
        <v>0</v>
      </c>
      <c r="Q253" s="95">
        <v>0</v>
      </c>
      <c r="R253" s="95">
        <f>Q253*H253</f>
        <v>0</v>
      </c>
      <c r="S253" s="95">
        <v>0</v>
      </c>
      <c r="T253" s="99">
        <f>S253*H253</f>
        <v>0</v>
      </c>
      <c r="AR253" s="101" t="s">
        <v>218</v>
      </c>
      <c r="AT253" s="101" t="s">
        <v>214</v>
      </c>
      <c r="AU253" s="101" t="s">
        <v>87</v>
      </c>
      <c r="AY253" s="23" t="s">
        <v>211</v>
      </c>
      <c r="BE253" s="104">
        <f>IF(N253="základní",J253,0)</f>
        <v>1530</v>
      </c>
      <c r="BF253" s="104">
        <f>IF(N253="snížená",J253,0)</f>
        <v>0</v>
      </c>
      <c r="BG253" s="104">
        <f>IF(N253="zákl. přenesená",J253,0)</f>
        <v>0</v>
      </c>
      <c r="BH253" s="104">
        <f>IF(N253="sníž. přenesená",J253,0)</f>
        <v>0</v>
      </c>
      <c r="BI253" s="104">
        <f>IF(N253="nulová",J253,0)</f>
        <v>0</v>
      </c>
      <c r="BJ253" s="23" t="s">
        <v>85</v>
      </c>
      <c r="BK253" s="104">
        <f>ROUND(I253*H253,2)</f>
        <v>1530</v>
      </c>
      <c r="BL253" s="23" t="s">
        <v>218</v>
      </c>
      <c r="BM253" s="101" t="s">
        <v>1457</v>
      </c>
    </row>
    <row r="254" spans="2:65" s="1" customFormat="1" ht="16.5" customHeight="1">
      <c r="B254" s="12"/>
      <c r="C254" s="71" t="s">
        <v>942</v>
      </c>
      <c r="D254" s="71" t="s">
        <v>214</v>
      </c>
      <c r="E254" s="72" t="s">
        <v>4353</v>
      </c>
      <c r="F254" s="73" t="s">
        <v>4354</v>
      </c>
      <c r="G254" s="74" t="s">
        <v>431</v>
      </c>
      <c r="H254" s="75">
        <v>1</v>
      </c>
      <c r="I254" s="90">
        <v>160</v>
      </c>
      <c r="J254" s="91">
        <f>ROUND(I254*H254,2)</f>
        <v>160</v>
      </c>
      <c r="K254" s="92"/>
      <c r="L254" s="12"/>
      <c r="M254" s="93" t="s">
        <v>1</v>
      </c>
      <c r="N254" s="94" t="s">
        <v>42</v>
      </c>
      <c r="P254" s="95">
        <f>O254*H254</f>
        <v>0</v>
      </c>
      <c r="Q254" s="95">
        <v>0</v>
      </c>
      <c r="R254" s="95">
        <f>Q254*H254</f>
        <v>0</v>
      </c>
      <c r="S254" s="95">
        <v>0</v>
      </c>
      <c r="T254" s="99">
        <f>S254*H254</f>
        <v>0</v>
      </c>
      <c r="AR254" s="101" t="s">
        <v>218</v>
      </c>
      <c r="AT254" s="101" t="s">
        <v>214</v>
      </c>
      <c r="AU254" s="101" t="s">
        <v>87</v>
      </c>
      <c r="AY254" s="23" t="s">
        <v>211</v>
      </c>
      <c r="BE254" s="104">
        <f>IF(N254="základní",J254,0)</f>
        <v>160</v>
      </c>
      <c r="BF254" s="104">
        <f>IF(N254="snížená",J254,0)</f>
        <v>0</v>
      </c>
      <c r="BG254" s="104">
        <f>IF(N254="zákl. přenesená",J254,0)</f>
        <v>0</v>
      </c>
      <c r="BH254" s="104">
        <f>IF(N254="sníž. přenesená",J254,0)</f>
        <v>0</v>
      </c>
      <c r="BI254" s="104">
        <f>IF(N254="nulová",J254,0)</f>
        <v>0</v>
      </c>
      <c r="BJ254" s="23" t="s">
        <v>85</v>
      </c>
      <c r="BK254" s="104">
        <f>ROUND(I254*H254,2)</f>
        <v>160</v>
      </c>
      <c r="BL254" s="23" t="s">
        <v>218</v>
      </c>
      <c r="BM254" s="101" t="s">
        <v>1466</v>
      </c>
    </row>
    <row r="255" spans="2:65" s="31" customFormat="1" ht="23.1" customHeight="1">
      <c r="B255" s="67"/>
      <c r="D255" s="68" t="s">
        <v>76</v>
      </c>
      <c r="E255" s="70" t="s">
        <v>3916</v>
      </c>
      <c r="F255" s="70" t="s">
        <v>4357</v>
      </c>
      <c r="I255" s="85"/>
      <c r="J255" s="89">
        <f>BK255</f>
        <v>8960</v>
      </c>
      <c r="L255" s="67"/>
      <c r="M255" s="87"/>
      <c r="P255" s="88">
        <f>SUM(P256:P260)</f>
        <v>0</v>
      </c>
      <c r="R255" s="88">
        <f>SUM(R256:R260)</f>
        <v>0</v>
      </c>
      <c r="T255" s="98">
        <f>SUM(T256:T260)</f>
        <v>0</v>
      </c>
      <c r="AR255" s="68" t="s">
        <v>85</v>
      </c>
      <c r="AT255" s="100" t="s">
        <v>76</v>
      </c>
      <c r="AU255" s="100" t="s">
        <v>85</v>
      </c>
      <c r="AY255" s="68" t="s">
        <v>211</v>
      </c>
      <c r="BK255" s="103">
        <f>SUM(BK256:BK260)</f>
        <v>8960</v>
      </c>
    </row>
    <row r="256" spans="2:65" s="1" customFormat="1" ht="24.15" customHeight="1">
      <c r="B256" s="12"/>
      <c r="C256" s="71" t="s">
        <v>950</v>
      </c>
      <c r="D256" s="71" t="s">
        <v>214</v>
      </c>
      <c r="E256" s="72" t="s">
        <v>4358</v>
      </c>
      <c r="F256" s="73" t="s">
        <v>4348</v>
      </c>
      <c r="G256" s="74" t="s">
        <v>808</v>
      </c>
      <c r="H256" s="75">
        <v>1</v>
      </c>
      <c r="I256" s="90">
        <v>6500</v>
      </c>
      <c r="J256" s="91">
        <f>ROUND(I256*H256,2)</f>
        <v>6500</v>
      </c>
      <c r="K256" s="92"/>
      <c r="L256" s="12"/>
      <c r="M256" s="93" t="s">
        <v>1</v>
      </c>
      <c r="N256" s="94" t="s">
        <v>42</v>
      </c>
      <c r="P256" s="95">
        <f>O256*H256</f>
        <v>0</v>
      </c>
      <c r="Q256" s="95">
        <v>0</v>
      </c>
      <c r="R256" s="95">
        <f>Q256*H256</f>
        <v>0</v>
      </c>
      <c r="S256" s="95">
        <v>0</v>
      </c>
      <c r="T256" s="99">
        <f>S256*H256</f>
        <v>0</v>
      </c>
      <c r="AR256" s="101" t="s">
        <v>218</v>
      </c>
      <c r="AT256" s="101" t="s">
        <v>214</v>
      </c>
      <c r="AU256" s="101" t="s">
        <v>87</v>
      </c>
      <c r="AY256" s="23" t="s">
        <v>211</v>
      </c>
      <c r="BE256" s="104">
        <f>IF(N256="základní",J256,0)</f>
        <v>6500</v>
      </c>
      <c r="BF256" s="104">
        <f>IF(N256="snížená",J256,0)</f>
        <v>0</v>
      </c>
      <c r="BG256" s="104">
        <f>IF(N256="zákl. přenesená",J256,0)</f>
        <v>0</v>
      </c>
      <c r="BH256" s="104">
        <f>IF(N256="sníž. přenesená",J256,0)</f>
        <v>0</v>
      </c>
      <c r="BI256" s="104">
        <f>IF(N256="nulová",J256,0)</f>
        <v>0</v>
      </c>
      <c r="BJ256" s="23" t="s">
        <v>85</v>
      </c>
      <c r="BK256" s="104">
        <f>ROUND(I256*H256,2)</f>
        <v>6500</v>
      </c>
      <c r="BL256" s="23" t="s">
        <v>218</v>
      </c>
      <c r="BM256" s="101" t="s">
        <v>1475</v>
      </c>
    </row>
    <row r="257" spans="2:65" s="1" customFormat="1" ht="16.5" customHeight="1">
      <c r="B257" s="12"/>
      <c r="C257" s="71" t="s">
        <v>958</v>
      </c>
      <c r="D257" s="71" t="s">
        <v>214</v>
      </c>
      <c r="E257" s="72" t="s">
        <v>4349</v>
      </c>
      <c r="F257" s="73" t="s">
        <v>4350</v>
      </c>
      <c r="G257" s="74" t="s">
        <v>808</v>
      </c>
      <c r="H257" s="75">
        <v>1</v>
      </c>
      <c r="I257" s="90">
        <v>450</v>
      </c>
      <c r="J257" s="91">
        <f>ROUND(I257*H257,2)</f>
        <v>450</v>
      </c>
      <c r="K257" s="92"/>
      <c r="L257" s="12"/>
      <c r="M257" s="93" t="s">
        <v>1</v>
      </c>
      <c r="N257" s="94" t="s">
        <v>42</v>
      </c>
      <c r="P257" s="95">
        <f>O257*H257</f>
        <v>0</v>
      </c>
      <c r="Q257" s="95">
        <v>0</v>
      </c>
      <c r="R257" s="95">
        <f>Q257*H257</f>
        <v>0</v>
      </c>
      <c r="S257" s="95">
        <v>0</v>
      </c>
      <c r="T257" s="99">
        <f>S257*H257</f>
        <v>0</v>
      </c>
      <c r="AR257" s="101" t="s">
        <v>218</v>
      </c>
      <c r="AT257" s="101" t="s">
        <v>214</v>
      </c>
      <c r="AU257" s="101" t="s">
        <v>87</v>
      </c>
      <c r="AY257" s="23" t="s">
        <v>211</v>
      </c>
      <c r="BE257" s="104">
        <f>IF(N257="základní",J257,0)</f>
        <v>450</v>
      </c>
      <c r="BF257" s="104">
        <f>IF(N257="snížená",J257,0)</f>
        <v>0</v>
      </c>
      <c r="BG257" s="104">
        <f>IF(N257="zákl. přenesená",J257,0)</f>
        <v>0</v>
      </c>
      <c r="BH257" s="104">
        <f>IF(N257="sníž. přenesená",J257,0)</f>
        <v>0</v>
      </c>
      <c r="BI257" s="104">
        <f>IF(N257="nulová",J257,0)</f>
        <v>0</v>
      </c>
      <c r="BJ257" s="23" t="s">
        <v>85</v>
      </c>
      <c r="BK257" s="104">
        <f>ROUND(I257*H257,2)</f>
        <v>450</v>
      </c>
      <c r="BL257" s="23" t="s">
        <v>218</v>
      </c>
      <c r="BM257" s="101" t="s">
        <v>1483</v>
      </c>
    </row>
    <row r="258" spans="2:65" s="1" customFormat="1" ht="49.35" customHeight="1">
      <c r="B258" s="12"/>
      <c r="C258" s="71" t="s">
        <v>963</v>
      </c>
      <c r="D258" s="71" t="s">
        <v>214</v>
      </c>
      <c r="E258" s="72" t="s">
        <v>4351</v>
      </c>
      <c r="F258" s="73" t="s">
        <v>4352</v>
      </c>
      <c r="G258" s="74" t="s">
        <v>431</v>
      </c>
      <c r="H258" s="75">
        <v>2</v>
      </c>
      <c r="I258" s="90">
        <v>160</v>
      </c>
      <c r="J258" s="91">
        <f>ROUND(I258*H258,2)</f>
        <v>320</v>
      </c>
      <c r="K258" s="92"/>
      <c r="L258" s="12"/>
      <c r="M258" s="93" t="s">
        <v>1</v>
      </c>
      <c r="N258" s="94" t="s">
        <v>42</v>
      </c>
      <c r="P258" s="95">
        <f>O258*H258</f>
        <v>0</v>
      </c>
      <c r="Q258" s="95">
        <v>0</v>
      </c>
      <c r="R258" s="95">
        <f>Q258*H258</f>
        <v>0</v>
      </c>
      <c r="S258" s="95">
        <v>0</v>
      </c>
      <c r="T258" s="99">
        <f>S258*H258</f>
        <v>0</v>
      </c>
      <c r="AR258" s="101" t="s">
        <v>218</v>
      </c>
      <c r="AT258" s="101" t="s">
        <v>214</v>
      </c>
      <c r="AU258" s="101" t="s">
        <v>87</v>
      </c>
      <c r="AY258" s="23" t="s">
        <v>211</v>
      </c>
      <c r="BE258" s="104">
        <f>IF(N258="základní",J258,0)</f>
        <v>320</v>
      </c>
      <c r="BF258" s="104">
        <f>IF(N258="snížená",J258,0)</f>
        <v>0</v>
      </c>
      <c r="BG258" s="104">
        <f>IF(N258="zákl. přenesená",J258,0)</f>
        <v>0</v>
      </c>
      <c r="BH258" s="104">
        <f>IF(N258="sníž. přenesená",J258,0)</f>
        <v>0</v>
      </c>
      <c r="BI258" s="104">
        <f>IF(N258="nulová",J258,0)</f>
        <v>0</v>
      </c>
      <c r="BJ258" s="23" t="s">
        <v>85</v>
      </c>
      <c r="BK258" s="104">
        <f>ROUND(I258*H258,2)</f>
        <v>320</v>
      </c>
      <c r="BL258" s="23" t="s">
        <v>218</v>
      </c>
      <c r="BM258" s="101" t="s">
        <v>1491</v>
      </c>
    </row>
    <row r="259" spans="2:65" s="1" customFormat="1" ht="49.35" customHeight="1">
      <c r="B259" s="12"/>
      <c r="C259" s="71" t="s">
        <v>968</v>
      </c>
      <c r="D259" s="71" t="s">
        <v>214</v>
      </c>
      <c r="E259" s="72" t="s">
        <v>4288</v>
      </c>
      <c r="F259" s="73" t="s">
        <v>4289</v>
      </c>
      <c r="G259" s="74" t="s">
        <v>431</v>
      </c>
      <c r="H259" s="75">
        <v>9</v>
      </c>
      <c r="I259" s="90">
        <v>170</v>
      </c>
      <c r="J259" s="91">
        <f>ROUND(I259*H259,2)</f>
        <v>1530</v>
      </c>
      <c r="K259" s="92"/>
      <c r="L259" s="12"/>
      <c r="M259" s="93" t="s">
        <v>1</v>
      </c>
      <c r="N259" s="94" t="s">
        <v>42</v>
      </c>
      <c r="P259" s="95">
        <f>O259*H259</f>
        <v>0</v>
      </c>
      <c r="Q259" s="95">
        <v>0</v>
      </c>
      <c r="R259" s="95">
        <f>Q259*H259</f>
        <v>0</v>
      </c>
      <c r="S259" s="95">
        <v>0</v>
      </c>
      <c r="T259" s="99">
        <f>S259*H259</f>
        <v>0</v>
      </c>
      <c r="AR259" s="101" t="s">
        <v>218</v>
      </c>
      <c r="AT259" s="101" t="s">
        <v>214</v>
      </c>
      <c r="AU259" s="101" t="s">
        <v>87</v>
      </c>
      <c r="AY259" s="23" t="s">
        <v>211</v>
      </c>
      <c r="BE259" s="104">
        <f>IF(N259="základní",J259,0)</f>
        <v>1530</v>
      </c>
      <c r="BF259" s="104">
        <f>IF(N259="snížená",J259,0)</f>
        <v>0</v>
      </c>
      <c r="BG259" s="104">
        <f>IF(N259="zákl. přenesená",J259,0)</f>
        <v>0</v>
      </c>
      <c r="BH259" s="104">
        <f>IF(N259="sníž. přenesená",J259,0)</f>
        <v>0</v>
      </c>
      <c r="BI259" s="104">
        <f>IF(N259="nulová",J259,0)</f>
        <v>0</v>
      </c>
      <c r="BJ259" s="23" t="s">
        <v>85</v>
      </c>
      <c r="BK259" s="104">
        <f>ROUND(I259*H259,2)</f>
        <v>1530</v>
      </c>
      <c r="BL259" s="23" t="s">
        <v>218</v>
      </c>
      <c r="BM259" s="101" t="s">
        <v>1500</v>
      </c>
    </row>
    <row r="260" spans="2:65" s="1" customFormat="1" ht="16.5" customHeight="1">
      <c r="B260" s="12"/>
      <c r="C260" s="71" t="s">
        <v>993</v>
      </c>
      <c r="D260" s="71" t="s">
        <v>214</v>
      </c>
      <c r="E260" s="72" t="s">
        <v>4353</v>
      </c>
      <c r="F260" s="73" t="s">
        <v>4354</v>
      </c>
      <c r="G260" s="74" t="s">
        <v>431</v>
      </c>
      <c r="H260" s="75">
        <v>1</v>
      </c>
      <c r="I260" s="90">
        <v>160</v>
      </c>
      <c r="J260" s="91">
        <f>ROUND(I260*H260,2)</f>
        <v>160</v>
      </c>
      <c r="K260" s="92"/>
      <c r="L260" s="12"/>
      <c r="M260" s="93" t="s">
        <v>1</v>
      </c>
      <c r="N260" s="94" t="s">
        <v>42</v>
      </c>
      <c r="P260" s="95">
        <f>O260*H260</f>
        <v>0</v>
      </c>
      <c r="Q260" s="95">
        <v>0</v>
      </c>
      <c r="R260" s="95">
        <f>Q260*H260</f>
        <v>0</v>
      </c>
      <c r="S260" s="95">
        <v>0</v>
      </c>
      <c r="T260" s="99">
        <f>S260*H260</f>
        <v>0</v>
      </c>
      <c r="AR260" s="101" t="s">
        <v>218</v>
      </c>
      <c r="AT260" s="101" t="s">
        <v>214</v>
      </c>
      <c r="AU260" s="101" t="s">
        <v>87</v>
      </c>
      <c r="AY260" s="23" t="s">
        <v>211</v>
      </c>
      <c r="BE260" s="104">
        <f>IF(N260="základní",J260,0)</f>
        <v>160</v>
      </c>
      <c r="BF260" s="104">
        <f>IF(N260="snížená",J260,0)</f>
        <v>0</v>
      </c>
      <c r="BG260" s="104">
        <f>IF(N260="zákl. přenesená",J260,0)</f>
        <v>0</v>
      </c>
      <c r="BH260" s="104">
        <f>IF(N260="sníž. přenesená",J260,0)</f>
        <v>0</v>
      </c>
      <c r="BI260" s="104">
        <f>IF(N260="nulová",J260,0)</f>
        <v>0</v>
      </c>
      <c r="BJ260" s="23" t="s">
        <v>85</v>
      </c>
      <c r="BK260" s="104">
        <f>ROUND(I260*H260,2)</f>
        <v>160</v>
      </c>
      <c r="BL260" s="23" t="s">
        <v>218</v>
      </c>
      <c r="BM260" s="101" t="s">
        <v>1509</v>
      </c>
    </row>
    <row r="261" spans="2:65" s="31" customFormat="1" ht="23.1" customHeight="1">
      <c r="B261" s="67"/>
      <c r="D261" s="68" t="s">
        <v>76</v>
      </c>
      <c r="E261" s="70" t="s">
        <v>4359</v>
      </c>
      <c r="F261" s="70" t="s">
        <v>4360</v>
      </c>
      <c r="I261" s="85"/>
      <c r="J261" s="89">
        <f>BK261</f>
        <v>10050</v>
      </c>
      <c r="L261" s="67"/>
      <c r="M261" s="87"/>
      <c r="P261" s="88">
        <f>SUM(P262:P264)</f>
        <v>0</v>
      </c>
      <c r="R261" s="88">
        <f>SUM(R262:R264)</f>
        <v>0</v>
      </c>
      <c r="T261" s="98">
        <f>SUM(T262:T264)</f>
        <v>0</v>
      </c>
      <c r="AR261" s="68" t="s">
        <v>85</v>
      </c>
      <c r="AT261" s="100" t="s">
        <v>76</v>
      </c>
      <c r="AU261" s="100" t="s">
        <v>85</v>
      </c>
      <c r="AY261" s="68" t="s">
        <v>211</v>
      </c>
      <c r="BK261" s="103">
        <f>SUM(BK262:BK264)</f>
        <v>10050</v>
      </c>
    </row>
    <row r="262" spans="2:65" s="1" customFormat="1" ht="16.5" customHeight="1">
      <c r="B262" s="12"/>
      <c r="C262" s="71" t="s">
        <v>997</v>
      </c>
      <c r="D262" s="71" t="s">
        <v>214</v>
      </c>
      <c r="E262" s="72" t="s">
        <v>4361</v>
      </c>
      <c r="F262" s="73" t="s">
        <v>4362</v>
      </c>
      <c r="G262" s="74" t="s">
        <v>808</v>
      </c>
      <c r="H262" s="75">
        <v>5</v>
      </c>
      <c r="I262" s="90">
        <v>450</v>
      </c>
      <c r="J262" s="91">
        <f>ROUND(I262*H262,2)</f>
        <v>2250</v>
      </c>
      <c r="K262" s="92"/>
      <c r="L262" s="12"/>
      <c r="M262" s="93" t="s">
        <v>1</v>
      </c>
      <c r="N262" s="94" t="s">
        <v>42</v>
      </c>
      <c r="P262" s="95">
        <f>O262*H262</f>
        <v>0</v>
      </c>
      <c r="Q262" s="95">
        <v>0</v>
      </c>
      <c r="R262" s="95">
        <f>Q262*H262</f>
        <v>0</v>
      </c>
      <c r="S262" s="95">
        <v>0</v>
      </c>
      <c r="T262" s="99">
        <f>S262*H262</f>
        <v>0</v>
      </c>
      <c r="AR262" s="101" t="s">
        <v>218</v>
      </c>
      <c r="AT262" s="101" t="s">
        <v>214</v>
      </c>
      <c r="AU262" s="101" t="s">
        <v>87</v>
      </c>
      <c r="AY262" s="23" t="s">
        <v>211</v>
      </c>
      <c r="BE262" s="104">
        <f>IF(N262="základní",J262,0)</f>
        <v>2250</v>
      </c>
      <c r="BF262" s="104">
        <f>IF(N262="snížená",J262,0)</f>
        <v>0</v>
      </c>
      <c r="BG262" s="104">
        <f>IF(N262="zákl. přenesená",J262,0)</f>
        <v>0</v>
      </c>
      <c r="BH262" s="104">
        <f>IF(N262="sníž. přenesená",J262,0)</f>
        <v>0</v>
      </c>
      <c r="BI262" s="104">
        <f>IF(N262="nulová",J262,0)</f>
        <v>0</v>
      </c>
      <c r="BJ262" s="23" t="s">
        <v>85</v>
      </c>
      <c r="BK262" s="104">
        <f>ROUND(I262*H262,2)</f>
        <v>2250</v>
      </c>
      <c r="BL262" s="23" t="s">
        <v>218</v>
      </c>
      <c r="BM262" s="101" t="s">
        <v>1515</v>
      </c>
    </row>
    <row r="263" spans="2:65" s="1" customFormat="1" ht="49.35" customHeight="1">
      <c r="B263" s="12"/>
      <c r="C263" s="71" t="s">
        <v>1001</v>
      </c>
      <c r="D263" s="71" t="s">
        <v>214</v>
      </c>
      <c r="E263" s="72" t="s">
        <v>4284</v>
      </c>
      <c r="F263" s="73" t="s">
        <v>4285</v>
      </c>
      <c r="G263" s="74" t="s">
        <v>431</v>
      </c>
      <c r="H263" s="75">
        <v>24</v>
      </c>
      <c r="I263" s="90">
        <v>250</v>
      </c>
      <c r="J263" s="91">
        <f>ROUND(I263*H263,2)</f>
        <v>6000</v>
      </c>
      <c r="K263" s="92"/>
      <c r="L263" s="12"/>
      <c r="M263" s="93" t="s">
        <v>1</v>
      </c>
      <c r="N263" s="94" t="s">
        <v>42</v>
      </c>
      <c r="P263" s="95">
        <f>O263*H263</f>
        <v>0</v>
      </c>
      <c r="Q263" s="95">
        <v>0</v>
      </c>
      <c r="R263" s="95">
        <f>Q263*H263</f>
        <v>0</v>
      </c>
      <c r="S263" s="95">
        <v>0</v>
      </c>
      <c r="T263" s="99">
        <f>S263*H263</f>
        <v>0</v>
      </c>
      <c r="AR263" s="101" t="s">
        <v>218</v>
      </c>
      <c r="AT263" s="101" t="s">
        <v>214</v>
      </c>
      <c r="AU263" s="101" t="s">
        <v>87</v>
      </c>
      <c r="AY263" s="23" t="s">
        <v>211</v>
      </c>
      <c r="BE263" s="104">
        <f>IF(N263="základní",J263,0)</f>
        <v>6000</v>
      </c>
      <c r="BF263" s="104">
        <f>IF(N263="snížená",J263,0)</f>
        <v>0</v>
      </c>
      <c r="BG263" s="104">
        <f>IF(N263="zákl. přenesená",J263,0)</f>
        <v>0</v>
      </c>
      <c r="BH263" s="104">
        <f>IF(N263="sníž. přenesená",J263,0)</f>
        <v>0</v>
      </c>
      <c r="BI263" s="104">
        <f>IF(N263="nulová",J263,0)</f>
        <v>0</v>
      </c>
      <c r="BJ263" s="23" t="s">
        <v>85</v>
      </c>
      <c r="BK263" s="104">
        <f>ROUND(I263*H263,2)</f>
        <v>6000</v>
      </c>
      <c r="BL263" s="23" t="s">
        <v>218</v>
      </c>
      <c r="BM263" s="101" t="s">
        <v>1524</v>
      </c>
    </row>
    <row r="264" spans="2:65" s="1" customFormat="1" ht="49.35" customHeight="1">
      <c r="B264" s="12"/>
      <c r="C264" s="71" t="s">
        <v>1005</v>
      </c>
      <c r="D264" s="71" t="s">
        <v>214</v>
      </c>
      <c r="E264" s="72" t="s">
        <v>4286</v>
      </c>
      <c r="F264" s="73" t="s">
        <v>4287</v>
      </c>
      <c r="G264" s="74" t="s">
        <v>431</v>
      </c>
      <c r="H264" s="75">
        <v>9</v>
      </c>
      <c r="I264" s="153">
        <v>200</v>
      </c>
      <c r="J264" s="91">
        <f>ROUND(I264*H264,2)</f>
        <v>1800</v>
      </c>
      <c r="K264" s="92"/>
      <c r="L264" s="12"/>
      <c r="M264" s="93" t="s">
        <v>1</v>
      </c>
      <c r="N264" s="94" t="s">
        <v>42</v>
      </c>
      <c r="P264" s="95">
        <f>O264*H264</f>
        <v>0</v>
      </c>
      <c r="Q264" s="95">
        <v>0</v>
      </c>
      <c r="R264" s="95">
        <f>Q264*H264</f>
        <v>0</v>
      </c>
      <c r="S264" s="95">
        <v>0</v>
      </c>
      <c r="T264" s="99">
        <f>S264*H264</f>
        <v>0</v>
      </c>
      <c r="AR264" s="101" t="s">
        <v>218</v>
      </c>
      <c r="AT264" s="101" t="s">
        <v>214</v>
      </c>
      <c r="AU264" s="101" t="s">
        <v>87</v>
      </c>
      <c r="AY264" s="23" t="s">
        <v>211</v>
      </c>
      <c r="BE264" s="104">
        <f>IF(N264="základní",J264,0)</f>
        <v>1800</v>
      </c>
      <c r="BF264" s="104">
        <f>IF(N264="snížená",J264,0)</f>
        <v>0</v>
      </c>
      <c r="BG264" s="104">
        <f>IF(N264="zákl. přenesená",J264,0)</f>
        <v>0</v>
      </c>
      <c r="BH264" s="104">
        <f>IF(N264="sníž. přenesená",J264,0)</f>
        <v>0</v>
      </c>
      <c r="BI264" s="104">
        <f>IF(N264="nulová",J264,0)</f>
        <v>0</v>
      </c>
      <c r="BJ264" s="23" t="s">
        <v>85</v>
      </c>
      <c r="BK264" s="104">
        <f>ROUND(I264*H264,2)</f>
        <v>1800</v>
      </c>
      <c r="BL264" s="23" t="s">
        <v>218</v>
      </c>
      <c r="BM264" s="101" t="s">
        <v>1532</v>
      </c>
    </row>
    <row r="265" spans="2:65" s="31" customFormat="1" ht="26.1" customHeight="1">
      <c r="B265" s="67"/>
      <c r="D265" s="68" t="s">
        <v>76</v>
      </c>
      <c r="E265" s="69" t="s">
        <v>4363</v>
      </c>
      <c r="F265" s="69" t="s">
        <v>4364</v>
      </c>
      <c r="I265" s="85"/>
      <c r="J265" s="86">
        <f>BK265</f>
        <v>797000</v>
      </c>
      <c r="L265" s="67"/>
      <c r="M265" s="87"/>
      <c r="P265" s="88">
        <f>P266+P279+P291+P303+P315</f>
        <v>0</v>
      </c>
      <c r="R265" s="88">
        <f>R266+R279+R291+R303+R315</f>
        <v>0</v>
      </c>
      <c r="T265" s="98">
        <f>T266+T279+T291+T303+T315</f>
        <v>0</v>
      </c>
      <c r="AR265" s="68" t="s">
        <v>85</v>
      </c>
      <c r="AT265" s="100" t="s">
        <v>76</v>
      </c>
      <c r="AU265" s="100" t="s">
        <v>77</v>
      </c>
      <c r="AY265" s="68" t="s">
        <v>211</v>
      </c>
      <c r="BK265" s="103">
        <f>BK266+BK279+BK291+BK303+BK315</f>
        <v>797000</v>
      </c>
    </row>
    <row r="266" spans="2:65" s="31" customFormat="1" ht="23.1" customHeight="1">
      <c r="B266" s="67"/>
      <c r="D266" s="68" t="s">
        <v>76</v>
      </c>
      <c r="E266" s="70" t="s">
        <v>4365</v>
      </c>
      <c r="F266" s="70" t="s">
        <v>4366</v>
      </c>
      <c r="I266" s="85"/>
      <c r="J266" s="89">
        <f>BK266</f>
        <v>118820</v>
      </c>
      <c r="L266" s="67"/>
      <c r="M266" s="87"/>
      <c r="P266" s="88">
        <f>SUM(P267:P278)</f>
        <v>0</v>
      </c>
      <c r="R266" s="88">
        <f>SUM(R267:R278)</f>
        <v>0</v>
      </c>
      <c r="T266" s="98">
        <f>SUM(T267:T278)</f>
        <v>0</v>
      </c>
      <c r="AR266" s="68" t="s">
        <v>85</v>
      </c>
      <c r="AT266" s="100" t="s">
        <v>76</v>
      </c>
      <c r="AU266" s="100" t="s">
        <v>85</v>
      </c>
      <c r="AY266" s="68" t="s">
        <v>211</v>
      </c>
      <c r="BK266" s="103">
        <f>SUM(BK267:BK278)</f>
        <v>118820</v>
      </c>
    </row>
    <row r="267" spans="2:65" s="1" customFormat="1" ht="38.1" customHeight="1">
      <c r="B267" s="12"/>
      <c r="C267" s="71" t="s">
        <v>1028</v>
      </c>
      <c r="D267" s="71" t="s">
        <v>214</v>
      </c>
      <c r="E267" s="72" t="s">
        <v>4367</v>
      </c>
      <c r="F267" s="73" t="s">
        <v>4368</v>
      </c>
      <c r="G267" s="74" t="s">
        <v>808</v>
      </c>
      <c r="H267" s="75">
        <v>1</v>
      </c>
      <c r="I267" s="90">
        <v>10500</v>
      </c>
      <c r="J267" s="91">
        <f t="shared" ref="J267:J278" si="60">ROUND(I267*H267,2)</f>
        <v>10500</v>
      </c>
      <c r="K267" s="92"/>
      <c r="L267" s="12"/>
      <c r="M267" s="93" t="s">
        <v>1</v>
      </c>
      <c r="N267" s="94" t="s">
        <v>42</v>
      </c>
      <c r="P267" s="95">
        <f t="shared" ref="P267:P278" si="61">O267*H267</f>
        <v>0</v>
      </c>
      <c r="Q267" s="95">
        <v>0</v>
      </c>
      <c r="R267" s="95">
        <f t="shared" ref="R267:R278" si="62">Q267*H267</f>
        <v>0</v>
      </c>
      <c r="S267" s="95">
        <v>0</v>
      </c>
      <c r="T267" s="99">
        <f t="shared" ref="T267:T278" si="63">S267*H267</f>
        <v>0</v>
      </c>
      <c r="AR267" s="101" t="s">
        <v>218</v>
      </c>
      <c r="AT267" s="101" t="s">
        <v>214</v>
      </c>
      <c r="AU267" s="101" t="s">
        <v>87</v>
      </c>
      <c r="AY267" s="23" t="s">
        <v>211</v>
      </c>
      <c r="BE267" s="104">
        <f t="shared" ref="BE267:BE278" si="64">IF(N267="základní",J267,0)</f>
        <v>10500</v>
      </c>
      <c r="BF267" s="104">
        <f t="shared" ref="BF267:BF278" si="65">IF(N267="snížená",J267,0)</f>
        <v>0</v>
      </c>
      <c r="BG267" s="104">
        <f t="shared" ref="BG267:BG278" si="66">IF(N267="zákl. přenesená",J267,0)</f>
        <v>0</v>
      </c>
      <c r="BH267" s="104">
        <f t="shared" ref="BH267:BH278" si="67">IF(N267="sníž. přenesená",J267,0)</f>
        <v>0</v>
      </c>
      <c r="BI267" s="104">
        <f t="shared" ref="BI267:BI278" si="68">IF(N267="nulová",J267,0)</f>
        <v>0</v>
      </c>
      <c r="BJ267" s="23" t="s">
        <v>85</v>
      </c>
      <c r="BK267" s="104">
        <f t="shared" ref="BK267:BK278" si="69">ROUND(I267*H267,2)</f>
        <v>10500</v>
      </c>
      <c r="BL267" s="23" t="s">
        <v>218</v>
      </c>
      <c r="BM267" s="101" t="s">
        <v>1540</v>
      </c>
    </row>
    <row r="268" spans="2:65" s="1" customFormat="1" ht="21.75" customHeight="1">
      <c r="B268" s="12"/>
      <c r="C268" s="71" t="s">
        <v>1036</v>
      </c>
      <c r="D268" s="71" t="s">
        <v>214</v>
      </c>
      <c r="E268" s="72" t="s">
        <v>4369</v>
      </c>
      <c r="F268" s="73" t="s">
        <v>4370</v>
      </c>
      <c r="G268" s="74" t="s">
        <v>808</v>
      </c>
      <c r="H268" s="75">
        <v>1</v>
      </c>
      <c r="I268" s="90">
        <v>3000</v>
      </c>
      <c r="J268" s="91">
        <f t="shared" si="60"/>
        <v>3000</v>
      </c>
      <c r="K268" s="92"/>
      <c r="L268" s="12"/>
      <c r="M268" s="93" t="s">
        <v>1</v>
      </c>
      <c r="N268" s="94" t="s">
        <v>42</v>
      </c>
      <c r="P268" s="95">
        <f t="shared" si="61"/>
        <v>0</v>
      </c>
      <c r="Q268" s="95">
        <v>0</v>
      </c>
      <c r="R268" s="95">
        <f t="shared" si="62"/>
        <v>0</v>
      </c>
      <c r="S268" s="95">
        <v>0</v>
      </c>
      <c r="T268" s="99">
        <f t="shared" si="63"/>
        <v>0</v>
      </c>
      <c r="AR268" s="101" t="s">
        <v>218</v>
      </c>
      <c r="AT268" s="101" t="s">
        <v>214</v>
      </c>
      <c r="AU268" s="101" t="s">
        <v>87</v>
      </c>
      <c r="AY268" s="23" t="s">
        <v>211</v>
      </c>
      <c r="BE268" s="104">
        <f t="shared" si="64"/>
        <v>3000</v>
      </c>
      <c r="BF268" s="104">
        <f t="shared" si="65"/>
        <v>0</v>
      </c>
      <c r="BG268" s="104">
        <f t="shared" si="66"/>
        <v>0</v>
      </c>
      <c r="BH268" s="104">
        <f t="shared" si="67"/>
        <v>0</v>
      </c>
      <c r="BI268" s="104">
        <f t="shared" si="68"/>
        <v>0</v>
      </c>
      <c r="BJ268" s="23" t="s">
        <v>85</v>
      </c>
      <c r="BK268" s="104">
        <f t="shared" si="69"/>
        <v>3000</v>
      </c>
      <c r="BL268" s="23" t="s">
        <v>218</v>
      </c>
      <c r="BM268" s="101" t="s">
        <v>1548</v>
      </c>
    </row>
    <row r="269" spans="2:65" s="1" customFormat="1" ht="21.75" customHeight="1">
      <c r="B269" s="12"/>
      <c r="C269" s="71" t="s">
        <v>92</v>
      </c>
      <c r="D269" s="71" t="s">
        <v>214</v>
      </c>
      <c r="E269" s="72" t="s">
        <v>4371</v>
      </c>
      <c r="F269" s="73" t="s">
        <v>4372</v>
      </c>
      <c r="G269" s="74" t="s">
        <v>808</v>
      </c>
      <c r="H269" s="75">
        <v>1</v>
      </c>
      <c r="I269" s="90">
        <v>4000</v>
      </c>
      <c r="J269" s="91">
        <f t="shared" si="60"/>
        <v>4000</v>
      </c>
      <c r="K269" s="92"/>
      <c r="L269" s="12"/>
      <c r="M269" s="93" t="s">
        <v>1</v>
      </c>
      <c r="N269" s="94" t="s">
        <v>42</v>
      </c>
      <c r="P269" s="95">
        <f t="shared" si="61"/>
        <v>0</v>
      </c>
      <c r="Q269" s="95">
        <v>0</v>
      </c>
      <c r="R269" s="95">
        <f t="shared" si="62"/>
        <v>0</v>
      </c>
      <c r="S269" s="95">
        <v>0</v>
      </c>
      <c r="T269" s="99">
        <f t="shared" si="63"/>
        <v>0</v>
      </c>
      <c r="AR269" s="101" t="s">
        <v>218</v>
      </c>
      <c r="AT269" s="101" t="s">
        <v>214</v>
      </c>
      <c r="AU269" s="101" t="s">
        <v>87</v>
      </c>
      <c r="AY269" s="23" t="s">
        <v>211</v>
      </c>
      <c r="BE269" s="104">
        <f t="shared" si="64"/>
        <v>4000</v>
      </c>
      <c r="BF269" s="104">
        <f t="shared" si="65"/>
        <v>0</v>
      </c>
      <c r="BG269" s="104">
        <f t="shared" si="66"/>
        <v>0</v>
      </c>
      <c r="BH269" s="104">
        <f t="shared" si="67"/>
        <v>0</v>
      </c>
      <c r="BI269" s="104">
        <f t="shared" si="68"/>
        <v>0</v>
      </c>
      <c r="BJ269" s="23" t="s">
        <v>85</v>
      </c>
      <c r="BK269" s="104">
        <f t="shared" si="69"/>
        <v>4000</v>
      </c>
      <c r="BL269" s="23" t="s">
        <v>218</v>
      </c>
      <c r="BM269" s="101" t="s">
        <v>1556</v>
      </c>
    </row>
    <row r="270" spans="2:65" s="1" customFormat="1" ht="16.5" customHeight="1">
      <c r="B270" s="12"/>
      <c r="C270" s="71" t="s">
        <v>1044</v>
      </c>
      <c r="D270" s="71" t="s">
        <v>214</v>
      </c>
      <c r="E270" s="72" t="s">
        <v>4329</v>
      </c>
      <c r="F270" s="73" t="s">
        <v>4263</v>
      </c>
      <c r="G270" s="74" t="s">
        <v>808</v>
      </c>
      <c r="H270" s="75">
        <v>11</v>
      </c>
      <c r="I270" s="90">
        <v>220</v>
      </c>
      <c r="J270" s="91">
        <f t="shared" si="60"/>
        <v>2420</v>
      </c>
      <c r="K270" s="92"/>
      <c r="L270" s="12"/>
      <c r="M270" s="93" t="s">
        <v>1</v>
      </c>
      <c r="N270" s="94" t="s">
        <v>42</v>
      </c>
      <c r="P270" s="95">
        <f t="shared" si="61"/>
        <v>0</v>
      </c>
      <c r="Q270" s="95">
        <v>0</v>
      </c>
      <c r="R270" s="95">
        <f t="shared" si="62"/>
        <v>0</v>
      </c>
      <c r="S270" s="95">
        <v>0</v>
      </c>
      <c r="T270" s="99">
        <f t="shared" si="63"/>
        <v>0</v>
      </c>
      <c r="AR270" s="101" t="s">
        <v>218</v>
      </c>
      <c r="AT270" s="101" t="s">
        <v>214</v>
      </c>
      <c r="AU270" s="101" t="s">
        <v>87</v>
      </c>
      <c r="AY270" s="23" t="s">
        <v>211</v>
      </c>
      <c r="BE270" s="104">
        <f t="shared" si="64"/>
        <v>2420</v>
      </c>
      <c r="BF270" s="104">
        <f t="shared" si="65"/>
        <v>0</v>
      </c>
      <c r="BG270" s="104">
        <f t="shared" si="66"/>
        <v>0</v>
      </c>
      <c r="BH270" s="104">
        <f t="shared" si="67"/>
        <v>0</v>
      </c>
      <c r="BI270" s="104">
        <f t="shared" si="68"/>
        <v>0</v>
      </c>
      <c r="BJ270" s="23" t="s">
        <v>85</v>
      </c>
      <c r="BK270" s="104">
        <f t="shared" si="69"/>
        <v>2420</v>
      </c>
      <c r="BL270" s="23" t="s">
        <v>218</v>
      </c>
      <c r="BM270" s="101" t="s">
        <v>1564</v>
      </c>
    </row>
    <row r="271" spans="2:65" s="1" customFormat="1" ht="21.75" customHeight="1">
      <c r="B271" s="12"/>
      <c r="C271" s="71" t="s">
        <v>1049</v>
      </c>
      <c r="D271" s="71" t="s">
        <v>214</v>
      </c>
      <c r="E271" s="72" t="s">
        <v>4373</v>
      </c>
      <c r="F271" s="73" t="s">
        <v>4374</v>
      </c>
      <c r="G271" s="74" t="s">
        <v>808</v>
      </c>
      <c r="H271" s="75">
        <v>1</v>
      </c>
      <c r="I271" s="90">
        <v>400</v>
      </c>
      <c r="J271" s="91">
        <f t="shared" si="60"/>
        <v>400</v>
      </c>
      <c r="K271" s="92"/>
      <c r="L271" s="12"/>
      <c r="M271" s="93" t="s">
        <v>1</v>
      </c>
      <c r="N271" s="94" t="s">
        <v>42</v>
      </c>
      <c r="P271" s="95">
        <f t="shared" si="61"/>
        <v>0</v>
      </c>
      <c r="Q271" s="95">
        <v>0</v>
      </c>
      <c r="R271" s="95">
        <f t="shared" si="62"/>
        <v>0</v>
      </c>
      <c r="S271" s="95">
        <v>0</v>
      </c>
      <c r="T271" s="99">
        <f t="shared" si="63"/>
        <v>0</v>
      </c>
      <c r="AR271" s="101" t="s">
        <v>218</v>
      </c>
      <c r="AT271" s="101" t="s">
        <v>214</v>
      </c>
      <c r="AU271" s="101" t="s">
        <v>87</v>
      </c>
      <c r="AY271" s="23" t="s">
        <v>211</v>
      </c>
      <c r="BE271" s="104">
        <f t="shared" si="64"/>
        <v>400</v>
      </c>
      <c r="BF271" s="104">
        <f t="shared" si="65"/>
        <v>0</v>
      </c>
      <c r="BG271" s="104">
        <f t="shared" si="66"/>
        <v>0</v>
      </c>
      <c r="BH271" s="104">
        <f t="shared" si="67"/>
        <v>0</v>
      </c>
      <c r="BI271" s="104">
        <f t="shared" si="68"/>
        <v>0</v>
      </c>
      <c r="BJ271" s="23" t="s">
        <v>85</v>
      </c>
      <c r="BK271" s="104">
        <f t="shared" si="69"/>
        <v>400</v>
      </c>
      <c r="BL271" s="23" t="s">
        <v>218</v>
      </c>
      <c r="BM271" s="101" t="s">
        <v>1572</v>
      </c>
    </row>
    <row r="272" spans="2:65" s="1" customFormat="1" ht="16.5" customHeight="1">
      <c r="B272" s="12"/>
      <c r="C272" s="71" t="s">
        <v>1053</v>
      </c>
      <c r="D272" s="71" t="s">
        <v>214</v>
      </c>
      <c r="E272" s="72" t="s">
        <v>4375</v>
      </c>
      <c r="F272" s="73" t="s">
        <v>4376</v>
      </c>
      <c r="G272" s="74" t="s">
        <v>808</v>
      </c>
      <c r="H272" s="75">
        <v>1</v>
      </c>
      <c r="I272" s="90">
        <v>1000</v>
      </c>
      <c r="J272" s="91">
        <f t="shared" si="60"/>
        <v>1000</v>
      </c>
      <c r="K272" s="92"/>
      <c r="L272" s="12"/>
      <c r="M272" s="93" t="s">
        <v>1</v>
      </c>
      <c r="N272" s="94" t="s">
        <v>42</v>
      </c>
      <c r="P272" s="95">
        <f t="shared" si="61"/>
        <v>0</v>
      </c>
      <c r="Q272" s="95">
        <v>0</v>
      </c>
      <c r="R272" s="95">
        <f t="shared" si="62"/>
        <v>0</v>
      </c>
      <c r="S272" s="95">
        <v>0</v>
      </c>
      <c r="T272" s="99">
        <f t="shared" si="63"/>
        <v>0</v>
      </c>
      <c r="AR272" s="101" t="s">
        <v>218</v>
      </c>
      <c r="AT272" s="101" t="s">
        <v>214</v>
      </c>
      <c r="AU272" s="101" t="s">
        <v>87</v>
      </c>
      <c r="AY272" s="23" t="s">
        <v>211</v>
      </c>
      <c r="BE272" s="104">
        <f t="shared" si="64"/>
        <v>1000</v>
      </c>
      <c r="BF272" s="104">
        <f t="shared" si="65"/>
        <v>0</v>
      </c>
      <c r="BG272" s="104">
        <f t="shared" si="66"/>
        <v>0</v>
      </c>
      <c r="BH272" s="104">
        <f t="shared" si="67"/>
        <v>0</v>
      </c>
      <c r="BI272" s="104">
        <f t="shared" si="68"/>
        <v>0</v>
      </c>
      <c r="BJ272" s="23" t="s">
        <v>85</v>
      </c>
      <c r="BK272" s="104">
        <f t="shared" si="69"/>
        <v>1000</v>
      </c>
      <c r="BL272" s="23" t="s">
        <v>218</v>
      </c>
      <c r="BM272" s="101" t="s">
        <v>1580</v>
      </c>
    </row>
    <row r="273" spans="2:65" s="1" customFormat="1" ht="16.5" customHeight="1">
      <c r="B273" s="12"/>
      <c r="C273" s="71" t="s">
        <v>1058</v>
      </c>
      <c r="D273" s="71" t="s">
        <v>214</v>
      </c>
      <c r="E273" s="72" t="s">
        <v>4377</v>
      </c>
      <c r="F273" s="73" t="s">
        <v>4378</v>
      </c>
      <c r="G273" s="74" t="s">
        <v>808</v>
      </c>
      <c r="H273" s="75">
        <v>1</v>
      </c>
      <c r="I273" s="90">
        <v>900</v>
      </c>
      <c r="J273" s="91">
        <f t="shared" si="60"/>
        <v>900</v>
      </c>
      <c r="K273" s="92"/>
      <c r="L273" s="12"/>
      <c r="M273" s="93" t="s">
        <v>1</v>
      </c>
      <c r="N273" s="94" t="s">
        <v>42</v>
      </c>
      <c r="P273" s="95">
        <f t="shared" si="61"/>
        <v>0</v>
      </c>
      <c r="Q273" s="95">
        <v>0</v>
      </c>
      <c r="R273" s="95">
        <f t="shared" si="62"/>
        <v>0</v>
      </c>
      <c r="S273" s="95">
        <v>0</v>
      </c>
      <c r="T273" s="99">
        <f t="shared" si="63"/>
        <v>0</v>
      </c>
      <c r="AR273" s="101" t="s">
        <v>218</v>
      </c>
      <c r="AT273" s="101" t="s">
        <v>214</v>
      </c>
      <c r="AU273" s="101" t="s">
        <v>87</v>
      </c>
      <c r="AY273" s="23" t="s">
        <v>211</v>
      </c>
      <c r="BE273" s="104">
        <f t="shared" si="64"/>
        <v>900</v>
      </c>
      <c r="BF273" s="104">
        <f t="shared" si="65"/>
        <v>0</v>
      </c>
      <c r="BG273" s="104">
        <f t="shared" si="66"/>
        <v>0</v>
      </c>
      <c r="BH273" s="104">
        <f t="shared" si="67"/>
        <v>0</v>
      </c>
      <c r="BI273" s="104">
        <f t="shared" si="68"/>
        <v>0</v>
      </c>
      <c r="BJ273" s="23" t="s">
        <v>85</v>
      </c>
      <c r="BK273" s="104">
        <f t="shared" si="69"/>
        <v>900</v>
      </c>
      <c r="BL273" s="23" t="s">
        <v>218</v>
      </c>
      <c r="BM273" s="101" t="s">
        <v>1588</v>
      </c>
    </row>
    <row r="274" spans="2:65" s="1" customFormat="1" ht="49.35" customHeight="1">
      <c r="B274" s="12"/>
      <c r="C274" s="71" t="s">
        <v>1062</v>
      </c>
      <c r="D274" s="71" t="s">
        <v>214</v>
      </c>
      <c r="E274" s="72" t="s">
        <v>4379</v>
      </c>
      <c r="F274" s="73" t="s">
        <v>4380</v>
      </c>
      <c r="G274" s="74" t="s">
        <v>431</v>
      </c>
      <c r="H274" s="75">
        <v>3</v>
      </c>
      <c r="I274" s="90">
        <v>450</v>
      </c>
      <c r="J274" s="91">
        <f t="shared" si="60"/>
        <v>1350</v>
      </c>
      <c r="K274" s="92"/>
      <c r="L274" s="12"/>
      <c r="M274" s="93" t="s">
        <v>1</v>
      </c>
      <c r="N274" s="94" t="s">
        <v>42</v>
      </c>
      <c r="P274" s="95">
        <f t="shared" si="61"/>
        <v>0</v>
      </c>
      <c r="Q274" s="95">
        <v>0</v>
      </c>
      <c r="R274" s="95">
        <f t="shared" si="62"/>
        <v>0</v>
      </c>
      <c r="S274" s="95">
        <v>0</v>
      </c>
      <c r="T274" s="99">
        <f t="shared" si="63"/>
        <v>0</v>
      </c>
      <c r="AR274" s="101" t="s">
        <v>218</v>
      </c>
      <c r="AT274" s="101" t="s">
        <v>214</v>
      </c>
      <c r="AU274" s="101" t="s">
        <v>87</v>
      </c>
      <c r="AY274" s="23" t="s">
        <v>211</v>
      </c>
      <c r="BE274" s="104">
        <f t="shared" si="64"/>
        <v>1350</v>
      </c>
      <c r="BF274" s="104">
        <f t="shared" si="65"/>
        <v>0</v>
      </c>
      <c r="BG274" s="104">
        <f t="shared" si="66"/>
        <v>0</v>
      </c>
      <c r="BH274" s="104">
        <f t="shared" si="67"/>
        <v>0</v>
      </c>
      <c r="BI274" s="104">
        <f t="shared" si="68"/>
        <v>0</v>
      </c>
      <c r="BJ274" s="23" t="s">
        <v>85</v>
      </c>
      <c r="BK274" s="104">
        <f t="shared" si="69"/>
        <v>1350</v>
      </c>
      <c r="BL274" s="23" t="s">
        <v>218</v>
      </c>
      <c r="BM274" s="101" t="s">
        <v>1596</v>
      </c>
    </row>
    <row r="275" spans="2:65" s="1" customFormat="1" ht="49.35" customHeight="1">
      <c r="B275" s="12"/>
      <c r="C275" s="71" t="s">
        <v>1067</v>
      </c>
      <c r="D275" s="71" t="s">
        <v>214</v>
      </c>
      <c r="E275" s="72" t="s">
        <v>4381</v>
      </c>
      <c r="F275" s="73" t="s">
        <v>4382</v>
      </c>
      <c r="G275" s="74" t="s">
        <v>431</v>
      </c>
      <c r="H275" s="75">
        <v>30</v>
      </c>
      <c r="I275" s="90">
        <v>1100</v>
      </c>
      <c r="J275" s="91">
        <f t="shared" si="60"/>
        <v>33000</v>
      </c>
      <c r="K275" s="92"/>
      <c r="L275" s="12"/>
      <c r="M275" s="93" t="s">
        <v>1</v>
      </c>
      <c r="N275" s="94" t="s">
        <v>42</v>
      </c>
      <c r="P275" s="95">
        <f t="shared" si="61"/>
        <v>0</v>
      </c>
      <c r="Q275" s="95">
        <v>0</v>
      </c>
      <c r="R275" s="95">
        <f t="shared" si="62"/>
        <v>0</v>
      </c>
      <c r="S275" s="95">
        <v>0</v>
      </c>
      <c r="T275" s="99">
        <f t="shared" si="63"/>
        <v>0</v>
      </c>
      <c r="AR275" s="101" t="s">
        <v>218</v>
      </c>
      <c r="AT275" s="101" t="s">
        <v>214</v>
      </c>
      <c r="AU275" s="101" t="s">
        <v>87</v>
      </c>
      <c r="AY275" s="23" t="s">
        <v>211</v>
      </c>
      <c r="BE275" s="104">
        <f t="shared" si="64"/>
        <v>33000</v>
      </c>
      <c r="BF275" s="104">
        <f t="shared" si="65"/>
        <v>0</v>
      </c>
      <c r="BG275" s="104">
        <f t="shared" si="66"/>
        <v>0</v>
      </c>
      <c r="BH275" s="104">
        <f t="shared" si="67"/>
        <v>0</v>
      </c>
      <c r="BI275" s="104">
        <f t="shared" si="68"/>
        <v>0</v>
      </c>
      <c r="BJ275" s="23" t="s">
        <v>85</v>
      </c>
      <c r="BK275" s="104">
        <f t="shared" si="69"/>
        <v>33000</v>
      </c>
      <c r="BL275" s="23" t="s">
        <v>218</v>
      </c>
      <c r="BM275" s="101" t="s">
        <v>1605</v>
      </c>
    </row>
    <row r="276" spans="2:65" s="1" customFormat="1" ht="49.35" customHeight="1">
      <c r="B276" s="12"/>
      <c r="C276" s="71" t="s">
        <v>1072</v>
      </c>
      <c r="D276" s="71" t="s">
        <v>214</v>
      </c>
      <c r="E276" s="72" t="s">
        <v>4282</v>
      </c>
      <c r="F276" s="73" t="s">
        <v>4283</v>
      </c>
      <c r="G276" s="74" t="s">
        <v>431</v>
      </c>
      <c r="H276" s="75">
        <v>75</v>
      </c>
      <c r="I276" s="90">
        <v>330</v>
      </c>
      <c r="J276" s="91">
        <f t="shared" si="60"/>
        <v>24750</v>
      </c>
      <c r="K276" s="92"/>
      <c r="L276" s="12"/>
      <c r="M276" s="93" t="s">
        <v>1</v>
      </c>
      <c r="N276" s="94" t="s">
        <v>42</v>
      </c>
      <c r="P276" s="95">
        <f t="shared" si="61"/>
        <v>0</v>
      </c>
      <c r="Q276" s="95">
        <v>0</v>
      </c>
      <c r="R276" s="95">
        <f t="shared" si="62"/>
        <v>0</v>
      </c>
      <c r="S276" s="95">
        <v>0</v>
      </c>
      <c r="T276" s="99">
        <f t="shared" si="63"/>
        <v>0</v>
      </c>
      <c r="AR276" s="101" t="s">
        <v>218</v>
      </c>
      <c r="AT276" s="101" t="s">
        <v>214</v>
      </c>
      <c r="AU276" s="101" t="s">
        <v>87</v>
      </c>
      <c r="AY276" s="23" t="s">
        <v>211</v>
      </c>
      <c r="BE276" s="104">
        <f t="shared" si="64"/>
        <v>24750</v>
      </c>
      <c r="BF276" s="104">
        <f t="shared" si="65"/>
        <v>0</v>
      </c>
      <c r="BG276" s="104">
        <f t="shared" si="66"/>
        <v>0</v>
      </c>
      <c r="BH276" s="104">
        <f t="shared" si="67"/>
        <v>0</v>
      </c>
      <c r="BI276" s="104">
        <f t="shared" si="68"/>
        <v>0</v>
      </c>
      <c r="BJ276" s="23" t="s">
        <v>85</v>
      </c>
      <c r="BK276" s="104">
        <f t="shared" si="69"/>
        <v>24750</v>
      </c>
      <c r="BL276" s="23" t="s">
        <v>218</v>
      </c>
      <c r="BM276" s="101" t="s">
        <v>1624</v>
      </c>
    </row>
    <row r="277" spans="2:65" s="1" customFormat="1" ht="49.35" customHeight="1">
      <c r="B277" s="12"/>
      <c r="C277" s="71" t="s">
        <v>1083</v>
      </c>
      <c r="D277" s="71" t="s">
        <v>214</v>
      </c>
      <c r="E277" s="72" t="s">
        <v>4284</v>
      </c>
      <c r="F277" s="73" t="s">
        <v>4285</v>
      </c>
      <c r="G277" s="74" t="s">
        <v>431</v>
      </c>
      <c r="H277" s="75">
        <v>40</v>
      </c>
      <c r="I277" s="90">
        <v>250</v>
      </c>
      <c r="J277" s="91">
        <f t="shared" si="60"/>
        <v>10000</v>
      </c>
      <c r="K277" s="92"/>
      <c r="L277" s="12"/>
      <c r="M277" s="93" t="s">
        <v>1</v>
      </c>
      <c r="N277" s="94" t="s">
        <v>42</v>
      </c>
      <c r="P277" s="95">
        <f t="shared" si="61"/>
        <v>0</v>
      </c>
      <c r="Q277" s="95">
        <v>0</v>
      </c>
      <c r="R277" s="95">
        <f t="shared" si="62"/>
        <v>0</v>
      </c>
      <c r="S277" s="95">
        <v>0</v>
      </c>
      <c r="T277" s="99">
        <f t="shared" si="63"/>
        <v>0</v>
      </c>
      <c r="AR277" s="101" t="s">
        <v>218</v>
      </c>
      <c r="AT277" s="101" t="s">
        <v>214</v>
      </c>
      <c r="AU277" s="101" t="s">
        <v>87</v>
      </c>
      <c r="AY277" s="23" t="s">
        <v>211</v>
      </c>
      <c r="BE277" s="104">
        <f t="shared" si="64"/>
        <v>10000</v>
      </c>
      <c r="BF277" s="104">
        <f t="shared" si="65"/>
        <v>0</v>
      </c>
      <c r="BG277" s="104">
        <f t="shared" si="66"/>
        <v>0</v>
      </c>
      <c r="BH277" s="104">
        <f t="shared" si="67"/>
        <v>0</v>
      </c>
      <c r="BI277" s="104">
        <f t="shared" si="68"/>
        <v>0</v>
      </c>
      <c r="BJ277" s="23" t="s">
        <v>85</v>
      </c>
      <c r="BK277" s="104">
        <f t="shared" si="69"/>
        <v>10000</v>
      </c>
      <c r="BL277" s="23" t="s">
        <v>218</v>
      </c>
      <c r="BM277" s="101" t="s">
        <v>1650</v>
      </c>
    </row>
    <row r="278" spans="2:65" s="1" customFormat="1" ht="24.15" customHeight="1">
      <c r="B278" s="12"/>
      <c r="C278" s="71" t="s">
        <v>1087</v>
      </c>
      <c r="D278" s="71" t="s">
        <v>214</v>
      </c>
      <c r="E278" s="72" t="s">
        <v>4292</v>
      </c>
      <c r="F278" s="73" t="s">
        <v>4293</v>
      </c>
      <c r="G278" s="74" t="s">
        <v>279</v>
      </c>
      <c r="H278" s="75">
        <v>55</v>
      </c>
      <c r="I278" s="90">
        <v>500</v>
      </c>
      <c r="J278" s="91">
        <f t="shared" si="60"/>
        <v>27500</v>
      </c>
      <c r="K278" s="92"/>
      <c r="L278" s="12"/>
      <c r="M278" s="93" t="s">
        <v>1</v>
      </c>
      <c r="N278" s="94" t="s">
        <v>42</v>
      </c>
      <c r="P278" s="95">
        <f t="shared" si="61"/>
        <v>0</v>
      </c>
      <c r="Q278" s="95">
        <v>0</v>
      </c>
      <c r="R278" s="95">
        <f t="shared" si="62"/>
        <v>0</v>
      </c>
      <c r="S278" s="95">
        <v>0</v>
      </c>
      <c r="T278" s="99">
        <f t="shared" si="63"/>
        <v>0</v>
      </c>
      <c r="AR278" s="101" t="s">
        <v>218</v>
      </c>
      <c r="AT278" s="101" t="s">
        <v>214</v>
      </c>
      <c r="AU278" s="101" t="s">
        <v>87</v>
      </c>
      <c r="AY278" s="23" t="s">
        <v>211</v>
      </c>
      <c r="BE278" s="104">
        <f t="shared" si="64"/>
        <v>27500</v>
      </c>
      <c r="BF278" s="104">
        <f t="shared" si="65"/>
        <v>0</v>
      </c>
      <c r="BG278" s="104">
        <f t="shared" si="66"/>
        <v>0</v>
      </c>
      <c r="BH278" s="104">
        <f t="shared" si="67"/>
        <v>0</v>
      </c>
      <c r="BI278" s="104">
        <f t="shared" si="68"/>
        <v>0</v>
      </c>
      <c r="BJ278" s="23" t="s">
        <v>85</v>
      </c>
      <c r="BK278" s="104">
        <f t="shared" si="69"/>
        <v>27500</v>
      </c>
      <c r="BL278" s="23" t="s">
        <v>218</v>
      </c>
      <c r="BM278" s="101" t="s">
        <v>1659</v>
      </c>
    </row>
    <row r="279" spans="2:65" s="31" customFormat="1" ht="23.1" customHeight="1">
      <c r="B279" s="67"/>
      <c r="D279" s="68" t="s">
        <v>76</v>
      </c>
      <c r="E279" s="70" t="s">
        <v>4383</v>
      </c>
      <c r="F279" s="70" t="s">
        <v>4384</v>
      </c>
      <c r="I279" s="85"/>
      <c r="J279" s="89">
        <f>BK279</f>
        <v>142360</v>
      </c>
      <c r="L279" s="67"/>
      <c r="M279" s="87"/>
      <c r="P279" s="88">
        <f>SUM(P280:P290)</f>
        <v>0</v>
      </c>
      <c r="R279" s="88">
        <f>SUM(R280:R290)</f>
        <v>0</v>
      </c>
      <c r="T279" s="98">
        <f>SUM(T280:T290)</f>
        <v>0</v>
      </c>
      <c r="AR279" s="68" t="s">
        <v>85</v>
      </c>
      <c r="AT279" s="100" t="s">
        <v>76</v>
      </c>
      <c r="AU279" s="100" t="s">
        <v>85</v>
      </c>
      <c r="AY279" s="68" t="s">
        <v>211</v>
      </c>
      <c r="BK279" s="103">
        <f>SUM(BK280:BK290)</f>
        <v>142360</v>
      </c>
    </row>
    <row r="280" spans="2:65" s="1" customFormat="1" ht="16.5" customHeight="1">
      <c r="B280" s="12"/>
      <c r="C280" s="71" t="s">
        <v>1098</v>
      </c>
      <c r="D280" s="71" t="s">
        <v>214</v>
      </c>
      <c r="E280" s="72" t="s">
        <v>4385</v>
      </c>
      <c r="F280" s="73" t="s">
        <v>4296</v>
      </c>
      <c r="G280" s="74" t="s">
        <v>808</v>
      </c>
      <c r="H280" s="75">
        <v>2</v>
      </c>
      <c r="I280" s="90">
        <v>53000</v>
      </c>
      <c r="J280" s="91">
        <f>ROUND(I280*H280,2)</f>
        <v>106000</v>
      </c>
      <c r="K280" s="92"/>
      <c r="L280" s="12"/>
      <c r="M280" s="93" t="s">
        <v>1</v>
      </c>
      <c r="N280" s="94" t="s">
        <v>42</v>
      </c>
      <c r="P280" s="95">
        <f>O280*H280</f>
        <v>0</v>
      </c>
      <c r="Q280" s="95">
        <v>0</v>
      </c>
      <c r="R280" s="95">
        <f>Q280*H280</f>
        <v>0</v>
      </c>
      <c r="S280" s="95">
        <v>0</v>
      </c>
      <c r="T280" s="99">
        <f>S280*H280</f>
        <v>0</v>
      </c>
      <c r="AR280" s="101" t="s">
        <v>218</v>
      </c>
      <c r="AT280" s="101" t="s">
        <v>214</v>
      </c>
      <c r="AU280" s="101" t="s">
        <v>87</v>
      </c>
      <c r="AY280" s="23" t="s">
        <v>211</v>
      </c>
      <c r="BE280" s="104">
        <f>IF(N280="základní",J280,0)</f>
        <v>106000</v>
      </c>
      <c r="BF280" s="104">
        <f>IF(N280="snížená",J280,0)</f>
        <v>0</v>
      </c>
      <c r="BG280" s="104">
        <f>IF(N280="zákl. přenesená",J280,0)</f>
        <v>0</v>
      </c>
      <c r="BH280" s="104">
        <f>IF(N280="sníž. přenesená",J280,0)</f>
        <v>0</v>
      </c>
      <c r="BI280" s="104">
        <f>IF(N280="nulová",J280,0)</f>
        <v>0</v>
      </c>
      <c r="BJ280" s="23" t="s">
        <v>85</v>
      </c>
      <c r="BK280" s="104">
        <f>ROUND(I280*H280,2)</f>
        <v>106000</v>
      </c>
      <c r="BL280" s="23" t="s">
        <v>218</v>
      </c>
      <c r="BM280" s="101" t="s">
        <v>1669</v>
      </c>
    </row>
    <row r="281" spans="2:65" s="1" customFormat="1" ht="76.8">
      <c r="B281" s="12"/>
      <c r="D281" s="105" t="s">
        <v>227</v>
      </c>
      <c r="F281" s="106" t="s">
        <v>4386</v>
      </c>
      <c r="I281" s="107"/>
      <c r="L281" s="12"/>
      <c r="M281" s="108"/>
      <c r="T281" s="111"/>
      <c r="AT281" s="23" t="s">
        <v>227</v>
      </c>
      <c r="AU281" s="23" t="s">
        <v>87</v>
      </c>
    </row>
    <row r="282" spans="2:65" s="1" customFormat="1" ht="16.5" customHeight="1">
      <c r="B282" s="12"/>
      <c r="C282" s="71" t="s">
        <v>1102</v>
      </c>
      <c r="D282" s="71" t="s">
        <v>214</v>
      </c>
      <c r="E282" s="72" t="s">
        <v>4298</v>
      </c>
      <c r="F282" s="73" t="s">
        <v>4299</v>
      </c>
      <c r="G282" s="74" t="s">
        <v>808</v>
      </c>
      <c r="H282" s="75">
        <v>8</v>
      </c>
      <c r="I282" s="90">
        <v>1760</v>
      </c>
      <c r="J282" s="91">
        <f t="shared" ref="J282:J290" si="70">ROUND(I282*H282,2)</f>
        <v>14080</v>
      </c>
      <c r="K282" s="92"/>
      <c r="L282" s="12"/>
      <c r="M282" s="93" t="s">
        <v>1</v>
      </c>
      <c r="N282" s="94" t="s">
        <v>42</v>
      </c>
      <c r="P282" s="95">
        <f t="shared" ref="P282:P290" si="71">O282*H282</f>
        <v>0</v>
      </c>
      <c r="Q282" s="95">
        <v>0</v>
      </c>
      <c r="R282" s="95">
        <f t="shared" ref="R282:R290" si="72">Q282*H282</f>
        <v>0</v>
      </c>
      <c r="S282" s="95">
        <v>0</v>
      </c>
      <c r="T282" s="99">
        <f t="shared" ref="T282:T290" si="73">S282*H282</f>
        <v>0</v>
      </c>
      <c r="AR282" s="101" t="s">
        <v>218</v>
      </c>
      <c r="AT282" s="101" t="s">
        <v>214</v>
      </c>
      <c r="AU282" s="101" t="s">
        <v>87</v>
      </c>
      <c r="AY282" s="23" t="s">
        <v>211</v>
      </c>
      <c r="BE282" s="104">
        <f t="shared" ref="BE282:BE290" si="74">IF(N282="základní",J282,0)</f>
        <v>14080</v>
      </c>
      <c r="BF282" s="104">
        <f t="shared" ref="BF282:BF290" si="75">IF(N282="snížená",J282,0)</f>
        <v>0</v>
      </c>
      <c r="BG282" s="104">
        <f t="shared" ref="BG282:BG290" si="76">IF(N282="zákl. přenesená",J282,0)</f>
        <v>0</v>
      </c>
      <c r="BH282" s="104">
        <f t="shared" ref="BH282:BH290" si="77">IF(N282="sníž. přenesená",J282,0)</f>
        <v>0</v>
      </c>
      <c r="BI282" s="104">
        <f t="shared" ref="BI282:BI290" si="78">IF(N282="nulová",J282,0)</f>
        <v>0</v>
      </c>
      <c r="BJ282" s="23" t="s">
        <v>85</v>
      </c>
      <c r="BK282" s="104">
        <f t="shared" ref="BK282:BK290" si="79">ROUND(I282*H282,2)</f>
        <v>14080</v>
      </c>
      <c r="BL282" s="23" t="s">
        <v>218</v>
      </c>
      <c r="BM282" s="101" t="s">
        <v>1678</v>
      </c>
    </row>
    <row r="283" spans="2:65" s="1" customFormat="1" ht="16.5" customHeight="1">
      <c r="B283" s="12"/>
      <c r="C283" s="71" t="s">
        <v>1112</v>
      </c>
      <c r="D283" s="71" t="s">
        <v>214</v>
      </c>
      <c r="E283" s="72" t="s">
        <v>4300</v>
      </c>
      <c r="F283" s="73" t="s">
        <v>4261</v>
      </c>
      <c r="G283" s="74" t="s">
        <v>808</v>
      </c>
      <c r="H283" s="75">
        <v>4</v>
      </c>
      <c r="I283" s="90">
        <v>120</v>
      </c>
      <c r="J283" s="91">
        <f t="shared" si="70"/>
        <v>480</v>
      </c>
      <c r="K283" s="92"/>
      <c r="L283" s="12"/>
      <c r="M283" s="93" t="s">
        <v>1</v>
      </c>
      <c r="N283" s="94" t="s">
        <v>42</v>
      </c>
      <c r="P283" s="95">
        <f t="shared" si="71"/>
        <v>0</v>
      </c>
      <c r="Q283" s="95">
        <v>0</v>
      </c>
      <c r="R283" s="95">
        <f t="shared" si="72"/>
        <v>0</v>
      </c>
      <c r="S283" s="95">
        <v>0</v>
      </c>
      <c r="T283" s="99">
        <f t="shared" si="73"/>
        <v>0</v>
      </c>
      <c r="AR283" s="101" t="s">
        <v>218</v>
      </c>
      <c r="AT283" s="101" t="s">
        <v>214</v>
      </c>
      <c r="AU283" s="101" t="s">
        <v>87</v>
      </c>
      <c r="AY283" s="23" t="s">
        <v>211</v>
      </c>
      <c r="BE283" s="104">
        <f t="shared" si="74"/>
        <v>480</v>
      </c>
      <c r="BF283" s="104">
        <f t="shared" si="75"/>
        <v>0</v>
      </c>
      <c r="BG283" s="104">
        <f t="shared" si="76"/>
        <v>0</v>
      </c>
      <c r="BH283" s="104">
        <f t="shared" si="77"/>
        <v>0</v>
      </c>
      <c r="BI283" s="104">
        <f t="shared" si="78"/>
        <v>0</v>
      </c>
      <c r="BJ283" s="23" t="s">
        <v>85</v>
      </c>
      <c r="BK283" s="104">
        <f t="shared" si="79"/>
        <v>480</v>
      </c>
      <c r="BL283" s="23" t="s">
        <v>218</v>
      </c>
      <c r="BM283" s="101" t="s">
        <v>1686</v>
      </c>
    </row>
    <row r="284" spans="2:65" s="1" customFormat="1" ht="16.5" customHeight="1">
      <c r="B284" s="12"/>
      <c r="C284" s="71" t="s">
        <v>1121</v>
      </c>
      <c r="D284" s="71" t="s">
        <v>214</v>
      </c>
      <c r="E284" s="72" t="s">
        <v>4301</v>
      </c>
      <c r="F284" s="73" t="s">
        <v>4302</v>
      </c>
      <c r="G284" s="74" t="s">
        <v>808</v>
      </c>
      <c r="H284" s="75">
        <v>4</v>
      </c>
      <c r="I284" s="90">
        <v>200</v>
      </c>
      <c r="J284" s="91">
        <f t="shared" si="70"/>
        <v>800</v>
      </c>
      <c r="K284" s="92"/>
      <c r="L284" s="12"/>
      <c r="M284" s="93" t="s">
        <v>1</v>
      </c>
      <c r="N284" s="94" t="s">
        <v>42</v>
      </c>
      <c r="P284" s="95">
        <f t="shared" si="71"/>
        <v>0</v>
      </c>
      <c r="Q284" s="95">
        <v>0</v>
      </c>
      <c r="R284" s="95">
        <f t="shared" si="72"/>
        <v>0</v>
      </c>
      <c r="S284" s="95">
        <v>0</v>
      </c>
      <c r="T284" s="99">
        <f t="shared" si="73"/>
        <v>0</v>
      </c>
      <c r="AR284" s="101" t="s">
        <v>218</v>
      </c>
      <c r="AT284" s="101" t="s">
        <v>214</v>
      </c>
      <c r="AU284" s="101" t="s">
        <v>87</v>
      </c>
      <c r="AY284" s="23" t="s">
        <v>211</v>
      </c>
      <c r="BE284" s="104">
        <f t="shared" si="74"/>
        <v>800</v>
      </c>
      <c r="BF284" s="104">
        <f t="shared" si="75"/>
        <v>0</v>
      </c>
      <c r="BG284" s="104">
        <f t="shared" si="76"/>
        <v>0</v>
      </c>
      <c r="BH284" s="104">
        <f t="shared" si="77"/>
        <v>0</v>
      </c>
      <c r="BI284" s="104">
        <f t="shared" si="78"/>
        <v>0</v>
      </c>
      <c r="BJ284" s="23" t="s">
        <v>85</v>
      </c>
      <c r="BK284" s="104">
        <f t="shared" si="79"/>
        <v>800</v>
      </c>
      <c r="BL284" s="23" t="s">
        <v>218</v>
      </c>
      <c r="BM284" s="101" t="s">
        <v>1694</v>
      </c>
    </row>
    <row r="285" spans="2:65" s="1" customFormat="1" ht="16.5" customHeight="1">
      <c r="B285" s="12"/>
      <c r="C285" s="71" t="s">
        <v>1129</v>
      </c>
      <c r="D285" s="71" t="s">
        <v>214</v>
      </c>
      <c r="E285" s="72" t="s">
        <v>4303</v>
      </c>
      <c r="F285" s="73" t="s">
        <v>4304</v>
      </c>
      <c r="G285" s="74" t="s">
        <v>808</v>
      </c>
      <c r="H285" s="75">
        <v>4</v>
      </c>
      <c r="I285" s="90">
        <v>400</v>
      </c>
      <c r="J285" s="91">
        <f t="shared" si="70"/>
        <v>1600</v>
      </c>
      <c r="K285" s="92"/>
      <c r="L285" s="12"/>
      <c r="M285" s="93" t="s">
        <v>1</v>
      </c>
      <c r="N285" s="94" t="s">
        <v>42</v>
      </c>
      <c r="P285" s="95">
        <f t="shared" si="71"/>
        <v>0</v>
      </c>
      <c r="Q285" s="95">
        <v>0</v>
      </c>
      <c r="R285" s="95">
        <f t="shared" si="72"/>
        <v>0</v>
      </c>
      <c r="S285" s="95">
        <v>0</v>
      </c>
      <c r="T285" s="99">
        <f t="shared" si="73"/>
        <v>0</v>
      </c>
      <c r="AR285" s="101" t="s">
        <v>218</v>
      </c>
      <c r="AT285" s="101" t="s">
        <v>214</v>
      </c>
      <c r="AU285" s="101" t="s">
        <v>87</v>
      </c>
      <c r="AY285" s="23" t="s">
        <v>211</v>
      </c>
      <c r="BE285" s="104">
        <f t="shared" si="74"/>
        <v>1600</v>
      </c>
      <c r="BF285" s="104">
        <f t="shared" si="75"/>
        <v>0</v>
      </c>
      <c r="BG285" s="104">
        <f t="shared" si="76"/>
        <v>0</v>
      </c>
      <c r="BH285" s="104">
        <f t="shared" si="77"/>
        <v>0</v>
      </c>
      <c r="BI285" s="104">
        <f t="shared" si="78"/>
        <v>0</v>
      </c>
      <c r="BJ285" s="23" t="s">
        <v>85</v>
      </c>
      <c r="BK285" s="104">
        <f t="shared" si="79"/>
        <v>1600</v>
      </c>
      <c r="BL285" s="23" t="s">
        <v>218</v>
      </c>
      <c r="BM285" s="101" t="s">
        <v>1702</v>
      </c>
    </row>
    <row r="286" spans="2:65" s="1" customFormat="1" ht="16.5" customHeight="1">
      <c r="B286" s="12"/>
      <c r="C286" s="71" t="s">
        <v>1133</v>
      </c>
      <c r="D286" s="71" t="s">
        <v>214</v>
      </c>
      <c r="E286" s="72" t="s">
        <v>4387</v>
      </c>
      <c r="F286" s="73" t="s">
        <v>4308</v>
      </c>
      <c r="G286" s="74" t="s">
        <v>808</v>
      </c>
      <c r="H286" s="75">
        <v>4</v>
      </c>
      <c r="I286" s="153">
        <v>320</v>
      </c>
      <c r="J286" s="91">
        <f t="shared" si="70"/>
        <v>1280</v>
      </c>
      <c r="K286" s="92"/>
      <c r="L286" s="12"/>
      <c r="M286" s="93" t="s">
        <v>1</v>
      </c>
      <c r="N286" s="94" t="s">
        <v>42</v>
      </c>
      <c r="P286" s="95">
        <f t="shared" si="71"/>
        <v>0</v>
      </c>
      <c r="Q286" s="95">
        <v>0</v>
      </c>
      <c r="R286" s="95">
        <f t="shared" si="72"/>
        <v>0</v>
      </c>
      <c r="S286" s="95">
        <v>0</v>
      </c>
      <c r="T286" s="99">
        <f t="shared" si="73"/>
        <v>0</v>
      </c>
      <c r="AR286" s="101" t="s">
        <v>218</v>
      </c>
      <c r="AT286" s="101" t="s">
        <v>214</v>
      </c>
      <c r="AU286" s="101" t="s">
        <v>87</v>
      </c>
      <c r="AY286" s="23" t="s">
        <v>211</v>
      </c>
      <c r="BE286" s="104">
        <f t="shared" si="74"/>
        <v>1280</v>
      </c>
      <c r="BF286" s="104">
        <f t="shared" si="75"/>
        <v>0</v>
      </c>
      <c r="BG286" s="104">
        <f t="shared" si="76"/>
        <v>0</v>
      </c>
      <c r="BH286" s="104">
        <f t="shared" si="77"/>
        <v>0</v>
      </c>
      <c r="BI286" s="104">
        <f t="shared" si="78"/>
        <v>0</v>
      </c>
      <c r="BJ286" s="23" t="s">
        <v>85</v>
      </c>
      <c r="BK286" s="104">
        <f t="shared" si="79"/>
        <v>1280</v>
      </c>
      <c r="BL286" s="23" t="s">
        <v>218</v>
      </c>
      <c r="BM286" s="101" t="s">
        <v>1710</v>
      </c>
    </row>
    <row r="287" spans="2:65" s="1" customFormat="1" ht="49.35" customHeight="1">
      <c r="B287" s="12"/>
      <c r="C287" s="71" t="s">
        <v>1141</v>
      </c>
      <c r="D287" s="71" t="s">
        <v>214</v>
      </c>
      <c r="E287" s="72" t="s">
        <v>4284</v>
      </c>
      <c r="F287" s="73" t="s">
        <v>4285</v>
      </c>
      <c r="G287" s="74" t="s">
        <v>431</v>
      </c>
      <c r="H287" s="75">
        <v>60</v>
      </c>
      <c r="I287" s="90">
        <v>250</v>
      </c>
      <c r="J287" s="91">
        <f t="shared" si="70"/>
        <v>15000</v>
      </c>
      <c r="K287" s="92"/>
      <c r="L287" s="12"/>
      <c r="M287" s="93" t="s">
        <v>1</v>
      </c>
      <c r="N287" s="94" t="s">
        <v>42</v>
      </c>
      <c r="P287" s="95">
        <f t="shared" si="71"/>
        <v>0</v>
      </c>
      <c r="Q287" s="95">
        <v>0</v>
      </c>
      <c r="R287" s="95">
        <f t="shared" si="72"/>
        <v>0</v>
      </c>
      <c r="S287" s="95">
        <v>0</v>
      </c>
      <c r="T287" s="99">
        <f t="shared" si="73"/>
        <v>0</v>
      </c>
      <c r="AR287" s="101" t="s">
        <v>218</v>
      </c>
      <c r="AT287" s="101" t="s">
        <v>214</v>
      </c>
      <c r="AU287" s="101" t="s">
        <v>87</v>
      </c>
      <c r="AY287" s="23" t="s">
        <v>211</v>
      </c>
      <c r="BE287" s="104">
        <f t="shared" si="74"/>
        <v>15000</v>
      </c>
      <c r="BF287" s="104">
        <f t="shared" si="75"/>
        <v>0</v>
      </c>
      <c r="BG287" s="104">
        <f t="shared" si="76"/>
        <v>0</v>
      </c>
      <c r="BH287" s="104">
        <f t="shared" si="77"/>
        <v>0</v>
      </c>
      <c r="BI287" s="104">
        <f t="shared" si="78"/>
        <v>0</v>
      </c>
      <c r="BJ287" s="23" t="s">
        <v>85</v>
      </c>
      <c r="BK287" s="104">
        <f t="shared" si="79"/>
        <v>15000</v>
      </c>
      <c r="BL287" s="23" t="s">
        <v>218</v>
      </c>
      <c r="BM287" s="101" t="s">
        <v>1718</v>
      </c>
    </row>
    <row r="288" spans="2:65" s="1" customFormat="1" ht="49.35" customHeight="1">
      <c r="B288" s="12"/>
      <c r="C288" s="71" t="s">
        <v>1148</v>
      </c>
      <c r="D288" s="71" t="s">
        <v>214</v>
      </c>
      <c r="E288" s="72" t="s">
        <v>4286</v>
      </c>
      <c r="F288" s="73" t="s">
        <v>4287</v>
      </c>
      <c r="G288" s="74" t="s">
        <v>431</v>
      </c>
      <c r="H288" s="75">
        <v>8</v>
      </c>
      <c r="I288" s="153">
        <v>200</v>
      </c>
      <c r="J288" s="91">
        <f t="shared" si="70"/>
        <v>1600</v>
      </c>
      <c r="K288" s="92"/>
      <c r="L288" s="12"/>
      <c r="M288" s="93" t="s">
        <v>1</v>
      </c>
      <c r="N288" s="94" t="s">
        <v>42</v>
      </c>
      <c r="P288" s="95">
        <f t="shared" si="71"/>
        <v>0</v>
      </c>
      <c r="Q288" s="95">
        <v>0</v>
      </c>
      <c r="R288" s="95">
        <f t="shared" si="72"/>
        <v>0</v>
      </c>
      <c r="S288" s="95">
        <v>0</v>
      </c>
      <c r="T288" s="99">
        <f t="shared" si="73"/>
        <v>0</v>
      </c>
      <c r="AR288" s="101" t="s">
        <v>218</v>
      </c>
      <c r="AT288" s="101" t="s">
        <v>214</v>
      </c>
      <c r="AU288" s="101" t="s">
        <v>87</v>
      </c>
      <c r="AY288" s="23" t="s">
        <v>211</v>
      </c>
      <c r="BE288" s="104">
        <f t="shared" si="74"/>
        <v>1600</v>
      </c>
      <c r="BF288" s="104">
        <f t="shared" si="75"/>
        <v>0</v>
      </c>
      <c r="BG288" s="104">
        <f t="shared" si="76"/>
        <v>0</v>
      </c>
      <c r="BH288" s="104">
        <f t="shared" si="77"/>
        <v>0</v>
      </c>
      <c r="BI288" s="104">
        <f t="shared" si="78"/>
        <v>0</v>
      </c>
      <c r="BJ288" s="23" t="s">
        <v>85</v>
      </c>
      <c r="BK288" s="104">
        <f t="shared" si="79"/>
        <v>1600</v>
      </c>
      <c r="BL288" s="23" t="s">
        <v>218</v>
      </c>
      <c r="BM288" s="101" t="s">
        <v>1726</v>
      </c>
    </row>
    <row r="289" spans="2:65" s="1" customFormat="1" ht="16.5" customHeight="1">
      <c r="B289" s="12"/>
      <c r="C289" s="71" t="s">
        <v>1153</v>
      </c>
      <c r="D289" s="71" t="s">
        <v>214</v>
      </c>
      <c r="E289" s="72" t="s">
        <v>4309</v>
      </c>
      <c r="F289" s="73" t="s">
        <v>4310</v>
      </c>
      <c r="G289" s="74" t="s">
        <v>431</v>
      </c>
      <c r="H289" s="75">
        <v>4</v>
      </c>
      <c r="I289" s="90">
        <v>200</v>
      </c>
      <c r="J289" s="91">
        <f t="shared" si="70"/>
        <v>800</v>
      </c>
      <c r="K289" s="92"/>
      <c r="L289" s="12"/>
      <c r="M289" s="93" t="s">
        <v>1</v>
      </c>
      <c r="N289" s="94" t="s">
        <v>42</v>
      </c>
      <c r="P289" s="95">
        <f t="shared" si="71"/>
        <v>0</v>
      </c>
      <c r="Q289" s="95">
        <v>0</v>
      </c>
      <c r="R289" s="95">
        <f t="shared" si="72"/>
        <v>0</v>
      </c>
      <c r="S289" s="95">
        <v>0</v>
      </c>
      <c r="T289" s="99">
        <f t="shared" si="73"/>
        <v>0</v>
      </c>
      <c r="AR289" s="101" t="s">
        <v>218</v>
      </c>
      <c r="AT289" s="101" t="s">
        <v>214</v>
      </c>
      <c r="AU289" s="101" t="s">
        <v>87</v>
      </c>
      <c r="AY289" s="23" t="s">
        <v>211</v>
      </c>
      <c r="BE289" s="104">
        <f t="shared" si="74"/>
        <v>800</v>
      </c>
      <c r="BF289" s="104">
        <f t="shared" si="75"/>
        <v>0</v>
      </c>
      <c r="BG289" s="104">
        <f t="shared" si="76"/>
        <v>0</v>
      </c>
      <c r="BH289" s="104">
        <f t="shared" si="77"/>
        <v>0</v>
      </c>
      <c r="BI289" s="104">
        <f t="shared" si="78"/>
        <v>0</v>
      </c>
      <c r="BJ289" s="23" t="s">
        <v>85</v>
      </c>
      <c r="BK289" s="104">
        <f t="shared" si="79"/>
        <v>800</v>
      </c>
      <c r="BL289" s="23" t="s">
        <v>218</v>
      </c>
      <c r="BM289" s="101" t="s">
        <v>1734</v>
      </c>
    </row>
    <row r="290" spans="2:65" s="1" customFormat="1" ht="16.5" customHeight="1">
      <c r="B290" s="12"/>
      <c r="C290" s="71" t="s">
        <v>1163</v>
      </c>
      <c r="D290" s="71" t="s">
        <v>214</v>
      </c>
      <c r="E290" s="72" t="s">
        <v>4388</v>
      </c>
      <c r="F290" s="73" t="s">
        <v>4312</v>
      </c>
      <c r="G290" s="74" t="s">
        <v>431</v>
      </c>
      <c r="H290" s="75">
        <v>4</v>
      </c>
      <c r="I290" s="90">
        <v>180</v>
      </c>
      <c r="J290" s="91">
        <f t="shared" si="70"/>
        <v>720</v>
      </c>
      <c r="K290" s="92"/>
      <c r="L290" s="12"/>
      <c r="M290" s="93" t="s">
        <v>1</v>
      </c>
      <c r="N290" s="94" t="s">
        <v>42</v>
      </c>
      <c r="P290" s="95">
        <f t="shared" si="71"/>
        <v>0</v>
      </c>
      <c r="Q290" s="95">
        <v>0</v>
      </c>
      <c r="R290" s="95">
        <f t="shared" si="72"/>
        <v>0</v>
      </c>
      <c r="S290" s="95">
        <v>0</v>
      </c>
      <c r="T290" s="99">
        <f t="shared" si="73"/>
        <v>0</v>
      </c>
      <c r="AR290" s="101" t="s">
        <v>218</v>
      </c>
      <c r="AT290" s="101" t="s">
        <v>214</v>
      </c>
      <c r="AU290" s="101" t="s">
        <v>87</v>
      </c>
      <c r="AY290" s="23" t="s">
        <v>211</v>
      </c>
      <c r="BE290" s="104">
        <f t="shared" si="74"/>
        <v>720</v>
      </c>
      <c r="BF290" s="104">
        <f t="shared" si="75"/>
        <v>0</v>
      </c>
      <c r="BG290" s="104">
        <f t="shared" si="76"/>
        <v>0</v>
      </c>
      <c r="BH290" s="104">
        <f t="shared" si="77"/>
        <v>0</v>
      </c>
      <c r="BI290" s="104">
        <f t="shared" si="78"/>
        <v>0</v>
      </c>
      <c r="BJ290" s="23" t="s">
        <v>85</v>
      </c>
      <c r="BK290" s="104">
        <f t="shared" si="79"/>
        <v>720</v>
      </c>
      <c r="BL290" s="23" t="s">
        <v>218</v>
      </c>
      <c r="BM290" s="101" t="s">
        <v>1742</v>
      </c>
    </row>
    <row r="291" spans="2:65" s="31" customFormat="1" ht="23.1" customHeight="1">
      <c r="B291" s="67"/>
      <c r="D291" s="68" t="s">
        <v>76</v>
      </c>
      <c r="E291" s="70" t="s">
        <v>4389</v>
      </c>
      <c r="F291" s="70" t="s">
        <v>4390</v>
      </c>
      <c r="I291" s="85"/>
      <c r="J291" s="89">
        <f>BK291</f>
        <v>435550</v>
      </c>
      <c r="L291" s="67"/>
      <c r="M291" s="87"/>
      <c r="P291" s="88">
        <f>SUM(P292:P302)</f>
        <v>0</v>
      </c>
      <c r="R291" s="88">
        <f>SUM(R292:R302)</f>
        <v>0</v>
      </c>
      <c r="T291" s="98">
        <f>SUM(T292:T302)</f>
        <v>0</v>
      </c>
      <c r="AR291" s="68" t="s">
        <v>85</v>
      </c>
      <c r="AT291" s="100" t="s">
        <v>76</v>
      </c>
      <c r="AU291" s="100" t="s">
        <v>85</v>
      </c>
      <c r="AY291" s="68" t="s">
        <v>211</v>
      </c>
      <c r="BK291" s="103">
        <f>SUM(BK292:BK302)</f>
        <v>435550</v>
      </c>
    </row>
    <row r="292" spans="2:65" s="1" customFormat="1" ht="16.5" customHeight="1">
      <c r="B292" s="12"/>
      <c r="C292" s="71" t="s">
        <v>1167</v>
      </c>
      <c r="D292" s="71" t="s">
        <v>214</v>
      </c>
      <c r="E292" s="72" t="s">
        <v>4295</v>
      </c>
      <c r="F292" s="73" t="s">
        <v>4296</v>
      </c>
      <c r="G292" s="74" t="s">
        <v>808</v>
      </c>
      <c r="H292" s="75">
        <v>6</v>
      </c>
      <c r="I292" s="90">
        <v>53000</v>
      </c>
      <c r="J292" s="91">
        <f>ROUND(I292*H292,2)</f>
        <v>318000</v>
      </c>
      <c r="K292" s="92"/>
      <c r="L292" s="12"/>
      <c r="M292" s="93" t="s">
        <v>1</v>
      </c>
      <c r="N292" s="94" t="s">
        <v>42</v>
      </c>
      <c r="P292" s="95">
        <f>O292*H292</f>
        <v>0</v>
      </c>
      <c r="Q292" s="95">
        <v>0</v>
      </c>
      <c r="R292" s="95">
        <f>Q292*H292</f>
        <v>0</v>
      </c>
      <c r="S292" s="95">
        <v>0</v>
      </c>
      <c r="T292" s="99">
        <f>S292*H292</f>
        <v>0</v>
      </c>
      <c r="AR292" s="101" t="s">
        <v>218</v>
      </c>
      <c r="AT292" s="101" t="s">
        <v>214</v>
      </c>
      <c r="AU292" s="101" t="s">
        <v>87</v>
      </c>
      <c r="AY292" s="23" t="s">
        <v>211</v>
      </c>
      <c r="BE292" s="104">
        <f>IF(N292="základní",J292,0)</f>
        <v>318000</v>
      </c>
      <c r="BF292" s="104">
        <f>IF(N292="snížená",J292,0)</f>
        <v>0</v>
      </c>
      <c r="BG292" s="104">
        <f>IF(N292="zákl. přenesená",J292,0)</f>
        <v>0</v>
      </c>
      <c r="BH292" s="104">
        <f>IF(N292="sníž. přenesená",J292,0)</f>
        <v>0</v>
      </c>
      <c r="BI292" s="104">
        <f>IF(N292="nulová",J292,0)</f>
        <v>0</v>
      </c>
      <c r="BJ292" s="23" t="s">
        <v>85</v>
      </c>
      <c r="BK292" s="104">
        <f>ROUND(I292*H292,2)</f>
        <v>318000</v>
      </c>
      <c r="BL292" s="23" t="s">
        <v>218</v>
      </c>
      <c r="BM292" s="101" t="s">
        <v>1751</v>
      </c>
    </row>
    <row r="293" spans="2:65" s="1" customFormat="1" ht="76.8">
      <c r="B293" s="12"/>
      <c r="D293" s="105" t="s">
        <v>227</v>
      </c>
      <c r="F293" s="106" t="s">
        <v>4386</v>
      </c>
      <c r="I293" s="107"/>
      <c r="L293" s="12"/>
      <c r="M293" s="108"/>
      <c r="T293" s="111"/>
      <c r="AT293" s="23" t="s">
        <v>227</v>
      </c>
      <c r="AU293" s="23" t="s">
        <v>87</v>
      </c>
    </row>
    <row r="294" spans="2:65" s="1" customFormat="1" ht="16.5" customHeight="1">
      <c r="B294" s="12"/>
      <c r="C294" s="71" t="s">
        <v>1175</v>
      </c>
      <c r="D294" s="71" t="s">
        <v>214</v>
      </c>
      <c r="E294" s="72" t="s">
        <v>4298</v>
      </c>
      <c r="F294" s="73" t="s">
        <v>4299</v>
      </c>
      <c r="G294" s="74" t="s">
        <v>808</v>
      </c>
      <c r="H294" s="75">
        <v>24</v>
      </c>
      <c r="I294" s="90">
        <v>1760</v>
      </c>
      <c r="J294" s="91">
        <f t="shared" ref="J294:J302" si="80">ROUND(I294*H294,2)</f>
        <v>42240</v>
      </c>
      <c r="K294" s="92"/>
      <c r="L294" s="12"/>
      <c r="M294" s="93" t="s">
        <v>1</v>
      </c>
      <c r="N294" s="94" t="s">
        <v>42</v>
      </c>
      <c r="P294" s="95">
        <f t="shared" ref="P294:P302" si="81">O294*H294</f>
        <v>0</v>
      </c>
      <c r="Q294" s="95">
        <v>0</v>
      </c>
      <c r="R294" s="95">
        <f t="shared" ref="R294:R302" si="82">Q294*H294</f>
        <v>0</v>
      </c>
      <c r="S294" s="95">
        <v>0</v>
      </c>
      <c r="T294" s="99">
        <f t="shared" ref="T294:T302" si="83">S294*H294</f>
        <v>0</v>
      </c>
      <c r="AR294" s="101" t="s">
        <v>218</v>
      </c>
      <c r="AT294" s="101" t="s">
        <v>214</v>
      </c>
      <c r="AU294" s="101" t="s">
        <v>87</v>
      </c>
      <c r="AY294" s="23" t="s">
        <v>211</v>
      </c>
      <c r="BE294" s="104">
        <f t="shared" ref="BE294:BE302" si="84">IF(N294="základní",J294,0)</f>
        <v>42240</v>
      </c>
      <c r="BF294" s="104">
        <f t="shared" ref="BF294:BF302" si="85">IF(N294="snížená",J294,0)</f>
        <v>0</v>
      </c>
      <c r="BG294" s="104">
        <f t="shared" ref="BG294:BG302" si="86">IF(N294="zákl. přenesená",J294,0)</f>
        <v>0</v>
      </c>
      <c r="BH294" s="104">
        <f t="shared" ref="BH294:BH302" si="87">IF(N294="sníž. přenesená",J294,0)</f>
        <v>0</v>
      </c>
      <c r="BI294" s="104">
        <f t="shared" ref="BI294:BI302" si="88">IF(N294="nulová",J294,0)</f>
        <v>0</v>
      </c>
      <c r="BJ294" s="23" t="s">
        <v>85</v>
      </c>
      <c r="BK294" s="104">
        <f t="shared" ref="BK294:BK302" si="89">ROUND(I294*H294,2)</f>
        <v>42240</v>
      </c>
      <c r="BL294" s="23" t="s">
        <v>218</v>
      </c>
      <c r="BM294" s="101" t="s">
        <v>1760</v>
      </c>
    </row>
    <row r="295" spans="2:65" s="1" customFormat="1" ht="16.5" customHeight="1">
      <c r="B295" s="12"/>
      <c r="C295" s="71" t="s">
        <v>1179</v>
      </c>
      <c r="D295" s="71" t="s">
        <v>214</v>
      </c>
      <c r="E295" s="72" t="s">
        <v>4300</v>
      </c>
      <c r="F295" s="73" t="s">
        <v>4261</v>
      </c>
      <c r="G295" s="74" t="s">
        <v>808</v>
      </c>
      <c r="H295" s="75">
        <v>17</v>
      </c>
      <c r="I295" s="90">
        <v>120</v>
      </c>
      <c r="J295" s="91">
        <f t="shared" si="80"/>
        <v>2040</v>
      </c>
      <c r="K295" s="92"/>
      <c r="L295" s="12"/>
      <c r="M295" s="93" t="s">
        <v>1</v>
      </c>
      <c r="N295" s="94" t="s">
        <v>42</v>
      </c>
      <c r="P295" s="95">
        <f t="shared" si="81"/>
        <v>0</v>
      </c>
      <c r="Q295" s="95">
        <v>0</v>
      </c>
      <c r="R295" s="95">
        <f t="shared" si="82"/>
        <v>0</v>
      </c>
      <c r="S295" s="95">
        <v>0</v>
      </c>
      <c r="T295" s="99">
        <f t="shared" si="83"/>
        <v>0</v>
      </c>
      <c r="AR295" s="101" t="s">
        <v>218</v>
      </c>
      <c r="AT295" s="101" t="s">
        <v>214</v>
      </c>
      <c r="AU295" s="101" t="s">
        <v>87</v>
      </c>
      <c r="AY295" s="23" t="s">
        <v>211</v>
      </c>
      <c r="BE295" s="104">
        <f t="shared" si="84"/>
        <v>2040</v>
      </c>
      <c r="BF295" s="104">
        <f t="shared" si="85"/>
        <v>0</v>
      </c>
      <c r="BG295" s="104">
        <f t="shared" si="86"/>
        <v>0</v>
      </c>
      <c r="BH295" s="104">
        <f t="shared" si="87"/>
        <v>0</v>
      </c>
      <c r="BI295" s="104">
        <f t="shared" si="88"/>
        <v>0</v>
      </c>
      <c r="BJ295" s="23" t="s">
        <v>85</v>
      </c>
      <c r="BK295" s="104">
        <f t="shared" si="89"/>
        <v>2040</v>
      </c>
      <c r="BL295" s="23" t="s">
        <v>218</v>
      </c>
      <c r="BM295" s="101" t="s">
        <v>1768</v>
      </c>
    </row>
    <row r="296" spans="2:65" s="1" customFormat="1" ht="16.5" customHeight="1">
      <c r="B296" s="12"/>
      <c r="C296" s="71" t="s">
        <v>1183</v>
      </c>
      <c r="D296" s="71" t="s">
        <v>214</v>
      </c>
      <c r="E296" s="72" t="s">
        <v>4301</v>
      </c>
      <c r="F296" s="73" t="s">
        <v>4302</v>
      </c>
      <c r="G296" s="74" t="s">
        <v>808</v>
      </c>
      <c r="H296" s="75">
        <v>12</v>
      </c>
      <c r="I296" s="90">
        <v>200</v>
      </c>
      <c r="J296" s="91">
        <f t="shared" si="80"/>
        <v>2400</v>
      </c>
      <c r="K296" s="92"/>
      <c r="L296" s="12"/>
      <c r="M296" s="93" t="s">
        <v>1</v>
      </c>
      <c r="N296" s="94" t="s">
        <v>42</v>
      </c>
      <c r="P296" s="95">
        <f t="shared" si="81"/>
        <v>0</v>
      </c>
      <c r="Q296" s="95">
        <v>0</v>
      </c>
      <c r="R296" s="95">
        <f t="shared" si="82"/>
        <v>0</v>
      </c>
      <c r="S296" s="95">
        <v>0</v>
      </c>
      <c r="T296" s="99">
        <f t="shared" si="83"/>
        <v>0</v>
      </c>
      <c r="AR296" s="101" t="s">
        <v>218</v>
      </c>
      <c r="AT296" s="101" t="s">
        <v>214</v>
      </c>
      <c r="AU296" s="101" t="s">
        <v>87</v>
      </c>
      <c r="AY296" s="23" t="s">
        <v>211</v>
      </c>
      <c r="BE296" s="104">
        <f t="shared" si="84"/>
        <v>2400</v>
      </c>
      <c r="BF296" s="104">
        <f t="shared" si="85"/>
        <v>0</v>
      </c>
      <c r="BG296" s="104">
        <f t="shared" si="86"/>
        <v>0</v>
      </c>
      <c r="BH296" s="104">
        <f t="shared" si="87"/>
        <v>0</v>
      </c>
      <c r="BI296" s="104">
        <f t="shared" si="88"/>
        <v>0</v>
      </c>
      <c r="BJ296" s="23" t="s">
        <v>85</v>
      </c>
      <c r="BK296" s="104">
        <f t="shared" si="89"/>
        <v>2400</v>
      </c>
      <c r="BL296" s="23" t="s">
        <v>218</v>
      </c>
      <c r="BM296" s="101" t="s">
        <v>1776</v>
      </c>
    </row>
    <row r="297" spans="2:65" s="1" customFormat="1" ht="16.5" customHeight="1">
      <c r="B297" s="12"/>
      <c r="C297" s="71" t="s">
        <v>1187</v>
      </c>
      <c r="D297" s="71" t="s">
        <v>214</v>
      </c>
      <c r="E297" s="72" t="s">
        <v>4303</v>
      </c>
      <c r="F297" s="73" t="s">
        <v>4304</v>
      </c>
      <c r="G297" s="74" t="s">
        <v>808</v>
      </c>
      <c r="H297" s="75">
        <v>18</v>
      </c>
      <c r="I297" s="90">
        <v>400</v>
      </c>
      <c r="J297" s="91">
        <f t="shared" si="80"/>
        <v>7200</v>
      </c>
      <c r="K297" s="92"/>
      <c r="L297" s="12"/>
      <c r="M297" s="93" t="s">
        <v>1</v>
      </c>
      <c r="N297" s="94" t="s">
        <v>42</v>
      </c>
      <c r="P297" s="95">
        <f t="shared" si="81"/>
        <v>0</v>
      </c>
      <c r="Q297" s="95">
        <v>0</v>
      </c>
      <c r="R297" s="95">
        <f t="shared" si="82"/>
        <v>0</v>
      </c>
      <c r="S297" s="95">
        <v>0</v>
      </c>
      <c r="T297" s="99">
        <f t="shared" si="83"/>
        <v>0</v>
      </c>
      <c r="AR297" s="101" t="s">
        <v>218</v>
      </c>
      <c r="AT297" s="101" t="s">
        <v>214</v>
      </c>
      <c r="AU297" s="101" t="s">
        <v>87</v>
      </c>
      <c r="AY297" s="23" t="s">
        <v>211</v>
      </c>
      <c r="BE297" s="104">
        <f t="shared" si="84"/>
        <v>7200</v>
      </c>
      <c r="BF297" s="104">
        <f t="shared" si="85"/>
        <v>0</v>
      </c>
      <c r="BG297" s="104">
        <f t="shared" si="86"/>
        <v>0</v>
      </c>
      <c r="BH297" s="104">
        <f t="shared" si="87"/>
        <v>0</v>
      </c>
      <c r="BI297" s="104">
        <f t="shared" si="88"/>
        <v>0</v>
      </c>
      <c r="BJ297" s="23" t="s">
        <v>85</v>
      </c>
      <c r="BK297" s="104">
        <f t="shared" si="89"/>
        <v>7200</v>
      </c>
      <c r="BL297" s="23" t="s">
        <v>218</v>
      </c>
      <c r="BM297" s="101" t="s">
        <v>1784</v>
      </c>
    </row>
    <row r="298" spans="2:65" s="1" customFormat="1" ht="16.5" customHeight="1">
      <c r="B298" s="12"/>
      <c r="C298" s="71" t="s">
        <v>1191</v>
      </c>
      <c r="D298" s="71" t="s">
        <v>214</v>
      </c>
      <c r="E298" s="72" t="s">
        <v>4387</v>
      </c>
      <c r="F298" s="73" t="s">
        <v>4308</v>
      </c>
      <c r="G298" s="74" t="s">
        <v>808</v>
      </c>
      <c r="H298" s="75">
        <v>18</v>
      </c>
      <c r="I298" s="153">
        <v>320</v>
      </c>
      <c r="J298" s="91">
        <f t="shared" si="80"/>
        <v>5760</v>
      </c>
      <c r="K298" s="92"/>
      <c r="L298" s="12"/>
      <c r="M298" s="93" t="s">
        <v>1</v>
      </c>
      <c r="N298" s="94" t="s">
        <v>42</v>
      </c>
      <c r="P298" s="95">
        <f t="shared" si="81"/>
        <v>0</v>
      </c>
      <c r="Q298" s="95">
        <v>0</v>
      </c>
      <c r="R298" s="95">
        <f t="shared" si="82"/>
        <v>0</v>
      </c>
      <c r="S298" s="95">
        <v>0</v>
      </c>
      <c r="T298" s="99">
        <f t="shared" si="83"/>
        <v>0</v>
      </c>
      <c r="AR298" s="101" t="s">
        <v>218</v>
      </c>
      <c r="AT298" s="101" t="s">
        <v>214</v>
      </c>
      <c r="AU298" s="101" t="s">
        <v>87</v>
      </c>
      <c r="AY298" s="23" t="s">
        <v>211</v>
      </c>
      <c r="BE298" s="104">
        <f t="shared" si="84"/>
        <v>5760</v>
      </c>
      <c r="BF298" s="104">
        <f t="shared" si="85"/>
        <v>0</v>
      </c>
      <c r="BG298" s="104">
        <f t="shared" si="86"/>
        <v>0</v>
      </c>
      <c r="BH298" s="104">
        <f t="shared" si="87"/>
        <v>0</v>
      </c>
      <c r="BI298" s="104">
        <f t="shared" si="88"/>
        <v>0</v>
      </c>
      <c r="BJ298" s="23" t="s">
        <v>85</v>
      </c>
      <c r="BK298" s="104">
        <f t="shared" si="89"/>
        <v>5760</v>
      </c>
      <c r="BL298" s="23" t="s">
        <v>218</v>
      </c>
      <c r="BM298" s="101" t="s">
        <v>1792</v>
      </c>
    </row>
    <row r="299" spans="2:65" s="1" customFormat="1" ht="49.35" customHeight="1">
      <c r="B299" s="12"/>
      <c r="C299" s="71" t="s">
        <v>1195</v>
      </c>
      <c r="D299" s="71" t="s">
        <v>214</v>
      </c>
      <c r="E299" s="72" t="s">
        <v>4284</v>
      </c>
      <c r="F299" s="73" t="s">
        <v>4285</v>
      </c>
      <c r="G299" s="74" t="s">
        <v>431</v>
      </c>
      <c r="H299" s="75">
        <v>165</v>
      </c>
      <c r="I299" s="90">
        <v>250</v>
      </c>
      <c r="J299" s="91">
        <f t="shared" si="80"/>
        <v>41250</v>
      </c>
      <c r="K299" s="92"/>
      <c r="L299" s="12"/>
      <c r="M299" s="93" t="s">
        <v>1</v>
      </c>
      <c r="N299" s="94" t="s">
        <v>42</v>
      </c>
      <c r="P299" s="95">
        <f t="shared" si="81"/>
        <v>0</v>
      </c>
      <c r="Q299" s="95">
        <v>0</v>
      </c>
      <c r="R299" s="95">
        <f t="shared" si="82"/>
        <v>0</v>
      </c>
      <c r="S299" s="95">
        <v>0</v>
      </c>
      <c r="T299" s="99">
        <f t="shared" si="83"/>
        <v>0</v>
      </c>
      <c r="AR299" s="101" t="s">
        <v>218</v>
      </c>
      <c r="AT299" s="101" t="s">
        <v>214</v>
      </c>
      <c r="AU299" s="101" t="s">
        <v>87</v>
      </c>
      <c r="AY299" s="23" t="s">
        <v>211</v>
      </c>
      <c r="BE299" s="104">
        <f t="shared" si="84"/>
        <v>41250</v>
      </c>
      <c r="BF299" s="104">
        <f t="shared" si="85"/>
        <v>0</v>
      </c>
      <c r="BG299" s="104">
        <f t="shared" si="86"/>
        <v>0</v>
      </c>
      <c r="BH299" s="104">
        <f t="shared" si="87"/>
        <v>0</v>
      </c>
      <c r="BI299" s="104">
        <f t="shared" si="88"/>
        <v>0</v>
      </c>
      <c r="BJ299" s="23" t="s">
        <v>85</v>
      </c>
      <c r="BK299" s="104">
        <f t="shared" si="89"/>
        <v>41250</v>
      </c>
      <c r="BL299" s="23" t="s">
        <v>218</v>
      </c>
      <c r="BM299" s="101" t="s">
        <v>1800</v>
      </c>
    </row>
    <row r="300" spans="2:65" s="1" customFormat="1" ht="49.35" customHeight="1">
      <c r="B300" s="12"/>
      <c r="C300" s="71" t="s">
        <v>1206</v>
      </c>
      <c r="D300" s="71" t="s">
        <v>214</v>
      </c>
      <c r="E300" s="72" t="s">
        <v>4286</v>
      </c>
      <c r="F300" s="73" t="s">
        <v>4287</v>
      </c>
      <c r="G300" s="74" t="s">
        <v>431</v>
      </c>
      <c r="H300" s="75">
        <v>50</v>
      </c>
      <c r="I300" s="153">
        <v>200</v>
      </c>
      <c r="J300" s="91">
        <f t="shared" si="80"/>
        <v>10000</v>
      </c>
      <c r="K300" s="92"/>
      <c r="L300" s="12"/>
      <c r="M300" s="93" t="s">
        <v>1</v>
      </c>
      <c r="N300" s="94" t="s">
        <v>42</v>
      </c>
      <c r="P300" s="95">
        <f t="shared" si="81"/>
        <v>0</v>
      </c>
      <c r="Q300" s="95">
        <v>0</v>
      </c>
      <c r="R300" s="95">
        <f t="shared" si="82"/>
        <v>0</v>
      </c>
      <c r="S300" s="95">
        <v>0</v>
      </c>
      <c r="T300" s="99">
        <f t="shared" si="83"/>
        <v>0</v>
      </c>
      <c r="AR300" s="101" t="s">
        <v>218</v>
      </c>
      <c r="AT300" s="101" t="s">
        <v>214</v>
      </c>
      <c r="AU300" s="101" t="s">
        <v>87</v>
      </c>
      <c r="AY300" s="23" t="s">
        <v>211</v>
      </c>
      <c r="BE300" s="104">
        <f t="shared" si="84"/>
        <v>10000</v>
      </c>
      <c r="BF300" s="104">
        <f t="shared" si="85"/>
        <v>0</v>
      </c>
      <c r="BG300" s="104">
        <f t="shared" si="86"/>
        <v>0</v>
      </c>
      <c r="BH300" s="104">
        <f t="shared" si="87"/>
        <v>0</v>
      </c>
      <c r="BI300" s="104">
        <f t="shared" si="88"/>
        <v>0</v>
      </c>
      <c r="BJ300" s="23" t="s">
        <v>85</v>
      </c>
      <c r="BK300" s="104">
        <f t="shared" si="89"/>
        <v>10000</v>
      </c>
      <c r="BL300" s="23" t="s">
        <v>218</v>
      </c>
      <c r="BM300" s="101" t="s">
        <v>1808</v>
      </c>
    </row>
    <row r="301" spans="2:65" s="1" customFormat="1" ht="16.5" customHeight="1">
      <c r="B301" s="12"/>
      <c r="C301" s="71" t="s">
        <v>1211</v>
      </c>
      <c r="D301" s="71" t="s">
        <v>214</v>
      </c>
      <c r="E301" s="72" t="s">
        <v>4309</v>
      </c>
      <c r="F301" s="73" t="s">
        <v>4310</v>
      </c>
      <c r="G301" s="74" t="s">
        <v>431</v>
      </c>
      <c r="H301" s="75">
        <v>18</v>
      </c>
      <c r="I301" s="90">
        <v>200</v>
      </c>
      <c r="J301" s="91">
        <f t="shared" si="80"/>
        <v>3600</v>
      </c>
      <c r="K301" s="92"/>
      <c r="L301" s="12"/>
      <c r="M301" s="93" t="s">
        <v>1</v>
      </c>
      <c r="N301" s="94" t="s">
        <v>42</v>
      </c>
      <c r="P301" s="95">
        <f t="shared" si="81"/>
        <v>0</v>
      </c>
      <c r="Q301" s="95">
        <v>0</v>
      </c>
      <c r="R301" s="95">
        <f t="shared" si="82"/>
        <v>0</v>
      </c>
      <c r="S301" s="95">
        <v>0</v>
      </c>
      <c r="T301" s="99">
        <f t="shared" si="83"/>
        <v>0</v>
      </c>
      <c r="AR301" s="101" t="s">
        <v>218</v>
      </c>
      <c r="AT301" s="101" t="s">
        <v>214</v>
      </c>
      <c r="AU301" s="101" t="s">
        <v>87</v>
      </c>
      <c r="AY301" s="23" t="s">
        <v>211</v>
      </c>
      <c r="BE301" s="104">
        <f t="shared" si="84"/>
        <v>3600</v>
      </c>
      <c r="BF301" s="104">
        <f t="shared" si="85"/>
        <v>0</v>
      </c>
      <c r="BG301" s="104">
        <f t="shared" si="86"/>
        <v>0</v>
      </c>
      <c r="BH301" s="104">
        <f t="shared" si="87"/>
        <v>0</v>
      </c>
      <c r="BI301" s="104">
        <f t="shared" si="88"/>
        <v>0</v>
      </c>
      <c r="BJ301" s="23" t="s">
        <v>85</v>
      </c>
      <c r="BK301" s="104">
        <f t="shared" si="89"/>
        <v>3600</v>
      </c>
      <c r="BL301" s="23" t="s">
        <v>218</v>
      </c>
      <c r="BM301" s="101" t="s">
        <v>1816</v>
      </c>
    </row>
    <row r="302" spans="2:65" s="1" customFormat="1" ht="16.5" customHeight="1">
      <c r="B302" s="12"/>
      <c r="C302" s="71" t="s">
        <v>1220</v>
      </c>
      <c r="D302" s="71" t="s">
        <v>214</v>
      </c>
      <c r="E302" s="72" t="s">
        <v>4388</v>
      </c>
      <c r="F302" s="73" t="s">
        <v>4312</v>
      </c>
      <c r="G302" s="74" t="s">
        <v>431</v>
      </c>
      <c r="H302" s="75">
        <v>17</v>
      </c>
      <c r="I302" s="90">
        <v>180</v>
      </c>
      <c r="J302" s="91">
        <f t="shared" si="80"/>
        <v>3060</v>
      </c>
      <c r="K302" s="92"/>
      <c r="L302" s="12"/>
      <c r="M302" s="93" t="s">
        <v>1</v>
      </c>
      <c r="N302" s="94" t="s">
        <v>42</v>
      </c>
      <c r="P302" s="95">
        <f t="shared" si="81"/>
        <v>0</v>
      </c>
      <c r="Q302" s="95">
        <v>0</v>
      </c>
      <c r="R302" s="95">
        <f t="shared" si="82"/>
        <v>0</v>
      </c>
      <c r="S302" s="95">
        <v>0</v>
      </c>
      <c r="T302" s="99">
        <f t="shared" si="83"/>
        <v>0</v>
      </c>
      <c r="AR302" s="101" t="s">
        <v>218</v>
      </c>
      <c r="AT302" s="101" t="s">
        <v>214</v>
      </c>
      <c r="AU302" s="101" t="s">
        <v>87</v>
      </c>
      <c r="AY302" s="23" t="s">
        <v>211</v>
      </c>
      <c r="BE302" s="104">
        <f t="shared" si="84"/>
        <v>3060</v>
      </c>
      <c r="BF302" s="104">
        <f t="shared" si="85"/>
        <v>0</v>
      </c>
      <c r="BG302" s="104">
        <f t="shared" si="86"/>
        <v>0</v>
      </c>
      <c r="BH302" s="104">
        <f t="shared" si="87"/>
        <v>0</v>
      </c>
      <c r="BI302" s="104">
        <f t="shared" si="88"/>
        <v>0</v>
      </c>
      <c r="BJ302" s="23" t="s">
        <v>85</v>
      </c>
      <c r="BK302" s="104">
        <f t="shared" si="89"/>
        <v>3060</v>
      </c>
      <c r="BL302" s="23" t="s">
        <v>218</v>
      </c>
      <c r="BM302" s="101" t="s">
        <v>1824</v>
      </c>
    </row>
    <row r="303" spans="2:65" s="31" customFormat="1" ht="23.1" customHeight="1">
      <c r="B303" s="67"/>
      <c r="D303" s="68" t="s">
        <v>76</v>
      </c>
      <c r="E303" s="70" t="s">
        <v>4391</v>
      </c>
      <c r="F303" s="70" t="s">
        <v>4392</v>
      </c>
      <c r="I303" s="85"/>
      <c r="J303" s="89">
        <f>BK303</f>
        <v>85120</v>
      </c>
      <c r="L303" s="67"/>
      <c r="M303" s="87"/>
      <c r="P303" s="88">
        <f>SUM(P304:P314)</f>
        <v>0</v>
      </c>
      <c r="R303" s="88">
        <f>SUM(R304:R314)</f>
        <v>0</v>
      </c>
      <c r="T303" s="98">
        <f>SUM(T304:T314)</f>
        <v>0</v>
      </c>
      <c r="AR303" s="68" t="s">
        <v>85</v>
      </c>
      <c r="AT303" s="100" t="s">
        <v>76</v>
      </c>
      <c r="AU303" s="100" t="s">
        <v>85</v>
      </c>
      <c r="AY303" s="68" t="s">
        <v>211</v>
      </c>
      <c r="BK303" s="103">
        <f>SUM(BK304:BK314)</f>
        <v>85120</v>
      </c>
    </row>
    <row r="304" spans="2:65" s="1" customFormat="1" ht="16.5" customHeight="1">
      <c r="B304" s="12"/>
      <c r="C304" s="71" t="s">
        <v>1224</v>
      </c>
      <c r="D304" s="71" t="s">
        <v>214</v>
      </c>
      <c r="E304" s="72" t="s">
        <v>4314</v>
      </c>
      <c r="F304" s="73" t="s">
        <v>4315</v>
      </c>
      <c r="G304" s="74" t="s">
        <v>808</v>
      </c>
      <c r="H304" s="75">
        <v>1</v>
      </c>
      <c r="I304" s="90">
        <v>58500</v>
      </c>
      <c r="J304" s="91">
        <f>ROUND(I304*H304,2)</f>
        <v>58500</v>
      </c>
      <c r="K304" s="92"/>
      <c r="L304" s="12"/>
      <c r="M304" s="93" t="s">
        <v>1</v>
      </c>
      <c r="N304" s="94" t="s">
        <v>42</v>
      </c>
      <c r="P304" s="95">
        <f>O304*H304</f>
        <v>0</v>
      </c>
      <c r="Q304" s="95">
        <v>0</v>
      </c>
      <c r="R304" s="95">
        <f>Q304*H304</f>
        <v>0</v>
      </c>
      <c r="S304" s="95">
        <v>0</v>
      </c>
      <c r="T304" s="99">
        <f>S304*H304</f>
        <v>0</v>
      </c>
      <c r="AR304" s="101" t="s">
        <v>218</v>
      </c>
      <c r="AT304" s="101" t="s">
        <v>214</v>
      </c>
      <c r="AU304" s="101" t="s">
        <v>87</v>
      </c>
      <c r="AY304" s="23" t="s">
        <v>211</v>
      </c>
      <c r="BE304" s="104">
        <f>IF(N304="základní",J304,0)</f>
        <v>58500</v>
      </c>
      <c r="BF304" s="104">
        <f>IF(N304="snížená",J304,0)</f>
        <v>0</v>
      </c>
      <c r="BG304" s="104">
        <f>IF(N304="zákl. přenesená",J304,0)</f>
        <v>0</v>
      </c>
      <c r="BH304" s="104">
        <f>IF(N304="sníž. přenesená",J304,0)</f>
        <v>0</v>
      </c>
      <c r="BI304" s="104">
        <f>IF(N304="nulová",J304,0)</f>
        <v>0</v>
      </c>
      <c r="BJ304" s="23" t="s">
        <v>85</v>
      </c>
      <c r="BK304" s="104">
        <f>ROUND(I304*H304,2)</f>
        <v>58500</v>
      </c>
      <c r="BL304" s="23" t="s">
        <v>218</v>
      </c>
      <c r="BM304" s="101" t="s">
        <v>1832</v>
      </c>
    </row>
    <row r="305" spans="2:65" s="1" customFormat="1" ht="76.8">
      <c r="B305" s="12"/>
      <c r="D305" s="105" t="s">
        <v>227</v>
      </c>
      <c r="F305" s="106" t="s">
        <v>4393</v>
      </c>
      <c r="I305" s="107"/>
      <c r="L305" s="12"/>
      <c r="M305" s="108"/>
      <c r="T305" s="111"/>
      <c r="AT305" s="23" t="s">
        <v>227</v>
      </c>
      <c r="AU305" s="23" t="s">
        <v>87</v>
      </c>
    </row>
    <row r="306" spans="2:65" s="1" customFormat="1" ht="16.5" customHeight="1">
      <c r="B306" s="12"/>
      <c r="C306" s="71" t="s">
        <v>1230</v>
      </c>
      <c r="D306" s="71" t="s">
        <v>214</v>
      </c>
      <c r="E306" s="72" t="s">
        <v>4298</v>
      </c>
      <c r="F306" s="73" t="s">
        <v>4299</v>
      </c>
      <c r="G306" s="74" t="s">
        <v>808</v>
      </c>
      <c r="H306" s="75">
        <v>4</v>
      </c>
      <c r="I306" s="90">
        <v>1760</v>
      </c>
      <c r="J306" s="91">
        <f t="shared" ref="J306:J314" si="90">ROUND(I306*H306,2)</f>
        <v>7040</v>
      </c>
      <c r="K306" s="92"/>
      <c r="L306" s="12"/>
      <c r="M306" s="93" t="s">
        <v>1</v>
      </c>
      <c r="N306" s="94" t="s">
        <v>42</v>
      </c>
      <c r="P306" s="95">
        <f t="shared" ref="P306:P314" si="91">O306*H306</f>
        <v>0</v>
      </c>
      <c r="Q306" s="95">
        <v>0</v>
      </c>
      <c r="R306" s="95">
        <f t="shared" ref="R306:R314" si="92">Q306*H306</f>
        <v>0</v>
      </c>
      <c r="S306" s="95">
        <v>0</v>
      </c>
      <c r="T306" s="99">
        <f t="shared" ref="T306:T314" si="93">S306*H306</f>
        <v>0</v>
      </c>
      <c r="AR306" s="101" t="s">
        <v>218</v>
      </c>
      <c r="AT306" s="101" t="s">
        <v>214</v>
      </c>
      <c r="AU306" s="101" t="s">
        <v>87</v>
      </c>
      <c r="AY306" s="23" t="s">
        <v>211</v>
      </c>
      <c r="BE306" s="104">
        <f t="shared" ref="BE306:BE314" si="94">IF(N306="základní",J306,0)</f>
        <v>7040</v>
      </c>
      <c r="BF306" s="104">
        <f t="shared" ref="BF306:BF314" si="95">IF(N306="snížená",J306,0)</f>
        <v>0</v>
      </c>
      <c r="BG306" s="104">
        <f t="shared" ref="BG306:BG314" si="96">IF(N306="zákl. přenesená",J306,0)</f>
        <v>0</v>
      </c>
      <c r="BH306" s="104">
        <f t="shared" ref="BH306:BH314" si="97">IF(N306="sníž. přenesená",J306,0)</f>
        <v>0</v>
      </c>
      <c r="BI306" s="104">
        <f t="shared" ref="BI306:BI314" si="98">IF(N306="nulová",J306,0)</f>
        <v>0</v>
      </c>
      <c r="BJ306" s="23" t="s">
        <v>85</v>
      </c>
      <c r="BK306" s="104">
        <f t="shared" ref="BK306:BK314" si="99">ROUND(I306*H306,2)</f>
        <v>7040</v>
      </c>
      <c r="BL306" s="23" t="s">
        <v>218</v>
      </c>
      <c r="BM306" s="101" t="s">
        <v>1840</v>
      </c>
    </row>
    <row r="307" spans="2:65" s="1" customFormat="1" ht="16.5" customHeight="1">
      <c r="B307" s="12"/>
      <c r="C307" s="71" t="s">
        <v>1239</v>
      </c>
      <c r="D307" s="71" t="s">
        <v>214</v>
      </c>
      <c r="E307" s="72" t="s">
        <v>4300</v>
      </c>
      <c r="F307" s="73" t="s">
        <v>4261</v>
      </c>
      <c r="G307" s="74" t="s">
        <v>808</v>
      </c>
      <c r="H307" s="75">
        <v>4</v>
      </c>
      <c r="I307" s="90">
        <v>120</v>
      </c>
      <c r="J307" s="91">
        <f t="shared" si="90"/>
        <v>480</v>
      </c>
      <c r="K307" s="92"/>
      <c r="L307" s="12"/>
      <c r="M307" s="93" t="s">
        <v>1</v>
      </c>
      <c r="N307" s="94" t="s">
        <v>42</v>
      </c>
      <c r="P307" s="95">
        <f t="shared" si="91"/>
        <v>0</v>
      </c>
      <c r="Q307" s="95">
        <v>0</v>
      </c>
      <c r="R307" s="95">
        <f t="shared" si="92"/>
        <v>0</v>
      </c>
      <c r="S307" s="95">
        <v>0</v>
      </c>
      <c r="T307" s="99">
        <f t="shared" si="93"/>
        <v>0</v>
      </c>
      <c r="AR307" s="101" t="s">
        <v>218</v>
      </c>
      <c r="AT307" s="101" t="s">
        <v>214</v>
      </c>
      <c r="AU307" s="101" t="s">
        <v>87</v>
      </c>
      <c r="AY307" s="23" t="s">
        <v>211</v>
      </c>
      <c r="BE307" s="104">
        <f t="shared" si="94"/>
        <v>480</v>
      </c>
      <c r="BF307" s="104">
        <f t="shared" si="95"/>
        <v>0</v>
      </c>
      <c r="BG307" s="104">
        <f t="shared" si="96"/>
        <v>0</v>
      </c>
      <c r="BH307" s="104">
        <f t="shared" si="97"/>
        <v>0</v>
      </c>
      <c r="BI307" s="104">
        <f t="shared" si="98"/>
        <v>0</v>
      </c>
      <c r="BJ307" s="23" t="s">
        <v>85</v>
      </c>
      <c r="BK307" s="104">
        <f t="shared" si="99"/>
        <v>480</v>
      </c>
      <c r="BL307" s="23" t="s">
        <v>218</v>
      </c>
      <c r="BM307" s="101" t="s">
        <v>1848</v>
      </c>
    </row>
    <row r="308" spans="2:65" s="1" customFormat="1" ht="16.5" customHeight="1">
      <c r="B308" s="12"/>
      <c r="C308" s="71" t="s">
        <v>1245</v>
      </c>
      <c r="D308" s="71" t="s">
        <v>214</v>
      </c>
      <c r="E308" s="72" t="s">
        <v>4301</v>
      </c>
      <c r="F308" s="73" t="s">
        <v>4302</v>
      </c>
      <c r="G308" s="74" t="s">
        <v>808</v>
      </c>
      <c r="H308" s="75">
        <v>2</v>
      </c>
      <c r="I308" s="90">
        <v>200</v>
      </c>
      <c r="J308" s="91">
        <f t="shared" si="90"/>
        <v>400</v>
      </c>
      <c r="K308" s="92"/>
      <c r="L308" s="12"/>
      <c r="M308" s="93" t="s">
        <v>1</v>
      </c>
      <c r="N308" s="94" t="s">
        <v>42</v>
      </c>
      <c r="P308" s="95">
        <f t="shared" si="91"/>
        <v>0</v>
      </c>
      <c r="Q308" s="95">
        <v>0</v>
      </c>
      <c r="R308" s="95">
        <f t="shared" si="92"/>
        <v>0</v>
      </c>
      <c r="S308" s="95">
        <v>0</v>
      </c>
      <c r="T308" s="99">
        <f t="shared" si="93"/>
        <v>0</v>
      </c>
      <c r="AR308" s="101" t="s">
        <v>218</v>
      </c>
      <c r="AT308" s="101" t="s">
        <v>214</v>
      </c>
      <c r="AU308" s="101" t="s">
        <v>87</v>
      </c>
      <c r="AY308" s="23" t="s">
        <v>211</v>
      </c>
      <c r="BE308" s="104">
        <f t="shared" si="94"/>
        <v>400</v>
      </c>
      <c r="BF308" s="104">
        <f t="shared" si="95"/>
        <v>0</v>
      </c>
      <c r="BG308" s="104">
        <f t="shared" si="96"/>
        <v>0</v>
      </c>
      <c r="BH308" s="104">
        <f t="shared" si="97"/>
        <v>0</v>
      </c>
      <c r="BI308" s="104">
        <f t="shared" si="98"/>
        <v>0</v>
      </c>
      <c r="BJ308" s="23" t="s">
        <v>85</v>
      </c>
      <c r="BK308" s="104">
        <f t="shared" si="99"/>
        <v>400</v>
      </c>
      <c r="BL308" s="23" t="s">
        <v>218</v>
      </c>
      <c r="BM308" s="101" t="s">
        <v>1856</v>
      </c>
    </row>
    <row r="309" spans="2:65" s="1" customFormat="1" ht="16.5" customHeight="1">
      <c r="B309" s="12"/>
      <c r="C309" s="71" t="s">
        <v>1260</v>
      </c>
      <c r="D309" s="71" t="s">
        <v>214</v>
      </c>
      <c r="E309" s="72" t="s">
        <v>4303</v>
      </c>
      <c r="F309" s="73" t="s">
        <v>4304</v>
      </c>
      <c r="G309" s="74" t="s">
        <v>808</v>
      </c>
      <c r="H309" s="75">
        <v>4</v>
      </c>
      <c r="I309" s="90">
        <v>400</v>
      </c>
      <c r="J309" s="91">
        <f t="shared" si="90"/>
        <v>1600</v>
      </c>
      <c r="K309" s="92"/>
      <c r="L309" s="12"/>
      <c r="M309" s="93" t="s">
        <v>1</v>
      </c>
      <c r="N309" s="94" t="s">
        <v>42</v>
      </c>
      <c r="P309" s="95">
        <f t="shared" si="91"/>
        <v>0</v>
      </c>
      <c r="Q309" s="95">
        <v>0</v>
      </c>
      <c r="R309" s="95">
        <f t="shared" si="92"/>
        <v>0</v>
      </c>
      <c r="S309" s="95">
        <v>0</v>
      </c>
      <c r="T309" s="99">
        <f t="shared" si="93"/>
        <v>0</v>
      </c>
      <c r="AR309" s="101" t="s">
        <v>218</v>
      </c>
      <c r="AT309" s="101" t="s">
        <v>214</v>
      </c>
      <c r="AU309" s="101" t="s">
        <v>87</v>
      </c>
      <c r="AY309" s="23" t="s">
        <v>211</v>
      </c>
      <c r="BE309" s="104">
        <f t="shared" si="94"/>
        <v>1600</v>
      </c>
      <c r="BF309" s="104">
        <f t="shared" si="95"/>
        <v>0</v>
      </c>
      <c r="BG309" s="104">
        <f t="shared" si="96"/>
        <v>0</v>
      </c>
      <c r="BH309" s="104">
        <f t="shared" si="97"/>
        <v>0</v>
      </c>
      <c r="BI309" s="104">
        <f t="shared" si="98"/>
        <v>0</v>
      </c>
      <c r="BJ309" s="23" t="s">
        <v>85</v>
      </c>
      <c r="BK309" s="104">
        <f t="shared" si="99"/>
        <v>1600</v>
      </c>
      <c r="BL309" s="23" t="s">
        <v>218</v>
      </c>
      <c r="BM309" s="101" t="s">
        <v>1864</v>
      </c>
    </row>
    <row r="310" spans="2:65" s="1" customFormat="1" ht="16.5" customHeight="1">
      <c r="B310" s="12"/>
      <c r="C310" s="71" t="s">
        <v>1265</v>
      </c>
      <c r="D310" s="71" t="s">
        <v>214</v>
      </c>
      <c r="E310" s="72" t="s">
        <v>4387</v>
      </c>
      <c r="F310" s="73" t="s">
        <v>4308</v>
      </c>
      <c r="G310" s="74" t="s">
        <v>808</v>
      </c>
      <c r="H310" s="75">
        <v>4</v>
      </c>
      <c r="I310" s="153">
        <v>320</v>
      </c>
      <c r="J310" s="91">
        <f t="shared" si="90"/>
        <v>1280</v>
      </c>
      <c r="K310" s="92"/>
      <c r="L310" s="12"/>
      <c r="M310" s="93" t="s">
        <v>1</v>
      </c>
      <c r="N310" s="94" t="s">
        <v>42</v>
      </c>
      <c r="P310" s="95">
        <f t="shared" si="91"/>
        <v>0</v>
      </c>
      <c r="Q310" s="95">
        <v>0</v>
      </c>
      <c r="R310" s="95">
        <f t="shared" si="92"/>
        <v>0</v>
      </c>
      <c r="S310" s="95">
        <v>0</v>
      </c>
      <c r="T310" s="99">
        <f t="shared" si="93"/>
        <v>0</v>
      </c>
      <c r="AR310" s="101" t="s">
        <v>218</v>
      </c>
      <c r="AT310" s="101" t="s">
        <v>214</v>
      </c>
      <c r="AU310" s="101" t="s">
        <v>87</v>
      </c>
      <c r="AY310" s="23" t="s">
        <v>211</v>
      </c>
      <c r="BE310" s="104">
        <f t="shared" si="94"/>
        <v>1280</v>
      </c>
      <c r="BF310" s="104">
        <f t="shared" si="95"/>
        <v>0</v>
      </c>
      <c r="BG310" s="104">
        <f t="shared" si="96"/>
        <v>0</v>
      </c>
      <c r="BH310" s="104">
        <f t="shared" si="97"/>
        <v>0</v>
      </c>
      <c r="BI310" s="104">
        <f t="shared" si="98"/>
        <v>0</v>
      </c>
      <c r="BJ310" s="23" t="s">
        <v>85</v>
      </c>
      <c r="BK310" s="104">
        <f t="shared" si="99"/>
        <v>1280</v>
      </c>
      <c r="BL310" s="23" t="s">
        <v>218</v>
      </c>
      <c r="BM310" s="101" t="s">
        <v>1872</v>
      </c>
    </row>
    <row r="311" spans="2:65" s="1" customFormat="1" ht="49.35" customHeight="1">
      <c r="B311" s="12"/>
      <c r="C311" s="71" t="s">
        <v>1269</v>
      </c>
      <c r="D311" s="71" t="s">
        <v>214</v>
      </c>
      <c r="E311" s="72" t="s">
        <v>4284</v>
      </c>
      <c r="F311" s="73" t="s">
        <v>4285</v>
      </c>
      <c r="G311" s="74" t="s">
        <v>431</v>
      </c>
      <c r="H311" s="75">
        <v>50</v>
      </c>
      <c r="I311" s="90">
        <v>250</v>
      </c>
      <c r="J311" s="91">
        <f t="shared" si="90"/>
        <v>12500</v>
      </c>
      <c r="K311" s="92"/>
      <c r="L311" s="12"/>
      <c r="M311" s="93" t="s">
        <v>1</v>
      </c>
      <c r="N311" s="94" t="s">
        <v>42</v>
      </c>
      <c r="P311" s="95">
        <f t="shared" si="91"/>
        <v>0</v>
      </c>
      <c r="Q311" s="95">
        <v>0</v>
      </c>
      <c r="R311" s="95">
        <f t="shared" si="92"/>
        <v>0</v>
      </c>
      <c r="S311" s="95">
        <v>0</v>
      </c>
      <c r="T311" s="99">
        <f t="shared" si="93"/>
        <v>0</v>
      </c>
      <c r="AR311" s="101" t="s">
        <v>218</v>
      </c>
      <c r="AT311" s="101" t="s">
        <v>214</v>
      </c>
      <c r="AU311" s="101" t="s">
        <v>87</v>
      </c>
      <c r="AY311" s="23" t="s">
        <v>211</v>
      </c>
      <c r="BE311" s="104">
        <f t="shared" si="94"/>
        <v>12500</v>
      </c>
      <c r="BF311" s="104">
        <f t="shared" si="95"/>
        <v>0</v>
      </c>
      <c r="BG311" s="104">
        <f t="shared" si="96"/>
        <v>0</v>
      </c>
      <c r="BH311" s="104">
        <f t="shared" si="97"/>
        <v>0</v>
      </c>
      <c r="BI311" s="104">
        <f t="shared" si="98"/>
        <v>0</v>
      </c>
      <c r="BJ311" s="23" t="s">
        <v>85</v>
      </c>
      <c r="BK311" s="104">
        <f t="shared" si="99"/>
        <v>12500</v>
      </c>
      <c r="BL311" s="23" t="s">
        <v>218</v>
      </c>
      <c r="BM311" s="101" t="s">
        <v>1880</v>
      </c>
    </row>
    <row r="312" spans="2:65" s="1" customFormat="1" ht="49.35" customHeight="1">
      <c r="B312" s="12"/>
      <c r="C312" s="71" t="s">
        <v>1273</v>
      </c>
      <c r="D312" s="71" t="s">
        <v>214</v>
      </c>
      <c r="E312" s="72" t="s">
        <v>4286</v>
      </c>
      <c r="F312" s="73" t="s">
        <v>4287</v>
      </c>
      <c r="G312" s="74" t="s">
        <v>431</v>
      </c>
      <c r="H312" s="75">
        <v>9</v>
      </c>
      <c r="I312" s="153">
        <v>200</v>
      </c>
      <c r="J312" s="91">
        <f t="shared" si="90"/>
        <v>1800</v>
      </c>
      <c r="K312" s="92"/>
      <c r="L312" s="12"/>
      <c r="M312" s="93" t="s">
        <v>1</v>
      </c>
      <c r="N312" s="94" t="s">
        <v>42</v>
      </c>
      <c r="P312" s="95">
        <f t="shared" si="91"/>
        <v>0</v>
      </c>
      <c r="Q312" s="95">
        <v>0</v>
      </c>
      <c r="R312" s="95">
        <f t="shared" si="92"/>
        <v>0</v>
      </c>
      <c r="S312" s="95">
        <v>0</v>
      </c>
      <c r="T312" s="99">
        <f t="shared" si="93"/>
        <v>0</v>
      </c>
      <c r="AR312" s="101" t="s">
        <v>218</v>
      </c>
      <c r="AT312" s="101" t="s">
        <v>214</v>
      </c>
      <c r="AU312" s="101" t="s">
        <v>87</v>
      </c>
      <c r="AY312" s="23" t="s">
        <v>211</v>
      </c>
      <c r="BE312" s="104">
        <f t="shared" si="94"/>
        <v>1800</v>
      </c>
      <c r="BF312" s="104">
        <f t="shared" si="95"/>
        <v>0</v>
      </c>
      <c r="BG312" s="104">
        <f t="shared" si="96"/>
        <v>0</v>
      </c>
      <c r="BH312" s="104">
        <f t="shared" si="97"/>
        <v>0</v>
      </c>
      <c r="BI312" s="104">
        <f t="shared" si="98"/>
        <v>0</v>
      </c>
      <c r="BJ312" s="23" t="s">
        <v>85</v>
      </c>
      <c r="BK312" s="104">
        <f t="shared" si="99"/>
        <v>1800</v>
      </c>
      <c r="BL312" s="23" t="s">
        <v>218</v>
      </c>
      <c r="BM312" s="101" t="s">
        <v>1888</v>
      </c>
    </row>
    <row r="313" spans="2:65" s="1" customFormat="1" ht="16.5" customHeight="1">
      <c r="B313" s="12"/>
      <c r="C313" s="71" t="s">
        <v>1277</v>
      </c>
      <c r="D313" s="71" t="s">
        <v>214</v>
      </c>
      <c r="E313" s="72" t="s">
        <v>4309</v>
      </c>
      <c r="F313" s="73" t="s">
        <v>4310</v>
      </c>
      <c r="G313" s="74" t="s">
        <v>431</v>
      </c>
      <c r="H313" s="75">
        <v>4</v>
      </c>
      <c r="I313" s="90">
        <v>200</v>
      </c>
      <c r="J313" s="91">
        <f t="shared" si="90"/>
        <v>800</v>
      </c>
      <c r="K313" s="92"/>
      <c r="L313" s="12"/>
      <c r="M313" s="93" t="s">
        <v>1</v>
      </c>
      <c r="N313" s="94" t="s">
        <v>42</v>
      </c>
      <c r="P313" s="95">
        <f t="shared" si="91"/>
        <v>0</v>
      </c>
      <c r="Q313" s="95">
        <v>0</v>
      </c>
      <c r="R313" s="95">
        <f t="shared" si="92"/>
        <v>0</v>
      </c>
      <c r="S313" s="95">
        <v>0</v>
      </c>
      <c r="T313" s="99">
        <f t="shared" si="93"/>
        <v>0</v>
      </c>
      <c r="AR313" s="101" t="s">
        <v>218</v>
      </c>
      <c r="AT313" s="101" t="s">
        <v>214</v>
      </c>
      <c r="AU313" s="101" t="s">
        <v>87</v>
      </c>
      <c r="AY313" s="23" t="s">
        <v>211</v>
      </c>
      <c r="BE313" s="104">
        <f t="shared" si="94"/>
        <v>800</v>
      </c>
      <c r="BF313" s="104">
        <f t="shared" si="95"/>
        <v>0</v>
      </c>
      <c r="BG313" s="104">
        <f t="shared" si="96"/>
        <v>0</v>
      </c>
      <c r="BH313" s="104">
        <f t="shared" si="97"/>
        <v>0</v>
      </c>
      <c r="BI313" s="104">
        <f t="shared" si="98"/>
        <v>0</v>
      </c>
      <c r="BJ313" s="23" t="s">
        <v>85</v>
      </c>
      <c r="BK313" s="104">
        <f t="shared" si="99"/>
        <v>800</v>
      </c>
      <c r="BL313" s="23" t="s">
        <v>218</v>
      </c>
      <c r="BM313" s="101" t="s">
        <v>1896</v>
      </c>
    </row>
    <row r="314" spans="2:65" s="1" customFormat="1" ht="16.5" customHeight="1">
      <c r="B314" s="12"/>
      <c r="C314" s="71" t="s">
        <v>1291</v>
      </c>
      <c r="D314" s="71" t="s">
        <v>214</v>
      </c>
      <c r="E314" s="72" t="s">
        <v>4388</v>
      </c>
      <c r="F314" s="73" t="s">
        <v>4312</v>
      </c>
      <c r="G314" s="74" t="s">
        <v>431</v>
      </c>
      <c r="H314" s="75">
        <v>4</v>
      </c>
      <c r="I314" s="90">
        <v>180</v>
      </c>
      <c r="J314" s="91">
        <f t="shared" si="90"/>
        <v>720</v>
      </c>
      <c r="K314" s="92"/>
      <c r="L314" s="12"/>
      <c r="M314" s="93" t="s">
        <v>1</v>
      </c>
      <c r="N314" s="94" t="s">
        <v>42</v>
      </c>
      <c r="P314" s="95">
        <f t="shared" si="91"/>
        <v>0</v>
      </c>
      <c r="Q314" s="95">
        <v>0</v>
      </c>
      <c r="R314" s="95">
        <f t="shared" si="92"/>
        <v>0</v>
      </c>
      <c r="S314" s="95">
        <v>0</v>
      </c>
      <c r="T314" s="99">
        <f t="shared" si="93"/>
        <v>0</v>
      </c>
      <c r="AR314" s="101" t="s">
        <v>218</v>
      </c>
      <c r="AT314" s="101" t="s">
        <v>214</v>
      </c>
      <c r="AU314" s="101" t="s">
        <v>87</v>
      </c>
      <c r="AY314" s="23" t="s">
        <v>211</v>
      </c>
      <c r="BE314" s="104">
        <f t="shared" si="94"/>
        <v>720</v>
      </c>
      <c r="BF314" s="104">
        <f t="shared" si="95"/>
        <v>0</v>
      </c>
      <c r="BG314" s="104">
        <f t="shared" si="96"/>
        <v>0</v>
      </c>
      <c r="BH314" s="104">
        <f t="shared" si="97"/>
        <v>0</v>
      </c>
      <c r="BI314" s="104">
        <f t="shared" si="98"/>
        <v>0</v>
      </c>
      <c r="BJ314" s="23" t="s">
        <v>85</v>
      </c>
      <c r="BK314" s="104">
        <f t="shared" si="99"/>
        <v>720</v>
      </c>
      <c r="BL314" s="23" t="s">
        <v>218</v>
      </c>
      <c r="BM314" s="101" t="s">
        <v>1904</v>
      </c>
    </row>
    <row r="315" spans="2:65" s="31" customFormat="1" ht="23.1" customHeight="1">
      <c r="B315" s="67"/>
      <c r="D315" s="68" t="s">
        <v>76</v>
      </c>
      <c r="E315" s="70" t="s">
        <v>4359</v>
      </c>
      <c r="F315" s="70" t="s">
        <v>4360</v>
      </c>
      <c r="I315" s="85"/>
      <c r="J315" s="89">
        <f>BK315</f>
        <v>15150</v>
      </c>
      <c r="L315" s="67"/>
      <c r="M315" s="87"/>
      <c r="P315" s="88">
        <f>SUM(P316:P319)</f>
        <v>0</v>
      </c>
      <c r="R315" s="88">
        <f>SUM(R316:R319)</f>
        <v>0</v>
      </c>
      <c r="T315" s="98">
        <f>SUM(T316:T319)</f>
        <v>0</v>
      </c>
      <c r="AR315" s="68" t="s">
        <v>85</v>
      </c>
      <c r="AT315" s="100" t="s">
        <v>76</v>
      </c>
      <c r="AU315" s="100" t="s">
        <v>85</v>
      </c>
      <c r="AY315" s="68" t="s">
        <v>211</v>
      </c>
      <c r="BK315" s="103">
        <f>SUM(BK316:BK319)</f>
        <v>15150</v>
      </c>
    </row>
    <row r="316" spans="2:65" s="1" customFormat="1" ht="33" customHeight="1">
      <c r="B316" s="12"/>
      <c r="C316" s="114" t="s">
        <v>1296</v>
      </c>
      <c r="D316" s="114" t="s">
        <v>438</v>
      </c>
      <c r="E316" s="115" t="s">
        <v>4394</v>
      </c>
      <c r="F316" s="116" t="s">
        <v>4395</v>
      </c>
      <c r="G316" s="117" t="s">
        <v>808</v>
      </c>
      <c r="H316" s="118">
        <v>0</v>
      </c>
      <c r="I316" s="122"/>
      <c r="J316" s="123">
        <f>ROUND(I316*H316,2)</f>
        <v>0</v>
      </c>
      <c r="K316" s="124"/>
      <c r="L316" s="125"/>
      <c r="M316" s="126" t="s">
        <v>1</v>
      </c>
      <c r="N316" s="127" t="s">
        <v>42</v>
      </c>
      <c r="P316" s="95">
        <f>O316*H316</f>
        <v>0</v>
      </c>
      <c r="Q316" s="95">
        <v>0</v>
      </c>
      <c r="R316" s="95">
        <f>Q316*H316</f>
        <v>0</v>
      </c>
      <c r="S316" s="95">
        <v>0</v>
      </c>
      <c r="T316" s="99">
        <f>S316*H316</f>
        <v>0</v>
      </c>
      <c r="AR316" s="101" t="s">
        <v>250</v>
      </c>
      <c r="AT316" s="101" t="s">
        <v>438</v>
      </c>
      <c r="AU316" s="101" t="s">
        <v>87</v>
      </c>
      <c r="AY316" s="23" t="s">
        <v>211</v>
      </c>
      <c r="BE316" s="104">
        <f>IF(N316="základní",J316,0)</f>
        <v>0</v>
      </c>
      <c r="BF316" s="104">
        <f>IF(N316="snížená",J316,0)</f>
        <v>0</v>
      </c>
      <c r="BG316" s="104">
        <f>IF(N316="zákl. přenesená",J316,0)</f>
        <v>0</v>
      </c>
      <c r="BH316" s="104">
        <f>IF(N316="sníž. přenesená",J316,0)</f>
        <v>0</v>
      </c>
      <c r="BI316" s="104">
        <f>IF(N316="nulová",J316,0)</f>
        <v>0</v>
      </c>
      <c r="BJ316" s="23" t="s">
        <v>85</v>
      </c>
      <c r="BK316" s="104">
        <f>ROUND(I316*H316,2)</f>
        <v>0</v>
      </c>
      <c r="BL316" s="23" t="s">
        <v>218</v>
      </c>
      <c r="BM316" s="101" t="s">
        <v>1912</v>
      </c>
    </row>
    <row r="317" spans="2:65" s="1" customFormat="1" ht="16.5" customHeight="1">
      <c r="B317" s="12"/>
      <c r="C317" s="71" t="s">
        <v>1306</v>
      </c>
      <c r="D317" s="71" t="s">
        <v>214</v>
      </c>
      <c r="E317" s="72" t="s">
        <v>4361</v>
      </c>
      <c r="F317" s="73" t="s">
        <v>4362</v>
      </c>
      <c r="G317" s="74" t="s">
        <v>808</v>
      </c>
      <c r="H317" s="75">
        <v>7</v>
      </c>
      <c r="I317" s="90">
        <v>450</v>
      </c>
      <c r="J317" s="91">
        <f>ROUND(I317*H317,2)</f>
        <v>3150</v>
      </c>
      <c r="K317" s="92"/>
      <c r="L317" s="12"/>
      <c r="M317" s="93" t="s">
        <v>1</v>
      </c>
      <c r="N317" s="94" t="s">
        <v>42</v>
      </c>
      <c r="P317" s="95">
        <f>O317*H317</f>
        <v>0</v>
      </c>
      <c r="Q317" s="95">
        <v>0</v>
      </c>
      <c r="R317" s="95">
        <f>Q317*H317</f>
        <v>0</v>
      </c>
      <c r="S317" s="95">
        <v>0</v>
      </c>
      <c r="T317" s="99">
        <f>S317*H317</f>
        <v>0</v>
      </c>
      <c r="AR317" s="101" t="s">
        <v>218</v>
      </c>
      <c r="AT317" s="101" t="s">
        <v>214</v>
      </c>
      <c r="AU317" s="101" t="s">
        <v>87</v>
      </c>
      <c r="AY317" s="23" t="s">
        <v>211</v>
      </c>
      <c r="BE317" s="104">
        <f>IF(N317="základní",J317,0)</f>
        <v>3150</v>
      </c>
      <c r="BF317" s="104">
        <f>IF(N317="snížená",J317,0)</f>
        <v>0</v>
      </c>
      <c r="BG317" s="104">
        <f>IF(N317="zákl. přenesená",J317,0)</f>
        <v>0</v>
      </c>
      <c r="BH317" s="104">
        <f>IF(N317="sníž. přenesená",J317,0)</f>
        <v>0</v>
      </c>
      <c r="BI317" s="104">
        <f>IF(N317="nulová",J317,0)</f>
        <v>0</v>
      </c>
      <c r="BJ317" s="23" t="s">
        <v>85</v>
      </c>
      <c r="BK317" s="104">
        <f>ROUND(I317*H317,2)</f>
        <v>3150</v>
      </c>
      <c r="BL317" s="23" t="s">
        <v>218</v>
      </c>
      <c r="BM317" s="101" t="s">
        <v>1920</v>
      </c>
    </row>
    <row r="318" spans="2:65" s="1" customFormat="1" ht="49.35" customHeight="1">
      <c r="B318" s="12"/>
      <c r="C318" s="71" t="s">
        <v>1312</v>
      </c>
      <c r="D318" s="71" t="s">
        <v>214</v>
      </c>
      <c r="E318" s="72" t="s">
        <v>4284</v>
      </c>
      <c r="F318" s="73" t="s">
        <v>4285</v>
      </c>
      <c r="G318" s="74" t="s">
        <v>431</v>
      </c>
      <c r="H318" s="75">
        <v>40</v>
      </c>
      <c r="I318" s="90">
        <v>250</v>
      </c>
      <c r="J318" s="91">
        <f>ROUND(I318*H318,2)</f>
        <v>10000</v>
      </c>
      <c r="K318" s="92"/>
      <c r="L318" s="12"/>
      <c r="M318" s="93" t="s">
        <v>1</v>
      </c>
      <c r="N318" s="94" t="s">
        <v>42</v>
      </c>
      <c r="P318" s="95">
        <f>O318*H318</f>
        <v>0</v>
      </c>
      <c r="Q318" s="95">
        <v>0</v>
      </c>
      <c r="R318" s="95">
        <f>Q318*H318</f>
        <v>0</v>
      </c>
      <c r="S318" s="95">
        <v>0</v>
      </c>
      <c r="T318" s="99">
        <f>S318*H318</f>
        <v>0</v>
      </c>
      <c r="AR318" s="101" t="s">
        <v>218</v>
      </c>
      <c r="AT318" s="101" t="s">
        <v>214</v>
      </c>
      <c r="AU318" s="101" t="s">
        <v>87</v>
      </c>
      <c r="AY318" s="23" t="s">
        <v>211</v>
      </c>
      <c r="BE318" s="104">
        <f>IF(N318="základní",J318,0)</f>
        <v>10000</v>
      </c>
      <c r="BF318" s="104">
        <f>IF(N318="snížená",J318,0)</f>
        <v>0</v>
      </c>
      <c r="BG318" s="104">
        <f>IF(N318="zákl. přenesená",J318,0)</f>
        <v>0</v>
      </c>
      <c r="BH318" s="104">
        <f>IF(N318="sníž. přenesená",J318,0)</f>
        <v>0</v>
      </c>
      <c r="BI318" s="104">
        <f>IF(N318="nulová",J318,0)</f>
        <v>0</v>
      </c>
      <c r="BJ318" s="23" t="s">
        <v>85</v>
      </c>
      <c r="BK318" s="104">
        <f>ROUND(I318*H318,2)</f>
        <v>10000</v>
      </c>
      <c r="BL318" s="23" t="s">
        <v>218</v>
      </c>
      <c r="BM318" s="101" t="s">
        <v>1928</v>
      </c>
    </row>
    <row r="319" spans="2:65" s="1" customFormat="1" ht="49.35" customHeight="1">
      <c r="B319" s="12"/>
      <c r="C319" s="71" t="s">
        <v>1318</v>
      </c>
      <c r="D319" s="71" t="s">
        <v>214</v>
      </c>
      <c r="E319" s="72" t="s">
        <v>4286</v>
      </c>
      <c r="F319" s="73" t="s">
        <v>4287</v>
      </c>
      <c r="G319" s="74" t="s">
        <v>431</v>
      </c>
      <c r="H319" s="75">
        <v>10</v>
      </c>
      <c r="I319" s="153">
        <v>200</v>
      </c>
      <c r="J319" s="91">
        <f>ROUND(I319*H319,2)</f>
        <v>2000</v>
      </c>
      <c r="K319" s="92"/>
      <c r="L319" s="12"/>
      <c r="M319" s="93" t="s">
        <v>1</v>
      </c>
      <c r="N319" s="94" t="s">
        <v>42</v>
      </c>
      <c r="P319" s="95">
        <f>O319*H319</f>
        <v>0</v>
      </c>
      <c r="Q319" s="95">
        <v>0</v>
      </c>
      <c r="R319" s="95">
        <f>Q319*H319</f>
        <v>0</v>
      </c>
      <c r="S319" s="95">
        <v>0</v>
      </c>
      <c r="T319" s="99">
        <f>S319*H319</f>
        <v>0</v>
      </c>
      <c r="AR319" s="101" t="s">
        <v>218</v>
      </c>
      <c r="AT319" s="101" t="s">
        <v>214</v>
      </c>
      <c r="AU319" s="101" t="s">
        <v>87</v>
      </c>
      <c r="AY319" s="23" t="s">
        <v>211</v>
      </c>
      <c r="BE319" s="104">
        <f>IF(N319="základní",J319,0)</f>
        <v>2000</v>
      </c>
      <c r="BF319" s="104">
        <f>IF(N319="snížená",J319,0)</f>
        <v>0</v>
      </c>
      <c r="BG319" s="104">
        <f>IF(N319="zákl. přenesená",J319,0)</f>
        <v>0</v>
      </c>
      <c r="BH319" s="104">
        <f>IF(N319="sníž. přenesená",J319,0)</f>
        <v>0</v>
      </c>
      <c r="BI319" s="104">
        <f>IF(N319="nulová",J319,0)</f>
        <v>0</v>
      </c>
      <c r="BJ319" s="23" t="s">
        <v>85</v>
      </c>
      <c r="BK319" s="104">
        <f>ROUND(I319*H319,2)</f>
        <v>2000</v>
      </c>
      <c r="BL319" s="23" t="s">
        <v>218</v>
      </c>
      <c r="BM319" s="101" t="s">
        <v>1937</v>
      </c>
    </row>
    <row r="320" spans="2:65" s="31" customFormat="1" ht="26.1" customHeight="1">
      <c r="B320" s="67"/>
      <c r="D320" s="68" t="s">
        <v>76</v>
      </c>
      <c r="E320" s="69" t="s">
        <v>4396</v>
      </c>
      <c r="F320" s="69" t="s">
        <v>4397</v>
      </c>
      <c r="I320" s="85"/>
      <c r="J320" s="86">
        <f>BK320</f>
        <v>738770</v>
      </c>
      <c r="L320" s="67"/>
      <c r="M320" s="87"/>
      <c r="P320" s="88">
        <f>P321+P332+P345+P358</f>
        <v>0</v>
      </c>
      <c r="R320" s="88">
        <f>R321+R332+R345+R358</f>
        <v>0</v>
      </c>
      <c r="T320" s="98">
        <f>T321+T332+T345+T358</f>
        <v>0</v>
      </c>
      <c r="AR320" s="68" t="s">
        <v>85</v>
      </c>
      <c r="AT320" s="100" t="s">
        <v>76</v>
      </c>
      <c r="AU320" s="100" t="s">
        <v>77</v>
      </c>
      <c r="AY320" s="68" t="s">
        <v>211</v>
      </c>
      <c r="BK320" s="103">
        <f>BK321+BK332+BK345+BK358</f>
        <v>738770</v>
      </c>
    </row>
    <row r="321" spans="2:65" s="31" customFormat="1" ht="23.1" customHeight="1">
      <c r="B321" s="67"/>
      <c r="D321" s="68" t="s">
        <v>76</v>
      </c>
      <c r="E321" s="70" t="s">
        <v>4398</v>
      </c>
      <c r="F321" s="70" t="s">
        <v>4399</v>
      </c>
      <c r="I321" s="85"/>
      <c r="J321" s="89">
        <f>BK321</f>
        <v>91080</v>
      </c>
      <c r="L321" s="67"/>
      <c r="M321" s="87"/>
      <c r="P321" s="88">
        <f>SUM(P322:P331)</f>
        <v>0</v>
      </c>
      <c r="R321" s="88">
        <f>SUM(R322:R331)</f>
        <v>0</v>
      </c>
      <c r="T321" s="98">
        <f>SUM(T322:T331)</f>
        <v>0</v>
      </c>
      <c r="AR321" s="68" t="s">
        <v>85</v>
      </c>
      <c r="AT321" s="100" t="s">
        <v>76</v>
      </c>
      <c r="AU321" s="100" t="s">
        <v>85</v>
      </c>
      <c r="AY321" s="68" t="s">
        <v>211</v>
      </c>
      <c r="BK321" s="103">
        <f>SUM(BK322:BK331)</f>
        <v>91080</v>
      </c>
    </row>
    <row r="322" spans="2:65" s="1" customFormat="1" ht="38.1" customHeight="1">
      <c r="B322" s="12"/>
      <c r="C322" s="71" t="s">
        <v>1323</v>
      </c>
      <c r="D322" s="71" t="s">
        <v>214</v>
      </c>
      <c r="E322" s="72" t="s">
        <v>4400</v>
      </c>
      <c r="F322" s="73" t="s">
        <v>4401</v>
      </c>
      <c r="G322" s="74" t="s">
        <v>808</v>
      </c>
      <c r="H322" s="75">
        <v>1</v>
      </c>
      <c r="I322" s="90">
        <v>14000</v>
      </c>
      <c r="J322" s="91">
        <f t="shared" ref="J322:J331" si="100">ROUND(I322*H322,2)</f>
        <v>14000</v>
      </c>
      <c r="K322" s="92"/>
      <c r="L322" s="12"/>
      <c r="M322" s="93" t="s">
        <v>1</v>
      </c>
      <c r="N322" s="94" t="s">
        <v>42</v>
      </c>
      <c r="P322" s="95">
        <f t="shared" ref="P322:P331" si="101">O322*H322</f>
        <v>0</v>
      </c>
      <c r="Q322" s="95">
        <v>0</v>
      </c>
      <c r="R322" s="95">
        <f t="shared" ref="R322:R331" si="102">Q322*H322</f>
        <v>0</v>
      </c>
      <c r="S322" s="95">
        <v>0</v>
      </c>
      <c r="T322" s="99">
        <f t="shared" ref="T322:T331" si="103">S322*H322</f>
        <v>0</v>
      </c>
      <c r="AR322" s="101" t="s">
        <v>218</v>
      </c>
      <c r="AT322" s="101" t="s">
        <v>214</v>
      </c>
      <c r="AU322" s="101" t="s">
        <v>87</v>
      </c>
      <c r="AY322" s="23" t="s">
        <v>211</v>
      </c>
      <c r="BE322" s="104">
        <f t="shared" ref="BE322:BE331" si="104">IF(N322="základní",J322,0)</f>
        <v>14000</v>
      </c>
      <c r="BF322" s="104">
        <f t="shared" ref="BF322:BF331" si="105">IF(N322="snížená",J322,0)</f>
        <v>0</v>
      </c>
      <c r="BG322" s="104">
        <f t="shared" ref="BG322:BG331" si="106">IF(N322="zákl. přenesená",J322,0)</f>
        <v>0</v>
      </c>
      <c r="BH322" s="104">
        <f t="shared" ref="BH322:BH331" si="107">IF(N322="sníž. přenesená",J322,0)</f>
        <v>0</v>
      </c>
      <c r="BI322" s="104">
        <f t="shared" ref="BI322:BI331" si="108">IF(N322="nulová",J322,0)</f>
        <v>0</v>
      </c>
      <c r="BJ322" s="23" t="s">
        <v>85</v>
      </c>
      <c r="BK322" s="104">
        <f t="shared" ref="BK322:BK331" si="109">ROUND(I322*H322,2)</f>
        <v>14000</v>
      </c>
      <c r="BL322" s="23" t="s">
        <v>218</v>
      </c>
      <c r="BM322" s="101" t="s">
        <v>1947</v>
      </c>
    </row>
    <row r="323" spans="2:65" s="1" customFormat="1" ht="21.75" customHeight="1">
      <c r="B323" s="12"/>
      <c r="C323" s="71" t="s">
        <v>1328</v>
      </c>
      <c r="D323" s="71" t="s">
        <v>214</v>
      </c>
      <c r="E323" s="72" t="s">
        <v>4402</v>
      </c>
      <c r="F323" s="73" t="s">
        <v>4403</v>
      </c>
      <c r="G323" s="74" t="s">
        <v>808</v>
      </c>
      <c r="H323" s="75">
        <v>1</v>
      </c>
      <c r="I323" s="90">
        <v>3500</v>
      </c>
      <c r="J323" s="91">
        <f t="shared" si="100"/>
        <v>3500</v>
      </c>
      <c r="K323" s="92"/>
      <c r="L323" s="12"/>
      <c r="M323" s="93" t="s">
        <v>1</v>
      </c>
      <c r="N323" s="94" t="s">
        <v>42</v>
      </c>
      <c r="P323" s="95">
        <f t="shared" si="101"/>
        <v>0</v>
      </c>
      <c r="Q323" s="95">
        <v>0</v>
      </c>
      <c r="R323" s="95">
        <f t="shared" si="102"/>
        <v>0</v>
      </c>
      <c r="S323" s="95">
        <v>0</v>
      </c>
      <c r="T323" s="99">
        <f t="shared" si="103"/>
        <v>0</v>
      </c>
      <c r="AR323" s="101" t="s">
        <v>218</v>
      </c>
      <c r="AT323" s="101" t="s">
        <v>214</v>
      </c>
      <c r="AU323" s="101" t="s">
        <v>87</v>
      </c>
      <c r="AY323" s="23" t="s">
        <v>211</v>
      </c>
      <c r="BE323" s="104">
        <f t="shared" si="104"/>
        <v>3500</v>
      </c>
      <c r="BF323" s="104">
        <f t="shared" si="105"/>
        <v>0</v>
      </c>
      <c r="BG323" s="104">
        <f t="shared" si="106"/>
        <v>0</v>
      </c>
      <c r="BH323" s="104">
        <f t="shared" si="107"/>
        <v>0</v>
      </c>
      <c r="BI323" s="104">
        <f t="shared" si="108"/>
        <v>0</v>
      </c>
      <c r="BJ323" s="23" t="s">
        <v>85</v>
      </c>
      <c r="BK323" s="104">
        <f t="shared" si="109"/>
        <v>3500</v>
      </c>
      <c r="BL323" s="23" t="s">
        <v>218</v>
      </c>
      <c r="BM323" s="101" t="s">
        <v>1957</v>
      </c>
    </row>
    <row r="324" spans="2:65" s="1" customFormat="1" ht="21.75" customHeight="1">
      <c r="B324" s="12"/>
      <c r="C324" s="71" t="s">
        <v>1332</v>
      </c>
      <c r="D324" s="71" t="s">
        <v>214</v>
      </c>
      <c r="E324" s="72" t="s">
        <v>4404</v>
      </c>
      <c r="F324" s="73" t="s">
        <v>4405</v>
      </c>
      <c r="G324" s="74" t="s">
        <v>808</v>
      </c>
      <c r="H324" s="75">
        <v>1</v>
      </c>
      <c r="I324" s="90">
        <v>6000</v>
      </c>
      <c r="J324" s="91">
        <f t="shared" si="100"/>
        <v>6000</v>
      </c>
      <c r="K324" s="92"/>
      <c r="L324" s="12"/>
      <c r="M324" s="93" t="s">
        <v>1</v>
      </c>
      <c r="N324" s="94" t="s">
        <v>42</v>
      </c>
      <c r="P324" s="95">
        <f t="shared" si="101"/>
        <v>0</v>
      </c>
      <c r="Q324" s="95">
        <v>0</v>
      </c>
      <c r="R324" s="95">
        <f t="shared" si="102"/>
        <v>0</v>
      </c>
      <c r="S324" s="95">
        <v>0</v>
      </c>
      <c r="T324" s="99">
        <f t="shared" si="103"/>
        <v>0</v>
      </c>
      <c r="AR324" s="101" t="s">
        <v>218</v>
      </c>
      <c r="AT324" s="101" t="s">
        <v>214</v>
      </c>
      <c r="AU324" s="101" t="s">
        <v>87</v>
      </c>
      <c r="AY324" s="23" t="s">
        <v>211</v>
      </c>
      <c r="BE324" s="104">
        <f t="shared" si="104"/>
        <v>6000</v>
      </c>
      <c r="BF324" s="104">
        <f t="shared" si="105"/>
        <v>0</v>
      </c>
      <c r="BG324" s="104">
        <f t="shared" si="106"/>
        <v>0</v>
      </c>
      <c r="BH324" s="104">
        <f t="shared" si="107"/>
        <v>0</v>
      </c>
      <c r="BI324" s="104">
        <f t="shared" si="108"/>
        <v>0</v>
      </c>
      <c r="BJ324" s="23" t="s">
        <v>85</v>
      </c>
      <c r="BK324" s="104">
        <f t="shared" si="109"/>
        <v>6000</v>
      </c>
      <c r="BL324" s="23" t="s">
        <v>218</v>
      </c>
      <c r="BM324" s="101" t="s">
        <v>1967</v>
      </c>
    </row>
    <row r="325" spans="2:65" s="1" customFormat="1" ht="16.5" customHeight="1">
      <c r="B325" s="12"/>
      <c r="C325" s="71" t="s">
        <v>1337</v>
      </c>
      <c r="D325" s="71" t="s">
        <v>214</v>
      </c>
      <c r="E325" s="72" t="s">
        <v>4329</v>
      </c>
      <c r="F325" s="73" t="s">
        <v>4263</v>
      </c>
      <c r="G325" s="74" t="s">
        <v>808</v>
      </c>
      <c r="H325" s="75">
        <v>14</v>
      </c>
      <c r="I325" s="90">
        <v>220</v>
      </c>
      <c r="J325" s="91">
        <f t="shared" si="100"/>
        <v>3080</v>
      </c>
      <c r="K325" s="92"/>
      <c r="L325" s="12"/>
      <c r="M325" s="93" t="s">
        <v>1</v>
      </c>
      <c r="N325" s="94" t="s">
        <v>42</v>
      </c>
      <c r="P325" s="95">
        <f t="shared" si="101"/>
        <v>0</v>
      </c>
      <c r="Q325" s="95">
        <v>0</v>
      </c>
      <c r="R325" s="95">
        <f t="shared" si="102"/>
        <v>0</v>
      </c>
      <c r="S325" s="95">
        <v>0</v>
      </c>
      <c r="T325" s="99">
        <f t="shared" si="103"/>
        <v>0</v>
      </c>
      <c r="AR325" s="101" t="s">
        <v>218</v>
      </c>
      <c r="AT325" s="101" t="s">
        <v>214</v>
      </c>
      <c r="AU325" s="101" t="s">
        <v>87</v>
      </c>
      <c r="AY325" s="23" t="s">
        <v>211</v>
      </c>
      <c r="BE325" s="104">
        <f t="shared" si="104"/>
        <v>3080</v>
      </c>
      <c r="BF325" s="104">
        <f t="shared" si="105"/>
        <v>0</v>
      </c>
      <c r="BG325" s="104">
        <f t="shared" si="106"/>
        <v>0</v>
      </c>
      <c r="BH325" s="104">
        <f t="shared" si="107"/>
        <v>0</v>
      </c>
      <c r="BI325" s="104">
        <f t="shared" si="108"/>
        <v>0</v>
      </c>
      <c r="BJ325" s="23" t="s">
        <v>85</v>
      </c>
      <c r="BK325" s="104">
        <f t="shared" si="109"/>
        <v>3080</v>
      </c>
      <c r="BL325" s="23" t="s">
        <v>218</v>
      </c>
      <c r="BM325" s="101" t="s">
        <v>1975</v>
      </c>
    </row>
    <row r="326" spans="2:65" s="1" customFormat="1" ht="16.5" customHeight="1">
      <c r="B326" s="12"/>
      <c r="C326" s="71" t="s">
        <v>1342</v>
      </c>
      <c r="D326" s="71" t="s">
        <v>214</v>
      </c>
      <c r="E326" s="72" t="s">
        <v>4406</v>
      </c>
      <c r="F326" s="73" t="s">
        <v>4407</v>
      </c>
      <c r="G326" s="74" t="s">
        <v>808</v>
      </c>
      <c r="H326" s="75">
        <v>1</v>
      </c>
      <c r="I326" s="90">
        <v>900</v>
      </c>
      <c r="J326" s="91">
        <f t="shared" si="100"/>
        <v>900</v>
      </c>
      <c r="K326" s="92"/>
      <c r="L326" s="12"/>
      <c r="M326" s="93" t="s">
        <v>1</v>
      </c>
      <c r="N326" s="94" t="s">
        <v>42</v>
      </c>
      <c r="P326" s="95">
        <f t="shared" si="101"/>
        <v>0</v>
      </c>
      <c r="Q326" s="95">
        <v>0</v>
      </c>
      <c r="R326" s="95">
        <f t="shared" si="102"/>
        <v>0</v>
      </c>
      <c r="S326" s="95">
        <v>0</v>
      </c>
      <c r="T326" s="99">
        <f t="shared" si="103"/>
        <v>0</v>
      </c>
      <c r="AR326" s="101" t="s">
        <v>218</v>
      </c>
      <c r="AT326" s="101" t="s">
        <v>214</v>
      </c>
      <c r="AU326" s="101" t="s">
        <v>87</v>
      </c>
      <c r="AY326" s="23" t="s">
        <v>211</v>
      </c>
      <c r="BE326" s="104">
        <f t="shared" si="104"/>
        <v>900</v>
      </c>
      <c r="BF326" s="104">
        <f t="shared" si="105"/>
        <v>0</v>
      </c>
      <c r="BG326" s="104">
        <f t="shared" si="106"/>
        <v>0</v>
      </c>
      <c r="BH326" s="104">
        <f t="shared" si="107"/>
        <v>0</v>
      </c>
      <c r="BI326" s="104">
        <f t="shared" si="108"/>
        <v>0</v>
      </c>
      <c r="BJ326" s="23" t="s">
        <v>85</v>
      </c>
      <c r="BK326" s="104">
        <f t="shared" si="109"/>
        <v>900</v>
      </c>
      <c r="BL326" s="23" t="s">
        <v>218</v>
      </c>
      <c r="BM326" s="101" t="s">
        <v>1983</v>
      </c>
    </row>
    <row r="327" spans="2:65" s="1" customFormat="1" ht="49.35" customHeight="1">
      <c r="B327" s="12"/>
      <c r="C327" s="71" t="s">
        <v>1347</v>
      </c>
      <c r="D327" s="71" t="s">
        <v>214</v>
      </c>
      <c r="E327" s="72" t="s">
        <v>4408</v>
      </c>
      <c r="F327" s="73" t="s">
        <v>4409</v>
      </c>
      <c r="G327" s="74" t="s">
        <v>431</v>
      </c>
      <c r="H327" s="75">
        <v>3</v>
      </c>
      <c r="I327" s="90">
        <v>650</v>
      </c>
      <c r="J327" s="91">
        <f t="shared" si="100"/>
        <v>1950</v>
      </c>
      <c r="K327" s="92"/>
      <c r="L327" s="12"/>
      <c r="M327" s="93" t="s">
        <v>1</v>
      </c>
      <c r="N327" s="94" t="s">
        <v>42</v>
      </c>
      <c r="P327" s="95">
        <f t="shared" si="101"/>
        <v>0</v>
      </c>
      <c r="Q327" s="95">
        <v>0</v>
      </c>
      <c r="R327" s="95">
        <f t="shared" si="102"/>
        <v>0</v>
      </c>
      <c r="S327" s="95">
        <v>0</v>
      </c>
      <c r="T327" s="99">
        <f t="shared" si="103"/>
        <v>0</v>
      </c>
      <c r="AR327" s="101" t="s">
        <v>218</v>
      </c>
      <c r="AT327" s="101" t="s">
        <v>214</v>
      </c>
      <c r="AU327" s="101" t="s">
        <v>87</v>
      </c>
      <c r="AY327" s="23" t="s">
        <v>211</v>
      </c>
      <c r="BE327" s="104">
        <f t="shared" si="104"/>
        <v>1950</v>
      </c>
      <c r="BF327" s="104">
        <f t="shared" si="105"/>
        <v>0</v>
      </c>
      <c r="BG327" s="104">
        <f t="shared" si="106"/>
        <v>0</v>
      </c>
      <c r="BH327" s="104">
        <f t="shared" si="107"/>
        <v>0</v>
      </c>
      <c r="BI327" s="104">
        <f t="shared" si="108"/>
        <v>0</v>
      </c>
      <c r="BJ327" s="23" t="s">
        <v>85</v>
      </c>
      <c r="BK327" s="104">
        <f t="shared" si="109"/>
        <v>1950</v>
      </c>
      <c r="BL327" s="23" t="s">
        <v>218</v>
      </c>
      <c r="BM327" s="101" t="s">
        <v>1991</v>
      </c>
    </row>
    <row r="328" spans="2:65" s="1" customFormat="1" ht="49.35" customHeight="1">
      <c r="B328" s="12"/>
      <c r="C328" s="71" t="s">
        <v>1352</v>
      </c>
      <c r="D328" s="71" t="s">
        <v>214</v>
      </c>
      <c r="E328" s="72" t="s">
        <v>4410</v>
      </c>
      <c r="F328" s="73" t="s">
        <v>4411</v>
      </c>
      <c r="G328" s="74" t="s">
        <v>431</v>
      </c>
      <c r="H328" s="75">
        <v>13</v>
      </c>
      <c r="I328" s="90">
        <v>800</v>
      </c>
      <c r="J328" s="91">
        <f t="shared" si="100"/>
        <v>10400</v>
      </c>
      <c r="K328" s="92"/>
      <c r="L328" s="12"/>
      <c r="M328" s="93" t="s">
        <v>1</v>
      </c>
      <c r="N328" s="94" t="s">
        <v>42</v>
      </c>
      <c r="P328" s="95">
        <f t="shared" si="101"/>
        <v>0</v>
      </c>
      <c r="Q328" s="95">
        <v>0</v>
      </c>
      <c r="R328" s="95">
        <f t="shared" si="102"/>
        <v>0</v>
      </c>
      <c r="S328" s="95">
        <v>0</v>
      </c>
      <c r="T328" s="99">
        <f t="shared" si="103"/>
        <v>0</v>
      </c>
      <c r="AR328" s="101" t="s">
        <v>218</v>
      </c>
      <c r="AT328" s="101" t="s">
        <v>214</v>
      </c>
      <c r="AU328" s="101" t="s">
        <v>87</v>
      </c>
      <c r="AY328" s="23" t="s">
        <v>211</v>
      </c>
      <c r="BE328" s="104">
        <f t="shared" si="104"/>
        <v>10400</v>
      </c>
      <c r="BF328" s="104">
        <f t="shared" si="105"/>
        <v>0</v>
      </c>
      <c r="BG328" s="104">
        <f t="shared" si="106"/>
        <v>0</v>
      </c>
      <c r="BH328" s="104">
        <f t="shared" si="107"/>
        <v>0</v>
      </c>
      <c r="BI328" s="104">
        <f t="shared" si="108"/>
        <v>0</v>
      </c>
      <c r="BJ328" s="23" t="s">
        <v>85</v>
      </c>
      <c r="BK328" s="104">
        <f t="shared" si="109"/>
        <v>10400</v>
      </c>
      <c r="BL328" s="23" t="s">
        <v>218</v>
      </c>
      <c r="BM328" s="101" t="s">
        <v>2000</v>
      </c>
    </row>
    <row r="329" spans="2:65" s="1" customFormat="1" ht="49.35" customHeight="1">
      <c r="B329" s="12"/>
      <c r="C329" s="71" t="s">
        <v>1357</v>
      </c>
      <c r="D329" s="71" t="s">
        <v>214</v>
      </c>
      <c r="E329" s="72" t="s">
        <v>4282</v>
      </c>
      <c r="F329" s="73" t="s">
        <v>4283</v>
      </c>
      <c r="G329" s="74" t="s">
        <v>431</v>
      </c>
      <c r="H329" s="75">
        <v>75</v>
      </c>
      <c r="I329" s="90">
        <v>330</v>
      </c>
      <c r="J329" s="91">
        <f t="shared" si="100"/>
        <v>24750</v>
      </c>
      <c r="K329" s="92"/>
      <c r="L329" s="12"/>
      <c r="M329" s="93" t="s">
        <v>1</v>
      </c>
      <c r="N329" s="94" t="s">
        <v>42</v>
      </c>
      <c r="P329" s="95">
        <f t="shared" si="101"/>
        <v>0</v>
      </c>
      <c r="Q329" s="95">
        <v>0</v>
      </c>
      <c r="R329" s="95">
        <f t="shared" si="102"/>
        <v>0</v>
      </c>
      <c r="S329" s="95">
        <v>0</v>
      </c>
      <c r="T329" s="99">
        <f t="shared" si="103"/>
        <v>0</v>
      </c>
      <c r="AR329" s="101" t="s">
        <v>218</v>
      </c>
      <c r="AT329" s="101" t="s">
        <v>214</v>
      </c>
      <c r="AU329" s="101" t="s">
        <v>87</v>
      </c>
      <c r="AY329" s="23" t="s">
        <v>211</v>
      </c>
      <c r="BE329" s="104">
        <f t="shared" si="104"/>
        <v>24750</v>
      </c>
      <c r="BF329" s="104">
        <f t="shared" si="105"/>
        <v>0</v>
      </c>
      <c r="BG329" s="104">
        <f t="shared" si="106"/>
        <v>0</v>
      </c>
      <c r="BH329" s="104">
        <f t="shared" si="107"/>
        <v>0</v>
      </c>
      <c r="BI329" s="104">
        <f t="shared" si="108"/>
        <v>0</v>
      </c>
      <c r="BJ329" s="23" t="s">
        <v>85</v>
      </c>
      <c r="BK329" s="104">
        <f t="shared" si="109"/>
        <v>24750</v>
      </c>
      <c r="BL329" s="23" t="s">
        <v>218</v>
      </c>
      <c r="BM329" s="101" t="s">
        <v>2009</v>
      </c>
    </row>
    <row r="330" spans="2:65" s="1" customFormat="1" ht="49.35" customHeight="1">
      <c r="B330" s="12"/>
      <c r="C330" s="71" t="s">
        <v>1361</v>
      </c>
      <c r="D330" s="71" t="s">
        <v>214</v>
      </c>
      <c r="E330" s="72" t="s">
        <v>4284</v>
      </c>
      <c r="F330" s="73" t="s">
        <v>4285</v>
      </c>
      <c r="G330" s="74" t="s">
        <v>431</v>
      </c>
      <c r="H330" s="75">
        <v>60</v>
      </c>
      <c r="I330" s="90">
        <v>250</v>
      </c>
      <c r="J330" s="91">
        <f t="shared" si="100"/>
        <v>15000</v>
      </c>
      <c r="K330" s="92"/>
      <c r="L330" s="12"/>
      <c r="M330" s="93" t="s">
        <v>1</v>
      </c>
      <c r="N330" s="94" t="s">
        <v>42</v>
      </c>
      <c r="P330" s="95">
        <f t="shared" si="101"/>
        <v>0</v>
      </c>
      <c r="Q330" s="95">
        <v>0</v>
      </c>
      <c r="R330" s="95">
        <f t="shared" si="102"/>
        <v>0</v>
      </c>
      <c r="S330" s="95">
        <v>0</v>
      </c>
      <c r="T330" s="99">
        <f t="shared" si="103"/>
        <v>0</v>
      </c>
      <c r="AR330" s="101" t="s">
        <v>218</v>
      </c>
      <c r="AT330" s="101" t="s">
        <v>214</v>
      </c>
      <c r="AU330" s="101" t="s">
        <v>87</v>
      </c>
      <c r="AY330" s="23" t="s">
        <v>211</v>
      </c>
      <c r="BE330" s="104">
        <f t="shared" si="104"/>
        <v>15000</v>
      </c>
      <c r="BF330" s="104">
        <f t="shared" si="105"/>
        <v>0</v>
      </c>
      <c r="BG330" s="104">
        <f t="shared" si="106"/>
        <v>0</v>
      </c>
      <c r="BH330" s="104">
        <f t="shared" si="107"/>
        <v>0</v>
      </c>
      <c r="BI330" s="104">
        <f t="shared" si="108"/>
        <v>0</v>
      </c>
      <c r="BJ330" s="23" t="s">
        <v>85</v>
      </c>
      <c r="BK330" s="104">
        <f t="shared" si="109"/>
        <v>15000</v>
      </c>
      <c r="BL330" s="23" t="s">
        <v>218</v>
      </c>
      <c r="BM330" s="101" t="s">
        <v>2019</v>
      </c>
    </row>
    <row r="331" spans="2:65" s="1" customFormat="1" ht="24.15" customHeight="1">
      <c r="B331" s="12"/>
      <c r="C331" s="71" t="s">
        <v>1365</v>
      </c>
      <c r="D331" s="71" t="s">
        <v>214</v>
      </c>
      <c r="E331" s="72" t="s">
        <v>4292</v>
      </c>
      <c r="F331" s="73" t="s">
        <v>4293</v>
      </c>
      <c r="G331" s="74" t="s">
        <v>279</v>
      </c>
      <c r="H331" s="75">
        <v>23</v>
      </c>
      <c r="I331" s="90">
        <v>500</v>
      </c>
      <c r="J331" s="91">
        <f t="shared" si="100"/>
        <v>11500</v>
      </c>
      <c r="K331" s="92"/>
      <c r="L331" s="12"/>
      <c r="M331" s="93" t="s">
        <v>1</v>
      </c>
      <c r="N331" s="94" t="s">
        <v>42</v>
      </c>
      <c r="P331" s="95">
        <f t="shared" si="101"/>
        <v>0</v>
      </c>
      <c r="Q331" s="95">
        <v>0</v>
      </c>
      <c r="R331" s="95">
        <f t="shared" si="102"/>
        <v>0</v>
      </c>
      <c r="S331" s="95">
        <v>0</v>
      </c>
      <c r="T331" s="99">
        <f t="shared" si="103"/>
        <v>0</v>
      </c>
      <c r="AR331" s="101" t="s">
        <v>218</v>
      </c>
      <c r="AT331" s="101" t="s">
        <v>214</v>
      </c>
      <c r="AU331" s="101" t="s">
        <v>87</v>
      </c>
      <c r="AY331" s="23" t="s">
        <v>211</v>
      </c>
      <c r="BE331" s="104">
        <f t="shared" si="104"/>
        <v>11500</v>
      </c>
      <c r="BF331" s="104">
        <f t="shared" si="105"/>
        <v>0</v>
      </c>
      <c r="BG331" s="104">
        <f t="shared" si="106"/>
        <v>0</v>
      </c>
      <c r="BH331" s="104">
        <f t="shared" si="107"/>
        <v>0</v>
      </c>
      <c r="BI331" s="104">
        <f t="shared" si="108"/>
        <v>0</v>
      </c>
      <c r="BJ331" s="23" t="s">
        <v>85</v>
      </c>
      <c r="BK331" s="104">
        <f t="shared" si="109"/>
        <v>11500</v>
      </c>
      <c r="BL331" s="23" t="s">
        <v>218</v>
      </c>
      <c r="BM331" s="101" t="s">
        <v>2029</v>
      </c>
    </row>
    <row r="332" spans="2:65" s="31" customFormat="1" ht="23.1" customHeight="1">
      <c r="B332" s="67"/>
      <c r="D332" s="68" t="s">
        <v>76</v>
      </c>
      <c r="E332" s="70" t="s">
        <v>4412</v>
      </c>
      <c r="F332" s="70" t="s">
        <v>4413</v>
      </c>
      <c r="I332" s="85"/>
      <c r="J332" s="89">
        <f>BK332</f>
        <v>350830</v>
      </c>
      <c r="L332" s="67"/>
      <c r="M332" s="87"/>
      <c r="P332" s="88">
        <f>SUM(P333:P344)</f>
        <v>0</v>
      </c>
      <c r="R332" s="88">
        <f>SUM(R333:R344)</f>
        <v>0</v>
      </c>
      <c r="T332" s="98">
        <f>SUM(T333:T344)</f>
        <v>0</v>
      </c>
      <c r="AR332" s="68" t="s">
        <v>85</v>
      </c>
      <c r="AT332" s="100" t="s">
        <v>76</v>
      </c>
      <c r="AU332" s="100" t="s">
        <v>85</v>
      </c>
      <c r="AY332" s="68" t="s">
        <v>211</v>
      </c>
      <c r="BK332" s="103">
        <f>SUM(BK333:BK344)</f>
        <v>350830</v>
      </c>
    </row>
    <row r="333" spans="2:65" s="1" customFormat="1" ht="16.5" customHeight="1">
      <c r="B333" s="12"/>
      <c r="C333" s="71" t="s">
        <v>1370</v>
      </c>
      <c r="D333" s="71" t="s">
        <v>214</v>
      </c>
      <c r="E333" s="72" t="s">
        <v>4414</v>
      </c>
      <c r="F333" s="73" t="s">
        <v>4296</v>
      </c>
      <c r="G333" s="74" t="s">
        <v>808</v>
      </c>
      <c r="H333" s="75">
        <v>5</v>
      </c>
      <c r="I333" s="90">
        <v>53000</v>
      </c>
      <c r="J333" s="91">
        <f>ROUND(I333*H333,2)</f>
        <v>265000</v>
      </c>
      <c r="K333" s="92"/>
      <c r="L333" s="12"/>
      <c r="M333" s="93" t="s">
        <v>1</v>
      </c>
      <c r="N333" s="94" t="s">
        <v>42</v>
      </c>
      <c r="P333" s="95">
        <f>O333*H333</f>
        <v>0</v>
      </c>
      <c r="Q333" s="95">
        <v>0</v>
      </c>
      <c r="R333" s="95">
        <f>Q333*H333</f>
        <v>0</v>
      </c>
      <c r="S333" s="95">
        <v>0</v>
      </c>
      <c r="T333" s="99">
        <f>S333*H333</f>
        <v>0</v>
      </c>
      <c r="AR333" s="101" t="s">
        <v>218</v>
      </c>
      <c r="AT333" s="101" t="s">
        <v>214</v>
      </c>
      <c r="AU333" s="101" t="s">
        <v>87</v>
      </c>
      <c r="AY333" s="23" t="s">
        <v>211</v>
      </c>
      <c r="BE333" s="104">
        <f>IF(N333="základní",J333,0)</f>
        <v>265000</v>
      </c>
      <c r="BF333" s="104">
        <f>IF(N333="snížená",J333,0)</f>
        <v>0</v>
      </c>
      <c r="BG333" s="104">
        <f>IF(N333="zákl. přenesená",J333,0)</f>
        <v>0</v>
      </c>
      <c r="BH333" s="104">
        <f>IF(N333="sníž. přenesená",J333,0)</f>
        <v>0</v>
      </c>
      <c r="BI333" s="104">
        <f>IF(N333="nulová",J333,0)</f>
        <v>0</v>
      </c>
      <c r="BJ333" s="23" t="s">
        <v>85</v>
      </c>
      <c r="BK333" s="104">
        <f>ROUND(I333*H333,2)</f>
        <v>265000</v>
      </c>
      <c r="BL333" s="23" t="s">
        <v>218</v>
      </c>
      <c r="BM333" s="101" t="s">
        <v>2038</v>
      </c>
    </row>
    <row r="334" spans="2:65" s="1" customFormat="1" ht="76.8">
      <c r="B334" s="12"/>
      <c r="D334" s="105" t="s">
        <v>227</v>
      </c>
      <c r="F334" s="106" t="s">
        <v>4386</v>
      </c>
      <c r="I334" s="107"/>
      <c r="L334" s="12"/>
      <c r="M334" s="108"/>
      <c r="T334" s="111"/>
      <c r="AT334" s="23" t="s">
        <v>227</v>
      </c>
      <c r="AU334" s="23" t="s">
        <v>87</v>
      </c>
    </row>
    <row r="335" spans="2:65" s="1" customFormat="1" ht="16.5" customHeight="1">
      <c r="B335" s="12"/>
      <c r="C335" s="71" t="s">
        <v>1374</v>
      </c>
      <c r="D335" s="71" t="s">
        <v>214</v>
      </c>
      <c r="E335" s="72" t="s">
        <v>4298</v>
      </c>
      <c r="F335" s="73" t="s">
        <v>4299</v>
      </c>
      <c r="G335" s="74" t="s">
        <v>808</v>
      </c>
      <c r="H335" s="75">
        <v>20</v>
      </c>
      <c r="I335" s="90">
        <v>1760</v>
      </c>
      <c r="J335" s="91">
        <f t="shared" ref="J335:J344" si="110">ROUND(I335*H335,2)</f>
        <v>35200</v>
      </c>
      <c r="K335" s="92"/>
      <c r="L335" s="12"/>
      <c r="M335" s="93" t="s">
        <v>1</v>
      </c>
      <c r="N335" s="94" t="s">
        <v>42</v>
      </c>
      <c r="P335" s="95">
        <f t="shared" ref="P335:P344" si="111">O335*H335</f>
        <v>0</v>
      </c>
      <c r="Q335" s="95">
        <v>0</v>
      </c>
      <c r="R335" s="95">
        <f t="shared" ref="R335:R344" si="112">Q335*H335</f>
        <v>0</v>
      </c>
      <c r="S335" s="95">
        <v>0</v>
      </c>
      <c r="T335" s="99">
        <f t="shared" ref="T335:T344" si="113">S335*H335</f>
        <v>0</v>
      </c>
      <c r="AR335" s="101" t="s">
        <v>218</v>
      </c>
      <c r="AT335" s="101" t="s">
        <v>214</v>
      </c>
      <c r="AU335" s="101" t="s">
        <v>87</v>
      </c>
      <c r="AY335" s="23" t="s">
        <v>211</v>
      </c>
      <c r="BE335" s="104">
        <f t="shared" ref="BE335:BE344" si="114">IF(N335="základní",J335,0)</f>
        <v>35200</v>
      </c>
      <c r="BF335" s="104">
        <f t="shared" ref="BF335:BF344" si="115">IF(N335="snížená",J335,0)</f>
        <v>0</v>
      </c>
      <c r="BG335" s="104">
        <f t="shared" ref="BG335:BG344" si="116">IF(N335="zákl. přenesená",J335,0)</f>
        <v>0</v>
      </c>
      <c r="BH335" s="104">
        <f t="shared" ref="BH335:BH344" si="117">IF(N335="sníž. přenesená",J335,0)</f>
        <v>0</v>
      </c>
      <c r="BI335" s="104">
        <f t="shared" ref="BI335:BI344" si="118">IF(N335="nulová",J335,0)</f>
        <v>0</v>
      </c>
      <c r="BJ335" s="23" t="s">
        <v>85</v>
      </c>
      <c r="BK335" s="104">
        <f t="shared" ref="BK335:BK344" si="119">ROUND(I335*H335,2)</f>
        <v>35200</v>
      </c>
      <c r="BL335" s="23" t="s">
        <v>218</v>
      </c>
      <c r="BM335" s="101" t="s">
        <v>2046</v>
      </c>
    </row>
    <row r="336" spans="2:65" s="1" customFormat="1" ht="16.5" customHeight="1">
      <c r="B336" s="12"/>
      <c r="C336" s="71" t="s">
        <v>1378</v>
      </c>
      <c r="D336" s="71" t="s">
        <v>214</v>
      </c>
      <c r="E336" s="72" t="s">
        <v>4300</v>
      </c>
      <c r="F336" s="73" t="s">
        <v>4261</v>
      </c>
      <c r="G336" s="74" t="s">
        <v>808</v>
      </c>
      <c r="H336" s="75">
        <v>11</v>
      </c>
      <c r="I336" s="90">
        <v>120</v>
      </c>
      <c r="J336" s="91">
        <f t="shared" si="110"/>
        <v>1320</v>
      </c>
      <c r="K336" s="92"/>
      <c r="L336" s="12"/>
      <c r="M336" s="93" t="s">
        <v>1</v>
      </c>
      <c r="N336" s="94" t="s">
        <v>42</v>
      </c>
      <c r="P336" s="95">
        <f t="shared" si="111"/>
        <v>0</v>
      </c>
      <c r="Q336" s="95">
        <v>0</v>
      </c>
      <c r="R336" s="95">
        <f t="shared" si="112"/>
        <v>0</v>
      </c>
      <c r="S336" s="95">
        <v>0</v>
      </c>
      <c r="T336" s="99">
        <f t="shared" si="113"/>
        <v>0</v>
      </c>
      <c r="AR336" s="101" t="s">
        <v>218</v>
      </c>
      <c r="AT336" s="101" t="s">
        <v>214</v>
      </c>
      <c r="AU336" s="101" t="s">
        <v>87</v>
      </c>
      <c r="AY336" s="23" t="s">
        <v>211</v>
      </c>
      <c r="BE336" s="104">
        <f t="shared" si="114"/>
        <v>1320</v>
      </c>
      <c r="BF336" s="104">
        <f t="shared" si="115"/>
        <v>0</v>
      </c>
      <c r="BG336" s="104">
        <f t="shared" si="116"/>
        <v>0</v>
      </c>
      <c r="BH336" s="104">
        <f t="shared" si="117"/>
        <v>0</v>
      </c>
      <c r="BI336" s="104">
        <f t="shared" si="118"/>
        <v>0</v>
      </c>
      <c r="BJ336" s="23" t="s">
        <v>85</v>
      </c>
      <c r="BK336" s="104">
        <f t="shared" si="119"/>
        <v>1320</v>
      </c>
      <c r="BL336" s="23" t="s">
        <v>218</v>
      </c>
      <c r="BM336" s="101" t="s">
        <v>2054</v>
      </c>
    </row>
    <row r="337" spans="2:65" s="1" customFormat="1" ht="16.5" customHeight="1">
      <c r="B337" s="12"/>
      <c r="C337" s="71" t="s">
        <v>1383</v>
      </c>
      <c r="D337" s="71" t="s">
        <v>214</v>
      </c>
      <c r="E337" s="72" t="s">
        <v>4332</v>
      </c>
      <c r="F337" s="73" t="s">
        <v>4275</v>
      </c>
      <c r="G337" s="74" t="s">
        <v>808</v>
      </c>
      <c r="H337" s="75">
        <v>4</v>
      </c>
      <c r="I337" s="90">
        <v>300</v>
      </c>
      <c r="J337" s="91">
        <f t="shared" si="110"/>
        <v>1200</v>
      </c>
      <c r="K337" s="92"/>
      <c r="L337" s="12"/>
      <c r="M337" s="93" t="s">
        <v>1</v>
      </c>
      <c r="N337" s="94" t="s">
        <v>42</v>
      </c>
      <c r="P337" s="95">
        <f t="shared" si="111"/>
        <v>0</v>
      </c>
      <c r="Q337" s="95">
        <v>0</v>
      </c>
      <c r="R337" s="95">
        <f t="shared" si="112"/>
        <v>0</v>
      </c>
      <c r="S337" s="95">
        <v>0</v>
      </c>
      <c r="T337" s="99">
        <f t="shared" si="113"/>
        <v>0</v>
      </c>
      <c r="AR337" s="101" t="s">
        <v>218</v>
      </c>
      <c r="AT337" s="101" t="s">
        <v>214</v>
      </c>
      <c r="AU337" s="101" t="s">
        <v>87</v>
      </c>
      <c r="AY337" s="23" t="s">
        <v>211</v>
      </c>
      <c r="BE337" s="104">
        <f t="shared" si="114"/>
        <v>1200</v>
      </c>
      <c r="BF337" s="104">
        <f t="shared" si="115"/>
        <v>0</v>
      </c>
      <c r="BG337" s="104">
        <f t="shared" si="116"/>
        <v>0</v>
      </c>
      <c r="BH337" s="104">
        <f t="shared" si="117"/>
        <v>0</v>
      </c>
      <c r="BI337" s="104">
        <f t="shared" si="118"/>
        <v>0</v>
      </c>
      <c r="BJ337" s="23" t="s">
        <v>85</v>
      </c>
      <c r="BK337" s="104">
        <f t="shared" si="119"/>
        <v>1200</v>
      </c>
      <c r="BL337" s="23" t="s">
        <v>218</v>
      </c>
      <c r="BM337" s="101" t="s">
        <v>2063</v>
      </c>
    </row>
    <row r="338" spans="2:65" s="1" customFormat="1" ht="16.5" customHeight="1">
      <c r="B338" s="12"/>
      <c r="C338" s="71" t="s">
        <v>1387</v>
      </c>
      <c r="D338" s="71" t="s">
        <v>214</v>
      </c>
      <c r="E338" s="72" t="s">
        <v>4303</v>
      </c>
      <c r="F338" s="73" t="s">
        <v>4304</v>
      </c>
      <c r="G338" s="74" t="s">
        <v>808</v>
      </c>
      <c r="H338" s="75">
        <v>10</v>
      </c>
      <c r="I338" s="90">
        <v>400</v>
      </c>
      <c r="J338" s="91">
        <f t="shared" si="110"/>
        <v>4000</v>
      </c>
      <c r="K338" s="92"/>
      <c r="L338" s="12"/>
      <c r="M338" s="93" t="s">
        <v>1</v>
      </c>
      <c r="N338" s="94" t="s">
        <v>42</v>
      </c>
      <c r="P338" s="95">
        <f t="shared" si="111"/>
        <v>0</v>
      </c>
      <c r="Q338" s="95">
        <v>0</v>
      </c>
      <c r="R338" s="95">
        <f t="shared" si="112"/>
        <v>0</v>
      </c>
      <c r="S338" s="95">
        <v>0</v>
      </c>
      <c r="T338" s="99">
        <f t="shared" si="113"/>
        <v>0</v>
      </c>
      <c r="AR338" s="101" t="s">
        <v>218</v>
      </c>
      <c r="AT338" s="101" t="s">
        <v>214</v>
      </c>
      <c r="AU338" s="101" t="s">
        <v>87</v>
      </c>
      <c r="AY338" s="23" t="s">
        <v>211</v>
      </c>
      <c r="BE338" s="104">
        <f t="shared" si="114"/>
        <v>4000</v>
      </c>
      <c r="BF338" s="104">
        <f t="shared" si="115"/>
        <v>0</v>
      </c>
      <c r="BG338" s="104">
        <f t="shared" si="116"/>
        <v>0</v>
      </c>
      <c r="BH338" s="104">
        <f t="shared" si="117"/>
        <v>0</v>
      </c>
      <c r="BI338" s="104">
        <f t="shared" si="118"/>
        <v>0</v>
      </c>
      <c r="BJ338" s="23" t="s">
        <v>85</v>
      </c>
      <c r="BK338" s="104">
        <f t="shared" si="119"/>
        <v>4000</v>
      </c>
      <c r="BL338" s="23" t="s">
        <v>218</v>
      </c>
      <c r="BM338" s="101" t="s">
        <v>2070</v>
      </c>
    </row>
    <row r="339" spans="2:65" s="1" customFormat="1" ht="16.5" customHeight="1">
      <c r="B339" s="12"/>
      <c r="C339" s="71" t="s">
        <v>1391</v>
      </c>
      <c r="D339" s="71" t="s">
        <v>214</v>
      </c>
      <c r="E339" s="72" t="s">
        <v>4387</v>
      </c>
      <c r="F339" s="73" t="s">
        <v>4308</v>
      </c>
      <c r="G339" s="74" t="s">
        <v>808</v>
      </c>
      <c r="H339" s="75">
        <v>10</v>
      </c>
      <c r="I339" s="153">
        <v>320</v>
      </c>
      <c r="J339" s="91">
        <f t="shared" si="110"/>
        <v>3200</v>
      </c>
      <c r="K339" s="92"/>
      <c r="L339" s="12"/>
      <c r="M339" s="93" t="s">
        <v>1</v>
      </c>
      <c r="N339" s="94" t="s">
        <v>42</v>
      </c>
      <c r="P339" s="95">
        <f t="shared" si="111"/>
        <v>0</v>
      </c>
      <c r="Q339" s="95">
        <v>0</v>
      </c>
      <c r="R339" s="95">
        <f t="shared" si="112"/>
        <v>0</v>
      </c>
      <c r="S339" s="95">
        <v>0</v>
      </c>
      <c r="T339" s="99">
        <f t="shared" si="113"/>
        <v>0</v>
      </c>
      <c r="AR339" s="101" t="s">
        <v>218</v>
      </c>
      <c r="AT339" s="101" t="s">
        <v>214</v>
      </c>
      <c r="AU339" s="101" t="s">
        <v>87</v>
      </c>
      <c r="AY339" s="23" t="s">
        <v>211</v>
      </c>
      <c r="BE339" s="104">
        <f t="shared" si="114"/>
        <v>3200</v>
      </c>
      <c r="BF339" s="104">
        <f t="shared" si="115"/>
        <v>0</v>
      </c>
      <c r="BG339" s="104">
        <f t="shared" si="116"/>
        <v>0</v>
      </c>
      <c r="BH339" s="104">
        <f t="shared" si="117"/>
        <v>0</v>
      </c>
      <c r="BI339" s="104">
        <f t="shared" si="118"/>
        <v>0</v>
      </c>
      <c r="BJ339" s="23" t="s">
        <v>85</v>
      </c>
      <c r="BK339" s="104">
        <f t="shared" si="119"/>
        <v>3200</v>
      </c>
      <c r="BL339" s="23" t="s">
        <v>218</v>
      </c>
      <c r="BM339" s="101" t="s">
        <v>2077</v>
      </c>
    </row>
    <row r="340" spans="2:65" s="1" customFormat="1" ht="49.35" customHeight="1">
      <c r="B340" s="12"/>
      <c r="C340" s="71" t="s">
        <v>1394</v>
      </c>
      <c r="D340" s="71" t="s">
        <v>214</v>
      </c>
      <c r="E340" s="72" t="s">
        <v>4282</v>
      </c>
      <c r="F340" s="73" t="s">
        <v>4283</v>
      </c>
      <c r="G340" s="74" t="s">
        <v>431</v>
      </c>
      <c r="H340" s="75">
        <v>40</v>
      </c>
      <c r="I340" s="90">
        <v>330</v>
      </c>
      <c r="J340" s="91">
        <f t="shared" si="110"/>
        <v>13200</v>
      </c>
      <c r="K340" s="92"/>
      <c r="L340" s="12"/>
      <c r="M340" s="93" t="s">
        <v>1</v>
      </c>
      <c r="N340" s="94" t="s">
        <v>42</v>
      </c>
      <c r="P340" s="95">
        <f t="shared" si="111"/>
        <v>0</v>
      </c>
      <c r="Q340" s="95">
        <v>0</v>
      </c>
      <c r="R340" s="95">
        <f t="shared" si="112"/>
        <v>0</v>
      </c>
      <c r="S340" s="95">
        <v>0</v>
      </c>
      <c r="T340" s="99">
        <f t="shared" si="113"/>
        <v>0</v>
      </c>
      <c r="AR340" s="101" t="s">
        <v>218</v>
      </c>
      <c r="AT340" s="101" t="s">
        <v>214</v>
      </c>
      <c r="AU340" s="101" t="s">
        <v>87</v>
      </c>
      <c r="AY340" s="23" t="s">
        <v>211</v>
      </c>
      <c r="BE340" s="104">
        <f t="shared" si="114"/>
        <v>13200</v>
      </c>
      <c r="BF340" s="104">
        <f t="shared" si="115"/>
        <v>0</v>
      </c>
      <c r="BG340" s="104">
        <f t="shared" si="116"/>
        <v>0</v>
      </c>
      <c r="BH340" s="104">
        <f t="shared" si="117"/>
        <v>0</v>
      </c>
      <c r="BI340" s="104">
        <f t="shared" si="118"/>
        <v>0</v>
      </c>
      <c r="BJ340" s="23" t="s">
        <v>85</v>
      </c>
      <c r="BK340" s="104">
        <f t="shared" si="119"/>
        <v>13200</v>
      </c>
      <c r="BL340" s="23" t="s">
        <v>218</v>
      </c>
      <c r="BM340" s="101" t="s">
        <v>2083</v>
      </c>
    </row>
    <row r="341" spans="2:65" s="1" customFormat="1" ht="49.35" customHeight="1">
      <c r="B341" s="12"/>
      <c r="C341" s="71" t="s">
        <v>1397</v>
      </c>
      <c r="D341" s="71" t="s">
        <v>214</v>
      </c>
      <c r="E341" s="72" t="s">
        <v>4284</v>
      </c>
      <c r="F341" s="73" t="s">
        <v>4285</v>
      </c>
      <c r="G341" s="74" t="s">
        <v>431</v>
      </c>
      <c r="H341" s="75">
        <v>71</v>
      </c>
      <c r="I341" s="90">
        <v>250</v>
      </c>
      <c r="J341" s="91">
        <f t="shared" si="110"/>
        <v>17750</v>
      </c>
      <c r="K341" s="92"/>
      <c r="L341" s="12"/>
      <c r="M341" s="93" t="s">
        <v>1</v>
      </c>
      <c r="N341" s="94" t="s">
        <v>42</v>
      </c>
      <c r="P341" s="95">
        <f t="shared" si="111"/>
        <v>0</v>
      </c>
      <c r="Q341" s="95">
        <v>0</v>
      </c>
      <c r="R341" s="95">
        <f t="shared" si="112"/>
        <v>0</v>
      </c>
      <c r="S341" s="95">
        <v>0</v>
      </c>
      <c r="T341" s="99">
        <f t="shared" si="113"/>
        <v>0</v>
      </c>
      <c r="AR341" s="101" t="s">
        <v>218</v>
      </c>
      <c r="AT341" s="101" t="s">
        <v>214</v>
      </c>
      <c r="AU341" s="101" t="s">
        <v>87</v>
      </c>
      <c r="AY341" s="23" t="s">
        <v>211</v>
      </c>
      <c r="BE341" s="104">
        <f t="shared" si="114"/>
        <v>17750</v>
      </c>
      <c r="BF341" s="104">
        <f t="shared" si="115"/>
        <v>0</v>
      </c>
      <c r="BG341" s="104">
        <f t="shared" si="116"/>
        <v>0</v>
      </c>
      <c r="BH341" s="104">
        <f t="shared" si="117"/>
        <v>0</v>
      </c>
      <c r="BI341" s="104">
        <f t="shared" si="118"/>
        <v>0</v>
      </c>
      <c r="BJ341" s="23" t="s">
        <v>85</v>
      </c>
      <c r="BK341" s="104">
        <f t="shared" si="119"/>
        <v>17750</v>
      </c>
      <c r="BL341" s="23" t="s">
        <v>218</v>
      </c>
      <c r="BM341" s="101" t="s">
        <v>2090</v>
      </c>
    </row>
    <row r="342" spans="2:65" s="1" customFormat="1" ht="49.35" customHeight="1">
      <c r="B342" s="12"/>
      <c r="C342" s="71" t="s">
        <v>1401</v>
      </c>
      <c r="D342" s="71" t="s">
        <v>214</v>
      </c>
      <c r="E342" s="72" t="s">
        <v>4286</v>
      </c>
      <c r="F342" s="73" t="s">
        <v>4287</v>
      </c>
      <c r="G342" s="74" t="s">
        <v>431</v>
      </c>
      <c r="H342" s="75">
        <v>28</v>
      </c>
      <c r="I342" s="153">
        <v>200</v>
      </c>
      <c r="J342" s="91">
        <f t="shared" si="110"/>
        <v>5600</v>
      </c>
      <c r="K342" s="92"/>
      <c r="L342" s="12"/>
      <c r="M342" s="93" t="s">
        <v>1</v>
      </c>
      <c r="N342" s="94" t="s">
        <v>42</v>
      </c>
      <c r="P342" s="95">
        <f t="shared" si="111"/>
        <v>0</v>
      </c>
      <c r="Q342" s="95">
        <v>0</v>
      </c>
      <c r="R342" s="95">
        <f t="shared" si="112"/>
        <v>0</v>
      </c>
      <c r="S342" s="95">
        <v>0</v>
      </c>
      <c r="T342" s="99">
        <f t="shared" si="113"/>
        <v>0</v>
      </c>
      <c r="AR342" s="101" t="s">
        <v>218</v>
      </c>
      <c r="AT342" s="101" t="s">
        <v>214</v>
      </c>
      <c r="AU342" s="101" t="s">
        <v>87</v>
      </c>
      <c r="AY342" s="23" t="s">
        <v>211</v>
      </c>
      <c r="BE342" s="104">
        <f t="shared" si="114"/>
        <v>5600</v>
      </c>
      <c r="BF342" s="104">
        <f t="shared" si="115"/>
        <v>0</v>
      </c>
      <c r="BG342" s="104">
        <f t="shared" si="116"/>
        <v>0</v>
      </c>
      <c r="BH342" s="104">
        <f t="shared" si="117"/>
        <v>0</v>
      </c>
      <c r="BI342" s="104">
        <f t="shared" si="118"/>
        <v>0</v>
      </c>
      <c r="BJ342" s="23" t="s">
        <v>85</v>
      </c>
      <c r="BK342" s="104">
        <f t="shared" si="119"/>
        <v>5600</v>
      </c>
      <c r="BL342" s="23" t="s">
        <v>218</v>
      </c>
      <c r="BM342" s="101" t="s">
        <v>2096</v>
      </c>
    </row>
    <row r="343" spans="2:65" s="1" customFormat="1" ht="16.5" customHeight="1">
      <c r="B343" s="12"/>
      <c r="C343" s="71" t="s">
        <v>1405</v>
      </c>
      <c r="D343" s="71" t="s">
        <v>214</v>
      </c>
      <c r="E343" s="72" t="s">
        <v>4309</v>
      </c>
      <c r="F343" s="73" t="s">
        <v>4310</v>
      </c>
      <c r="G343" s="74" t="s">
        <v>431</v>
      </c>
      <c r="H343" s="75">
        <v>11</v>
      </c>
      <c r="I343" s="90">
        <v>200</v>
      </c>
      <c r="J343" s="91">
        <f t="shared" si="110"/>
        <v>2200</v>
      </c>
      <c r="K343" s="92"/>
      <c r="L343" s="12"/>
      <c r="M343" s="93" t="s">
        <v>1</v>
      </c>
      <c r="N343" s="94" t="s">
        <v>42</v>
      </c>
      <c r="P343" s="95">
        <f t="shared" si="111"/>
        <v>0</v>
      </c>
      <c r="Q343" s="95">
        <v>0</v>
      </c>
      <c r="R343" s="95">
        <f t="shared" si="112"/>
        <v>0</v>
      </c>
      <c r="S343" s="95">
        <v>0</v>
      </c>
      <c r="T343" s="99">
        <f t="shared" si="113"/>
        <v>0</v>
      </c>
      <c r="AR343" s="101" t="s">
        <v>218</v>
      </c>
      <c r="AT343" s="101" t="s">
        <v>214</v>
      </c>
      <c r="AU343" s="101" t="s">
        <v>87</v>
      </c>
      <c r="AY343" s="23" t="s">
        <v>211</v>
      </c>
      <c r="BE343" s="104">
        <f t="shared" si="114"/>
        <v>2200</v>
      </c>
      <c r="BF343" s="104">
        <f t="shared" si="115"/>
        <v>0</v>
      </c>
      <c r="BG343" s="104">
        <f t="shared" si="116"/>
        <v>0</v>
      </c>
      <c r="BH343" s="104">
        <f t="shared" si="117"/>
        <v>0</v>
      </c>
      <c r="BI343" s="104">
        <f t="shared" si="118"/>
        <v>0</v>
      </c>
      <c r="BJ343" s="23" t="s">
        <v>85</v>
      </c>
      <c r="BK343" s="104">
        <f t="shared" si="119"/>
        <v>2200</v>
      </c>
      <c r="BL343" s="23" t="s">
        <v>218</v>
      </c>
      <c r="BM343" s="101" t="s">
        <v>2102</v>
      </c>
    </row>
    <row r="344" spans="2:65" s="1" customFormat="1" ht="16.5" customHeight="1">
      <c r="B344" s="12"/>
      <c r="C344" s="71" t="s">
        <v>1408</v>
      </c>
      <c r="D344" s="71" t="s">
        <v>214</v>
      </c>
      <c r="E344" s="72" t="s">
        <v>4388</v>
      </c>
      <c r="F344" s="73" t="s">
        <v>4312</v>
      </c>
      <c r="G344" s="74" t="s">
        <v>431</v>
      </c>
      <c r="H344" s="75">
        <v>12</v>
      </c>
      <c r="I344" s="90">
        <v>180</v>
      </c>
      <c r="J344" s="91">
        <f t="shared" si="110"/>
        <v>2160</v>
      </c>
      <c r="K344" s="92"/>
      <c r="L344" s="12"/>
      <c r="M344" s="93" t="s">
        <v>1</v>
      </c>
      <c r="N344" s="94" t="s">
        <v>42</v>
      </c>
      <c r="P344" s="95">
        <f t="shared" si="111"/>
        <v>0</v>
      </c>
      <c r="Q344" s="95">
        <v>0</v>
      </c>
      <c r="R344" s="95">
        <f t="shared" si="112"/>
        <v>0</v>
      </c>
      <c r="S344" s="95">
        <v>0</v>
      </c>
      <c r="T344" s="99">
        <f t="shared" si="113"/>
        <v>0</v>
      </c>
      <c r="AR344" s="101" t="s">
        <v>218</v>
      </c>
      <c r="AT344" s="101" t="s">
        <v>214</v>
      </c>
      <c r="AU344" s="101" t="s">
        <v>87</v>
      </c>
      <c r="AY344" s="23" t="s">
        <v>211</v>
      </c>
      <c r="BE344" s="104">
        <f t="shared" si="114"/>
        <v>2160</v>
      </c>
      <c r="BF344" s="104">
        <f t="shared" si="115"/>
        <v>0</v>
      </c>
      <c r="BG344" s="104">
        <f t="shared" si="116"/>
        <v>0</v>
      </c>
      <c r="BH344" s="104">
        <f t="shared" si="117"/>
        <v>0</v>
      </c>
      <c r="BI344" s="104">
        <f t="shared" si="118"/>
        <v>0</v>
      </c>
      <c r="BJ344" s="23" t="s">
        <v>85</v>
      </c>
      <c r="BK344" s="104">
        <f t="shared" si="119"/>
        <v>2160</v>
      </c>
      <c r="BL344" s="23" t="s">
        <v>218</v>
      </c>
      <c r="BM344" s="101" t="s">
        <v>2108</v>
      </c>
    </row>
    <row r="345" spans="2:65" s="31" customFormat="1" ht="23.1" customHeight="1">
      <c r="B345" s="67"/>
      <c r="D345" s="68" t="s">
        <v>76</v>
      </c>
      <c r="E345" s="70" t="s">
        <v>4415</v>
      </c>
      <c r="F345" s="70" t="s">
        <v>4416</v>
      </c>
      <c r="I345" s="85"/>
      <c r="J345" s="89">
        <f>BK345</f>
        <v>285070</v>
      </c>
      <c r="L345" s="67"/>
      <c r="M345" s="87"/>
      <c r="P345" s="88">
        <f>SUM(P346:P357)</f>
        <v>0</v>
      </c>
      <c r="R345" s="88">
        <f>SUM(R346:R357)</f>
        <v>0</v>
      </c>
      <c r="T345" s="98">
        <f>SUM(T346:T357)</f>
        <v>0</v>
      </c>
      <c r="AR345" s="68" t="s">
        <v>85</v>
      </c>
      <c r="AT345" s="100" t="s">
        <v>76</v>
      </c>
      <c r="AU345" s="100" t="s">
        <v>85</v>
      </c>
      <c r="AY345" s="68" t="s">
        <v>211</v>
      </c>
      <c r="BK345" s="103">
        <f>SUM(BK346:BK357)</f>
        <v>285070</v>
      </c>
    </row>
    <row r="346" spans="2:65" s="1" customFormat="1" ht="16.5" customHeight="1">
      <c r="B346" s="12"/>
      <c r="C346" s="71" t="s">
        <v>1411</v>
      </c>
      <c r="D346" s="71" t="s">
        <v>214</v>
      </c>
      <c r="E346" s="72" t="s">
        <v>4414</v>
      </c>
      <c r="F346" s="73" t="s">
        <v>4296</v>
      </c>
      <c r="G346" s="74" t="s">
        <v>808</v>
      </c>
      <c r="H346" s="75">
        <v>4</v>
      </c>
      <c r="I346" s="90">
        <v>53000</v>
      </c>
      <c r="J346" s="91">
        <f>ROUND(I346*H346,2)</f>
        <v>212000</v>
      </c>
      <c r="K346" s="92"/>
      <c r="L346" s="12"/>
      <c r="M346" s="93" t="s">
        <v>1</v>
      </c>
      <c r="N346" s="94" t="s">
        <v>42</v>
      </c>
      <c r="P346" s="95">
        <f>O346*H346</f>
        <v>0</v>
      </c>
      <c r="Q346" s="95">
        <v>0</v>
      </c>
      <c r="R346" s="95">
        <f>Q346*H346</f>
        <v>0</v>
      </c>
      <c r="S346" s="95">
        <v>0</v>
      </c>
      <c r="T346" s="99">
        <f>S346*H346</f>
        <v>0</v>
      </c>
      <c r="AR346" s="101" t="s">
        <v>218</v>
      </c>
      <c r="AT346" s="101" t="s">
        <v>214</v>
      </c>
      <c r="AU346" s="101" t="s">
        <v>87</v>
      </c>
      <c r="AY346" s="23" t="s">
        <v>211</v>
      </c>
      <c r="BE346" s="104">
        <f>IF(N346="základní",J346,0)</f>
        <v>212000</v>
      </c>
      <c r="BF346" s="104">
        <f>IF(N346="snížená",J346,0)</f>
        <v>0</v>
      </c>
      <c r="BG346" s="104">
        <f>IF(N346="zákl. přenesená",J346,0)</f>
        <v>0</v>
      </c>
      <c r="BH346" s="104">
        <f>IF(N346="sníž. přenesená",J346,0)</f>
        <v>0</v>
      </c>
      <c r="BI346" s="104">
        <f>IF(N346="nulová",J346,0)</f>
        <v>0</v>
      </c>
      <c r="BJ346" s="23" t="s">
        <v>85</v>
      </c>
      <c r="BK346" s="104">
        <f>ROUND(I346*H346,2)</f>
        <v>212000</v>
      </c>
      <c r="BL346" s="23" t="s">
        <v>218</v>
      </c>
      <c r="BM346" s="101" t="s">
        <v>2114</v>
      </c>
    </row>
    <row r="347" spans="2:65" s="1" customFormat="1" ht="76.8">
      <c r="B347" s="12"/>
      <c r="D347" s="105" t="s">
        <v>227</v>
      </c>
      <c r="F347" s="106" t="s">
        <v>4386</v>
      </c>
      <c r="I347" s="107"/>
      <c r="L347" s="12"/>
      <c r="M347" s="108"/>
      <c r="T347" s="111"/>
      <c r="AT347" s="23" t="s">
        <v>227</v>
      </c>
      <c r="AU347" s="23" t="s">
        <v>87</v>
      </c>
    </row>
    <row r="348" spans="2:65" s="1" customFormat="1" ht="16.5" customHeight="1">
      <c r="B348" s="12"/>
      <c r="C348" s="71" t="s">
        <v>1415</v>
      </c>
      <c r="D348" s="71" t="s">
        <v>214</v>
      </c>
      <c r="E348" s="72" t="s">
        <v>4298</v>
      </c>
      <c r="F348" s="73" t="s">
        <v>4299</v>
      </c>
      <c r="G348" s="74" t="s">
        <v>808</v>
      </c>
      <c r="H348" s="75">
        <v>16</v>
      </c>
      <c r="I348" s="90">
        <v>1760</v>
      </c>
      <c r="J348" s="91">
        <f t="shared" ref="J348:J357" si="120">ROUND(I348*H348,2)</f>
        <v>28160</v>
      </c>
      <c r="K348" s="92"/>
      <c r="L348" s="12"/>
      <c r="M348" s="93" t="s">
        <v>1</v>
      </c>
      <c r="N348" s="94" t="s">
        <v>42</v>
      </c>
      <c r="P348" s="95">
        <f t="shared" ref="P348:P357" si="121">O348*H348</f>
        <v>0</v>
      </c>
      <c r="Q348" s="95">
        <v>0</v>
      </c>
      <c r="R348" s="95">
        <f t="shared" ref="R348:R357" si="122">Q348*H348</f>
        <v>0</v>
      </c>
      <c r="S348" s="95">
        <v>0</v>
      </c>
      <c r="T348" s="99">
        <f t="shared" ref="T348:T357" si="123">S348*H348</f>
        <v>0</v>
      </c>
      <c r="AR348" s="101" t="s">
        <v>218</v>
      </c>
      <c r="AT348" s="101" t="s">
        <v>214</v>
      </c>
      <c r="AU348" s="101" t="s">
        <v>87</v>
      </c>
      <c r="AY348" s="23" t="s">
        <v>211</v>
      </c>
      <c r="BE348" s="104">
        <f t="shared" ref="BE348:BE357" si="124">IF(N348="základní",J348,0)</f>
        <v>28160</v>
      </c>
      <c r="BF348" s="104">
        <f t="shared" ref="BF348:BF357" si="125">IF(N348="snížená",J348,0)</f>
        <v>0</v>
      </c>
      <c r="BG348" s="104">
        <f t="shared" ref="BG348:BG357" si="126">IF(N348="zákl. přenesená",J348,0)</f>
        <v>0</v>
      </c>
      <c r="BH348" s="104">
        <f t="shared" ref="BH348:BH357" si="127">IF(N348="sníž. přenesená",J348,0)</f>
        <v>0</v>
      </c>
      <c r="BI348" s="104">
        <f t="shared" ref="BI348:BI357" si="128">IF(N348="nulová",J348,0)</f>
        <v>0</v>
      </c>
      <c r="BJ348" s="23" t="s">
        <v>85</v>
      </c>
      <c r="BK348" s="104">
        <f t="shared" ref="BK348:BK357" si="129">ROUND(I348*H348,2)</f>
        <v>28160</v>
      </c>
      <c r="BL348" s="23" t="s">
        <v>218</v>
      </c>
      <c r="BM348" s="101" t="s">
        <v>2120</v>
      </c>
    </row>
    <row r="349" spans="2:65" s="1" customFormat="1" ht="16.5" customHeight="1">
      <c r="B349" s="12"/>
      <c r="C349" s="71" t="s">
        <v>1419</v>
      </c>
      <c r="D349" s="71" t="s">
        <v>214</v>
      </c>
      <c r="E349" s="72" t="s">
        <v>4300</v>
      </c>
      <c r="F349" s="73" t="s">
        <v>4261</v>
      </c>
      <c r="G349" s="74" t="s">
        <v>808</v>
      </c>
      <c r="H349" s="75">
        <v>11</v>
      </c>
      <c r="I349" s="90">
        <v>120</v>
      </c>
      <c r="J349" s="91">
        <f t="shared" si="120"/>
        <v>1320</v>
      </c>
      <c r="K349" s="92"/>
      <c r="L349" s="12"/>
      <c r="M349" s="93" t="s">
        <v>1</v>
      </c>
      <c r="N349" s="94" t="s">
        <v>42</v>
      </c>
      <c r="P349" s="95">
        <f t="shared" si="121"/>
        <v>0</v>
      </c>
      <c r="Q349" s="95">
        <v>0</v>
      </c>
      <c r="R349" s="95">
        <f t="shared" si="122"/>
        <v>0</v>
      </c>
      <c r="S349" s="95">
        <v>0</v>
      </c>
      <c r="T349" s="99">
        <f t="shared" si="123"/>
        <v>0</v>
      </c>
      <c r="AR349" s="101" t="s">
        <v>218</v>
      </c>
      <c r="AT349" s="101" t="s">
        <v>214</v>
      </c>
      <c r="AU349" s="101" t="s">
        <v>87</v>
      </c>
      <c r="AY349" s="23" t="s">
        <v>211</v>
      </c>
      <c r="BE349" s="104">
        <f t="shared" si="124"/>
        <v>1320</v>
      </c>
      <c r="BF349" s="104">
        <f t="shared" si="125"/>
        <v>0</v>
      </c>
      <c r="BG349" s="104">
        <f t="shared" si="126"/>
        <v>0</v>
      </c>
      <c r="BH349" s="104">
        <f t="shared" si="127"/>
        <v>0</v>
      </c>
      <c r="BI349" s="104">
        <f t="shared" si="128"/>
        <v>0</v>
      </c>
      <c r="BJ349" s="23" t="s">
        <v>85</v>
      </c>
      <c r="BK349" s="104">
        <f t="shared" si="129"/>
        <v>1320</v>
      </c>
      <c r="BL349" s="23" t="s">
        <v>218</v>
      </c>
      <c r="BM349" s="101" t="s">
        <v>2126</v>
      </c>
    </row>
    <row r="350" spans="2:65" s="1" customFormat="1" ht="16.5" customHeight="1">
      <c r="B350" s="12"/>
      <c r="C350" s="71" t="s">
        <v>1423</v>
      </c>
      <c r="D350" s="71" t="s">
        <v>214</v>
      </c>
      <c r="E350" s="72" t="s">
        <v>4332</v>
      </c>
      <c r="F350" s="73" t="s">
        <v>4275</v>
      </c>
      <c r="G350" s="74" t="s">
        <v>808</v>
      </c>
      <c r="H350" s="75">
        <v>2</v>
      </c>
      <c r="I350" s="90">
        <v>300</v>
      </c>
      <c r="J350" s="91">
        <f t="shared" si="120"/>
        <v>600</v>
      </c>
      <c r="K350" s="92"/>
      <c r="L350" s="12"/>
      <c r="M350" s="93" t="s">
        <v>1</v>
      </c>
      <c r="N350" s="94" t="s">
        <v>42</v>
      </c>
      <c r="P350" s="95">
        <f t="shared" si="121"/>
        <v>0</v>
      </c>
      <c r="Q350" s="95">
        <v>0</v>
      </c>
      <c r="R350" s="95">
        <f t="shared" si="122"/>
        <v>0</v>
      </c>
      <c r="S350" s="95">
        <v>0</v>
      </c>
      <c r="T350" s="99">
        <f t="shared" si="123"/>
        <v>0</v>
      </c>
      <c r="AR350" s="101" t="s">
        <v>218</v>
      </c>
      <c r="AT350" s="101" t="s">
        <v>214</v>
      </c>
      <c r="AU350" s="101" t="s">
        <v>87</v>
      </c>
      <c r="AY350" s="23" t="s">
        <v>211</v>
      </c>
      <c r="BE350" s="104">
        <f t="shared" si="124"/>
        <v>600</v>
      </c>
      <c r="BF350" s="104">
        <f t="shared" si="125"/>
        <v>0</v>
      </c>
      <c r="BG350" s="104">
        <f t="shared" si="126"/>
        <v>0</v>
      </c>
      <c r="BH350" s="104">
        <f t="shared" si="127"/>
        <v>0</v>
      </c>
      <c r="BI350" s="104">
        <f t="shared" si="128"/>
        <v>0</v>
      </c>
      <c r="BJ350" s="23" t="s">
        <v>85</v>
      </c>
      <c r="BK350" s="104">
        <f t="shared" si="129"/>
        <v>600</v>
      </c>
      <c r="BL350" s="23" t="s">
        <v>218</v>
      </c>
      <c r="BM350" s="101" t="s">
        <v>2133</v>
      </c>
    </row>
    <row r="351" spans="2:65" s="1" customFormat="1" ht="16.5" customHeight="1">
      <c r="B351" s="12"/>
      <c r="C351" s="71" t="s">
        <v>1428</v>
      </c>
      <c r="D351" s="71" t="s">
        <v>214</v>
      </c>
      <c r="E351" s="72" t="s">
        <v>4303</v>
      </c>
      <c r="F351" s="73" t="s">
        <v>4304</v>
      </c>
      <c r="G351" s="74" t="s">
        <v>808</v>
      </c>
      <c r="H351" s="75">
        <v>12</v>
      </c>
      <c r="I351" s="90">
        <v>400</v>
      </c>
      <c r="J351" s="91">
        <f t="shared" si="120"/>
        <v>4800</v>
      </c>
      <c r="K351" s="92"/>
      <c r="L351" s="12"/>
      <c r="M351" s="93" t="s">
        <v>1</v>
      </c>
      <c r="N351" s="94" t="s">
        <v>42</v>
      </c>
      <c r="P351" s="95">
        <f t="shared" si="121"/>
        <v>0</v>
      </c>
      <c r="Q351" s="95">
        <v>0</v>
      </c>
      <c r="R351" s="95">
        <f t="shared" si="122"/>
        <v>0</v>
      </c>
      <c r="S351" s="95">
        <v>0</v>
      </c>
      <c r="T351" s="99">
        <f t="shared" si="123"/>
        <v>0</v>
      </c>
      <c r="AR351" s="101" t="s">
        <v>218</v>
      </c>
      <c r="AT351" s="101" t="s">
        <v>214</v>
      </c>
      <c r="AU351" s="101" t="s">
        <v>87</v>
      </c>
      <c r="AY351" s="23" t="s">
        <v>211</v>
      </c>
      <c r="BE351" s="104">
        <f t="shared" si="124"/>
        <v>4800</v>
      </c>
      <c r="BF351" s="104">
        <f t="shared" si="125"/>
        <v>0</v>
      </c>
      <c r="BG351" s="104">
        <f t="shared" si="126"/>
        <v>0</v>
      </c>
      <c r="BH351" s="104">
        <f t="shared" si="127"/>
        <v>0</v>
      </c>
      <c r="BI351" s="104">
        <f t="shared" si="128"/>
        <v>0</v>
      </c>
      <c r="BJ351" s="23" t="s">
        <v>85</v>
      </c>
      <c r="BK351" s="104">
        <f t="shared" si="129"/>
        <v>4800</v>
      </c>
      <c r="BL351" s="23" t="s">
        <v>218</v>
      </c>
      <c r="BM351" s="101" t="s">
        <v>2139</v>
      </c>
    </row>
    <row r="352" spans="2:65" s="1" customFormat="1" ht="16.5" customHeight="1">
      <c r="B352" s="12"/>
      <c r="C352" s="71" t="s">
        <v>1433</v>
      </c>
      <c r="D352" s="71" t="s">
        <v>214</v>
      </c>
      <c r="E352" s="72" t="s">
        <v>4387</v>
      </c>
      <c r="F352" s="73" t="s">
        <v>4308</v>
      </c>
      <c r="G352" s="74" t="s">
        <v>808</v>
      </c>
      <c r="H352" s="75">
        <v>12</v>
      </c>
      <c r="I352" s="153">
        <v>320</v>
      </c>
      <c r="J352" s="91">
        <f t="shared" si="120"/>
        <v>3840</v>
      </c>
      <c r="K352" s="92"/>
      <c r="L352" s="12"/>
      <c r="M352" s="93" t="s">
        <v>1</v>
      </c>
      <c r="N352" s="94" t="s">
        <v>42</v>
      </c>
      <c r="P352" s="95">
        <f t="shared" si="121"/>
        <v>0</v>
      </c>
      <c r="Q352" s="95">
        <v>0</v>
      </c>
      <c r="R352" s="95">
        <f t="shared" si="122"/>
        <v>0</v>
      </c>
      <c r="S352" s="95">
        <v>0</v>
      </c>
      <c r="T352" s="99">
        <f t="shared" si="123"/>
        <v>0</v>
      </c>
      <c r="AR352" s="101" t="s">
        <v>218</v>
      </c>
      <c r="AT352" s="101" t="s">
        <v>214</v>
      </c>
      <c r="AU352" s="101" t="s">
        <v>87</v>
      </c>
      <c r="AY352" s="23" t="s">
        <v>211</v>
      </c>
      <c r="BE352" s="104">
        <f t="shared" si="124"/>
        <v>3840</v>
      </c>
      <c r="BF352" s="104">
        <f t="shared" si="125"/>
        <v>0</v>
      </c>
      <c r="BG352" s="104">
        <f t="shared" si="126"/>
        <v>0</v>
      </c>
      <c r="BH352" s="104">
        <f t="shared" si="127"/>
        <v>0</v>
      </c>
      <c r="BI352" s="104">
        <f t="shared" si="128"/>
        <v>0</v>
      </c>
      <c r="BJ352" s="23" t="s">
        <v>85</v>
      </c>
      <c r="BK352" s="104">
        <f t="shared" si="129"/>
        <v>3840</v>
      </c>
      <c r="BL352" s="23" t="s">
        <v>218</v>
      </c>
      <c r="BM352" s="101" t="s">
        <v>2145</v>
      </c>
    </row>
    <row r="353" spans="2:65" s="1" customFormat="1" ht="49.35" customHeight="1">
      <c r="B353" s="12"/>
      <c r="C353" s="71" t="s">
        <v>1437</v>
      </c>
      <c r="D353" s="71" t="s">
        <v>214</v>
      </c>
      <c r="E353" s="72" t="s">
        <v>4282</v>
      </c>
      <c r="F353" s="73" t="s">
        <v>4283</v>
      </c>
      <c r="G353" s="74" t="s">
        <v>431</v>
      </c>
      <c r="H353" s="75">
        <v>20</v>
      </c>
      <c r="I353" s="90">
        <v>330</v>
      </c>
      <c r="J353" s="91">
        <f t="shared" si="120"/>
        <v>6600</v>
      </c>
      <c r="K353" s="92"/>
      <c r="L353" s="12"/>
      <c r="M353" s="93" t="s">
        <v>1</v>
      </c>
      <c r="N353" s="94" t="s">
        <v>42</v>
      </c>
      <c r="P353" s="95">
        <f t="shared" si="121"/>
        <v>0</v>
      </c>
      <c r="Q353" s="95">
        <v>0</v>
      </c>
      <c r="R353" s="95">
        <f t="shared" si="122"/>
        <v>0</v>
      </c>
      <c r="S353" s="95">
        <v>0</v>
      </c>
      <c r="T353" s="99">
        <f t="shared" si="123"/>
        <v>0</v>
      </c>
      <c r="AR353" s="101" t="s">
        <v>218</v>
      </c>
      <c r="AT353" s="101" t="s">
        <v>214</v>
      </c>
      <c r="AU353" s="101" t="s">
        <v>87</v>
      </c>
      <c r="AY353" s="23" t="s">
        <v>211</v>
      </c>
      <c r="BE353" s="104">
        <f t="shared" si="124"/>
        <v>6600</v>
      </c>
      <c r="BF353" s="104">
        <f t="shared" si="125"/>
        <v>0</v>
      </c>
      <c r="BG353" s="104">
        <f t="shared" si="126"/>
        <v>0</v>
      </c>
      <c r="BH353" s="104">
        <f t="shared" si="127"/>
        <v>0</v>
      </c>
      <c r="BI353" s="104">
        <f t="shared" si="128"/>
        <v>0</v>
      </c>
      <c r="BJ353" s="23" t="s">
        <v>85</v>
      </c>
      <c r="BK353" s="104">
        <f t="shared" si="129"/>
        <v>6600</v>
      </c>
      <c r="BL353" s="23" t="s">
        <v>218</v>
      </c>
      <c r="BM353" s="101" t="s">
        <v>2151</v>
      </c>
    </row>
    <row r="354" spans="2:65" s="1" customFormat="1" ht="49.35" customHeight="1">
      <c r="B354" s="12"/>
      <c r="C354" s="71" t="s">
        <v>1441</v>
      </c>
      <c r="D354" s="71" t="s">
        <v>214</v>
      </c>
      <c r="E354" s="72" t="s">
        <v>4284</v>
      </c>
      <c r="F354" s="73" t="s">
        <v>4285</v>
      </c>
      <c r="G354" s="74" t="s">
        <v>431</v>
      </c>
      <c r="H354" s="75">
        <v>65</v>
      </c>
      <c r="I354" s="90">
        <v>250</v>
      </c>
      <c r="J354" s="91">
        <f t="shared" si="120"/>
        <v>16250</v>
      </c>
      <c r="K354" s="92"/>
      <c r="L354" s="12"/>
      <c r="M354" s="93" t="s">
        <v>1</v>
      </c>
      <c r="N354" s="94" t="s">
        <v>42</v>
      </c>
      <c r="P354" s="95">
        <f t="shared" si="121"/>
        <v>0</v>
      </c>
      <c r="Q354" s="95">
        <v>0</v>
      </c>
      <c r="R354" s="95">
        <f t="shared" si="122"/>
        <v>0</v>
      </c>
      <c r="S354" s="95">
        <v>0</v>
      </c>
      <c r="T354" s="99">
        <f t="shared" si="123"/>
        <v>0</v>
      </c>
      <c r="AR354" s="101" t="s">
        <v>218</v>
      </c>
      <c r="AT354" s="101" t="s">
        <v>214</v>
      </c>
      <c r="AU354" s="101" t="s">
        <v>87</v>
      </c>
      <c r="AY354" s="23" t="s">
        <v>211</v>
      </c>
      <c r="BE354" s="104">
        <f t="shared" si="124"/>
        <v>16250</v>
      </c>
      <c r="BF354" s="104">
        <f t="shared" si="125"/>
        <v>0</v>
      </c>
      <c r="BG354" s="104">
        <f t="shared" si="126"/>
        <v>0</v>
      </c>
      <c r="BH354" s="104">
        <f t="shared" si="127"/>
        <v>0</v>
      </c>
      <c r="BI354" s="104">
        <f t="shared" si="128"/>
        <v>0</v>
      </c>
      <c r="BJ354" s="23" t="s">
        <v>85</v>
      </c>
      <c r="BK354" s="104">
        <f t="shared" si="129"/>
        <v>16250</v>
      </c>
      <c r="BL354" s="23" t="s">
        <v>218</v>
      </c>
      <c r="BM354" s="101" t="s">
        <v>2157</v>
      </c>
    </row>
    <row r="355" spans="2:65" s="1" customFormat="1" ht="49.35" customHeight="1">
      <c r="B355" s="12"/>
      <c r="C355" s="71" t="s">
        <v>1445</v>
      </c>
      <c r="D355" s="71" t="s">
        <v>214</v>
      </c>
      <c r="E355" s="72" t="s">
        <v>4286</v>
      </c>
      <c r="F355" s="73" t="s">
        <v>4287</v>
      </c>
      <c r="G355" s="74" t="s">
        <v>431</v>
      </c>
      <c r="H355" s="75">
        <v>26</v>
      </c>
      <c r="I355" s="153">
        <v>200</v>
      </c>
      <c r="J355" s="91">
        <f t="shared" si="120"/>
        <v>5200</v>
      </c>
      <c r="K355" s="92"/>
      <c r="L355" s="12"/>
      <c r="M355" s="93" t="s">
        <v>1</v>
      </c>
      <c r="N355" s="94" t="s">
        <v>42</v>
      </c>
      <c r="P355" s="95">
        <f t="shared" si="121"/>
        <v>0</v>
      </c>
      <c r="Q355" s="95">
        <v>0</v>
      </c>
      <c r="R355" s="95">
        <f t="shared" si="122"/>
        <v>0</v>
      </c>
      <c r="S355" s="95">
        <v>0</v>
      </c>
      <c r="T355" s="99">
        <f t="shared" si="123"/>
        <v>0</v>
      </c>
      <c r="AR355" s="101" t="s">
        <v>218</v>
      </c>
      <c r="AT355" s="101" t="s">
        <v>214</v>
      </c>
      <c r="AU355" s="101" t="s">
        <v>87</v>
      </c>
      <c r="AY355" s="23" t="s">
        <v>211</v>
      </c>
      <c r="BE355" s="104">
        <f t="shared" si="124"/>
        <v>5200</v>
      </c>
      <c r="BF355" s="104">
        <f t="shared" si="125"/>
        <v>0</v>
      </c>
      <c r="BG355" s="104">
        <f t="shared" si="126"/>
        <v>0</v>
      </c>
      <c r="BH355" s="104">
        <f t="shared" si="127"/>
        <v>0</v>
      </c>
      <c r="BI355" s="104">
        <f t="shared" si="128"/>
        <v>0</v>
      </c>
      <c r="BJ355" s="23" t="s">
        <v>85</v>
      </c>
      <c r="BK355" s="104">
        <f t="shared" si="129"/>
        <v>5200</v>
      </c>
      <c r="BL355" s="23" t="s">
        <v>218</v>
      </c>
      <c r="BM355" s="101" t="s">
        <v>2164</v>
      </c>
    </row>
    <row r="356" spans="2:65" s="1" customFormat="1" ht="16.5" customHeight="1">
      <c r="B356" s="12"/>
      <c r="C356" s="71" t="s">
        <v>1449</v>
      </c>
      <c r="D356" s="71" t="s">
        <v>214</v>
      </c>
      <c r="E356" s="72" t="s">
        <v>4309</v>
      </c>
      <c r="F356" s="73" t="s">
        <v>4310</v>
      </c>
      <c r="G356" s="74" t="s">
        <v>431</v>
      </c>
      <c r="H356" s="75">
        <v>18</v>
      </c>
      <c r="I356" s="90">
        <v>200</v>
      </c>
      <c r="J356" s="91">
        <f t="shared" si="120"/>
        <v>3600</v>
      </c>
      <c r="K356" s="92"/>
      <c r="L356" s="12"/>
      <c r="M356" s="93" t="s">
        <v>1</v>
      </c>
      <c r="N356" s="94" t="s">
        <v>42</v>
      </c>
      <c r="P356" s="95">
        <f t="shared" si="121"/>
        <v>0</v>
      </c>
      <c r="Q356" s="95">
        <v>0</v>
      </c>
      <c r="R356" s="95">
        <f t="shared" si="122"/>
        <v>0</v>
      </c>
      <c r="S356" s="95">
        <v>0</v>
      </c>
      <c r="T356" s="99">
        <f t="shared" si="123"/>
        <v>0</v>
      </c>
      <c r="AR356" s="101" t="s">
        <v>218</v>
      </c>
      <c r="AT356" s="101" t="s">
        <v>214</v>
      </c>
      <c r="AU356" s="101" t="s">
        <v>87</v>
      </c>
      <c r="AY356" s="23" t="s">
        <v>211</v>
      </c>
      <c r="BE356" s="104">
        <f t="shared" si="124"/>
        <v>3600</v>
      </c>
      <c r="BF356" s="104">
        <f t="shared" si="125"/>
        <v>0</v>
      </c>
      <c r="BG356" s="104">
        <f t="shared" si="126"/>
        <v>0</v>
      </c>
      <c r="BH356" s="104">
        <f t="shared" si="127"/>
        <v>0</v>
      </c>
      <c r="BI356" s="104">
        <f t="shared" si="128"/>
        <v>0</v>
      </c>
      <c r="BJ356" s="23" t="s">
        <v>85</v>
      </c>
      <c r="BK356" s="104">
        <f t="shared" si="129"/>
        <v>3600</v>
      </c>
      <c r="BL356" s="23" t="s">
        <v>218</v>
      </c>
      <c r="BM356" s="101" t="s">
        <v>1251</v>
      </c>
    </row>
    <row r="357" spans="2:65" s="1" customFormat="1" ht="16.5" customHeight="1">
      <c r="B357" s="12"/>
      <c r="C357" s="71" t="s">
        <v>1453</v>
      </c>
      <c r="D357" s="71" t="s">
        <v>214</v>
      </c>
      <c r="E357" s="72" t="s">
        <v>4388</v>
      </c>
      <c r="F357" s="73" t="s">
        <v>4312</v>
      </c>
      <c r="G357" s="74" t="s">
        <v>431</v>
      </c>
      <c r="H357" s="75">
        <v>15</v>
      </c>
      <c r="I357" s="90">
        <v>180</v>
      </c>
      <c r="J357" s="91">
        <f t="shared" si="120"/>
        <v>2700</v>
      </c>
      <c r="K357" s="92"/>
      <c r="L357" s="12"/>
      <c r="M357" s="93" t="s">
        <v>1</v>
      </c>
      <c r="N357" s="94" t="s">
        <v>42</v>
      </c>
      <c r="P357" s="95">
        <f t="shared" si="121"/>
        <v>0</v>
      </c>
      <c r="Q357" s="95">
        <v>0</v>
      </c>
      <c r="R357" s="95">
        <f t="shared" si="122"/>
        <v>0</v>
      </c>
      <c r="S357" s="95">
        <v>0</v>
      </c>
      <c r="T357" s="99">
        <f t="shared" si="123"/>
        <v>0</v>
      </c>
      <c r="AR357" s="101" t="s">
        <v>218</v>
      </c>
      <c r="AT357" s="101" t="s">
        <v>214</v>
      </c>
      <c r="AU357" s="101" t="s">
        <v>87</v>
      </c>
      <c r="AY357" s="23" t="s">
        <v>211</v>
      </c>
      <c r="BE357" s="104">
        <f t="shared" si="124"/>
        <v>2700</v>
      </c>
      <c r="BF357" s="104">
        <f t="shared" si="125"/>
        <v>0</v>
      </c>
      <c r="BG357" s="104">
        <f t="shared" si="126"/>
        <v>0</v>
      </c>
      <c r="BH357" s="104">
        <f t="shared" si="127"/>
        <v>0</v>
      </c>
      <c r="BI357" s="104">
        <f t="shared" si="128"/>
        <v>0</v>
      </c>
      <c r="BJ357" s="23" t="s">
        <v>85</v>
      </c>
      <c r="BK357" s="104">
        <f t="shared" si="129"/>
        <v>2700</v>
      </c>
      <c r="BL357" s="23" t="s">
        <v>218</v>
      </c>
      <c r="BM357" s="101" t="s">
        <v>2176</v>
      </c>
    </row>
    <row r="358" spans="2:65" s="31" customFormat="1" ht="23.1" customHeight="1">
      <c r="B358" s="67"/>
      <c r="D358" s="68" t="s">
        <v>76</v>
      </c>
      <c r="E358" s="70" t="s">
        <v>4359</v>
      </c>
      <c r="F358" s="70" t="s">
        <v>4360</v>
      </c>
      <c r="I358" s="85"/>
      <c r="J358" s="89">
        <f>BK358</f>
        <v>11790</v>
      </c>
      <c r="L358" s="67"/>
      <c r="M358" s="87"/>
      <c r="P358" s="88">
        <f>SUM(P359:P362)</f>
        <v>0</v>
      </c>
      <c r="R358" s="88">
        <f>SUM(R359:R362)</f>
        <v>0</v>
      </c>
      <c r="T358" s="98">
        <f>SUM(T359:T362)</f>
        <v>0</v>
      </c>
      <c r="AR358" s="68" t="s">
        <v>85</v>
      </c>
      <c r="AT358" s="100" t="s">
        <v>76</v>
      </c>
      <c r="AU358" s="100" t="s">
        <v>85</v>
      </c>
      <c r="AY358" s="68" t="s">
        <v>211</v>
      </c>
      <c r="BK358" s="103">
        <f>SUM(BK359:BK362)</f>
        <v>11790</v>
      </c>
    </row>
    <row r="359" spans="2:65" s="1" customFormat="1" ht="33" customHeight="1">
      <c r="B359" s="12"/>
      <c r="C359" s="114" t="s">
        <v>1457</v>
      </c>
      <c r="D359" s="114" t="s">
        <v>438</v>
      </c>
      <c r="E359" s="115" t="s">
        <v>4394</v>
      </c>
      <c r="F359" s="116" t="s">
        <v>4395</v>
      </c>
      <c r="G359" s="117" t="s">
        <v>808</v>
      </c>
      <c r="H359" s="118">
        <v>0</v>
      </c>
      <c r="I359" s="122"/>
      <c r="J359" s="123">
        <f>ROUND(I359*H359,2)</f>
        <v>0</v>
      </c>
      <c r="K359" s="124"/>
      <c r="L359" s="125"/>
      <c r="M359" s="126" t="s">
        <v>1</v>
      </c>
      <c r="N359" s="127" t="s">
        <v>42</v>
      </c>
      <c r="P359" s="95">
        <f>O359*H359</f>
        <v>0</v>
      </c>
      <c r="Q359" s="95">
        <v>0</v>
      </c>
      <c r="R359" s="95">
        <f>Q359*H359</f>
        <v>0</v>
      </c>
      <c r="S359" s="95">
        <v>0</v>
      </c>
      <c r="T359" s="99">
        <f>S359*H359</f>
        <v>0</v>
      </c>
      <c r="AR359" s="101" t="s">
        <v>250</v>
      </c>
      <c r="AT359" s="101" t="s">
        <v>438</v>
      </c>
      <c r="AU359" s="101" t="s">
        <v>87</v>
      </c>
      <c r="AY359" s="23" t="s">
        <v>211</v>
      </c>
      <c r="BE359" s="104">
        <f>IF(N359="základní",J359,0)</f>
        <v>0</v>
      </c>
      <c r="BF359" s="104">
        <f>IF(N359="snížená",J359,0)</f>
        <v>0</v>
      </c>
      <c r="BG359" s="104">
        <f>IF(N359="zákl. přenesená",J359,0)</f>
        <v>0</v>
      </c>
      <c r="BH359" s="104">
        <f>IF(N359="sníž. přenesená",J359,0)</f>
        <v>0</v>
      </c>
      <c r="BI359" s="104">
        <f>IF(N359="nulová",J359,0)</f>
        <v>0</v>
      </c>
      <c r="BJ359" s="23" t="s">
        <v>85</v>
      </c>
      <c r="BK359" s="104">
        <f>ROUND(I359*H359,2)</f>
        <v>0</v>
      </c>
      <c r="BL359" s="23" t="s">
        <v>218</v>
      </c>
      <c r="BM359" s="101" t="s">
        <v>2182</v>
      </c>
    </row>
    <row r="360" spans="2:65" s="1" customFormat="1" ht="16.5" customHeight="1">
      <c r="B360" s="12"/>
      <c r="C360" s="71" t="s">
        <v>1462</v>
      </c>
      <c r="D360" s="71" t="s">
        <v>214</v>
      </c>
      <c r="E360" s="72" t="s">
        <v>4417</v>
      </c>
      <c r="F360" s="73" t="s">
        <v>4418</v>
      </c>
      <c r="G360" s="74" t="s">
        <v>808</v>
      </c>
      <c r="H360" s="75">
        <v>3</v>
      </c>
      <c r="I360" s="90">
        <v>600</v>
      </c>
      <c r="J360" s="91">
        <f>ROUND(I360*H360,2)</f>
        <v>1800</v>
      </c>
      <c r="K360" s="92"/>
      <c r="L360" s="12"/>
      <c r="M360" s="93" t="s">
        <v>1</v>
      </c>
      <c r="N360" s="94" t="s">
        <v>42</v>
      </c>
      <c r="P360" s="95">
        <f>O360*H360</f>
        <v>0</v>
      </c>
      <c r="Q360" s="95">
        <v>0</v>
      </c>
      <c r="R360" s="95">
        <f>Q360*H360</f>
        <v>0</v>
      </c>
      <c r="S360" s="95">
        <v>0</v>
      </c>
      <c r="T360" s="99">
        <f>S360*H360</f>
        <v>0</v>
      </c>
      <c r="AR360" s="101" t="s">
        <v>218</v>
      </c>
      <c r="AT360" s="101" t="s">
        <v>214</v>
      </c>
      <c r="AU360" s="101" t="s">
        <v>87</v>
      </c>
      <c r="AY360" s="23" t="s">
        <v>211</v>
      </c>
      <c r="BE360" s="104">
        <f>IF(N360="základní",J360,0)</f>
        <v>1800</v>
      </c>
      <c r="BF360" s="104">
        <f>IF(N360="snížená",J360,0)</f>
        <v>0</v>
      </c>
      <c r="BG360" s="104">
        <f>IF(N360="zákl. přenesená",J360,0)</f>
        <v>0</v>
      </c>
      <c r="BH360" s="104">
        <f>IF(N360="sníž. přenesená",J360,0)</f>
        <v>0</v>
      </c>
      <c r="BI360" s="104">
        <f>IF(N360="nulová",J360,0)</f>
        <v>0</v>
      </c>
      <c r="BJ360" s="23" t="s">
        <v>85</v>
      </c>
      <c r="BK360" s="104">
        <f>ROUND(I360*H360,2)</f>
        <v>1800</v>
      </c>
      <c r="BL360" s="23" t="s">
        <v>218</v>
      </c>
      <c r="BM360" s="101" t="s">
        <v>2188</v>
      </c>
    </row>
    <row r="361" spans="2:65" s="1" customFormat="1" ht="49.35" customHeight="1">
      <c r="B361" s="12"/>
      <c r="C361" s="71" t="s">
        <v>1466</v>
      </c>
      <c r="D361" s="71" t="s">
        <v>214</v>
      </c>
      <c r="E361" s="72" t="s">
        <v>4282</v>
      </c>
      <c r="F361" s="73" t="s">
        <v>4283</v>
      </c>
      <c r="G361" s="74" t="s">
        <v>431</v>
      </c>
      <c r="H361" s="75">
        <v>23</v>
      </c>
      <c r="I361" s="90">
        <v>330</v>
      </c>
      <c r="J361" s="91">
        <f>ROUND(I361*H361,2)</f>
        <v>7590</v>
      </c>
      <c r="K361" s="92"/>
      <c r="L361" s="12"/>
      <c r="M361" s="93" t="s">
        <v>1</v>
      </c>
      <c r="N361" s="94" t="s">
        <v>42</v>
      </c>
      <c r="P361" s="95">
        <f>O361*H361</f>
        <v>0</v>
      </c>
      <c r="Q361" s="95">
        <v>0</v>
      </c>
      <c r="R361" s="95">
        <f>Q361*H361</f>
        <v>0</v>
      </c>
      <c r="S361" s="95">
        <v>0</v>
      </c>
      <c r="T361" s="99">
        <f>S361*H361</f>
        <v>0</v>
      </c>
      <c r="AR361" s="101" t="s">
        <v>218</v>
      </c>
      <c r="AT361" s="101" t="s">
        <v>214</v>
      </c>
      <c r="AU361" s="101" t="s">
        <v>87</v>
      </c>
      <c r="AY361" s="23" t="s">
        <v>211</v>
      </c>
      <c r="BE361" s="104">
        <f>IF(N361="základní",J361,0)</f>
        <v>7590</v>
      </c>
      <c r="BF361" s="104">
        <f>IF(N361="snížená",J361,0)</f>
        <v>0</v>
      </c>
      <c r="BG361" s="104">
        <f>IF(N361="zákl. přenesená",J361,0)</f>
        <v>0</v>
      </c>
      <c r="BH361" s="104">
        <f>IF(N361="sníž. přenesená",J361,0)</f>
        <v>0</v>
      </c>
      <c r="BI361" s="104">
        <f>IF(N361="nulová",J361,0)</f>
        <v>0</v>
      </c>
      <c r="BJ361" s="23" t="s">
        <v>85</v>
      </c>
      <c r="BK361" s="104">
        <f>ROUND(I361*H361,2)</f>
        <v>7590</v>
      </c>
      <c r="BL361" s="23" t="s">
        <v>218</v>
      </c>
      <c r="BM361" s="101" t="s">
        <v>2194</v>
      </c>
    </row>
    <row r="362" spans="2:65" s="1" customFormat="1" ht="49.35" customHeight="1">
      <c r="B362" s="12"/>
      <c r="C362" s="71" t="s">
        <v>1470</v>
      </c>
      <c r="D362" s="71" t="s">
        <v>214</v>
      </c>
      <c r="E362" s="72" t="s">
        <v>4419</v>
      </c>
      <c r="F362" s="73" t="s">
        <v>4287</v>
      </c>
      <c r="G362" s="74" t="s">
        <v>431</v>
      </c>
      <c r="H362" s="75">
        <v>12</v>
      </c>
      <c r="I362" s="153">
        <v>200</v>
      </c>
      <c r="J362" s="91">
        <f>ROUND(I362*H362,2)</f>
        <v>2400</v>
      </c>
      <c r="K362" s="92"/>
      <c r="L362" s="12"/>
      <c r="M362" s="93" t="s">
        <v>1</v>
      </c>
      <c r="N362" s="94" t="s">
        <v>42</v>
      </c>
      <c r="P362" s="95">
        <f>O362*H362</f>
        <v>0</v>
      </c>
      <c r="Q362" s="95">
        <v>0</v>
      </c>
      <c r="R362" s="95">
        <f>Q362*H362</f>
        <v>0</v>
      </c>
      <c r="S362" s="95">
        <v>0</v>
      </c>
      <c r="T362" s="99">
        <f>S362*H362</f>
        <v>0</v>
      </c>
      <c r="AR362" s="101" t="s">
        <v>218</v>
      </c>
      <c r="AT362" s="101" t="s">
        <v>214</v>
      </c>
      <c r="AU362" s="101" t="s">
        <v>87</v>
      </c>
      <c r="AY362" s="23" t="s">
        <v>211</v>
      </c>
      <c r="BE362" s="104">
        <f>IF(N362="základní",J362,0)</f>
        <v>2400</v>
      </c>
      <c r="BF362" s="104">
        <f>IF(N362="snížená",J362,0)</f>
        <v>0</v>
      </c>
      <c r="BG362" s="104">
        <f>IF(N362="zákl. přenesená",J362,0)</f>
        <v>0</v>
      </c>
      <c r="BH362" s="104">
        <f>IF(N362="sníž. přenesená",J362,0)</f>
        <v>0</v>
      </c>
      <c r="BI362" s="104">
        <f>IF(N362="nulová",J362,0)</f>
        <v>0</v>
      </c>
      <c r="BJ362" s="23" t="s">
        <v>85</v>
      </c>
      <c r="BK362" s="104">
        <f>ROUND(I362*H362,2)</f>
        <v>2400</v>
      </c>
      <c r="BL362" s="23" t="s">
        <v>218</v>
      </c>
      <c r="BM362" s="101" t="s">
        <v>2200</v>
      </c>
    </row>
    <row r="363" spans="2:65" s="31" customFormat="1" ht="26.1" customHeight="1">
      <c r="B363" s="67"/>
      <c r="D363" s="68" t="s">
        <v>76</v>
      </c>
      <c r="E363" s="69" t="s">
        <v>4420</v>
      </c>
      <c r="F363" s="69" t="s">
        <v>4421</v>
      </c>
      <c r="I363" s="85"/>
      <c r="J363" s="86">
        <f>BK363</f>
        <v>1085070</v>
      </c>
      <c r="L363" s="67"/>
      <c r="M363" s="87"/>
      <c r="P363" s="88">
        <f>P364+P384+P392+P406+P419</f>
        <v>0</v>
      </c>
      <c r="R363" s="88">
        <f>R364+R384+R392+R406+R419</f>
        <v>0</v>
      </c>
      <c r="T363" s="98">
        <f>T364+T384+T392+T406+T419</f>
        <v>0</v>
      </c>
      <c r="AR363" s="68" t="s">
        <v>85</v>
      </c>
      <c r="AT363" s="100" t="s">
        <v>76</v>
      </c>
      <c r="AU363" s="100" t="s">
        <v>77</v>
      </c>
      <c r="AY363" s="68" t="s">
        <v>211</v>
      </c>
      <c r="BK363" s="103">
        <f>BK364+BK384+BK392+BK406+BK419</f>
        <v>1085070</v>
      </c>
    </row>
    <row r="364" spans="2:65" s="31" customFormat="1" ht="23.1" customHeight="1">
      <c r="B364" s="67"/>
      <c r="D364" s="68" t="s">
        <v>76</v>
      </c>
      <c r="E364" s="70" t="s">
        <v>4422</v>
      </c>
      <c r="F364" s="70" t="s">
        <v>4423</v>
      </c>
      <c r="I364" s="85"/>
      <c r="J364" s="89">
        <f>BK364</f>
        <v>270240</v>
      </c>
      <c r="L364" s="67"/>
      <c r="M364" s="87"/>
      <c r="P364" s="88">
        <f>SUM(P365:P383)</f>
        <v>0</v>
      </c>
      <c r="R364" s="88">
        <f>SUM(R365:R383)</f>
        <v>0</v>
      </c>
      <c r="T364" s="98">
        <f>SUM(T365:T383)</f>
        <v>0</v>
      </c>
      <c r="AR364" s="68" t="s">
        <v>85</v>
      </c>
      <c r="AT364" s="100" t="s">
        <v>76</v>
      </c>
      <c r="AU364" s="100" t="s">
        <v>85</v>
      </c>
      <c r="AY364" s="68" t="s">
        <v>211</v>
      </c>
      <c r="BK364" s="103">
        <f>SUM(BK365:BK383)</f>
        <v>270240</v>
      </c>
    </row>
    <row r="365" spans="2:65" s="1" customFormat="1" ht="21.75" customHeight="1">
      <c r="B365" s="12"/>
      <c r="C365" s="71" t="s">
        <v>1475</v>
      </c>
      <c r="D365" s="71" t="s">
        <v>214</v>
      </c>
      <c r="E365" s="72" t="s">
        <v>4424</v>
      </c>
      <c r="F365" s="73" t="s">
        <v>4250</v>
      </c>
      <c r="G365" s="74" t="s">
        <v>808</v>
      </c>
      <c r="H365" s="75">
        <v>1</v>
      </c>
      <c r="I365" s="90">
        <v>112000</v>
      </c>
      <c r="J365" s="91">
        <f>ROUND(I365*H365,2)</f>
        <v>112000</v>
      </c>
      <c r="K365" s="92"/>
      <c r="L365" s="12"/>
      <c r="M365" s="93" t="s">
        <v>1</v>
      </c>
      <c r="N365" s="94" t="s">
        <v>42</v>
      </c>
      <c r="P365" s="95">
        <f>O365*H365</f>
        <v>0</v>
      </c>
      <c r="Q365" s="95">
        <v>0</v>
      </c>
      <c r="R365" s="95">
        <f>Q365*H365</f>
        <v>0</v>
      </c>
      <c r="S365" s="95">
        <v>0</v>
      </c>
      <c r="T365" s="99">
        <f>S365*H365</f>
        <v>0</v>
      </c>
      <c r="AR365" s="101" t="s">
        <v>218</v>
      </c>
      <c r="AT365" s="101" t="s">
        <v>214</v>
      </c>
      <c r="AU365" s="101" t="s">
        <v>87</v>
      </c>
      <c r="AY365" s="23" t="s">
        <v>211</v>
      </c>
      <c r="BE365" s="104">
        <f>IF(N365="základní",J365,0)</f>
        <v>112000</v>
      </c>
      <c r="BF365" s="104">
        <f>IF(N365="snížená",J365,0)</f>
        <v>0</v>
      </c>
      <c r="BG365" s="104">
        <f>IF(N365="zákl. přenesená",J365,0)</f>
        <v>0</v>
      </c>
      <c r="BH365" s="104">
        <f>IF(N365="sníž. přenesená",J365,0)</f>
        <v>0</v>
      </c>
      <c r="BI365" s="104">
        <f>IF(N365="nulová",J365,0)</f>
        <v>0</v>
      </c>
      <c r="BJ365" s="23" t="s">
        <v>85</v>
      </c>
      <c r="BK365" s="104">
        <f>ROUND(I365*H365,2)</f>
        <v>112000</v>
      </c>
      <c r="BL365" s="23" t="s">
        <v>218</v>
      </c>
      <c r="BM365" s="101" t="s">
        <v>2206</v>
      </c>
    </row>
    <row r="366" spans="2:65" s="1" customFormat="1" ht="76.8">
      <c r="B366" s="12"/>
      <c r="D366" s="105" t="s">
        <v>227</v>
      </c>
      <c r="F366" s="106" t="s">
        <v>4251</v>
      </c>
      <c r="I366" s="107"/>
      <c r="L366" s="12"/>
      <c r="M366" s="108"/>
      <c r="T366" s="111"/>
      <c r="AT366" s="23" t="s">
        <v>227</v>
      </c>
      <c r="AU366" s="23" t="s">
        <v>87</v>
      </c>
    </row>
    <row r="367" spans="2:65" s="1" customFormat="1" ht="16.5" customHeight="1">
      <c r="B367" s="12"/>
      <c r="C367" s="71" t="s">
        <v>1479</v>
      </c>
      <c r="D367" s="71" t="s">
        <v>214</v>
      </c>
      <c r="E367" s="72" t="s">
        <v>4425</v>
      </c>
      <c r="F367" s="73" t="s">
        <v>4253</v>
      </c>
      <c r="G367" s="74" t="s">
        <v>808</v>
      </c>
      <c r="H367" s="75">
        <v>4</v>
      </c>
      <c r="I367" s="90">
        <v>2200</v>
      </c>
      <c r="J367" s="91">
        <f t="shared" ref="J367:J383" si="130">ROUND(I367*H367,2)</f>
        <v>8800</v>
      </c>
      <c r="K367" s="92"/>
      <c r="L367" s="12"/>
      <c r="M367" s="93" t="s">
        <v>1</v>
      </c>
      <c r="N367" s="94" t="s">
        <v>42</v>
      </c>
      <c r="P367" s="95">
        <f t="shared" ref="P367:P383" si="131">O367*H367</f>
        <v>0</v>
      </c>
      <c r="Q367" s="95">
        <v>0</v>
      </c>
      <c r="R367" s="95">
        <f t="shared" ref="R367:R383" si="132">Q367*H367</f>
        <v>0</v>
      </c>
      <c r="S367" s="95">
        <v>0</v>
      </c>
      <c r="T367" s="99">
        <f t="shared" ref="T367:T383" si="133">S367*H367</f>
        <v>0</v>
      </c>
      <c r="AR367" s="101" t="s">
        <v>218</v>
      </c>
      <c r="AT367" s="101" t="s">
        <v>214</v>
      </c>
      <c r="AU367" s="101" t="s">
        <v>87</v>
      </c>
      <c r="AY367" s="23" t="s">
        <v>211</v>
      </c>
      <c r="BE367" s="104">
        <f t="shared" ref="BE367:BE383" si="134">IF(N367="základní",J367,0)</f>
        <v>8800</v>
      </c>
      <c r="BF367" s="104">
        <f t="shared" ref="BF367:BF383" si="135">IF(N367="snížená",J367,0)</f>
        <v>0</v>
      </c>
      <c r="BG367" s="104">
        <f t="shared" ref="BG367:BG383" si="136">IF(N367="zákl. přenesená",J367,0)</f>
        <v>0</v>
      </c>
      <c r="BH367" s="104">
        <f t="shared" ref="BH367:BH383" si="137">IF(N367="sníž. přenesená",J367,0)</f>
        <v>0</v>
      </c>
      <c r="BI367" s="104">
        <f t="shared" ref="BI367:BI383" si="138">IF(N367="nulová",J367,0)</f>
        <v>0</v>
      </c>
      <c r="BJ367" s="23" t="s">
        <v>85</v>
      </c>
      <c r="BK367" s="104">
        <f t="shared" ref="BK367:BK383" si="139">ROUND(I367*H367,2)</f>
        <v>8800</v>
      </c>
      <c r="BL367" s="23" t="s">
        <v>218</v>
      </c>
      <c r="BM367" s="101" t="s">
        <v>2212</v>
      </c>
    </row>
    <row r="368" spans="2:65" s="1" customFormat="1" ht="16.5" customHeight="1">
      <c r="B368" s="12"/>
      <c r="C368" s="71" t="s">
        <v>1483</v>
      </c>
      <c r="D368" s="71" t="s">
        <v>214</v>
      </c>
      <c r="E368" s="72" t="s">
        <v>4426</v>
      </c>
      <c r="F368" s="73" t="s">
        <v>4255</v>
      </c>
      <c r="G368" s="74" t="s">
        <v>808</v>
      </c>
      <c r="H368" s="75">
        <v>2</v>
      </c>
      <c r="I368" s="90">
        <v>2700</v>
      </c>
      <c r="J368" s="91">
        <f t="shared" si="130"/>
        <v>5400</v>
      </c>
      <c r="K368" s="92"/>
      <c r="L368" s="12"/>
      <c r="M368" s="93" t="s">
        <v>1</v>
      </c>
      <c r="N368" s="94" t="s">
        <v>42</v>
      </c>
      <c r="P368" s="95">
        <f t="shared" si="131"/>
        <v>0</v>
      </c>
      <c r="Q368" s="95">
        <v>0</v>
      </c>
      <c r="R368" s="95">
        <f t="shared" si="132"/>
        <v>0</v>
      </c>
      <c r="S368" s="95">
        <v>0</v>
      </c>
      <c r="T368" s="99">
        <f t="shared" si="133"/>
        <v>0</v>
      </c>
      <c r="AR368" s="101" t="s">
        <v>218</v>
      </c>
      <c r="AT368" s="101" t="s">
        <v>214</v>
      </c>
      <c r="AU368" s="101" t="s">
        <v>87</v>
      </c>
      <c r="AY368" s="23" t="s">
        <v>211</v>
      </c>
      <c r="BE368" s="104">
        <f t="shared" si="134"/>
        <v>5400</v>
      </c>
      <c r="BF368" s="104">
        <f t="shared" si="135"/>
        <v>0</v>
      </c>
      <c r="BG368" s="104">
        <f t="shared" si="136"/>
        <v>0</v>
      </c>
      <c r="BH368" s="104">
        <f t="shared" si="137"/>
        <v>0</v>
      </c>
      <c r="BI368" s="104">
        <f t="shared" si="138"/>
        <v>0</v>
      </c>
      <c r="BJ368" s="23" t="s">
        <v>85</v>
      </c>
      <c r="BK368" s="104">
        <f t="shared" si="139"/>
        <v>5400</v>
      </c>
      <c r="BL368" s="23" t="s">
        <v>218</v>
      </c>
      <c r="BM368" s="101" t="s">
        <v>2218</v>
      </c>
    </row>
    <row r="369" spans="2:65" s="1" customFormat="1" ht="16.5" customHeight="1">
      <c r="B369" s="12"/>
      <c r="C369" s="71" t="s">
        <v>1487</v>
      </c>
      <c r="D369" s="71" t="s">
        <v>214</v>
      </c>
      <c r="E369" s="72" t="s">
        <v>4256</v>
      </c>
      <c r="F369" s="73" t="s">
        <v>4257</v>
      </c>
      <c r="G369" s="74" t="s">
        <v>808</v>
      </c>
      <c r="H369" s="75">
        <v>35</v>
      </c>
      <c r="I369" s="90">
        <v>120</v>
      </c>
      <c r="J369" s="91">
        <f t="shared" si="130"/>
        <v>4200</v>
      </c>
      <c r="K369" s="92"/>
      <c r="L369" s="12"/>
      <c r="M369" s="93" t="s">
        <v>1</v>
      </c>
      <c r="N369" s="94" t="s">
        <v>42</v>
      </c>
      <c r="P369" s="95">
        <f t="shared" si="131"/>
        <v>0</v>
      </c>
      <c r="Q369" s="95">
        <v>0</v>
      </c>
      <c r="R369" s="95">
        <f t="shared" si="132"/>
        <v>0</v>
      </c>
      <c r="S369" s="95">
        <v>0</v>
      </c>
      <c r="T369" s="99">
        <f t="shared" si="133"/>
        <v>0</v>
      </c>
      <c r="AR369" s="101" t="s">
        <v>218</v>
      </c>
      <c r="AT369" s="101" t="s">
        <v>214</v>
      </c>
      <c r="AU369" s="101" t="s">
        <v>87</v>
      </c>
      <c r="AY369" s="23" t="s">
        <v>211</v>
      </c>
      <c r="BE369" s="104">
        <f t="shared" si="134"/>
        <v>4200</v>
      </c>
      <c r="BF369" s="104">
        <f t="shared" si="135"/>
        <v>0</v>
      </c>
      <c r="BG369" s="104">
        <f t="shared" si="136"/>
        <v>0</v>
      </c>
      <c r="BH369" s="104">
        <f t="shared" si="137"/>
        <v>0</v>
      </c>
      <c r="BI369" s="104">
        <f t="shared" si="138"/>
        <v>0</v>
      </c>
      <c r="BJ369" s="23" t="s">
        <v>85</v>
      </c>
      <c r="BK369" s="104">
        <f t="shared" si="139"/>
        <v>4200</v>
      </c>
      <c r="BL369" s="23" t="s">
        <v>218</v>
      </c>
      <c r="BM369" s="101" t="s">
        <v>2224</v>
      </c>
    </row>
    <row r="370" spans="2:65" s="1" customFormat="1" ht="16.5" customHeight="1">
      <c r="B370" s="12"/>
      <c r="C370" s="71" t="s">
        <v>1491</v>
      </c>
      <c r="D370" s="71" t="s">
        <v>214</v>
      </c>
      <c r="E370" s="72" t="s">
        <v>4266</v>
      </c>
      <c r="F370" s="73" t="s">
        <v>4267</v>
      </c>
      <c r="G370" s="74" t="s">
        <v>808</v>
      </c>
      <c r="H370" s="75">
        <v>10</v>
      </c>
      <c r="I370" s="90">
        <v>120</v>
      </c>
      <c r="J370" s="91">
        <f t="shared" si="130"/>
        <v>1200</v>
      </c>
      <c r="K370" s="92"/>
      <c r="L370" s="12"/>
      <c r="M370" s="93" t="s">
        <v>1</v>
      </c>
      <c r="N370" s="94" t="s">
        <v>42</v>
      </c>
      <c r="P370" s="95">
        <f t="shared" si="131"/>
        <v>0</v>
      </c>
      <c r="Q370" s="95">
        <v>0</v>
      </c>
      <c r="R370" s="95">
        <f t="shared" si="132"/>
        <v>0</v>
      </c>
      <c r="S370" s="95">
        <v>0</v>
      </c>
      <c r="T370" s="99">
        <f t="shared" si="133"/>
        <v>0</v>
      </c>
      <c r="AR370" s="101" t="s">
        <v>218</v>
      </c>
      <c r="AT370" s="101" t="s">
        <v>214</v>
      </c>
      <c r="AU370" s="101" t="s">
        <v>87</v>
      </c>
      <c r="AY370" s="23" t="s">
        <v>211</v>
      </c>
      <c r="BE370" s="104">
        <f t="shared" si="134"/>
        <v>1200</v>
      </c>
      <c r="BF370" s="104">
        <f t="shared" si="135"/>
        <v>0</v>
      </c>
      <c r="BG370" s="104">
        <f t="shared" si="136"/>
        <v>0</v>
      </c>
      <c r="BH370" s="104">
        <f t="shared" si="137"/>
        <v>0</v>
      </c>
      <c r="BI370" s="104">
        <f t="shared" si="138"/>
        <v>0</v>
      </c>
      <c r="BJ370" s="23" t="s">
        <v>85</v>
      </c>
      <c r="BK370" s="104">
        <f t="shared" si="139"/>
        <v>1200</v>
      </c>
      <c r="BL370" s="23" t="s">
        <v>218</v>
      </c>
      <c r="BM370" s="101" t="s">
        <v>2230</v>
      </c>
    </row>
    <row r="371" spans="2:65" s="1" customFormat="1" ht="16.5" customHeight="1">
      <c r="B371" s="12"/>
      <c r="C371" s="71" t="s">
        <v>1496</v>
      </c>
      <c r="D371" s="71" t="s">
        <v>214</v>
      </c>
      <c r="E371" s="72" t="s">
        <v>4268</v>
      </c>
      <c r="F371" s="73" t="s">
        <v>4269</v>
      </c>
      <c r="G371" s="74" t="s">
        <v>808</v>
      </c>
      <c r="H371" s="75">
        <v>2</v>
      </c>
      <c r="I371" s="90">
        <v>2500</v>
      </c>
      <c r="J371" s="91">
        <f t="shared" si="130"/>
        <v>5000</v>
      </c>
      <c r="K371" s="92"/>
      <c r="L371" s="12"/>
      <c r="M371" s="93" t="s">
        <v>1</v>
      </c>
      <c r="N371" s="94" t="s">
        <v>42</v>
      </c>
      <c r="P371" s="95">
        <f t="shared" si="131"/>
        <v>0</v>
      </c>
      <c r="Q371" s="95">
        <v>0</v>
      </c>
      <c r="R371" s="95">
        <f t="shared" si="132"/>
        <v>0</v>
      </c>
      <c r="S371" s="95">
        <v>0</v>
      </c>
      <c r="T371" s="99">
        <f t="shared" si="133"/>
        <v>0</v>
      </c>
      <c r="AR371" s="101" t="s">
        <v>218</v>
      </c>
      <c r="AT371" s="101" t="s">
        <v>214</v>
      </c>
      <c r="AU371" s="101" t="s">
        <v>87</v>
      </c>
      <c r="AY371" s="23" t="s">
        <v>211</v>
      </c>
      <c r="BE371" s="104">
        <f t="shared" si="134"/>
        <v>5000</v>
      </c>
      <c r="BF371" s="104">
        <f t="shared" si="135"/>
        <v>0</v>
      </c>
      <c r="BG371" s="104">
        <f t="shared" si="136"/>
        <v>0</v>
      </c>
      <c r="BH371" s="104">
        <f t="shared" si="137"/>
        <v>0</v>
      </c>
      <c r="BI371" s="104">
        <f t="shared" si="138"/>
        <v>0</v>
      </c>
      <c r="BJ371" s="23" t="s">
        <v>85</v>
      </c>
      <c r="BK371" s="104">
        <f t="shared" si="139"/>
        <v>5000</v>
      </c>
      <c r="BL371" s="23" t="s">
        <v>218</v>
      </c>
      <c r="BM371" s="101" t="s">
        <v>2236</v>
      </c>
    </row>
    <row r="372" spans="2:65" s="1" customFormat="1" ht="16.5" customHeight="1">
      <c r="B372" s="12"/>
      <c r="C372" s="71" t="s">
        <v>1500</v>
      </c>
      <c r="D372" s="71" t="s">
        <v>214</v>
      </c>
      <c r="E372" s="72" t="s">
        <v>4270</v>
      </c>
      <c r="F372" s="73" t="s">
        <v>4271</v>
      </c>
      <c r="G372" s="74" t="s">
        <v>808</v>
      </c>
      <c r="H372" s="75">
        <v>4</v>
      </c>
      <c r="I372" s="90">
        <v>2700</v>
      </c>
      <c r="J372" s="91">
        <f t="shared" si="130"/>
        <v>10800</v>
      </c>
      <c r="K372" s="92"/>
      <c r="L372" s="12"/>
      <c r="M372" s="93" t="s">
        <v>1</v>
      </c>
      <c r="N372" s="94" t="s">
        <v>42</v>
      </c>
      <c r="P372" s="95">
        <f t="shared" si="131"/>
        <v>0</v>
      </c>
      <c r="Q372" s="95">
        <v>0</v>
      </c>
      <c r="R372" s="95">
        <f t="shared" si="132"/>
        <v>0</v>
      </c>
      <c r="S372" s="95">
        <v>0</v>
      </c>
      <c r="T372" s="99">
        <f t="shared" si="133"/>
        <v>0</v>
      </c>
      <c r="AR372" s="101" t="s">
        <v>218</v>
      </c>
      <c r="AT372" s="101" t="s">
        <v>214</v>
      </c>
      <c r="AU372" s="101" t="s">
        <v>87</v>
      </c>
      <c r="AY372" s="23" t="s">
        <v>211</v>
      </c>
      <c r="BE372" s="104">
        <f t="shared" si="134"/>
        <v>10800</v>
      </c>
      <c r="BF372" s="104">
        <f t="shared" si="135"/>
        <v>0</v>
      </c>
      <c r="BG372" s="104">
        <f t="shared" si="136"/>
        <v>0</v>
      </c>
      <c r="BH372" s="104">
        <f t="shared" si="137"/>
        <v>0</v>
      </c>
      <c r="BI372" s="104">
        <f t="shared" si="138"/>
        <v>0</v>
      </c>
      <c r="BJ372" s="23" t="s">
        <v>85</v>
      </c>
      <c r="BK372" s="104">
        <f t="shared" si="139"/>
        <v>10800</v>
      </c>
      <c r="BL372" s="23" t="s">
        <v>218</v>
      </c>
      <c r="BM372" s="101" t="s">
        <v>2242</v>
      </c>
    </row>
    <row r="373" spans="2:65" s="1" customFormat="1" ht="16.5" customHeight="1">
      <c r="B373" s="12"/>
      <c r="C373" s="71" t="s">
        <v>1505</v>
      </c>
      <c r="D373" s="71" t="s">
        <v>214</v>
      </c>
      <c r="E373" s="72" t="s">
        <v>4332</v>
      </c>
      <c r="F373" s="73" t="s">
        <v>4275</v>
      </c>
      <c r="G373" s="74" t="s">
        <v>808</v>
      </c>
      <c r="H373" s="75">
        <v>2</v>
      </c>
      <c r="I373" s="90">
        <v>300</v>
      </c>
      <c r="J373" s="91">
        <f t="shared" si="130"/>
        <v>600</v>
      </c>
      <c r="K373" s="92"/>
      <c r="L373" s="12"/>
      <c r="M373" s="93" t="s">
        <v>1</v>
      </c>
      <c r="N373" s="94" t="s">
        <v>42</v>
      </c>
      <c r="P373" s="95">
        <f t="shared" si="131"/>
        <v>0</v>
      </c>
      <c r="Q373" s="95">
        <v>0</v>
      </c>
      <c r="R373" s="95">
        <f t="shared" si="132"/>
        <v>0</v>
      </c>
      <c r="S373" s="95">
        <v>0</v>
      </c>
      <c r="T373" s="99">
        <f t="shared" si="133"/>
        <v>0</v>
      </c>
      <c r="AR373" s="101" t="s">
        <v>218</v>
      </c>
      <c r="AT373" s="101" t="s">
        <v>214</v>
      </c>
      <c r="AU373" s="101" t="s">
        <v>87</v>
      </c>
      <c r="AY373" s="23" t="s">
        <v>211</v>
      </c>
      <c r="BE373" s="104">
        <f t="shared" si="134"/>
        <v>600</v>
      </c>
      <c r="BF373" s="104">
        <f t="shared" si="135"/>
        <v>0</v>
      </c>
      <c r="BG373" s="104">
        <f t="shared" si="136"/>
        <v>0</v>
      </c>
      <c r="BH373" s="104">
        <f t="shared" si="137"/>
        <v>0</v>
      </c>
      <c r="BI373" s="104">
        <f t="shared" si="138"/>
        <v>0</v>
      </c>
      <c r="BJ373" s="23" t="s">
        <v>85</v>
      </c>
      <c r="BK373" s="104">
        <f t="shared" si="139"/>
        <v>600</v>
      </c>
      <c r="BL373" s="23" t="s">
        <v>218</v>
      </c>
      <c r="BM373" s="101" t="s">
        <v>2248</v>
      </c>
    </row>
    <row r="374" spans="2:65" s="1" customFormat="1" ht="24.15" customHeight="1">
      <c r="B374" s="12"/>
      <c r="C374" s="71" t="s">
        <v>1509</v>
      </c>
      <c r="D374" s="71" t="s">
        <v>214</v>
      </c>
      <c r="E374" s="72" t="s">
        <v>4427</v>
      </c>
      <c r="F374" s="73" t="s">
        <v>4277</v>
      </c>
      <c r="G374" s="74" t="s">
        <v>808</v>
      </c>
      <c r="H374" s="75">
        <v>1</v>
      </c>
      <c r="I374" s="90">
        <v>7000</v>
      </c>
      <c r="J374" s="91">
        <f t="shared" si="130"/>
        <v>7000</v>
      </c>
      <c r="K374" s="92"/>
      <c r="L374" s="12"/>
      <c r="M374" s="93" t="s">
        <v>1</v>
      </c>
      <c r="N374" s="94" t="s">
        <v>42</v>
      </c>
      <c r="P374" s="95">
        <f t="shared" si="131"/>
        <v>0</v>
      </c>
      <c r="Q374" s="95">
        <v>0</v>
      </c>
      <c r="R374" s="95">
        <f t="shared" si="132"/>
        <v>0</v>
      </c>
      <c r="S374" s="95">
        <v>0</v>
      </c>
      <c r="T374" s="99">
        <f t="shared" si="133"/>
        <v>0</v>
      </c>
      <c r="AR374" s="101" t="s">
        <v>218</v>
      </c>
      <c r="AT374" s="101" t="s">
        <v>214</v>
      </c>
      <c r="AU374" s="101" t="s">
        <v>87</v>
      </c>
      <c r="AY374" s="23" t="s">
        <v>211</v>
      </c>
      <c r="BE374" s="104">
        <f t="shared" si="134"/>
        <v>7000</v>
      </c>
      <c r="BF374" s="104">
        <f t="shared" si="135"/>
        <v>0</v>
      </c>
      <c r="BG374" s="104">
        <f t="shared" si="136"/>
        <v>0</v>
      </c>
      <c r="BH374" s="104">
        <f t="shared" si="137"/>
        <v>0</v>
      </c>
      <c r="BI374" s="104">
        <f t="shared" si="138"/>
        <v>0</v>
      </c>
      <c r="BJ374" s="23" t="s">
        <v>85</v>
      </c>
      <c r="BK374" s="104">
        <f t="shared" si="139"/>
        <v>7000</v>
      </c>
      <c r="BL374" s="23" t="s">
        <v>218</v>
      </c>
      <c r="BM374" s="101" t="s">
        <v>2254</v>
      </c>
    </row>
    <row r="375" spans="2:65" s="1" customFormat="1" ht="24.15" customHeight="1">
      <c r="B375" s="12"/>
      <c r="C375" s="71" t="s">
        <v>1512</v>
      </c>
      <c r="D375" s="71" t="s">
        <v>214</v>
      </c>
      <c r="E375" s="72" t="s">
        <v>4428</v>
      </c>
      <c r="F375" s="73" t="s">
        <v>4277</v>
      </c>
      <c r="G375" s="74" t="s">
        <v>808</v>
      </c>
      <c r="H375" s="75">
        <v>1</v>
      </c>
      <c r="I375" s="90">
        <v>7000</v>
      </c>
      <c r="J375" s="91">
        <f t="shared" si="130"/>
        <v>7000</v>
      </c>
      <c r="K375" s="92"/>
      <c r="L375" s="12"/>
      <c r="M375" s="93" t="s">
        <v>1</v>
      </c>
      <c r="N375" s="94" t="s">
        <v>42</v>
      </c>
      <c r="P375" s="95">
        <f t="shared" si="131"/>
        <v>0</v>
      </c>
      <c r="Q375" s="95">
        <v>0</v>
      </c>
      <c r="R375" s="95">
        <f t="shared" si="132"/>
        <v>0</v>
      </c>
      <c r="S375" s="95">
        <v>0</v>
      </c>
      <c r="T375" s="99">
        <f t="shared" si="133"/>
        <v>0</v>
      </c>
      <c r="AR375" s="101" t="s">
        <v>218</v>
      </c>
      <c r="AT375" s="101" t="s">
        <v>214</v>
      </c>
      <c r="AU375" s="101" t="s">
        <v>87</v>
      </c>
      <c r="AY375" s="23" t="s">
        <v>211</v>
      </c>
      <c r="BE375" s="104">
        <f t="shared" si="134"/>
        <v>7000</v>
      </c>
      <c r="BF375" s="104">
        <f t="shared" si="135"/>
        <v>0</v>
      </c>
      <c r="BG375" s="104">
        <f t="shared" si="136"/>
        <v>0</v>
      </c>
      <c r="BH375" s="104">
        <f t="shared" si="137"/>
        <v>0</v>
      </c>
      <c r="BI375" s="104">
        <f t="shared" si="138"/>
        <v>0</v>
      </c>
      <c r="BJ375" s="23" t="s">
        <v>85</v>
      </c>
      <c r="BK375" s="104">
        <f t="shared" si="139"/>
        <v>7000</v>
      </c>
      <c r="BL375" s="23" t="s">
        <v>218</v>
      </c>
      <c r="BM375" s="101" t="s">
        <v>2260</v>
      </c>
    </row>
    <row r="376" spans="2:65" s="1" customFormat="1" ht="24.15" customHeight="1">
      <c r="B376" s="12"/>
      <c r="C376" s="71" t="s">
        <v>1515</v>
      </c>
      <c r="D376" s="71" t="s">
        <v>214</v>
      </c>
      <c r="E376" s="72" t="s">
        <v>4429</v>
      </c>
      <c r="F376" s="73" t="s">
        <v>4277</v>
      </c>
      <c r="G376" s="74" t="s">
        <v>808</v>
      </c>
      <c r="H376" s="75">
        <v>1</v>
      </c>
      <c r="I376" s="90">
        <v>7000</v>
      </c>
      <c r="J376" s="91">
        <f t="shared" si="130"/>
        <v>7000</v>
      </c>
      <c r="K376" s="92"/>
      <c r="L376" s="12"/>
      <c r="M376" s="93" t="s">
        <v>1</v>
      </c>
      <c r="N376" s="94" t="s">
        <v>42</v>
      </c>
      <c r="P376" s="95">
        <f t="shared" si="131"/>
        <v>0</v>
      </c>
      <c r="Q376" s="95">
        <v>0</v>
      </c>
      <c r="R376" s="95">
        <f t="shared" si="132"/>
        <v>0</v>
      </c>
      <c r="S376" s="95">
        <v>0</v>
      </c>
      <c r="T376" s="99">
        <f t="shared" si="133"/>
        <v>0</v>
      </c>
      <c r="AR376" s="101" t="s">
        <v>218</v>
      </c>
      <c r="AT376" s="101" t="s">
        <v>214</v>
      </c>
      <c r="AU376" s="101" t="s">
        <v>87</v>
      </c>
      <c r="AY376" s="23" t="s">
        <v>211</v>
      </c>
      <c r="BE376" s="104">
        <f t="shared" si="134"/>
        <v>7000</v>
      </c>
      <c r="BF376" s="104">
        <f t="shared" si="135"/>
        <v>0</v>
      </c>
      <c r="BG376" s="104">
        <f t="shared" si="136"/>
        <v>0</v>
      </c>
      <c r="BH376" s="104">
        <f t="shared" si="137"/>
        <v>0</v>
      </c>
      <c r="BI376" s="104">
        <f t="shared" si="138"/>
        <v>0</v>
      </c>
      <c r="BJ376" s="23" t="s">
        <v>85</v>
      </c>
      <c r="BK376" s="104">
        <f t="shared" si="139"/>
        <v>7000</v>
      </c>
      <c r="BL376" s="23" t="s">
        <v>218</v>
      </c>
      <c r="BM376" s="101" t="s">
        <v>2267</v>
      </c>
    </row>
    <row r="377" spans="2:65" s="1" customFormat="1" ht="24.15" customHeight="1">
      <c r="B377" s="12"/>
      <c r="C377" s="71" t="s">
        <v>1520</v>
      </c>
      <c r="D377" s="71" t="s">
        <v>214</v>
      </c>
      <c r="E377" s="72" t="s">
        <v>4430</v>
      </c>
      <c r="F377" s="73" t="s">
        <v>4277</v>
      </c>
      <c r="G377" s="74" t="s">
        <v>808</v>
      </c>
      <c r="H377" s="75">
        <v>1</v>
      </c>
      <c r="I377" s="90">
        <v>7000</v>
      </c>
      <c r="J377" s="91">
        <f t="shared" si="130"/>
        <v>7000</v>
      </c>
      <c r="K377" s="92"/>
      <c r="L377" s="12"/>
      <c r="M377" s="93" t="s">
        <v>1</v>
      </c>
      <c r="N377" s="94" t="s">
        <v>42</v>
      </c>
      <c r="P377" s="95">
        <f t="shared" si="131"/>
        <v>0</v>
      </c>
      <c r="Q377" s="95">
        <v>0</v>
      </c>
      <c r="R377" s="95">
        <f t="shared" si="132"/>
        <v>0</v>
      </c>
      <c r="S377" s="95">
        <v>0</v>
      </c>
      <c r="T377" s="99">
        <f t="shared" si="133"/>
        <v>0</v>
      </c>
      <c r="AR377" s="101" t="s">
        <v>218</v>
      </c>
      <c r="AT377" s="101" t="s">
        <v>214</v>
      </c>
      <c r="AU377" s="101" t="s">
        <v>87</v>
      </c>
      <c r="AY377" s="23" t="s">
        <v>211</v>
      </c>
      <c r="BE377" s="104">
        <f t="shared" si="134"/>
        <v>7000</v>
      </c>
      <c r="BF377" s="104">
        <f t="shared" si="135"/>
        <v>0</v>
      </c>
      <c r="BG377" s="104">
        <f t="shared" si="136"/>
        <v>0</v>
      </c>
      <c r="BH377" s="104">
        <f t="shared" si="137"/>
        <v>0</v>
      </c>
      <c r="BI377" s="104">
        <f t="shared" si="138"/>
        <v>0</v>
      </c>
      <c r="BJ377" s="23" t="s">
        <v>85</v>
      </c>
      <c r="BK377" s="104">
        <f t="shared" si="139"/>
        <v>7000</v>
      </c>
      <c r="BL377" s="23" t="s">
        <v>218</v>
      </c>
      <c r="BM377" s="101" t="s">
        <v>2273</v>
      </c>
    </row>
    <row r="378" spans="2:65" s="1" customFormat="1" ht="16.5" customHeight="1">
      <c r="B378" s="12"/>
      <c r="C378" s="71" t="s">
        <v>1524</v>
      </c>
      <c r="D378" s="71" t="s">
        <v>214</v>
      </c>
      <c r="E378" s="72" t="s">
        <v>4280</v>
      </c>
      <c r="F378" s="73" t="s">
        <v>4281</v>
      </c>
      <c r="G378" s="74" t="s">
        <v>808</v>
      </c>
      <c r="H378" s="75">
        <v>4</v>
      </c>
      <c r="I378" s="90">
        <v>5900</v>
      </c>
      <c r="J378" s="91">
        <f t="shared" si="130"/>
        <v>23600</v>
      </c>
      <c r="K378" s="92"/>
      <c r="L378" s="12"/>
      <c r="M378" s="93" t="s">
        <v>1</v>
      </c>
      <c r="N378" s="94" t="s">
        <v>42</v>
      </c>
      <c r="P378" s="95">
        <f t="shared" si="131"/>
        <v>0</v>
      </c>
      <c r="Q378" s="95">
        <v>0</v>
      </c>
      <c r="R378" s="95">
        <f t="shared" si="132"/>
        <v>0</v>
      </c>
      <c r="S378" s="95">
        <v>0</v>
      </c>
      <c r="T378" s="99">
        <f t="shared" si="133"/>
        <v>0</v>
      </c>
      <c r="AR378" s="101" t="s">
        <v>218</v>
      </c>
      <c r="AT378" s="101" t="s">
        <v>214</v>
      </c>
      <c r="AU378" s="101" t="s">
        <v>87</v>
      </c>
      <c r="AY378" s="23" t="s">
        <v>211</v>
      </c>
      <c r="BE378" s="104">
        <f t="shared" si="134"/>
        <v>23600</v>
      </c>
      <c r="BF378" s="104">
        <f t="shared" si="135"/>
        <v>0</v>
      </c>
      <c r="BG378" s="104">
        <f t="shared" si="136"/>
        <v>0</v>
      </c>
      <c r="BH378" s="104">
        <f t="shared" si="137"/>
        <v>0</v>
      </c>
      <c r="BI378" s="104">
        <f t="shared" si="138"/>
        <v>0</v>
      </c>
      <c r="BJ378" s="23" t="s">
        <v>85</v>
      </c>
      <c r="BK378" s="104">
        <f t="shared" si="139"/>
        <v>23600</v>
      </c>
      <c r="BL378" s="23" t="s">
        <v>218</v>
      </c>
      <c r="BM378" s="101" t="s">
        <v>2279</v>
      </c>
    </row>
    <row r="379" spans="2:65" s="1" customFormat="1" ht="49.35" customHeight="1">
      <c r="B379" s="12"/>
      <c r="C379" s="71" t="s">
        <v>1528</v>
      </c>
      <c r="D379" s="71" t="s">
        <v>214</v>
      </c>
      <c r="E379" s="72" t="s">
        <v>4282</v>
      </c>
      <c r="F379" s="73" t="s">
        <v>4283</v>
      </c>
      <c r="G379" s="74" t="s">
        <v>431</v>
      </c>
      <c r="H379" s="75">
        <v>100</v>
      </c>
      <c r="I379" s="90">
        <v>330</v>
      </c>
      <c r="J379" s="91">
        <f t="shared" si="130"/>
        <v>33000</v>
      </c>
      <c r="K379" s="92"/>
      <c r="L379" s="12"/>
      <c r="M379" s="93" t="s">
        <v>1</v>
      </c>
      <c r="N379" s="94" t="s">
        <v>42</v>
      </c>
      <c r="P379" s="95">
        <f t="shared" si="131"/>
        <v>0</v>
      </c>
      <c r="Q379" s="95">
        <v>0</v>
      </c>
      <c r="R379" s="95">
        <f t="shared" si="132"/>
        <v>0</v>
      </c>
      <c r="S379" s="95">
        <v>0</v>
      </c>
      <c r="T379" s="99">
        <f t="shared" si="133"/>
        <v>0</v>
      </c>
      <c r="AR379" s="101" t="s">
        <v>218</v>
      </c>
      <c r="AT379" s="101" t="s">
        <v>214</v>
      </c>
      <c r="AU379" s="101" t="s">
        <v>87</v>
      </c>
      <c r="AY379" s="23" t="s">
        <v>211</v>
      </c>
      <c r="BE379" s="104">
        <f t="shared" si="134"/>
        <v>33000</v>
      </c>
      <c r="BF379" s="104">
        <f t="shared" si="135"/>
        <v>0</v>
      </c>
      <c r="BG379" s="104">
        <f t="shared" si="136"/>
        <v>0</v>
      </c>
      <c r="BH379" s="104">
        <f t="shared" si="137"/>
        <v>0</v>
      </c>
      <c r="BI379" s="104">
        <f t="shared" si="138"/>
        <v>0</v>
      </c>
      <c r="BJ379" s="23" t="s">
        <v>85</v>
      </c>
      <c r="BK379" s="104">
        <f t="shared" si="139"/>
        <v>33000</v>
      </c>
      <c r="BL379" s="23" t="s">
        <v>218</v>
      </c>
      <c r="BM379" s="101" t="s">
        <v>2285</v>
      </c>
    </row>
    <row r="380" spans="2:65" s="1" customFormat="1" ht="49.35" customHeight="1">
      <c r="B380" s="12"/>
      <c r="C380" s="71" t="s">
        <v>1532</v>
      </c>
      <c r="D380" s="71" t="s">
        <v>214</v>
      </c>
      <c r="E380" s="72" t="s">
        <v>4284</v>
      </c>
      <c r="F380" s="73" t="s">
        <v>4285</v>
      </c>
      <c r="G380" s="74" t="s">
        <v>431</v>
      </c>
      <c r="H380" s="75">
        <v>20</v>
      </c>
      <c r="I380" s="90">
        <v>250</v>
      </c>
      <c r="J380" s="91">
        <f t="shared" si="130"/>
        <v>5000</v>
      </c>
      <c r="K380" s="92"/>
      <c r="L380" s="12"/>
      <c r="M380" s="93" t="s">
        <v>1</v>
      </c>
      <c r="N380" s="94" t="s">
        <v>42</v>
      </c>
      <c r="P380" s="95">
        <f t="shared" si="131"/>
        <v>0</v>
      </c>
      <c r="Q380" s="95">
        <v>0</v>
      </c>
      <c r="R380" s="95">
        <f t="shared" si="132"/>
        <v>0</v>
      </c>
      <c r="S380" s="95">
        <v>0</v>
      </c>
      <c r="T380" s="99">
        <f t="shared" si="133"/>
        <v>0</v>
      </c>
      <c r="AR380" s="101" t="s">
        <v>218</v>
      </c>
      <c r="AT380" s="101" t="s">
        <v>214</v>
      </c>
      <c r="AU380" s="101" t="s">
        <v>87</v>
      </c>
      <c r="AY380" s="23" t="s">
        <v>211</v>
      </c>
      <c r="BE380" s="104">
        <f t="shared" si="134"/>
        <v>5000</v>
      </c>
      <c r="BF380" s="104">
        <f t="shared" si="135"/>
        <v>0</v>
      </c>
      <c r="BG380" s="104">
        <f t="shared" si="136"/>
        <v>0</v>
      </c>
      <c r="BH380" s="104">
        <f t="shared" si="137"/>
        <v>0</v>
      </c>
      <c r="BI380" s="104">
        <f t="shared" si="138"/>
        <v>0</v>
      </c>
      <c r="BJ380" s="23" t="s">
        <v>85</v>
      </c>
      <c r="BK380" s="104">
        <f t="shared" si="139"/>
        <v>5000</v>
      </c>
      <c r="BL380" s="23" t="s">
        <v>218</v>
      </c>
      <c r="BM380" s="101" t="s">
        <v>2291</v>
      </c>
    </row>
    <row r="381" spans="2:65" s="1" customFormat="1" ht="49.35" customHeight="1">
      <c r="B381" s="12"/>
      <c r="C381" s="71" t="s">
        <v>1536</v>
      </c>
      <c r="D381" s="71" t="s">
        <v>214</v>
      </c>
      <c r="E381" s="72" t="s">
        <v>4286</v>
      </c>
      <c r="F381" s="73" t="s">
        <v>4287</v>
      </c>
      <c r="G381" s="74" t="s">
        <v>431</v>
      </c>
      <c r="H381" s="75">
        <v>86</v>
      </c>
      <c r="I381" s="153">
        <v>200</v>
      </c>
      <c r="J381" s="91">
        <f t="shared" si="130"/>
        <v>17200</v>
      </c>
      <c r="K381" s="92"/>
      <c r="L381" s="12"/>
      <c r="M381" s="93" t="s">
        <v>1</v>
      </c>
      <c r="N381" s="94" t="s">
        <v>42</v>
      </c>
      <c r="P381" s="95">
        <f t="shared" si="131"/>
        <v>0</v>
      </c>
      <c r="Q381" s="95">
        <v>0</v>
      </c>
      <c r="R381" s="95">
        <f t="shared" si="132"/>
        <v>0</v>
      </c>
      <c r="S381" s="95">
        <v>0</v>
      </c>
      <c r="T381" s="99">
        <f t="shared" si="133"/>
        <v>0</v>
      </c>
      <c r="AR381" s="101" t="s">
        <v>218</v>
      </c>
      <c r="AT381" s="101" t="s">
        <v>214</v>
      </c>
      <c r="AU381" s="101" t="s">
        <v>87</v>
      </c>
      <c r="AY381" s="23" t="s">
        <v>211</v>
      </c>
      <c r="BE381" s="104">
        <f t="shared" si="134"/>
        <v>17200</v>
      </c>
      <c r="BF381" s="104">
        <f t="shared" si="135"/>
        <v>0</v>
      </c>
      <c r="BG381" s="104">
        <f t="shared" si="136"/>
        <v>0</v>
      </c>
      <c r="BH381" s="104">
        <f t="shared" si="137"/>
        <v>0</v>
      </c>
      <c r="BI381" s="104">
        <f t="shared" si="138"/>
        <v>0</v>
      </c>
      <c r="BJ381" s="23" t="s">
        <v>85</v>
      </c>
      <c r="BK381" s="104">
        <f t="shared" si="139"/>
        <v>17200</v>
      </c>
      <c r="BL381" s="23" t="s">
        <v>218</v>
      </c>
      <c r="BM381" s="101" t="s">
        <v>2297</v>
      </c>
    </row>
    <row r="382" spans="2:65" s="1" customFormat="1" ht="49.35" customHeight="1">
      <c r="B382" s="12"/>
      <c r="C382" s="71" t="s">
        <v>1540</v>
      </c>
      <c r="D382" s="71" t="s">
        <v>214</v>
      </c>
      <c r="E382" s="72" t="s">
        <v>4288</v>
      </c>
      <c r="F382" s="73" t="s">
        <v>4289</v>
      </c>
      <c r="G382" s="74" t="s">
        <v>431</v>
      </c>
      <c r="H382" s="75">
        <v>32</v>
      </c>
      <c r="I382" s="90">
        <v>170</v>
      </c>
      <c r="J382" s="91">
        <f t="shared" si="130"/>
        <v>5440</v>
      </c>
      <c r="K382" s="92"/>
      <c r="L382" s="12"/>
      <c r="M382" s="93" t="s">
        <v>1</v>
      </c>
      <c r="N382" s="94" t="s">
        <v>42</v>
      </c>
      <c r="P382" s="95">
        <f t="shared" si="131"/>
        <v>0</v>
      </c>
      <c r="Q382" s="95">
        <v>0</v>
      </c>
      <c r="R382" s="95">
        <f t="shared" si="132"/>
        <v>0</v>
      </c>
      <c r="S382" s="95">
        <v>0</v>
      </c>
      <c r="T382" s="99">
        <f t="shared" si="133"/>
        <v>0</v>
      </c>
      <c r="AR382" s="101" t="s">
        <v>218</v>
      </c>
      <c r="AT382" s="101" t="s">
        <v>214</v>
      </c>
      <c r="AU382" s="101" t="s">
        <v>87</v>
      </c>
      <c r="AY382" s="23" t="s">
        <v>211</v>
      </c>
      <c r="BE382" s="104">
        <f t="shared" si="134"/>
        <v>5440</v>
      </c>
      <c r="BF382" s="104">
        <f t="shared" si="135"/>
        <v>0</v>
      </c>
      <c r="BG382" s="104">
        <f t="shared" si="136"/>
        <v>0</v>
      </c>
      <c r="BH382" s="104">
        <f t="shared" si="137"/>
        <v>0</v>
      </c>
      <c r="BI382" s="104">
        <f t="shared" si="138"/>
        <v>0</v>
      </c>
      <c r="BJ382" s="23" t="s">
        <v>85</v>
      </c>
      <c r="BK382" s="104">
        <f t="shared" si="139"/>
        <v>5440</v>
      </c>
      <c r="BL382" s="23" t="s">
        <v>218</v>
      </c>
      <c r="BM382" s="101" t="s">
        <v>2304</v>
      </c>
    </row>
    <row r="383" spans="2:65" s="1" customFormat="1" ht="24.15" customHeight="1">
      <c r="B383" s="12"/>
      <c r="C383" s="71" t="s">
        <v>1544</v>
      </c>
      <c r="D383" s="71" t="s">
        <v>214</v>
      </c>
      <c r="E383" s="72" t="s">
        <v>4292</v>
      </c>
      <c r="F383" s="73" t="s">
        <v>4293</v>
      </c>
      <c r="G383" s="74" t="s">
        <v>279</v>
      </c>
      <c r="H383" s="75">
        <v>20</v>
      </c>
      <c r="I383" s="90">
        <v>500</v>
      </c>
      <c r="J383" s="91">
        <f t="shared" si="130"/>
        <v>10000</v>
      </c>
      <c r="K383" s="92"/>
      <c r="L383" s="12"/>
      <c r="M383" s="93" t="s">
        <v>1</v>
      </c>
      <c r="N383" s="94" t="s">
        <v>42</v>
      </c>
      <c r="P383" s="95">
        <f t="shared" si="131"/>
        <v>0</v>
      </c>
      <c r="Q383" s="95">
        <v>0</v>
      </c>
      <c r="R383" s="95">
        <f t="shared" si="132"/>
        <v>0</v>
      </c>
      <c r="S383" s="95">
        <v>0</v>
      </c>
      <c r="T383" s="99">
        <f t="shared" si="133"/>
        <v>0</v>
      </c>
      <c r="AR383" s="101" t="s">
        <v>218</v>
      </c>
      <c r="AT383" s="101" t="s">
        <v>214</v>
      </c>
      <c r="AU383" s="101" t="s">
        <v>87</v>
      </c>
      <c r="AY383" s="23" t="s">
        <v>211</v>
      </c>
      <c r="BE383" s="104">
        <f t="shared" si="134"/>
        <v>10000</v>
      </c>
      <c r="BF383" s="104">
        <f t="shared" si="135"/>
        <v>0</v>
      </c>
      <c r="BG383" s="104">
        <f t="shared" si="136"/>
        <v>0</v>
      </c>
      <c r="BH383" s="104">
        <f t="shared" si="137"/>
        <v>0</v>
      </c>
      <c r="BI383" s="104">
        <f t="shared" si="138"/>
        <v>0</v>
      </c>
      <c r="BJ383" s="23" t="s">
        <v>85</v>
      </c>
      <c r="BK383" s="104">
        <f t="shared" si="139"/>
        <v>10000</v>
      </c>
      <c r="BL383" s="23" t="s">
        <v>218</v>
      </c>
      <c r="BM383" s="101" t="s">
        <v>2310</v>
      </c>
    </row>
    <row r="384" spans="2:65" s="31" customFormat="1" ht="23.1" customHeight="1">
      <c r="B384" s="67"/>
      <c r="D384" s="68" t="s">
        <v>76</v>
      </c>
      <c r="E384" s="70" t="s">
        <v>4431</v>
      </c>
      <c r="F384" s="70" t="s">
        <v>4432</v>
      </c>
      <c r="I384" s="85"/>
      <c r="J384" s="89">
        <f>BK384</f>
        <v>24300</v>
      </c>
      <c r="L384" s="67"/>
      <c r="M384" s="87"/>
      <c r="P384" s="88">
        <f>SUM(P385:P391)</f>
        <v>0</v>
      </c>
      <c r="R384" s="88">
        <f>SUM(R385:R391)</f>
        <v>0</v>
      </c>
      <c r="T384" s="98">
        <f>SUM(T385:T391)</f>
        <v>0</v>
      </c>
      <c r="AR384" s="68" t="s">
        <v>85</v>
      </c>
      <c r="AT384" s="100" t="s">
        <v>76</v>
      </c>
      <c r="AU384" s="100" t="s">
        <v>85</v>
      </c>
      <c r="AY384" s="68" t="s">
        <v>211</v>
      </c>
      <c r="BK384" s="103">
        <f>SUM(BK385:BK391)</f>
        <v>24300</v>
      </c>
    </row>
    <row r="385" spans="2:65" s="1" customFormat="1" ht="38.1" customHeight="1">
      <c r="B385" s="12"/>
      <c r="C385" s="71" t="s">
        <v>1548</v>
      </c>
      <c r="D385" s="71" t="s">
        <v>214</v>
      </c>
      <c r="E385" s="72" t="s">
        <v>4433</v>
      </c>
      <c r="F385" s="73" t="s">
        <v>4434</v>
      </c>
      <c r="G385" s="74" t="s">
        <v>808</v>
      </c>
      <c r="H385" s="75">
        <v>1</v>
      </c>
      <c r="I385" s="90">
        <v>4000</v>
      </c>
      <c r="J385" s="91">
        <f t="shared" ref="J385:J391" si="140">ROUND(I385*H385,2)</f>
        <v>4000</v>
      </c>
      <c r="K385" s="92"/>
      <c r="L385" s="12"/>
      <c r="M385" s="93" t="s">
        <v>1</v>
      </c>
      <c r="N385" s="94" t="s">
        <v>42</v>
      </c>
      <c r="P385" s="95">
        <f t="shared" ref="P385:P391" si="141">O385*H385</f>
        <v>0</v>
      </c>
      <c r="Q385" s="95">
        <v>0</v>
      </c>
      <c r="R385" s="95">
        <f t="shared" ref="R385:R391" si="142">Q385*H385</f>
        <v>0</v>
      </c>
      <c r="S385" s="95">
        <v>0</v>
      </c>
      <c r="T385" s="99">
        <f t="shared" ref="T385:T391" si="143">S385*H385</f>
        <v>0</v>
      </c>
      <c r="AR385" s="101" t="s">
        <v>218</v>
      </c>
      <c r="AT385" s="101" t="s">
        <v>214</v>
      </c>
      <c r="AU385" s="101" t="s">
        <v>87</v>
      </c>
      <c r="AY385" s="23" t="s">
        <v>211</v>
      </c>
      <c r="BE385" s="104">
        <f t="shared" ref="BE385:BE391" si="144">IF(N385="základní",J385,0)</f>
        <v>4000</v>
      </c>
      <c r="BF385" s="104">
        <f t="shared" ref="BF385:BF391" si="145">IF(N385="snížená",J385,0)</f>
        <v>0</v>
      </c>
      <c r="BG385" s="104">
        <f t="shared" ref="BG385:BG391" si="146">IF(N385="zákl. přenesená",J385,0)</f>
        <v>0</v>
      </c>
      <c r="BH385" s="104">
        <f t="shared" ref="BH385:BH391" si="147">IF(N385="sníž. přenesená",J385,0)</f>
        <v>0</v>
      </c>
      <c r="BI385" s="104">
        <f t="shared" ref="BI385:BI391" si="148">IF(N385="nulová",J385,0)</f>
        <v>0</v>
      </c>
      <c r="BJ385" s="23" t="s">
        <v>85</v>
      </c>
      <c r="BK385" s="104">
        <f t="shared" ref="BK385:BK391" si="149">ROUND(I385*H385,2)</f>
        <v>4000</v>
      </c>
      <c r="BL385" s="23" t="s">
        <v>218</v>
      </c>
      <c r="BM385" s="101" t="s">
        <v>2317</v>
      </c>
    </row>
    <row r="386" spans="2:65" s="1" customFormat="1" ht="16.5" customHeight="1">
      <c r="B386" s="12"/>
      <c r="C386" s="71" t="s">
        <v>1552</v>
      </c>
      <c r="D386" s="71" t="s">
        <v>214</v>
      </c>
      <c r="E386" s="72" t="s">
        <v>4435</v>
      </c>
      <c r="F386" s="73" t="s">
        <v>4436</v>
      </c>
      <c r="G386" s="74" t="s">
        <v>808</v>
      </c>
      <c r="H386" s="75">
        <v>5</v>
      </c>
      <c r="I386" s="90">
        <v>400</v>
      </c>
      <c r="J386" s="91">
        <f t="shared" si="140"/>
        <v>2000</v>
      </c>
      <c r="K386" s="92"/>
      <c r="L386" s="12"/>
      <c r="M386" s="93" t="s">
        <v>1</v>
      </c>
      <c r="N386" s="94" t="s">
        <v>42</v>
      </c>
      <c r="P386" s="95">
        <f t="shared" si="141"/>
        <v>0</v>
      </c>
      <c r="Q386" s="95">
        <v>0</v>
      </c>
      <c r="R386" s="95">
        <f t="shared" si="142"/>
        <v>0</v>
      </c>
      <c r="S386" s="95">
        <v>0</v>
      </c>
      <c r="T386" s="99">
        <f t="shared" si="143"/>
        <v>0</v>
      </c>
      <c r="AR386" s="101" t="s">
        <v>218</v>
      </c>
      <c r="AT386" s="101" t="s">
        <v>214</v>
      </c>
      <c r="AU386" s="101" t="s">
        <v>87</v>
      </c>
      <c r="AY386" s="23" t="s">
        <v>211</v>
      </c>
      <c r="BE386" s="104">
        <f t="shared" si="144"/>
        <v>2000</v>
      </c>
      <c r="BF386" s="104">
        <f t="shared" si="145"/>
        <v>0</v>
      </c>
      <c r="BG386" s="104">
        <f t="shared" si="146"/>
        <v>0</v>
      </c>
      <c r="BH386" s="104">
        <f t="shared" si="147"/>
        <v>0</v>
      </c>
      <c r="BI386" s="104">
        <f t="shared" si="148"/>
        <v>0</v>
      </c>
      <c r="BJ386" s="23" t="s">
        <v>85</v>
      </c>
      <c r="BK386" s="104">
        <f t="shared" si="149"/>
        <v>2000</v>
      </c>
      <c r="BL386" s="23" t="s">
        <v>218</v>
      </c>
      <c r="BM386" s="101" t="s">
        <v>2323</v>
      </c>
    </row>
    <row r="387" spans="2:65" s="1" customFormat="1" ht="16.5" customHeight="1">
      <c r="B387" s="12"/>
      <c r="C387" s="71" t="s">
        <v>1556</v>
      </c>
      <c r="D387" s="71" t="s">
        <v>214</v>
      </c>
      <c r="E387" s="72" t="s">
        <v>4437</v>
      </c>
      <c r="F387" s="73" t="s">
        <v>4438</v>
      </c>
      <c r="G387" s="74" t="s">
        <v>808</v>
      </c>
      <c r="H387" s="75">
        <v>3</v>
      </c>
      <c r="I387" s="90">
        <v>200</v>
      </c>
      <c r="J387" s="91">
        <f t="shared" si="140"/>
        <v>600</v>
      </c>
      <c r="K387" s="92"/>
      <c r="L387" s="12"/>
      <c r="M387" s="93" t="s">
        <v>1</v>
      </c>
      <c r="N387" s="94" t="s">
        <v>42</v>
      </c>
      <c r="P387" s="95">
        <f t="shared" si="141"/>
        <v>0</v>
      </c>
      <c r="Q387" s="95">
        <v>0</v>
      </c>
      <c r="R387" s="95">
        <f t="shared" si="142"/>
        <v>0</v>
      </c>
      <c r="S387" s="95">
        <v>0</v>
      </c>
      <c r="T387" s="99">
        <f t="shared" si="143"/>
        <v>0</v>
      </c>
      <c r="AR387" s="101" t="s">
        <v>218</v>
      </c>
      <c r="AT387" s="101" t="s">
        <v>214</v>
      </c>
      <c r="AU387" s="101" t="s">
        <v>87</v>
      </c>
      <c r="AY387" s="23" t="s">
        <v>211</v>
      </c>
      <c r="BE387" s="104">
        <f t="shared" si="144"/>
        <v>600</v>
      </c>
      <c r="BF387" s="104">
        <f t="shared" si="145"/>
        <v>0</v>
      </c>
      <c r="BG387" s="104">
        <f t="shared" si="146"/>
        <v>0</v>
      </c>
      <c r="BH387" s="104">
        <f t="shared" si="147"/>
        <v>0</v>
      </c>
      <c r="BI387" s="104">
        <f t="shared" si="148"/>
        <v>0</v>
      </c>
      <c r="BJ387" s="23" t="s">
        <v>85</v>
      </c>
      <c r="BK387" s="104">
        <f t="shared" si="149"/>
        <v>600</v>
      </c>
      <c r="BL387" s="23" t="s">
        <v>218</v>
      </c>
      <c r="BM387" s="101" t="s">
        <v>2329</v>
      </c>
    </row>
    <row r="388" spans="2:65" s="1" customFormat="1" ht="16.5" customHeight="1">
      <c r="B388" s="12"/>
      <c r="C388" s="71" t="s">
        <v>1560</v>
      </c>
      <c r="D388" s="71" t="s">
        <v>214</v>
      </c>
      <c r="E388" s="72" t="s">
        <v>4439</v>
      </c>
      <c r="F388" s="73" t="s">
        <v>4440</v>
      </c>
      <c r="G388" s="74" t="s">
        <v>808</v>
      </c>
      <c r="H388" s="75">
        <v>1</v>
      </c>
      <c r="I388" s="90">
        <v>200</v>
      </c>
      <c r="J388" s="91">
        <f t="shared" si="140"/>
        <v>200</v>
      </c>
      <c r="K388" s="92"/>
      <c r="L388" s="12"/>
      <c r="M388" s="93" t="s">
        <v>1</v>
      </c>
      <c r="N388" s="94" t="s">
        <v>42</v>
      </c>
      <c r="P388" s="95">
        <f t="shared" si="141"/>
        <v>0</v>
      </c>
      <c r="Q388" s="95">
        <v>0</v>
      </c>
      <c r="R388" s="95">
        <f t="shared" si="142"/>
        <v>0</v>
      </c>
      <c r="S388" s="95">
        <v>0</v>
      </c>
      <c r="T388" s="99">
        <f t="shared" si="143"/>
        <v>0</v>
      </c>
      <c r="AR388" s="101" t="s">
        <v>218</v>
      </c>
      <c r="AT388" s="101" t="s">
        <v>214</v>
      </c>
      <c r="AU388" s="101" t="s">
        <v>87</v>
      </c>
      <c r="AY388" s="23" t="s">
        <v>211</v>
      </c>
      <c r="BE388" s="104">
        <f t="shared" si="144"/>
        <v>200</v>
      </c>
      <c r="BF388" s="104">
        <f t="shared" si="145"/>
        <v>0</v>
      </c>
      <c r="BG388" s="104">
        <f t="shared" si="146"/>
        <v>0</v>
      </c>
      <c r="BH388" s="104">
        <f t="shared" si="147"/>
        <v>0</v>
      </c>
      <c r="BI388" s="104">
        <f t="shared" si="148"/>
        <v>0</v>
      </c>
      <c r="BJ388" s="23" t="s">
        <v>85</v>
      </c>
      <c r="BK388" s="104">
        <f t="shared" si="149"/>
        <v>200</v>
      </c>
      <c r="BL388" s="23" t="s">
        <v>218</v>
      </c>
      <c r="BM388" s="101" t="s">
        <v>2335</v>
      </c>
    </row>
    <row r="389" spans="2:65" s="1" customFormat="1" ht="16.5" customHeight="1">
      <c r="B389" s="12"/>
      <c r="C389" s="71" t="s">
        <v>1564</v>
      </c>
      <c r="D389" s="71" t="s">
        <v>214</v>
      </c>
      <c r="E389" s="72" t="s">
        <v>4441</v>
      </c>
      <c r="F389" s="73" t="s">
        <v>4442</v>
      </c>
      <c r="G389" s="74" t="s">
        <v>808</v>
      </c>
      <c r="H389" s="75">
        <v>2</v>
      </c>
      <c r="I389" s="90">
        <v>2000</v>
      </c>
      <c r="J389" s="91">
        <f t="shared" si="140"/>
        <v>4000</v>
      </c>
      <c r="K389" s="92"/>
      <c r="L389" s="12"/>
      <c r="M389" s="93" t="s">
        <v>1</v>
      </c>
      <c r="N389" s="94" t="s">
        <v>42</v>
      </c>
      <c r="P389" s="95">
        <f t="shared" si="141"/>
        <v>0</v>
      </c>
      <c r="Q389" s="95">
        <v>0</v>
      </c>
      <c r="R389" s="95">
        <f t="shared" si="142"/>
        <v>0</v>
      </c>
      <c r="S389" s="95">
        <v>0</v>
      </c>
      <c r="T389" s="99">
        <f t="shared" si="143"/>
        <v>0</v>
      </c>
      <c r="AR389" s="101" t="s">
        <v>218</v>
      </c>
      <c r="AT389" s="101" t="s">
        <v>214</v>
      </c>
      <c r="AU389" s="101" t="s">
        <v>87</v>
      </c>
      <c r="AY389" s="23" t="s">
        <v>211</v>
      </c>
      <c r="BE389" s="104">
        <f t="shared" si="144"/>
        <v>4000</v>
      </c>
      <c r="BF389" s="104">
        <f t="shared" si="145"/>
        <v>0</v>
      </c>
      <c r="BG389" s="104">
        <f t="shared" si="146"/>
        <v>0</v>
      </c>
      <c r="BH389" s="104">
        <f t="shared" si="147"/>
        <v>0</v>
      </c>
      <c r="BI389" s="104">
        <f t="shared" si="148"/>
        <v>0</v>
      </c>
      <c r="BJ389" s="23" t="s">
        <v>85</v>
      </c>
      <c r="BK389" s="104">
        <f t="shared" si="149"/>
        <v>4000</v>
      </c>
      <c r="BL389" s="23" t="s">
        <v>218</v>
      </c>
      <c r="BM389" s="101" t="s">
        <v>2341</v>
      </c>
    </row>
    <row r="390" spans="2:65" s="1" customFormat="1" ht="49.35" customHeight="1">
      <c r="B390" s="12"/>
      <c r="C390" s="71" t="s">
        <v>1568</v>
      </c>
      <c r="D390" s="71" t="s">
        <v>214</v>
      </c>
      <c r="E390" s="72" t="s">
        <v>4286</v>
      </c>
      <c r="F390" s="73" t="s">
        <v>4287</v>
      </c>
      <c r="G390" s="74" t="s">
        <v>431</v>
      </c>
      <c r="H390" s="75">
        <v>55</v>
      </c>
      <c r="I390" s="153">
        <v>200</v>
      </c>
      <c r="J390" s="91">
        <f t="shared" si="140"/>
        <v>11000</v>
      </c>
      <c r="K390" s="92"/>
      <c r="L390" s="12"/>
      <c r="M390" s="93" t="s">
        <v>1</v>
      </c>
      <c r="N390" s="94" t="s">
        <v>42</v>
      </c>
      <c r="P390" s="95">
        <f t="shared" si="141"/>
        <v>0</v>
      </c>
      <c r="Q390" s="95">
        <v>0</v>
      </c>
      <c r="R390" s="95">
        <f t="shared" si="142"/>
        <v>0</v>
      </c>
      <c r="S390" s="95">
        <v>0</v>
      </c>
      <c r="T390" s="99">
        <f t="shared" si="143"/>
        <v>0</v>
      </c>
      <c r="AR390" s="101" t="s">
        <v>218</v>
      </c>
      <c r="AT390" s="101" t="s">
        <v>214</v>
      </c>
      <c r="AU390" s="101" t="s">
        <v>87</v>
      </c>
      <c r="AY390" s="23" t="s">
        <v>211</v>
      </c>
      <c r="BE390" s="104">
        <f t="shared" si="144"/>
        <v>11000</v>
      </c>
      <c r="BF390" s="104">
        <f t="shared" si="145"/>
        <v>0</v>
      </c>
      <c r="BG390" s="104">
        <f t="shared" si="146"/>
        <v>0</v>
      </c>
      <c r="BH390" s="104">
        <f t="shared" si="147"/>
        <v>0</v>
      </c>
      <c r="BI390" s="104">
        <f t="shared" si="148"/>
        <v>0</v>
      </c>
      <c r="BJ390" s="23" t="s">
        <v>85</v>
      </c>
      <c r="BK390" s="104">
        <f t="shared" si="149"/>
        <v>11000</v>
      </c>
      <c r="BL390" s="23" t="s">
        <v>218</v>
      </c>
      <c r="BM390" s="101" t="s">
        <v>2347</v>
      </c>
    </row>
    <row r="391" spans="2:65" s="1" customFormat="1" ht="24.15" customHeight="1">
      <c r="B391" s="12"/>
      <c r="C391" s="71" t="s">
        <v>1572</v>
      </c>
      <c r="D391" s="71" t="s">
        <v>214</v>
      </c>
      <c r="E391" s="72" t="s">
        <v>4292</v>
      </c>
      <c r="F391" s="73" t="s">
        <v>4293</v>
      </c>
      <c r="G391" s="74" t="s">
        <v>279</v>
      </c>
      <c r="H391" s="75">
        <v>5</v>
      </c>
      <c r="I391" s="90">
        <v>500</v>
      </c>
      <c r="J391" s="91">
        <f t="shared" si="140"/>
        <v>2500</v>
      </c>
      <c r="K391" s="92"/>
      <c r="L391" s="12"/>
      <c r="M391" s="93" t="s">
        <v>1</v>
      </c>
      <c r="N391" s="94" t="s">
        <v>42</v>
      </c>
      <c r="P391" s="95">
        <f t="shared" si="141"/>
        <v>0</v>
      </c>
      <c r="Q391" s="95">
        <v>0</v>
      </c>
      <c r="R391" s="95">
        <f t="shared" si="142"/>
        <v>0</v>
      </c>
      <c r="S391" s="95">
        <v>0</v>
      </c>
      <c r="T391" s="99">
        <f t="shared" si="143"/>
        <v>0</v>
      </c>
      <c r="AR391" s="101" t="s">
        <v>218</v>
      </c>
      <c r="AT391" s="101" t="s">
        <v>214</v>
      </c>
      <c r="AU391" s="101" t="s">
        <v>87</v>
      </c>
      <c r="AY391" s="23" t="s">
        <v>211</v>
      </c>
      <c r="BE391" s="104">
        <f t="shared" si="144"/>
        <v>2500</v>
      </c>
      <c r="BF391" s="104">
        <f t="shared" si="145"/>
        <v>0</v>
      </c>
      <c r="BG391" s="104">
        <f t="shared" si="146"/>
        <v>0</v>
      </c>
      <c r="BH391" s="104">
        <f t="shared" si="147"/>
        <v>0</v>
      </c>
      <c r="BI391" s="104">
        <f t="shared" si="148"/>
        <v>0</v>
      </c>
      <c r="BJ391" s="23" t="s">
        <v>85</v>
      </c>
      <c r="BK391" s="104">
        <f t="shared" si="149"/>
        <v>2500</v>
      </c>
      <c r="BL391" s="23" t="s">
        <v>218</v>
      </c>
      <c r="BM391" s="101" t="s">
        <v>2353</v>
      </c>
    </row>
    <row r="392" spans="2:65" s="31" customFormat="1" ht="23.1" customHeight="1">
      <c r="B392" s="67"/>
      <c r="D392" s="68" t="s">
        <v>76</v>
      </c>
      <c r="E392" s="70" t="s">
        <v>4443</v>
      </c>
      <c r="F392" s="70" t="s">
        <v>4444</v>
      </c>
      <c r="I392" s="85"/>
      <c r="J392" s="89">
        <f>BK392</f>
        <v>420930</v>
      </c>
      <c r="L392" s="67"/>
      <c r="M392" s="87"/>
      <c r="P392" s="88">
        <f>SUM(P393:P405)</f>
        <v>0</v>
      </c>
      <c r="R392" s="88">
        <f>SUM(R393:R405)</f>
        <v>0</v>
      </c>
      <c r="T392" s="98">
        <f>SUM(T393:T405)</f>
        <v>0</v>
      </c>
      <c r="AR392" s="68" t="s">
        <v>85</v>
      </c>
      <c r="AT392" s="100" t="s">
        <v>76</v>
      </c>
      <c r="AU392" s="100" t="s">
        <v>85</v>
      </c>
      <c r="AY392" s="68" t="s">
        <v>211</v>
      </c>
      <c r="BK392" s="103">
        <f>SUM(BK393:BK405)</f>
        <v>420930</v>
      </c>
    </row>
    <row r="393" spans="2:65" s="1" customFormat="1" ht="16.5" customHeight="1">
      <c r="B393" s="12"/>
      <c r="C393" s="71" t="s">
        <v>1576</v>
      </c>
      <c r="D393" s="71" t="s">
        <v>214</v>
      </c>
      <c r="E393" s="72" t="s">
        <v>4445</v>
      </c>
      <c r="F393" s="73" t="s">
        <v>4296</v>
      </c>
      <c r="G393" s="74" t="s">
        <v>808</v>
      </c>
      <c r="H393" s="75">
        <v>6</v>
      </c>
      <c r="I393" s="90">
        <v>53000</v>
      </c>
      <c r="J393" s="91">
        <f>ROUND(I393*H393,2)</f>
        <v>318000</v>
      </c>
      <c r="K393" s="92"/>
      <c r="L393" s="12"/>
      <c r="M393" s="93" t="s">
        <v>1</v>
      </c>
      <c r="N393" s="94" t="s">
        <v>42</v>
      </c>
      <c r="P393" s="95">
        <f>O393*H393</f>
        <v>0</v>
      </c>
      <c r="Q393" s="95">
        <v>0</v>
      </c>
      <c r="R393" s="95">
        <f>Q393*H393</f>
        <v>0</v>
      </c>
      <c r="S393" s="95">
        <v>0</v>
      </c>
      <c r="T393" s="99">
        <f>S393*H393</f>
        <v>0</v>
      </c>
      <c r="AR393" s="101" t="s">
        <v>218</v>
      </c>
      <c r="AT393" s="101" t="s">
        <v>214</v>
      </c>
      <c r="AU393" s="101" t="s">
        <v>87</v>
      </c>
      <c r="AY393" s="23" t="s">
        <v>211</v>
      </c>
      <c r="BE393" s="104">
        <f>IF(N393="základní",J393,0)</f>
        <v>318000</v>
      </c>
      <c r="BF393" s="104">
        <f>IF(N393="snížená",J393,0)</f>
        <v>0</v>
      </c>
      <c r="BG393" s="104">
        <f>IF(N393="zákl. přenesená",J393,0)</f>
        <v>0</v>
      </c>
      <c r="BH393" s="104">
        <f>IF(N393="sníž. přenesená",J393,0)</f>
        <v>0</v>
      </c>
      <c r="BI393" s="104">
        <f>IF(N393="nulová",J393,0)</f>
        <v>0</v>
      </c>
      <c r="BJ393" s="23" t="s">
        <v>85</v>
      </c>
      <c r="BK393" s="104">
        <f>ROUND(I393*H393,2)</f>
        <v>318000</v>
      </c>
      <c r="BL393" s="23" t="s">
        <v>218</v>
      </c>
      <c r="BM393" s="101" t="s">
        <v>2359</v>
      </c>
    </row>
    <row r="394" spans="2:65" s="1" customFormat="1" ht="76.8">
      <c r="B394" s="12"/>
      <c r="D394" s="105" t="s">
        <v>227</v>
      </c>
      <c r="F394" s="106" t="s">
        <v>4386</v>
      </c>
      <c r="I394" s="107"/>
      <c r="L394" s="12"/>
      <c r="M394" s="108"/>
      <c r="T394" s="111"/>
      <c r="AT394" s="23" t="s">
        <v>227</v>
      </c>
      <c r="AU394" s="23" t="s">
        <v>87</v>
      </c>
    </row>
    <row r="395" spans="2:65" s="1" customFormat="1" ht="16.5" customHeight="1">
      <c r="B395" s="12"/>
      <c r="C395" s="71" t="s">
        <v>1580</v>
      </c>
      <c r="D395" s="71" t="s">
        <v>214</v>
      </c>
      <c r="E395" s="72" t="s">
        <v>4298</v>
      </c>
      <c r="F395" s="73" t="s">
        <v>4299</v>
      </c>
      <c r="G395" s="74" t="s">
        <v>808</v>
      </c>
      <c r="H395" s="75">
        <v>24</v>
      </c>
      <c r="I395" s="90">
        <v>1760</v>
      </c>
      <c r="J395" s="91">
        <f t="shared" ref="J395:J405" si="150">ROUND(I395*H395,2)</f>
        <v>42240</v>
      </c>
      <c r="K395" s="92"/>
      <c r="L395" s="12"/>
      <c r="M395" s="93" t="s">
        <v>1</v>
      </c>
      <c r="N395" s="94" t="s">
        <v>42</v>
      </c>
      <c r="P395" s="95">
        <f t="shared" ref="P395:P405" si="151">O395*H395</f>
        <v>0</v>
      </c>
      <c r="Q395" s="95">
        <v>0</v>
      </c>
      <c r="R395" s="95">
        <f t="shared" ref="R395:R405" si="152">Q395*H395</f>
        <v>0</v>
      </c>
      <c r="S395" s="95">
        <v>0</v>
      </c>
      <c r="T395" s="99">
        <f t="shared" ref="T395:T405" si="153">S395*H395</f>
        <v>0</v>
      </c>
      <c r="AR395" s="101" t="s">
        <v>218</v>
      </c>
      <c r="AT395" s="101" t="s">
        <v>214</v>
      </c>
      <c r="AU395" s="101" t="s">
        <v>87</v>
      </c>
      <c r="AY395" s="23" t="s">
        <v>211</v>
      </c>
      <c r="BE395" s="104">
        <f t="shared" ref="BE395:BE405" si="154">IF(N395="základní",J395,0)</f>
        <v>42240</v>
      </c>
      <c r="BF395" s="104">
        <f t="shared" ref="BF395:BF405" si="155">IF(N395="snížená",J395,0)</f>
        <v>0</v>
      </c>
      <c r="BG395" s="104">
        <f t="shared" ref="BG395:BG405" si="156">IF(N395="zákl. přenesená",J395,0)</f>
        <v>0</v>
      </c>
      <c r="BH395" s="104">
        <f t="shared" ref="BH395:BH405" si="157">IF(N395="sníž. přenesená",J395,0)</f>
        <v>0</v>
      </c>
      <c r="BI395" s="104">
        <f t="shared" ref="BI395:BI405" si="158">IF(N395="nulová",J395,0)</f>
        <v>0</v>
      </c>
      <c r="BJ395" s="23" t="s">
        <v>85</v>
      </c>
      <c r="BK395" s="104">
        <f t="shared" ref="BK395:BK405" si="159">ROUND(I395*H395,2)</f>
        <v>42240</v>
      </c>
      <c r="BL395" s="23" t="s">
        <v>218</v>
      </c>
      <c r="BM395" s="101" t="s">
        <v>2365</v>
      </c>
    </row>
    <row r="396" spans="2:65" s="1" customFormat="1" ht="16.5" customHeight="1">
      <c r="B396" s="12"/>
      <c r="C396" s="71" t="s">
        <v>1584</v>
      </c>
      <c r="D396" s="71" t="s">
        <v>214</v>
      </c>
      <c r="E396" s="72" t="s">
        <v>4300</v>
      </c>
      <c r="F396" s="73" t="s">
        <v>4261</v>
      </c>
      <c r="G396" s="74" t="s">
        <v>808</v>
      </c>
      <c r="H396" s="75">
        <v>12</v>
      </c>
      <c r="I396" s="90">
        <v>120</v>
      </c>
      <c r="J396" s="91">
        <f t="shared" si="150"/>
        <v>1440</v>
      </c>
      <c r="K396" s="92"/>
      <c r="L396" s="12"/>
      <c r="M396" s="93" t="s">
        <v>1</v>
      </c>
      <c r="N396" s="94" t="s">
        <v>42</v>
      </c>
      <c r="P396" s="95">
        <f t="shared" si="151"/>
        <v>0</v>
      </c>
      <c r="Q396" s="95">
        <v>0</v>
      </c>
      <c r="R396" s="95">
        <f t="shared" si="152"/>
        <v>0</v>
      </c>
      <c r="S396" s="95">
        <v>0</v>
      </c>
      <c r="T396" s="99">
        <f t="shared" si="153"/>
        <v>0</v>
      </c>
      <c r="AR396" s="101" t="s">
        <v>218</v>
      </c>
      <c r="AT396" s="101" t="s">
        <v>214</v>
      </c>
      <c r="AU396" s="101" t="s">
        <v>87</v>
      </c>
      <c r="AY396" s="23" t="s">
        <v>211</v>
      </c>
      <c r="BE396" s="104">
        <f t="shared" si="154"/>
        <v>1440</v>
      </c>
      <c r="BF396" s="104">
        <f t="shared" si="155"/>
        <v>0</v>
      </c>
      <c r="BG396" s="104">
        <f t="shared" si="156"/>
        <v>0</v>
      </c>
      <c r="BH396" s="104">
        <f t="shared" si="157"/>
        <v>0</v>
      </c>
      <c r="BI396" s="104">
        <f t="shared" si="158"/>
        <v>0</v>
      </c>
      <c r="BJ396" s="23" t="s">
        <v>85</v>
      </c>
      <c r="BK396" s="104">
        <f t="shared" si="159"/>
        <v>1440</v>
      </c>
      <c r="BL396" s="23" t="s">
        <v>218</v>
      </c>
      <c r="BM396" s="101" t="s">
        <v>2371</v>
      </c>
    </row>
    <row r="397" spans="2:65" s="1" customFormat="1" ht="16.5" customHeight="1">
      <c r="B397" s="12"/>
      <c r="C397" s="71" t="s">
        <v>1588</v>
      </c>
      <c r="D397" s="71" t="s">
        <v>214</v>
      </c>
      <c r="E397" s="72" t="s">
        <v>4301</v>
      </c>
      <c r="F397" s="73" t="s">
        <v>4302</v>
      </c>
      <c r="G397" s="74" t="s">
        <v>808</v>
      </c>
      <c r="H397" s="75">
        <v>2</v>
      </c>
      <c r="I397" s="90">
        <v>200</v>
      </c>
      <c r="J397" s="91">
        <f t="shared" si="150"/>
        <v>400</v>
      </c>
      <c r="K397" s="92"/>
      <c r="L397" s="12"/>
      <c r="M397" s="93" t="s">
        <v>1</v>
      </c>
      <c r="N397" s="94" t="s">
        <v>42</v>
      </c>
      <c r="P397" s="95">
        <f t="shared" si="151"/>
        <v>0</v>
      </c>
      <c r="Q397" s="95">
        <v>0</v>
      </c>
      <c r="R397" s="95">
        <f t="shared" si="152"/>
        <v>0</v>
      </c>
      <c r="S397" s="95">
        <v>0</v>
      </c>
      <c r="T397" s="99">
        <f t="shared" si="153"/>
        <v>0</v>
      </c>
      <c r="AR397" s="101" t="s">
        <v>218</v>
      </c>
      <c r="AT397" s="101" t="s">
        <v>214</v>
      </c>
      <c r="AU397" s="101" t="s">
        <v>87</v>
      </c>
      <c r="AY397" s="23" t="s">
        <v>211</v>
      </c>
      <c r="BE397" s="104">
        <f t="shared" si="154"/>
        <v>400</v>
      </c>
      <c r="BF397" s="104">
        <f t="shared" si="155"/>
        <v>0</v>
      </c>
      <c r="BG397" s="104">
        <f t="shared" si="156"/>
        <v>0</v>
      </c>
      <c r="BH397" s="104">
        <f t="shared" si="157"/>
        <v>0</v>
      </c>
      <c r="BI397" s="104">
        <f t="shared" si="158"/>
        <v>0</v>
      </c>
      <c r="BJ397" s="23" t="s">
        <v>85</v>
      </c>
      <c r="BK397" s="104">
        <f t="shared" si="159"/>
        <v>400</v>
      </c>
      <c r="BL397" s="23" t="s">
        <v>218</v>
      </c>
      <c r="BM397" s="101" t="s">
        <v>2377</v>
      </c>
    </row>
    <row r="398" spans="2:65" s="1" customFormat="1" ht="16.5" customHeight="1">
      <c r="B398" s="12"/>
      <c r="C398" s="71" t="s">
        <v>1592</v>
      </c>
      <c r="D398" s="71" t="s">
        <v>214</v>
      </c>
      <c r="E398" s="72" t="s">
        <v>4332</v>
      </c>
      <c r="F398" s="73" t="s">
        <v>4275</v>
      </c>
      <c r="G398" s="74" t="s">
        <v>808</v>
      </c>
      <c r="H398" s="75">
        <v>6</v>
      </c>
      <c r="I398" s="90">
        <v>300</v>
      </c>
      <c r="J398" s="91">
        <f t="shared" si="150"/>
        <v>1800</v>
      </c>
      <c r="K398" s="92"/>
      <c r="L398" s="12"/>
      <c r="M398" s="93" t="s">
        <v>1</v>
      </c>
      <c r="N398" s="94" t="s">
        <v>42</v>
      </c>
      <c r="P398" s="95">
        <f t="shared" si="151"/>
        <v>0</v>
      </c>
      <c r="Q398" s="95">
        <v>0</v>
      </c>
      <c r="R398" s="95">
        <f t="shared" si="152"/>
        <v>0</v>
      </c>
      <c r="S398" s="95">
        <v>0</v>
      </c>
      <c r="T398" s="99">
        <f t="shared" si="153"/>
        <v>0</v>
      </c>
      <c r="AR398" s="101" t="s">
        <v>218</v>
      </c>
      <c r="AT398" s="101" t="s">
        <v>214</v>
      </c>
      <c r="AU398" s="101" t="s">
        <v>87</v>
      </c>
      <c r="AY398" s="23" t="s">
        <v>211</v>
      </c>
      <c r="BE398" s="104">
        <f t="shared" si="154"/>
        <v>1800</v>
      </c>
      <c r="BF398" s="104">
        <f t="shared" si="155"/>
        <v>0</v>
      </c>
      <c r="BG398" s="104">
        <f t="shared" si="156"/>
        <v>0</v>
      </c>
      <c r="BH398" s="104">
        <f t="shared" si="157"/>
        <v>0</v>
      </c>
      <c r="BI398" s="104">
        <f t="shared" si="158"/>
        <v>0</v>
      </c>
      <c r="BJ398" s="23" t="s">
        <v>85</v>
      </c>
      <c r="BK398" s="104">
        <f t="shared" si="159"/>
        <v>1800</v>
      </c>
      <c r="BL398" s="23" t="s">
        <v>218</v>
      </c>
      <c r="BM398" s="101" t="s">
        <v>2383</v>
      </c>
    </row>
    <row r="399" spans="2:65" s="1" customFormat="1" ht="16.5" customHeight="1">
      <c r="B399" s="12"/>
      <c r="C399" s="71" t="s">
        <v>1596</v>
      </c>
      <c r="D399" s="71" t="s">
        <v>214</v>
      </c>
      <c r="E399" s="72" t="s">
        <v>4303</v>
      </c>
      <c r="F399" s="73" t="s">
        <v>4304</v>
      </c>
      <c r="G399" s="74" t="s">
        <v>808</v>
      </c>
      <c r="H399" s="75">
        <v>12</v>
      </c>
      <c r="I399" s="90">
        <v>400</v>
      </c>
      <c r="J399" s="91">
        <f t="shared" si="150"/>
        <v>4800</v>
      </c>
      <c r="K399" s="92"/>
      <c r="L399" s="12"/>
      <c r="M399" s="93" t="s">
        <v>1</v>
      </c>
      <c r="N399" s="94" t="s">
        <v>42</v>
      </c>
      <c r="P399" s="95">
        <f t="shared" si="151"/>
        <v>0</v>
      </c>
      <c r="Q399" s="95">
        <v>0</v>
      </c>
      <c r="R399" s="95">
        <f t="shared" si="152"/>
        <v>0</v>
      </c>
      <c r="S399" s="95">
        <v>0</v>
      </c>
      <c r="T399" s="99">
        <f t="shared" si="153"/>
        <v>0</v>
      </c>
      <c r="AR399" s="101" t="s">
        <v>218</v>
      </c>
      <c r="AT399" s="101" t="s">
        <v>214</v>
      </c>
      <c r="AU399" s="101" t="s">
        <v>87</v>
      </c>
      <c r="AY399" s="23" t="s">
        <v>211</v>
      </c>
      <c r="BE399" s="104">
        <f t="shared" si="154"/>
        <v>4800</v>
      </c>
      <c r="BF399" s="104">
        <f t="shared" si="155"/>
        <v>0</v>
      </c>
      <c r="BG399" s="104">
        <f t="shared" si="156"/>
        <v>0</v>
      </c>
      <c r="BH399" s="104">
        <f t="shared" si="157"/>
        <v>0</v>
      </c>
      <c r="BI399" s="104">
        <f t="shared" si="158"/>
        <v>0</v>
      </c>
      <c r="BJ399" s="23" t="s">
        <v>85</v>
      </c>
      <c r="BK399" s="104">
        <f t="shared" si="159"/>
        <v>4800</v>
      </c>
      <c r="BL399" s="23" t="s">
        <v>218</v>
      </c>
      <c r="BM399" s="101" t="s">
        <v>2389</v>
      </c>
    </row>
    <row r="400" spans="2:65" s="1" customFormat="1" ht="16.5" customHeight="1">
      <c r="B400" s="12"/>
      <c r="C400" s="71" t="s">
        <v>1601</v>
      </c>
      <c r="D400" s="71" t="s">
        <v>214</v>
      </c>
      <c r="E400" s="72" t="s">
        <v>4387</v>
      </c>
      <c r="F400" s="73" t="s">
        <v>4308</v>
      </c>
      <c r="G400" s="74" t="s">
        <v>808</v>
      </c>
      <c r="H400" s="75">
        <v>12</v>
      </c>
      <c r="I400" s="153">
        <v>320</v>
      </c>
      <c r="J400" s="91">
        <f t="shared" si="150"/>
        <v>3840</v>
      </c>
      <c r="K400" s="92"/>
      <c r="L400" s="12"/>
      <c r="M400" s="93" t="s">
        <v>1</v>
      </c>
      <c r="N400" s="94" t="s">
        <v>42</v>
      </c>
      <c r="P400" s="95">
        <f t="shared" si="151"/>
        <v>0</v>
      </c>
      <c r="Q400" s="95">
        <v>0</v>
      </c>
      <c r="R400" s="95">
        <f t="shared" si="152"/>
        <v>0</v>
      </c>
      <c r="S400" s="95">
        <v>0</v>
      </c>
      <c r="T400" s="99">
        <f t="shared" si="153"/>
        <v>0</v>
      </c>
      <c r="AR400" s="101" t="s">
        <v>218</v>
      </c>
      <c r="AT400" s="101" t="s">
        <v>214</v>
      </c>
      <c r="AU400" s="101" t="s">
        <v>87</v>
      </c>
      <c r="AY400" s="23" t="s">
        <v>211</v>
      </c>
      <c r="BE400" s="104">
        <f t="shared" si="154"/>
        <v>3840</v>
      </c>
      <c r="BF400" s="104">
        <f t="shared" si="155"/>
        <v>0</v>
      </c>
      <c r="BG400" s="104">
        <f t="shared" si="156"/>
        <v>0</v>
      </c>
      <c r="BH400" s="104">
        <f t="shared" si="157"/>
        <v>0</v>
      </c>
      <c r="BI400" s="104">
        <f t="shared" si="158"/>
        <v>0</v>
      </c>
      <c r="BJ400" s="23" t="s">
        <v>85</v>
      </c>
      <c r="BK400" s="104">
        <f t="shared" si="159"/>
        <v>3840</v>
      </c>
      <c r="BL400" s="23" t="s">
        <v>218</v>
      </c>
      <c r="BM400" s="101" t="s">
        <v>2395</v>
      </c>
    </row>
    <row r="401" spans="2:65" s="1" customFormat="1" ht="49.35" customHeight="1">
      <c r="B401" s="12"/>
      <c r="C401" s="71" t="s">
        <v>1605</v>
      </c>
      <c r="D401" s="71" t="s">
        <v>214</v>
      </c>
      <c r="E401" s="72" t="s">
        <v>4282</v>
      </c>
      <c r="F401" s="73" t="s">
        <v>4283</v>
      </c>
      <c r="G401" s="74" t="s">
        <v>431</v>
      </c>
      <c r="H401" s="75">
        <v>54</v>
      </c>
      <c r="I401" s="90">
        <v>330</v>
      </c>
      <c r="J401" s="91">
        <f t="shared" si="150"/>
        <v>17820</v>
      </c>
      <c r="K401" s="92"/>
      <c r="L401" s="12"/>
      <c r="M401" s="93" t="s">
        <v>1</v>
      </c>
      <c r="N401" s="94" t="s">
        <v>42</v>
      </c>
      <c r="P401" s="95">
        <f t="shared" si="151"/>
        <v>0</v>
      </c>
      <c r="Q401" s="95">
        <v>0</v>
      </c>
      <c r="R401" s="95">
        <f t="shared" si="152"/>
        <v>0</v>
      </c>
      <c r="S401" s="95">
        <v>0</v>
      </c>
      <c r="T401" s="99">
        <f t="shared" si="153"/>
        <v>0</v>
      </c>
      <c r="AR401" s="101" t="s">
        <v>218</v>
      </c>
      <c r="AT401" s="101" t="s">
        <v>214</v>
      </c>
      <c r="AU401" s="101" t="s">
        <v>87</v>
      </c>
      <c r="AY401" s="23" t="s">
        <v>211</v>
      </c>
      <c r="BE401" s="104">
        <f t="shared" si="154"/>
        <v>17820</v>
      </c>
      <c r="BF401" s="104">
        <f t="shared" si="155"/>
        <v>0</v>
      </c>
      <c r="BG401" s="104">
        <f t="shared" si="156"/>
        <v>0</v>
      </c>
      <c r="BH401" s="104">
        <f t="shared" si="157"/>
        <v>0</v>
      </c>
      <c r="BI401" s="104">
        <f t="shared" si="158"/>
        <v>0</v>
      </c>
      <c r="BJ401" s="23" t="s">
        <v>85</v>
      </c>
      <c r="BK401" s="104">
        <f t="shared" si="159"/>
        <v>17820</v>
      </c>
      <c r="BL401" s="23" t="s">
        <v>218</v>
      </c>
      <c r="BM401" s="101" t="s">
        <v>2401</v>
      </c>
    </row>
    <row r="402" spans="2:65" s="1" customFormat="1" ht="49.35" customHeight="1">
      <c r="B402" s="12"/>
      <c r="C402" s="71" t="s">
        <v>1612</v>
      </c>
      <c r="D402" s="71" t="s">
        <v>214</v>
      </c>
      <c r="E402" s="72" t="s">
        <v>4284</v>
      </c>
      <c r="F402" s="73" t="s">
        <v>4285</v>
      </c>
      <c r="G402" s="74" t="s">
        <v>431</v>
      </c>
      <c r="H402" s="75">
        <v>89</v>
      </c>
      <c r="I402" s="90">
        <v>250</v>
      </c>
      <c r="J402" s="91">
        <f t="shared" si="150"/>
        <v>22250</v>
      </c>
      <c r="K402" s="92"/>
      <c r="L402" s="12"/>
      <c r="M402" s="93" t="s">
        <v>1</v>
      </c>
      <c r="N402" s="94" t="s">
        <v>42</v>
      </c>
      <c r="P402" s="95">
        <f t="shared" si="151"/>
        <v>0</v>
      </c>
      <c r="Q402" s="95">
        <v>0</v>
      </c>
      <c r="R402" s="95">
        <f t="shared" si="152"/>
        <v>0</v>
      </c>
      <c r="S402" s="95">
        <v>0</v>
      </c>
      <c r="T402" s="99">
        <f t="shared" si="153"/>
        <v>0</v>
      </c>
      <c r="AR402" s="101" t="s">
        <v>218</v>
      </c>
      <c r="AT402" s="101" t="s">
        <v>214</v>
      </c>
      <c r="AU402" s="101" t="s">
        <v>87</v>
      </c>
      <c r="AY402" s="23" t="s">
        <v>211</v>
      </c>
      <c r="BE402" s="104">
        <f t="shared" si="154"/>
        <v>22250</v>
      </c>
      <c r="BF402" s="104">
        <f t="shared" si="155"/>
        <v>0</v>
      </c>
      <c r="BG402" s="104">
        <f t="shared" si="156"/>
        <v>0</v>
      </c>
      <c r="BH402" s="104">
        <f t="shared" si="157"/>
        <v>0</v>
      </c>
      <c r="BI402" s="104">
        <f t="shared" si="158"/>
        <v>0</v>
      </c>
      <c r="BJ402" s="23" t="s">
        <v>85</v>
      </c>
      <c r="BK402" s="104">
        <f t="shared" si="159"/>
        <v>22250</v>
      </c>
      <c r="BL402" s="23" t="s">
        <v>218</v>
      </c>
      <c r="BM402" s="101" t="s">
        <v>2407</v>
      </c>
    </row>
    <row r="403" spans="2:65" s="1" customFormat="1" ht="49.35" customHeight="1">
      <c r="B403" s="12"/>
      <c r="C403" s="71" t="s">
        <v>1624</v>
      </c>
      <c r="D403" s="71" t="s">
        <v>214</v>
      </c>
      <c r="E403" s="72" t="s">
        <v>4286</v>
      </c>
      <c r="F403" s="73" t="s">
        <v>4287</v>
      </c>
      <c r="G403" s="74" t="s">
        <v>431</v>
      </c>
      <c r="H403" s="75">
        <v>17</v>
      </c>
      <c r="I403" s="153">
        <v>200</v>
      </c>
      <c r="J403" s="91">
        <f t="shared" si="150"/>
        <v>3400</v>
      </c>
      <c r="K403" s="92"/>
      <c r="L403" s="12"/>
      <c r="M403" s="93" t="s">
        <v>1</v>
      </c>
      <c r="N403" s="94" t="s">
        <v>42</v>
      </c>
      <c r="P403" s="95">
        <f t="shared" si="151"/>
        <v>0</v>
      </c>
      <c r="Q403" s="95">
        <v>0</v>
      </c>
      <c r="R403" s="95">
        <f t="shared" si="152"/>
        <v>0</v>
      </c>
      <c r="S403" s="95">
        <v>0</v>
      </c>
      <c r="T403" s="99">
        <f t="shared" si="153"/>
        <v>0</v>
      </c>
      <c r="AR403" s="101" t="s">
        <v>218</v>
      </c>
      <c r="AT403" s="101" t="s">
        <v>214</v>
      </c>
      <c r="AU403" s="101" t="s">
        <v>87</v>
      </c>
      <c r="AY403" s="23" t="s">
        <v>211</v>
      </c>
      <c r="BE403" s="104">
        <f t="shared" si="154"/>
        <v>3400</v>
      </c>
      <c r="BF403" s="104">
        <f t="shared" si="155"/>
        <v>0</v>
      </c>
      <c r="BG403" s="104">
        <f t="shared" si="156"/>
        <v>0</v>
      </c>
      <c r="BH403" s="104">
        <f t="shared" si="157"/>
        <v>0</v>
      </c>
      <c r="BI403" s="104">
        <f t="shared" si="158"/>
        <v>0</v>
      </c>
      <c r="BJ403" s="23" t="s">
        <v>85</v>
      </c>
      <c r="BK403" s="104">
        <f t="shared" si="159"/>
        <v>3400</v>
      </c>
      <c r="BL403" s="23" t="s">
        <v>218</v>
      </c>
      <c r="BM403" s="101" t="s">
        <v>2413</v>
      </c>
    </row>
    <row r="404" spans="2:65" s="1" customFormat="1" ht="16.5" customHeight="1">
      <c r="B404" s="12"/>
      <c r="C404" s="71" t="s">
        <v>1641</v>
      </c>
      <c r="D404" s="71" t="s">
        <v>214</v>
      </c>
      <c r="E404" s="72" t="s">
        <v>4309</v>
      </c>
      <c r="F404" s="73" t="s">
        <v>4310</v>
      </c>
      <c r="G404" s="74" t="s">
        <v>431</v>
      </c>
      <c r="H404" s="75">
        <v>13</v>
      </c>
      <c r="I404" s="90">
        <v>200</v>
      </c>
      <c r="J404" s="91">
        <f t="shared" si="150"/>
        <v>2600</v>
      </c>
      <c r="K404" s="92"/>
      <c r="L404" s="12"/>
      <c r="M404" s="93" t="s">
        <v>1</v>
      </c>
      <c r="N404" s="94" t="s">
        <v>42</v>
      </c>
      <c r="P404" s="95">
        <f t="shared" si="151"/>
        <v>0</v>
      </c>
      <c r="Q404" s="95">
        <v>0</v>
      </c>
      <c r="R404" s="95">
        <f t="shared" si="152"/>
        <v>0</v>
      </c>
      <c r="S404" s="95">
        <v>0</v>
      </c>
      <c r="T404" s="99">
        <f t="shared" si="153"/>
        <v>0</v>
      </c>
      <c r="AR404" s="101" t="s">
        <v>218</v>
      </c>
      <c r="AT404" s="101" t="s">
        <v>214</v>
      </c>
      <c r="AU404" s="101" t="s">
        <v>87</v>
      </c>
      <c r="AY404" s="23" t="s">
        <v>211</v>
      </c>
      <c r="BE404" s="104">
        <f t="shared" si="154"/>
        <v>2600</v>
      </c>
      <c r="BF404" s="104">
        <f t="shared" si="155"/>
        <v>0</v>
      </c>
      <c r="BG404" s="104">
        <f t="shared" si="156"/>
        <v>0</v>
      </c>
      <c r="BH404" s="104">
        <f t="shared" si="157"/>
        <v>0</v>
      </c>
      <c r="BI404" s="104">
        <f t="shared" si="158"/>
        <v>0</v>
      </c>
      <c r="BJ404" s="23" t="s">
        <v>85</v>
      </c>
      <c r="BK404" s="104">
        <f t="shared" si="159"/>
        <v>2600</v>
      </c>
      <c r="BL404" s="23" t="s">
        <v>218</v>
      </c>
      <c r="BM404" s="101" t="s">
        <v>2419</v>
      </c>
    </row>
    <row r="405" spans="2:65" s="1" customFormat="1" ht="16.5" customHeight="1">
      <c r="B405" s="12"/>
      <c r="C405" s="71" t="s">
        <v>1650</v>
      </c>
      <c r="D405" s="71" t="s">
        <v>214</v>
      </c>
      <c r="E405" s="72" t="s">
        <v>4388</v>
      </c>
      <c r="F405" s="73" t="s">
        <v>4312</v>
      </c>
      <c r="G405" s="74" t="s">
        <v>431</v>
      </c>
      <c r="H405" s="75">
        <v>13</v>
      </c>
      <c r="I405" s="90">
        <v>180</v>
      </c>
      <c r="J405" s="91">
        <f t="shared" si="150"/>
        <v>2340</v>
      </c>
      <c r="K405" s="92"/>
      <c r="L405" s="12"/>
      <c r="M405" s="93" t="s">
        <v>1</v>
      </c>
      <c r="N405" s="94" t="s">
        <v>42</v>
      </c>
      <c r="P405" s="95">
        <f t="shared" si="151"/>
        <v>0</v>
      </c>
      <c r="Q405" s="95">
        <v>0</v>
      </c>
      <c r="R405" s="95">
        <f t="shared" si="152"/>
        <v>0</v>
      </c>
      <c r="S405" s="95">
        <v>0</v>
      </c>
      <c r="T405" s="99">
        <f t="shared" si="153"/>
        <v>0</v>
      </c>
      <c r="AR405" s="101" t="s">
        <v>218</v>
      </c>
      <c r="AT405" s="101" t="s">
        <v>214</v>
      </c>
      <c r="AU405" s="101" t="s">
        <v>87</v>
      </c>
      <c r="AY405" s="23" t="s">
        <v>211</v>
      </c>
      <c r="BE405" s="104">
        <f t="shared" si="154"/>
        <v>2340</v>
      </c>
      <c r="BF405" s="104">
        <f t="shared" si="155"/>
        <v>0</v>
      </c>
      <c r="BG405" s="104">
        <f t="shared" si="156"/>
        <v>0</v>
      </c>
      <c r="BH405" s="104">
        <f t="shared" si="157"/>
        <v>0</v>
      </c>
      <c r="BI405" s="104">
        <f t="shared" si="158"/>
        <v>0</v>
      </c>
      <c r="BJ405" s="23" t="s">
        <v>85</v>
      </c>
      <c r="BK405" s="104">
        <f t="shared" si="159"/>
        <v>2340</v>
      </c>
      <c r="BL405" s="23" t="s">
        <v>218</v>
      </c>
      <c r="BM405" s="101" t="s">
        <v>2425</v>
      </c>
    </row>
    <row r="406" spans="2:65" s="31" customFormat="1" ht="23.1" customHeight="1">
      <c r="B406" s="67"/>
      <c r="D406" s="68" t="s">
        <v>76</v>
      </c>
      <c r="E406" s="70" t="s">
        <v>4446</v>
      </c>
      <c r="F406" s="70" t="s">
        <v>4447</v>
      </c>
      <c r="I406" s="85"/>
      <c r="J406" s="89">
        <f>BK406</f>
        <v>354040</v>
      </c>
      <c r="L406" s="67"/>
      <c r="M406" s="87"/>
      <c r="P406" s="88">
        <f>SUM(P407:P418)</f>
        <v>0</v>
      </c>
      <c r="R406" s="88">
        <f>SUM(R407:R418)</f>
        <v>0</v>
      </c>
      <c r="T406" s="98">
        <f>SUM(T407:T418)</f>
        <v>0</v>
      </c>
      <c r="AR406" s="68" t="s">
        <v>85</v>
      </c>
      <c r="AT406" s="100" t="s">
        <v>76</v>
      </c>
      <c r="AU406" s="100" t="s">
        <v>85</v>
      </c>
      <c r="AY406" s="68" t="s">
        <v>211</v>
      </c>
      <c r="BK406" s="103">
        <f>SUM(BK407:BK418)</f>
        <v>354040</v>
      </c>
    </row>
    <row r="407" spans="2:65" s="1" customFormat="1" ht="16.5" customHeight="1">
      <c r="B407" s="12"/>
      <c r="C407" s="71" t="s">
        <v>1655</v>
      </c>
      <c r="D407" s="71" t="s">
        <v>214</v>
      </c>
      <c r="E407" s="72" t="s">
        <v>4445</v>
      </c>
      <c r="F407" s="73" t="s">
        <v>4296</v>
      </c>
      <c r="G407" s="74" t="s">
        <v>808</v>
      </c>
      <c r="H407" s="75">
        <v>5</v>
      </c>
      <c r="I407" s="90">
        <v>53000</v>
      </c>
      <c r="J407" s="91">
        <f>ROUND(I407*H407,2)</f>
        <v>265000</v>
      </c>
      <c r="K407" s="92"/>
      <c r="L407" s="12"/>
      <c r="M407" s="93" t="s">
        <v>1</v>
      </c>
      <c r="N407" s="94" t="s">
        <v>42</v>
      </c>
      <c r="P407" s="95">
        <f>O407*H407</f>
        <v>0</v>
      </c>
      <c r="Q407" s="95">
        <v>0</v>
      </c>
      <c r="R407" s="95">
        <f>Q407*H407</f>
        <v>0</v>
      </c>
      <c r="S407" s="95">
        <v>0</v>
      </c>
      <c r="T407" s="99">
        <f>S407*H407</f>
        <v>0</v>
      </c>
      <c r="AR407" s="101" t="s">
        <v>218</v>
      </c>
      <c r="AT407" s="101" t="s">
        <v>214</v>
      </c>
      <c r="AU407" s="101" t="s">
        <v>87</v>
      </c>
      <c r="AY407" s="23" t="s">
        <v>211</v>
      </c>
      <c r="BE407" s="104">
        <f>IF(N407="základní",J407,0)</f>
        <v>265000</v>
      </c>
      <c r="BF407" s="104">
        <f>IF(N407="snížená",J407,0)</f>
        <v>0</v>
      </c>
      <c r="BG407" s="104">
        <f>IF(N407="zákl. přenesená",J407,0)</f>
        <v>0</v>
      </c>
      <c r="BH407" s="104">
        <f>IF(N407="sníž. přenesená",J407,0)</f>
        <v>0</v>
      </c>
      <c r="BI407" s="104">
        <f>IF(N407="nulová",J407,0)</f>
        <v>0</v>
      </c>
      <c r="BJ407" s="23" t="s">
        <v>85</v>
      </c>
      <c r="BK407" s="104">
        <f>ROUND(I407*H407,2)</f>
        <v>265000</v>
      </c>
      <c r="BL407" s="23" t="s">
        <v>218</v>
      </c>
      <c r="BM407" s="101" t="s">
        <v>2431</v>
      </c>
    </row>
    <row r="408" spans="2:65" s="1" customFormat="1" ht="76.8">
      <c r="B408" s="12"/>
      <c r="D408" s="105" t="s">
        <v>227</v>
      </c>
      <c r="F408" s="106" t="s">
        <v>4386</v>
      </c>
      <c r="I408" s="107"/>
      <c r="L408" s="12"/>
      <c r="M408" s="108"/>
      <c r="T408" s="111"/>
      <c r="AT408" s="23" t="s">
        <v>227</v>
      </c>
      <c r="AU408" s="23" t="s">
        <v>87</v>
      </c>
    </row>
    <row r="409" spans="2:65" s="1" customFormat="1" ht="16.5" customHeight="1">
      <c r="B409" s="12"/>
      <c r="C409" s="71" t="s">
        <v>1659</v>
      </c>
      <c r="D409" s="71" t="s">
        <v>214</v>
      </c>
      <c r="E409" s="72" t="s">
        <v>4298</v>
      </c>
      <c r="F409" s="73" t="s">
        <v>4299</v>
      </c>
      <c r="G409" s="74" t="s">
        <v>808</v>
      </c>
      <c r="H409" s="75">
        <v>20</v>
      </c>
      <c r="I409" s="90">
        <v>1760</v>
      </c>
      <c r="J409" s="91">
        <f t="shared" ref="J409:J418" si="160">ROUND(I409*H409,2)</f>
        <v>35200</v>
      </c>
      <c r="K409" s="92"/>
      <c r="L409" s="12"/>
      <c r="M409" s="93" t="s">
        <v>1</v>
      </c>
      <c r="N409" s="94" t="s">
        <v>42</v>
      </c>
      <c r="P409" s="95">
        <f t="shared" ref="P409:P418" si="161">O409*H409</f>
        <v>0</v>
      </c>
      <c r="Q409" s="95">
        <v>0</v>
      </c>
      <c r="R409" s="95">
        <f t="shared" ref="R409:R418" si="162">Q409*H409</f>
        <v>0</v>
      </c>
      <c r="S409" s="95">
        <v>0</v>
      </c>
      <c r="T409" s="99">
        <f t="shared" ref="T409:T418" si="163">S409*H409</f>
        <v>0</v>
      </c>
      <c r="AR409" s="101" t="s">
        <v>218</v>
      </c>
      <c r="AT409" s="101" t="s">
        <v>214</v>
      </c>
      <c r="AU409" s="101" t="s">
        <v>87</v>
      </c>
      <c r="AY409" s="23" t="s">
        <v>211</v>
      </c>
      <c r="BE409" s="104">
        <f t="shared" ref="BE409:BE418" si="164">IF(N409="základní",J409,0)</f>
        <v>35200</v>
      </c>
      <c r="BF409" s="104">
        <f t="shared" ref="BF409:BF418" si="165">IF(N409="snížená",J409,0)</f>
        <v>0</v>
      </c>
      <c r="BG409" s="104">
        <f t="shared" ref="BG409:BG418" si="166">IF(N409="zákl. přenesená",J409,0)</f>
        <v>0</v>
      </c>
      <c r="BH409" s="104">
        <f t="shared" ref="BH409:BH418" si="167">IF(N409="sníž. přenesená",J409,0)</f>
        <v>0</v>
      </c>
      <c r="BI409" s="104">
        <f t="shared" ref="BI409:BI418" si="168">IF(N409="nulová",J409,0)</f>
        <v>0</v>
      </c>
      <c r="BJ409" s="23" t="s">
        <v>85</v>
      </c>
      <c r="BK409" s="104">
        <f t="shared" ref="BK409:BK418" si="169">ROUND(I409*H409,2)</f>
        <v>35200</v>
      </c>
      <c r="BL409" s="23" t="s">
        <v>218</v>
      </c>
      <c r="BM409" s="101" t="s">
        <v>2438</v>
      </c>
    </row>
    <row r="410" spans="2:65" s="1" customFormat="1" ht="16.5" customHeight="1">
      <c r="B410" s="12"/>
      <c r="C410" s="71" t="s">
        <v>1664</v>
      </c>
      <c r="D410" s="71" t="s">
        <v>214</v>
      </c>
      <c r="E410" s="72" t="s">
        <v>4300</v>
      </c>
      <c r="F410" s="73" t="s">
        <v>4261</v>
      </c>
      <c r="G410" s="74" t="s">
        <v>808</v>
      </c>
      <c r="H410" s="75">
        <v>15</v>
      </c>
      <c r="I410" s="90">
        <v>120</v>
      </c>
      <c r="J410" s="91">
        <f t="shared" si="160"/>
        <v>1800</v>
      </c>
      <c r="K410" s="92"/>
      <c r="L410" s="12"/>
      <c r="M410" s="93" t="s">
        <v>1</v>
      </c>
      <c r="N410" s="94" t="s">
        <v>42</v>
      </c>
      <c r="P410" s="95">
        <f t="shared" si="161"/>
        <v>0</v>
      </c>
      <c r="Q410" s="95">
        <v>0</v>
      </c>
      <c r="R410" s="95">
        <f t="shared" si="162"/>
        <v>0</v>
      </c>
      <c r="S410" s="95">
        <v>0</v>
      </c>
      <c r="T410" s="99">
        <f t="shared" si="163"/>
        <v>0</v>
      </c>
      <c r="AR410" s="101" t="s">
        <v>218</v>
      </c>
      <c r="AT410" s="101" t="s">
        <v>214</v>
      </c>
      <c r="AU410" s="101" t="s">
        <v>87</v>
      </c>
      <c r="AY410" s="23" t="s">
        <v>211</v>
      </c>
      <c r="BE410" s="104">
        <f t="shared" si="164"/>
        <v>1800</v>
      </c>
      <c r="BF410" s="104">
        <f t="shared" si="165"/>
        <v>0</v>
      </c>
      <c r="BG410" s="104">
        <f t="shared" si="166"/>
        <v>0</v>
      </c>
      <c r="BH410" s="104">
        <f t="shared" si="167"/>
        <v>0</v>
      </c>
      <c r="BI410" s="104">
        <f t="shared" si="168"/>
        <v>0</v>
      </c>
      <c r="BJ410" s="23" t="s">
        <v>85</v>
      </c>
      <c r="BK410" s="104">
        <f t="shared" si="169"/>
        <v>1800</v>
      </c>
      <c r="BL410" s="23" t="s">
        <v>218</v>
      </c>
      <c r="BM410" s="101" t="s">
        <v>2444</v>
      </c>
    </row>
    <row r="411" spans="2:65" s="1" customFormat="1" ht="16.5" customHeight="1">
      <c r="B411" s="12"/>
      <c r="C411" s="71" t="s">
        <v>1669</v>
      </c>
      <c r="D411" s="71" t="s">
        <v>214</v>
      </c>
      <c r="E411" s="72" t="s">
        <v>4332</v>
      </c>
      <c r="F411" s="73" t="s">
        <v>4275</v>
      </c>
      <c r="G411" s="74" t="s">
        <v>808</v>
      </c>
      <c r="H411" s="75">
        <v>2</v>
      </c>
      <c r="I411" s="90">
        <v>300</v>
      </c>
      <c r="J411" s="91">
        <f t="shared" si="160"/>
        <v>600</v>
      </c>
      <c r="K411" s="92"/>
      <c r="L411" s="12"/>
      <c r="M411" s="93" t="s">
        <v>1</v>
      </c>
      <c r="N411" s="94" t="s">
        <v>42</v>
      </c>
      <c r="P411" s="95">
        <f t="shared" si="161"/>
        <v>0</v>
      </c>
      <c r="Q411" s="95">
        <v>0</v>
      </c>
      <c r="R411" s="95">
        <f t="shared" si="162"/>
        <v>0</v>
      </c>
      <c r="S411" s="95">
        <v>0</v>
      </c>
      <c r="T411" s="99">
        <f t="shared" si="163"/>
        <v>0</v>
      </c>
      <c r="AR411" s="101" t="s">
        <v>218</v>
      </c>
      <c r="AT411" s="101" t="s">
        <v>214</v>
      </c>
      <c r="AU411" s="101" t="s">
        <v>87</v>
      </c>
      <c r="AY411" s="23" t="s">
        <v>211</v>
      </c>
      <c r="BE411" s="104">
        <f t="shared" si="164"/>
        <v>600</v>
      </c>
      <c r="BF411" s="104">
        <f t="shared" si="165"/>
        <v>0</v>
      </c>
      <c r="BG411" s="104">
        <f t="shared" si="166"/>
        <v>0</v>
      </c>
      <c r="BH411" s="104">
        <f t="shared" si="167"/>
        <v>0</v>
      </c>
      <c r="BI411" s="104">
        <f t="shared" si="168"/>
        <v>0</v>
      </c>
      <c r="BJ411" s="23" t="s">
        <v>85</v>
      </c>
      <c r="BK411" s="104">
        <f t="shared" si="169"/>
        <v>600</v>
      </c>
      <c r="BL411" s="23" t="s">
        <v>218</v>
      </c>
      <c r="BM411" s="101" t="s">
        <v>2450</v>
      </c>
    </row>
    <row r="412" spans="2:65" s="1" customFormat="1" ht="16.5" customHeight="1">
      <c r="B412" s="12"/>
      <c r="C412" s="71" t="s">
        <v>1674</v>
      </c>
      <c r="D412" s="71" t="s">
        <v>214</v>
      </c>
      <c r="E412" s="72" t="s">
        <v>4303</v>
      </c>
      <c r="F412" s="73" t="s">
        <v>4304</v>
      </c>
      <c r="G412" s="74" t="s">
        <v>808</v>
      </c>
      <c r="H412" s="75">
        <v>15</v>
      </c>
      <c r="I412" s="90">
        <v>400</v>
      </c>
      <c r="J412" s="91">
        <f t="shared" si="160"/>
        <v>6000</v>
      </c>
      <c r="K412" s="92"/>
      <c r="L412" s="12"/>
      <c r="M412" s="93" t="s">
        <v>1</v>
      </c>
      <c r="N412" s="94" t="s">
        <v>42</v>
      </c>
      <c r="P412" s="95">
        <f t="shared" si="161"/>
        <v>0</v>
      </c>
      <c r="Q412" s="95">
        <v>0</v>
      </c>
      <c r="R412" s="95">
        <f t="shared" si="162"/>
        <v>0</v>
      </c>
      <c r="S412" s="95">
        <v>0</v>
      </c>
      <c r="T412" s="99">
        <f t="shared" si="163"/>
        <v>0</v>
      </c>
      <c r="AR412" s="101" t="s">
        <v>218</v>
      </c>
      <c r="AT412" s="101" t="s">
        <v>214</v>
      </c>
      <c r="AU412" s="101" t="s">
        <v>87</v>
      </c>
      <c r="AY412" s="23" t="s">
        <v>211</v>
      </c>
      <c r="BE412" s="104">
        <f t="shared" si="164"/>
        <v>6000</v>
      </c>
      <c r="BF412" s="104">
        <f t="shared" si="165"/>
        <v>0</v>
      </c>
      <c r="BG412" s="104">
        <f t="shared" si="166"/>
        <v>0</v>
      </c>
      <c r="BH412" s="104">
        <f t="shared" si="167"/>
        <v>0</v>
      </c>
      <c r="BI412" s="104">
        <f t="shared" si="168"/>
        <v>0</v>
      </c>
      <c r="BJ412" s="23" t="s">
        <v>85</v>
      </c>
      <c r="BK412" s="104">
        <f t="shared" si="169"/>
        <v>6000</v>
      </c>
      <c r="BL412" s="23" t="s">
        <v>218</v>
      </c>
      <c r="BM412" s="101" t="s">
        <v>2456</v>
      </c>
    </row>
    <row r="413" spans="2:65" s="1" customFormat="1" ht="16.5" customHeight="1">
      <c r="B413" s="12"/>
      <c r="C413" s="71" t="s">
        <v>1678</v>
      </c>
      <c r="D413" s="71" t="s">
        <v>214</v>
      </c>
      <c r="E413" s="72" t="s">
        <v>4387</v>
      </c>
      <c r="F413" s="73" t="s">
        <v>4308</v>
      </c>
      <c r="G413" s="74" t="s">
        <v>808</v>
      </c>
      <c r="H413" s="75">
        <v>15</v>
      </c>
      <c r="I413" s="90">
        <v>320</v>
      </c>
      <c r="J413" s="91">
        <f t="shared" si="160"/>
        <v>4800</v>
      </c>
      <c r="K413" s="92"/>
      <c r="L413" s="12"/>
      <c r="M413" s="93" t="s">
        <v>1</v>
      </c>
      <c r="N413" s="94" t="s">
        <v>42</v>
      </c>
      <c r="P413" s="95">
        <f t="shared" si="161"/>
        <v>0</v>
      </c>
      <c r="Q413" s="95">
        <v>0</v>
      </c>
      <c r="R413" s="95">
        <f t="shared" si="162"/>
        <v>0</v>
      </c>
      <c r="S413" s="95">
        <v>0</v>
      </c>
      <c r="T413" s="99">
        <f t="shared" si="163"/>
        <v>0</v>
      </c>
      <c r="AR413" s="101" t="s">
        <v>218</v>
      </c>
      <c r="AT413" s="101" t="s">
        <v>214</v>
      </c>
      <c r="AU413" s="101" t="s">
        <v>87</v>
      </c>
      <c r="AY413" s="23" t="s">
        <v>211</v>
      </c>
      <c r="BE413" s="104">
        <f t="shared" si="164"/>
        <v>4800</v>
      </c>
      <c r="BF413" s="104">
        <f t="shared" si="165"/>
        <v>0</v>
      </c>
      <c r="BG413" s="104">
        <f t="shared" si="166"/>
        <v>0</v>
      </c>
      <c r="BH413" s="104">
        <f t="shared" si="167"/>
        <v>0</v>
      </c>
      <c r="BI413" s="104">
        <f t="shared" si="168"/>
        <v>0</v>
      </c>
      <c r="BJ413" s="23" t="s">
        <v>85</v>
      </c>
      <c r="BK413" s="104">
        <f t="shared" si="169"/>
        <v>4800</v>
      </c>
      <c r="BL413" s="23" t="s">
        <v>218</v>
      </c>
      <c r="BM413" s="101" t="s">
        <v>2462</v>
      </c>
    </row>
    <row r="414" spans="2:65" s="1" customFormat="1" ht="49.35" customHeight="1">
      <c r="B414" s="12"/>
      <c r="C414" s="71" t="s">
        <v>1682</v>
      </c>
      <c r="D414" s="71" t="s">
        <v>214</v>
      </c>
      <c r="E414" s="72" t="s">
        <v>4282</v>
      </c>
      <c r="F414" s="73" t="s">
        <v>4283</v>
      </c>
      <c r="G414" s="74" t="s">
        <v>431</v>
      </c>
      <c r="H414" s="75">
        <v>18</v>
      </c>
      <c r="I414" s="90">
        <v>330</v>
      </c>
      <c r="J414" s="91">
        <f t="shared" si="160"/>
        <v>5940</v>
      </c>
      <c r="K414" s="92"/>
      <c r="L414" s="12"/>
      <c r="M414" s="93" t="s">
        <v>1</v>
      </c>
      <c r="N414" s="94" t="s">
        <v>42</v>
      </c>
      <c r="P414" s="95">
        <f t="shared" si="161"/>
        <v>0</v>
      </c>
      <c r="Q414" s="95">
        <v>0</v>
      </c>
      <c r="R414" s="95">
        <f t="shared" si="162"/>
        <v>0</v>
      </c>
      <c r="S414" s="95">
        <v>0</v>
      </c>
      <c r="T414" s="99">
        <f t="shared" si="163"/>
        <v>0</v>
      </c>
      <c r="AR414" s="101" t="s">
        <v>218</v>
      </c>
      <c r="AT414" s="101" t="s">
        <v>214</v>
      </c>
      <c r="AU414" s="101" t="s">
        <v>87</v>
      </c>
      <c r="AY414" s="23" t="s">
        <v>211</v>
      </c>
      <c r="BE414" s="104">
        <f t="shared" si="164"/>
        <v>5940</v>
      </c>
      <c r="BF414" s="104">
        <f t="shared" si="165"/>
        <v>0</v>
      </c>
      <c r="BG414" s="104">
        <f t="shared" si="166"/>
        <v>0</v>
      </c>
      <c r="BH414" s="104">
        <f t="shared" si="167"/>
        <v>0</v>
      </c>
      <c r="BI414" s="104">
        <f t="shared" si="168"/>
        <v>0</v>
      </c>
      <c r="BJ414" s="23" t="s">
        <v>85</v>
      </c>
      <c r="BK414" s="104">
        <f t="shared" si="169"/>
        <v>5940</v>
      </c>
      <c r="BL414" s="23" t="s">
        <v>218</v>
      </c>
      <c r="BM414" s="101" t="s">
        <v>2468</v>
      </c>
    </row>
    <row r="415" spans="2:65" s="1" customFormat="1" ht="49.35" customHeight="1">
      <c r="B415" s="12"/>
      <c r="C415" s="71" t="s">
        <v>1686</v>
      </c>
      <c r="D415" s="71" t="s">
        <v>214</v>
      </c>
      <c r="E415" s="72" t="s">
        <v>4284</v>
      </c>
      <c r="F415" s="73" t="s">
        <v>4285</v>
      </c>
      <c r="G415" s="74" t="s">
        <v>431</v>
      </c>
      <c r="H415" s="75">
        <v>104</v>
      </c>
      <c r="I415" s="90">
        <v>250</v>
      </c>
      <c r="J415" s="91">
        <f t="shared" si="160"/>
        <v>26000</v>
      </c>
      <c r="K415" s="92"/>
      <c r="L415" s="12"/>
      <c r="M415" s="93" t="s">
        <v>1</v>
      </c>
      <c r="N415" s="94" t="s">
        <v>42</v>
      </c>
      <c r="P415" s="95">
        <f t="shared" si="161"/>
        <v>0</v>
      </c>
      <c r="Q415" s="95">
        <v>0</v>
      </c>
      <c r="R415" s="95">
        <f t="shared" si="162"/>
        <v>0</v>
      </c>
      <c r="S415" s="95">
        <v>0</v>
      </c>
      <c r="T415" s="99">
        <f t="shared" si="163"/>
        <v>0</v>
      </c>
      <c r="AR415" s="101" t="s">
        <v>218</v>
      </c>
      <c r="AT415" s="101" t="s">
        <v>214</v>
      </c>
      <c r="AU415" s="101" t="s">
        <v>87</v>
      </c>
      <c r="AY415" s="23" t="s">
        <v>211</v>
      </c>
      <c r="BE415" s="104">
        <f t="shared" si="164"/>
        <v>26000</v>
      </c>
      <c r="BF415" s="104">
        <f t="shared" si="165"/>
        <v>0</v>
      </c>
      <c r="BG415" s="104">
        <f t="shared" si="166"/>
        <v>0</v>
      </c>
      <c r="BH415" s="104">
        <f t="shared" si="167"/>
        <v>0</v>
      </c>
      <c r="BI415" s="104">
        <f t="shared" si="168"/>
        <v>0</v>
      </c>
      <c r="BJ415" s="23" t="s">
        <v>85</v>
      </c>
      <c r="BK415" s="104">
        <f t="shared" si="169"/>
        <v>26000</v>
      </c>
      <c r="BL415" s="23" t="s">
        <v>218</v>
      </c>
      <c r="BM415" s="101" t="s">
        <v>2474</v>
      </c>
    </row>
    <row r="416" spans="2:65" s="1" customFormat="1" ht="49.35" customHeight="1">
      <c r="B416" s="12"/>
      <c r="C416" s="71" t="s">
        <v>1690</v>
      </c>
      <c r="D416" s="71" t="s">
        <v>214</v>
      </c>
      <c r="E416" s="72" t="s">
        <v>4286</v>
      </c>
      <c r="F416" s="73" t="s">
        <v>4287</v>
      </c>
      <c r="G416" s="74" t="s">
        <v>431</v>
      </c>
      <c r="H416" s="75">
        <v>15</v>
      </c>
      <c r="I416" s="153">
        <v>200</v>
      </c>
      <c r="J416" s="91">
        <f t="shared" si="160"/>
        <v>3000</v>
      </c>
      <c r="K416" s="92"/>
      <c r="L416" s="12"/>
      <c r="M416" s="93" t="s">
        <v>1</v>
      </c>
      <c r="N416" s="94" t="s">
        <v>42</v>
      </c>
      <c r="P416" s="95">
        <f t="shared" si="161"/>
        <v>0</v>
      </c>
      <c r="Q416" s="95">
        <v>0</v>
      </c>
      <c r="R416" s="95">
        <f t="shared" si="162"/>
        <v>0</v>
      </c>
      <c r="S416" s="95">
        <v>0</v>
      </c>
      <c r="T416" s="99">
        <f t="shared" si="163"/>
        <v>0</v>
      </c>
      <c r="AR416" s="101" t="s">
        <v>218</v>
      </c>
      <c r="AT416" s="101" t="s">
        <v>214</v>
      </c>
      <c r="AU416" s="101" t="s">
        <v>87</v>
      </c>
      <c r="AY416" s="23" t="s">
        <v>211</v>
      </c>
      <c r="BE416" s="104">
        <f t="shared" si="164"/>
        <v>3000</v>
      </c>
      <c r="BF416" s="104">
        <f t="shared" si="165"/>
        <v>0</v>
      </c>
      <c r="BG416" s="104">
        <f t="shared" si="166"/>
        <v>0</v>
      </c>
      <c r="BH416" s="104">
        <f t="shared" si="167"/>
        <v>0</v>
      </c>
      <c r="BI416" s="104">
        <f t="shared" si="168"/>
        <v>0</v>
      </c>
      <c r="BJ416" s="23" t="s">
        <v>85</v>
      </c>
      <c r="BK416" s="104">
        <f t="shared" si="169"/>
        <v>3000</v>
      </c>
      <c r="BL416" s="23" t="s">
        <v>218</v>
      </c>
      <c r="BM416" s="101" t="s">
        <v>2480</v>
      </c>
    </row>
    <row r="417" spans="2:65" s="1" customFormat="1" ht="16.5" customHeight="1">
      <c r="B417" s="12"/>
      <c r="C417" s="71" t="s">
        <v>1694</v>
      </c>
      <c r="D417" s="71" t="s">
        <v>214</v>
      </c>
      <c r="E417" s="72" t="s">
        <v>4309</v>
      </c>
      <c r="F417" s="73" t="s">
        <v>4310</v>
      </c>
      <c r="G417" s="74" t="s">
        <v>431</v>
      </c>
      <c r="H417" s="75">
        <v>15</v>
      </c>
      <c r="I417" s="90">
        <v>200</v>
      </c>
      <c r="J417" s="91">
        <f t="shared" si="160"/>
        <v>3000</v>
      </c>
      <c r="K417" s="92"/>
      <c r="L417" s="12"/>
      <c r="M417" s="93" t="s">
        <v>1</v>
      </c>
      <c r="N417" s="94" t="s">
        <v>42</v>
      </c>
      <c r="P417" s="95">
        <f t="shared" si="161"/>
        <v>0</v>
      </c>
      <c r="Q417" s="95">
        <v>0</v>
      </c>
      <c r="R417" s="95">
        <f t="shared" si="162"/>
        <v>0</v>
      </c>
      <c r="S417" s="95">
        <v>0</v>
      </c>
      <c r="T417" s="99">
        <f t="shared" si="163"/>
        <v>0</v>
      </c>
      <c r="AR417" s="101" t="s">
        <v>218</v>
      </c>
      <c r="AT417" s="101" t="s">
        <v>214</v>
      </c>
      <c r="AU417" s="101" t="s">
        <v>87</v>
      </c>
      <c r="AY417" s="23" t="s">
        <v>211</v>
      </c>
      <c r="BE417" s="104">
        <f t="shared" si="164"/>
        <v>3000</v>
      </c>
      <c r="BF417" s="104">
        <f t="shared" si="165"/>
        <v>0</v>
      </c>
      <c r="BG417" s="104">
        <f t="shared" si="166"/>
        <v>0</v>
      </c>
      <c r="BH417" s="104">
        <f t="shared" si="167"/>
        <v>0</v>
      </c>
      <c r="BI417" s="104">
        <f t="shared" si="168"/>
        <v>0</v>
      </c>
      <c r="BJ417" s="23" t="s">
        <v>85</v>
      </c>
      <c r="BK417" s="104">
        <f t="shared" si="169"/>
        <v>3000</v>
      </c>
      <c r="BL417" s="23" t="s">
        <v>218</v>
      </c>
      <c r="BM417" s="101" t="s">
        <v>2486</v>
      </c>
    </row>
    <row r="418" spans="2:65" s="1" customFormat="1" ht="16.5" customHeight="1">
      <c r="B418" s="12"/>
      <c r="C418" s="71" t="s">
        <v>1698</v>
      </c>
      <c r="D418" s="71" t="s">
        <v>214</v>
      </c>
      <c r="E418" s="72" t="s">
        <v>4388</v>
      </c>
      <c r="F418" s="73" t="s">
        <v>4312</v>
      </c>
      <c r="G418" s="74" t="s">
        <v>431</v>
      </c>
      <c r="H418" s="75">
        <v>15</v>
      </c>
      <c r="I418" s="90">
        <v>180</v>
      </c>
      <c r="J418" s="91">
        <f t="shared" si="160"/>
        <v>2700</v>
      </c>
      <c r="K418" s="92"/>
      <c r="L418" s="12"/>
      <c r="M418" s="93" t="s">
        <v>1</v>
      </c>
      <c r="N418" s="94" t="s">
        <v>42</v>
      </c>
      <c r="P418" s="95">
        <f t="shared" si="161"/>
        <v>0</v>
      </c>
      <c r="Q418" s="95">
        <v>0</v>
      </c>
      <c r="R418" s="95">
        <f t="shared" si="162"/>
        <v>0</v>
      </c>
      <c r="S418" s="95">
        <v>0</v>
      </c>
      <c r="T418" s="99">
        <f t="shared" si="163"/>
        <v>0</v>
      </c>
      <c r="AR418" s="101" t="s">
        <v>218</v>
      </c>
      <c r="AT418" s="101" t="s">
        <v>214</v>
      </c>
      <c r="AU418" s="101" t="s">
        <v>87</v>
      </c>
      <c r="AY418" s="23" t="s">
        <v>211</v>
      </c>
      <c r="BE418" s="104">
        <f t="shared" si="164"/>
        <v>2700</v>
      </c>
      <c r="BF418" s="104">
        <f t="shared" si="165"/>
        <v>0</v>
      </c>
      <c r="BG418" s="104">
        <f t="shared" si="166"/>
        <v>0</v>
      </c>
      <c r="BH418" s="104">
        <f t="shared" si="167"/>
        <v>0</v>
      </c>
      <c r="BI418" s="104">
        <f t="shared" si="168"/>
        <v>0</v>
      </c>
      <c r="BJ418" s="23" t="s">
        <v>85</v>
      </c>
      <c r="BK418" s="104">
        <f t="shared" si="169"/>
        <v>2700</v>
      </c>
      <c r="BL418" s="23" t="s">
        <v>218</v>
      </c>
      <c r="BM418" s="101" t="s">
        <v>2492</v>
      </c>
    </row>
    <row r="419" spans="2:65" s="31" customFormat="1" ht="23.1" customHeight="1">
      <c r="B419" s="67"/>
      <c r="D419" s="68" t="s">
        <v>76</v>
      </c>
      <c r="E419" s="70" t="s">
        <v>4359</v>
      </c>
      <c r="F419" s="70" t="s">
        <v>4360</v>
      </c>
      <c r="I419" s="85"/>
      <c r="J419" s="89">
        <f>BK419</f>
        <v>15560</v>
      </c>
      <c r="L419" s="67"/>
      <c r="M419" s="87"/>
      <c r="P419" s="88">
        <f>SUM(P420:P422)</f>
        <v>0</v>
      </c>
      <c r="R419" s="88">
        <f>SUM(R420:R422)</f>
        <v>0</v>
      </c>
      <c r="T419" s="98">
        <f>SUM(T420:T422)</f>
        <v>0</v>
      </c>
      <c r="AR419" s="68" t="s">
        <v>85</v>
      </c>
      <c r="AT419" s="100" t="s">
        <v>76</v>
      </c>
      <c r="AU419" s="100" t="s">
        <v>85</v>
      </c>
      <c r="AY419" s="68" t="s">
        <v>211</v>
      </c>
      <c r="BK419" s="103">
        <f>SUM(BK420:BK422)</f>
        <v>15560</v>
      </c>
    </row>
    <row r="420" spans="2:65" s="1" customFormat="1" ht="16.5" customHeight="1">
      <c r="B420" s="12"/>
      <c r="C420" s="71" t="s">
        <v>1702</v>
      </c>
      <c r="D420" s="71" t="s">
        <v>214</v>
      </c>
      <c r="E420" s="72" t="s">
        <v>4417</v>
      </c>
      <c r="F420" s="73" t="s">
        <v>4418</v>
      </c>
      <c r="G420" s="74" t="s">
        <v>808</v>
      </c>
      <c r="H420" s="75">
        <v>4</v>
      </c>
      <c r="I420" s="90">
        <v>600</v>
      </c>
      <c r="J420" s="91">
        <f>ROUND(I420*H420,2)</f>
        <v>2400</v>
      </c>
      <c r="K420" s="92"/>
      <c r="L420" s="12"/>
      <c r="M420" s="93" t="s">
        <v>1</v>
      </c>
      <c r="N420" s="94" t="s">
        <v>42</v>
      </c>
      <c r="P420" s="95">
        <f>O420*H420</f>
        <v>0</v>
      </c>
      <c r="Q420" s="95">
        <v>0</v>
      </c>
      <c r="R420" s="95">
        <f>Q420*H420</f>
        <v>0</v>
      </c>
      <c r="S420" s="95">
        <v>0</v>
      </c>
      <c r="T420" s="99">
        <f>S420*H420</f>
        <v>0</v>
      </c>
      <c r="AR420" s="101" t="s">
        <v>218</v>
      </c>
      <c r="AT420" s="101" t="s">
        <v>214</v>
      </c>
      <c r="AU420" s="101" t="s">
        <v>87</v>
      </c>
      <c r="AY420" s="23" t="s">
        <v>211</v>
      </c>
      <c r="BE420" s="104">
        <f>IF(N420="základní",J420,0)</f>
        <v>2400</v>
      </c>
      <c r="BF420" s="104">
        <f>IF(N420="snížená",J420,0)</f>
        <v>0</v>
      </c>
      <c r="BG420" s="104">
        <f>IF(N420="zákl. přenesená",J420,0)</f>
        <v>0</v>
      </c>
      <c r="BH420" s="104">
        <f>IF(N420="sníž. přenesená",J420,0)</f>
        <v>0</v>
      </c>
      <c r="BI420" s="104">
        <f>IF(N420="nulová",J420,0)</f>
        <v>0</v>
      </c>
      <c r="BJ420" s="23" t="s">
        <v>85</v>
      </c>
      <c r="BK420" s="104">
        <f>ROUND(I420*H420,2)</f>
        <v>2400</v>
      </c>
      <c r="BL420" s="23" t="s">
        <v>218</v>
      </c>
      <c r="BM420" s="101" t="s">
        <v>2498</v>
      </c>
    </row>
    <row r="421" spans="2:65" s="1" customFormat="1" ht="49.35" customHeight="1">
      <c r="B421" s="12"/>
      <c r="C421" s="71" t="s">
        <v>1706</v>
      </c>
      <c r="D421" s="71" t="s">
        <v>214</v>
      </c>
      <c r="E421" s="72" t="s">
        <v>4282</v>
      </c>
      <c r="F421" s="73" t="s">
        <v>4283</v>
      </c>
      <c r="G421" s="74" t="s">
        <v>431</v>
      </c>
      <c r="H421" s="75">
        <v>32</v>
      </c>
      <c r="I421" s="90">
        <v>330</v>
      </c>
      <c r="J421" s="91">
        <f>ROUND(I421*H421,2)</f>
        <v>10560</v>
      </c>
      <c r="K421" s="92"/>
      <c r="L421" s="12"/>
      <c r="M421" s="93" t="s">
        <v>1</v>
      </c>
      <c r="N421" s="94" t="s">
        <v>42</v>
      </c>
      <c r="P421" s="95">
        <f>O421*H421</f>
        <v>0</v>
      </c>
      <c r="Q421" s="95">
        <v>0</v>
      </c>
      <c r="R421" s="95">
        <f>Q421*H421</f>
        <v>0</v>
      </c>
      <c r="S421" s="95">
        <v>0</v>
      </c>
      <c r="T421" s="99">
        <f>S421*H421</f>
        <v>0</v>
      </c>
      <c r="AR421" s="101" t="s">
        <v>218</v>
      </c>
      <c r="AT421" s="101" t="s">
        <v>214</v>
      </c>
      <c r="AU421" s="101" t="s">
        <v>87</v>
      </c>
      <c r="AY421" s="23" t="s">
        <v>211</v>
      </c>
      <c r="BE421" s="104">
        <f>IF(N421="základní",J421,0)</f>
        <v>10560</v>
      </c>
      <c r="BF421" s="104">
        <f>IF(N421="snížená",J421,0)</f>
        <v>0</v>
      </c>
      <c r="BG421" s="104">
        <f>IF(N421="zákl. přenesená",J421,0)</f>
        <v>0</v>
      </c>
      <c r="BH421" s="104">
        <f>IF(N421="sníž. přenesená",J421,0)</f>
        <v>0</v>
      </c>
      <c r="BI421" s="104">
        <f>IF(N421="nulová",J421,0)</f>
        <v>0</v>
      </c>
      <c r="BJ421" s="23" t="s">
        <v>85</v>
      </c>
      <c r="BK421" s="104">
        <f>ROUND(I421*H421,2)</f>
        <v>10560</v>
      </c>
      <c r="BL421" s="23" t="s">
        <v>218</v>
      </c>
      <c r="BM421" s="101" t="s">
        <v>2504</v>
      </c>
    </row>
    <row r="422" spans="2:65" s="1" customFormat="1" ht="49.35" customHeight="1">
      <c r="B422" s="12"/>
      <c r="C422" s="71" t="s">
        <v>1710</v>
      </c>
      <c r="D422" s="71" t="s">
        <v>214</v>
      </c>
      <c r="E422" s="72" t="s">
        <v>4286</v>
      </c>
      <c r="F422" s="73" t="s">
        <v>4287</v>
      </c>
      <c r="G422" s="74" t="s">
        <v>431</v>
      </c>
      <c r="H422" s="75">
        <v>13</v>
      </c>
      <c r="I422" s="153">
        <v>200</v>
      </c>
      <c r="J422" s="91">
        <f>ROUND(I422*H422,2)</f>
        <v>2600</v>
      </c>
      <c r="K422" s="92"/>
      <c r="L422" s="12"/>
      <c r="M422" s="93" t="s">
        <v>1</v>
      </c>
      <c r="N422" s="94" t="s">
        <v>42</v>
      </c>
      <c r="P422" s="95">
        <f>O422*H422</f>
        <v>0</v>
      </c>
      <c r="Q422" s="95">
        <v>0</v>
      </c>
      <c r="R422" s="95">
        <f>Q422*H422</f>
        <v>0</v>
      </c>
      <c r="S422" s="95">
        <v>0</v>
      </c>
      <c r="T422" s="99">
        <f>S422*H422</f>
        <v>0</v>
      </c>
      <c r="AR422" s="101" t="s">
        <v>218</v>
      </c>
      <c r="AT422" s="101" t="s">
        <v>214</v>
      </c>
      <c r="AU422" s="101" t="s">
        <v>87</v>
      </c>
      <c r="AY422" s="23" t="s">
        <v>211</v>
      </c>
      <c r="BE422" s="104">
        <f>IF(N422="základní",J422,0)</f>
        <v>2600</v>
      </c>
      <c r="BF422" s="104">
        <f>IF(N422="snížená",J422,0)</f>
        <v>0</v>
      </c>
      <c r="BG422" s="104">
        <f>IF(N422="zákl. přenesená",J422,0)</f>
        <v>0</v>
      </c>
      <c r="BH422" s="104">
        <f>IF(N422="sníž. přenesená",J422,0)</f>
        <v>0</v>
      </c>
      <c r="BI422" s="104">
        <f>IF(N422="nulová",J422,0)</f>
        <v>0</v>
      </c>
      <c r="BJ422" s="23" t="s">
        <v>85</v>
      </c>
      <c r="BK422" s="104">
        <f>ROUND(I422*H422,2)</f>
        <v>2600</v>
      </c>
      <c r="BL422" s="23" t="s">
        <v>218</v>
      </c>
      <c r="BM422" s="101" t="s">
        <v>2510</v>
      </c>
    </row>
    <row r="423" spans="2:65" s="31" customFormat="1" ht="26.1" customHeight="1">
      <c r="B423" s="67"/>
      <c r="D423" s="68" t="s">
        <v>76</v>
      </c>
      <c r="E423" s="69" t="s">
        <v>4448</v>
      </c>
      <c r="F423" s="69" t="s">
        <v>4449</v>
      </c>
      <c r="I423" s="85"/>
      <c r="J423" s="86">
        <f>BK423</f>
        <v>65000</v>
      </c>
      <c r="L423" s="67"/>
      <c r="M423" s="87"/>
      <c r="P423" s="88">
        <f>P424</f>
        <v>0</v>
      </c>
      <c r="R423" s="88">
        <f>R424</f>
        <v>0</v>
      </c>
      <c r="T423" s="98">
        <f>T424</f>
        <v>0</v>
      </c>
      <c r="AR423" s="68" t="s">
        <v>85</v>
      </c>
      <c r="AT423" s="100" t="s">
        <v>76</v>
      </c>
      <c r="AU423" s="100" t="s">
        <v>77</v>
      </c>
      <c r="AY423" s="68" t="s">
        <v>211</v>
      </c>
      <c r="BK423" s="103">
        <f>BK424</f>
        <v>65000</v>
      </c>
    </row>
    <row r="424" spans="2:65" s="31" customFormat="1" ht="23.1" customHeight="1">
      <c r="B424" s="67"/>
      <c r="D424" s="68" t="s">
        <v>76</v>
      </c>
      <c r="E424" s="70" t="s">
        <v>4450</v>
      </c>
      <c r="F424" s="70" t="s">
        <v>3917</v>
      </c>
      <c r="I424" s="85"/>
      <c r="J424" s="89">
        <f>BK424</f>
        <v>65000</v>
      </c>
      <c r="L424" s="67"/>
      <c r="M424" s="87"/>
      <c r="P424" s="88">
        <f>SUM(P425:P427)</f>
        <v>0</v>
      </c>
      <c r="R424" s="88">
        <f>SUM(R425:R427)</f>
        <v>0</v>
      </c>
      <c r="T424" s="98">
        <f>SUM(T425:T427)</f>
        <v>0</v>
      </c>
      <c r="AR424" s="68" t="s">
        <v>85</v>
      </c>
      <c r="AT424" s="100" t="s">
        <v>76</v>
      </c>
      <c r="AU424" s="100" t="s">
        <v>85</v>
      </c>
      <c r="AY424" s="68" t="s">
        <v>211</v>
      </c>
      <c r="BK424" s="103">
        <f>SUM(BK425:BK427)</f>
        <v>65000</v>
      </c>
    </row>
    <row r="425" spans="2:65" s="1" customFormat="1" ht="38.1" customHeight="1">
      <c r="B425" s="12"/>
      <c r="C425" s="71" t="s">
        <v>1714</v>
      </c>
      <c r="D425" s="71" t="s">
        <v>214</v>
      </c>
      <c r="E425" s="72" t="s">
        <v>4451</v>
      </c>
      <c r="F425" s="73" t="s">
        <v>4452</v>
      </c>
      <c r="G425" s="74" t="s">
        <v>234</v>
      </c>
      <c r="H425" s="75">
        <v>1</v>
      </c>
      <c r="I425" s="90">
        <v>20000</v>
      </c>
      <c r="J425" s="91">
        <f>ROUND(I425*H425,2)</f>
        <v>20000</v>
      </c>
      <c r="K425" s="92"/>
      <c r="L425" s="12"/>
      <c r="M425" s="93" t="s">
        <v>1</v>
      </c>
      <c r="N425" s="94" t="s">
        <v>42</v>
      </c>
      <c r="P425" s="95">
        <f>O425*H425</f>
        <v>0</v>
      </c>
      <c r="Q425" s="95">
        <v>0</v>
      </c>
      <c r="R425" s="95">
        <f>Q425*H425</f>
        <v>0</v>
      </c>
      <c r="S425" s="95">
        <v>0</v>
      </c>
      <c r="T425" s="99">
        <f>S425*H425</f>
        <v>0</v>
      </c>
      <c r="AR425" s="101" t="s">
        <v>218</v>
      </c>
      <c r="AT425" s="101" t="s">
        <v>214</v>
      </c>
      <c r="AU425" s="101" t="s">
        <v>87</v>
      </c>
      <c r="AY425" s="23" t="s">
        <v>211</v>
      </c>
      <c r="BE425" s="104">
        <f>IF(N425="základní",J425,0)</f>
        <v>20000</v>
      </c>
      <c r="BF425" s="104">
        <f>IF(N425="snížená",J425,0)</f>
        <v>0</v>
      </c>
      <c r="BG425" s="104">
        <f>IF(N425="zákl. přenesená",J425,0)</f>
        <v>0</v>
      </c>
      <c r="BH425" s="104">
        <f>IF(N425="sníž. přenesená",J425,0)</f>
        <v>0</v>
      </c>
      <c r="BI425" s="104">
        <f>IF(N425="nulová",J425,0)</f>
        <v>0</v>
      </c>
      <c r="BJ425" s="23" t="s">
        <v>85</v>
      </c>
      <c r="BK425" s="104">
        <f>ROUND(I425*H425,2)</f>
        <v>20000</v>
      </c>
      <c r="BL425" s="23" t="s">
        <v>218</v>
      </c>
      <c r="BM425" s="101" t="s">
        <v>2516</v>
      </c>
    </row>
    <row r="426" spans="2:65" s="1" customFormat="1" ht="21.75" customHeight="1">
      <c r="B426" s="12"/>
      <c r="C426" s="71" t="s">
        <v>1718</v>
      </c>
      <c r="D426" s="71" t="s">
        <v>214</v>
      </c>
      <c r="E426" s="72" t="s">
        <v>4453</v>
      </c>
      <c r="F426" s="73" t="s">
        <v>4454</v>
      </c>
      <c r="G426" s="74" t="s">
        <v>234</v>
      </c>
      <c r="H426" s="75">
        <v>1</v>
      </c>
      <c r="I426" s="90">
        <v>20000</v>
      </c>
      <c r="J426" s="91">
        <f>ROUND(I426*H426,2)</f>
        <v>20000</v>
      </c>
      <c r="K426" s="92"/>
      <c r="L426" s="12"/>
      <c r="M426" s="93" t="s">
        <v>1</v>
      </c>
      <c r="N426" s="94" t="s">
        <v>42</v>
      </c>
      <c r="P426" s="95">
        <f>O426*H426</f>
        <v>0</v>
      </c>
      <c r="Q426" s="95">
        <v>0</v>
      </c>
      <c r="R426" s="95">
        <f>Q426*H426</f>
        <v>0</v>
      </c>
      <c r="S426" s="95">
        <v>0</v>
      </c>
      <c r="T426" s="99">
        <f>S426*H426</f>
        <v>0</v>
      </c>
      <c r="AR426" s="101" t="s">
        <v>218</v>
      </c>
      <c r="AT426" s="101" t="s">
        <v>214</v>
      </c>
      <c r="AU426" s="101" t="s">
        <v>87</v>
      </c>
      <c r="AY426" s="23" t="s">
        <v>211</v>
      </c>
      <c r="BE426" s="104">
        <f>IF(N426="základní",J426,0)</f>
        <v>20000</v>
      </c>
      <c r="BF426" s="104">
        <f>IF(N426="snížená",J426,0)</f>
        <v>0</v>
      </c>
      <c r="BG426" s="104">
        <f>IF(N426="zákl. přenesená",J426,0)</f>
        <v>0</v>
      </c>
      <c r="BH426" s="104">
        <f>IF(N426="sníž. přenesená",J426,0)</f>
        <v>0</v>
      </c>
      <c r="BI426" s="104">
        <f>IF(N426="nulová",J426,0)</f>
        <v>0</v>
      </c>
      <c r="BJ426" s="23" t="s">
        <v>85</v>
      </c>
      <c r="BK426" s="104">
        <f>ROUND(I426*H426,2)</f>
        <v>20000</v>
      </c>
      <c r="BL426" s="23" t="s">
        <v>218</v>
      </c>
      <c r="BM426" s="101" t="s">
        <v>2522</v>
      </c>
    </row>
    <row r="427" spans="2:65" s="1" customFormat="1" ht="16.5" customHeight="1">
      <c r="B427" s="12"/>
      <c r="C427" s="71" t="s">
        <v>1722</v>
      </c>
      <c r="D427" s="71" t="s">
        <v>214</v>
      </c>
      <c r="E427" s="72" t="s">
        <v>4455</v>
      </c>
      <c r="F427" s="73" t="s">
        <v>4456</v>
      </c>
      <c r="G427" s="74" t="s">
        <v>234</v>
      </c>
      <c r="H427" s="75">
        <v>1</v>
      </c>
      <c r="I427" s="90">
        <v>25000</v>
      </c>
      <c r="J427" s="91">
        <f>ROUND(I427*H427,2)</f>
        <v>25000</v>
      </c>
      <c r="K427" s="92"/>
      <c r="L427" s="12"/>
      <c r="M427" s="130" t="s">
        <v>1</v>
      </c>
      <c r="N427" s="131" t="s">
        <v>42</v>
      </c>
      <c r="O427" s="110"/>
      <c r="P427" s="132">
        <f>O427*H427</f>
        <v>0</v>
      </c>
      <c r="Q427" s="132">
        <v>0</v>
      </c>
      <c r="R427" s="132">
        <f>Q427*H427</f>
        <v>0</v>
      </c>
      <c r="S427" s="132">
        <v>0</v>
      </c>
      <c r="T427" s="134">
        <f>S427*H427</f>
        <v>0</v>
      </c>
      <c r="AR427" s="101" t="s">
        <v>218</v>
      </c>
      <c r="AT427" s="101" t="s">
        <v>214</v>
      </c>
      <c r="AU427" s="101" t="s">
        <v>87</v>
      </c>
      <c r="AY427" s="23" t="s">
        <v>211</v>
      </c>
      <c r="BE427" s="104">
        <f>IF(N427="základní",J427,0)</f>
        <v>25000</v>
      </c>
      <c r="BF427" s="104">
        <f>IF(N427="snížená",J427,0)</f>
        <v>0</v>
      </c>
      <c r="BG427" s="104">
        <f>IF(N427="zákl. přenesená",J427,0)</f>
        <v>0</v>
      </c>
      <c r="BH427" s="104">
        <f>IF(N427="sníž. přenesená",J427,0)</f>
        <v>0</v>
      </c>
      <c r="BI427" s="104">
        <f>IF(N427="nulová",J427,0)</f>
        <v>0</v>
      </c>
      <c r="BJ427" s="23" t="s">
        <v>85</v>
      </c>
      <c r="BK427" s="104">
        <f>ROUND(I427*H427,2)</f>
        <v>25000</v>
      </c>
      <c r="BL427" s="23" t="s">
        <v>218</v>
      </c>
      <c r="BM427" s="101" t="s">
        <v>2528</v>
      </c>
    </row>
    <row r="428" spans="2:65" s="1" customFormat="1" ht="6.9" customHeight="1">
      <c r="B428" s="26"/>
      <c r="C428" s="27"/>
      <c r="D428" s="27"/>
      <c r="E428" s="27"/>
      <c r="F428" s="27"/>
      <c r="G428" s="27"/>
      <c r="H428" s="27"/>
      <c r="I428" s="27"/>
      <c r="J428" s="27"/>
      <c r="K428" s="27"/>
      <c r="L428" s="12"/>
    </row>
  </sheetData>
  <autoFilter ref="C149:K427" xr:uid="{00000000-0009-0000-0000-000006000000}"/>
  <mergeCells count="12">
    <mergeCell ref="L2:V2"/>
    <mergeCell ref="E7:H7"/>
    <mergeCell ref="E9:H9"/>
    <mergeCell ref="E11:H11"/>
    <mergeCell ref="E20:H20"/>
    <mergeCell ref="E140:H140"/>
    <mergeCell ref="E142:H142"/>
    <mergeCell ref="E29:H29"/>
    <mergeCell ref="E85:H85"/>
    <mergeCell ref="E87:H87"/>
    <mergeCell ref="E89:H89"/>
    <mergeCell ref="E138:H138"/>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2:BM331"/>
  <sheetViews>
    <sheetView showGridLines="0" topLeftCell="A4" zoomScale="130" zoomScaleNormal="130" workbookViewId="0">
      <selection activeCell="I349" sqref="I349"/>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110</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2" customHeight="1">
      <c r="B8" s="5"/>
      <c r="D8" s="10" t="s">
        <v>182</v>
      </c>
      <c r="L8" s="5"/>
    </row>
    <row r="9" spans="2:46" s="1" customFormat="1" ht="16.5" customHeight="1">
      <c r="B9" s="12"/>
      <c r="E9" s="392" t="s">
        <v>293</v>
      </c>
      <c r="F9" s="394"/>
      <c r="G9" s="394"/>
      <c r="H9" s="394"/>
      <c r="L9" s="12"/>
    </row>
    <row r="10" spans="2:46" s="1" customFormat="1" ht="12" customHeight="1">
      <c r="B10" s="12"/>
      <c r="D10" s="10" t="s">
        <v>296</v>
      </c>
      <c r="L10" s="12"/>
    </row>
    <row r="11" spans="2:46" s="1" customFormat="1" ht="16.5" customHeight="1">
      <c r="B11" s="12"/>
      <c r="E11" s="381" t="s">
        <v>4457</v>
      </c>
      <c r="F11" s="394"/>
      <c r="G11" s="394"/>
      <c r="H11" s="394"/>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395" t="str">
        <f>'Rekapitulace stavby'!E14</f>
        <v>DMG Stav a.s.</v>
      </c>
      <c r="F20" s="384"/>
      <c r="G20" s="384"/>
      <c r="H20" s="384"/>
      <c r="I20" s="10" t="s">
        <v>26</v>
      </c>
      <c r="J20" s="33" t="str">
        <f>'Rekapitulace stavby'!AN14</f>
        <v>CZ 08004013</v>
      </c>
      <c r="L20" s="12"/>
    </row>
    <row r="21" spans="2:12" s="1" customFormat="1" ht="6.9"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 customHeight="1">
      <c r="B27" s="12"/>
      <c r="L27" s="12"/>
    </row>
    <row r="28" spans="2:12" s="1" customFormat="1" ht="12" customHeight="1">
      <c r="B28" s="12"/>
      <c r="D28" s="10" t="s">
        <v>36</v>
      </c>
      <c r="L28" s="12"/>
    </row>
    <row r="29" spans="2:12" s="28" customFormat="1" ht="16.5" customHeight="1">
      <c r="B29" s="34"/>
      <c r="E29" s="388" t="s">
        <v>1</v>
      </c>
      <c r="F29" s="388"/>
      <c r="G29" s="388"/>
      <c r="H29" s="388"/>
      <c r="L29" s="34"/>
    </row>
    <row r="30" spans="2:12" s="1" customFormat="1" ht="6.9" customHeight="1">
      <c r="B30" s="12"/>
      <c r="L30" s="12"/>
    </row>
    <row r="31" spans="2:12" s="1" customFormat="1" ht="6.9" customHeight="1">
      <c r="B31" s="12"/>
      <c r="D31" s="35"/>
      <c r="E31" s="35"/>
      <c r="F31" s="35"/>
      <c r="G31" s="35"/>
      <c r="H31" s="35"/>
      <c r="I31" s="35"/>
      <c r="J31" s="35"/>
      <c r="K31" s="35"/>
      <c r="L31" s="12"/>
    </row>
    <row r="32" spans="2:12" s="1" customFormat="1" ht="25.35" customHeight="1">
      <c r="B32" s="12"/>
      <c r="D32" s="36" t="s">
        <v>37</v>
      </c>
      <c r="J32" s="51">
        <f>ROUND(J144,2)</f>
        <v>5661300</v>
      </c>
      <c r="L32" s="12"/>
    </row>
    <row r="33" spans="2:12" s="1" customFormat="1" ht="6.9" customHeight="1">
      <c r="B33" s="12"/>
      <c r="D33" s="35"/>
      <c r="E33" s="35"/>
      <c r="F33" s="35"/>
      <c r="G33" s="35"/>
      <c r="H33" s="35"/>
      <c r="I33" s="35"/>
      <c r="J33" s="35"/>
      <c r="K33" s="35"/>
      <c r="L33" s="12"/>
    </row>
    <row r="34" spans="2:12" s="1" customFormat="1" ht="14.4" customHeight="1">
      <c r="B34" s="12"/>
      <c r="F34" s="37" t="s">
        <v>39</v>
      </c>
      <c r="I34" s="37" t="s">
        <v>38</v>
      </c>
      <c r="J34" s="37" t="s">
        <v>40</v>
      </c>
      <c r="L34" s="12"/>
    </row>
    <row r="35" spans="2:12" s="1" customFormat="1" ht="14.4" customHeight="1">
      <c r="B35" s="12"/>
      <c r="D35" s="38" t="s">
        <v>41</v>
      </c>
      <c r="E35" s="10" t="s">
        <v>42</v>
      </c>
      <c r="F35" s="39">
        <f>ROUND((SUM(BE144:BE330)),2)</f>
        <v>5661300</v>
      </c>
      <c r="I35" s="52">
        <v>0.21</v>
      </c>
      <c r="J35" s="39">
        <f>ROUND(((SUM(BE144:BE330))*I35),2)</f>
        <v>1188873</v>
      </c>
      <c r="L35" s="12"/>
    </row>
    <row r="36" spans="2:12" s="1" customFormat="1" ht="14.4" customHeight="1">
      <c r="B36" s="12"/>
      <c r="E36" s="10" t="s">
        <v>43</v>
      </c>
      <c r="F36" s="39">
        <f>ROUND((SUM(BF144:BF330)),2)</f>
        <v>0</v>
      </c>
      <c r="I36" s="52">
        <v>0.15</v>
      </c>
      <c r="J36" s="39">
        <f>ROUND(((SUM(BF144:BF330))*I36),2)</f>
        <v>0</v>
      </c>
      <c r="L36" s="12"/>
    </row>
    <row r="37" spans="2:12" s="1" customFormat="1" ht="14.4" hidden="1" customHeight="1">
      <c r="B37" s="12"/>
      <c r="E37" s="10" t="s">
        <v>44</v>
      </c>
      <c r="F37" s="39">
        <f>ROUND((SUM(BG144:BG330)),2)</f>
        <v>0</v>
      </c>
      <c r="I37" s="52">
        <v>0.21</v>
      </c>
      <c r="J37" s="39">
        <f>0</f>
        <v>0</v>
      </c>
      <c r="L37" s="12"/>
    </row>
    <row r="38" spans="2:12" s="1" customFormat="1" ht="14.4" hidden="1" customHeight="1">
      <c r="B38" s="12"/>
      <c r="E38" s="10" t="s">
        <v>45</v>
      </c>
      <c r="F38" s="39">
        <f>ROUND((SUM(BH144:BH330)),2)</f>
        <v>0</v>
      </c>
      <c r="I38" s="52">
        <v>0.15</v>
      </c>
      <c r="J38" s="39">
        <f>0</f>
        <v>0</v>
      </c>
      <c r="L38" s="12"/>
    </row>
    <row r="39" spans="2:12" s="1" customFormat="1" ht="14.4" hidden="1" customHeight="1">
      <c r="B39" s="12"/>
      <c r="E39" s="10" t="s">
        <v>46</v>
      </c>
      <c r="F39" s="39">
        <f>ROUND((SUM(BI144:BI330)),2)</f>
        <v>0</v>
      </c>
      <c r="I39" s="52">
        <v>0</v>
      </c>
      <c r="J39" s="39">
        <f>0</f>
        <v>0</v>
      </c>
      <c r="L39" s="12"/>
    </row>
    <row r="40" spans="2:12" s="1" customFormat="1" ht="6.9" customHeight="1">
      <c r="B40" s="12"/>
      <c r="L40" s="12"/>
    </row>
    <row r="41" spans="2:12" s="1" customFormat="1" ht="25.35" customHeight="1">
      <c r="B41" s="12"/>
      <c r="C41" s="40"/>
      <c r="D41" s="41" t="s">
        <v>47</v>
      </c>
      <c r="E41" s="42"/>
      <c r="F41" s="42"/>
      <c r="G41" s="43" t="s">
        <v>48</v>
      </c>
      <c r="H41" s="44" t="s">
        <v>49</v>
      </c>
      <c r="I41" s="42"/>
      <c r="J41" s="53">
        <f>SUM(J32:J39)</f>
        <v>6850173</v>
      </c>
      <c r="K41" s="54"/>
      <c r="L41" s="12"/>
    </row>
    <row r="42" spans="2:12" s="1" customFormat="1" ht="14.4" customHeight="1">
      <c r="B42" s="12"/>
      <c r="L42" s="12"/>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s="1" customFormat="1" ht="16.5" customHeight="1">
      <c r="B87" s="12"/>
      <c r="E87" s="392" t="s">
        <v>293</v>
      </c>
      <c r="F87" s="394"/>
      <c r="G87" s="394"/>
      <c r="H87" s="394"/>
      <c r="L87" s="12"/>
    </row>
    <row r="88" spans="2:12" s="1" customFormat="1" ht="12" customHeight="1">
      <c r="B88" s="12"/>
      <c r="C88" s="10" t="s">
        <v>296</v>
      </c>
      <c r="L88" s="12"/>
    </row>
    <row r="89" spans="2:12" s="1" customFormat="1" ht="16.5" customHeight="1">
      <c r="B89" s="12"/>
      <c r="E89" s="381" t="str">
        <f>E11</f>
        <v>D1.520 - Rozvody chladu</v>
      </c>
      <c r="F89" s="394"/>
      <c r="G89" s="394"/>
      <c r="H89" s="394"/>
      <c r="L89" s="12"/>
    </row>
    <row r="90" spans="2:12" s="1" customFormat="1" ht="6.9" customHeight="1">
      <c r="B90" s="12"/>
      <c r="L90" s="12"/>
    </row>
    <row r="91" spans="2:12" s="1" customFormat="1" ht="12" customHeight="1">
      <c r="B91" s="12"/>
      <c r="C91" s="10" t="s">
        <v>20</v>
      </c>
      <c r="F91" s="32" t="str">
        <f>F14</f>
        <v>Praha</v>
      </c>
      <c r="I91" s="10" t="s">
        <v>22</v>
      </c>
      <c r="J91" s="11">
        <f>IF(J14="","",J14)</f>
        <v>45000</v>
      </c>
      <c r="L91" s="12"/>
    </row>
    <row r="92" spans="2:12" s="1" customFormat="1" ht="6.9" customHeight="1">
      <c r="B92" s="12"/>
      <c r="L92" s="12"/>
    </row>
    <row r="93" spans="2:12" s="1" customFormat="1" ht="15.15" customHeight="1">
      <c r="B93" s="12"/>
      <c r="C93" s="10" t="s">
        <v>23</v>
      </c>
      <c r="F93" s="32" t="str">
        <f>E17</f>
        <v>VELTON REAL ESTATE</v>
      </c>
      <c r="I93" s="10" t="s">
        <v>31</v>
      </c>
      <c r="J93" s="8" t="str">
        <f>E23</f>
        <v>ABMV World s.r.o</v>
      </c>
      <c r="L93" s="12"/>
    </row>
    <row r="94" spans="2:12" s="1" customFormat="1" ht="15.15"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J144</f>
        <v>5661300</v>
      </c>
      <c r="L98" s="12"/>
      <c r="AU98" s="23" t="s">
        <v>188</v>
      </c>
    </row>
    <row r="99" spans="2:47" s="29" customFormat="1" ht="24.9" customHeight="1">
      <c r="B99" s="60"/>
      <c r="D99" s="61" t="s">
        <v>4220</v>
      </c>
      <c r="E99" s="62"/>
      <c r="F99" s="62"/>
      <c r="G99" s="62"/>
      <c r="H99" s="62"/>
      <c r="I99" s="62"/>
      <c r="J99" s="77">
        <f>J145</f>
        <v>1200425</v>
      </c>
      <c r="L99" s="60"/>
    </row>
    <row r="100" spans="2:47" s="30" customFormat="1" ht="20.100000000000001" customHeight="1">
      <c r="B100" s="63"/>
      <c r="D100" s="64" t="s">
        <v>4458</v>
      </c>
      <c r="E100" s="65"/>
      <c r="F100" s="65"/>
      <c r="G100" s="65"/>
      <c r="H100" s="65"/>
      <c r="I100" s="65"/>
      <c r="J100" s="78">
        <f>J146</f>
        <v>525000</v>
      </c>
      <c r="L100" s="63"/>
    </row>
    <row r="101" spans="2:47" s="30" customFormat="1" ht="20.100000000000001" customHeight="1">
      <c r="B101" s="63"/>
      <c r="D101" s="64" t="s">
        <v>4459</v>
      </c>
      <c r="E101" s="65"/>
      <c r="F101" s="65"/>
      <c r="G101" s="65"/>
      <c r="H101" s="65"/>
      <c r="I101" s="65"/>
      <c r="J101" s="78">
        <f>J149</f>
        <v>428500</v>
      </c>
      <c r="L101" s="63"/>
    </row>
    <row r="102" spans="2:47" s="30" customFormat="1" ht="20.100000000000001" customHeight="1">
      <c r="B102" s="63"/>
      <c r="D102" s="64" t="s">
        <v>4460</v>
      </c>
      <c r="E102" s="65"/>
      <c r="F102" s="65"/>
      <c r="G102" s="65"/>
      <c r="H102" s="65"/>
      <c r="I102" s="65"/>
      <c r="J102" s="78">
        <f>J170</f>
        <v>146175</v>
      </c>
      <c r="L102" s="63"/>
    </row>
    <row r="103" spans="2:47" s="30" customFormat="1" ht="20.100000000000001" customHeight="1">
      <c r="B103" s="63"/>
      <c r="D103" s="64" t="s">
        <v>4461</v>
      </c>
      <c r="E103" s="65"/>
      <c r="F103" s="65"/>
      <c r="G103" s="65"/>
      <c r="H103" s="65"/>
      <c r="I103" s="65"/>
      <c r="J103" s="78">
        <f>J187</f>
        <v>65750</v>
      </c>
      <c r="L103" s="63"/>
    </row>
    <row r="104" spans="2:47" s="30" customFormat="1" ht="20.100000000000001" customHeight="1">
      <c r="B104" s="63"/>
      <c r="D104" s="64" t="s">
        <v>4462</v>
      </c>
      <c r="E104" s="65"/>
      <c r="F104" s="65"/>
      <c r="G104" s="65"/>
      <c r="H104" s="65"/>
      <c r="I104" s="65"/>
      <c r="J104" s="78">
        <f>J192</f>
        <v>35000</v>
      </c>
      <c r="L104" s="63"/>
    </row>
    <row r="105" spans="2:47" s="29" customFormat="1" ht="24.9" customHeight="1">
      <c r="B105" s="60"/>
      <c r="D105" s="61" t="s">
        <v>4463</v>
      </c>
      <c r="E105" s="62"/>
      <c r="F105" s="62"/>
      <c r="G105" s="62"/>
      <c r="H105" s="62"/>
      <c r="I105" s="62"/>
      <c r="J105" s="77">
        <f>J197</f>
        <v>1558180</v>
      </c>
      <c r="L105" s="60"/>
    </row>
    <row r="106" spans="2:47" s="30" customFormat="1" ht="20.100000000000001" customHeight="1">
      <c r="B106" s="63"/>
      <c r="D106" s="64" t="s">
        <v>4458</v>
      </c>
      <c r="E106" s="65"/>
      <c r="F106" s="65"/>
      <c r="G106" s="65"/>
      <c r="H106" s="65"/>
      <c r="I106" s="65"/>
      <c r="J106" s="78">
        <f>J198</f>
        <v>655000</v>
      </c>
      <c r="L106" s="63"/>
    </row>
    <row r="107" spans="2:47" s="30" customFormat="1" ht="20.100000000000001" customHeight="1">
      <c r="B107" s="63"/>
      <c r="D107" s="64" t="s">
        <v>4459</v>
      </c>
      <c r="E107" s="65"/>
      <c r="F107" s="65"/>
      <c r="G107" s="65"/>
      <c r="H107" s="65"/>
      <c r="I107" s="65"/>
      <c r="J107" s="78">
        <f>J201</f>
        <v>596600</v>
      </c>
      <c r="L107" s="63"/>
    </row>
    <row r="108" spans="2:47" s="30" customFormat="1" ht="20.100000000000001" customHeight="1">
      <c r="B108" s="63"/>
      <c r="D108" s="64" t="s">
        <v>4460</v>
      </c>
      <c r="E108" s="65"/>
      <c r="F108" s="65"/>
      <c r="G108" s="65"/>
      <c r="H108" s="65"/>
      <c r="I108" s="65"/>
      <c r="J108" s="78">
        <f>J216</f>
        <v>196380</v>
      </c>
      <c r="L108" s="63"/>
    </row>
    <row r="109" spans="2:47" s="30" customFormat="1" ht="20.100000000000001" customHeight="1">
      <c r="B109" s="63"/>
      <c r="D109" s="64" t="s">
        <v>4461</v>
      </c>
      <c r="E109" s="65"/>
      <c r="F109" s="65"/>
      <c r="G109" s="65"/>
      <c r="H109" s="65"/>
      <c r="I109" s="65"/>
      <c r="J109" s="78">
        <f>J233</f>
        <v>75200</v>
      </c>
      <c r="L109" s="63"/>
    </row>
    <row r="110" spans="2:47" s="30" customFormat="1" ht="20.100000000000001" customHeight="1">
      <c r="B110" s="63"/>
      <c r="D110" s="64" t="s">
        <v>4462</v>
      </c>
      <c r="E110" s="65"/>
      <c r="F110" s="65"/>
      <c r="G110" s="65"/>
      <c r="H110" s="65"/>
      <c r="I110" s="65"/>
      <c r="J110" s="78">
        <f>J238</f>
        <v>35000</v>
      </c>
      <c r="L110" s="63"/>
    </row>
    <row r="111" spans="2:47" s="29" customFormat="1" ht="24.9" customHeight="1">
      <c r="B111" s="60"/>
      <c r="D111" s="61" t="s">
        <v>4464</v>
      </c>
      <c r="E111" s="62"/>
      <c r="F111" s="62"/>
      <c r="G111" s="62"/>
      <c r="H111" s="62"/>
      <c r="I111" s="62"/>
      <c r="J111" s="77">
        <f>J243</f>
        <v>1305245</v>
      </c>
      <c r="L111" s="60"/>
    </row>
    <row r="112" spans="2:47" s="30" customFormat="1" ht="20.100000000000001" customHeight="1">
      <c r="B112" s="63"/>
      <c r="D112" s="64" t="s">
        <v>4458</v>
      </c>
      <c r="E112" s="65"/>
      <c r="F112" s="65"/>
      <c r="G112" s="65"/>
      <c r="H112" s="65"/>
      <c r="I112" s="65"/>
      <c r="J112" s="78">
        <f>J244</f>
        <v>525000</v>
      </c>
      <c r="L112" s="63"/>
    </row>
    <row r="113" spans="2:12" s="30" customFormat="1" ht="20.100000000000001" customHeight="1">
      <c r="B113" s="63"/>
      <c r="D113" s="64" t="s">
        <v>4459</v>
      </c>
      <c r="E113" s="65"/>
      <c r="F113" s="65"/>
      <c r="G113" s="65"/>
      <c r="H113" s="65"/>
      <c r="I113" s="65"/>
      <c r="J113" s="78">
        <f>J247</f>
        <v>518700</v>
      </c>
      <c r="L113" s="63"/>
    </row>
    <row r="114" spans="2:12" s="30" customFormat="1" ht="20.100000000000001" customHeight="1">
      <c r="B114" s="63"/>
      <c r="D114" s="64" t="s">
        <v>4460</v>
      </c>
      <c r="E114" s="65"/>
      <c r="F114" s="65"/>
      <c r="G114" s="65"/>
      <c r="H114" s="65"/>
      <c r="I114" s="65"/>
      <c r="J114" s="78">
        <f>J260</f>
        <v>156920</v>
      </c>
      <c r="L114" s="63"/>
    </row>
    <row r="115" spans="2:12" s="30" customFormat="1" ht="20.100000000000001" customHeight="1">
      <c r="B115" s="63"/>
      <c r="D115" s="64" t="s">
        <v>4461</v>
      </c>
      <c r="E115" s="65"/>
      <c r="F115" s="65"/>
      <c r="G115" s="65"/>
      <c r="H115" s="65"/>
      <c r="I115" s="65"/>
      <c r="J115" s="78">
        <f>J273</f>
        <v>59625</v>
      </c>
      <c r="L115" s="63"/>
    </row>
    <row r="116" spans="2:12" s="30" customFormat="1" ht="20.100000000000001" customHeight="1">
      <c r="B116" s="63"/>
      <c r="D116" s="64" t="s">
        <v>4462</v>
      </c>
      <c r="E116" s="65"/>
      <c r="F116" s="65"/>
      <c r="G116" s="65"/>
      <c r="H116" s="65"/>
      <c r="I116" s="65"/>
      <c r="J116" s="78">
        <f>J278</f>
        <v>45000</v>
      </c>
      <c r="L116" s="63"/>
    </row>
    <row r="117" spans="2:12" s="29" customFormat="1" ht="24.9" customHeight="1">
      <c r="B117" s="60"/>
      <c r="D117" s="61" t="s">
        <v>4465</v>
      </c>
      <c r="E117" s="62"/>
      <c r="F117" s="62"/>
      <c r="G117" s="62"/>
      <c r="H117" s="62"/>
      <c r="I117" s="62"/>
      <c r="J117" s="77">
        <f>J284</f>
        <v>1597450</v>
      </c>
      <c r="L117" s="60"/>
    </row>
    <row r="118" spans="2:12" s="30" customFormat="1" ht="20.100000000000001" customHeight="1">
      <c r="B118" s="63"/>
      <c r="D118" s="64" t="s">
        <v>4458</v>
      </c>
      <c r="E118" s="65"/>
      <c r="F118" s="65"/>
      <c r="G118" s="65"/>
      <c r="H118" s="65"/>
      <c r="I118" s="65"/>
      <c r="J118" s="78">
        <f>J285</f>
        <v>655000</v>
      </c>
      <c r="L118" s="63"/>
    </row>
    <row r="119" spans="2:12" s="30" customFormat="1" ht="20.100000000000001" customHeight="1">
      <c r="B119" s="63"/>
      <c r="D119" s="64" t="s">
        <v>4459</v>
      </c>
      <c r="E119" s="65"/>
      <c r="F119" s="65"/>
      <c r="G119" s="65"/>
      <c r="H119" s="65"/>
      <c r="I119" s="65"/>
      <c r="J119" s="78">
        <f>J288</f>
        <v>629700</v>
      </c>
      <c r="L119" s="63"/>
    </row>
    <row r="120" spans="2:12" s="30" customFormat="1" ht="20.100000000000001" customHeight="1">
      <c r="B120" s="63"/>
      <c r="D120" s="64" t="s">
        <v>4460</v>
      </c>
      <c r="E120" s="65"/>
      <c r="F120" s="65"/>
      <c r="G120" s="65"/>
      <c r="H120" s="65"/>
      <c r="I120" s="65"/>
      <c r="J120" s="78">
        <f>J303</f>
        <v>192550</v>
      </c>
      <c r="L120" s="63"/>
    </row>
    <row r="121" spans="2:12" s="30" customFormat="1" ht="20.100000000000001" customHeight="1">
      <c r="B121" s="63"/>
      <c r="D121" s="64" t="s">
        <v>4461</v>
      </c>
      <c r="E121" s="65"/>
      <c r="F121" s="65"/>
      <c r="G121" s="65"/>
      <c r="H121" s="65"/>
      <c r="I121" s="65"/>
      <c r="J121" s="78">
        <f>J320</f>
        <v>75200</v>
      </c>
      <c r="L121" s="63"/>
    </row>
    <row r="122" spans="2:12" s="30" customFormat="1" ht="20.100000000000001" customHeight="1">
      <c r="B122" s="63"/>
      <c r="D122" s="64" t="s">
        <v>4462</v>
      </c>
      <c r="E122" s="65"/>
      <c r="F122" s="65"/>
      <c r="G122" s="65"/>
      <c r="H122" s="65"/>
      <c r="I122" s="65"/>
      <c r="J122" s="78">
        <f>J325</f>
        <v>45000</v>
      </c>
      <c r="L122" s="63"/>
    </row>
    <row r="123" spans="2:12" s="1" customFormat="1" ht="21.75" customHeight="1">
      <c r="B123" s="12"/>
      <c r="L123" s="12"/>
    </row>
    <row r="124" spans="2:12" s="1" customFormat="1" ht="6.9" customHeight="1">
      <c r="B124" s="26"/>
      <c r="C124" s="27"/>
      <c r="D124" s="27"/>
      <c r="E124" s="27"/>
      <c r="F124" s="27"/>
      <c r="G124" s="27"/>
      <c r="H124" s="27"/>
      <c r="I124" s="27"/>
      <c r="J124" s="27"/>
      <c r="K124" s="27"/>
      <c r="L124" s="12"/>
    </row>
    <row r="128" spans="2:12" s="1" customFormat="1" ht="6.9" customHeight="1">
      <c r="B128" s="56"/>
      <c r="C128" s="57"/>
      <c r="D128" s="57"/>
      <c r="E128" s="57"/>
      <c r="F128" s="57"/>
      <c r="G128" s="57"/>
      <c r="H128" s="57"/>
      <c r="I128" s="57"/>
      <c r="J128" s="57"/>
      <c r="K128" s="57"/>
      <c r="L128" s="12"/>
    </row>
    <row r="129" spans="2:63" s="1" customFormat="1" ht="24.9" customHeight="1">
      <c r="B129" s="12"/>
      <c r="C129" s="6" t="s">
        <v>195</v>
      </c>
      <c r="L129" s="12"/>
    </row>
    <row r="130" spans="2:63" s="1" customFormat="1" ht="6.9" customHeight="1">
      <c r="B130" s="12"/>
      <c r="L130" s="12"/>
    </row>
    <row r="131" spans="2:63" s="1" customFormat="1" ht="12" customHeight="1">
      <c r="B131" s="12"/>
      <c r="C131" s="10" t="s">
        <v>16</v>
      </c>
      <c r="L131" s="12"/>
    </row>
    <row r="132" spans="2:63" s="1" customFormat="1" ht="16.5" customHeight="1">
      <c r="B132" s="12"/>
      <c r="E132" s="392" t="str">
        <f>E7</f>
        <v>Bytový soubor Libuše</v>
      </c>
      <c r="F132" s="393"/>
      <c r="G132" s="393"/>
      <c r="H132" s="393"/>
      <c r="L132" s="12"/>
    </row>
    <row r="133" spans="2:63" ht="12" customHeight="1">
      <c r="B133" s="5"/>
      <c r="C133" s="10" t="s">
        <v>182</v>
      </c>
      <c r="L133" s="5"/>
    </row>
    <row r="134" spans="2:63" s="1" customFormat="1" ht="16.5" customHeight="1">
      <c r="B134" s="12"/>
      <c r="E134" s="392" t="s">
        <v>293</v>
      </c>
      <c r="F134" s="394"/>
      <c r="G134" s="394"/>
      <c r="H134" s="394"/>
      <c r="L134" s="12"/>
    </row>
    <row r="135" spans="2:63" s="1" customFormat="1" ht="12" customHeight="1">
      <c r="B135" s="12"/>
      <c r="C135" s="10" t="s">
        <v>296</v>
      </c>
      <c r="L135" s="12"/>
    </row>
    <row r="136" spans="2:63" s="1" customFormat="1" ht="16.5" customHeight="1">
      <c r="B136" s="12"/>
      <c r="E136" s="381" t="str">
        <f>E11</f>
        <v>D1.520 - Rozvody chladu</v>
      </c>
      <c r="F136" s="394"/>
      <c r="G136" s="394"/>
      <c r="H136" s="394"/>
      <c r="L136" s="12"/>
    </row>
    <row r="137" spans="2:63" s="1" customFormat="1" ht="6.9" customHeight="1">
      <c r="B137" s="12"/>
      <c r="L137" s="12"/>
    </row>
    <row r="138" spans="2:63" s="1" customFormat="1" ht="12" customHeight="1">
      <c r="B138" s="12"/>
      <c r="C138" s="10" t="s">
        <v>20</v>
      </c>
      <c r="F138" s="32" t="str">
        <f>F14</f>
        <v>Praha</v>
      </c>
      <c r="I138" s="10" t="s">
        <v>22</v>
      </c>
      <c r="J138" s="11">
        <f>IF(J14="","",J14)</f>
        <v>45000</v>
      </c>
      <c r="L138" s="12"/>
    </row>
    <row r="139" spans="2:63" s="1" customFormat="1" ht="6.9" customHeight="1">
      <c r="B139" s="12"/>
      <c r="L139" s="12"/>
    </row>
    <row r="140" spans="2:63" s="1" customFormat="1" ht="15.15" customHeight="1">
      <c r="B140" s="12"/>
      <c r="C140" s="10" t="s">
        <v>23</v>
      </c>
      <c r="F140" s="32" t="str">
        <f>E17</f>
        <v>VELTON REAL ESTATE</v>
      </c>
      <c r="I140" s="10" t="s">
        <v>31</v>
      </c>
      <c r="J140" s="8" t="str">
        <f>E23</f>
        <v>ABMV World s.r.o</v>
      </c>
      <c r="L140" s="12"/>
    </row>
    <row r="141" spans="2:63" s="1" customFormat="1" ht="15.15" customHeight="1">
      <c r="B141" s="12"/>
      <c r="C141" s="10" t="s">
        <v>27</v>
      </c>
      <c r="F141" s="32" t="str">
        <f>IF(E20="","",E20)</f>
        <v>DMG Stav a.s.</v>
      </c>
      <c r="I141" s="10" t="s">
        <v>34</v>
      </c>
      <c r="J141" s="8" t="str">
        <f>E26</f>
        <v>QSB s.r.o.</v>
      </c>
      <c r="L141" s="12"/>
    </row>
    <row r="142" spans="2:63" s="1" customFormat="1" ht="10.35" customHeight="1">
      <c r="B142" s="12"/>
      <c r="L142" s="12"/>
    </row>
    <row r="143" spans="2:63" s="2" customFormat="1" ht="29.25" customHeight="1">
      <c r="B143" s="13"/>
      <c r="C143" s="14" t="s">
        <v>196</v>
      </c>
      <c r="D143" s="15" t="s">
        <v>62</v>
      </c>
      <c r="E143" s="15" t="s">
        <v>58</v>
      </c>
      <c r="F143" s="15" t="s">
        <v>59</v>
      </c>
      <c r="G143" s="15" t="s">
        <v>197</v>
      </c>
      <c r="H143" s="15" t="s">
        <v>198</v>
      </c>
      <c r="I143" s="15" t="s">
        <v>199</v>
      </c>
      <c r="J143" s="16" t="s">
        <v>186</v>
      </c>
      <c r="K143" s="79" t="s">
        <v>200</v>
      </c>
      <c r="L143" s="13"/>
      <c r="M143" s="80" t="s">
        <v>1</v>
      </c>
      <c r="N143" s="81" t="s">
        <v>41</v>
      </c>
      <c r="O143" s="81" t="s">
        <v>201</v>
      </c>
      <c r="P143" s="81" t="s">
        <v>202</v>
      </c>
      <c r="Q143" s="81" t="s">
        <v>203</v>
      </c>
      <c r="R143" s="81" t="s">
        <v>204</v>
      </c>
      <c r="S143" s="81" t="s">
        <v>205</v>
      </c>
      <c r="T143" s="96" t="s">
        <v>206</v>
      </c>
    </row>
    <row r="144" spans="2:63" s="1" customFormat="1" ht="23.1" customHeight="1">
      <c r="B144" s="12"/>
      <c r="C144" s="66" t="s">
        <v>207</v>
      </c>
      <c r="J144" s="82">
        <f>BK144</f>
        <v>5661300</v>
      </c>
      <c r="L144" s="12"/>
      <c r="M144" s="83"/>
      <c r="N144" s="35"/>
      <c r="O144" s="35"/>
      <c r="P144" s="84">
        <f>P145+P197+P243+P284</f>
        <v>0</v>
      </c>
      <c r="Q144" s="35"/>
      <c r="R144" s="84">
        <f>R145+R197+R243+R284</f>
        <v>0</v>
      </c>
      <c r="S144" s="35"/>
      <c r="T144" s="97">
        <f>T145+T197+T243+T284</f>
        <v>0</v>
      </c>
      <c r="AT144" s="23" t="s">
        <v>76</v>
      </c>
      <c r="AU144" s="23" t="s">
        <v>188</v>
      </c>
      <c r="BK144" s="102">
        <f>BK145+BK197+BK243+BK284</f>
        <v>5661300</v>
      </c>
    </row>
    <row r="145" spans="2:65" s="31" customFormat="1" ht="26.1" customHeight="1">
      <c r="B145" s="67"/>
      <c r="D145" s="68" t="s">
        <v>76</v>
      </c>
      <c r="E145" s="69" t="s">
        <v>3830</v>
      </c>
      <c r="F145" s="69" t="s">
        <v>4247</v>
      </c>
      <c r="I145" s="85"/>
      <c r="J145" s="86">
        <f>BK145</f>
        <v>1200425</v>
      </c>
      <c r="L145" s="67"/>
      <c r="M145" s="87"/>
      <c r="P145" s="88">
        <f>P146+P149+P170+P187+P192</f>
        <v>0</v>
      </c>
      <c r="R145" s="88">
        <f>R146+R149+R170+R187+R192</f>
        <v>0</v>
      </c>
      <c r="T145" s="98">
        <f>T146+T149+T170+T187+T192</f>
        <v>0</v>
      </c>
      <c r="AR145" s="68" t="s">
        <v>85</v>
      </c>
      <c r="AT145" s="100" t="s">
        <v>76</v>
      </c>
      <c r="AU145" s="100" t="s">
        <v>77</v>
      </c>
      <c r="AY145" s="68" t="s">
        <v>211</v>
      </c>
      <c r="BK145" s="103">
        <f>BK146+BK149+BK170+BK187+BK192</f>
        <v>1200425</v>
      </c>
    </row>
    <row r="146" spans="2:65" s="31" customFormat="1" ht="23.1" customHeight="1">
      <c r="B146" s="67"/>
      <c r="D146" s="68" t="s">
        <v>76</v>
      </c>
      <c r="E146" s="70" t="s">
        <v>4466</v>
      </c>
      <c r="F146" s="70" t="s">
        <v>4467</v>
      </c>
      <c r="I146" s="85"/>
      <c r="J146" s="89">
        <f>BK146</f>
        <v>525000</v>
      </c>
      <c r="L146" s="67"/>
      <c r="M146" s="87"/>
      <c r="P146" s="88">
        <f>SUM(P147:P148)</f>
        <v>0</v>
      </c>
      <c r="R146" s="88">
        <f>SUM(R147:R148)</f>
        <v>0</v>
      </c>
      <c r="T146" s="98">
        <f>SUM(T147:T148)</f>
        <v>0</v>
      </c>
      <c r="AR146" s="68" t="s">
        <v>85</v>
      </c>
      <c r="AT146" s="100" t="s">
        <v>76</v>
      </c>
      <c r="AU146" s="100" t="s">
        <v>85</v>
      </c>
      <c r="AY146" s="68" t="s">
        <v>211</v>
      </c>
      <c r="BK146" s="103">
        <f>SUM(BK147:BK148)</f>
        <v>525000</v>
      </c>
    </row>
    <row r="147" spans="2:65" s="1" customFormat="1" ht="33" customHeight="1">
      <c r="B147" s="12"/>
      <c r="C147" s="114" t="s">
        <v>85</v>
      </c>
      <c r="D147" s="114" t="s">
        <v>438</v>
      </c>
      <c r="E147" s="115" t="s">
        <v>4468</v>
      </c>
      <c r="F147" s="116" t="s">
        <v>4469</v>
      </c>
      <c r="G147" s="117" t="s">
        <v>808</v>
      </c>
      <c r="H147" s="118">
        <v>1</v>
      </c>
      <c r="I147" s="122">
        <v>515000</v>
      </c>
      <c r="J147" s="123">
        <f>ROUND(I147*H147,2)</f>
        <v>515000</v>
      </c>
      <c r="K147" s="124"/>
      <c r="L147" s="125"/>
      <c r="M147" s="126" t="s">
        <v>1</v>
      </c>
      <c r="N147" s="127" t="s">
        <v>42</v>
      </c>
      <c r="P147" s="95">
        <f>O147*H147</f>
        <v>0</v>
      </c>
      <c r="Q147" s="95">
        <v>0</v>
      </c>
      <c r="R147" s="95">
        <f>Q147*H147</f>
        <v>0</v>
      </c>
      <c r="S147" s="95">
        <v>0</v>
      </c>
      <c r="T147" s="99">
        <f>S147*H147</f>
        <v>0</v>
      </c>
      <c r="AR147" s="101" t="s">
        <v>250</v>
      </c>
      <c r="AT147" s="101" t="s">
        <v>438</v>
      </c>
      <c r="AU147" s="101" t="s">
        <v>87</v>
      </c>
      <c r="AY147" s="23" t="s">
        <v>211</v>
      </c>
      <c r="BE147" s="104">
        <f>IF(N147="základní",J147,0)</f>
        <v>515000</v>
      </c>
      <c r="BF147" s="104">
        <f>IF(N147="snížená",J147,0)</f>
        <v>0</v>
      </c>
      <c r="BG147" s="104">
        <f>IF(N147="zákl. přenesená",J147,0)</f>
        <v>0</v>
      </c>
      <c r="BH147" s="104">
        <f>IF(N147="sníž. přenesená",J147,0)</f>
        <v>0</v>
      </c>
      <c r="BI147" s="104">
        <f>IF(N147="nulová",J147,0)</f>
        <v>0</v>
      </c>
      <c r="BJ147" s="23" t="s">
        <v>85</v>
      </c>
      <c r="BK147" s="104">
        <f>ROUND(I147*H147,2)</f>
        <v>515000</v>
      </c>
      <c r="BL147" s="23" t="s">
        <v>218</v>
      </c>
      <c r="BM147" s="101" t="s">
        <v>87</v>
      </c>
    </row>
    <row r="148" spans="2:65" s="1" customFormat="1" ht="16.5" customHeight="1">
      <c r="B148" s="12"/>
      <c r="C148" s="71" t="s">
        <v>87</v>
      </c>
      <c r="D148" s="71" t="s">
        <v>214</v>
      </c>
      <c r="E148" s="72" t="s">
        <v>4470</v>
      </c>
      <c r="F148" s="73" t="s">
        <v>4471</v>
      </c>
      <c r="G148" s="74" t="s">
        <v>808</v>
      </c>
      <c r="H148" s="75">
        <v>1</v>
      </c>
      <c r="I148" s="90">
        <v>10000</v>
      </c>
      <c r="J148" s="91">
        <f>ROUND(I148*H148,2)</f>
        <v>10000</v>
      </c>
      <c r="K148" s="92"/>
      <c r="L148" s="12"/>
      <c r="M148" s="93" t="s">
        <v>1</v>
      </c>
      <c r="N148" s="94" t="s">
        <v>42</v>
      </c>
      <c r="P148" s="95">
        <f>O148*H148</f>
        <v>0</v>
      </c>
      <c r="Q148" s="95">
        <v>0</v>
      </c>
      <c r="R148" s="95">
        <f>Q148*H148</f>
        <v>0</v>
      </c>
      <c r="S148" s="95">
        <v>0</v>
      </c>
      <c r="T148" s="99">
        <f>S148*H148</f>
        <v>0</v>
      </c>
      <c r="AR148" s="101" t="s">
        <v>218</v>
      </c>
      <c r="AT148" s="101" t="s">
        <v>214</v>
      </c>
      <c r="AU148" s="101" t="s">
        <v>87</v>
      </c>
      <c r="AY148" s="23" t="s">
        <v>211</v>
      </c>
      <c r="BE148" s="104">
        <f>IF(N148="základní",J148,0)</f>
        <v>10000</v>
      </c>
      <c r="BF148" s="104">
        <f>IF(N148="snížená",J148,0)</f>
        <v>0</v>
      </c>
      <c r="BG148" s="104">
        <f>IF(N148="zákl. přenesená",J148,0)</f>
        <v>0</v>
      </c>
      <c r="BH148" s="104">
        <f>IF(N148="sníž. přenesená",J148,0)</f>
        <v>0</v>
      </c>
      <c r="BI148" s="104">
        <f>IF(N148="nulová",J148,0)</f>
        <v>0</v>
      </c>
      <c r="BJ148" s="23" t="s">
        <v>85</v>
      </c>
      <c r="BK148" s="104">
        <f>ROUND(I148*H148,2)</f>
        <v>10000</v>
      </c>
      <c r="BL148" s="23" t="s">
        <v>218</v>
      </c>
      <c r="BM148" s="101" t="s">
        <v>218</v>
      </c>
    </row>
    <row r="149" spans="2:65" s="31" customFormat="1" ht="23.1" customHeight="1">
      <c r="B149" s="67"/>
      <c r="D149" s="68" t="s">
        <v>76</v>
      </c>
      <c r="E149" s="70" t="s">
        <v>4472</v>
      </c>
      <c r="F149" s="70" t="s">
        <v>4473</v>
      </c>
      <c r="I149" s="85"/>
      <c r="J149" s="89">
        <f>BK149</f>
        <v>428500</v>
      </c>
      <c r="L149" s="67"/>
      <c r="M149" s="87"/>
      <c r="P149" s="88">
        <f>SUM(P150:P169)</f>
        <v>0</v>
      </c>
      <c r="R149" s="88">
        <f>SUM(R150:R169)</f>
        <v>0</v>
      </c>
      <c r="T149" s="98">
        <f>SUM(T150:T169)</f>
        <v>0</v>
      </c>
      <c r="AR149" s="68" t="s">
        <v>85</v>
      </c>
      <c r="AT149" s="100" t="s">
        <v>76</v>
      </c>
      <c r="AU149" s="100" t="s">
        <v>85</v>
      </c>
      <c r="AY149" s="68" t="s">
        <v>211</v>
      </c>
      <c r="BK149" s="103">
        <f>SUM(BK150:BK169)</f>
        <v>428500</v>
      </c>
    </row>
    <row r="150" spans="2:65" s="1" customFormat="1" ht="24.15" customHeight="1">
      <c r="B150" s="12"/>
      <c r="C150" s="114" t="s">
        <v>137</v>
      </c>
      <c r="D150" s="114" t="s">
        <v>438</v>
      </c>
      <c r="E150" s="115" t="s">
        <v>4474</v>
      </c>
      <c r="F150" s="116" t="s">
        <v>4475</v>
      </c>
      <c r="G150" s="117" t="s">
        <v>808</v>
      </c>
      <c r="H150" s="118">
        <v>7</v>
      </c>
      <c r="I150" s="122">
        <v>12300</v>
      </c>
      <c r="J150" s="123">
        <f t="shared" ref="J150:J169" si="0">ROUND(I150*H150,2)</f>
        <v>86100</v>
      </c>
      <c r="K150" s="124"/>
      <c r="L150" s="125"/>
      <c r="M150" s="126" t="s">
        <v>1</v>
      </c>
      <c r="N150" s="127" t="s">
        <v>42</v>
      </c>
      <c r="P150" s="95">
        <f t="shared" ref="P150:P169" si="1">O150*H150</f>
        <v>0</v>
      </c>
      <c r="Q150" s="95">
        <v>0</v>
      </c>
      <c r="R150" s="95">
        <f t="shared" ref="R150:R169" si="2">Q150*H150</f>
        <v>0</v>
      </c>
      <c r="S150" s="95">
        <v>0</v>
      </c>
      <c r="T150" s="99">
        <f t="shared" ref="T150:T169" si="3">S150*H150</f>
        <v>0</v>
      </c>
      <c r="AR150" s="101" t="s">
        <v>250</v>
      </c>
      <c r="AT150" s="101" t="s">
        <v>438</v>
      </c>
      <c r="AU150" s="101" t="s">
        <v>87</v>
      </c>
      <c r="AY150" s="23" t="s">
        <v>211</v>
      </c>
      <c r="BE150" s="104">
        <f t="shared" ref="BE150:BE169" si="4">IF(N150="základní",J150,0)</f>
        <v>86100</v>
      </c>
      <c r="BF150" s="104">
        <f t="shared" ref="BF150:BF169" si="5">IF(N150="snížená",J150,0)</f>
        <v>0</v>
      </c>
      <c r="BG150" s="104">
        <f t="shared" ref="BG150:BG169" si="6">IF(N150="zákl. přenesená",J150,0)</f>
        <v>0</v>
      </c>
      <c r="BH150" s="104">
        <f t="shared" ref="BH150:BH169" si="7">IF(N150="sníž. přenesená",J150,0)</f>
        <v>0</v>
      </c>
      <c r="BI150" s="104">
        <f t="shared" ref="BI150:BI169" si="8">IF(N150="nulová",J150,0)</f>
        <v>0</v>
      </c>
      <c r="BJ150" s="23" t="s">
        <v>85</v>
      </c>
      <c r="BK150" s="104">
        <f t="shared" ref="BK150:BK169" si="9">ROUND(I150*H150,2)</f>
        <v>86100</v>
      </c>
      <c r="BL150" s="23" t="s">
        <v>218</v>
      </c>
      <c r="BM150" s="101" t="s">
        <v>239</v>
      </c>
    </row>
    <row r="151" spans="2:65" s="1" customFormat="1" ht="16.5" customHeight="1">
      <c r="B151" s="12"/>
      <c r="C151" s="71" t="s">
        <v>218</v>
      </c>
      <c r="D151" s="71" t="s">
        <v>214</v>
      </c>
      <c r="E151" s="72" t="s">
        <v>4476</v>
      </c>
      <c r="F151" s="73" t="s">
        <v>4477</v>
      </c>
      <c r="G151" s="74" t="s">
        <v>808</v>
      </c>
      <c r="H151" s="75">
        <v>7</v>
      </c>
      <c r="I151" s="90">
        <v>3000</v>
      </c>
      <c r="J151" s="91">
        <f t="shared" si="0"/>
        <v>21000</v>
      </c>
      <c r="K151" s="92"/>
      <c r="L151" s="12"/>
      <c r="M151" s="93" t="s">
        <v>1</v>
      </c>
      <c r="N151" s="94" t="s">
        <v>42</v>
      </c>
      <c r="P151" s="95">
        <f t="shared" si="1"/>
        <v>0</v>
      </c>
      <c r="Q151" s="95">
        <v>0</v>
      </c>
      <c r="R151" s="95">
        <f t="shared" si="2"/>
        <v>0</v>
      </c>
      <c r="S151" s="95">
        <v>0</v>
      </c>
      <c r="T151" s="99">
        <f t="shared" si="3"/>
        <v>0</v>
      </c>
      <c r="AR151" s="101" t="s">
        <v>218</v>
      </c>
      <c r="AT151" s="101" t="s">
        <v>214</v>
      </c>
      <c r="AU151" s="101" t="s">
        <v>87</v>
      </c>
      <c r="AY151" s="23" t="s">
        <v>211</v>
      </c>
      <c r="BE151" s="104">
        <f t="shared" si="4"/>
        <v>21000</v>
      </c>
      <c r="BF151" s="104">
        <f t="shared" si="5"/>
        <v>0</v>
      </c>
      <c r="BG151" s="104">
        <f t="shared" si="6"/>
        <v>0</v>
      </c>
      <c r="BH151" s="104">
        <f t="shared" si="7"/>
        <v>0</v>
      </c>
      <c r="BI151" s="104">
        <f t="shared" si="8"/>
        <v>0</v>
      </c>
      <c r="BJ151" s="23" t="s">
        <v>85</v>
      </c>
      <c r="BK151" s="104">
        <f t="shared" si="9"/>
        <v>21000</v>
      </c>
      <c r="BL151" s="23" t="s">
        <v>218</v>
      </c>
      <c r="BM151" s="101" t="s">
        <v>250</v>
      </c>
    </row>
    <row r="152" spans="2:65" s="1" customFormat="1" ht="24.15" customHeight="1">
      <c r="B152" s="12"/>
      <c r="C152" s="114" t="s">
        <v>210</v>
      </c>
      <c r="D152" s="114" t="s">
        <v>438</v>
      </c>
      <c r="E152" s="115" t="s">
        <v>4478</v>
      </c>
      <c r="F152" s="116" t="s">
        <v>4479</v>
      </c>
      <c r="G152" s="117" t="s">
        <v>808</v>
      </c>
      <c r="H152" s="118">
        <v>7</v>
      </c>
      <c r="I152" s="122">
        <v>11900</v>
      </c>
      <c r="J152" s="123">
        <f t="shared" si="0"/>
        <v>83300</v>
      </c>
      <c r="K152" s="124"/>
      <c r="L152" s="125"/>
      <c r="M152" s="126" t="s">
        <v>1</v>
      </c>
      <c r="N152" s="127" t="s">
        <v>42</v>
      </c>
      <c r="P152" s="95">
        <f t="shared" si="1"/>
        <v>0</v>
      </c>
      <c r="Q152" s="95">
        <v>0</v>
      </c>
      <c r="R152" s="95">
        <f t="shared" si="2"/>
        <v>0</v>
      </c>
      <c r="S152" s="95">
        <v>0</v>
      </c>
      <c r="T152" s="99">
        <f t="shared" si="3"/>
        <v>0</v>
      </c>
      <c r="AR152" s="101" t="s">
        <v>250</v>
      </c>
      <c r="AT152" s="101" t="s">
        <v>438</v>
      </c>
      <c r="AU152" s="101" t="s">
        <v>87</v>
      </c>
      <c r="AY152" s="23" t="s">
        <v>211</v>
      </c>
      <c r="BE152" s="104">
        <f t="shared" si="4"/>
        <v>83300</v>
      </c>
      <c r="BF152" s="104">
        <f t="shared" si="5"/>
        <v>0</v>
      </c>
      <c r="BG152" s="104">
        <f t="shared" si="6"/>
        <v>0</v>
      </c>
      <c r="BH152" s="104">
        <f t="shared" si="7"/>
        <v>0</v>
      </c>
      <c r="BI152" s="104">
        <f t="shared" si="8"/>
        <v>0</v>
      </c>
      <c r="BJ152" s="23" t="s">
        <v>85</v>
      </c>
      <c r="BK152" s="104">
        <f t="shared" si="9"/>
        <v>83300</v>
      </c>
      <c r="BL152" s="23" t="s">
        <v>218</v>
      </c>
      <c r="BM152" s="101" t="s">
        <v>259</v>
      </c>
    </row>
    <row r="153" spans="2:65" s="1" customFormat="1" ht="16.5" customHeight="1">
      <c r="B153" s="12"/>
      <c r="C153" s="71" t="s">
        <v>239</v>
      </c>
      <c r="D153" s="71" t="s">
        <v>214</v>
      </c>
      <c r="E153" s="72" t="s">
        <v>4480</v>
      </c>
      <c r="F153" s="73" t="s">
        <v>4481</v>
      </c>
      <c r="G153" s="74" t="s">
        <v>808</v>
      </c>
      <c r="H153" s="75">
        <v>7</v>
      </c>
      <c r="I153" s="90">
        <v>3000</v>
      </c>
      <c r="J153" s="91">
        <f t="shared" si="0"/>
        <v>21000</v>
      </c>
      <c r="K153" s="92"/>
      <c r="L153" s="12"/>
      <c r="M153" s="93" t="s">
        <v>1</v>
      </c>
      <c r="N153" s="94" t="s">
        <v>42</v>
      </c>
      <c r="P153" s="95">
        <f t="shared" si="1"/>
        <v>0</v>
      </c>
      <c r="Q153" s="95">
        <v>0</v>
      </c>
      <c r="R153" s="95">
        <f t="shared" si="2"/>
        <v>0</v>
      </c>
      <c r="S153" s="95">
        <v>0</v>
      </c>
      <c r="T153" s="99">
        <f t="shared" si="3"/>
        <v>0</v>
      </c>
      <c r="AR153" s="101" t="s">
        <v>218</v>
      </c>
      <c r="AT153" s="101" t="s">
        <v>214</v>
      </c>
      <c r="AU153" s="101" t="s">
        <v>87</v>
      </c>
      <c r="AY153" s="23" t="s">
        <v>211</v>
      </c>
      <c r="BE153" s="104">
        <f t="shared" si="4"/>
        <v>21000</v>
      </c>
      <c r="BF153" s="104">
        <f t="shared" si="5"/>
        <v>0</v>
      </c>
      <c r="BG153" s="104">
        <f t="shared" si="6"/>
        <v>0</v>
      </c>
      <c r="BH153" s="104">
        <f t="shared" si="7"/>
        <v>0</v>
      </c>
      <c r="BI153" s="104">
        <f t="shared" si="8"/>
        <v>0</v>
      </c>
      <c r="BJ153" s="23" t="s">
        <v>85</v>
      </c>
      <c r="BK153" s="104">
        <f t="shared" si="9"/>
        <v>21000</v>
      </c>
      <c r="BL153" s="23" t="s">
        <v>218</v>
      </c>
      <c r="BM153" s="101" t="s">
        <v>273</v>
      </c>
    </row>
    <row r="154" spans="2:65" s="1" customFormat="1" ht="24.15" customHeight="1">
      <c r="B154" s="12"/>
      <c r="C154" s="114" t="s">
        <v>245</v>
      </c>
      <c r="D154" s="114" t="s">
        <v>438</v>
      </c>
      <c r="E154" s="115" t="s">
        <v>4482</v>
      </c>
      <c r="F154" s="116" t="s">
        <v>4483</v>
      </c>
      <c r="G154" s="117" t="s">
        <v>808</v>
      </c>
      <c r="H154" s="118">
        <v>2</v>
      </c>
      <c r="I154" s="122">
        <v>17400</v>
      </c>
      <c r="J154" s="123">
        <f t="shared" si="0"/>
        <v>34800</v>
      </c>
      <c r="K154" s="124"/>
      <c r="L154" s="125"/>
      <c r="M154" s="126" t="s">
        <v>1</v>
      </c>
      <c r="N154" s="127" t="s">
        <v>42</v>
      </c>
      <c r="P154" s="95">
        <f t="shared" si="1"/>
        <v>0</v>
      </c>
      <c r="Q154" s="95">
        <v>0</v>
      </c>
      <c r="R154" s="95">
        <f t="shared" si="2"/>
        <v>0</v>
      </c>
      <c r="S154" s="95">
        <v>0</v>
      </c>
      <c r="T154" s="99">
        <f t="shared" si="3"/>
        <v>0</v>
      </c>
      <c r="AR154" s="101" t="s">
        <v>250</v>
      </c>
      <c r="AT154" s="101" t="s">
        <v>438</v>
      </c>
      <c r="AU154" s="101" t="s">
        <v>87</v>
      </c>
      <c r="AY154" s="23" t="s">
        <v>211</v>
      </c>
      <c r="BE154" s="104">
        <f t="shared" si="4"/>
        <v>34800</v>
      </c>
      <c r="BF154" s="104">
        <f t="shared" si="5"/>
        <v>0</v>
      </c>
      <c r="BG154" s="104">
        <f t="shared" si="6"/>
        <v>0</v>
      </c>
      <c r="BH154" s="104">
        <f t="shared" si="7"/>
        <v>0</v>
      </c>
      <c r="BI154" s="104">
        <f t="shared" si="8"/>
        <v>0</v>
      </c>
      <c r="BJ154" s="23" t="s">
        <v>85</v>
      </c>
      <c r="BK154" s="104">
        <f t="shared" si="9"/>
        <v>34800</v>
      </c>
      <c r="BL154" s="23" t="s">
        <v>218</v>
      </c>
      <c r="BM154" s="101" t="s">
        <v>437</v>
      </c>
    </row>
    <row r="155" spans="2:65" s="1" customFormat="1" ht="16.5" customHeight="1">
      <c r="B155" s="12"/>
      <c r="C155" s="71" t="s">
        <v>250</v>
      </c>
      <c r="D155" s="71" t="s">
        <v>214</v>
      </c>
      <c r="E155" s="72" t="s">
        <v>4484</v>
      </c>
      <c r="F155" s="73" t="s">
        <v>4485</v>
      </c>
      <c r="G155" s="74" t="s">
        <v>808</v>
      </c>
      <c r="H155" s="75">
        <v>2</v>
      </c>
      <c r="I155" s="90">
        <v>3000</v>
      </c>
      <c r="J155" s="91">
        <f t="shared" si="0"/>
        <v>6000</v>
      </c>
      <c r="K155" s="92"/>
      <c r="L155" s="12"/>
      <c r="M155" s="93" t="s">
        <v>1</v>
      </c>
      <c r="N155" s="94" t="s">
        <v>42</v>
      </c>
      <c r="P155" s="95">
        <f t="shared" si="1"/>
        <v>0</v>
      </c>
      <c r="Q155" s="95">
        <v>0</v>
      </c>
      <c r="R155" s="95">
        <f t="shared" si="2"/>
        <v>0</v>
      </c>
      <c r="S155" s="95">
        <v>0</v>
      </c>
      <c r="T155" s="99">
        <f t="shared" si="3"/>
        <v>0</v>
      </c>
      <c r="AR155" s="101" t="s">
        <v>218</v>
      </c>
      <c r="AT155" s="101" t="s">
        <v>214</v>
      </c>
      <c r="AU155" s="101" t="s">
        <v>87</v>
      </c>
      <c r="AY155" s="23" t="s">
        <v>211</v>
      </c>
      <c r="BE155" s="104">
        <f t="shared" si="4"/>
        <v>6000</v>
      </c>
      <c r="BF155" s="104">
        <f t="shared" si="5"/>
        <v>0</v>
      </c>
      <c r="BG155" s="104">
        <f t="shared" si="6"/>
        <v>0</v>
      </c>
      <c r="BH155" s="104">
        <f t="shared" si="7"/>
        <v>0</v>
      </c>
      <c r="BI155" s="104">
        <f t="shared" si="8"/>
        <v>0</v>
      </c>
      <c r="BJ155" s="23" t="s">
        <v>85</v>
      </c>
      <c r="BK155" s="104">
        <f t="shared" si="9"/>
        <v>6000</v>
      </c>
      <c r="BL155" s="23" t="s">
        <v>218</v>
      </c>
      <c r="BM155" s="101" t="s">
        <v>446</v>
      </c>
    </row>
    <row r="156" spans="2:65" s="1" customFormat="1" ht="24.15" customHeight="1">
      <c r="B156" s="12"/>
      <c r="C156" s="114" t="s">
        <v>255</v>
      </c>
      <c r="D156" s="114" t="s">
        <v>438</v>
      </c>
      <c r="E156" s="115" t="s">
        <v>4486</v>
      </c>
      <c r="F156" s="116" t="s">
        <v>4487</v>
      </c>
      <c r="G156" s="117" t="s">
        <v>808</v>
      </c>
      <c r="H156" s="118">
        <v>1</v>
      </c>
      <c r="I156" s="122">
        <v>21000</v>
      </c>
      <c r="J156" s="123">
        <f t="shared" si="0"/>
        <v>21000</v>
      </c>
      <c r="K156" s="124"/>
      <c r="L156" s="125"/>
      <c r="M156" s="126" t="s">
        <v>1</v>
      </c>
      <c r="N156" s="127" t="s">
        <v>42</v>
      </c>
      <c r="P156" s="95">
        <f t="shared" si="1"/>
        <v>0</v>
      </c>
      <c r="Q156" s="95">
        <v>0</v>
      </c>
      <c r="R156" s="95">
        <f t="shared" si="2"/>
        <v>0</v>
      </c>
      <c r="S156" s="95">
        <v>0</v>
      </c>
      <c r="T156" s="99">
        <f t="shared" si="3"/>
        <v>0</v>
      </c>
      <c r="AR156" s="101" t="s">
        <v>250</v>
      </c>
      <c r="AT156" s="101" t="s">
        <v>438</v>
      </c>
      <c r="AU156" s="101" t="s">
        <v>87</v>
      </c>
      <c r="AY156" s="23" t="s">
        <v>211</v>
      </c>
      <c r="BE156" s="104">
        <f t="shared" si="4"/>
        <v>21000</v>
      </c>
      <c r="BF156" s="104">
        <f t="shared" si="5"/>
        <v>0</v>
      </c>
      <c r="BG156" s="104">
        <f t="shared" si="6"/>
        <v>0</v>
      </c>
      <c r="BH156" s="104">
        <f t="shared" si="7"/>
        <v>0</v>
      </c>
      <c r="BI156" s="104">
        <f t="shared" si="8"/>
        <v>0</v>
      </c>
      <c r="BJ156" s="23" t="s">
        <v>85</v>
      </c>
      <c r="BK156" s="104">
        <f t="shared" si="9"/>
        <v>21000</v>
      </c>
      <c r="BL156" s="23" t="s">
        <v>218</v>
      </c>
      <c r="BM156" s="101" t="s">
        <v>454</v>
      </c>
    </row>
    <row r="157" spans="2:65" s="1" customFormat="1" ht="16.5" customHeight="1">
      <c r="B157" s="12"/>
      <c r="C157" s="71" t="s">
        <v>259</v>
      </c>
      <c r="D157" s="71" t="s">
        <v>214</v>
      </c>
      <c r="E157" s="72" t="s">
        <v>4488</v>
      </c>
      <c r="F157" s="73" t="s">
        <v>4489</v>
      </c>
      <c r="G157" s="74" t="s">
        <v>808</v>
      </c>
      <c r="H157" s="75">
        <v>1</v>
      </c>
      <c r="I157" s="90">
        <v>3000</v>
      </c>
      <c r="J157" s="91">
        <f t="shared" si="0"/>
        <v>3000</v>
      </c>
      <c r="K157" s="92"/>
      <c r="L157" s="12"/>
      <c r="M157" s="93" t="s">
        <v>1</v>
      </c>
      <c r="N157" s="94" t="s">
        <v>42</v>
      </c>
      <c r="P157" s="95">
        <f t="shared" si="1"/>
        <v>0</v>
      </c>
      <c r="Q157" s="95">
        <v>0</v>
      </c>
      <c r="R157" s="95">
        <f t="shared" si="2"/>
        <v>0</v>
      </c>
      <c r="S157" s="95">
        <v>0</v>
      </c>
      <c r="T157" s="99">
        <f t="shared" si="3"/>
        <v>0</v>
      </c>
      <c r="AR157" s="101" t="s">
        <v>218</v>
      </c>
      <c r="AT157" s="101" t="s">
        <v>214</v>
      </c>
      <c r="AU157" s="101" t="s">
        <v>87</v>
      </c>
      <c r="AY157" s="23" t="s">
        <v>211</v>
      </c>
      <c r="BE157" s="104">
        <f t="shared" si="4"/>
        <v>3000</v>
      </c>
      <c r="BF157" s="104">
        <f t="shared" si="5"/>
        <v>0</v>
      </c>
      <c r="BG157" s="104">
        <f t="shared" si="6"/>
        <v>0</v>
      </c>
      <c r="BH157" s="104">
        <f t="shared" si="7"/>
        <v>0</v>
      </c>
      <c r="BI157" s="104">
        <f t="shared" si="8"/>
        <v>0</v>
      </c>
      <c r="BJ157" s="23" t="s">
        <v>85</v>
      </c>
      <c r="BK157" s="104">
        <f t="shared" si="9"/>
        <v>3000</v>
      </c>
      <c r="BL157" s="23" t="s">
        <v>218</v>
      </c>
      <c r="BM157" s="101" t="s">
        <v>465</v>
      </c>
    </row>
    <row r="158" spans="2:65" s="1" customFormat="1" ht="38.1" customHeight="1">
      <c r="B158" s="12"/>
      <c r="C158" s="114" t="s">
        <v>266</v>
      </c>
      <c r="D158" s="114" t="s">
        <v>438</v>
      </c>
      <c r="E158" s="115" t="s">
        <v>4490</v>
      </c>
      <c r="F158" s="116" t="s">
        <v>4491</v>
      </c>
      <c r="G158" s="117" t="s">
        <v>808</v>
      </c>
      <c r="H158" s="118">
        <v>3</v>
      </c>
      <c r="I158" s="122">
        <v>2500</v>
      </c>
      <c r="J158" s="123">
        <f t="shared" si="0"/>
        <v>7500</v>
      </c>
      <c r="K158" s="124"/>
      <c r="L158" s="125"/>
      <c r="M158" s="126" t="s">
        <v>1</v>
      </c>
      <c r="N158" s="127" t="s">
        <v>42</v>
      </c>
      <c r="P158" s="95">
        <f t="shared" si="1"/>
        <v>0</v>
      </c>
      <c r="Q158" s="95">
        <v>0</v>
      </c>
      <c r="R158" s="95">
        <f t="shared" si="2"/>
        <v>0</v>
      </c>
      <c r="S158" s="95">
        <v>0</v>
      </c>
      <c r="T158" s="99">
        <f t="shared" si="3"/>
        <v>0</v>
      </c>
      <c r="AR158" s="101" t="s">
        <v>250</v>
      </c>
      <c r="AT158" s="101" t="s">
        <v>438</v>
      </c>
      <c r="AU158" s="101" t="s">
        <v>87</v>
      </c>
      <c r="AY158" s="23" t="s">
        <v>211</v>
      </c>
      <c r="BE158" s="104">
        <f t="shared" si="4"/>
        <v>7500</v>
      </c>
      <c r="BF158" s="104">
        <f t="shared" si="5"/>
        <v>0</v>
      </c>
      <c r="BG158" s="104">
        <f t="shared" si="6"/>
        <v>0</v>
      </c>
      <c r="BH158" s="104">
        <f t="shared" si="7"/>
        <v>0</v>
      </c>
      <c r="BI158" s="104">
        <f t="shared" si="8"/>
        <v>0</v>
      </c>
      <c r="BJ158" s="23" t="s">
        <v>85</v>
      </c>
      <c r="BK158" s="104">
        <f t="shared" si="9"/>
        <v>7500</v>
      </c>
      <c r="BL158" s="23" t="s">
        <v>218</v>
      </c>
      <c r="BM158" s="101" t="s">
        <v>475</v>
      </c>
    </row>
    <row r="159" spans="2:65" s="1" customFormat="1" ht="16.5" customHeight="1">
      <c r="B159" s="12"/>
      <c r="C159" s="71" t="s">
        <v>273</v>
      </c>
      <c r="D159" s="71" t="s">
        <v>214</v>
      </c>
      <c r="E159" s="72" t="s">
        <v>4492</v>
      </c>
      <c r="F159" s="73" t="s">
        <v>4493</v>
      </c>
      <c r="G159" s="74" t="s">
        <v>808</v>
      </c>
      <c r="H159" s="75">
        <v>3</v>
      </c>
      <c r="I159" s="90">
        <v>400</v>
      </c>
      <c r="J159" s="91">
        <f t="shared" si="0"/>
        <v>1200</v>
      </c>
      <c r="K159" s="92"/>
      <c r="L159" s="12"/>
      <c r="M159" s="93" t="s">
        <v>1</v>
      </c>
      <c r="N159" s="94" t="s">
        <v>42</v>
      </c>
      <c r="P159" s="95">
        <f t="shared" si="1"/>
        <v>0</v>
      </c>
      <c r="Q159" s="95">
        <v>0</v>
      </c>
      <c r="R159" s="95">
        <f t="shared" si="2"/>
        <v>0</v>
      </c>
      <c r="S159" s="95">
        <v>0</v>
      </c>
      <c r="T159" s="99">
        <f t="shared" si="3"/>
        <v>0</v>
      </c>
      <c r="AR159" s="101" t="s">
        <v>218</v>
      </c>
      <c r="AT159" s="101" t="s">
        <v>214</v>
      </c>
      <c r="AU159" s="101" t="s">
        <v>87</v>
      </c>
      <c r="AY159" s="23" t="s">
        <v>211</v>
      </c>
      <c r="BE159" s="104">
        <f t="shared" si="4"/>
        <v>1200</v>
      </c>
      <c r="BF159" s="104">
        <f t="shared" si="5"/>
        <v>0</v>
      </c>
      <c r="BG159" s="104">
        <f t="shared" si="6"/>
        <v>0</v>
      </c>
      <c r="BH159" s="104">
        <f t="shared" si="7"/>
        <v>0</v>
      </c>
      <c r="BI159" s="104">
        <f t="shared" si="8"/>
        <v>0</v>
      </c>
      <c r="BJ159" s="23" t="s">
        <v>85</v>
      </c>
      <c r="BK159" s="104">
        <f t="shared" si="9"/>
        <v>1200</v>
      </c>
      <c r="BL159" s="23" t="s">
        <v>218</v>
      </c>
      <c r="BM159" s="101" t="s">
        <v>486</v>
      </c>
    </row>
    <row r="160" spans="2:65" s="1" customFormat="1" ht="24.15" customHeight="1">
      <c r="B160" s="12"/>
      <c r="C160" s="114" t="s">
        <v>433</v>
      </c>
      <c r="D160" s="114" t="s">
        <v>438</v>
      </c>
      <c r="E160" s="115" t="s">
        <v>4494</v>
      </c>
      <c r="F160" s="116" t="s">
        <v>4495</v>
      </c>
      <c r="G160" s="117" t="s">
        <v>808</v>
      </c>
      <c r="H160" s="118">
        <v>1</v>
      </c>
      <c r="I160" s="122">
        <v>16000</v>
      </c>
      <c r="J160" s="123">
        <f t="shared" si="0"/>
        <v>16000</v>
      </c>
      <c r="K160" s="124"/>
      <c r="L160" s="125"/>
      <c r="M160" s="126" t="s">
        <v>1</v>
      </c>
      <c r="N160" s="127" t="s">
        <v>42</v>
      </c>
      <c r="P160" s="95">
        <f t="shared" si="1"/>
        <v>0</v>
      </c>
      <c r="Q160" s="95">
        <v>0</v>
      </c>
      <c r="R160" s="95">
        <f t="shared" si="2"/>
        <v>0</v>
      </c>
      <c r="S160" s="95">
        <v>0</v>
      </c>
      <c r="T160" s="99">
        <f t="shared" si="3"/>
        <v>0</v>
      </c>
      <c r="AR160" s="101" t="s">
        <v>250</v>
      </c>
      <c r="AT160" s="101" t="s">
        <v>438</v>
      </c>
      <c r="AU160" s="101" t="s">
        <v>87</v>
      </c>
      <c r="AY160" s="23" t="s">
        <v>211</v>
      </c>
      <c r="BE160" s="104">
        <f t="shared" si="4"/>
        <v>16000</v>
      </c>
      <c r="BF160" s="104">
        <f t="shared" si="5"/>
        <v>0</v>
      </c>
      <c r="BG160" s="104">
        <f t="shared" si="6"/>
        <v>0</v>
      </c>
      <c r="BH160" s="104">
        <f t="shared" si="7"/>
        <v>0</v>
      </c>
      <c r="BI160" s="104">
        <f t="shared" si="8"/>
        <v>0</v>
      </c>
      <c r="BJ160" s="23" t="s">
        <v>85</v>
      </c>
      <c r="BK160" s="104">
        <f t="shared" si="9"/>
        <v>16000</v>
      </c>
      <c r="BL160" s="23" t="s">
        <v>218</v>
      </c>
      <c r="BM160" s="101" t="s">
        <v>496</v>
      </c>
    </row>
    <row r="161" spans="2:65" s="1" customFormat="1" ht="16.5" customHeight="1">
      <c r="B161" s="12"/>
      <c r="C161" s="71" t="s">
        <v>437</v>
      </c>
      <c r="D161" s="71" t="s">
        <v>214</v>
      </c>
      <c r="E161" s="72" t="s">
        <v>4496</v>
      </c>
      <c r="F161" s="73" t="s">
        <v>4497</v>
      </c>
      <c r="G161" s="74" t="s">
        <v>808</v>
      </c>
      <c r="H161" s="75">
        <v>1</v>
      </c>
      <c r="I161" s="90">
        <v>3000</v>
      </c>
      <c r="J161" s="91">
        <f t="shared" si="0"/>
        <v>3000</v>
      </c>
      <c r="K161" s="92"/>
      <c r="L161" s="12"/>
      <c r="M161" s="93" t="s">
        <v>1</v>
      </c>
      <c r="N161" s="94" t="s">
        <v>42</v>
      </c>
      <c r="P161" s="95">
        <f t="shared" si="1"/>
        <v>0</v>
      </c>
      <c r="Q161" s="95">
        <v>0</v>
      </c>
      <c r="R161" s="95">
        <f t="shared" si="2"/>
        <v>0</v>
      </c>
      <c r="S161" s="95">
        <v>0</v>
      </c>
      <c r="T161" s="99">
        <f t="shared" si="3"/>
        <v>0</v>
      </c>
      <c r="AR161" s="101" t="s">
        <v>218</v>
      </c>
      <c r="AT161" s="101" t="s">
        <v>214</v>
      </c>
      <c r="AU161" s="101" t="s">
        <v>87</v>
      </c>
      <c r="AY161" s="23" t="s">
        <v>211</v>
      </c>
      <c r="BE161" s="104">
        <f t="shared" si="4"/>
        <v>3000</v>
      </c>
      <c r="BF161" s="104">
        <f t="shared" si="5"/>
        <v>0</v>
      </c>
      <c r="BG161" s="104">
        <f t="shared" si="6"/>
        <v>0</v>
      </c>
      <c r="BH161" s="104">
        <f t="shared" si="7"/>
        <v>0</v>
      </c>
      <c r="BI161" s="104">
        <f t="shared" si="8"/>
        <v>0</v>
      </c>
      <c r="BJ161" s="23" t="s">
        <v>85</v>
      </c>
      <c r="BK161" s="104">
        <f t="shared" si="9"/>
        <v>3000</v>
      </c>
      <c r="BL161" s="23" t="s">
        <v>218</v>
      </c>
      <c r="BM161" s="101" t="s">
        <v>507</v>
      </c>
    </row>
    <row r="162" spans="2:65" s="1" customFormat="1" ht="24.15" customHeight="1">
      <c r="B162" s="12"/>
      <c r="C162" s="114" t="s">
        <v>8</v>
      </c>
      <c r="D162" s="114" t="s">
        <v>438</v>
      </c>
      <c r="E162" s="115" t="s">
        <v>4498</v>
      </c>
      <c r="F162" s="116" t="s">
        <v>4499</v>
      </c>
      <c r="G162" s="117" t="s">
        <v>808</v>
      </c>
      <c r="H162" s="118">
        <v>6</v>
      </c>
      <c r="I162" s="122">
        <v>14000</v>
      </c>
      <c r="J162" s="123">
        <f t="shared" si="0"/>
        <v>84000</v>
      </c>
      <c r="K162" s="124"/>
      <c r="L162" s="125"/>
      <c r="M162" s="126" t="s">
        <v>1</v>
      </c>
      <c r="N162" s="127" t="s">
        <v>42</v>
      </c>
      <c r="P162" s="95">
        <f t="shared" si="1"/>
        <v>0</v>
      </c>
      <c r="Q162" s="95">
        <v>0</v>
      </c>
      <c r="R162" s="95">
        <f t="shared" si="2"/>
        <v>0</v>
      </c>
      <c r="S162" s="95">
        <v>0</v>
      </c>
      <c r="T162" s="99">
        <f t="shared" si="3"/>
        <v>0</v>
      </c>
      <c r="AR162" s="101" t="s">
        <v>250</v>
      </c>
      <c r="AT162" s="101" t="s">
        <v>438</v>
      </c>
      <c r="AU162" s="101" t="s">
        <v>87</v>
      </c>
      <c r="AY162" s="23" t="s">
        <v>211</v>
      </c>
      <c r="BE162" s="104">
        <f t="shared" si="4"/>
        <v>84000</v>
      </c>
      <c r="BF162" s="104">
        <f t="shared" si="5"/>
        <v>0</v>
      </c>
      <c r="BG162" s="104">
        <f t="shared" si="6"/>
        <v>0</v>
      </c>
      <c r="BH162" s="104">
        <f t="shared" si="7"/>
        <v>0</v>
      </c>
      <c r="BI162" s="104">
        <f t="shared" si="8"/>
        <v>0</v>
      </c>
      <c r="BJ162" s="23" t="s">
        <v>85</v>
      </c>
      <c r="BK162" s="104">
        <f t="shared" si="9"/>
        <v>84000</v>
      </c>
      <c r="BL162" s="23" t="s">
        <v>218</v>
      </c>
      <c r="BM162" s="101" t="s">
        <v>517</v>
      </c>
    </row>
    <row r="163" spans="2:65" s="1" customFormat="1" ht="16.5" customHeight="1">
      <c r="B163" s="12"/>
      <c r="C163" s="71" t="s">
        <v>446</v>
      </c>
      <c r="D163" s="71" t="s">
        <v>214</v>
      </c>
      <c r="E163" s="72" t="s">
        <v>4500</v>
      </c>
      <c r="F163" s="73" t="s">
        <v>4501</v>
      </c>
      <c r="G163" s="74" t="s">
        <v>808</v>
      </c>
      <c r="H163" s="75">
        <v>6</v>
      </c>
      <c r="I163" s="90">
        <v>3000</v>
      </c>
      <c r="J163" s="91">
        <f t="shared" si="0"/>
        <v>18000</v>
      </c>
      <c r="K163" s="92"/>
      <c r="L163" s="12"/>
      <c r="M163" s="93" t="s">
        <v>1</v>
      </c>
      <c r="N163" s="94" t="s">
        <v>42</v>
      </c>
      <c r="P163" s="95">
        <f t="shared" si="1"/>
        <v>0</v>
      </c>
      <c r="Q163" s="95">
        <v>0</v>
      </c>
      <c r="R163" s="95">
        <f t="shared" si="2"/>
        <v>0</v>
      </c>
      <c r="S163" s="95">
        <v>0</v>
      </c>
      <c r="T163" s="99">
        <f t="shared" si="3"/>
        <v>0</v>
      </c>
      <c r="AR163" s="101" t="s">
        <v>218</v>
      </c>
      <c r="AT163" s="101" t="s">
        <v>214</v>
      </c>
      <c r="AU163" s="101" t="s">
        <v>87</v>
      </c>
      <c r="AY163" s="23" t="s">
        <v>211</v>
      </c>
      <c r="BE163" s="104">
        <f t="shared" si="4"/>
        <v>18000</v>
      </c>
      <c r="BF163" s="104">
        <f t="shared" si="5"/>
        <v>0</v>
      </c>
      <c r="BG163" s="104">
        <f t="shared" si="6"/>
        <v>0</v>
      </c>
      <c r="BH163" s="104">
        <f t="shared" si="7"/>
        <v>0</v>
      </c>
      <c r="BI163" s="104">
        <f t="shared" si="8"/>
        <v>0</v>
      </c>
      <c r="BJ163" s="23" t="s">
        <v>85</v>
      </c>
      <c r="BK163" s="104">
        <f t="shared" si="9"/>
        <v>18000</v>
      </c>
      <c r="BL163" s="23" t="s">
        <v>218</v>
      </c>
      <c r="BM163" s="101" t="s">
        <v>527</v>
      </c>
    </row>
    <row r="164" spans="2:65" s="1" customFormat="1" ht="24.15" customHeight="1">
      <c r="B164" s="12"/>
      <c r="C164" s="114" t="s">
        <v>450</v>
      </c>
      <c r="D164" s="114" t="s">
        <v>438</v>
      </c>
      <c r="E164" s="115" t="s">
        <v>4502</v>
      </c>
      <c r="F164" s="116" t="s">
        <v>4503</v>
      </c>
      <c r="G164" s="117" t="s">
        <v>808</v>
      </c>
      <c r="H164" s="118">
        <v>7</v>
      </c>
      <c r="I164" s="122">
        <v>2000</v>
      </c>
      <c r="J164" s="123">
        <f t="shared" si="0"/>
        <v>14000</v>
      </c>
      <c r="K164" s="124"/>
      <c r="L164" s="125"/>
      <c r="M164" s="126" t="s">
        <v>1</v>
      </c>
      <c r="N164" s="127" t="s">
        <v>42</v>
      </c>
      <c r="P164" s="95">
        <f t="shared" si="1"/>
        <v>0</v>
      </c>
      <c r="Q164" s="95">
        <v>0</v>
      </c>
      <c r="R164" s="95">
        <f t="shared" si="2"/>
        <v>0</v>
      </c>
      <c r="S164" s="95">
        <v>0</v>
      </c>
      <c r="T164" s="99">
        <f t="shared" si="3"/>
        <v>0</v>
      </c>
      <c r="AR164" s="101" t="s">
        <v>250</v>
      </c>
      <c r="AT164" s="101" t="s">
        <v>438</v>
      </c>
      <c r="AU164" s="101" t="s">
        <v>87</v>
      </c>
      <c r="AY164" s="23" t="s">
        <v>211</v>
      </c>
      <c r="BE164" s="104">
        <f t="shared" si="4"/>
        <v>14000</v>
      </c>
      <c r="BF164" s="104">
        <f t="shared" si="5"/>
        <v>0</v>
      </c>
      <c r="BG164" s="104">
        <f t="shared" si="6"/>
        <v>0</v>
      </c>
      <c r="BH164" s="104">
        <f t="shared" si="7"/>
        <v>0</v>
      </c>
      <c r="BI164" s="104">
        <f t="shared" si="8"/>
        <v>0</v>
      </c>
      <c r="BJ164" s="23" t="s">
        <v>85</v>
      </c>
      <c r="BK164" s="104">
        <f t="shared" si="9"/>
        <v>14000</v>
      </c>
      <c r="BL164" s="23" t="s">
        <v>218</v>
      </c>
      <c r="BM164" s="101" t="s">
        <v>537</v>
      </c>
    </row>
    <row r="165" spans="2:65" s="1" customFormat="1" ht="16.5" customHeight="1">
      <c r="B165" s="12"/>
      <c r="C165" s="71" t="s">
        <v>454</v>
      </c>
      <c r="D165" s="71" t="s">
        <v>214</v>
      </c>
      <c r="E165" s="72" t="s">
        <v>4504</v>
      </c>
      <c r="F165" s="73" t="s">
        <v>4505</v>
      </c>
      <c r="G165" s="74" t="s">
        <v>808</v>
      </c>
      <c r="H165" s="75">
        <v>7</v>
      </c>
      <c r="I165" s="90">
        <v>400</v>
      </c>
      <c r="J165" s="91">
        <f t="shared" si="0"/>
        <v>2800</v>
      </c>
      <c r="K165" s="92"/>
      <c r="L165" s="12"/>
      <c r="M165" s="93" t="s">
        <v>1</v>
      </c>
      <c r="N165" s="94" t="s">
        <v>42</v>
      </c>
      <c r="P165" s="95">
        <f t="shared" si="1"/>
        <v>0</v>
      </c>
      <c r="Q165" s="95">
        <v>0</v>
      </c>
      <c r="R165" s="95">
        <f t="shared" si="2"/>
        <v>0</v>
      </c>
      <c r="S165" s="95">
        <v>0</v>
      </c>
      <c r="T165" s="99">
        <f t="shared" si="3"/>
        <v>0</v>
      </c>
      <c r="AR165" s="101" t="s">
        <v>218</v>
      </c>
      <c r="AT165" s="101" t="s">
        <v>214</v>
      </c>
      <c r="AU165" s="101" t="s">
        <v>87</v>
      </c>
      <c r="AY165" s="23" t="s">
        <v>211</v>
      </c>
      <c r="BE165" s="104">
        <f t="shared" si="4"/>
        <v>2800</v>
      </c>
      <c r="BF165" s="104">
        <f t="shared" si="5"/>
        <v>0</v>
      </c>
      <c r="BG165" s="104">
        <f t="shared" si="6"/>
        <v>0</v>
      </c>
      <c r="BH165" s="104">
        <f t="shared" si="7"/>
        <v>0</v>
      </c>
      <c r="BI165" s="104">
        <f t="shared" si="8"/>
        <v>0</v>
      </c>
      <c r="BJ165" s="23" t="s">
        <v>85</v>
      </c>
      <c r="BK165" s="104">
        <f t="shared" si="9"/>
        <v>2800</v>
      </c>
      <c r="BL165" s="23" t="s">
        <v>218</v>
      </c>
      <c r="BM165" s="101" t="s">
        <v>551</v>
      </c>
    </row>
    <row r="166" spans="2:65" s="1" customFormat="1" ht="24.15" customHeight="1">
      <c r="B166" s="12"/>
      <c r="C166" s="114" t="s">
        <v>459</v>
      </c>
      <c r="D166" s="114" t="s">
        <v>438</v>
      </c>
      <c r="E166" s="115" t="s">
        <v>4506</v>
      </c>
      <c r="F166" s="116" t="s">
        <v>4507</v>
      </c>
      <c r="G166" s="117" t="s">
        <v>808</v>
      </c>
      <c r="H166" s="118">
        <v>1</v>
      </c>
      <c r="I166" s="122">
        <v>2500</v>
      </c>
      <c r="J166" s="123">
        <f t="shared" si="0"/>
        <v>2500</v>
      </c>
      <c r="K166" s="124"/>
      <c r="L166" s="125"/>
      <c r="M166" s="126" t="s">
        <v>1</v>
      </c>
      <c r="N166" s="127" t="s">
        <v>42</v>
      </c>
      <c r="P166" s="95">
        <f t="shared" si="1"/>
        <v>0</v>
      </c>
      <c r="Q166" s="95">
        <v>0</v>
      </c>
      <c r="R166" s="95">
        <f t="shared" si="2"/>
        <v>0</v>
      </c>
      <c r="S166" s="95">
        <v>0</v>
      </c>
      <c r="T166" s="99">
        <f t="shared" si="3"/>
        <v>0</v>
      </c>
      <c r="AR166" s="101" t="s">
        <v>250</v>
      </c>
      <c r="AT166" s="101" t="s">
        <v>438</v>
      </c>
      <c r="AU166" s="101" t="s">
        <v>87</v>
      </c>
      <c r="AY166" s="23" t="s">
        <v>211</v>
      </c>
      <c r="BE166" s="104">
        <f t="shared" si="4"/>
        <v>2500</v>
      </c>
      <c r="BF166" s="104">
        <f t="shared" si="5"/>
        <v>0</v>
      </c>
      <c r="BG166" s="104">
        <f t="shared" si="6"/>
        <v>0</v>
      </c>
      <c r="BH166" s="104">
        <f t="shared" si="7"/>
        <v>0</v>
      </c>
      <c r="BI166" s="104">
        <f t="shared" si="8"/>
        <v>0</v>
      </c>
      <c r="BJ166" s="23" t="s">
        <v>85</v>
      </c>
      <c r="BK166" s="104">
        <f t="shared" si="9"/>
        <v>2500</v>
      </c>
      <c r="BL166" s="23" t="s">
        <v>218</v>
      </c>
      <c r="BM166" s="101" t="s">
        <v>566</v>
      </c>
    </row>
    <row r="167" spans="2:65" s="1" customFormat="1" ht="16.5" customHeight="1">
      <c r="B167" s="12"/>
      <c r="C167" s="71" t="s">
        <v>465</v>
      </c>
      <c r="D167" s="71" t="s">
        <v>214</v>
      </c>
      <c r="E167" s="72" t="s">
        <v>4508</v>
      </c>
      <c r="F167" s="73" t="s">
        <v>4509</v>
      </c>
      <c r="G167" s="74" t="s">
        <v>808</v>
      </c>
      <c r="H167" s="75">
        <v>1</v>
      </c>
      <c r="I167" s="90">
        <v>400</v>
      </c>
      <c r="J167" s="91">
        <f t="shared" si="0"/>
        <v>400</v>
      </c>
      <c r="K167" s="92"/>
      <c r="L167" s="12"/>
      <c r="M167" s="93" t="s">
        <v>1</v>
      </c>
      <c r="N167" s="94" t="s">
        <v>42</v>
      </c>
      <c r="P167" s="95">
        <f t="shared" si="1"/>
        <v>0</v>
      </c>
      <c r="Q167" s="95">
        <v>0</v>
      </c>
      <c r="R167" s="95">
        <f t="shared" si="2"/>
        <v>0</v>
      </c>
      <c r="S167" s="95">
        <v>0</v>
      </c>
      <c r="T167" s="99">
        <f t="shared" si="3"/>
        <v>0</v>
      </c>
      <c r="AR167" s="101" t="s">
        <v>218</v>
      </c>
      <c r="AT167" s="101" t="s">
        <v>214</v>
      </c>
      <c r="AU167" s="101" t="s">
        <v>87</v>
      </c>
      <c r="AY167" s="23" t="s">
        <v>211</v>
      </c>
      <c r="BE167" s="104">
        <f t="shared" si="4"/>
        <v>400</v>
      </c>
      <c r="BF167" s="104">
        <f t="shared" si="5"/>
        <v>0</v>
      </c>
      <c r="BG167" s="104">
        <f t="shared" si="6"/>
        <v>0</v>
      </c>
      <c r="BH167" s="104">
        <f t="shared" si="7"/>
        <v>0</v>
      </c>
      <c r="BI167" s="104">
        <f t="shared" si="8"/>
        <v>0</v>
      </c>
      <c r="BJ167" s="23" t="s">
        <v>85</v>
      </c>
      <c r="BK167" s="104">
        <f t="shared" si="9"/>
        <v>400</v>
      </c>
      <c r="BL167" s="23" t="s">
        <v>218</v>
      </c>
      <c r="BM167" s="101" t="s">
        <v>578</v>
      </c>
    </row>
    <row r="168" spans="2:65" s="1" customFormat="1" ht="24.15" customHeight="1">
      <c r="B168" s="12"/>
      <c r="C168" s="114" t="s">
        <v>7</v>
      </c>
      <c r="D168" s="114" t="s">
        <v>438</v>
      </c>
      <c r="E168" s="115" t="s">
        <v>4510</v>
      </c>
      <c r="F168" s="116" t="s">
        <v>4511</v>
      </c>
      <c r="G168" s="117" t="s">
        <v>808</v>
      </c>
      <c r="H168" s="118">
        <v>1</v>
      </c>
      <c r="I168" s="122">
        <v>2500</v>
      </c>
      <c r="J168" s="123">
        <f t="shared" si="0"/>
        <v>2500</v>
      </c>
      <c r="K168" s="124"/>
      <c r="L168" s="125"/>
      <c r="M168" s="126" t="s">
        <v>1</v>
      </c>
      <c r="N168" s="127" t="s">
        <v>42</v>
      </c>
      <c r="P168" s="95">
        <f t="shared" si="1"/>
        <v>0</v>
      </c>
      <c r="Q168" s="95">
        <v>0</v>
      </c>
      <c r="R168" s="95">
        <f t="shared" si="2"/>
        <v>0</v>
      </c>
      <c r="S168" s="95">
        <v>0</v>
      </c>
      <c r="T168" s="99">
        <f t="shared" si="3"/>
        <v>0</v>
      </c>
      <c r="AR168" s="101" t="s">
        <v>250</v>
      </c>
      <c r="AT168" s="101" t="s">
        <v>438</v>
      </c>
      <c r="AU168" s="101" t="s">
        <v>87</v>
      </c>
      <c r="AY168" s="23" t="s">
        <v>211</v>
      </c>
      <c r="BE168" s="104">
        <f t="shared" si="4"/>
        <v>2500</v>
      </c>
      <c r="BF168" s="104">
        <f t="shared" si="5"/>
        <v>0</v>
      </c>
      <c r="BG168" s="104">
        <f t="shared" si="6"/>
        <v>0</v>
      </c>
      <c r="BH168" s="104">
        <f t="shared" si="7"/>
        <v>0</v>
      </c>
      <c r="BI168" s="104">
        <f t="shared" si="8"/>
        <v>0</v>
      </c>
      <c r="BJ168" s="23" t="s">
        <v>85</v>
      </c>
      <c r="BK168" s="104">
        <f t="shared" si="9"/>
        <v>2500</v>
      </c>
      <c r="BL168" s="23" t="s">
        <v>218</v>
      </c>
      <c r="BM168" s="101" t="s">
        <v>588</v>
      </c>
    </row>
    <row r="169" spans="2:65" s="1" customFormat="1" ht="16.5" customHeight="1">
      <c r="B169" s="12"/>
      <c r="C169" s="71" t="s">
        <v>475</v>
      </c>
      <c r="D169" s="71" t="s">
        <v>214</v>
      </c>
      <c r="E169" s="72" t="s">
        <v>4512</v>
      </c>
      <c r="F169" s="73" t="s">
        <v>4513</v>
      </c>
      <c r="G169" s="74" t="s">
        <v>808</v>
      </c>
      <c r="H169" s="75">
        <v>1</v>
      </c>
      <c r="I169" s="90">
        <v>400</v>
      </c>
      <c r="J169" s="91">
        <f t="shared" si="0"/>
        <v>400</v>
      </c>
      <c r="K169" s="92"/>
      <c r="L169" s="12"/>
      <c r="M169" s="93" t="s">
        <v>1</v>
      </c>
      <c r="N169" s="94" t="s">
        <v>42</v>
      </c>
      <c r="P169" s="95">
        <f t="shared" si="1"/>
        <v>0</v>
      </c>
      <c r="Q169" s="95">
        <v>0</v>
      </c>
      <c r="R169" s="95">
        <f t="shared" si="2"/>
        <v>0</v>
      </c>
      <c r="S169" s="95">
        <v>0</v>
      </c>
      <c r="T169" s="99">
        <f t="shared" si="3"/>
        <v>0</v>
      </c>
      <c r="AR169" s="101" t="s">
        <v>218</v>
      </c>
      <c r="AT169" s="101" t="s">
        <v>214</v>
      </c>
      <c r="AU169" s="101" t="s">
        <v>87</v>
      </c>
      <c r="AY169" s="23" t="s">
        <v>211</v>
      </c>
      <c r="BE169" s="104">
        <f t="shared" si="4"/>
        <v>400</v>
      </c>
      <c r="BF169" s="104">
        <f t="shared" si="5"/>
        <v>0</v>
      </c>
      <c r="BG169" s="104">
        <f t="shared" si="6"/>
        <v>0</v>
      </c>
      <c r="BH169" s="104">
        <f t="shared" si="7"/>
        <v>0</v>
      </c>
      <c r="BI169" s="104">
        <f t="shared" si="8"/>
        <v>0</v>
      </c>
      <c r="BJ169" s="23" t="s">
        <v>85</v>
      </c>
      <c r="BK169" s="104">
        <f t="shared" si="9"/>
        <v>400</v>
      </c>
      <c r="BL169" s="23" t="s">
        <v>218</v>
      </c>
      <c r="BM169" s="101" t="s">
        <v>598</v>
      </c>
    </row>
    <row r="170" spans="2:65" s="31" customFormat="1" ht="23.1" customHeight="1">
      <c r="B170" s="67"/>
      <c r="D170" s="68" t="s">
        <v>76</v>
      </c>
      <c r="E170" s="70" t="s">
        <v>3832</v>
      </c>
      <c r="F170" s="70" t="s">
        <v>4514</v>
      </c>
      <c r="I170" s="85"/>
      <c r="J170" s="89">
        <f>BK170</f>
        <v>146175</v>
      </c>
      <c r="L170" s="67"/>
      <c r="M170" s="87"/>
      <c r="P170" s="88">
        <f>SUM(P171:P186)</f>
        <v>0</v>
      </c>
      <c r="R170" s="88">
        <f>SUM(R171:R186)</f>
        <v>0</v>
      </c>
      <c r="T170" s="98">
        <f>SUM(T171:T186)</f>
        <v>0</v>
      </c>
      <c r="AR170" s="68" t="s">
        <v>85</v>
      </c>
      <c r="AT170" s="100" t="s">
        <v>76</v>
      </c>
      <c r="AU170" s="100" t="s">
        <v>85</v>
      </c>
      <c r="AY170" s="68" t="s">
        <v>211</v>
      </c>
      <c r="BK170" s="103">
        <f>SUM(BK171:BK186)</f>
        <v>146175</v>
      </c>
    </row>
    <row r="171" spans="2:65" s="1" customFormat="1" ht="16.5" customHeight="1">
      <c r="B171" s="12"/>
      <c r="C171" s="114" t="s">
        <v>481</v>
      </c>
      <c r="D171" s="114" t="s">
        <v>438</v>
      </c>
      <c r="E171" s="115" t="s">
        <v>4476</v>
      </c>
      <c r="F171" s="116" t="s">
        <v>4515</v>
      </c>
      <c r="G171" s="117" t="s">
        <v>444</v>
      </c>
      <c r="H171" s="118">
        <v>105</v>
      </c>
      <c r="I171" s="122">
        <v>140</v>
      </c>
      <c r="J171" s="123">
        <f t="shared" ref="J171:J186" si="10">ROUND(I171*H171,2)</f>
        <v>14700</v>
      </c>
      <c r="K171" s="124"/>
      <c r="L171" s="125"/>
      <c r="M171" s="126" t="s">
        <v>1</v>
      </c>
      <c r="N171" s="127" t="s">
        <v>42</v>
      </c>
      <c r="P171" s="95">
        <f t="shared" ref="P171:P186" si="11">O171*H171</f>
        <v>0</v>
      </c>
      <c r="Q171" s="95">
        <v>0</v>
      </c>
      <c r="R171" s="95">
        <f t="shared" ref="R171:R186" si="12">Q171*H171</f>
        <v>0</v>
      </c>
      <c r="S171" s="95">
        <v>0</v>
      </c>
      <c r="T171" s="99">
        <f t="shared" ref="T171:T186" si="13">S171*H171</f>
        <v>0</v>
      </c>
      <c r="AR171" s="101" t="s">
        <v>250</v>
      </c>
      <c r="AT171" s="101" t="s">
        <v>438</v>
      </c>
      <c r="AU171" s="101" t="s">
        <v>87</v>
      </c>
      <c r="AY171" s="23" t="s">
        <v>211</v>
      </c>
      <c r="BE171" s="104">
        <f t="shared" ref="BE171:BE186" si="14">IF(N171="základní",J171,0)</f>
        <v>14700</v>
      </c>
      <c r="BF171" s="104">
        <f t="shared" ref="BF171:BF186" si="15">IF(N171="snížená",J171,0)</f>
        <v>0</v>
      </c>
      <c r="BG171" s="104">
        <f t="shared" ref="BG171:BG186" si="16">IF(N171="zákl. přenesená",J171,0)</f>
        <v>0</v>
      </c>
      <c r="BH171" s="104">
        <f t="shared" ref="BH171:BH186" si="17">IF(N171="sníž. přenesená",J171,0)</f>
        <v>0</v>
      </c>
      <c r="BI171" s="104">
        <f t="shared" ref="BI171:BI186" si="18">IF(N171="nulová",J171,0)</f>
        <v>0</v>
      </c>
      <c r="BJ171" s="23" t="s">
        <v>85</v>
      </c>
      <c r="BK171" s="104">
        <f t="shared" ref="BK171:BK186" si="19">ROUND(I171*H171,2)</f>
        <v>14700</v>
      </c>
      <c r="BL171" s="23" t="s">
        <v>218</v>
      </c>
      <c r="BM171" s="101" t="s">
        <v>608</v>
      </c>
    </row>
    <row r="172" spans="2:65" s="1" customFormat="1" ht="16.5" customHeight="1">
      <c r="B172" s="12"/>
      <c r="C172" s="71" t="s">
        <v>486</v>
      </c>
      <c r="D172" s="71" t="s">
        <v>214</v>
      </c>
      <c r="E172" s="72" t="s">
        <v>4516</v>
      </c>
      <c r="F172" s="73" t="s">
        <v>4477</v>
      </c>
      <c r="G172" s="74" t="s">
        <v>444</v>
      </c>
      <c r="H172" s="75">
        <v>105</v>
      </c>
      <c r="I172" s="90">
        <v>150</v>
      </c>
      <c r="J172" s="91">
        <f t="shared" si="10"/>
        <v>15750</v>
      </c>
      <c r="K172" s="92"/>
      <c r="L172" s="12"/>
      <c r="M172" s="93" t="s">
        <v>1</v>
      </c>
      <c r="N172" s="94" t="s">
        <v>42</v>
      </c>
      <c r="P172" s="95">
        <f t="shared" si="11"/>
        <v>0</v>
      </c>
      <c r="Q172" s="95">
        <v>0</v>
      </c>
      <c r="R172" s="95">
        <f t="shared" si="12"/>
        <v>0</v>
      </c>
      <c r="S172" s="95">
        <v>0</v>
      </c>
      <c r="T172" s="99">
        <f t="shared" si="13"/>
        <v>0</v>
      </c>
      <c r="AR172" s="101" t="s">
        <v>218</v>
      </c>
      <c r="AT172" s="101" t="s">
        <v>214</v>
      </c>
      <c r="AU172" s="101" t="s">
        <v>87</v>
      </c>
      <c r="AY172" s="23" t="s">
        <v>211</v>
      </c>
      <c r="BE172" s="104">
        <f t="shared" si="14"/>
        <v>15750</v>
      </c>
      <c r="BF172" s="104">
        <f t="shared" si="15"/>
        <v>0</v>
      </c>
      <c r="BG172" s="104">
        <f t="shared" si="16"/>
        <v>0</v>
      </c>
      <c r="BH172" s="104">
        <f t="shared" si="17"/>
        <v>0</v>
      </c>
      <c r="BI172" s="104">
        <f t="shared" si="18"/>
        <v>0</v>
      </c>
      <c r="BJ172" s="23" t="s">
        <v>85</v>
      </c>
      <c r="BK172" s="104">
        <f t="shared" si="19"/>
        <v>15750</v>
      </c>
      <c r="BL172" s="23" t="s">
        <v>218</v>
      </c>
      <c r="BM172" s="101" t="s">
        <v>619</v>
      </c>
    </row>
    <row r="173" spans="2:65" s="1" customFormat="1" ht="16.5" customHeight="1">
      <c r="B173" s="12"/>
      <c r="C173" s="114" t="s">
        <v>490</v>
      </c>
      <c r="D173" s="114" t="s">
        <v>438</v>
      </c>
      <c r="E173" s="115" t="s">
        <v>4480</v>
      </c>
      <c r="F173" s="116" t="s">
        <v>4517</v>
      </c>
      <c r="G173" s="117" t="s">
        <v>444</v>
      </c>
      <c r="H173" s="118">
        <v>118</v>
      </c>
      <c r="I173" s="122">
        <v>200</v>
      </c>
      <c r="J173" s="123">
        <f t="shared" si="10"/>
        <v>23600</v>
      </c>
      <c r="K173" s="124"/>
      <c r="L173" s="125"/>
      <c r="M173" s="126" t="s">
        <v>1</v>
      </c>
      <c r="N173" s="127" t="s">
        <v>42</v>
      </c>
      <c r="P173" s="95">
        <f t="shared" si="11"/>
        <v>0</v>
      </c>
      <c r="Q173" s="95">
        <v>0</v>
      </c>
      <c r="R173" s="95">
        <f t="shared" si="12"/>
        <v>0</v>
      </c>
      <c r="S173" s="95">
        <v>0</v>
      </c>
      <c r="T173" s="99">
        <f t="shared" si="13"/>
        <v>0</v>
      </c>
      <c r="AR173" s="101" t="s">
        <v>250</v>
      </c>
      <c r="AT173" s="101" t="s">
        <v>438</v>
      </c>
      <c r="AU173" s="101" t="s">
        <v>87</v>
      </c>
      <c r="AY173" s="23" t="s">
        <v>211</v>
      </c>
      <c r="BE173" s="104">
        <f t="shared" si="14"/>
        <v>23600</v>
      </c>
      <c r="BF173" s="104">
        <f t="shared" si="15"/>
        <v>0</v>
      </c>
      <c r="BG173" s="104">
        <f t="shared" si="16"/>
        <v>0</v>
      </c>
      <c r="BH173" s="104">
        <f t="shared" si="17"/>
        <v>0</v>
      </c>
      <c r="BI173" s="104">
        <f t="shared" si="18"/>
        <v>0</v>
      </c>
      <c r="BJ173" s="23" t="s">
        <v>85</v>
      </c>
      <c r="BK173" s="104">
        <f t="shared" si="19"/>
        <v>23600</v>
      </c>
      <c r="BL173" s="23" t="s">
        <v>218</v>
      </c>
      <c r="BM173" s="101" t="s">
        <v>629</v>
      </c>
    </row>
    <row r="174" spans="2:65" s="1" customFormat="1" ht="16.5" customHeight="1">
      <c r="B174" s="12"/>
      <c r="C174" s="71" t="s">
        <v>496</v>
      </c>
      <c r="D174" s="71" t="s">
        <v>214</v>
      </c>
      <c r="E174" s="72" t="s">
        <v>4518</v>
      </c>
      <c r="F174" s="73" t="s">
        <v>4481</v>
      </c>
      <c r="G174" s="74" t="s">
        <v>444</v>
      </c>
      <c r="H174" s="75">
        <v>118</v>
      </c>
      <c r="I174" s="90">
        <v>150</v>
      </c>
      <c r="J174" s="91">
        <f t="shared" si="10"/>
        <v>17700</v>
      </c>
      <c r="K174" s="92"/>
      <c r="L174" s="12"/>
      <c r="M174" s="93" t="s">
        <v>1</v>
      </c>
      <c r="N174" s="94" t="s">
        <v>42</v>
      </c>
      <c r="P174" s="95">
        <f t="shared" si="11"/>
        <v>0</v>
      </c>
      <c r="Q174" s="95">
        <v>0</v>
      </c>
      <c r="R174" s="95">
        <f t="shared" si="12"/>
        <v>0</v>
      </c>
      <c r="S174" s="95">
        <v>0</v>
      </c>
      <c r="T174" s="99">
        <f t="shared" si="13"/>
        <v>0</v>
      </c>
      <c r="AR174" s="101" t="s">
        <v>218</v>
      </c>
      <c r="AT174" s="101" t="s">
        <v>214</v>
      </c>
      <c r="AU174" s="101" t="s">
        <v>87</v>
      </c>
      <c r="AY174" s="23" t="s">
        <v>211</v>
      </c>
      <c r="BE174" s="104">
        <f t="shared" si="14"/>
        <v>17700</v>
      </c>
      <c r="BF174" s="104">
        <f t="shared" si="15"/>
        <v>0</v>
      </c>
      <c r="BG174" s="104">
        <f t="shared" si="16"/>
        <v>0</v>
      </c>
      <c r="BH174" s="104">
        <f t="shared" si="17"/>
        <v>0</v>
      </c>
      <c r="BI174" s="104">
        <f t="shared" si="18"/>
        <v>0</v>
      </c>
      <c r="BJ174" s="23" t="s">
        <v>85</v>
      </c>
      <c r="BK174" s="104">
        <f t="shared" si="19"/>
        <v>17700</v>
      </c>
      <c r="BL174" s="23" t="s">
        <v>218</v>
      </c>
      <c r="BM174" s="101" t="s">
        <v>639</v>
      </c>
    </row>
    <row r="175" spans="2:65" s="1" customFormat="1" ht="16.5" customHeight="1">
      <c r="B175" s="12"/>
      <c r="C175" s="114" t="s">
        <v>502</v>
      </c>
      <c r="D175" s="114" t="s">
        <v>438</v>
      </c>
      <c r="E175" s="115" t="s">
        <v>4484</v>
      </c>
      <c r="F175" s="116" t="s">
        <v>4519</v>
      </c>
      <c r="G175" s="117" t="s">
        <v>444</v>
      </c>
      <c r="H175" s="118">
        <v>82.5</v>
      </c>
      <c r="I175" s="122">
        <v>220</v>
      </c>
      <c r="J175" s="123">
        <f t="shared" si="10"/>
        <v>18150</v>
      </c>
      <c r="K175" s="124"/>
      <c r="L175" s="125"/>
      <c r="M175" s="126" t="s">
        <v>1</v>
      </c>
      <c r="N175" s="127" t="s">
        <v>42</v>
      </c>
      <c r="P175" s="95">
        <f t="shared" si="11"/>
        <v>0</v>
      </c>
      <c r="Q175" s="95">
        <v>0</v>
      </c>
      <c r="R175" s="95">
        <f t="shared" si="12"/>
        <v>0</v>
      </c>
      <c r="S175" s="95">
        <v>0</v>
      </c>
      <c r="T175" s="99">
        <f t="shared" si="13"/>
        <v>0</v>
      </c>
      <c r="AR175" s="101" t="s">
        <v>250</v>
      </c>
      <c r="AT175" s="101" t="s">
        <v>438</v>
      </c>
      <c r="AU175" s="101" t="s">
        <v>87</v>
      </c>
      <c r="AY175" s="23" t="s">
        <v>211</v>
      </c>
      <c r="BE175" s="104">
        <f t="shared" si="14"/>
        <v>18150</v>
      </c>
      <c r="BF175" s="104">
        <f t="shared" si="15"/>
        <v>0</v>
      </c>
      <c r="BG175" s="104">
        <f t="shared" si="16"/>
        <v>0</v>
      </c>
      <c r="BH175" s="104">
        <f t="shared" si="17"/>
        <v>0</v>
      </c>
      <c r="BI175" s="104">
        <f t="shared" si="18"/>
        <v>0</v>
      </c>
      <c r="BJ175" s="23" t="s">
        <v>85</v>
      </c>
      <c r="BK175" s="104">
        <f t="shared" si="19"/>
        <v>18150</v>
      </c>
      <c r="BL175" s="23" t="s">
        <v>218</v>
      </c>
      <c r="BM175" s="101" t="s">
        <v>649</v>
      </c>
    </row>
    <row r="176" spans="2:65" s="1" customFormat="1" ht="16.5" customHeight="1">
      <c r="B176" s="12"/>
      <c r="C176" s="71" t="s">
        <v>507</v>
      </c>
      <c r="D176" s="71" t="s">
        <v>214</v>
      </c>
      <c r="E176" s="72" t="s">
        <v>4520</v>
      </c>
      <c r="F176" s="73" t="s">
        <v>4485</v>
      </c>
      <c r="G176" s="74" t="s">
        <v>444</v>
      </c>
      <c r="H176" s="75">
        <v>82.5</v>
      </c>
      <c r="I176" s="90">
        <v>150</v>
      </c>
      <c r="J176" s="91">
        <f t="shared" si="10"/>
        <v>12375</v>
      </c>
      <c r="K176" s="92"/>
      <c r="L176" s="12"/>
      <c r="M176" s="93" t="s">
        <v>1</v>
      </c>
      <c r="N176" s="94" t="s">
        <v>42</v>
      </c>
      <c r="P176" s="95">
        <f t="shared" si="11"/>
        <v>0</v>
      </c>
      <c r="Q176" s="95">
        <v>0</v>
      </c>
      <c r="R176" s="95">
        <f t="shared" si="12"/>
        <v>0</v>
      </c>
      <c r="S176" s="95">
        <v>0</v>
      </c>
      <c r="T176" s="99">
        <f t="shared" si="13"/>
        <v>0</v>
      </c>
      <c r="AR176" s="101" t="s">
        <v>218</v>
      </c>
      <c r="AT176" s="101" t="s">
        <v>214</v>
      </c>
      <c r="AU176" s="101" t="s">
        <v>87</v>
      </c>
      <c r="AY176" s="23" t="s">
        <v>211</v>
      </c>
      <c r="BE176" s="104">
        <f t="shared" si="14"/>
        <v>12375</v>
      </c>
      <c r="BF176" s="104">
        <f t="shared" si="15"/>
        <v>0</v>
      </c>
      <c r="BG176" s="104">
        <f t="shared" si="16"/>
        <v>0</v>
      </c>
      <c r="BH176" s="104">
        <f t="shared" si="17"/>
        <v>0</v>
      </c>
      <c r="BI176" s="104">
        <f t="shared" si="18"/>
        <v>0</v>
      </c>
      <c r="BJ176" s="23" t="s">
        <v>85</v>
      </c>
      <c r="BK176" s="104">
        <f t="shared" si="19"/>
        <v>12375</v>
      </c>
      <c r="BL176" s="23" t="s">
        <v>218</v>
      </c>
      <c r="BM176" s="101" t="s">
        <v>660</v>
      </c>
    </row>
    <row r="177" spans="2:65" s="1" customFormat="1" ht="16.5" customHeight="1">
      <c r="B177" s="12"/>
      <c r="C177" s="114" t="s">
        <v>511</v>
      </c>
      <c r="D177" s="114" t="s">
        <v>438</v>
      </c>
      <c r="E177" s="115" t="s">
        <v>4488</v>
      </c>
      <c r="F177" s="116" t="s">
        <v>4521</v>
      </c>
      <c r="G177" s="117" t="s">
        <v>444</v>
      </c>
      <c r="H177" s="118">
        <v>35</v>
      </c>
      <c r="I177" s="122">
        <v>260</v>
      </c>
      <c r="J177" s="123">
        <f t="shared" si="10"/>
        <v>9100</v>
      </c>
      <c r="K177" s="124"/>
      <c r="L177" s="125"/>
      <c r="M177" s="126" t="s">
        <v>1</v>
      </c>
      <c r="N177" s="127" t="s">
        <v>42</v>
      </c>
      <c r="P177" s="95">
        <f t="shared" si="11"/>
        <v>0</v>
      </c>
      <c r="Q177" s="95">
        <v>0</v>
      </c>
      <c r="R177" s="95">
        <f t="shared" si="12"/>
        <v>0</v>
      </c>
      <c r="S177" s="95">
        <v>0</v>
      </c>
      <c r="T177" s="99">
        <f t="shared" si="13"/>
        <v>0</v>
      </c>
      <c r="AR177" s="101" t="s">
        <v>250</v>
      </c>
      <c r="AT177" s="101" t="s">
        <v>438</v>
      </c>
      <c r="AU177" s="101" t="s">
        <v>87</v>
      </c>
      <c r="AY177" s="23" t="s">
        <v>211</v>
      </c>
      <c r="BE177" s="104">
        <f t="shared" si="14"/>
        <v>9100</v>
      </c>
      <c r="BF177" s="104">
        <f t="shared" si="15"/>
        <v>0</v>
      </c>
      <c r="BG177" s="104">
        <f t="shared" si="16"/>
        <v>0</v>
      </c>
      <c r="BH177" s="104">
        <f t="shared" si="17"/>
        <v>0</v>
      </c>
      <c r="BI177" s="104">
        <f t="shared" si="18"/>
        <v>0</v>
      </c>
      <c r="BJ177" s="23" t="s">
        <v>85</v>
      </c>
      <c r="BK177" s="104">
        <f t="shared" si="19"/>
        <v>9100</v>
      </c>
      <c r="BL177" s="23" t="s">
        <v>218</v>
      </c>
      <c r="BM177" s="101" t="s">
        <v>679</v>
      </c>
    </row>
    <row r="178" spans="2:65" s="1" customFormat="1" ht="16.5" customHeight="1">
      <c r="B178" s="12"/>
      <c r="C178" s="71" t="s">
        <v>517</v>
      </c>
      <c r="D178" s="71" t="s">
        <v>214</v>
      </c>
      <c r="E178" s="72" t="s">
        <v>4522</v>
      </c>
      <c r="F178" s="73" t="s">
        <v>4489</v>
      </c>
      <c r="G178" s="74" t="s">
        <v>444</v>
      </c>
      <c r="H178" s="75">
        <v>35</v>
      </c>
      <c r="I178" s="90">
        <v>150</v>
      </c>
      <c r="J178" s="91">
        <f t="shared" si="10"/>
        <v>5250</v>
      </c>
      <c r="K178" s="92"/>
      <c r="L178" s="12"/>
      <c r="M178" s="93" t="s">
        <v>1</v>
      </c>
      <c r="N178" s="94" t="s">
        <v>42</v>
      </c>
      <c r="P178" s="95">
        <f t="shared" si="11"/>
        <v>0</v>
      </c>
      <c r="Q178" s="95">
        <v>0</v>
      </c>
      <c r="R178" s="95">
        <f t="shared" si="12"/>
        <v>0</v>
      </c>
      <c r="S178" s="95">
        <v>0</v>
      </c>
      <c r="T178" s="99">
        <f t="shared" si="13"/>
        <v>0</v>
      </c>
      <c r="AR178" s="101" t="s">
        <v>218</v>
      </c>
      <c r="AT178" s="101" t="s">
        <v>214</v>
      </c>
      <c r="AU178" s="101" t="s">
        <v>87</v>
      </c>
      <c r="AY178" s="23" t="s">
        <v>211</v>
      </c>
      <c r="BE178" s="104">
        <f t="shared" si="14"/>
        <v>5250</v>
      </c>
      <c r="BF178" s="104">
        <f t="shared" si="15"/>
        <v>0</v>
      </c>
      <c r="BG178" s="104">
        <f t="shared" si="16"/>
        <v>0</v>
      </c>
      <c r="BH178" s="104">
        <f t="shared" si="17"/>
        <v>0</v>
      </c>
      <c r="BI178" s="104">
        <f t="shared" si="18"/>
        <v>0</v>
      </c>
      <c r="BJ178" s="23" t="s">
        <v>85</v>
      </c>
      <c r="BK178" s="104">
        <f t="shared" si="19"/>
        <v>5250</v>
      </c>
      <c r="BL178" s="23" t="s">
        <v>218</v>
      </c>
      <c r="BM178" s="101" t="s">
        <v>705</v>
      </c>
    </row>
    <row r="179" spans="2:65" s="1" customFormat="1" ht="16.5" customHeight="1">
      <c r="B179" s="12"/>
      <c r="C179" s="114" t="s">
        <v>522</v>
      </c>
      <c r="D179" s="114" t="s">
        <v>438</v>
      </c>
      <c r="E179" s="115" t="s">
        <v>4492</v>
      </c>
      <c r="F179" s="116" t="s">
        <v>4523</v>
      </c>
      <c r="G179" s="117" t="s">
        <v>444</v>
      </c>
      <c r="H179" s="118">
        <v>47</v>
      </c>
      <c r="I179" s="122">
        <v>280</v>
      </c>
      <c r="J179" s="123">
        <f t="shared" si="10"/>
        <v>13160</v>
      </c>
      <c r="K179" s="124"/>
      <c r="L179" s="125"/>
      <c r="M179" s="126" t="s">
        <v>1</v>
      </c>
      <c r="N179" s="127" t="s">
        <v>42</v>
      </c>
      <c r="P179" s="95">
        <f t="shared" si="11"/>
        <v>0</v>
      </c>
      <c r="Q179" s="95">
        <v>0</v>
      </c>
      <c r="R179" s="95">
        <f t="shared" si="12"/>
        <v>0</v>
      </c>
      <c r="S179" s="95">
        <v>0</v>
      </c>
      <c r="T179" s="99">
        <f t="shared" si="13"/>
        <v>0</v>
      </c>
      <c r="AR179" s="101" t="s">
        <v>250</v>
      </c>
      <c r="AT179" s="101" t="s">
        <v>438</v>
      </c>
      <c r="AU179" s="101" t="s">
        <v>87</v>
      </c>
      <c r="AY179" s="23" t="s">
        <v>211</v>
      </c>
      <c r="BE179" s="104">
        <f t="shared" si="14"/>
        <v>13160</v>
      </c>
      <c r="BF179" s="104">
        <f t="shared" si="15"/>
        <v>0</v>
      </c>
      <c r="BG179" s="104">
        <f t="shared" si="16"/>
        <v>0</v>
      </c>
      <c r="BH179" s="104">
        <f t="shared" si="17"/>
        <v>0</v>
      </c>
      <c r="BI179" s="104">
        <f t="shared" si="18"/>
        <v>0</v>
      </c>
      <c r="BJ179" s="23" t="s">
        <v>85</v>
      </c>
      <c r="BK179" s="104">
        <f t="shared" si="19"/>
        <v>13160</v>
      </c>
      <c r="BL179" s="23" t="s">
        <v>218</v>
      </c>
      <c r="BM179" s="101" t="s">
        <v>722</v>
      </c>
    </row>
    <row r="180" spans="2:65" s="1" customFormat="1" ht="16.5" customHeight="1">
      <c r="B180" s="12"/>
      <c r="C180" s="71" t="s">
        <v>527</v>
      </c>
      <c r="D180" s="71" t="s">
        <v>214</v>
      </c>
      <c r="E180" s="72" t="s">
        <v>4524</v>
      </c>
      <c r="F180" s="73" t="s">
        <v>4493</v>
      </c>
      <c r="G180" s="74" t="s">
        <v>444</v>
      </c>
      <c r="H180" s="75">
        <v>47</v>
      </c>
      <c r="I180" s="90">
        <v>150</v>
      </c>
      <c r="J180" s="91">
        <f t="shared" si="10"/>
        <v>7050</v>
      </c>
      <c r="K180" s="92"/>
      <c r="L180" s="12"/>
      <c r="M180" s="93" t="s">
        <v>1</v>
      </c>
      <c r="N180" s="94" t="s">
        <v>42</v>
      </c>
      <c r="P180" s="95">
        <f t="shared" si="11"/>
        <v>0</v>
      </c>
      <c r="Q180" s="95">
        <v>0</v>
      </c>
      <c r="R180" s="95">
        <f t="shared" si="12"/>
        <v>0</v>
      </c>
      <c r="S180" s="95">
        <v>0</v>
      </c>
      <c r="T180" s="99">
        <f t="shared" si="13"/>
        <v>0</v>
      </c>
      <c r="AR180" s="101" t="s">
        <v>218</v>
      </c>
      <c r="AT180" s="101" t="s">
        <v>214</v>
      </c>
      <c r="AU180" s="101" t="s">
        <v>87</v>
      </c>
      <c r="AY180" s="23" t="s">
        <v>211</v>
      </c>
      <c r="BE180" s="104">
        <f t="shared" si="14"/>
        <v>7050</v>
      </c>
      <c r="BF180" s="104">
        <f t="shared" si="15"/>
        <v>0</v>
      </c>
      <c r="BG180" s="104">
        <f t="shared" si="16"/>
        <v>0</v>
      </c>
      <c r="BH180" s="104">
        <f t="shared" si="17"/>
        <v>0</v>
      </c>
      <c r="BI180" s="104">
        <f t="shared" si="18"/>
        <v>0</v>
      </c>
      <c r="BJ180" s="23" t="s">
        <v>85</v>
      </c>
      <c r="BK180" s="104">
        <f t="shared" si="19"/>
        <v>7050</v>
      </c>
      <c r="BL180" s="23" t="s">
        <v>218</v>
      </c>
      <c r="BM180" s="101" t="s">
        <v>756</v>
      </c>
    </row>
    <row r="181" spans="2:65" s="1" customFormat="1" ht="16.5" customHeight="1">
      <c r="B181" s="12"/>
      <c r="C181" s="114" t="s">
        <v>532</v>
      </c>
      <c r="D181" s="114" t="s">
        <v>438</v>
      </c>
      <c r="E181" s="115" t="s">
        <v>4496</v>
      </c>
      <c r="F181" s="116" t="s">
        <v>4525</v>
      </c>
      <c r="G181" s="117" t="s">
        <v>444</v>
      </c>
      <c r="H181" s="118">
        <v>4</v>
      </c>
      <c r="I181" s="122">
        <v>320</v>
      </c>
      <c r="J181" s="123">
        <f t="shared" si="10"/>
        <v>1280</v>
      </c>
      <c r="K181" s="124"/>
      <c r="L181" s="125"/>
      <c r="M181" s="126" t="s">
        <v>1</v>
      </c>
      <c r="N181" s="127" t="s">
        <v>42</v>
      </c>
      <c r="P181" s="95">
        <f t="shared" si="11"/>
        <v>0</v>
      </c>
      <c r="Q181" s="95">
        <v>0</v>
      </c>
      <c r="R181" s="95">
        <f t="shared" si="12"/>
        <v>0</v>
      </c>
      <c r="S181" s="95">
        <v>0</v>
      </c>
      <c r="T181" s="99">
        <f t="shared" si="13"/>
        <v>0</v>
      </c>
      <c r="AR181" s="101" t="s">
        <v>250</v>
      </c>
      <c r="AT181" s="101" t="s">
        <v>438</v>
      </c>
      <c r="AU181" s="101" t="s">
        <v>87</v>
      </c>
      <c r="AY181" s="23" t="s">
        <v>211</v>
      </c>
      <c r="BE181" s="104">
        <f t="shared" si="14"/>
        <v>1280</v>
      </c>
      <c r="BF181" s="104">
        <f t="shared" si="15"/>
        <v>0</v>
      </c>
      <c r="BG181" s="104">
        <f t="shared" si="16"/>
        <v>0</v>
      </c>
      <c r="BH181" s="104">
        <f t="shared" si="17"/>
        <v>0</v>
      </c>
      <c r="BI181" s="104">
        <f t="shared" si="18"/>
        <v>0</v>
      </c>
      <c r="BJ181" s="23" t="s">
        <v>85</v>
      </c>
      <c r="BK181" s="104">
        <f t="shared" si="19"/>
        <v>1280</v>
      </c>
      <c r="BL181" s="23" t="s">
        <v>218</v>
      </c>
      <c r="BM181" s="101" t="s">
        <v>805</v>
      </c>
    </row>
    <row r="182" spans="2:65" s="1" customFormat="1" ht="16.5" customHeight="1">
      <c r="B182" s="12"/>
      <c r="C182" s="71" t="s">
        <v>537</v>
      </c>
      <c r="D182" s="71" t="s">
        <v>214</v>
      </c>
      <c r="E182" s="72" t="s">
        <v>4526</v>
      </c>
      <c r="F182" s="73" t="s">
        <v>4497</v>
      </c>
      <c r="G182" s="74" t="s">
        <v>444</v>
      </c>
      <c r="H182" s="75">
        <v>4</v>
      </c>
      <c r="I182" s="90">
        <v>150</v>
      </c>
      <c r="J182" s="91">
        <f t="shared" si="10"/>
        <v>600</v>
      </c>
      <c r="K182" s="92"/>
      <c r="L182" s="12"/>
      <c r="M182" s="93" t="s">
        <v>1</v>
      </c>
      <c r="N182" s="94" t="s">
        <v>42</v>
      </c>
      <c r="P182" s="95">
        <f t="shared" si="11"/>
        <v>0</v>
      </c>
      <c r="Q182" s="95">
        <v>0</v>
      </c>
      <c r="R182" s="95">
        <f t="shared" si="12"/>
        <v>0</v>
      </c>
      <c r="S182" s="95">
        <v>0</v>
      </c>
      <c r="T182" s="99">
        <f t="shared" si="13"/>
        <v>0</v>
      </c>
      <c r="AR182" s="101" t="s">
        <v>218</v>
      </c>
      <c r="AT182" s="101" t="s">
        <v>214</v>
      </c>
      <c r="AU182" s="101" t="s">
        <v>87</v>
      </c>
      <c r="AY182" s="23" t="s">
        <v>211</v>
      </c>
      <c r="BE182" s="104">
        <f t="shared" si="14"/>
        <v>600</v>
      </c>
      <c r="BF182" s="104">
        <f t="shared" si="15"/>
        <v>0</v>
      </c>
      <c r="BG182" s="104">
        <f t="shared" si="16"/>
        <v>0</v>
      </c>
      <c r="BH182" s="104">
        <f t="shared" si="17"/>
        <v>0</v>
      </c>
      <c r="BI182" s="104">
        <f t="shared" si="18"/>
        <v>0</v>
      </c>
      <c r="BJ182" s="23" t="s">
        <v>85</v>
      </c>
      <c r="BK182" s="104">
        <f t="shared" si="19"/>
        <v>600</v>
      </c>
      <c r="BL182" s="23" t="s">
        <v>218</v>
      </c>
      <c r="BM182" s="101" t="s">
        <v>814</v>
      </c>
    </row>
    <row r="183" spans="2:65" s="1" customFormat="1" ht="16.5" customHeight="1">
      <c r="B183" s="12"/>
      <c r="C183" s="114" t="s">
        <v>542</v>
      </c>
      <c r="D183" s="114" t="s">
        <v>438</v>
      </c>
      <c r="E183" s="115" t="s">
        <v>4500</v>
      </c>
      <c r="F183" s="116" t="s">
        <v>4527</v>
      </c>
      <c r="G183" s="117" t="s">
        <v>444</v>
      </c>
      <c r="H183" s="118">
        <v>6</v>
      </c>
      <c r="I183" s="122">
        <v>360</v>
      </c>
      <c r="J183" s="123">
        <f t="shared" si="10"/>
        <v>2160</v>
      </c>
      <c r="K183" s="124"/>
      <c r="L183" s="125"/>
      <c r="M183" s="126" t="s">
        <v>1</v>
      </c>
      <c r="N183" s="127" t="s">
        <v>42</v>
      </c>
      <c r="P183" s="95">
        <f t="shared" si="11"/>
        <v>0</v>
      </c>
      <c r="Q183" s="95">
        <v>0</v>
      </c>
      <c r="R183" s="95">
        <f t="shared" si="12"/>
        <v>0</v>
      </c>
      <c r="S183" s="95">
        <v>0</v>
      </c>
      <c r="T183" s="99">
        <f t="shared" si="13"/>
        <v>0</v>
      </c>
      <c r="AR183" s="101" t="s">
        <v>250</v>
      </c>
      <c r="AT183" s="101" t="s">
        <v>438</v>
      </c>
      <c r="AU183" s="101" t="s">
        <v>87</v>
      </c>
      <c r="AY183" s="23" t="s">
        <v>211</v>
      </c>
      <c r="BE183" s="104">
        <f t="shared" si="14"/>
        <v>2160</v>
      </c>
      <c r="BF183" s="104">
        <f t="shared" si="15"/>
        <v>0</v>
      </c>
      <c r="BG183" s="104">
        <f t="shared" si="16"/>
        <v>0</v>
      </c>
      <c r="BH183" s="104">
        <f t="shared" si="17"/>
        <v>0</v>
      </c>
      <c r="BI183" s="104">
        <f t="shared" si="18"/>
        <v>0</v>
      </c>
      <c r="BJ183" s="23" t="s">
        <v>85</v>
      </c>
      <c r="BK183" s="104">
        <f t="shared" si="19"/>
        <v>2160</v>
      </c>
      <c r="BL183" s="23" t="s">
        <v>218</v>
      </c>
      <c r="BM183" s="101" t="s">
        <v>822</v>
      </c>
    </row>
    <row r="184" spans="2:65" s="1" customFormat="1" ht="16.5" customHeight="1">
      <c r="B184" s="12"/>
      <c r="C184" s="71" t="s">
        <v>551</v>
      </c>
      <c r="D184" s="71" t="s">
        <v>214</v>
      </c>
      <c r="E184" s="72" t="s">
        <v>4528</v>
      </c>
      <c r="F184" s="73" t="s">
        <v>4501</v>
      </c>
      <c r="G184" s="74" t="s">
        <v>444</v>
      </c>
      <c r="H184" s="75">
        <v>6</v>
      </c>
      <c r="I184" s="90">
        <v>150</v>
      </c>
      <c r="J184" s="91">
        <f t="shared" si="10"/>
        <v>900</v>
      </c>
      <c r="K184" s="92"/>
      <c r="L184" s="12"/>
      <c r="M184" s="93" t="s">
        <v>1</v>
      </c>
      <c r="N184" s="94" t="s">
        <v>42</v>
      </c>
      <c r="P184" s="95">
        <f t="shared" si="11"/>
        <v>0</v>
      </c>
      <c r="Q184" s="95">
        <v>0</v>
      </c>
      <c r="R184" s="95">
        <f t="shared" si="12"/>
        <v>0</v>
      </c>
      <c r="S184" s="95">
        <v>0</v>
      </c>
      <c r="T184" s="99">
        <f t="shared" si="13"/>
        <v>0</v>
      </c>
      <c r="AR184" s="101" t="s">
        <v>218</v>
      </c>
      <c r="AT184" s="101" t="s">
        <v>214</v>
      </c>
      <c r="AU184" s="101" t="s">
        <v>87</v>
      </c>
      <c r="AY184" s="23" t="s">
        <v>211</v>
      </c>
      <c r="BE184" s="104">
        <f t="shared" si="14"/>
        <v>900</v>
      </c>
      <c r="BF184" s="104">
        <f t="shared" si="15"/>
        <v>0</v>
      </c>
      <c r="BG184" s="104">
        <f t="shared" si="16"/>
        <v>0</v>
      </c>
      <c r="BH184" s="104">
        <f t="shared" si="17"/>
        <v>0</v>
      </c>
      <c r="BI184" s="104">
        <f t="shared" si="18"/>
        <v>0</v>
      </c>
      <c r="BJ184" s="23" t="s">
        <v>85</v>
      </c>
      <c r="BK184" s="104">
        <f t="shared" si="19"/>
        <v>900</v>
      </c>
      <c r="BL184" s="23" t="s">
        <v>218</v>
      </c>
      <c r="BM184" s="101" t="s">
        <v>830</v>
      </c>
    </row>
    <row r="185" spans="2:65" s="1" customFormat="1" ht="16.5" customHeight="1">
      <c r="B185" s="12"/>
      <c r="C185" s="114" t="s">
        <v>555</v>
      </c>
      <c r="D185" s="114" t="s">
        <v>438</v>
      </c>
      <c r="E185" s="115" t="s">
        <v>4504</v>
      </c>
      <c r="F185" s="116" t="s">
        <v>4529</v>
      </c>
      <c r="G185" s="117" t="s">
        <v>444</v>
      </c>
      <c r="H185" s="118">
        <v>8</v>
      </c>
      <c r="I185" s="122">
        <v>400</v>
      </c>
      <c r="J185" s="123">
        <f t="shared" si="10"/>
        <v>3200</v>
      </c>
      <c r="K185" s="124"/>
      <c r="L185" s="125"/>
      <c r="M185" s="126" t="s">
        <v>1</v>
      </c>
      <c r="N185" s="127" t="s">
        <v>42</v>
      </c>
      <c r="P185" s="95">
        <f t="shared" si="11"/>
        <v>0</v>
      </c>
      <c r="Q185" s="95">
        <v>0</v>
      </c>
      <c r="R185" s="95">
        <f t="shared" si="12"/>
        <v>0</v>
      </c>
      <c r="S185" s="95">
        <v>0</v>
      </c>
      <c r="T185" s="99">
        <f t="shared" si="13"/>
        <v>0</v>
      </c>
      <c r="AR185" s="101" t="s">
        <v>250</v>
      </c>
      <c r="AT185" s="101" t="s">
        <v>438</v>
      </c>
      <c r="AU185" s="101" t="s">
        <v>87</v>
      </c>
      <c r="AY185" s="23" t="s">
        <v>211</v>
      </c>
      <c r="BE185" s="104">
        <f t="shared" si="14"/>
        <v>3200</v>
      </c>
      <c r="BF185" s="104">
        <f t="shared" si="15"/>
        <v>0</v>
      </c>
      <c r="BG185" s="104">
        <f t="shared" si="16"/>
        <v>0</v>
      </c>
      <c r="BH185" s="104">
        <f t="shared" si="17"/>
        <v>0</v>
      </c>
      <c r="BI185" s="104">
        <f t="shared" si="18"/>
        <v>0</v>
      </c>
      <c r="BJ185" s="23" t="s">
        <v>85</v>
      </c>
      <c r="BK185" s="104">
        <f t="shared" si="19"/>
        <v>3200</v>
      </c>
      <c r="BL185" s="23" t="s">
        <v>218</v>
      </c>
      <c r="BM185" s="101" t="s">
        <v>838</v>
      </c>
    </row>
    <row r="186" spans="2:65" s="1" customFormat="1" ht="16.5" customHeight="1">
      <c r="B186" s="12"/>
      <c r="C186" s="71" t="s">
        <v>566</v>
      </c>
      <c r="D186" s="71" t="s">
        <v>214</v>
      </c>
      <c r="E186" s="72" t="s">
        <v>4530</v>
      </c>
      <c r="F186" s="73" t="s">
        <v>4505</v>
      </c>
      <c r="G186" s="74" t="s">
        <v>444</v>
      </c>
      <c r="H186" s="75">
        <v>8</v>
      </c>
      <c r="I186" s="90">
        <v>150</v>
      </c>
      <c r="J186" s="91">
        <f t="shared" si="10"/>
        <v>1200</v>
      </c>
      <c r="K186" s="92"/>
      <c r="L186" s="12"/>
      <c r="M186" s="93" t="s">
        <v>1</v>
      </c>
      <c r="N186" s="94" t="s">
        <v>42</v>
      </c>
      <c r="P186" s="95">
        <f t="shared" si="11"/>
        <v>0</v>
      </c>
      <c r="Q186" s="95">
        <v>0</v>
      </c>
      <c r="R186" s="95">
        <f t="shared" si="12"/>
        <v>0</v>
      </c>
      <c r="S186" s="95">
        <v>0</v>
      </c>
      <c r="T186" s="99">
        <f t="shared" si="13"/>
        <v>0</v>
      </c>
      <c r="AR186" s="101" t="s">
        <v>218</v>
      </c>
      <c r="AT186" s="101" t="s">
        <v>214</v>
      </c>
      <c r="AU186" s="101" t="s">
        <v>87</v>
      </c>
      <c r="AY186" s="23" t="s">
        <v>211</v>
      </c>
      <c r="BE186" s="104">
        <f t="shared" si="14"/>
        <v>1200</v>
      </c>
      <c r="BF186" s="104">
        <f t="shared" si="15"/>
        <v>0</v>
      </c>
      <c r="BG186" s="104">
        <f t="shared" si="16"/>
        <v>0</v>
      </c>
      <c r="BH186" s="104">
        <f t="shared" si="17"/>
        <v>0</v>
      </c>
      <c r="BI186" s="104">
        <f t="shared" si="18"/>
        <v>0</v>
      </c>
      <c r="BJ186" s="23" t="s">
        <v>85</v>
      </c>
      <c r="BK186" s="104">
        <f t="shared" si="19"/>
        <v>1200</v>
      </c>
      <c r="BL186" s="23" t="s">
        <v>218</v>
      </c>
      <c r="BM186" s="101" t="s">
        <v>846</v>
      </c>
    </row>
    <row r="187" spans="2:65" s="31" customFormat="1" ht="23.1" customHeight="1">
      <c r="B187" s="67"/>
      <c r="D187" s="68" t="s">
        <v>76</v>
      </c>
      <c r="E187" s="70" t="s">
        <v>4531</v>
      </c>
      <c r="F187" s="70" t="s">
        <v>4532</v>
      </c>
      <c r="I187" s="85"/>
      <c r="J187" s="89">
        <f>BK187</f>
        <v>65750</v>
      </c>
      <c r="L187" s="67"/>
      <c r="M187" s="87"/>
      <c r="P187" s="88">
        <f>SUM(P188:P191)</f>
        <v>0</v>
      </c>
      <c r="R187" s="88">
        <f>SUM(R188:R191)</f>
        <v>0</v>
      </c>
      <c r="T187" s="98">
        <f>SUM(T188:T191)</f>
        <v>0</v>
      </c>
      <c r="AR187" s="68" t="s">
        <v>85</v>
      </c>
      <c r="AT187" s="100" t="s">
        <v>76</v>
      </c>
      <c r="AU187" s="100" t="s">
        <v>85</v>
      </c>
      <c r="AY187" s="68" t="s">
        <v>211</v>
      </c>
      <c r="BK187" s="103">
        <f>SUM(BK188:BK191)</f>
        <v>65750</v>
      </c>
    </row>
    <row r="188" spans="2:65" s="1" customFormat="1" ht="44.25" customHeight="1">
      <c r="B188" s="12"/>
      <c r="C188" s="71" t="s">
        <v>570</v>
      </c>
      <c r="D188" s="71" t="s">
        <v>214</v>
      </c>
      <c r="E188" s="72" t="s">
        <v>4533</v>
      </c>
      <c r="F188" s="73" t="s">
        <v>4534</v>
      </c>
      <c r="G188" s="74" t="s">
        <v>234</v>
      </c>
      <c r="H188" s="75">
        <v>1</v>
      </c>
      <c r="I188" s="90">
        <v>35000</v>
      </c>
      <c r="J188" s="91">
        <f>ROUND(I188*H188,2)</f>
        <v>35000</v>
      </c>
      <c r="K188" s="92"/>
      <c r="L188" s="12"/>
      <c r="M188" s="93" t="s">
        <v>1</v>
      </c>
      <c r="N188" s="94" t="s">
        <v>42</v>
      </c>
      <c r="P188" s="95">
        <f>O188*H188</f>
        <v>0</v>
      </c>
      <c r="Q188" s="95">
        <v>0</v>
      </c>
      <c r="R188" s="95">
        <f>Q188*H188</f>
        <v>0</v>
      </c>
      <c r="S188" s="95">
        <v>0</v>
      </c>
      <c r="T188" s="99">
        <f>S188*H188</f>
        <v>0</v>
      </c>
      <c r="AR188" s="101" t="s">
        <v>218</v>
      </c>
      <c r="AT188" s="101" t="s">
        <v>214</v>
      </c>
      <c r="AU188" s="101" t="s">
        <v>87</v>
      </c>
      <c r="AY188" s="23" t="s">
        <v>211</v>
      </c>
      <c r="BE188" s="104">
        <f>IF(N188="základní",J188,0)</f>
        <v>35000</v>
      </c>
      <c r="BF188" s="104">
        <f>IF(N188="snížená",J188,0)</f>
        <v>0</v>
      </c>
      <c r="BG188" s="104">
        <f>IF(N188="zákl. přenesená",J188,0)</f>
        <v>0</v>
      </c>
      <c r="BH188" s="104">
        <f>IF(N188="sníž. přenesená",J188,0)</f>
        <v>0</v>
      </c>
      <c r="BI188" s="104">
        <f>IF(N188="nulová",J188,0)</f>
        <v>0</v>
      </c>
      <c r="BJ188" s="23" t="s">
        <v>85</v>
      </c>
      <c r="BK188" s="104">
        <f>ROUND(I188*H188,2)</f>
        <v>35000</v>
      </c>
      <c r="BL188" s="23" t="s">
        <v>218</v>
      </c>
      <c r="BM188" s="101" t="s">
        <v>854</v>
      </c>
    </row>
    <row r="189" spans="2:65" s="1" customFormat="1" ht="16.5" customHeight="1">
      <c r="B189" s="12"/>
      <c r="C189" s="71" t="s">
        <v>578</v>
      </c>
      <c r="D189" s="71" t="s">
        <v>214</v>
      </c>
      <c r="E189" s="72" t="s">
        <v>4535</v>
      </c>
      <c r="F189" s="73" t="s">
        <v>4536</v>
      </c>
      <c r="G189" s="74" t="s">
        <v>234</v>
      </c>
      <c r="H189" s="75">
        <v>1</v>
      </c>
      <c r="I189" s="90">
        <v>8000</v>
      </c>
      <c r="J189" s="91">
        <f>ROUND(I189*H189,2)</f>
        <v>8000</v>
      </c>
      <c r="K189" s="92"/>
      <c r="L189" s="12"/>
      <c r="M189" s="93" t="s">
        <v>1</v>
      </c>
      <c r="N189" s="94" t="s">
        <v>42</v>
      </c>
      <c r="P189" s="95">
        <f>O189*H189</f>
        <v>0</v>
      </c>
      <c r="Q189" s="95">
        <v>0</v>
      </c>
      <c r="R189" s="95">
        <f>Q189*H189</f>
        <v>0</v>
      </c>
      <c r="S189" s="95">
        <v>0</v>
      </c>
      <c r="T189" s="99">
        <f>S189*H189</f>
        <v>0</v>
      </c>
      <c r="AR189" s="101" t="s">
        <v>218</v>
      </c>
      <c r="AT189" s="101" t="s">
        <v>214</v>
      </c>
      <c r="AU189" s="101" t="s">
        <v>87</v>
      </c>
      <c r="AY189" s="23" t="s">
        <v>211</v>
      </c>
      <c r="BE189" s="104">
        <f>IF(N189="základní",J189,0)</f>
        <v>8000</v>
      </c>
      <c r="BF189" s="104">
        <f>IF(N189="snížená",J189,0)</f>
        <v>0</v>
      </c>
      <c r="BG189" s="104">
        <f>IF(N189="zákl. přenesená",J189,0)</f>
        <v>0</v>
      </c>
      <c r="BH189" s="104">
        <f>IF(N189="sníž. přenesená",J189,0)</f>
        <v>0</v>
      </c>
      <c r="BI189" s="104">
        <f>IF(N189="nulová",J189,0)</f>
        <v>0</v>
      </c>
      <c r="BJ189" s="23" t="s">
        <v>85</v>
      </c>
      <c r="BK189" s="104">
        <f>ROUND(I189*H189,2)</f>
        <v>8000</v>
      </c>
      <c r="BL189" s="23" t="s">
        <v>218</v>
      </c>
      <c r="BM189" s="101" t="s">
        <v>862</v>
      </c>
    </row>
    <row r="190" spans="2:65" s="1" customFormat="1" ht="24.15" customHeight="1">
      <c r="B190" s="12"/>
      <c r="C190" s="71" t="s">
        <v>582</v>
      </c>
      <c r="D190" s="71" t="s">
        <v>214</v>
      </c>
      <c r="E190" s="72" t="s">
        <v>4537</v>
      </c>
      <c r="F190" s="73" t="s">
        <v>4538</v>
      </c>
      <c r="G190" s="74" t="s">
        <v>1198</v>
      </c>
      <c r="H190" s="75">
        <v>13</v>
      </c>
      <c r="I190" s="90">
        <v>1500</v>
      </c>
      <c r="J190" s="91">
        <f>ROUND(I190*H190,2)</f>
        <v>19500</v>
      </c>
      <c r="K190" s="92"/>
      <c r="L190" s="12"/>
      <c r="M190" s="93" t="s">
        <v>1</v>
      </c>
      <c r="N190" s="94" t="s">
        <v>42</v>
      </c>
      <c r="P190" s="95">
        <f>O190*H190</f>
        <v>0</v>
      </c>
      <c r="Q190" s="95">
        <v>0</v>
      </c>
      <c r="R190" s="95">
        <f>Q190*H190</f>
        <v>0</v>
      </c>
      <c r="S190" s="95">
        <v>0</v>
      </c>
      <c r="T190" s="99">
        <f>S190*H190</f>
        <v>0</v>
      </c>
      <c r="AR190" s="101" t="s">
        <v>218</v>
      </c>
      <c r="AT190" s="101" t="s">
        <v>214</v>
      </c>
      <c r="AU190" s="101" t="s">
        <v>87</v>
      </c>
      <c r="AY190" s="23" t="s">
        <v>211</v>
      </c>
      <c r="BE190" s="104">
        <f>IF(N190="základní",J190,0)</f>
        <v>19500</v>
      </c>
      <c r="BF190" s="104">
        <f>IF(N190="snížená",J190,0)</f>
        <v>0</v>
      </c>
      <c r="BG190" s="104">
        <f>IF(N190="zákl. přenesená",J190,0)</f>
        <v>0</v>
      </c>
      <c r="BH190" s="104">
        <f>IF(N190="sníž. přenesená",J190,0)</f>
        <v>0</v>
      </c>
      <c r="BI190" s="104">
        <f>IF(N190="nulová",J190,0)</f>
        <v>0</v>
      </c>
      <c r="BJ190" s="23" t="s">
        <v>85</v>
      </c>
      <c r="BK190" s="104">
        <f>ROUND(I190*H190,2)</f>
        <v>19500</v>
      </c>
      <c r="BL190" s="23" t="s">
        <v>218</v>
      </c>
      <c r="BM190" s="101" t="s">
        <v>883</v>
      </c>
    </row>
    <row r="191" spans="2:65" s="1" customFormat="1" ht="16.5" customHeight="1">
      <c r="B191" s="12"/>
      <c r="C191" s="71" t="s">
        <v>588</v>
      </c>
      <c r="D191" s="71" t="s">
        <v>214</v>
      </c>
      <c r="E191" s="72" t="s">
        <v>4539</v>
      </c>
      <c r="F191" s="73" t="s">
        <v>4540</v>
      </c>
      <c r="G191" s="74" t="s">
        <v>1198</v>
      </c>
      <c r="H191" s="75">
        <v>13</v>
      </c>
      <c r="I191" s="90">
        <v>250</v>
      </c>
      <c r="J191" s="91">
        <f>ROUND(I191*H191,2)</f>
        <v>3250</v>
      </c>
      <c r="K191" s="92"/>
      <c r="L191" s="12"/>
      <c r="M191" s="93" t="s">
        <v>1</v>
      </c>
      <c r="N191" s="94" t="s">
        <v>42</v>
      </c>
      <c r="P191" s="95">
        <f>O191*H191</f>
        <v>0</v>
      </c>
      <c r="Q191" s="95">
        <v>0</v>
      </c>
      <c r="R191" s="95">
        <f>Q191*H191</f>
        <v>0</v>
      </c>
      <c r="S191" s="95">
        <v>0</v>
      </c>
      <c r="T191" s="99">
        <f>S191*H191</f>
        <v>0</v>
      </c>
      <c r="AR191" s="101" t="s">
        <v>218</v>
      </c>
      <c r="AT191" s="101" t="s">
        <v>214</v>
      </c>
      <c r="AU191" s="101" t="s">
        <v>87</v>
      </c>
      <c r="AY191" s="23" t="s">
        <v>211</v>
      </c>
      <c r="BE191" s="104">
        <f>IF(N191="základní",J191,0)</f>
        <v>3250</v>
      </c>
      <c r="BF191" s="104">
        <f>IF(N191="snížená",J191,0)</f>
        <v>0</v>
      </c>
      <c r="BG191" s="104">
        <f>IF(N191="zákl. přenesená",J191,0)</f>
        <v>0</v>
      </c>
      <c r="BH191" s="104">
        <f>IF(N191="sníž. přenesená",J191,0)</f>
        <v>0</v>
      </c>
      <c r="BI191" s="104">
        <f>IF(N191="nulová",J191,0)</f>
        <v>0</v>
      </c>
      <c r="BJ191" s="23" t="s">
        <v>85</v>
      </c>
      <c r="BK191" s="104">
        <f>ROUND(I191*H191,2)</f>
        <v>3250</v>
      </c>
      <c r="BL191" s="23" t="s">
        <v>218</v>
      </c>
      <c r="BM191" s="101" t="s">
        <v>905</v>
      </c>
    </row>
    <row r="192" spans="2:65" s="31" customFormat="1" ht="23.1" customHeight="1">
      <c r="B192" s="67"/>
      <c r="D192" s="68" t="s">
        <v>76</v>
      </c>
      <c r="E192" s="70" t="s">
        <v>4541</v>
      </c>
      <c r="F192" s="70" t="s">
        <v>4542</v>
      </c>
      <c r="I192" s="85"/>
      <c r="J192" s="89">
        <f>BK192</f>
        <v>35000</v>
      </c>
      <c r="L192" s="67"/>
      <c r="M192" s="87"/>
      <c r="P192" s="88">
        <f>SUM(P193:P196)</f>
        <v>0</v>
      </c>
      <c r="R192" s="88">
        <f>SUM(R193:R196)</f>
        <v>0</v>
      </c>
      <c r="T192" s="98">
        <f>SUM(T193:T196)</f>
        <v>0</v>
      </c>
      <c r="AR192" s="68" t="s">
        <v>85</v>
      </c>
      <c r="AT192" s="100" t="s">
        <v>76</v>
      </c>
      <c r="AU192" s="100" t="s">
        <v>85</v>
      </c>
      <c r="AY192" s="68" t="s">
        <v>211</v>
      </c>
      <c r="BK192" s="103">
        <f>SUM(BK193:BK196)</f>
        <v>35000</v>
      </c>
    </row>
    <row r="193" spans="2:65" s="1" customFormat="1" ht="38.1" customHeight="1">
      <c r="B193" s="12"/>
      <c r="C193" s="71" t="s">
        <v>593</v>
      </c>
      <c r="D193" s="71" t="s">
        <v>214</v>
      </c>
      <c r="E193" s="72" t="s">
        <v>4543</v>
      </c>
      <c r="F193" s="73" t="s">
        <v>4544</v>
      </c>
      <c r="G193" s="74" t="s">
        <v>234</v>
      </c>
      <c r="H193" s="75">
        <v>1</v>
      </c>
      <c r="I193" s="90">
        <v>10000</v>
      </c>
      <c r="J193" s="91">
        <f>ROUND(I193*H193,2)</f>
        <v>10000</v>
      </c>
      <c r="K193" s="92"/>
      <c r="L193" s="12"/>
      <c r="M193" s="93" t="s">
        <v>1</v>
      </c>
      <c r="N193" s="94" t="s">
        <v>42</v>
      </c>
      <c r="P193" s="95">
        <f>O193*H193</f>
        <v>0</v>
      </c>
      <c r="Q193" s="95">
        <v>0</v>
      </c>
      <c r="R193" s="95">
        <f>Q193*H193</f>
        <v>0</v>
      </c>
      <c r="S193" s="95">
        <v>0</v>
      </c>
      <c r="T193" s="99">
        <f>S193*H193</f>
        <v>0</v>
      </c>
      <c r="AR193" s="101" t="s">
        <v>218</v>
      </c>
      <c r="AT193" s="101" t="s">
        <v>214</v>
      </c>
      <c r="AU193" s="101" t="s">
        <v>87</v>
      </c>
      <c r="AY193" s="23" t="s">
        <v>211</v>
      </c>
      <c r="BE193" s="104">
        <f>IF(N193="základní",J193,0)</f>
        <v>10000</v>
      </c>
      <c r="BF193" s="104">
        <f>IF(N193="snížená",J193,0)</f>
        <v>0</v>
      </c>
      <c r="BG193" s="104">
        <f>IF(N193="zákl. přenesená",J193,0)</f>
        <v>0</v>
      </c>
      <c r="BH193" s="104">
        <f>IF(N193="sníž. přenesená",J193,0)</f>
        <v>0</v>
      </c>
      <c r="BI193" s="104">
        <f>IF(N193="nulová",J193,0)</f>
        <v>0</v>
      </c>
      <c r="BJ193" s="23" t="s">
        <v>85</v>
      </c>
      <c r="BK193" s="104">
        <f>ROUND(I193*H193,2)</f>
        <v>10000</v>
      </c>
      <c r="BL193" s="23" t="s">
        <v>218</v>
      </c>
      <c r="BM193" s="101" t="s">
        <v>919</v>
      </c>
    </row>
    <row r="194" spans="2:65" s="1" customFormat="1" ht="24.15" customHeight="1">
      <c r="B194" s="12"/>
      <c r="C194" s="71" t="s">
        <v>598</v>
      </c>
      <c r="D194" s="71" t="s">
        <v>214</v>
      </c>
      <c r="E194" s="72" t="s">
        <v>4545</v>
      </c>
      <c r="F194" s="73" t="s">
        <v>4546</v>
      </c>
      <c r="G194" s="74" t="s">
        <v>234</v>
      </c>
      <c r="H194" s="75">
        <v>1</v>
      </c>
      <c r="I194" s="90">
        <v>10000</v>
      </c>
      <c r="J194" s="91">
        <f>ROUND(I194*H194,2)</f>
        <v>10000</v>
      </c>
      <c r="K194" s="92"/>
      <c r="L194" s="12"/>
      <c r="M194" s="93" t="s">
        <v>1</v>
      </c>
      <c r="N194" s="94" t="s">
        <v>42</v>
      </c>
      <c r="P194" s="95">
        <f>O194*H194</f>
        <v>0</v>
      </c>
      <c r="Q194" s="95">
        <v>0</v>
      </c>
      <c r="R194" s="95">
        <f>Q194*H194</f>
        <v>0</v>
      </c>
      <c r="S194" s="95">
        <v>0</v>
      </c>
      <c r="T194" s="99">
        <f>S194*H194</f>
        <v>0</v>
      </c>
      <c r="AR194" s="101" t="s">
        <v>218</v>
      </c>
      <c r="AT194" s="101" t="s">
        <v>214</v>
      </c>
      <c r="AU194" s="101" t="s">
        <v>87</v>
      </c>
      <c r="AY194" s="23" t="s">
        <v>211</v>
      </c>
      <c r="BE194" s="104">
        <f>IF(N194="základní",J194,0)</f>
        <v>10000</v>
      </c>
      <c r="BF194" s="104">
        <f>IF(N194="snížená",J194,0)</f>
        <v>0</v>
      </c>
      <c r="BG194" s="104">
        <f>IF(N194="zákl. přenesená",J194,0)</f>
        <v>0</v>
      </c>
      <c r="BH194" s="104">
        <f>IF(N194="sníž. přenesená",J194,0)</f>
        <v>0</v>
      </c>
      <c r="BI194" s="104">
        <f>IF(N194="nulová",J194,0)</f>
        <v>0</v>
      </c>
      <c r="BJ194" s="23" t="s">
        <v>85</v>
      </c>
      <c r="BK194" s="104">
        <f>ROUND(I194*H194,2)</f>
        <v>10000</v>
      </c>
      <c r="BL194" s="23" t="s">
        <v>218</v>
      </c>
      <c r="BM194" s="101" t="s">
        <v>935</v>
      </c>
    </row>
    <row r="195" spans="2:65" s="1" customFormat="1" ht="16.5" customHeight="1">
      <c r="B195" s="12"/>
      <c r="C195" s="71" t="s">
        <v>604</v>
      </c>
      <c r="D195" s="71" t="s">
        <v>214</v>
      </c>
      <c r="E195" s="72" t="s">
        <v>4547</v>
      </c>
      <c r="F195" s="73" t="s">
        <v>4548</v>
      </c>
      <c r="G195" s="74" t="s">
        <v>808</v>
      </c>
      <c r="H195" s="75">
        <v>1</v>
      </c>
      <c r="I195" s="90">
        <v>5000</v>
      </c>
      <c r="J195" s="91">
        <f>ROUND(I195*H195,2)</f>
        <v>5000</v>
      </c>
      <c r="K195" s="92"/>
      <c r="L195" s="12"/>
      <c r="M195" s="93" t="s">
        <v>1</v>
      </c>
      <c r="N195" s="94" t="s">
        <v>42</v>
      </c>
      <c r="P195" s="95">
        <f>O195*H195</f>
        <v>0</v>
      </c>
      <c r="Q195" s="95">
        <v>0</v>
      </c>
      <c r="R195" s="95">
        <f>Q195*H195</f>
        <v>0</v>
      </c>
      <c r="S195" s="95">
        <v>0</v>
      </c>
      <c r="T195" s="99">
        <f>S195*H195</f>
        <v>0</v>
      </c>
      <c r="AR195" s="101" t="s">
        <v>218</v>
      </c>
      <c r="AT195" s="101" t="s">
        <v>214</v>
      </c>
      <c r="AU195" s="101" t="s">
        <v>87</v>
      </c>
      <c r="AY195" s="23" t="s">
        <v>211</v>
      </c>
      <c r="BE195" s="104">
        <f>IF(N195="základní",J195,0)</f>
        <v>5000</v>
      </c>
      <c r="BF195" s="104">
        <f>IF(N195="snížená",J195,0)</f>
        <v>0</v>
      </c>
      <c r="BG195" s="104">
        <f>IF(N195="zákl. přenesená",J195,0)</f>
        <v>0</v>
      </c>
      <c r="BH195" s="104">
        <f>IF(N195="sníž. přenesená",J195,0)</f>
        <v>0</v>
      </c>
      <c r="BI195" s="104">
        <f>IF(N195="nulová",J195,0)</f>
        <v>0</v>
      </c>
      <c r="BJ195" s="23" t="s">
        <v>85</v>
      </c>
      <c r="BK195" s="104">
        <f>ROUND(I195*H195,2)</f>
        <v>5000</v>
      </c>
      <c r="BL195" s="23" t="s">
        <v>218</v>
      </c>
      <c r="BM195" s="101" t="s">
        <v>950</v>
      </c>
    </row>
    <row r="196" spans="2:65" s="1" customFormat="1" ht="16.5" customHeight="1">
      <c r="B196" s="12"/>
      <c r="C196" s="71" t="s">
        <v>608</v>
      </c>
      <c r="D196" s="71" t="s">
        <v>214</v>
      </c>
      <c r="E196" s="72" t="s">
        <v>4549</v>
      </c>
      <c r="F196" s="73" t="s">
        <v>4550</v>
      </c>
      <c r="G196" s="74" t="s">
        <v>808</v>
      </c>
      <c r="H196" s="75">
        <v>1</v>
      </c>
      <c r="I196" s="90">
        <v>10000</v>
      </c>
      <c r="J196" s="91">
        <f>ROUND(I196*H196,2)</f>
        <v>10000</v>
      </c>
      <c r="K196" s="92"/>
      <c r="L196" s="12"/>
      <c r="M196" s="93" t="s">
        <v>1</v>
      </c>
      <c r="N196" s="94" t="s">
        <v>42</v>
      </c>
      <c r="P196" s="95">
        <f>O196*H196</f>
        <v>0</v>
      </c>
      <c r="Q196" s="95">
        <v>0</v>
      </c>
      <c r="R196" s="95">
        <f>Q196*H196</f>
        <v>0</v>
      </c>
      <c r="S196" s="95">
        <v>0</v>
      </c>
      <c r="T196" s="99">
        <f>S196*H196</f>
        <v>0</v>
      </c>
      <c r="AR196" s="101" t="s">
        <v>218</v>
      </c>
      <c r="AT196" s="101" t="s">
        <v>214</v>
      </c>
      <c r="AU196" s="101" t="s">
        <v>87</v>
      </c>
      <c r="AY196" s="23" t="s">
        <v>211</v>
      </c>
      <c r="BE196" s="104">
        <f>IF(N196="základní",J196,0)</f>
        <v>10000</v>
      </c>
      <c r="BF196" s="104">
        <f>IF(N196="snížená",J196,0)</f>
        <v>0</v>
      </c>
      <c r="BG196" s="104">
        <f>IF(N196="zákl. přenesená",J196,0)</f>
        <v>0</v>
      </c>
      <c r="BH196" s="104">
        <f>IF(N196="sníž. přenesená",J196,0)</f>
        <v>0</v>
      </c>
      <c r="BI196" s="104">
        <f>IF(N196="nulová",J196,0)</f>
        <v>0</v>
      </c>
      <c r="BJ196" s="23" t="s">
        <v>85</v>
      </c>
      <c r="BK196" s="104">
        <f>ROUND(I196*H196,2)</f>
        <v>10000</v>
      </c>
      <c r="BL196" s="23" t="s">
        <v>218</v>
      </c>
      <c r="BM196" s="101" t="s">
        <v>963</v>
      </c>
    </row>
    <row r="197" spans="2:65" s="31" customFormat="1" ht="26.1" customHeight="1">
      <c r="B197" s="67"/>
      <c r="D197" s="68" t="s">
        <v>76</v>
      </c>
      <c r="E197" s="69" t="s">
        <v>3839</v>
      </c>
      <c r="F197" s="69" t="s">
        <v>4364</v>
      </c>
      <c r="I197" s="85"/>
      <c r="J197" s="86">
        <f>BK197</f>
        <v>1558180</v>
      </c>
      <c r="L197" s="67"/>
      <c r="M197" s="87"/>
      <c r="P197" s="88">
        <f>P198+P201+P216+P233+P238</f>
        <v>0</v>
      </c>
      <c r="R197" s="88">
        <f>R198+R201+R216+R233+R238</f>
        <v>0</v>
      </c>
      <c r="T197" s="98">
        <f>T198+T201+T216+T233+T238</f>
        <v>0</v>
      </c>
      <c r="AR197" s="68" t="s">
        <v>85</v>
      </c>
      <c r="AT197" s="100" t="s">
        <v>76</v>
      </c>
      <c r="AU197" s="100" t="s">
        <v>77</v>
      </c>
      <c r="AY197" s="68" t="s">
        <v>211</v>
      </c>
      <c r="BK197" s="103">
        <f>BK198+BK201+BK216+BK233+BK238</f>
        <v>1558180</v>
      </c>
    </row>
    <row r="198" spans="2:65" s="31" customFormat="1" ht="23.1" customHeight="1">
      <c r="B198" s="67"/>
      <c r="D198" s="68" t="s">
        <v>76</v>
      </c>
      <c r="E198" s="70" t="s">
        <v>4466</v>
      </c>
      <c r="F198" s="70" t="s">
        <v>4467</v>
      </c>
      <c r="I198" s="85"/>
      <c r="J198" s="89">
        <f>BK198</f>
        <v>655000</v>
      </c>
      <c r="L198" s="67"/>
      <c r="M198" s="87"/>
      <c r="P198" s="88">
        <f>SUM(P199:P200)</f>
        <v>0</v>
      </c>
      <c r="R198" s="88">
        <f>SUM(R199:R200)</f>
        <v>0</v>
      </c>
      <c r="T198" s="98">
        <f>SUM(T199:T200)</f>
        <v>0</v>
      </c>
      <c r="AR198" s="68" t="s">
        <v>85</v>
      </c>
      <c r="AT198" s="100" t="s">
        <v>76</v>
      </c>
      <c r="AU198" s="100" t="s">
        <v>85</v>
      </c>
      <c r="AY198" s="68" t="s">
        <v>211</v>
      </c>
      <c r="BK198" s="103">
        <f>SUM(BK199:BK200)</f>
        <v>655000</v>
      </c>
    </row>
    <row r="199" spans="2:65" s="1" customFormat="1" ht="33" customHeight="1">
      <c r="B199" s="12"/>
      <c r="C199" s="114" t="s">
        <v>614</v>
      </c>
      <c r="D199" s="114" t="s">
        <v>438</v>
      </c>
      <c r="E199" s="115" t="s">
        <v>4470</v>
      </c>
      <c r="F199" s="116" t="s">
        <v>4551</v>
      </c>
      <c r="G199" s="117" t="s">
        <v>808</v>
      </c>
      <c r="H199" s="118">
        <v>1</v>
      </c>
      <c r="I199" s="122">
        <v>645000</v>
      </c>
      <c r="J199" s="123">
        <f>ROUND(I199*H199,2)</f>
        <v>645000</v>
      </c>
      <c r="K199" s="124"/>
      <c r="L199" s="125"/>
      <c r="M199" s="126" t="s">
        <v>1</v>
      </c>
      <c r="N199" s="127" t="s">
        <v>42</v>
      </c>
      <c r="P199" s="95">
        <f>O199*H199</f>
        <v>0</v>
      </c>
      <c r="Q199" s="95">
        <v>0</v>
      </c>
      <c r="R199" s="95">
        <f>Q199*H199</f>
        <v>0</v>
      </c>
      <c r="S199" s="95">
        <v>0</v>
      </c>
      <c r="T199" s="99">
        <f>S199*H199</f>
        <v>0</v>
      </c>
      <c r="AR199" s="101" t="s">
        <v>250</v>
      </c>
      <c r="AT199" s="101" t="s">
        <v>438</v>
      </c>
      <c r="AU199" s="101" t="s">
        <v>87</v>
      </c>
      <c r="AY199" s="23" t="s">
        <v>211</v>
      </c>
      <c r="BE199" s="104">
        <f>IF(N199="základní",J199,0)</f>
        <v>645000</v>
      </c>
      <c r="BF199" s="104">
        <f>IF(N199="snížená",J199,0)</f>
        <v>0</v>
      </c>
      <c r="BG199" s="104">
        <f>IF(N199="zákl. přenesená",J199,0)</f>
        <v>0</v>
      </c>
      <c r="BH199" s="104">
        <f>IF(N199="sníž. přenesená",J199,0)</f>
        <v>0</v>
      </c>
      <c r="BI199" s="104">
        <f>IF(N199="nulová",J199,0)</f>
        <v>0</v>
      </c>
      <c r="BJ199" s="23" t="s">
        <v>85</v>
      </c>
      <c r="BK199" s="104">
        <f>ROUND(I199*H199,2)</f>
        <v>645000</v>
      </c>
      <c r="BL199" s="23" t="s">
        <v>218</v>
      </c>
      <c r="BM199" s="101" t="s">
        <v>993</v>
      </c>
    </row>
    <row r="200" spans="2:65" s="1" customFormat="1" ht="16.5" customHeight="1">
      <c r="B200" s="12"/>
      <c r="C200" s="71" t="s">
        <v>619</v>
      </c>
      <c r="D200" s="71" t="s">
        <v>214</v>
      </c>
      <c r="E200" s="72" t="s">
        <v>4470</v>
      </c>
      <c r="F200" s="73" t="s">
        <v>4471</v>
      </c>
      <c r="G200" s="74" t="s">
        <v>808</v>
      </c>
      <c r="H200" s="75">
        <v>1</v>
      </c>
      <c r="I200" s="90">
        <v>10000</v>
      </c>
      <c r="J200" s="91">
        <f>ROUND(I200*H200,2)</f>
        <v>10000</v>
      </c>
      <c r="K200" s="92"/>
      <c r="L200" s="12"/>
      <c r="M200" s="93" t="s">
        <v>1</v>
      </c>
      <c r="N200" s="94" t="s">
        <v>42</v>
      </c>
      <c r="P200" s="95">
        <f>O200*H200</f>
        <v>0</v>
      </c>
      <c r="Q200" s="95">
        <v>0</v>
      </c>
      <c r="R200" s="95">
        <f>Q200*H200</f>
        <v>0</v>
      </c>
      <c r="S200" s="95">
        <v>0</v>
      </c>
      <c r="T200" s="99">
        <f>S200*H200</f>
        <v>0</v>
      </c>
      <c r="AR200" s="101" t="s">
        <v>218</v>
      </c>
      <c r="AT200" s="101" t="s">
        <v>214</v>
      </c>
      <c r="AU200" s="101" t="s">
        <v>87</v>
      </c>
      <c r="AY200" s="23" t="s">
        <v>211</v>
      </c>
      <c r="BE200" s="104">
        <f>IF(N200="základní",J200,0)</f>
        <v>10000</v>
      </c>
      <c r="BF200" s="104">
        <f>IF(N200="snížená",J200,0)</f>
        <v>0</v>
      </c>
      <c r="BG200" s="104">
        <f>IF(N200="zákl. přenesená",J200,0)</f>
        <v>0</v>
      </c>
      <c r="BH200" s="104">
        <f>IF(N200="sníž. přenesená",J200,0)</f>
        <v>0</v>
      </c>
      <c r="BI200" s="104">
        <f>IF(N200="nulová",J200,0)</f>
        <v>0</v>
      </c>
      <c r="BJ200" s="23" t="s">
        <v>85</v>
      </c>
      <c r="BK200" s="104">
        <f>ROUND(I200*H200,2)</f>
        <v>10000</v>
      </c>
      <c r="BL200" s="23" t="s">
        <v>218</v>
      </c>
      <c r="BM200" s="101" t="s">
        <v>1001</v>
      </c>
    </row>
    <row r="201" spans="2:65" s="31" customFormat="1" ht="23.1" customHeight="1">
      <c r="B201" s="67"/>
      <c r="D201" s="68" t="s">
        <v>76</v>
      </c>
      <c r="E201" s="70" t="s">
        <v>4472</v>
      </c>
      <c r="F201" s="70" t="s">
        <v>4473</v>
      </c>
      <c r="I201" s="85"/>
      <c r="J201" s="89">
        <f>BK201</f>
        <v>596600</v>
      </c>
      <c r="L201" s="67"/>
      <c r="M201" s="87"/>
      <c r="P201" s="88">
        <f>SUM(P202:P215)</f>
        <v>0</v>
      </c>
      <c r="R201" s="88">
        <f>SUM(R202:R215)</f>
        <v>0</v>
      </c>
      <c r="T201" s="98">
        <f>SUM(T202:T215)</f>
        <v>0</v>
      </c>
      <c r="AR201" s="68" t="s">
        <v>85</v>
      </c>
      <c r="AT201" s="100" t="s">
        <v>76</v>
      </c>
      <c r="AU201" s="100" t="s">
        <v>85</v>
      </c>
      <c r="AY201" s="68" t="s">
        <v>211</v>
      </c>
      <c r="BK201" s="103">
        <f>SUM(BK202:BK215)</f>
        <v>596600</v>
      </c>
    </row>
    <row r="202" spans="2:65" s="1" customFormat="1" ht="24.15" customHeight="1">
      <c r="B202" s="12"/>
      <c r="C202" s="114" t="s">
        <v>624</v>
      </c>
      <c r="D202" s="114" t="s">
        <v>438</v>
      </c>
      <c r="E202" s="115" t="s">
        <v>4474</v>
      </c>
      <c r="F202" s="116" t="s">
        <v>4475</v>
      </c>
      <c r="G202" s="117" t="s">
        <v>808</v>
      </c>
      <c r="H202" s="118">
        <v>9</v>
      </c>
      <c r="I202" s="122">
        <v>12300</v>
      </c>
      <c r="J202" s="123">
        <f t="shared" ref="J202:J215" si="20">ROUND(I202*H202,2)</f>
        <v>110700</v>
      </c>
      <c r="K202" s="124"/>
      <c r="L202" s="125"/>
      <c r="M202" s="126" t="s">
        <v>1</v>
      </c>
      <c r="N202" s="127" t="s">
        <v>42</v>
      </c>
      <c r="P202" s="95">
        <f t="shared" ref="P202:P215" si="21">O202*H202</f>
        <v>0</v>
      </c>
      <c r="Q202" s="95">
        <v>0</v>
      </c>
      <c r="R202" s="95">
        <f t="shared" ref="R202:R215" si="22">Q202*H202</f>
        <v>0</v>
      </c>
      <c r="S202" s="95">
        <v>0</v>
      </c>
      <c r="T202" s="99">
        <f t="shared" ref="T202:T215" si="23">S202*H202</f>
        <v>0</v>
      </c>
      <c r="AR202" s="101" t="s">
        <v>250</v>
      </c>
      <c r="AT202" s="101" t="s">
        <v>438</v>
      </c>
      <c r="AU202" s="101" t="s">
        <v>87</v>
      </c>
      <c r="AY202" s="23" t="s">
        <v>211</v>
      </c>
      <c r="BE202" s="104">
        <f t="shared" ref="BE202:BE215" si="24">IF(N202="základní",J202,0)</f>
        <v>110700</v>
      </c>
      <c r="BF202" s="104">
        <f t="shared" ref="BF202:BF215" si="25">IF(N202="snížená",J202,0)</f>
        <v>0</v>
      </c>
      <c r="BG202" s="104">
        <f t="shared" ref="BG202:BG215" si="26">IF(N202="zákl. přenesená",J202,0)</f>
        <v>0</v>
      </c>
      <c r="BH202" s="104">
        <f t="shared" ref="BH202:BH215" si="27">IF(N202="sníž. přenesená",J202,0)</f>
        <v>0</v>
      </c>
      <c r="BI202" s="104">
        <f t="shared" ref="BI202:BI215" si="28">IF(N202="nulová",J202,0)</f>
        <v>0</v>
      </c>
      <c r="BJ202" s="23" t="s">
        <v>85</v>
      </c>
      <c r="BK202" s="104">
        <f t="shared" ref="BK202:BK215" si="29">ROUND(I202*H202,2)</f>
        <v>110700</v>
      </c>
      <c r="BL202" s="23" t="s">
        <v>218</v>
      </c>
      <c r="BM202" s="101" t="s">
        <v>1028</v>
      </c>
    </row>
    <row r="203" spans="2:65" s="1" customFormat="1" ht="16.5" customHeight="1">
      <c r="B203" s="12"/>
      <c r="C203" s="71" t="s">
        <v>629</v>
      </c>
      <c r="D203" s="71" t="s">
        <v>214</v>
      </c>
      <c r="E203" s="72" t="s">
        <v>4476</v>
      </c>
      <c r="F203" s="73" t="s">
        <v>4477</v>
      </c>
      <c r="G203" s="74" t="s">
        <v>808</v>
      </c>
      <c r="H203" s="75">
        <v>9</v>
      </c>
      <c r="I203" s="90">
        <v>3000</v>
      </c>
      <c r="J203" s="91">
        <f t="shared" si="20"/>
        <v>27000</v>
      </c>
      <c r="K203" s="92"/>
      <c r="L203" s="12"/>
      <c r="M203" s="93" t="s">
        <v>1</v>
      </c>
      <c r="N203" s="94" t="s">
        <v>42</v>
      </c>
      <c r="P203" s="95">
        <f t="shared" si="21"/>
        <v>0</v>
      </c>
      <c r="Q203" s="95">
        <v>0</v>
      </c>
      <c r="R203" s="95">
        <f t="shared" si="22"/>
        <v>0</v>
      </c>
      <c r="S203" s="95">
        <v>0</v>
      </c>
      <c r="T203" s="99">
        <f t="shared" si="23"/>
        <v>0</v>
      </c>
      <c r="AR203" s="101" t="s">
        <v>218</v>
      </c>
      <c r="AT203" s="101" t="s">
        <v>214</v>
      </c>
      <c r="AU203" s="101" t="s">
        <v>87</v>
      </c>
      <c r="AY203" s="23" t="s">
        <v>211</v>
      </c>
      <c r="BE203" s="104">
        <f t="shared" si="24"/>
        <v>27000</v>
      </c>
      <c r="BF203" s="104">
        <f t="shared" si="25"/>
        <v>0</v>
      </c>
      <c r="BG203" s="104">
        <f t="shared" si="26"/>
        <v>0</v>
      </c>
      <c r="BH203" s="104">
        <f t="shared" si="27"/>
        <v>0</v>
      </c>
      <c r="BI203" s="104">
        <f t="shared" si="28"/>
        <v>0</v>
      </c>
      <c r="BJ203" s="23" t="s">
        <v>85</v>
      </c>
      <c r="BK203" s="104">
        <f t="shared" si="29"/>
        <v>27000</v>
      </c>
      <c r="BL203" s="23" t="s">
        <v>218</v>
      </c>
      <c r="BM203" s="101" t="s">
        <v>92</v>
      </c>
    </row>
    <row r="204" spans="2:65" s="1" customFormat="1" ht="24.15" customHeight="1">
      <c r="B204" s="12"/>
      <c r="C204" s="114" t="s">
        <v>634</v>
      </c>
      <c r="D204" s="114" t="s">
        <v>438</v>
      </c>
      <c r="E204" s="115" t="s">
        <v>4478</v>
      </c>
      <c r="F204" s="116" t="s">
        <v>4479</v>
      </c>
      <c r="G204" s="117" t="s">
        <v>808</v>
      </c>
      <c r="H204" s="118">
        <v>17</v>
      </c>
      <c r="I204" s="122">
        <v>11900</v>
      </c>
      <c r="J204" s="123">
        <f t="shared" si="20"/>
        <v>202300</v>
      </c>
      <c r="K204" s="124"/>
      <c r="L204" s="125"/>
      <c r="M204" s="126" t="s">
        <v>1</v>
      </c>
      <c r="N204" s="127" t="s">
        <v>42</v>
      </c>
      <c r="P204" s="95">
        <f t="shared" si="21"/>
        <v>0</v>
      </c>
      <c r="Q204" s="95">
        <v>0</v>
      </c>
      <c r="R204" s="95">
        <f t="shared" si="22"/>
        <v>0</v>
      </c>
      <c r="S204" s="95">
        <v>0</v>
      </c>
      <c r="T204" s="99">
        <f t="shared" si="23"/>
        <v>0</v>
      </c>
      <c r="AR204" s="101" t="s">
        <v>250</v>
      </c>
      <c r="AT204" s="101" t="s">
        <v>438</v>
      </c>
      <c r="AU204" s="101" t="s">
        <v>87</v>
      </c>
      <c r="AY204" s="23" t="s">
        <v>211</v>
      </c>
      <c r="BE204" s="104">
        <f t="shared" si="24"/>
        <v>202300</v>
      </c>
      <c r="BF204" s="104">
        <f t="shared" si="25"/>
        <v>0</v>
      </c>
      <c r="BG204" s="104">
        <f t="shared" si="26"/>
        <v>0</v>
      </c>
      <c r="BH204" s="104">
        <f t="shared" si="27"/>
        <v>0</v>
      </c>
      <c r="BI204" s="104">
        <f t="shared" si="28"/>
        <v>0</v>
      </c>
      <c r="BJ204" s="23" t="s">
        <v>85</v>
      </c>
      <c r="BK204" s="104">
        <f t="shared" si="29"/>
        <v>202300</v>
      </c>
      <c r="BL204" s="23" t="s">
        <v>218</v>
      </c>
      <c r="BM204" s="101" t="s">
        <v>1049</v>
      </c>
    </row>
    <row r="205" spans="2:65" s="1" customFormat="1" ht="16.5" customHeight="1">
      <c r="B205" s="12"/>
      <c r="C205" s="71" t="s">
        <v>639</v>
      </c>
      <c r="D205" s="71" t="s">
        <v>214</v>
      </c>
      <c r="E205" s="72" t="s">
        <v>4480</v>
      </c>
      <c r="F205" s="73" t="s">
        <v>4481</v>
      </c>
      <c r="G205" s="74" t="s">
        <v>808</v>
      </c>
      <c r="H205" s="75">
        <v>17</v>
      </c>
      <c r="I205" s="90">
        <v>3000</v>
      </c>
      <c r="J205" s="91">
        <f t="shared" si="20"/>
        <v>51000</v>
      </c>
      <c r="K205" s="92"/>
      <c r="L205" s="12"/>
      <c r="M205" s="93" t="s">
        <v>1</v>
      </c>
      <c r="N205" s="94" t="s">
        <v>42</v>
      </c>
      <c r="P205" s="95">
        <f t="shared" si="21"/>
        <v>0</v>
      </c>
      <c r="Q205" s="95">
        <v>0</v>
      </c>
      <c r="R205" s="95">
        <f t="shared" si="22"/>
        <v>0</v>
      </c>
      <c r="S205" s="95">
        <v>0</v>
      </c>
      <c r="T205" s="99">
        <f t="shared" si="23"/>
        <v>0</v>
      </c>
      <c r="AR205" s="101" t="s">
        <v>218</v>
      </c>
      <c r="AT205" s="101" t="s">
        <v>214</v>
      </c>
      <c r="AU205" s="101" t="s">
        <v>87</v>
      </c>
      <c r="AY205" s="23" t="s">
        <v>211</v>
      </c>
      <c r="BE205" s="104">
        <f t="shared" si="24"/>
        <v>51000</v>
      </c>
      <c r="BF205" s="104">
        <f t="shared" si="25"/>
        <v>0</v>
      </c>
      <c r="BG205" s="104">
        <f t="shared" si="26"/>
        <v>0</v>
      </c>
      <c r="BH205" s="104">
        <f t="shared" si="27"/>
        <v>0</v>
      </c>
      <c r="BI205" s="104">
        <f t="shared" si="28"/>
        <v>0</v>
      </c>
      <c r="BJ205" s="23" t="s">
        <v>85</v>
      </c>
      <c r="BK205" s="104">
        <f t="shared" si="29"/>
        <v>51000</v>
      </c>
      <c r="BL205" s="23" t="s">
        <v>218</v>
      </c>
      <c r="BM205" s="101" t="s">
        <v>1058</v>
      </c>
    </row>
    <row r="206" spans="2:65" s="1" customFormat="1" ht="24.15" customHeight="1">
      <c r="B206" s="12"/>
      <c r="C206" s="114" t="s">
        <v>644</v>
      </c>
      <c r="D206" s="114" t="s">
        <v>438</v>
      </c>
      <c r="E206" s="115" t="s">
        <v>4552</v>
      </c>
      <c r="F206" s="116" t="s">
        <v>4495</v>
      </c>
      <c r="G206" s="117" t="s">
        <v>808</v>
      </c>
      <c r="H206" s="118">
        <v>6</v>
      </c>
      <c r="I206" s="122">
        <v>16000</v>
      </c>
      <c r="J206" s="123">
        <f t="shared" si="20"/>
        <v>96000</v>
      </c>
      <c r="K206" s="124"/>
      <c r="L206" s="125"/>
      <c r="M206" s="126" t="s">
        <v>1</v>
      </c>
      <c r="N206" s="127" t="s">
        <v>42</v>
      </c>
      <c r="P206" s="95">
        <f t="shared" si="21"/>
        <v>0</v>
      </c>
      <c r="Q206" s="95">
        <v>0</v>
      </c>
      <c r="R206" s="95">
        <f t="shared" si="22"/>
        <v>0</v>
      </c>
      <c r="S206" s="95">
        <v>0</v>
      </c>
      <c r="T206" s="99">
        <f t="shared" si="23"/>
        <v>0</v>
      </c>
      <c r="AR206" s="101" t="s">
        <v>250</v>
      </c>
      <c r="AT206" s="101" t="s">
        <v>438</v>
      </c>
      <c r="AU206" s="101" t="s">
        <v>87</v>
      </c>
      <c r="AY206" s="23" t="s">
        <v>211</v>
      </c>
      <c r="BE206" s="104">
        <f t="shared" si="24"/>
        <v>96000</v>
      </c>
      <c r="BF206" s="104">
        <f t="shared" si="25"/>
        <v>0</v>
      </c>
      <c r="BG206" s="104">
        <f t="shared" si="26"/>
        <v>0</v>
      </c>
      <c r="BH206" s="104">
        <f t="shared" si="27"/>
        <v>0</v>
      </c>
      <c r="BI206" s="104">
        <f t="shared" si="28"/>
        <v>0</v>
      </c>
      <c r="BJ206" s="23" t="s">
        <v>85</v>
      </c>
      <c r="BK206" s="104">
        <f t="shared" si="29"/>
        <v>96000</v>
      </c>
      <c r="BL206" s="23" t="s">
        <v>218</v>
      </c>
      <c r="BM206" s="101" t="s">
        <v>1067</v>
      </c>
    </row>
    <row r="207" spans="2:65" s="1" customFormat="1" ht="16.5" customHeight="1">
      <c r="B207" s="12"/>
      <c r="C207" s="71" t="s">
        <v>649</v>
      </c>
      <c r="D207" s="71" t="s">
        <v>214</v>
      </c>
      <c r="E207" s="72" t="s">
        <v>4484</v>
      </c>
      <c r="F207" s="73" t="s">
        <v>4485</v>
      </c>
      <c r="G207" s="74" t="s">
        <v>808</v>
      </c>
      <c r="H207" s="75">
        <v>6</v>
      </c>
      <c r="I207" s="90">
        <v>3000</v>
      </c>
      <c r="J207" s="91">
        <f t="shared" si="20"/>
        <v>18000</v>
      </c>
      <c r="K207" s="92"/>
      <c r="L207" s="12"/>
      <c r="M207" s="93" t="s">
        <v>1</v>
      </c>
      <c r="N207" s="94" t="s">
        <v>42</v>
      </c>
      <c r="P207" s="95">
        <f t="shared" si="21"/>
        <v>0</v>
      </c>
      <c r="Q207" s="95">
        <v>0</v>
      </c>
      <c r="R207" s="95">
        <f t="shared" si="22"/>
        <v>0</v>
      </c>
      <c r="S207" s="95">
        <v>0</v>
      </c>
      <c r="T207" s="99">
        <f t="shared" si="23"/>
        <v>0</v>
      </c>
      <c r="AR207" s="101" t="s">
        <v>218</v>
      </c>
      <c r="AT207" s="101" t="s">
        <v>214</v>
      </c>
      <c r="AU207" s="101" t="s">
        <v>87</v>
      </c>
      <c r="AY207" s="23" t="s">
        <v>211</v>
      </c>
      <c r="BE207" s="104">
        <f t="shared" si="24"/>
        <v>18000</v>
      </c>
      <c r="BF207" s="104">
        <f t="shared" si="25"/>
        <v>0</v>
      </c>
      <c r="BG207" s="104">
        <f t="shared" si="26"/>
        <v>0</v>
      </c>
      <c r="BH207" s="104">
        <f t="shared" si="27"/>
        <v>0</v>
      </c>
      <c r="BI207" s="104">
        <f t="shared" si="28"/>
        <v>0</v>
      </c>
      <c r="BJ207" s="23" t="s">
        <v>85</v>
      </c>
      <c r="BK207" s="104">
        <f t="shared" si="29"/>
        <v>18000</v>
      </c>
      <c r="BL207" s="23" t="s">
        <v>218</v>
      </c>
      <c r="BM207" s="101" t="s">
        <v>1083</v>
      </c>
    </row>
    <row r="208" spans="2:65" s="1" customFormat="1" ht="24.15" customHeight="1">
      <c r="B208" s="12"/>
      <c r="C208" s="114" t="s">
        <v>654</v>
      </c>
      <c r="D208" s="114" t="s">
        <v>438</v>
      </c>
      <c r="E208" s="115" t="s">
        <v>4553</v>
      </c>
      <c r="F208" s="116" t="s">
        <v>4499</v>
      </c>
      <c r="G208" s="117" t="s">
        <v>808</v>
      </c>
      <c r="H208" s="118">
        <v>4</v>
      </c>
      <c r="I208" s="122">
        <v>14000</v>
      </c>
      <c r="J208" s="123">
        <f t="shared" si="20"/>
        <v>56000</v>
      </c>
      <c r="K208" s="124"/>
      <c r="L208" s="125"/>
      <c r="M208" s="126" t="s">
        <v>1</v>
      </c>
      <c r="N208" s="127" t="s">
        <v>42</v>
      </c>
      <c r="P208" s="95">
        <f t="shared" si="21"/>
        <v>0</v>
      </c>
      <c r="Q208" s="95">
        <v>0</v>
      </c>
      <c r="R208" s="95">
        <f t="shared" si="22"/>
        <v>0</v>
      </c>
      <c r="S208" s="95">
        <v>0</v>
      </c>
      <c r="T208" s="99">
        <f t="shared" si="23"/>
        <v>0</v>
      </c>
      <c r="AR208" s="101" t="s">
        <v>250</v>
      </c>
      <c r="AT208" s="101" t="s">
        <v>438</v>
      </c>
      <c r="AU208" s="101" t="s">
        <v>87</v>
      </c>
      <c r="AY208" s="23" t="s">
        <v>211</v>
      </c>
      <c r="BE208" s="104">
        <f t="shared" si="24"/>
        <v>56000</v>
      </c>
      <c r="BF208" s="104">
        <f t="shared" si="25"/>
        <v>0</v>
      </c>
      <c r="BG208" s="104">
        <f t="shared" si="26"/>
        <v>0</v>
      </c>
      <c r="BH208" s="104">
        <f t="shared" si="27"/>
        <v>0</v>
      </c>
      <c r="BI208" s="104">
        <f t="shared" si="28"/>
        <v>0</v>
      </c>
      <c r="BJ208" s="23" t="s">
        <v>85</v>
      </c>
      <c r="BK208" s="104">
        <f t="shared" si="29"/>
        <v>56000</v>
      </c>
      <c r="BL208" s="23" t="s">
        <v>218</v>
      </c>
      <c r="BM208" s="101" t="s">
        <v>1098</v>
      </c>
    </row>
    <row r="209" spans="2:65" s="1" customFormat="1" ht="16.5" customHeight="1">
      <c r="B209" s="12"/>
      <c r="C209" s="71" t="s">
        <v>660</v>
      </c>
      <c r="D209" s="71" t="s">
        <v>214</v>
      </c>
      <c r="E209" s="72" t="s">
        <v>4488</v>
      </c>
      <c r="F209" s="73" t="s">
        <v>4489</v>
      </c>
      <c r="G209" s="74" t="s">
        <v>808</v>
      </c>
      <c r="H209" s="75">
        <v>4</v>
      </c>
      <c r="I209" s="90">
        <v>3000</v>
      </c>
      <c r="J209" s="91">
        <f t="shared" si="20"/>
        <v>12000</v>
      </c>
      <c r="K209" s="92"/>
      <c r="L209" s="12"/>
      <c r="M209" s="93" t="s">
        <v>1</v>
      </c>
      <c r="N209" s="94" t="s">
        <v>42</v>
      </c>
      <c r="P209" s="95">
        <f t="shared" si="21"/>
        <v>0</v>
      </c>
      <c r="Q209" s="95">
        <v>0</v>
      </c>
      <c r="R209" s="95">
        <f t="shared" si="22"/>
        <v>0</v>
      </c>
      <c r="S209" s="95">
        <v>0</v>
      </c>
      <c r="T209" s="99">
        <f t="shared" si="23"/>
        <v>0</v>
      </c>
      <c r="AR209" s="101" t="s">
        <v>218</v>
      </c>
      <c r="AT209" s="101" t="s">
        <v>214</v>
      </c>
      <c r="AU209" s="101" t="s">
        <v>87</v>
      </c>
      <c r="AY209" s="23" t="s">
        <v>211</v>
      </c>
      <c r="BE209" s="104">
        <f t="shared" si="24"/>
        <v>12000</v>
      </c>
      <c r="BF209" s="104">
        <f t="shared" si="25"/>
        <v>0</v>
      </c>
      <c r="BG209" s="104">
        <f t="shared" si="26"/>
        <v>0</v>
      </c>
      <c r="BH209" s="104">
        <f t="shared" si="27"/>
        <v>0</v>
      </c>
      <c r="BI209" s="104">
        <f t="shared" si="28"/>
        <v>0</v>
      </c>
      <c r="BJ209" s="23" t="s">
        <v>85</v>
      </c>
      <c r="BK209" s="104">
        <f t="shared" si="29"/>
        <v>12000</v>
      </c>
      <c r="BL209" s="23" t="s">
        <v>218</v>
      </c>
      <c r="BM209" s="101" t="s">
        <v>1112</v>
      </c>
    </row>
    <row r="210" spans="2:65" s="1" customFormat="1" ht="24.15" customHeight="1">
      <c r="B210" s="12"/>
      <c r="C210" s="114" t="s">
        <v>665</v>
      </c>
      <c r="D210" s="114" t="s">
        <v>438</v>
      </c>
      <c r="E210" s="115" t="s">
        <v>4554</v>
      </c>
      <c r="F210" s="116" t="s">
        <v>4503</v>
      </c>
      <c r="G210" s="117" t="s">
        <v>808</v>
      </c>
      <c r="H210" s="118">
        <v>5</v>
      </c>
      <c r="I210" s="122">
        <v>2000</v>
      </c>
      <c r="J210" s="123">
        <f t="shared" si="20"/>
        <v>10000</v>
      </c>
      <c r="K210" s="124"/>
      <c r="L210" s="125"/>
      <c r="M210" s="126" t="s">
        <v>1</v>
      </c>
      <c r="N210" s="127" t="s">
        <v>42</v>
      </c>
      <c r="P210" s="95">
        <f t="shared" si="21"/>
        <v>0</v>
      </c>
      <c r="Q210" s="95">
        <v>0</v>
      </c>
      <c r="R210" s="95">
        <f t="shared" si="22"/>
        <v>0</v>
      </c>
      <c r="S210" s="95">
        <v>0</v>
      </c>
      <c r="T210" s="99">
        <f t="shared" si="23"/>
        <v>0</v>
      </c>
      <c r="AR210" s="101" t="s">
        <v>250</v>
      </c>
      <c r="AT210" s="101" t="s">
        <v>438</v>
      </c>
      <c r="AU210" s="101" t="s">
        <v>87</v>
      </c>
      <c r="AY210" s="23" t="s">
        <v>211</v>
      </c>
      <c r="BE210" s="104">
        <f t="shared" si="24"/>
        <v>10000</v>
      </c>
      <c r="BF210" s="104">
        <f t="shared" si="25"/>
        <v>0</v>
      </c>
      <c r="BG210" s="104">
        <f t="shared" si="26"/>
        <v>0</v>
      </c>
      <c r="BH210" s="104">
        <f t="shared" si="27"/>
        <v>0</v>
      </c>
      <c r="BI210" s="104">
        <f t="shared" si="28"/>
        <v>0</v>
      </c>
      <c r="BJ210" s="23" t="s">
        <v>85</v>
      </c>
      <c r="BK210" s="104">
        <f t="shared" si="29"/>
        <v>10000</v>
      </c>
      <c r="BL210" s="23" t="s">
        <v>218</v>
      </c>
      <c r="BM210" s="101" t="s">
        <v>1129</v>
      </c>
    </row>
    <row r="211" spans="2:65" s="1" customFormat="1" ht="16.5" customHeight="1">
      <c r="B211" s="12"/>
      <c r="C211" s="71" t="s">
        <v>679</v>
      </c>
      <c r="D211" s="71" t="s">
        <v>214</v>
      </c>
      <c r="E211" s="72" t="s">
        <v>4492</v>
      </c>
      <c r="F211" s="73" t="s">
        <v>4493</v>
      </c>
      <c r="G211" s="74" t="s">
        <v>808</v>
      </c>
      <c r="H211" s="75">
        <v>5</v>
      </c>
      <c r="I211" s="90">
        <v>400</v>
      </c>
      <c r="J211" s="91">
        <f t="shared" si="20"/>
        <v>2000</v>
      </c>
      <c r="K211" s="92"/>
      <c r="L211" s="12"/>
      <c r="M211" s="93" t="s">
        <v>1</v>
      </c>
      <c r="N211" s="94" t="s">
        <v>42</v>
      </c>
      <c r="P211" s="95">
        <f t="shared" si="21"/>
        <v>0</v>
      </c>
      <c r="Q211" s="95">
        <v>0</v>
      </c>
      <c r="R211" s="95">
        <f t="shared" si="22"/>
        <v>0</v>
      </c>
      <c r="S211" s="95">
        <v>0</v>
      </c>
      <c r="T211" s="99">
        <f t="shared" si="23"/>
        <v>0</v>
      </c>
      <c r="AR211" s="101" t="s">
        <v>218</v>
      </c>
      <c r="AT211" s="101" t="s">
        <v>214</v>
      </c>
      <c r="AU211" s="101" t="s">
        <v>87</v>
      </c>
      <c r="AY211" s="23" t="s">
        <v>211</v>
      </c>
      <c r="BE211" s="104">
        <f t="shared" si="24"/>
        <v>2000</v>
      </c>
      <c r="BF211" s="104">
        <f t="shared" si="25"/>
        <v>0</v>
      </c>
      <c r="BG211" s="104">
        <f t="shared" si="26"/>
        <v>0</v>
      </c>
      <c r="BH211" s="104">
        <f t="shared" si="27"/>
        <v>0</v>
      </c>
      <c r="BI211" s="104">
        <f t="shared" si="28"/>
        <v>0</v>
      </c>
      <c r="BJ211" s="23" t="s">
        <v>85</v>
      </c>
      <c r="BK211" s="104">
        <f t="shared" si="29"/>
        <v>2000</v>
      </c>
      <c r="BL211" s="23" t="s">
        <v>218</v>
      </c>
      <c r="BM211" s="101" t="s">
        <v>1141</v>
      </c>
    </row>
    <row r="212" spans="2:65" s="1" customFormat="1" ht="24.15" customHeight="1">
      <c r="B212" s="12"/>
      <c r="C212" s="114" t="s">
        <v>694</v>
      </c>
      <c r="D212" s="114" t="s">
        <v>438</v>
      </c>
      <c r="E212" s="115" t="s">
        <v>4555</v>
      </c>
      <c r="F212" s="116" t="s">
        <v>4507</v>
      </c>
      <c r="G212" s="117" t="s">
        <v>808</v>
      </c>
      <c r="H212" s="118">
        <v>2</v>
      </c>
      <c r="I212" s="122">
        <v>2500</v>
      </c>
      <c r="J212" s="123">
        <f t="shared" si="20"/>
        <v>5000</v>
      </c>
      <c r="K212" s="124"/>
      <c r="L212" s="125"/>
      <c r="M212" s="126" t="s">
        <v>1</v>
      </c>
      <c r="N212" s="127" t="s">
        <v>42</v>
      </c>
      <c r="P212" s="95">
        <f t="shared" si="21"/>
        <v>0</v>
      </c>
      <c r="Q212" s="95">
        <v>0</v>
      </c>
      <c r="R212" s="95">
        <f t="shared" si="22"/>
        <v>0</v>
      </c>
      <c r="S212" s="95">
        <v>0</v>
      </c>
      <c r="T212" s="99">
        <f t="shared" si="23"/>
        <v>0</v>
      </c>
      <c r="AR212" s="101" t="s">
        <v>250</v>
      </c>
      <c r="AT212" s="101" t="s">
        <v>438</v>
      </c>
      <c r="AU212" s="101" t="s">
        <v>87</v>
      </c>
      <c r="AY212" s="23" t="s">
        <v>211</v>
      </c>
      <c r="BE212" s="104">
        <f t="shared" si="24"/>
        <v>5000</v>
      </c>
      <c r="BF212" s="104">
        <f t="shared" si="25"/>
        <v>0</v>
      </c>
      <c r="BG212" s="104">
        <f t="shared" si="26"/>
        <v>0</v>
      </c>
      <c r="BH212" s="104">
        <f t="shared" si="27"/>
        <v>0</v>
      </c>
      <c r="BI212" s="104">
        <f t="shared" si="28"/>
        <v>0</v>
      </c>
      <c r="BJ212" s="23" t="s">
        <v>85</v>
      </c>
      <c r="BK212" s="104">
        <f t="shared" si="29"/>
        <v>5000</v>
      </c>
      <c r="BL212" s="23" t="s">
        <v>218</v>
      </c>
      <c r="BM212" s="101" t="s">
        <v>1153</v>
      </c>
    </row>
    <row r="213" spans="2:65" s="1" customFormat="1" ht="16.5" customHeight="1">
      <c r="B213" s="12"/>
      <c r="C213" s="71" t="s">
        <v>705</v>
      </c>
      <c r="D213" s="71" t="s">
        <v>214</v>
      </c>
      <c r="E213" s="72" t="s">
        <v>4496</v>
      </c>
      <c r="F213" s="73" t="s">
        <v>4497</v>
      </c>
      <c r="G213" s="74" t="s">
        <v>808</v>
      </c>
      <c r="H213" s="75">
        <v>2</v>
      </c>
      <c r="I213" s="90">
        <v>400</v>
      </c>
      <c r="J213" s="91">
        <f t="shared" si="20"/>
        <v>800</v>
      </c>
      <c r="K213" s="92"/>
      <c r="L213" s="12"/>
      <c r="M213" s="93" t="s">
        <v>1</v>
      </c>
      <c r="N213" s="94" t="s">
        <v>42</v>
      </c>
      <c r="P213" s="95">
        <f t="shared" si="21"/>
        <v>0</v>
      </c>
      <c r="Q213" s="95">
        <v>0</v>
      </c>
      <c r="R213" s="95">
        <f t="shared" si="22"/>
        <v>0</v>
      </c>
      <c r="S213" s="95">
        <v>0</v>
      </c>
      <c r="T213" s="99">
        <f t="shared" si="23"/>
        <v>0</v>
      </c>
      <c r="AR213" s="101" t="s">
        <v>218</v>
      </c>
      <c r="AT213" s="101" t="s">
        <v>214</v>
      </c>
      <c r="AU213" s="101" t="s">
        <v>87</v>
      </c>
      <c r="AY213" s="23" t="s">
        <v>211</v>
      </c>
      <c r="BE213" s="104">
        <f t="shared" si="24"/>
        <v>800</v>
      </c>
      <c r="BF213" s="104">
        <f t="shared" si="25"/>
        <v>0</v>
      </c>
      <c r="BG213" s="104">
        <f t="shared" si="26"/>
        <v>0</v>
      </c>
      <c r="BH213" s="104">
        <f t="shared" si="27"/>
        <v>0</v>
      </c>
      <c r="BI213" s="104">
        <f t="shared" si="28"/>
        <v>0</v>
      </c>
      <c r="BJ213" s="23" t="s">
        <v>85</v>
      </c>
      <c r="BK213" s="104">
        <f t="shared" si="29"/>
        <v>800</v>
      </c>
      <c r="BL213" s="23" t="s">
        <v>218</v>
      </c>
      <c r="BM213" s="101" t="s">
        <v>1167</v>
      </c>
    </row>
    <row r="214" spans="2:65" s="1" customFormat="1" ht="24.15" customHeight="1">
      <c r="B214" s="12"/>
      <c r="C214" s="114" t="s">
        <v>713</v>
      </c>
      <c r="D214" s="114" t="s">
        <v>438</v>
      </c>
      <c r="E214" s="115" t="s">
        <v>4556</v>
      </c>
      <c r="F214" s="116" t="s">
        <v>4511</v>
      </c>
      <c r="G214" s="117" t="s">
        <v>808</v>
      </c>
      <c r="H214" s="118">
        <v>2</v>
      </c>
      <c r="I214" s="122">
        <v>2500</v>
      </c>
      <c r="J214" s="123">
        <f t="shared" si="20"/>
        <v>5000</v>
      </c>
      <c r="K214" s="124"/>
      <c r="L214" s="125"/>
      <c r="M214" s="126" t="s">
        <v>1</v>
      </c>
      <c r="N214" s="127" t="s">
        <v>42</v>
      </c>
      <c r="P214" s="95">
        <f t="shared" si="21"/>
        <v>0</v>
      </c>
      <c r="Q214" s="95">
        <v>0</v>
      </c>
      <c r="R214" s="95">
        <f t="shared" si="22"/>
        <v>0</v>
      </c>
      <c r="S214" s="95">
        <v>0</v>
      </c>
      <c r="T214" s="99">
        <f t="shared" si="23"/>
        <v>0</v>
      </c>
      <c r="AR214" s="101" t="s">
        <v>250</v>
      </c>
      <c r="AT214" s="101" t="s">
        <v>438</v>
      </c>
      <c r="AU214" s="101" t="s">
        <v>87</v>
      </c>
      <c r="AY214" s="23" t="s">
        <v>211</v>
      </c>
      <c r="BE214" s="104">
        <f t="shared" si="24"/>
        <v>5000</v>
      </c>
      <c r="BF214" s="104">
        <f t="shared" si="25"/>
        <v>0</v>
      </c>
      <c r="BG214" s="104">
        <f t="shared" si="26"/>
        <v>0</v>
      </c>
      <c r="BH214" s="104">
        <f t="shared" si="27"/>
        <v>0</v>
      </c>
      <c r="BI214" s="104">
        <f t="shared" si="28"/>
        <v>0</v>
      </c>
      <c r="BJ214" s="23" t="s">
        <v>85</v>
      </c>
      <c r="BK214" s="104">
        <f t="shared" si="29"/>
        <v>5000</v>
      </c>
      <c r="BL214" s="23" t="s">
        <v>218</v>
      </c>
      <c r="BM214" s="101" t="s">
        <v>1179</v>
      </c>
    </row>
    <row r="215" spans="2:65" s="1" customFormat="1" ht="16.5" customHeight="1">
      <c r="B215" s="12"/>
      <c r="C215" s="71" t="s">
        <v>722</v>
      </c>
      <c r="D215" s="71" t="s">
        <v>214</v>
      </c>
      <c r="E215" s="72" t="s">
        <v>4500</v>
      </c>
      <c r="F215" s="73" t="s">
        <v>4501</v>
      </c>
      <c r="G215" s="74" t="s">
        <v>808</v>
      </c>
      <c r="H215" s="75">
        <v>2</v>
      </c>
      <c r="I215" s="90">
        <v>400</v>
      </c>
      <c r="J215" s="91">
        <f t="shared" si="20"/>
        <v>800</v>
      </c>
      <c r="K215" s="92"/>
      <c r="L215" s="12"/>
      <c r="M215" s="93" t="s">
        <v>1</v>
      </c>
      <c r="N215" s="94" t="s">
        <v>42</v>
      </c>
      <c r="P215" s="95">
        <f t="shared" si="21"/>
        <v>0</v>
      </c>
      <c r="Q215" s="95">
        <v>0</v>
      </c>
      <c r="R215" s="95">
        <f t="shared" si="22"/>
        <v>0</v>
      </c>
      <c r="S215" s="95">
        <v>0</v>
      </c>
      <c r="T215" s="99">
        <f t="shared" si="23"/>
        <v>0</v>
      </c>
      <c r="AR215" s="101" t="s">
        <v>218</v>
      </c>
      <c r="AT215" s="101" t="s">
        <v>214</v>
      </c>
      <c r="AU215" s="101" t="s">
        <v>87</v>
      </c>
      <c r="AY215" s="23" t="s">
        <v>211</v>
      </c>
      <c r="BE215" s="104">
        <f t="shared" si="24"/>
        <v>800</v>
      </c>
      <c r="BF215" s="104">
        <f t="shared" si="25"/>
        <v>0</v>
      </c>
      <c r="BG215" s="104">
        <f t="shared" si="26"/>
        <v>0</v>
      </c>
      <c r="BH215" s="104">
        <f t="shared" si="27"/>
        <v>0</v>
      </c>
      <c r="BI215" s="104">
        <f t="shared" si="28"/>
        <v>0</v>
      </c>
      <c r="BJ215" s="23" t="s">
        <v>85</v>
      </c>
      <c r="BK215" s="104">
        <f t="shared" si="29"/>
        <v>800</v>
      </c>
      <c r="BL215" s="23" t="s">
        <v>218</v>
      </c>
      <c r="BM215" s="101" t="s">
        <v>1187</v>
      </c>
    </row>
    <row r="216" spans="2:65" s="31" customFormat="1" ht="23.1" customHeight="1">
      <c r="B216" s="67"/>
      <c r="D216" s="68" t="s">
        <v>76</v>
      </c>
      <c r="E216" s="70" t="s">
        <v>3832</v>
      </c>
      <c r="F216" s="70" t="s">
        <v>4514</v>
      </c>
      <c r="I216" s="85"/>
      <c r="J216" s="89">
        <f>BK216</f>
        <v>196380</v>
      </c>
      <c r="L216" s="67"/>
      <c r="M216" s="87"/>
      <c r="P216" s="88">
        <f>SUM(P217:P232)</f>
        <v>0</v>
      </c>
      <c r="R216" s="88">
        <f>SUM(R217:R232)</f>
        <v>0</v>
      </c>
      <c r="T216" s="98">
        <f>SUM(T217:T232)</f>
        <v>0</v>
      </c>
      <c r="AR216" s="68" t="s">
        <v>85</v>
      </c>
      <c r="AT216" s="100" t="s">
        <v>76</v>
      </c>
      <c r="AU216" s="100" t="s">
        <v>85</v>
      </c>
      <c r="AY216" s="68" t="s">
        <v>211</v>
      </c>
      <c r="BK216" s="103">
        <f>SUM(BK217:BK232)</f>
        <v>196380</v>
      </c>
    </row>
    <row r="217" spans="2:65" s="1" customFormat="1" ht="16.5" customHeight="1">
      <c r="B217" s="12"/>
      <c r="C217" s="114" t="s">
        <v>727</v>
      </c>
      <c r="D217" s="114" t="s">
        <v>438</v>
      </c>
      <c r="E217" s="115" t="s">
        <v>4476</v>
      </c>
      <c r="F217" s="116" t="s">
        <v>4515</v>
      </c>
      <c r="G217" s="117" t="s">
        <v>444</v>
      </c>
      <c r="H217" s="118">
        <v>148</v>
      </c>
      <c r="I217" s="122">
        <v>140</v>
      </c>
      <c r="J217" s="123">
        <f t="shared" ref="J217:J232" si="30">ROUND(I217*H217,2)</f>
        <v>20720</v>
      </c>
      <c r="K217" s="124"/>
      <c r="L217" s="125"/>
      <c r="M217" s="126" t="s">
        <v>1</v>
      </c>
      <c r="N217" s="127" t="s">
        <v>42</v>
      </c>
      <c r="P217" s="95">
        <f t="shared" ref="P217:P232" si="31">O217*H217</f>
        <v>0</v>
      </c>
      <c r="Q217" s="95">
        <v>0</v>
      </c>
      <c r="R217" s="95">
        <f t="shared" ref="R217:R232" si="32">Q217*H217</f>
        <v>0</v>
      </c>
      <c r="S217" s="95">
        <v>0</v>
      </c>
      <c r="T217" s="99">
        <f t="shared" ref="T217:T232" si="33">S217*H217</f>
        <v>0</v>
      </c>
      <c r="AR217" s="101" t="s">
        <v>250</v>
      </c>
      <c r="AT217" s="101" t="s">
        <v>438</v>
      </c>
      <c r="AU217" s="101" t="s">
        <v>87</v>
      </c>
      <c r="AY217" s="23" t="s">
        <v>211</v>
      </c>
      <c r="BE217" s="104">
        <f t="shared" ref="BE217:BE232" si="34">IF(N217="základní",J217,0)</f>
        <v>20720</v>
      </c>
      <c r="BF217" s="104">
        <f t="shared" ref="BF217:BF232" si="35">IF(N217="snížená",J217,0)</f>
        <v>0</v>
      </c>
      <c r="BG217" s="104">
        <f t="shared" ref="BG217:BG232" si="36">IF(N217="zákl. přenesená",J217,0)</f>
        <v>0</v>
      </c>
      <c r="BH217" s="104">
        <f t="shared" ref="BH217:BH232" si="37">IF(N217="sníž. přenesená",J217,0)</f>
        <v>0</v>
      </c>
      <c r="BI217" s="104">
        <f t="shared" ref="BI217:BI232" si="38">IF(N217="nulová",J217,0)</f>
        <v>0</v>
      </c>
      <c r="BJ217" s="23" t="s">
        <v>85</v>
      </c>
      <c r="BK217" s="104">
        <f t="shared" ref="BK217:BK232" si="39">ROUND(I217*H217,2)</f>
        <v>20720</v>
      </c>
      <c r="BL217" s="23" t="s">
        <v>218</v>
      </c>
      <c r="BM217" s="101" t="s">
        <v>1195</v>
      </c>
    </row>
    <row r="218" spans="2:65" s="1" customFormat="1" ht="16.5" customHeight="1">
      <c r="B218" s="12"/>
      <c r="C218" s="71" t="s">
        <v>756</v>
      </c>
      <c r="D218" s="71" t="s">
        <v>214</v>
      </c>
      <c r="E218" s="72" t="s">
        <v>4516</v>
      </c>
      <c r="F218" s="73" t="s">
        <v>4477</v>
      </c>
      <c r="G218" s="74" t="s">
        <v>444</v>
      </c>
      <c r="H218" s="75">
        <v>148</v>
      </c>
      <c r="I218" s="90">
        <v>150</v>
      </c>
      <c r="J218" s="91">
        <f t="shared" si="30"/>
        <v>22200</v>
      </c>
      <c r="K218" s="92"/>
      <c r="L218" s="12"/>
      <c r="M218" s="93" t="s">
        <v>1</v>
      </c>
      <c r="N218" s="94" t="s">
        <v>42</v>
      </c>
      <c r="P218" s="95">
        <f t="shared" si="31"/>
        <v>0</v>
      </c>
      <c r="Q218" s="95">
        <v>0</v>
      </c>
      <c r="R218" s="95">
        <f t="shared" si="32"/>
        <v>0</v>
      </c>
      <c r="S218" s="95">
        <v>0</v>
      </c>
      <c r="T218" s="99">
        <f t="shared" si="33"/>
        <v>0</v>
      </c>
      <c r="AR218" s="101" t="s">
        <v>218</v>
      </c>
      <c r="AT218" s="101" t="s">
        <v>214</v>
      </c>
      <c r="AU218" s="101" t="s">
        <v>87</v>
      </c>
      <c r="AY218" s="23" t="s">
        <v>211</v>
      </c>
      <c r="BE218" s="104">
        <f t="shared" si="34"/>
        <v>22200</v>
      </c>
      <c r="BF218" s="104">
        <f t="shared" si="35"/>
        <v>0</v>
      </c>
      <c r="BG218" s="104">
        <f t="shared" si="36"/>
        <v>0</v>
      </c>
      <c r="BH218" s="104">
        <f t="shared" si="37"/>
        <v>0</v>
      </c>
      <c r="BI218" s="104">
        <f t="shared" si="38"/>
        <v>0</v>
      </c>
      <c r="BJ218" s="23" t="s">
        <v>85</v>
      </c>
      <c r="BK218" s="104">
        <f t="shared" si="39"/>
        <v>22200</v>
      </c>
      <c r="BL218" s="23" t="s">
        <v>218</v>
      </c>
      <c r="BM218" s="101" t="s">
        <v>1211</v>
      </c>
    </row>
    <row r="219" spans="2:65" s="1" customFormat="1" ht="16.5" customHeight="1">
      <c r="B219" s="12"/>
      <c r="C219" s="114" t="s">
        <v>760</v>
      </c>
      <c r="D219" s="114" t="s">
        <v>438</v>
      </c>
      <c r="E219" s="115" t="s">
        <v>4480</v>
      </c>
      <c r="F219" s="116" t="s">
        <v>4517</v>
      </c>
      <c r="G219" s="117" t="s">
        <v>444</v>
      </c>
      <c r="H219" s="118">
        <v>180</v>
      </c>
      <c r="I219" s="122">
        <v>200</v>
      </c>
      <c r="J219" s="123">
        <f t="shared" si="30"/>
        <v>36000</v>
      </c>
      <c r="K219" s="124"/>
      <c r="L219" s="125"/>
      <c r="M219" s="126" t="s">
        <v>1</v>
      </c>
      <c r="N219" s="127" t="s">
        <v>42</v>
      </c>
      <c r="P219" s="95">
        <f t="shared" si="31"/>
        <v>0</v>
      </c>
      <c r="Q219" s="95">
        <v>0</v>
      </c>
      <c r="R219" s="95">
        <f t="shared" si="32"/>
        <v>0</v>
      </c>
      <c r="S219" s="95">
        <v>0</v>
      </c>
      <c r="T219" s="99">
        <f t="shared" si="33"/>
        <v>0</v>
      </c>
      <c r="AR219" s="101" t="s">
        <v>250</v>
      </c>
      <c r="AT219" s="101" t="s">
        <v>438</v>
      </c>
      <c r="AU219" s="101" t="s">
        <v>87</v>
      </c>
      <c r="AY219" s="23" t="s">
        <v>211</v>
      </c>
      <c r="BE219" s="104">
        <f t="shared" si="34"/>
        <v>36000</v>
      </c>
      <c r="BF219" s="104">
        <f t="shared" si="35"/>
        <v>0</v>
      </c>
      <c r="BG219" s="104">
        <f t="shared" si="36"/>
        <v>0</v>
      </c>
      <c r="BH219" s="104">
        <f t="shared" si="37"/>
        <v>0</v>
      </c>
      <c r="BI219" s="104">
        <f t="shared" si="38"/>
        <v>0</v>
      </c>
      <c r="BJ219" s="23" t="s">
        <v>85</v>
      </c>
      <c r="BK219" s="104">
        <f t="shared" si="39"/>
        <v>36000</v>
      </c>
      <c r="BL219" s="23" t="s">
        <v>218</v>
      </c>
      <c r="BM219" s="101" t="s">
        <v>1224</v>
      </c>
    </row>
    <row r="220" spans="2:65" s="1" customFormat="1" ht="16.5" customHeight="1">
      <c r="B220" s="12"/>
      <c r="C220" s="71" t="s">
        <v>805</v>
      </c>
      <c r="D220" s="71" t="s">
        <v>214</v>
      </c>
      <c r="E220" s="72" t="s">
        <v>4518</v>
      </c>
      <c r="F220" s="73" t="s">
        <v>4481</v>
      </c>
      <c r="G220" s="74" t="s">
        <v>444</v>
      </c>
      <c r="H220" s="75">
        <v>180</v>
      </c>
      <c r="I220" s="90">
        <v>150</v>
      </c>
      <c r="J220" s="91">
        <f t="shared" si="30"/>
        <v>27000</v>
      </c>
      <c r="K220" s="92"/>
      <c r="L220" s="12"/>
      <c r="M220" s="93" t="s">
        <v>1</v>
      </c>
      <c r="N220" s="94" t="s">
        <v>42</v>
      </c>
      <c r="P220" s="95">
        <f t="shared" si="31"/>
        <v>0</v>
      </c>
      <c r="Q220" s="95">
        <v>0</v>
      </c>
      <c r="R220" s="95">
        <f t="shared" si="32"/>
        <v>0</v>
      </c>
      <c r="S220" s="95">
        <v>0</v>
      </c>
      <c r="T220" s="99">
        <f t="shared" si="33"/>
        <v>0</v>
      </c>
      <c r="AR220" s="101" t="s">
        <v>218</v>
      </c>
      <c r="AT220" s="101" t="s">
        <v>214</v>
      </c>
      <c r="AU220" s="101" t="s">
        <v>87</v>
      </c>
      <c r="AY220" s="23" t="s">
        <v>211</v>
      </c>
      <c r="BE220" s="104">
        <f t="shared" si="34"/>
        <v>27000</v>
      </c>
      <c r="BF220" s="104">
        <f t="shared" si="35"/>
        <v>0</v>
      </c>
      <c r="BG220" s="104">
        <f t="shared" si="36"/>
        <v>0</v>
      </c>
      <c r="BH220" s="104">
        <f t="shared" si="37"/>
        <v>0</v>
      </c>
      <c r="BI220" s="104">
        <f t="shared" si="38"/>
        <v>0</v>
      </c>
      <c r="BJ220" s="23" t="s">
        <v>85</v>
      </c>
      <c r="BK220" s="104">
        <f t="shared" si="39"/>
        <v>27000</v>
      </c>
      <c r="BL220" s="23" t="s">
        <v>218</v>
      </c>
      <c r="BM220" s="101" t="s">
        <v>1239</v>
      </c>
    </row>
    <row r="221" spans="2:65" s="1" customFormat="1" ht="16.5" customHeight="1">
      <c r="B221" s="12"/>
      <c r="C221" s="114" t="s">
        <v>810</v>
      </c>
      <c r="D221" s="114" t="s">
        <v>438</v>
      </c>
      <c r="E221" s="115" t="s">
        <v>4484</v>
      </c>
      <c r="F221" s="116" t="s">
        <v>4519</v>
      </c>
      <c r="G221" s="117" t="s">
        <v>444</v>
      </c>
      <c r="H221" s="118">
        <v>80</v>
      </c>
      <c r="I221" s="122">
        <v>220</v>
      </c>
      <c r="J221" s="123">
        <f t="shared" si="30"/>
        <v>17600</v>
      </c>
      <c r="K221" s="124"/>
      <c r="L221" s="125"/>
      <c r="M221" s="126" t="s">
        <v>1</v>
      </c>
      <c r="N221" s="127" t="s">
        <v>42</v>
      </c>
      <c r="P221" s="95">
        <f t="shared" si="31"/>
        <v>0</v>
      </c>
      <c r="Q221" s="95">
        <v>0</v>
      </c>
      <c r="R221" s="95">
        <f t="shared" si="32"/>
        <v>0</v>
      </c>
      <c r="S221" s="95">
        <v>0</v>
      </c>
      <c r="T221" s="99">
        <f t="shared" si="33"/>
        <v>0</v>
      </c>
      <c r="AR221" s="101" t="s">
        <v>250</v>
      </c>
      <c r="AT221" s="101" t="s">
        <v>438</v>
      </c>
      <c r="AU221" s="101" t="s">
        <v>87</v>
      </c>
      <c r="AY221" s="23" t="s">
        <v>211</v>
      </c>
      <c r="BE221" s="104">
        <f t="shared" si="34"/>
        <v>17600</v>
      </c>
      <c r="BF221" s="104">
        <f t="shared" si="35"/>
        <v>0</v>
      </c>
      <c r="BG221" s="104">
        <f t="shared" si="36"/>
        <v>0</v>
      </c>
      <c r="BH221" s="104">
        <f t="shared" si="37"/>
        <v>0</v>
      </c>
      <c r="BI221" s="104">
        <f t="shared" si="38"/>
        <v>0</v>
      </c>
      <c r="BJ221" s="23" t="s">
        <v>85</v>
      </c>
      <c r="BK221" s="104">
        <f t="shared" si="39"/>
        <v>17600</v>
      </c>
      <c r="BL221" s="23" t="s">
        <v>218</v>
      </c>
      <c r="BM221" s="101" t="s">
        <v>1260</v>
      </c>
    </row>
    <row r="222" spans="2:65" s="1" customFormat="1" ht="16.5" customHeight="1">
      <c r="B222" s="12"/>
      <c r="C222" s="71" t="s">
        <v>814</v>
      </c>
      <c r="D222" s="71" t="s">
        <v>214</v>
      </c>
      <c r="E222" s="72" t="s">
        <v>4520</v>
      </c>
      <c r="F222" s="73" t="s">
        <v>4485</v>
      </c>
      <c r="G222" s="74" t="s">
        <v>444</v>
      </c>
      <c r="H222" s="75">
        <v>80</v>
      </c>
      <c r="I222" s="90">
        <v>150</v>
      </c>
      <c r="J222" s="91">
        <f t="shared" si="30"/>
        <v>12000</v>
      </c>
      <c r="K222" s="92"/>
      <c r="L222" s="12"/>
      <c r="M222" s="93" t="s">
        <v>1</v>
      </c>
      <c r="N222" s="94" t="s">
        <v>42</v>
      </c>
      <c r="P222" s="95">
        <f t="shared" si="31"/>
        <v>0</v>
      </c>
      <c r="Q222" s="95">
        <v>0</v>
      </c>
      <c r="R222" s="95">
        <f t="shared" si="32"/>
        <v>0</v>
      </c>
      <c r="S222" s="95">
        <v>0</v>
      </c>
      <c r="T222" s="99">
        <f t="shared" si="33"/>
        <v>0</v>
      </c>
      <c r="AR222" s="101" t="s">
        <v>218</v>
      </c>
      <c r="AT222" s="101" t="s">
        <v>214</v>
      </c>
      <c r="AU222" s="101" t="s">
        <v>87</v>
      </c>
      <c r="AY222" s="23" t="s">
        <v>211</v>
      </c>
      <c r="BE222" s="104">
        <f t="shared" si="34"/>
        <v>12000</v>
      </c>
      <c r="BF222" s="104">
        <f t="shared" si="35"/>
        <v>0</v>
      </c>
      <c r="BG222" s="104">
        <f t="shared" si="36"/>
        <v>0</v>
      </c>
      <c r="BH222" s="104">
        <f t="shared" si="37"/>
        <v>0</v>
      </c>
      <c r="BI222" s="104">
        <f t="shared" si="38"/>
        <v>0</v>
      </c>
      <c r="BJ222" s="23" t="s">
        <v>85</v>
      </c>
      <c r="BK222" s="104">
        <f t="shared" si="39"/>
        <v>12000</v>
      </c>
      <c r="BL222" s="23" t="s">
        <v>218</v>
      </c>
      <c r="BM222" s="101" t="s">
        <v>1269</v>
      </c>
    </row>
    <row r="223" spans="2:65" s="1" customFormat="1" ht="16.5" customHeight="1">
      <c r="B223" s="12"/>
      <c r="C223" s="114" t="s">
        <v>818</v>
      </c>
      <c r="D223" s="114" t="s">
        <v>438</v>
      </c>
      <c r="E223" s="115" t="s">
        <v>4488</v>
      </c>
      <c r="F223" s="116" t="s">
        <v>4521</v>
      </c>
      <c r="G223" s="117" t="s">
        <v>444</v>
      </c>
      <c r="H223" s="118">
        <v>40</v>
      </c>
      <c r="I223" s="122">
        <v>260</v>
      </c>
      <c r="J223" s="123">
        <f t="shared" si="30"/>
        <v>10400</v>
      </c>
      <c r="K223" s="124"/>
      <c r="L223" s="125"/>
      <c r="M223" s="126" t="s">
        <v>1</v>
      </c>
      <c r="N223" s="127" t="s">
        <v>42</v>
      </c>
      <c r="P223" s="95">
        <f t="shared" si="31"/>
        <v>0</v>
      </c>
      <c r="Q223" s="95">
        <v>0</v>
      </c>
      <c r="R223" s="95">
        <f t="shared" si="32"/>
        <v>0</v>
      </c>
      <c r="S223" s="95">
        <v>0</v>
      </c>
      <c r="T223" s="99">
        <f t="shared" si="33"/>
        <v>0</v>
      </c>
      <c r="AR223" s="101" t="s">
        <v>250</v>
      </c>
      <c r="AT223" s="101" t="s">
        <v>438</v>
      </c>
      <c r="AU223" s="101" t="s">
        <v>87</v>
      </c>
      <c r="AY223" s="23" t="s">
        <v>211</v>
      </c>
      <c r="BE223" s="104">
        <f t="shared" si="34"/>
        <v>10400</v>
      </c>
      <c r="BF223" s="104">
        <f t="shared" si="35"/>
        <v>0</v>
      </c>
      <c r="BG223" s="104">
        <f t="shared" si="36"/>
        <v>0</v>
      </c>
      <c r="BH223" s="104">
        <f t="shared" si="37"/>
        <v>0</v>
      </c>
      <c r="BI223" s="104">
        <f t="shared" si="38"/>
        <v>0</v>
      </c>
      <c r="BJ223" s="23" t="s">
        <v>85</v>
      </c>
      <c r="BK223" s="104">
        <f t="shared" si="39"/>
        <v>10400</v>
      </c>
      <c r="BL223" s="23" t="s">
        <v>218</v>
      </c>
      <c r="BM223" s="101" t="s">
        <v>1277</v>
      </c>
    </row>
    <row r="224" spans="2:65" s="1" customFormat="1" ht="16.5" customHeight="1">
      <c r="B224" s="12"/>
      <c r="C224" s="71" t="s">
        <v>822</v>
      </c>
      <c r="D224" s="71" t="s">
        <v>214</v>
      </c>
      <c r="E224" s="72" t="s">
        <v>4522</v>
      </c>
      <c r="F224" s="73" t="s">
        <v>4489</v>
      </c>
      <c r="G224" s="74" t="s">
        <v>444</v>
      </c>
      <c r="H224" s="75">
        <v>40</v>
      </c>
      <c r="I224" s="90">
        <v>150</v>
      </c>
      <c r="J224" s="91">
        <f t="shared" si="30"/>
        <v>6000</v>
      </c>
      <c r="K224" s="92"/>
      <c r="L224" s="12"/>
      <c r="M224" s="93" t="s">
        <v>1</v>
      </c>
      <c r="N224" s="94" t="s">
        <v>42</v>
      </c>
      <c r="P224" s="95">
        <f t="shared" si="31"/>
        <v>0</v>
      </c>
      <c r="Q224" s="95">
        <v>0</v>
      </c>
      <c r="R224" s="95">
        <f t="shared" si="32"/>
        <v>0</v>
      </c>
      <c r="S224" s="95">
        <v>0</v>
      </c>
      <c r="T224" s="99">
        <f t="shared" si="33"/>
        <v>0</v>
      </c>
      <c r="AR224" s="101" t="s">
        <v>218</v>
      </c>
      <c r="AT224" s="101" t="s">
        <v>214</v>
      </c>
      <c r="AU224" s="101" t="s">
        <v>87</v>
      </c>
      <c r="AY224" s="23" t="s">
        <v>211</v>
      </c>
      <c r="BE224" s="104">
        <f t="shared" si="34"/>
        <v>6000</v>
      </c>
      <c r="BF224" s="104">
        <f t="shared" si="35"/>
        <v>0</v>
      </c>
      <c r="BG224" s="104">
        <f t="shared" si="36"/>
        <v>0</v>
      </c>
      <c r="BH224" s="104">
        <f t="shared" si="37"/>
        <v>0</v>
      </c>
      <c r="BI224" s="104">
        <f t="shared" si="38"/>
        <v>0</v>
      </c>
      <c r="BJ224" s="23" t="s">
        <v>85</v>
      </c>
      <c r="BK224" s="104">
        <f t="shared" si="39"/>
        <v>6000</v>
      </c>
      <c r="BL224" s="23" t="s">
        <v>218</v>
      </c>
      <c r="BM224" s="101" t="s">
        <v>1296</v>
      </c>
    </row>
    <row r="225" spans="2:65" s="1" customFormat="1" ht="16.5" customHeight="1">
      <c r="B225" s="12"/>
      <c r="C225" s="114" t="s">
        <v>826</v>
      </c>
      <c r="D225" s="114" t="s">
        <v>438</v>
      </c>
      <c r="E225" s="115" t="s">
        <v>4492</v>
      </c>
      <c r="F225" s="116" t="s">
        <v>4523</v>
      </c>
      <c r="G225" s="117" t="s">
        <v>444</v>
      </c>
      <c r="H225" s="118">
        <v>72</v>
      </c>
      <c r="I225" s="122">
        <v>280</v>
      </c>
      <c r="J225" s="123">
        <f t="shared" si="30"/>
        <v>20160</v>
      </c>
      <c r="K225" s="124"/>
      <c r="L225" s="125"/>
      <c r="M225" s="126" t="s">
        <v>1</v>
      </c>
      <c r="N225" s="127" t="s">
        <v>42</v>
      </c>
      <c r="P225" s="95">
        <f t="shared" si="31"/>
        <v>0</v>
      </c>
      <c r="Q225" s="95">
        <v>0</v>
      </c>
      <c r="R225" s="95">
        <f t="shared" si="32"/>
        <v>0</v>
      </c>
      <c r="S225" s="95">
        <v>0</v>
      </c>
      <c r="T225" s="99">
        <f t="shared" si="33"/>
        <v>0</v>
      </c>
      <c r="AR225" s="101" t="s">
        <v>250</v>
      </c>
      <c r="AT225" s="101" t="s">
        <v>438</v>
      </c>
      <c r="AU225" s="101" t="s">
        <v>87</v>
      </c>
      <c r="AY225" s="23" t="s">
        <v>211</v>
      </c>
      <c r="BE225" s="104">
        <f t="shared" si="34"/>
        <v>20160</v>
      </c>
      <c r="BF225" s="104">
        <f t="shared" si="35"/>
        <v>0</v>
      </c>
      <c r="BG225" s="104">
        <f t="shared" si="36"/>
        <v>0</v>
      </c>
      <c r="BH225" s="104">
        <f t="shared" si="37"/>
        <v>0</v>
      </c>
      <c r="BI225" s="104">
        <f t="shared" si="38"/>
        <v>0</v>
      </c>
      <c r="BJ225" s="23" t="s">
        <v>85</v>
      </c>
      <c r="BK225" s="104">
        <f t="shared" si="39"/>
        <v>20160</v>
      </c>
      <c r="BL225" s="23" t="s">
        <v>218</v>
      </c>
      <c r="BM225" s="101" t="s">
        <v>1312</v>
      </c>
    </row>
    <row r="226" spans="2:65" s="1" customFormat="1" ht="16.5" customHeight="1">
      <c r="B226" s="12"/>
      <c r="C226" s="71" t="s">
        <v>830</v>
      </c>
      <c r="D226" s="71" t="s">
        <v>214</v>
      </c>
      <c r="E226" s="72" t="s">
        <v>4524</v>
      </c>
      <c r="F226" s="73" t="s">
        <v>4493</v>
      </c>
      <c r="G226" s="74" t="s">
        <v>444</v>
      </c>
      <c r="H226" s="75">
        <v>72</v>
      </c>
      <c r="I226" s="90">
        <v>150</v>
      </c>
      <c r="J226" s="91">
        <f t="shared" si="30"/>
        <v>10800</v>
      </c>
      <c r="K226" s="92"/>
      <c r="L226" s="12"/>
      <c r="M226" s="93" t="s">
        <v>1</v>
      </c>
      <c r="N226" s="94" t="s">
        <v>42</v>
      </c>
      <c r="P226" s="95">
        <f t="shared" si="31"/>
        <v>0</v>
      </c>
      <c r="Q226" s="95">
        <v>0</v>
      </c>
      <c r="R226" s="95">
        <f t="shared" si="32"/>
        <v>0</v>
      </c>
      <c r="S226" s="95">
        <v>0</v>
      </c>
      <c r="T226" s="99">
        <f t="shared" si="33"/>
        <v>0</v>
      </c>
      <c r="AR226" s="101" t="s">
        <v>218</v>
      </c>
      <c r="AT226" s="101" t="s">
        <v>214</v>
      </c>
      <c r="AU226" s="101" t="s">
        <v>87</v>
      </c>
      <c r="AY226" s="23" t="s">
        <v>211</v>
      </c>
      <c r="BE226" s="104">
        <f t="shared" si="34"/>
        <v>10800</v>
      </c>
      <c r="BF226" s="104">
        <f t="shared" si="35"/>
        <v>0</v>
      </c>
      <c r="BG226" s="104">
        <f t="shared" si="36"/>
        <v>0</v>
      </c>
      <c r="BH226" s="104">
        <f t="shared" si="37"/>
        <v>0</v>
      </c>
      <c r="BI226" s="104">
        <f t="shared" si="38"/>
        <v>0</v>
      </c>
      <c r="BJ226" s="23" t="s">
        <v>85</v>
      </c>
      <c r="BK226" s="104">
        <f t="shared" si="39"/>
        <v>10800</v>
      </c>
      <c r="BL226" s="23" t="s">
        <v>218</v>
      </c>
      <c r="BM226" s="101" t="s">
        <v>1323</v>
      </c>
    </row>
    <row r="227" spans="2:65" s="1" customFormat="1" ht="16.5" customHeight="1">
      <c r="B227" s="12"/>
      <c r="C227" s="114" t="s">
        <v>834</v>
      </c>
      <c r="D227" s="114" t="s">
        <v>438</v>
      </c>
      <c r="E227" s="115" t="s">
        <v>4496</v>
      </c>
      <c r="F227" s="116" t="s">
        <v>4525</v>
      </c>
      <c r="G227" s="117" t="s">
        <v>444</v>
      </c>
      <c r="H227" s="118">
        <v>6</v>
      </c>
      <c r="I227" s="122">
        <v>320</v>
      </c>
      <c r="J227" s="123">
        <f t="shared" si="30"/>
        <v>1920</v>
      </c>
      <c r="K227" s="124"/>
      <c r="L227" s="125"/>
      <c r="M227" s="126" t="s">
        <v>1</v>
      </c>
      <c r="N227" s="127" t="s">
        <v>42</v>
      </c>
      <c r="P227" s="95">
        <f t="shared" si="31"/>
        <v>0</v>
      </c>
      <c r="Q227" s="95">
        <v>0</v>
      </c>
      <c r="R227" s="95">
        <f t="shared" si="32"/>
        <v>0</v>
      </c>
      <c r="S227" s="95">
        <v>0</v>
      </c>
      <c r="T227" s="99">
        <f t="shared" si="33"/>
        <v>0</v>
      </c>
      <c r="AR227" s="101" t="s">
        <v>250</v>
      </c>
      <c r="AT227" s="101" t="s">
        <v>438</v>
      </c>
      <c r="AU227" s="101" t="s">
        <v>87</v>
      </c>
      <c r="AY227" s="23" t="s">
        <v>211</v>
      </c>
      <c r="BE227" s="104">
        <f t="shared" si="34"/>
        <v>1920</v>
      </c>
      <c r="BF227" s="104">
        <f t="shared" si="35"/>
        <v>0</v>
      </c>
      <c r="BG227" s="104">
        <f t="shared" si="36"/>
        <v>0</v>
      </c>
      <c r="BH227" s="104">
        <f t="shared" si="37"/>
        <v>0</v>
      </c>
      <c r="BI227" s="104">
        <f t="shared" si="38"/>
        <v>0</v>
      </c>
      <c r="BJ227" s="23" t="s">
        <v>85</v>
      </c>
      <c r="BK227" s="104">
        <f t="shared" si="39"/>
        <v>1920</v>
      </c>
      <c r="BL227" s="23" t="s">
        <v>218</v>
      </c>
      <c r="BM227" s="101" t="s">
        <v>1332</v>
      </c>
    </row>
    <row r="228" spans="2:65" s="1" customFormat="1" ht="16.5" customHeight="1">
      <c r="B228" s="12"/>
      <c r="C228" s="71" t="s">
        <v>838</v>
      </c>
      <c r="D228" s="71" t="s">
        <v>214</v>
      </c>
      <c r="E228" s="72" t="s">
        <v>4526</v>
      </c>
      <c r="F228" s="73" t="s">
        <v>4497</v>
      </c>
      <c r="G228" s="74" t="s">
        <v>444</v>
      </c>
      <c r="H228" s="75">
        <v>6</v>
      </c>
      <c r="I228" s="90">
        <v>150</v>
      </c>
      <c r="J228" s="91">
        <f t="shared" si="30"/>
        <v>900</v>
      </c>
      <c r="K228" s="92"/>
      <c r="L228" s="12"/>
      <c r="M228" s="93" t="s">
        <v>1</v>
      </c>
      <c r="N228" s="94" t="s">
        <v>42</v>
      </c>
      <c r="P228" s="95">
        <f t="shared" si="31"/>
        <v>0</v>
      </c>
      <c r="Q228" s="95">
        <v>0</v>
      </c>
      <c r="R228" s="95">
        <f t="shared" si="32"/>
        <v>0</v>
      </c>
      <c r="S228" s="95">
        <v>0</v>
      </c>
      <c r="T228" s="99">
        <f t="shared" si="33"/>
        <v>0</v>
      </c>
      <c r="AR228" s="101" t="s">
        <v>218</v>
      </c>
      <c r="AT228" s="101" t="s">
        <v>214</v>
      </c>
      <c r="AU228" s="101" t="s">
        <v>87</v>
      </c>
      <c r="AY228" s="23" t="s">
        <v>211</v>
      </c>
      <c r="BE228" s="104">
        <f t="shared" si="34"/>
        <v>900</v>
      </c>
      <c r="BF228" s="104">
        <f t="shared" si="35"/>
        <v>0</v>
      </c>
      <c r="BG228" s="104">
        <f t="shared" si="36"/>
        <v>0</v>
      </c>
      <c r="BH228" s="104">
        <f t="shared" si="37"/>
        <v>0</v>
      </c>
      <c r="BI228" s="104">
        <f t="shared" si="38"/>
        <v>0</v>
      </c>
      <c r="BJ228" s="23" t="s">
        <v>85</v>
      </c>
      <c r="BK228" s="104">
        <f t="shared" si="39"/>
        <v>900</v>
      </c>
      <c r="BL228" s="23" t="s">
        <v>218</v>
      </c>
      <c r="BM228" s="101" t="s">
        <v>1342</v>
      </c>
    </row>
    <row r="229" spans="2:65" s="1" customFormat="1" ht="16.5" customHeight="1">
      <c r="B229" s="12"/>
      <c r="C229" s="114" t="s">
        <v>842</v>
      </c>
      <c r="D229" s="114" t="s">
        <v>438</v>
      </c>
      <c r="E229" s="115" t="s">
        <v>4500</v>
      </c>
      <c r="F229" s="116" t="s">
        <v>4527</v>
      </c>
      <c r="G229" s="117" t="s">
        <v>444</v>
      </c>
      <c r="H229" s="118">
        <v>8</v>
      </c>
      <c r="I229" s="122">
        <v>360</v>
      </c>
      <c r="J229" s="123">
        <f t="shared" si="30"/>
        <v>2880</v>
      </c>
      <c r="K229" s="124"/>
      <c r="L229" s="125"/>
      <c r="M229" s="126" t="s">
        <v>1</v>
      </c>
      <c r="N229" s="127" t="s">
        <v>42</v>
      </c>
      <c r="P229" s="95">
        <f t="shared" si="31"/>
        <v>0</v>
      </c>
      <c r="Q229" s="95">
        <v>0</v>
      </c>
      <c r="R229" s="95">
        <f t="shared" si="32"/>
        <v>0</v>
      </c>
      <c r="S229" s="95">
        <v>0</v>
      </c>
      <c r="T229" s="99">
        <f t="shared" si="33"/>
        <v>0</v>
      </c>
      <c r="AR229" s="101" t="s">
        <v>250</v>
      </c>
      <c r="AT229" s="101" t="s">
        <v>438</v>
      </c>
      <c r="AU229" s="101" t="s">
        <v>87</v>
      </c>
      <c r="AY229" s="23" t="s">
        <v>211</v>
      </c>
      <c r="BE229" s="104">
        <f t="shared" si="34"/>
        <v>2880</v>
      </c>
      <c r="BF229" s="104">
        <f t="shared" si="35"/>
        <v>0</v>
      </c>
      <c r="BG229" s="104">
        <f t="shared" si="36"/>
        <v>0</v>
      </c>
      <c r="BH229" s="104">
        <f t="shared" si="37"/>
        <v>0</v>
      </c>
      <c r="BI229" s="104">
        <f t="shared" si="38"/>
        <v>0</v>
      </c>
      <c r="BJ229" s="23" t="s">
        <v>85</v>
      </c>
      <c r="BK229" s="104">
        <f t="shared" si="39"/>
        <v>2880</v>
      </c>
      <c r="BL229" s="23" t="s">
        <v>218</v>
      </c>
      <c r="BM229" s="101" t="s">
        <v>1352</v>
      </c>
    </row>
    <row r="230" spans="2:65" s="1" customFormat="1" ht="16.5" customHeight="1">
      <c r="B230" s="12"/>
      <c r="C230" s="71" t="s">
        <v>846</v>
      </c>
      <c r="D230" s="71" t="s">
        <v>214</v>
      </c>
      <c r="E230" s="72" t="s">
        <v>4528</v>
      </c>
      <c r="F230" s="73" t="s">
        <v>4501</v>
      </c>
      <c r="G230" s="74" t="s">
        <v>444</v>
      </c>
      <c r="H230" s="75">
        <v>8</v>
      </c>
      <c r="I230" s="90">
        <v>150</v>
      </c>
      <c r="J230" s="91">
        <f t="shared" si="30"/>
        <v>1200</v>
      </c>
      <c r="K230" s="92"/>
      <c r="L230" s="12"/>
      <c r="M230" s="93" t="s">
        <v>1</v>
      </c>
      <c r="N230" s="94" t="s">
        <v>42</v>
      </c>
      <c r="P230" s="95">
        <f t="shared" si="31"/>
        <v>0</v>
      </c>
      <c r="Q230" s="95">
        <v>0</v>
      </c>
      <c r="R230" s="95">
        <f t="shared" si="32"/>
        <v>0</v>
      </c>
      <c r="S230" s="95">
        <v>0</v>
      </c>
      <c r="T230" s="99">
        <f t="shared" si="33"/>
        <v>0</v>
      </c>
      <c r="AR230" s="101" t="s">
        <v>218</v>
      </c>
      <c r="AT230" s="101" t="s">
        <v>214</v>
      </c>
      <c r="AU230" s="101" t="s">
        <v>87</v>
      </c>
      <c r="AY230" s="23" t="s">
        <v>211</v>
      </c>
      <c r="BE230" s="104">
        <f t="shared" si="34"/>
        <v>1200</v>
      </c>
      <c r="BF230" s="104">
        <f t="shared" si="35"/>
        <v>0</v>
      </c>
      <c r="BG230" s="104">
        <f t="shared" si="36"/>
        <v>0</v>
      </c>
      <c r="BH230" s="104">
        <f t="shared" si="37"/>
        <v>0</v>
      </c>
      <c r="BI230" s="104">
        <f t="shared" si="38"/>
        <v>0</v>
      </c>
      <c r="BJ230" s="23" t="s">
        <v>85</v>
      </c>
      <c r="BK230" s="104">
        <f t="shared" si="39"/>
        <v>1200</v>
      </c>
      <c r="BL230" s="23" t="s">
        <v>218</v>
      </c>
      <c r="BM230" s="101" t="s">
        <v>1361</v>
      </c>
    </row>
    <row r="231" spans="2:65" s="1" customFormat="1" ht="16.5" customHeight="1">
      <c r="B231" s="12"/>
      <c r="C231" s="114" t="s">
        <v>850</v>
      </c>
      <c r="D231" s="114" t="s">
        <v>438</v>
      </c>
      <c r="E231" s="115" t="s">
        <v>4504</v>
      </c>
      <c r="F231" s="116" t="s">
        <v>4529</v>
      </c>
      <c r="G231" s="117" t="s">
        <v>444</v>
      </c>
      <c r="H231" s="118">
        <v>12</v>
      </c>
      <c r="I231" s="122">
        <v>400</v>
      </c>
      <c r="J231" s="123">
        <f t="shared" si="30"/>
        <v>4800</v>
      </c>
      <c r="K231" s="124"/>
      <c r="L231" s="125"/>
      <c r="M231" s="126" t="s">
        <v>1</v>
      </c>
      <c r="N231" s="127" t="s">
        <v>42</v>
      </c>
      <c r="P231" s="95">
        <f t="shared" si="31"/>
        <v>0</v>
      </c>
      <c r="Q231" s="95">
        <v>0</v>
      </c>
      <c r="R231" s="95">
        <f t="shared" si="32"/>
        <v>0</v>
      </c>
      <c r="S231" s="95">
        <v>0</v>
      </c>
      <c r="T231" s="99">
        <f t="shared" si="33"/>
        <v>0</v>
      </c>
      <c r="AR231" s="101" t="s">
        <v>250</v>
      </c>
      <c r="AT231" s="101" t="s">
        <v>438</v>
      </c>
      <c r="AU231" s="101" t="s">
        <v>87</v>
      </c>
      <c r="AY231" s="23" t="s">
        <v>211</v>
      </c>
      <c r="BE231" s="104">
        <f t="shared" si="34"/>
        <v>4800</v>
      </c>
      <c r="BF231" s="104">
        <f t="shared" si="35"/>
        <v>0</v>
      </c>
      <c r="BG231" s="104">
        <f t="shared" si="36"/>
        <v>0</v>
      </c>
      <c r="BH231" s="104">
        <f t="shared" si="37"/>
        <v>0</v>
      </c>
      <c r="BI231" s="104">
        <f t="shared" si="38"/>
        <v>0</v>
      </c>
      <c r="BJ231" s="23" t="s">
        <v>85</v>
      </c>
      <c r="BK231" s="104">
        <f t="shared" si="39"/>
        <v>4800</v>
      </c>
      <c r="BL231" s="23" t="s">
        <v>218</v>
      </c>
      <c r="BM231" s="101" t="s">
        <v>1370</v>
      </c>
    </row>
    <row r="232" spans="2:65" s="1" customFormat="1" ht="16.5" customHeight="1">
      <c r="B232" s="12"/>
      <c r="C232" s="71" t="s">
        <v>854</v>
      </c>
      <c r="D232" s="71" t="s">
        <v>214</v>
      </c>
      <c r="E232" s="72" t="s">
        <v>4530</v>
      </c>
      <c r="F232" s="73" t="s">
        <v>4505</v>
      </c>
      <c r="G232" s="74" t="s">
        <v>444</v>
      </c>
      <c r="H232" s="75">
        <v>12</v>
      </c>
      <c r="I232" s="90">
        <v>150</v>
      </c>
      <c r="J232" s="91">
        <f t="shared" si="30"/>
        <v>1800</v>
      </c>
      <c r="K232" s="92"/>
      <c r="L232" s="12"/>
      <c r="M232" s="93" t="s">
        <v>1</v>
      </c>
      <c r="N232" s="94" t="s">
        <v>42</v>
      </c>
      <c r="P232" s="95">
        <f t="shared" si="31"/>
        <v>0</v>
      </c>
      <c r="Q232" s="95">
        <v>0</v>
      </c>
      <c r="R232" s="95">
        <f t="shared" si="32"/>
        <v>0</v>
      </c>
      <c r="S232" s="95">
        <v>0</v>
      </c>
      <c r="T232" s="99">
        <f t="shared" si="33"/>
        <v>0</v>
      </c>
      <c r="AR232" s="101" t="s">
        <v>218</v>
      </c>
      <c r="AT232" s="101" t="s">
        <v>214</v>
      </c>
      <c r="AU232" s="101" t="s">
        <v>87</v>
      </c>
      <c r="AY232" s="23" t="s">
        <v>211</v>
      </c>
      <c r="BE232" s="104">
        <f t="shared" si="34"/>
        <v>1800</v>
      </c>
      <c r="BF232" s="104">
        <f t="shared" si="35"/>
        <v>0</v>
      </c>
      <c r="BG232" s="104">
        <f t="shared" si="36"/>
        <v>0</v>
      </c>
      <c r="BH232" s="104">
        <f t="shared" si="37"/>
        <v>0</v>
      </c>
      <c r="BI232" s="104">
        <f t="shared" si="38"/>
        <v>0</v>
      </c>
      <c r="BJ232" s="23" t="s">
        <v>85</v>
      </c>
      <c r="BK232" s="104">
        <f t="shared" si="39"/>
        <v>1800</v>
      </c>
      <c r="BL232" s="23" t="s">
        <v>218</v>
      </c>
      <c r="BM232" s="101" t="s">
        <v>1378</v>
      </c>
    </row>
    <row r="233" spans="2:65" s="31" customFormat="1" ht="23.1" customHeight="1">
      <c r="B233" s="67"/>
      <c r="D233" s="68" t="s">
        <v>76</v>
      </c>
      <c r="E233" s="70" t="s">
        <v>4531</v>
      </c>
      <c r="F233" s="70" t="s">
        <v>4532</v>
      </c>
      <c r="I233" s="85"/>
      <c r="J233" s="89">
        <f>BK233</f>
        <v>75200</v>
      </c>
      <c r="L233" s="67"/>
      <c r="M233" s="87"/>
      <c r="P233" s="88">
        <f>SUM(P234:P237)</f>
        <v>0</v>
      </c>
      <c r="R233" s="88">
        <f>SUM(R234:R237)</f>
        <v>0</v>
      </c>
      <c r="T233" s="98">
        <f>SUM(T234:T237)</f>
        <v>0</v>
      </c>
      <c r="AR233" s="68" t="s">
        <v>85</v>
      </c>
      <c r="AT233" s="100" t="s">
        <v>76</v>
      </c>
      <c r="AU233" s="100" t="s">
        <v>85</v>
      </c>
      <c r="AY233" s="68" t="s">
        <v>211</v>
      </c>
      <c r="BK233" s="103">
        <f>SUM(BK234:BK237)</f>
        <v>75200</v>
      </c>
    </row>
    <row r="234" spans="2:65" s="1" customFormat="1" ht="44.25" customHeight="1">
      <c r="B234" s="12"/>
      <c r="C234" s="71" t="s">
        <v>858</v>
      </c>
      <c r="D234" s="71" t="s">
        <v>214</v>
      </c>
      <c r="E234" s="72" t="s">
        <v>4533</v>
      </c>
      <c r="F234" s="73" t="s">
        <v>4534</v>
      </c>
      <c r="G234" s="74" t="s">
        <v>234</v>
      </c>
      <c r="H234" s="75">
        <v>1</v>
      </c>
      <c r="I234" s="90">
        <v>35000</v>
      </c>
      <c r="J234" s="91">
        <f>ROUND(I234*H234,2)</f>
        <v>35000</v>
      </c>
      <c r="K234" s="92"/>
      <c r="L234" s="12"/>
      <c r="M234" s="93" t="s">
        <v>1</v>
      </c>
      <c r="N234" s="94" t="s">
        <v>42</v>
      </c>
      <c r="P234" s="95">
        <f>O234*H234</f>
        <v>0</v>
      </c>
      <c r="Q234" s="95">
        <v>0</v>
      </c>
      <c r="R234" s="95">
        <f>Q234*H234</f>
        <v>0</v>
      </c>
      <c r="S234" s="95">
        <v>0</v>
      </c>
      <c r="T234" s="99">
        <f>S234*H234</f>
        <v>0</v>
      </c>
      <c r="AR234" s="101" t="s">
        <v>218</v>
      </c>
      <c r="AT234" s="101" t="s">
        <v>214</v>
      </c>
      <c r="AU234" s="101" t="s">
        <v>87</v>
      </c>
      <c r="AY234" s="23" t="s">
        <v>211</v>
      </c>
      <c r="BE234" s="104">
        <f>IF(N234="základní",J234,0)</f>
        <v>35000</v>
      </c>
      <c r="BF234" s="104">
        <f>IF(N234="snížená",J234,0)</f>
        <v>0</v>
      </c>
      <c r="BG234" s="104">
        <f>IF(N234="zákl. přenesená",J234,0)</f>
        <v>0</v>
      </c>
      <c r="BH234" s="104">
        <f>IF(N234="sníž. přenesená",J234,0)</f>
        <v>0</v>
      </c>
      <c r="BI234" s="104">
        <f>IF(N234="nulová",J234,0)</f>
        <v>0</v>
      </c>
      <c r="BJ234" s="23" t="s">
        <v>85</v>
      </c>
      <c r="BK234" s="104">
        <f>ROUND(I234*H234,2)</f>
        <v>35000</v>
      </c>
      <c r="BL234" s="23" t="s">
        <v>218</v>
      </c>
      <c r="BM234" s="101" t="s">
        <v>1387</v>
      </c>
    </row>
    <row r="235" spans="2:65" s="1" customFormat="1" ht="16.5" customHeight="1">
      <c r="B235" s="12"/>
      <c r="C235" s="71" t="s">
        <v>862</v>
      </c>
      <c r="D235" s="71" t="s">
        <v>214</v>
      </c>
      <c r="E235" s="72" t="s">
        <v>4535</v>
      </c>
      <c r="F235" s="73" t="s">
        <v>4536</v>
      </c>
      <c r="G235" s="74" t="s">
        <v>234</v>
      </c>
      <c r="H235" s="75">
        <v>1</v>
      </c>
      <c r="I235" s="90">
        <v>8000</v>
      </c>
      <c r="J235" s="91">
        <f>ROUND(I235*H235,2)</f>
        <v>8000</v>
      </c>
      <c r="K235" s="92"/>
      <c r="L235" s="12"/>
      <c r="M235" s="93" t="s">
        <v>1</v>
      </c>
      <c r="N235" s="94" t="s">
        <v>42</v>
      </c>
      <c r="P235" s="95">
        <f>O235*H235</f>
        <v>0</v>
      </c>
      <c r="Q235" s="95">
        <v>0</v>
      </c>
      <c r="R235" s="95">
        <f>Q235*H235</f>
        <v>0</v>
      </c>
      <c r="S235" s="95">
        <v>0</v>
      </c>
      <c r="T235" s="99">
        <f>S235*H235</f>
        <v>0</v>
      </c>
      <c r="AR235" s="101" t="s">
        <v>218</v>
      </c>
      <c r="AT235" s="101" t="s">
        <v>214</v>
      </c>
      <c r="AU235" s="101" t="s">
        <v>87</v>
      </c>
      <c r="AY235" s="23" t="s">
        <v>211</v>
      </c>
      <c r="BE235" s="104">
        <f>IF(N235="základní",J235,0)</f>
        <v>8000</v>
      </c>
      <c r="BF235" s="104">
        <f>IF(N235="snížená",J235,0)</f>
        <v>0</v>
      </c>
      <c r="BG235" s="104">
        <f>IF(N235="zákl. přenesená",J235,0)</f>
        <v>0</v>
      </c>
      <c r="BH235" s="104">
        <f>IF(N235="sníž. přenesená",J235,0)</f>
        <v>0</v>
      </c>
      <c r="BI235" s="104">
        <f>IF(N235="nulová",J235,0)</f>
        <v>0</v>
      </c>
      <c r="BJ235" s="23" t="s">
        <v>85</v>
      </c>
      <c r="BK235" s="104">
        <f>ROUND(I235*H235,2)</f>
        <v>8000</v>
      </c>
      <c r="BL235" s="23" t="s">
        <v>218</v>
      </c>
      <c r="BM235" s="101" t="s">
        <v>1394</v>
      </c>
    </row>
    <row r="236" spans="2:65" s="1" customFormat="1" ht="24.15" customHeight="1">
      <c r="B236" s="12"/>
      <c r="C236" s="71" t="s">
        <v>874</v>
      </c>
      <c r="D236" s="71" t="s">
        <v>214</v>
      </c>
      <c r="E236" s="72" t="s">
        <v>4537</v>
      </c>
      <c r="F236" s="73" t="s">
        <v>4538</v>
      </c>
      <c r="G236" s="74" t="s">
        <v>1198</v>
      </c>
      <c r="H236" s="75">
        <v>18.399999999999999</v>
      </c>
      <c r="I236" s="90">
        <v>1500</v>
      </c>
      <c r="J236" s="91">
        <f>ROUND(I236*H236,2)</f>
        <v>27600</v>
      </c>
      <c r="K236" s="92"/>
      <c r="L236" s="12"/>
      <c r="M236" s="93" t="s">
        <v>1</v>
      </c>
      <c r="N236" s="94" t="s">
        <v>42</v>
      </c>
      <c r="P236" s="95">
        <f>O236*H236</f>
        <v>0</v>
      </c>
      <c r="Q236" s="95">
        <v>0</v>
      </c>
      <c r="R236" s="95">
        <f>Q236*H236</f>
        <v>0</v>
      </c>
      <c r="S236" s="95">
        <v>0</v>
      </c>
      <c r="T236" s="99">
        <f>S236*H236</f>
        <v>0</v>
      </c>
      <c r="AR236" s="101" t="s">
        <v>218</v>
      </c>
      <c r="AT236" s="101" t="s">
        <v>214</v>
      </c>
      <c r="AU236" s="101" t="s">
        <v>87</v>
      </c>
      <c r="AY236" s="23" t="s">
        <v>211</v>
      </c>
      <c r="BE236" s="104">
        <f>IF(N236="základní",J236,0)</f>
        <v>27600</v>
      </c>
      <c r="BF236" s="104">
        <f>IF(N236="snížená",J236,0)</f>
        <v>0</v>
      </c>
      <c r="BG236" s="104">
        <f>IF(N236="zákl. přenesená",J236,0)</f>
        <v>0</v>
      </c>
      <c r="BH236" s="104">
        <f>IF(N236="sníž. přenesená",J236,0)</f>
        <v>0</v>
      </c>
      <c r="BI236" s="104">
        <f>IF(N236="nulová",J236,0)</f>
        <v>0</v>
      </c>
      <c r="BJ236" s="23" t="s">
        <v>85</v>
      </c>
      <c r="BK236" s="104">
        <f>ROUND(I236*H236,2)</f>
        <v>27600</v>
      </c>
      <c r="BL236" s="23" t="s">
        <v>218</v>
      </c>
      <c r="BM236" s="101" t="s">
        <v>1401</v>
      </c>
    </row>
    <row r="237" spans="2:65" s="1" customFormat="1" ht="16.5" customHeight="1">
      <c r="B237" s="12"/>
      <c r="C237" s="71" t="s">
        <v>883</v>
      </c>
      <c r="D237" s="71" t="s">
        <v>214</v>
      </c>
      <c r="E237" s="72" t="s">
        <v>4539</v>
      </c>
      <c r="F237" s="73" t="s">
        <v>4540</v>
      </c>
      <c r="G237" s="74" t="s">
        <v>1198</v>
      </c>
      <c r="H237" s="75">
        <v>18.399999999999999</v>
      </c>
      <c r="I237" s="90">
        <v>250</v>
      </c>
      <c r="J237" s="91">
        <f>ROUND(I237*H237,2)</f>
        <v>4600</v>
      </c>
      <c r="K237" s="92"/>
      <c r="L237" s="12"/>
      <c r="M237" s="93" t="s">
        <v>1</v>
      </c>
      <c r="N237" s="94" t="s">
        <v>42</v>
      </c>
      <c r="P237" s="95">
        <f>O237*H237</f>
        <v>0</v>
      </c>
      <c r="Q237" s="95">
        <v>0</v>
      </c>
      <c r="R237" s="95">
        <f>Q237*H237</f>
        <v>0</v>
      </c>
      <c r="S237" s="95">
        <v>0</v>
      </c>
      <c r="T237" s="99">
        <f>S237*H237</f>
        <v>0</v>
      </c>
      <c r="AR237" s="101" t="s">
        <v>218</v>
      </c>
      <c r="AT237" s="101" t="s">
        <v>214</v>
      </c>
      <c r="AU237" s="101" t="s">
        <v>87</v>
      </c>
      <c r="AY237" s="23" t="s">
        <v>211</v>
      </c>
      <c r="BE237" s="104">
        <f>IF(N237="základní",J237,0)</f>
        <v>4600</v>
      </c>
      <c r="BF237" s="104">
        <f>IF(N237="snížená",J237,0)</f>
        <v>0</v>
      </c>
      <c r="BG237" s="104">
        <f>IF(N237="zákl. přenesená",J237,0)</f>
        <v>0</v>
      </c>
      <c r="BH237" s="104">
        <f>IF(N237="sníž. přenesená",J237,0)</f>
        <v>0</v>
      </c>
      <c r="BI237" s="104">
        <f>IF(N237="nulová",J237,0)</f>
        <v>0</v>
      </c>
      <c r="BJ237" s="23" t="s">
        <v>85</v>
      </c>
      <c r="BK237" s="104">
        <f>ROUND(I237*H237,2)</f>
        <v>4600</v>
      </c>
      <c r="BL237" s="23" t="s">
        <v>218</v>
      </c>
      <c r="BM237" s="101" t="s">
        <v>1408</v>
      </c>
    </row>
    <row r="238" spans="2:65" s="31" customFormat="1" ht="23.1" customHeight="1">
      <c r="B238" s="67"/>
      <c r="D238" s="68" t="s">
        <v>76</v>
      </c>
      <c r="E238" s="70" t="s">
        <v>4541</v>
      </c>
      <c r="F238" s="70" t="s">
        <v>4542</v>
      </c>
      <c r="I238" s="85"/>
      <c r="J238" s="89">
        <f>BK238</f>
        <v>35000</v>
      </c>
      <c r="L238" s="67"/>
      <c r="M238" s="87"/>
      <c r="P238" s="88">
        <f>SUM(P239:P242)</f>
        <v>0</v>
      </c>
      <c r="R238" s="88">
        <f>SUM(R239:R242)</f>
        <v>0</v>
      </c>
      <c r="T238" s="98">
        <f>SUM(T239:T242)</f>
        <v>0</v>
      </c>
      <c r="AR238" s="68" t="s">
        <v>85</v>
      </c>
      <c r="AT238" s="100" t="s">
        <v>76</v>
      </c>
      <c r="AU238" s="100" t="s">
        <v>85</v>
      </c>
      <c r="AY238" s="68" t="s">
        <v>211</v>
      </c>
      <c r="BK238" s="103">
        <f>SUM(BK239:BK242)</f>
        <v>35000</v>
      </c>
    </row>
    <row r="239" spans="2:65" s="1" customFormat="1" ht="38.1" customHeight="1">
      <c r="B239" s="12"/>
      <c r="C239" s="71" t="s">
        <v>895</v>
      </c>
      <c r="D239" s="71" t="s">
        <v>214</v>
      </c>
      <c r="E239" s="72" t="s">
        <v>4543</v>
      </c>
      <c r="F239" s="73" t="s">
        <v>4544</v>
      </c>
      <c r="G239" s="74" t="s">
        <v>234</v>
      </c>
      <c r="H239" s="75">
        <v>1</v>
      </c>
      <c r="I239" s="90">
        <v>10000</v>
      </c>
      <c r="J239" s="91">
        <f>ROUND(I239*H239,2)</f>
        <v>10000</v>
      </c>
      <c r="K239" s="92"/>
      <c r="L239" s="12"/>
      <c r="M239" s="93" t="s">
        <v>1</v>
      </c>
      <c r="N239" s="94" t="s">
        <v>42</v>
      </c>
      <c r="P239" s="95">
        <f>O239*H239</f>
        <v>0</v>
      </c>
      <c r="Q239" s="95">
        <v>0</v>
      </c>
      <c r="R239" s="95">
        <f>Q239*H239</f>
        <v>0</v>
      </c>
      <c r="S239" s="95">
        <v>0</v>
      </c>
      <c r="T239" s="99">
        <f>S239*H239</f>
        <v>0</v>
      </c>
      <c r="AR239" s="101" t="s">
        <v>218</v>
      </c>
      <c r="AT239" s="101" t="s">
        <v>214</v>
      </c>
      <c r="AU239" s="101" t="s">
        <v>87</v>
      </c>
      <c r="AY239" s="23" t="s">
        <v>211</v>
      </c>
      <c r="BE239" s="104">
        <f>IF(N239="základní",J239,0)</f>
        <v>10000</v>
      </c>
      <c r="BF239" s="104">
        <f>IF(N239="snížená",J239,0)</f>
        <v>0</v>
      </c>
      <c r="BG239" s="104">
        <f>IF(N239="zákl. přenesená",J239,0)</f>
        <v>0</v>
      </c>
      <c r="BH239" s="104">
        <f>IF(N239="sníž. přenesená",J239,0)</f>
        <v>0</v>
      </c>
      <c r="BI239" s="104">
        <f>IF(N239="nulová",J239,0)</f>
        <v>0</v>
      </c>
      <c r="BJ239" s="23" t="s">
        <v>85</v>
      </c>
      <c r="BK239" s="104">
        <f>ROUND(I239*H239,2)</f>
        <v>10000</v>
      </c>
      <c r="BL239" s="23" t="s">
        <v>218</v>
      </c>
      <c r="BM239" s="101" t="s">
        <v>1415</v>
      </c>
    </row>
    <row r="240" spans="2:65" s="1" customFormat="1" ht="24.15" customHeight="1">
      <c r="B240" s="12"/>
      <c r="C240" s="71" t="s">
        <v>905</v>
      </c>
      <c r="D240" s="71" t="s">
        <v>214</v>
      </c>
      <c r="E240" s="72" t="s">
        <v>4545</v>
      </c>
      <c r="F240" s="73" t="s">
        <v>4546</v>
      </c>
      <c r="G240" s="74" t="s">
        <v>234</v>
      </c>
      <c r="H240" s="75">
        <v>1</v>
      </c>
      <c r="I240" s="90">
        <v>10000</v>
      </c>
      <c r="J240" s="91">
        <f>ROUND(I240*H240,2)</f>
        <v>10000</v>
      </c>
      <c r="K240" s="92"/>
      <c r="L240" s="12"/>
      <c r="M240" s="93" t="s">
        <v>1</v>
      </c>
      <c r="N240" s="94" t="s">
        <v>42</v>
      </c>
      <c r="P240" s="95">
        <f>O240*H240</f>
        <v>0</v>
      </c>
      <c r="Q240" s="95">
        <v>0</v>
      </c>
      <c r="R240" s="95">
        <f>Q240*H240</f>
        <v>0</v>
      </c>
      <c r="S240" s="95">
        <v>0</v>
      </c>
      <c r="T240" s="99">
        <f>S240*H240</f>
        <v>0</v>
      </c>
      <c r="AR240" s="101" t="s">
        <v>218</v>
      </c>
      <c r="AT240" s="101" t="s">
        <v>214</v>
      </c>
      <c r="AU240" s="101" t="s">
        <v>87</v>
      </c>
      <c r="AY240" s="23" t="s">
        <v>211</v>
      </c>
      <c r="BE240" s="104">
        <f>IF(N240="základní",J240,0)</f>
        <v>10000</v>
      </c>
      <c r="BF240" s="104">
        <f>IF(N240="snížená",J240,0)</f>
        <v>0</v>
      </c>
      <c r="BG240" s="104">
        <f>IF(N240="zákl. přenesená",J240,0)</f>
        <v>0</v>
      </c>
      <c r="BH240" s="104">
        <f>IF(N240="sníž. přenesená",J240,0)</f>
        <v>0</v>
      </c>
      <c r="BI240" s="104">
        <f>IF(N240="nulová",J240,0)</f>
        <v>0</v>
      </c>
      <c r="BJ240" s="23" t="s">
        <v>85</v>
      </c>
      <c r="BK240" s="104">
        <f>ROUND(I240*H240,2)</f>
        <v>10000</v>
      </c>
      <c r="BL240" s="23" t="s">
        <v>218</v>
      </c>
      <c r="BM240" s="101" t="s">
        <v>1423</v>
      </c>
    </row>
    <row r="241" spans="2:65" s="1" customFormat="1" ht="16.5" customHeight="1">
      <c r="B241" s="12"/>
      <c r="C241" s="71" t="s">
        <v>913</v>
      </c>
      <c r="D241" s="71" t="s">
        <v>214</v>
      </c>
      <c r="E241" s="72" t="s">
        <v>4547</v>
      </c>
      <c r="F241" s="73" t="s">
        <v>4548</v>
      </c>
      <c r="G241" s="74" t="s">
        <v>808</v>
      </c>
      <c r="H241" s="75">
        <v>1</v>
      </c>
      <c r="I241" s="90">
        <v>5000</v>
      </c>
      <c r="J241" s="91">
        <f>ROUND(I241*H241,2)</f>
        <v>5000</v>
      </c>
      <c r="K241" s="92"/>
      <c r="L241" s="12"/>
      <c r="M241" s="93" t="s">
        <v>1</v>
      </c>
      <c r="N241" s="94" t="s">
        <v>42</v>
      </c>
      <c r="P241" s="95">
        <f>O241*H241</f>
        <v>0</v>
      </c>
      <c r="Q241" s="95">
        <v>0</v>
      </c>
      <c r="R241" s="95">
        <f>Q241*H241</f>
        <v>0</v>
      </c>
      <c r="S241" s="95">
        <v>0</v>
      </c>
      <c r="T241" s="99">
        <f>S241*H241</f>
        <v>0</v>
      </c>
      <c r="AR241" s="101" t="s">
        <v>218</v>
      </c>
      <c r="AT241" s="101" t="s">
        <v>214</v>
      </c>
      <c r="AU241" s="101" t="s">
        <v>87</v>
      </c>
      <c r="AY241" s="23" t="s">
        <v>211</v>
      </c>
      <c r="BE241" s="104">
        <f>IF(N241="základní",J241,0)</f>
        <v>5000</v>
      </c>
      <c r="BF241" s="104">
        <f>IF(N241="snížená",J241,0)</f>
        <v>0</v>
      </c>
      <c r="BG241" s="104">
        <f>IF(N241="zákl. přenesená",J241,0)</f>
        <v>0</v>
      </c>
      <c r="BH241" s="104">
        <f>IF(N241="sníž. přenesená",J241,0)</f>
        <v>0</v>
      </c>
      <c r="BI241" s="104">
        <f>IF(N241="nulová",J241,0)</f>
        <v>0</v>
      </c>
      <c r="BJ241" s="23" t="s">
        <v>85</v>
      </c>
      <c r="BK241" s="104">
        <f>ROUND(I241*H241,2)</f>
        <v>5000</v>
      </c>
      <c r="BL241" s="23" t="s">
        <v>218</v>
      </c>
      <c r="BM241" s="101" t="s">
        <v>1433</v>
      </c>
    </row>
    <row r="242" spans="2:65" s="1" customFormat="1" ht="16.5" customHeight="1">
      <c r="B242" s="12"/>
      <c r="C242" s="71" t="s">
        <v>919</v>
      </c>
      <c r="D242" s="71" t="s">
        <v>214</v>
      </c>
      <c r="E242" s="72" t="s">
        <v>4549</v>
      </c>
      <c r="F242" s="73" t="s">
        <v>4550</v>
      </c>
      <c r="G242" s="74" t="s">
        <v>808</v>
      </c>
      <c r="H242" s="75">
        <v>1</v>
      </c>
      <c r="I242" s="90">
        <v>10000</v>
      </c>
      <c r="J242" s="91">
        <f>ROUND(I242*H242,2)</f>
        <v>10000</v>
      </c>
      <c r="K242" s="92"/>
      <c r="L242" s="12"/>
      <c r="M242" s="93" t="s">
        <v>1</v>
      </c>
      <c r="N242" s="94" t="s">
        <v>42</v>
      </c>
      <c r="P242" s="95">
        <f>O242*H242</f>
        <v>0</v>
      </c>
      <c r="Q242" s="95">
        <v>0</v>
      </c>
      <c r="R242" s="95">
        <f>Q242*H242</f>
        <v>0</v>
      </c>
      <c r="S242" s="95">
        <v>0</v>
      </c>
      <c r="T242" s="99">
        <f>S242*H242</f>
        <v>0</v>
      </c>
      <c r="AR242" s="101" t="s">
        <v>218</v>
      </c>
      <c r="AT242" s="101" t="s">
        <v>214</v>
      </c>
      <c r="AU242" s="101" t="s">
        <v>87</v>
      </c>
      <c r="AY242" s="23" t="s">
        <v>211</v>
      </c>
      <c r="BE242" s="104">
        <f>IF(N242="základní",J242,0)</f>
        <v>10000</v>
      </c>
      <c r="BF242" s="104">
        <f>IF(N242="snížená",J242,0)</f>
        <v>0</v>
      </c>
      <c r="BG242" s="104">
        <f>IF(N242="zákl. přenesená",J242,0)</f>
        <v>0</v>
      </c>
      <c r="BH242" s="104">
        <f>IF(N242="sníž. přenesená",J242,0)</f>
        <v>0</v>
      </c>
      <c r="BI242" s="104">
        <f>IF(N242="nulová",J242,0)</f>
        <v>0</v>
      </c>
      <c r="BJ242" s="23" t="s">
        <v>85</v>
      </c>
      <c r="BK242" s="104">
        <f>ROUND(I242*H242,2)</f>
        <v>10000</v>
      </c>
      <c r="BL242" s="23" t="s">
        <v>218</v>
      </c>
      <c r="BM242" s="101" t="s">
        <v>1441</v>
      </c>
    </row>
    <row r="243" spans="2:65" s="31" customFormat="1" ht="26.1" customHeight="1">
      <c r="B243" s="67"/>
      <c r="D243" s="68" t="s">
        <v>76</v>
      </c>
      <c r="E243" s="69" t="s">
        <v>3853</v>
      </c>
      <c r="F243" s="69" t="s">
        <v>4397</v>
      </c>
      <c r="I243" s="85"/>
      <c r="J243" s="86">
        <f>BK243</f>
        <v>1305245</v>
      </c>
      <c r="L243" s="67"/>
      <c r="M243" s="87"/>
      <c r="P243" s="88">
        <f>P244+P247+P260+P273+P278</f>
        <v>0</v>
      </c>
      <c r="R243" s="88">
        <f>R244+R247+R260+R273+R278</f>
        <v>0</v>
      </c>
      <c r="T243" s="98">
        <f>T244+T247+T260+T273+T278</f>
        <v>0</v>
      </c>
      <c r="AR243" s="68" t="s">
        <v>85</v>
      </c>
      <c r="AT243" s="100" t="s">
        <v>76</v>
      </c>
      <c r="AU243" s="100" t="s">
        <v>77</v>
      </c>
      <c r="AY243" s="68" t="s">
        <v>211</v>
      </c>
      <c r="BK243" s="103">
        <f>BK244+BK247+BK260+BK273+BK278</f>
        <v>1305245</v>
      </c>
    </row>
    <row r="244" spans="2:65" s="31" customFormat="1" ht="23.1" customHeight="1">
      <c r="B244" s="67"/>
      <c r="D244" s="68" t="s">
        <v>76</v>
      </c>
      <c r="E244" s="70" t="s">
        <v>4466</v>
      </c>
      <c r="F244" s="70" t="s">
        <v>4467</v>
      </c>
      <c r="I244" s="85"/>
      <c r="J244" s="89">
        <f>BK244</f>
        <v>525000</v>
      </c>
      <c r="L244" s="67"/>
      <c r="M244" s="87"/>
      <c r="P244" s="88">
        <f>SUM(P245:P246)</f>
        <v>0</v>
      </c>
      <c r="R244" s="88">
        <f>SUM(R245:R246)</f>
        <v>0</v>
      </c>
      <c r="T244" s="98">
        <f>SUM(T245:T246)</f>
        <v>0</v>
      </c>
      <c r="AR244" s="68" t="s">
        <v>85</v>
      </c>
      <c r="AT244" s="100" t="s">
        <v>76</v>
      </c>
      <c r="AU244" s="100" t="s">
        <v>85</v>
      </c>
      <c r="AY244" s="68" t="s">
        <v>211</v>
      </c>
      <c r="BK244" s="103">
        <f>SUM(BK245:BK246)</f>
        <v>525000</v>
      </c>
    </row>
    <row r="245" spans="2:65" s="1" customFormat="1" ht="33" customHeight="1">
      <c r="B245" s="12"/>
      <c r="C245" s="114" t="s">
        <v>927</v>
      </c>
      <c r="D245" s="114" t="s">
        <v>438</v>
      </c>
      <c r="E245" s="115" t="s">
        <v>4468</v>
      </c>
      <c r="F245" s="116" t="s">
        <v>4469</v>
      </c>
      <c r="G245" s="117" t="s">
        <v>808</v>
      </c>
      <c r="H245" s="118">
        <v>1</v>
      </c>
      <c r="I245" s="122">
        <v>515000</v>
      </c>
      <c r="J245" s="123">
        <f>ROUND(I245*H245,2)</f>
        <v>515000</v>
      </c>
      <c r="K245" s="124"/>
      <c r="L245" s="125"/>
      <c r="M245" s="126" t="s">
        <v>1</v>
      </c>
      <c r="N245" s="127" t="s">
        <v>42</v>
      </c>
      <c r="P245" s="95">
        <f>O245*H245</f>
        <v>0</v>
      </c>
      <c r="Q245" s="95">
        <v>0</v>
      </c>
      <c r="R245" s="95">
        <f>Q245*H245</f>
        <v>0</v>
      </c>
      <c r="S245" s="95">
        <v>0</v>
      </c>
      <c r="T245" s="99">
        <f>S245*H245</f>
        <v>0</v>
      </c>
      <c r="AR245" s="101" t="s">
        <v>250</v>
      </c>
      <c r="AT245" s="101" t="s">
        <v>438</v>
      </c>
      <c r="AU245" s="101" t="s">
        <v>87</v>
      </c>
      <c r="AY245" s="23" t="s">
        <v>211</v>
      </c>
      <c r="BE245" s="104">
        <f>IF(N245="základní",J245,0)</f>
        <v>515000</v>
      </c>
      <c r="BF245" s="104">
        <f>IF(N245="snížená",J245,0)</f>
        <v>0</v>
      </c>
      <c r="BG245" s="104">
        <f>IF(N245="zákl. přenesená",J245,0)</f>
        <v>0</v>
      </c>
      <c r="BH245" s="104">
        <f>IF(N245="sníž. přenesená",J245,0)</f>
        <v>0</v>
      </c>
      <c r="BI245" s="104">
        <f>IF(N245="nulová",J245,0)</f>
        <v>0</v>
      </c>
      <c r="BJ245" s="23" t="s">
        <v>85</v>
      </c>
      <c r="BK245" s="104">
        <f>ROUND(I245*H245,2)</f>
        <v>515000</v>
      </c>
      <c r="BL245" s="23" t="s">
        <v>218</v>
      </c>
      <c r="BM245" s="101" t="s">
        <v>1449</v>
      </c>
    </row>
    <row r="246" spans="2:65" s="1" customFormat="1" ht="16.5" customHeight="1">
      <c r="B246" s="12"/>
      <c r="C246" s="71" t="s">
        <v>935</v>
      </c>
      <c r="D246" s="71" t="s">
        <v>214</v>
      </c>
      <c r="E246" s="72" t="s">
        <v>4470</v>
      </c>
      <c r="F246" s="73" t="s">
        <v>4471</v>
      </c>
      <c r="G246" s="74" t="s">
        <v>808</v>
      </c>
      <c r="H246" s="75">
        <v>1</v>
      </c>
      <c r="I246" s="90">
        <v>10000</v>
      </c>
      <c r="J246" s="91">
        <f>ROUND(I246*H246,2)</f>
        <v>10000</v>
      </c>
      <c r="K246" s="92"/>
      <c r="L246" s="12"/>
      <c r="M246" s="93" t="s">
        <v>1</v>
      </c>
      <c r="N246" s="94" t="s">
        <v>42</v>
      </c>
      <c r="P246" s="95">
        <f>O246*H246</f>
        <v>0</v>
      </c>
      <c r="Q246" s="95">
        <v>0</v>
      </c>
      <c r="R246" s="95">
        <f>Q246*H246</f>
        <v>0</v>
      </c>
      <c r="S246" s="95">
        <v>0</v>
      </c>
      <c r="T246" s="99">
        <f>S246*H246</f>
        <v>0</v>
      </c>
      <c r="AR246" s="101" t="s">
        <v>218</v>
      </c>
      <c r="AT246" s="101" t="s">
        <v>214</v>
      </c>
      <c r="AU246" s="101" t="s">
        <v>87</v>
      </c>
      <c r="AY246" s="23" t="s">
        <v>211</v>
      </c>
      <c r="BE246" s="104">
        <f>IF(N246="základní",J246,0)</f>
        <v>10000</v>
      </c>
      <c r="BF246" s="104">
        <f>IF(N246="snížená",J246,0)</f>
        <v>0</v>
      </c>
      <c r="BG246" s="104">
        <f>IF(N246="zákl. přenesená",J246,0)</f>
        <v>0</v>
      </c>
      <c r="BH246" s="104">
        <f>IF(N246="sníž. přenesená",J246,0)</f>
        <v>0</v>
      </c>
      <c r="BI246" s="104">
        <f>IF(N246="nulová",J246,0)</f>
        <v>0</v>
      </c>
      <c r="BJ246" s="23" t="s">
        <v>85</v>
      </c>
      <c r="BK246" s="104">
        <f>ROUND(I246*H246,2)</f>
        <v>10000</v>
      </c>
      <c r="BL246" s="23" t="s">
        <v>218</v>
      </c>
      <c r="BM246" s="101" t="s">
        <v>1457</v>
      </c>
    </row>
    <row r="247" spans="2:65" s="31" customFormat="1" ht="23.1" customHeight="1">
      <c r="B247" s="67"/>
      <c r="D247" s="68" t="s">
        <v>76</v>
      </c>
      <c r="E247" s="70" t="s">
        <v>4472</v>
      </c>
      <c r="F247" s="70" t="s">
        <v>4473</v>
      </c>
      <c r="I247" s="85"/>
      <c r="J247" s="89">
        <f>BK247</f>
        <v>518700</v>
      </c>
      <c r="L247" s="67"/>
      <c r="M247" s="87"/>
      <c r="P247" s="88">
        <f>SUM(P248:P259)</f>
        <v>0</v>
      </c>
      <c r="R247" s="88">
        <f>SUM(R248:R259)</f>
        <v>0</v>
      </c>
      <c r="T247" s="98">
        <f>SUM(T248:T259)</f>
        <v>0</v>
      </c>
      <c r="AR247" s="68" t="s">
        <v>85</v>
      </c>
      <c r="AT247" s="100" t="s">
        <v>76</v>
      </c>
      <c r="AU247" s="100" t="s">
        <v>85</v>
      </c>
      <c r="AY247" s="68" t="s">
        <v>211</v>
      </c>
      <c r="BK247" s="103">
        <f>SUM(BK248:BK259)</f>
        <v>518700</v>
      </c>
    </row>
    <row r="248" spans="2:65" s="1" customFormat="1" ht="24.15" customHeight="1">
      <c r="B248" s="12"/>
      <c r="C248" s="114" t="s">
        <v>942</v>
      </c>
      <c r="D248" s="114" t="s">
        <v>438</v>
      </c>
      <c r="E248" s="115" t="s">
        <v>4474</v>
      </c>
      <c r="F248" s="116" t="s">
        <v>4475</v>
      </c>
      <c r="G248" s="117" t="s">
        <v>808</v>
      </c>
      <c r="H248" s="118">
        <v>9</v>
      </c>
      <c r="I248" s="122">
        <v>12300</v>
      </c>
      <c r="J248" s="123">
        <f t="shared" ref="J248:J259" si="40">ROUND(I248*H248,2)</f>
        <v>110700</v>
      </c>
      <c r="K248" s="124"/>
      <c r="L248" s="125"/>
      <c r="M248" s="126" t="s">
        <v>1</v>
      </c>
      <c r="N248" s="127" t="s">
        <v>42</v>
      </c>
      <c r="P248" s="95">
        <f t="shared" ref="P248:P259" si="41">O248*H248</f>
        <v>0</v>
      </c>
      <c r="Q248" s="95">
        <v>0</v>
      </c>
      <c r="R248" s="95">
        <f t="shared" ref="R248:R259" si="42">Q248*H248</f>
        <v>0</v>
      </c>
      <c r="S248" s="95">
        <v>0</v>
      </c>
      <c r="T248" s="99">
        <f t="shared" ref="T248:T259" si="43">S248*H248</f>
        <v>0</v>
      </c>
      <c r="AR248" s="101" t="s">
        <v>250</v>
      </c>
      <c r="AT248" s="101" t="s">
        <v>438</v>
      </c>
      <c r="AU248" s="101" t="s">
        <v>87</v>
      </c>
      <c r="AY248" s="23" t="s">
        <v>211</v>
      </c>
      <c r="BE248" s="104">
        <f t="shared" ref="BE248:BE259" si="44">IF(N248="základní",J248,0)</f>
        <v>110700</v>
      </c>
      <c r="BF248" s="104">
        <f t="shared" ref="BF248:BF259" si="45">IF(N248="snížená",J248,0)</f>
        <v>0</v>
      </c>
      <c r="BG248" s="104">
        <f t="shared" ref="BG248:BG259" si="46">IF(N248="zákl. přenesená",J248,0)</f>
        <v>0</v>
      </c>
      <c r="BH248" s="104">
        <f t="shared" ref="BH248:BH259" si="47">IF(N248="sníž. přenesená",J248,0)</f>
        <v>0</v>
      </c>
      <c r="BI248" s="104">
        <f t="shared" ref="BI248:BI259" si="48">IF(N248="nulová",J248,0)</f>
        <v>0</v>
      </c>
      <c r="BJ248" s="23" t="s">
        <v>85</v>
      </c>
      <c r="BK248" s="104">
        <f t="shared" ref="BK248:BK259" si="49">ROUND(I248*H248,2)</f>
        <v>110700</v>
      </c>
      <c r="BL248" s="23" t="s">
        <v>218</v>
      </c>
      <c r="BM248" s="101" t="s">
        <v>1466</v>
      </c>
    </row>
    <row r="249" spans="2:65" s="1" customFormat="1" ht="16.5" customHeight="1">
      <c r="B249" s="12"/>
      <c r="C249" s="71" t="s">
        <v>950</v>
      </c>
      <c r="D249" s="71" t="s">
        <v>214</v>
      </c>
      <c r="E249" s="72" t="s">
        <v>4476</v>
      </c>
      <c r="F249" s="73" t="s">
        <v>4477</v>
      </c>
      <c r="G249" s="74" t="s">
        <v>808</v>
      </c>
      <c r="H249" s="75">
        <v>9</v>
      </c>
      <c r="I249" s="90">
        <v>3000</v>
      </c>
      <c r="J249" s="91">
        <f t="shared" si="40"/>
        <v>27000</v>
      </c>
      <c r="K249" s="92"/>
      <c r="L249" s="12"/>
      <c r="M249" s="93" t="s">
        <v>1</v>
      </c>
      <c r="N249" s="94" t="s">
        <v>42</v>
      </c>
      <c r="P249" s="95">
        <f t="shared" si="41"/>
        <v>0</v>
      </c>
      <c r="Q249" s="95">
        <v>0</v>
      </c>
      <c r="R249" s="95">
        <f t="shared" si="42"/>
        <v>0</v>
      </c>
      <c r="S249" s="95">
        <v>0</v>
      </c>
      <c r="T249" s="99">
        <f t="shared" si="43"/>
        <v>0</v>
      </c>
      <c r="AR249" s="101" t="s">
        <v>218</v>
      </c>
      <c r="AT249" s="101" t="s">
        <v>214</v>
      </c>
      <c r="AU249" s="101" t="s">
        <v>87</v>
      </c>
      <c r="AY249" s="23" t="s">
        <v>211</v>
      </c>
      <c r="BE249" s="104">
        <f t="shared" si="44"/>
        <v>27000</v>
      </c>
      <c r="BF249" s="104">
        <f t="shared" si="45"/>
        <v>0</v>
      </c>
      <c r="BG249" s="104">
        <f t="shared" si="46"/>
        <v>0</v>
      </c>
      <c r="BH249" s="104">
        <f t="shared" si="47"/>
        <v>0</v>
      </c>
      <c r="BI249" s="104">
        <f t="shared" si="48"/>
        <v>0</v>
      </c>
      <c r="BJ249" s="23" t="s">
        <v>85</v>
      </c>
      <c r="BK249" s="104">
        <f t="shared" si="49"/>
        <v>27000</v>
      </c>
      <c r="BL249" s="23" t="s">
        <v>218</v>
      </c>
      <c r="BM249" s="101" t="s">
        <v>1475</v>
      </c>
    </row>
    <row r="250" spans="2:65" s="1" customFormat="1" ht="24.15" customHeight="1">
      <c r="B250" s="12"/>
      <c r="C250" s="114" t="s">
        <v>958</v>
      </c>
      <c r="D250" s="114" t="s">
        <v>438</v>
      </c>
      <c r="E250" s="115" t="s">
        <v>4478</v>
      </c>
      <c r="F250" s="116" t="s">
        <v>4479</v>
      </c>
      <c r="G250" s="117" t="s">
        <v>808</v>
      </c>
      <c r="H250" s="118">
        <v>12</v>
      </c>
      <c r="I250" s="122">
        <v>11900</v>
      </c>
      <c r="J250" s="123">
        <f t="shared" si="40"/>
        <v>142800</v>
      </c>
      <c r="K250" s="124"/>
      <c r="L250" s="125"/>
      <c r="M250" s="126" t="s">
        <v>1</v>
      </c>
      <c r="N250" s="127" t="s">
        <v>42</v>
      </c>
      <c r="P250" s="95">
        <f t="shared" si="41"/>
        <v>0</v>
      </c>
      <c r="Q250" s="95">
        <v>0</v>
      </c>
      <c r="R250" s="95">
        <f t="shared" si="42"/>
        <v>0</v>
      </c>
      <c r="S250" s="95">
        <v>0</v>
      </c>
      <c r="T250" s="99">
        <f t="shared" si="43"/>
        <v>0</v>
      </c>
      <c r="AR250" s="101" t="s">
        <v>250</v>
      </c>
      <c r="AT250" s="101" t="s">
        <v>438</v>
      </c>
      <c r="AU250" s="101" t="s">
        <v>87</v>
      </c>
      <c r="AY250" s="23" t="s">
        <v>211</v>
      </c>
      <c r="BE250" s="104">
        <f t="shared" si="44"/>
        <v>142800</v>
      </c>
      <c r="BF250" s="104">
        <f t="shared" si="45"/>
        <v>0</v>
      </c>
      <c r="BG250" s="104">
        <f t="shared" si="46"/>
        <v>0</v>
      </c>
      <c r="BH250" s="104">
        <f t="shared" si="47"/>
        <v>0</v>
      </c>
      <c r="BI250" s="104">
        <f t="shared" si="48"/>
        <v>0</v>
      </c>
      <c r="BJ250" s="23" t="s">
        <v>85</v>
      </c>
      <c r="BK250" s="104">
        <f t="shared" si="49"/>
        <v>142800</v>
      </c>
      <c r="BL250" s="23" t="s">
        <v>218</v>
      </c>
      <c r="BM250" s="101" t="s">
        <v>1483</v>
      </c>
    </row>
    <row r="251" spans="2:65" s="1" customFormat="1" ht="16.5" customHeight="1">
      <c r="B251" s="12"/>
      <c r="C251" s="71" t="s">
        <v>963</v>
      </c>
      <c r="D251" s="71" t="s">
        <v>214</v>
      </c>
      <c r="E251" s="72" t="s">
        <v>4480</v>
      </c>
      <c r="F251" s="73" t="s">
        <v>4481</v>
      </c>
      <c r="G251" s="74" t="s">
        <v>808</v>
      </c>
      <c r="H251" s="75">
        <v>12</v>
      </c>
      <c r="I251" s="90">
        <v>3000</v>
      </c>
      <c r="J251" s="91">
        <f t="shared" si="40"/>
        <v>36000</v>
      </c>
      <c r="K251" s="92"/>
      <c r="L251" s="12"/>
      <c r="M251" s="93" t="s">
        <v>1</v>
      </c>
      <c r="N251" s="94" t="s">
        <v>42</v>
      </c>
      <c r="P251" s="95">
        <f t="shared" si="41"/>
        <v>0</v>
      </c>
      <c r="Q251" s="95">
        <v>0</v>
      </c>
      <c r="R251" s="95">
        <f t="shared" si="42"/>
        <v>0</v>
      </c>
      <c r="S251" s="95">
        <v>0</v>
      </c>
      <c r="T251" s="99">
        <f t="shared" si="43"/>
        <v>0</v>
      </c>
      <c r="AR251" s="101" t="s">
        <v>218</v>
      </c>
      <c r="AT251" s="101" t="s">
        <v>214</v>
      </c>
      <c r="AU251" s="101" t="s">
        <v>87</v>
      </c>
      <c r="AY251" s="23" t="s">
        <v>211</v>
      </c>
      <c r="BE251" s="104">
        <f t="shared" si="44"/>
        <v>36000</v>
      </c>
      <c r="BF251" s="104">
        <f t="shared" si="45"/>
        <v>0</v>
      </c>
      <c r="BG251" s="104">
        <f t="shared" si="46"/>
        <v>0</v>
      </c>
      <c r="BH251" s="104">
        <f t="shared" si="47"/>
        <v>0</v>
      </c>
      <c r="BI251" s="104">
        <f t="shared" si="48"/>
        <v>0</v>
      </c>
      <c r="BJ251" s="23" t="s">
        <v>85</v>
      </c>
      <c r="BK251" s="104">
        <f t="shared" si="49"/>
        <v>36000</v>
      </c>
      <c r="BL251" s="23" t="s">
        <v>218</v>
      </c>
      <c r="BM251" s="101" t="s">
        <v>1491</v>
      </c>
    </row>
    <row r="252" spans="2:65" s="1" customFormat="1" ht="24.15" customHeight="1">
      <c r="B252" s="12"/>
      <c r="C252" s="114" t="s">
        <v>968</v>
      </c>
      <c r="D252" s="114" t="s">
        <v>438</v>
      </c>
      <c r="E252" s="115" t="s">
        <v>4552</v>
      </c>
      <c r="F252" s="116" t="s">
        <v>4495</v>
      </c>
      <c r="G252" s="117" t="s">
        <v>808</v>
      </c>
      <c r="H252" s="118">
        <v>6</v>
      </c>
      <c r="I252" s="122">
        <v>16000</v>
      </c>
      <c r="J252" s="123">
        <f t="shared" si="40"/>
        <v>96000</v>
      </c>
      <c r="K252" s="124"/>
      <c r="L252" s="125"/>
      <c r="M252" s="126" t="s">
        <v>1</v>
      </c>
      <c r="N252" s="127" t="s">
        <v>42</v>
      </c>
      <c r="P252" s="95">
        <f t="shared" si="41"/>
        <v>0</v>
      </c>
      <c r="Q252" s="95">
        <v>0</v>
      </c>
      <c r="R252" s="95">
        <f t="shared" si="42"/>
        <v>0</v>
      </c>
      <c r="S252" s="95">
        <v>0</v>
      </c>
      <c r="T252" s="99">
        <f t="shared" si="43"/>
        <v>0</v>
      </c>
      <c r="AR252" s="101" t="s">
        <v>250</v>
      </c>
      <c r="AT252" s="101" t="s">
        <v>438</v>
      </c>
      <c r="AU252" s="101" t="s">
        <v>87</v>
      </c>
      <c r="AY252" s="23" t="s">
        <v>211</v>
      </c>
      <c r="BE252" s="104">
        <f t="shared" si="44"/>
        <v>96000</v>
      </c>
      <c r="BF252" s="104">
        <f t="shared" si="45"/>
        <v>0</v>
      </c>
      <c r="BG252" s="104">
        <f t="shared" si="46"/>
        <v>0</v>
      </c>
      <c r="BH252" s="104">
        <f t="shared" si="47"/>
        <v>0</v>
      </c>
      <c r="BI252" s="104">
        <f t="shared" si="48"/>
        <v>0</v>
      </c>
      <c r="BJ252" s="23" t="s">
        <v>85</v>
      </c>
      <c r="BK252" s="104">
        <f t="shared" si="49"/>
        <v>96000</v>
      </c>
      <c r="BL252" s="23" t="s">
        <v>218</v>
      </c>
      <c r="BM252" s="101" t="s">
        <v>1500</v>
      </c>
    </row>
    <row r="253" spans="2:65" s="1" customFormat="1" ht="16.5" customHeight="1">
      <c r="B253" s="12"/>
      <c r="C253" s="71" t="s">
        <v>993</v>
      </c>
      <c r="D253" s="71" t="s">
        <v>214</v>
      </c>
      <c r="E253" s="72" t="s">
        <v>4484</v>
      </c>
      <c r="F253" s="73" t="s">
        <v>4485</v>
      </c>
      <c r="G253" s="74" t="s">
        <v>808</v>
      </c>
      <c r="H253" s="75">
        <v>6</v>
      </c>
      <c r="I253" s="90">
        <v>3000</v>
      </c>
      <c r="J253" s="91">
        <f t="shared" si="40"/>
        <v>18000</v>
      </c>
      <c r="K253" s="92"/>
      <c r="L253" s="12"/>
      <c r="M253" s="93" t="s">
        <v>1</v>
      </c>
      <c r="N253" s="94" t="s">
        <v>42</v>
      </c>
      <c r="P253" s="95">
        <f t="shared" si="41"/>
        <v>0</v>
      </c>
      <c r="Q253" s="95">
        <v>0</v>
      </c>
      <c r="R253" s="95">
        <f t="shared" si="42"/>
        <v>0</v>
      </c>
      <c r="S253" s="95">
        <v>0</v>
      </c>
      <c r="T253" s="99">
        <f t="shared" si="43"/>
        <v>0</v>
      </c>
      <c r="AR253" s="101" t="s">
        <v>218</v>
      </c>
      <c r="AT253" s="101" t="s">
        <v>214</v>
      </c>
      <c r="AU253" s="101" t="s">
        <v>87</v>
      </c>
      <c r="AY253" s="23" t="s">
        <v>211</v>
      </c>
      <c r="BE253" s="104">
        <f t="shared" si="44"/>
        <v>18000</v>
      </c>
      <c r="BF253" s="104">
        <f t="shared" si="45"/>
        <v>0</v>
      </c>
      <c r="BG253" s="104">
        <f t="shared" si="46"/>
        <v>0</v>
      </c>
      <c r="BH253" s="104">
        <f t="shared" si="47"/>
        <v>0</v>
      </c>
      <c r="BI253" s="104">
        <f t="shared" si="48"/>
        <v>0</v>
      </c>
      <c r="BJ253" s="23" t="s">
        <v>85</v>
      </c>
      <c r="BK253" s="104">
        <f t="shared" si="49"/>
        <v>18000</v>
      </c>
      <c r="BL253" s="23" t="s">
        <v>218</v>
      </c>
      <c r="BM253" s="101" t="s">
        <v>1509</v>
      </c>
    </row>
    <row r="254" spans="2:65" s="1" customFormat="1" ht="24.15" customHeight="1">
      <c r="B254" s="12"/>
      <c r="C254" s="114" t="s">
        <v>997</v>
      </c>
      <c r="D254" s="114" t="s">
        <v>438</v>
      </c>
      <c r="E254" s="115" t="s">
        <v>4553</v>
      </c>
      <c r="F254" s="116" t="s">
        <v>4499</v>
      </c>
      <c r="G254" s="117" t="s">
        <v>808</v>
      </c>
      <c r="H254" s="118">
        <v>4</v>
      </c>
      <c r="I254" s="122">
        <v>14000</v>
      </c>
      <c r="J254" s="123">
        <f t="shared" si="40"/>
        <v>56000</v>
      </c>
      <c r="K254" s="124"/>
      <c r="L254" s="125"/>
      <c r="M254" s="126" t="s">
        <v>1</v>
      </c>
      <c r="N254" s="127" t="s">
        <v>42</v>
      </c>
      <c r="P254" s="95">
        <f t="shared" si="41"/>
        <v>0</v>
      </c>
      <c r="Q254" s="95">
        <v>0</v>
      </c>
      <c r="R254" s="95">
        <f t="shared" si="42"/>
        <v>0</v>
      </c>
      <c r="S254" s="95">
        <v>0</v>
      </c>
      <c r="T254" s="99">
        <f t="shared" si="43"/>
        <v>0</v>
      </c>
      <c r="AR254" s="101" t="s">
        <v>250</v>
      </c>
      <c r="AT254" s="101" t="s">
        <v>438</v>
      </c>
      <c r="AU254" s="101" t="s">
        <v>87</v>
      </c>
      <c r="AY254" s="23" t="s">
        <v>211</v>
      </c>
      <c r="BE254" s="104">
        <f t="shared" si="44"/>
        <v>56000</v>
      </c>
      <c r="BF254" s="104">
        <f t="shared" si="45"/>
        <v>0</v>
      </c>
      <c r="BG254" s="104">
        <f t="shared" si="46"/>
        <v>0</v>
      </c>
      <c r="BH254" s="104">
        <f t="shared" si="47"/>
        <v>0</v>
      </c>
      <c r="BI254" s="104">
        <f t="shared" si="48"/>
        <v>0</v>
      </c>
      <c r="BJ254" s="23" t="s">
        <v>85</v>
      </c>
      <c r="BK254" s="104">
        <f t="shared" si="49"/>
        <v>56000</v>
      </c>
      <c r="BL254" s="23" t="s">
        <v>218</v>
      </c>
      <c r="BM254" s="101" t="s">
        <v>1515</v>
      </c>
    </row>
    <row r="255" spans="2:65" s="1" customFormat="1" ht="16.5" customHeight="1">
      <c r="B255" s="12"/>
      <c r="C255" s="71" t="s">
        <v>1001</v>
      </c>
      <c r="D255" s="71" t="s">
        <v>214</v>
      </c>
      <c r="E255" s="72" t="s">
        <v>4488</v>
      </c>
      <c r="F255" s="73" t="s">
        <v>4489</v>
      </c>
      <c r="G255" s="74" t="s">
        <v>808</v>
      </c>
      <c r="H255" s="75">
        <v>4</v>
      </c>
      <c r="I255" s="90">
        <v>3000</v>
      </c>
      <c r="J255" s="91">
        <f t="shared" si="40"/>
        <v>12000</v>
      </c>
      <c r="K255" s="92"/>
      <c r="L255" s="12"/>
      <c r="M255" s="93" t="s">
        <v>1</v>
      </c>
      <c r="N255" s="94" t="s">
        <v>42</v>
      </c>
      <c r="P255" s="95">
        <f t="shared" si="41"/>
        <v>0</v>
      </c>
      <c r="Q255" s="95">
        <v>0</v>
      </c>
      <c r="R255" s="95">
        <f t="shared" si="42"/>
        <v>0</v>
      </c>
      <c r="S255" s="95">
        <v>0</v>
      </c>
      <c r="T255" s="99">
        <f t="shared" si="43"/>
        <v>0</v>
      </c>
      <c r="AR255" s="101" t="s">
        <v>218</v>
      </c>
      <c r="AT255" s="101" t="s">
        <v>214</v>
      </c>
      <c r="AU255" s="101" t="s">
        <v>87</v>
      </c>
      <c r="AY255" s="23" t="s">
        <v>211</v>
      </c>
      <c r="BE255" s="104">
        <f t="shared" si="44"/>
        <v>12000</v>
      </c>
      <c r="BF255" s="104">
        <f t="shared" si="45"/>
        <v>0</v>
      </c>
      <c r="BG255" s="104">
        <f t="shared" si="46"/>
        <v>0</v>
      </c>
      <c r="BH255" s="104">
        <f t="shared" si="47"/>
        <v>0</v>
      </c>
      <c r="BI255" s="104">
        <f t="shared" si="48"/>
        <v>0</v>
      </c>
      <c r="BJ255" s="23" t="s">
        <v>85</v>
      </c>
      <c r="BK255" s="104">
        <f t="shared" si="49"/>
        <v>12000</v>
      </c>
      <c r="BL255" s="23" t="s">
        <v>218</v>
      </c>
      <c r="BM255" s="101" t="s">
        <v>1524</v>
      </c>
    </row>
    <row r="256" spans="2:65" s="1" customFormat="1" ht="24.15" customHeight="1">
      <c r="B256" s="12"/>
      <c r="C256" s="114" t="s">
        <v>1005</v>
      </c>
      <c r="D256" s="114" t="s">
        <v>438</v>
      </c>
      <c r="E256" s="115" t="s">
        <v>4554</v>
      </c>
      <c r="F256" s="116" t="s">
        <v>4503</v>
      </c>
      <c r="G256" s="117" t="s">
        <v>808</v>
      </c>
      <c r="H256" s="118">
        <v>6</v>
      </c>
      <c r="I256" s="122">
        <v>2000</v>
      </c>
      <c r="J256" s="123">
        <f t="shared" si="40"/>
        <v>12000</v>
      </c>
      <c r="K256" s="124"/>
      <c r="L256" s="125"/>
      <c r="M256" s="126" t="s">
        <v>1</v>
      </c>
      <c r="N256" s="127" t="s">
        <v>42</v>
      </c>
      <c r="P256" s="95">
        <f t="shared" si="41"/>
        <v>0</v>
      </c>
      <c r="Q256" s="95">
        <v>0</v>
      </c>
      <c r="R256" s="95">
        <f t="shared" si="42"/>
        <v>0</v>
      </c>
      <c r="S256" s="95">
        <v>0</v>
      </c>
      <c r="T256" s="99">
        <f t="shared" si="43"/>
        <v>0</v>
      </c>
      <c r="AR256" s="101" t="s">
        <v>250</v>
      </c>
      <c r="AT256" s="101" t="s">
        <v>438</v>
      </c>
      <c r="AU256" s="101" t="s">
        <v>87</v>
      </c>
      <c r="AY256" s="23" t="s">
        <v>211</v>
      </c>
      <c r="BE256" s="104">
        <f t="shared" si="44"/>
        <v>12000</v>
      </c>
      <c r="BF256" s="104">
        <f t="shared" si="45"/>
        <v>0</v>
      </c>
      <c r="BG256" s="104">
        <f t="shared" si="46"/>
        <v>0</v>
      </c>
      <c r="BH256" s="104">
        <f t="shared" si="47"/>
        <v>0</v>
      </c>
      <c r="BI256" s="104">
        <f t="shared" si="48"/>
        <v>0</v>
      </c>
      <c r="BJ256" s="23" t="s">
        <v>85</v>
      </c>
      <c r="BK256" s="104">
        <f t="shared" si="49"/>
        <v>12000</v>
      </c>
      <c r="BL256" s="23" t="s">
        <v>218</v>
      </c>
      <c r="BM256" s="101" t="s">
        <v>1532</v>
      </c>
    </row>
    <row r="257" spans="2:65" s="1" customFormat="1" ht="16.5" customHeight="1">
      <c r="B257" s="12"/>
      <c r="C257" s="71" t="s">
        <v>1028</v>
      </c>
      <c r="D257" s="71" t="s">
        <v>214</v>
      </c>
      <c r="E257" s="72" t="s">
        <v>4492</v>
      </c>
      <c r="F257" s="73" t="s">
        <v>4493</v>
      </c>
      <c r="G257" s="74" t="s">
        <v>808</v>
      </c>
      <c r="H257" s="75">
        <v>6</v>
      </c>
      <c r="I257" s="90">
        <v>400</v>
      </c>
      <c r="J257" s="91">
        <f t="shared" si="40"/>
        <v>2400</v>
      </c>
      <c r="K257" s="92"/>
      <c r="L257" s="12"/>
      <c r="M257" s="93" t="s">
        <v>1</v>
      </c>
      <c r="N257" s="94" t="s">
        <v>42</v>
      </c>
      <c r="P257" s="95">
        <f t="shared" si="41"/>
        <v>0</v>
      </c>
      <c r="Q257" s="95">
        <v>0</v>
      </c>
      <c r="R257" s="95">
        <f t="shared" si="42"/>
        <v>0</v>
      </c>
      <c r="S257" s="95">
        <v>0</v>
      </c>
      <c r="T257" s="99">
        <f t="shared" si="43"/>
        <v>0</v>
      </c>
      <c r="AR257" s="101" t="s">
        <v>218</v>
      </c>
      <c r="AT257" s="101" t="s">
        <v>214</v>
      </c>
      <c r="AU257" s="101" t="s">
        <v>87</v>
      </c>
      <c r="AY257" s="23" t="s">
        <v>211</v>
      </c>
      <c r="BE257" s="104">
        <f t="shared" si="44"/>
        <v>2400</v>
      </c>
      <c r="BF257" s="104">
        <f t="shared" si="45"/>
        <v>0</v>
      </c>
      <c r="BG257" s="104">
        <f t="shared" si="46"/>
        <v>0</v>
      </c>
      <c r="BH257" s="104">
        <f t="shared" si="47"/>
        <v>0</v>
      </c>
      <c r="BI257" s="104">
        <f t="shared" si="48"/>
        <v>0</v>
      </c>
      <c r="BJ257" s="23" t="s">
        <v>85</v>
      </c>
      <c r="BK257" s="104">
        <f t="shared" si="49"/>
        <v>2400</v>
      </c>
      <c r="BL257" s="23" t="s">
        <v>218</v>
      </c>
      <c r="BM257" s="101" t="s">
        <v>1540</v>
      </c>
    </row>
    <row r="258" spans="2:65" s="1" customFormat="1" ht="24.15" customHeight="1">
      <c r="B258" s="12"/>
      <c r="C258" s="114" t="s">
        <v>1036</v>
      </c>
      <c r="D258" s="114" t="s">
        <v>438</v>
      </c>
      <c r="E258" s="115" t="s">
        <v>4555</v>
      </c>
      <c r="F258" s="116" t="s">
        <v>4507</v>
      </c>
      <c r="G258" s="117" t="s">
        <v>808</v>
      </c>
      <c r="H258" s="118">
        <v>2</v>
      </c>
      <c r="I258" s="122">
        <v>2500</v>
      </c>
      <c r="J258" s="123">
        <f t="shared" si="40"/>
        <v>5000</v>
      </c>
      <c r="K258" s="124"/>
      <c r="L258" s="125"/>
      <c r="M258" s="126" t="s">
        <v>1</v>
      </c>
      <c r="N258" s="127" t="s">
        <v>42</v>
      </c>
      <c r="P258" s="95">
        <f t="shared" si="41"/>
        <v>0</v>
      </c>
      <c r="Q258" s="95">
        <v>0</v>
      </c>
      <c r="R258" s="95">
        <f t="shared" si="42"/>
        <v>0</v>
      </c>
      <c r="S258" s="95">
        <v>0</v>
      </c>
      <c r="T258" s="99">
        <f t="shared" si="43"/>
        <v>0</v>
      </c>
      <c r="AR258" s="101" t="s">
        <v>250</v>
      </c>
      <c r="AT258" s="101" t="s">
        <v>438</v>
      </c>
      <c r="AU258" s="101" t="s">
        <v>87</v>
      </c>
      <c r="AY258" s="23" t="s">
        <v>211</v>
      </c>
      <c r="BE258" s="104">
        <f t="shared" si="44"/>
        <v>5000</v>
      </c>
      <c r="BF258" s="104">
        <f t="shared" si="45"/>
        <v>0</v>
      </c>
      <c r="BG258" s="104">
        <f t="shared" si="46"/>
        <v>0</v>
      </c>
      <c r="BH258" s="104">
        <f t="shared" si="47"/>
        <v>0</v>
      </c>
      <c r="BI258" s="104">
        <f t="shared" si="48"/>
        <v>0</v>
      </c>
      <c r="BJ258" s="23" t="s">
        <v>85</v>
      </c>
      <c r="BK258" s="104">
        <f t="shared" si="49"/>
        <v>5000</v>
      </c>
      <c r="BL258" s="23" t="s">
        <v>218</v>
      </c>
      <c r="BM258" s="101" t="s">
        <v>1548</v>
      </c>
    </row>
    <row r="259" spans="2:65" s="1" customFormat="1" ht="16.5" customHeight="1">
      <c r="B259" s="12"/>
      <c r="C259" s="71" t="s">
        <v>92</v>
      </c>
      <c r="D259" s="71" t="s">
        <v>214</v>
      </c>
      <c r="E259" s="72" t="s">
        <v>4496</v>
      </c>
      <c r="F259" s="73" t="s">
        <v>4497</v>
      </c>
      <c r="G259" s="74" t="s">
        <v>808</v>
      </c>
      <c r="H259" s="75">
        <v>2</v>
      </c>
      <c r="I259" s="90">
        <v>400</v>
      </c>
      <c r="J259" s="91">
        <f t="shared" si="40"/>
        <v>800</v>
      </c>
      <c r="K259" s="92"/>
      <c r="L259" s="12"/>
      <c r="M259" s="93" t="s">
        <v>1</v>
      </c>
      <c r="N259" s="94" t="s">
        <v>42</v>
      </c>
      <c r="P259" s="95">
        <f t="shared" si="41"/>
        <v>0</v>
      </c>
      <c r="Q259" s="95">
        <v>0</v>
      </c>
      <c r="R259" s="95">
        <f t="shared" si="42"/>
        <v>0</v>
      </c>
      <c r="S259" s="95">
        <v>0</v>
      </c>
      <c r="T259" s="99">
        <f t="shared" si="43"/>
        <v>0</v>
      </c>
      <c r="AR259" s="101" t="s">
        <v>218</v>
      </c>
      <c r="AT259" s="101" t="s">
        <v>214</v>
      </c>
      <c r="AU259" s="101" t="s">
        <v>87</v>
      </c>
      <c r="AY259" s="23" t="s">
        <v>211</v>
      </c>
      <c r="BE259" s="104">
        <f t="shared" si="44"/>
        <v>800</v>
      </c>
      <c r="BF259" s="104">
        <f t="shared" si="45"/>
        <v>0</v>
      </c>
      <c r="BG259" s="104">
        <f t="shared" si="46"/>
        <v>0</v>
      </c>
      <c r="BH259" s="104">
        <f t="shared" si="47"/>
        <v>0</v>
      </c>
      <c r="BI259" s="104">
        <f t="shared" si="48"/>
        <v>0</v>
      </c>
      <c r="BJ259" s="23" t="s">
        <v>85</v>
      </c>
      <c r="BK259" s="104">
        <f t="shared" si="49"/>
        <v>800</v>
      </c>
      <c r="BL259" s="23" t="s">
        <v>218</v>
      </c>
      <c r="BM259" s="101" t="s">
        <v>1556</v>
      </c>
    </row>
    <row r="260" spans="2:65" s="31" customFormat="1" ht="23.1" customHeight="1">
      <c r="B260" s="67"/>
      <c r="D260" s="68" t="s">
        <v>76</v>
      </c>
      <c r="E260" s="70" t="s">
        <v>3832</v>
      </c>
      <c r="F260" s="70" t="s">
        <v>4514</v>
      </c>
      <c r="I260" s="85"/>
      <c r="J260" s="89">
        <f>BK260</f>
        <v>156920</v>
      </c>
      <c r="L260" s="67"/>
      <c r="M260" s="87"/>
      <c r="P260" s="88">
        <f>SUM(P261:P272)</f>
        <v>0</v>
      </c>
      <c r="R260" s="88">
        <f>SUM(R261:R272)</f>
        <v>0</v>
      </c>
      <c r="T260" s="98">
        <f>SUM(T261:T272)</f>
        <v>0</v>
      </c>
      <c r="AR260" s="68" t="s">
        <v>85</v>
      </c>
      <c r="AT260" s="100" t="s">
        <v>76</v>
      </c>
      <c r="AU260" s="100" t="s">
        <v>85</v>
      </c>
      <c r="AY260" s="68" t="s">
        <v>211</v>
      </c>
      <c r="BK260" s="103">
        <f>SUM(BK261:BK272)</f>
        <v>156920</v>
      </c>
    </row>
    <row r="261" spans="2:65" s="1" customFormat="1" ht="16.5" customHeight="1">
      <c r="B261" s="12"/>
      <c r="C261" s="114" t="s">
        <v>1044</v>
      </c>
      <c r="D261" s="114" t="s">
        <v>438</v>
      </c>
      <c r="E261" s="115" t="s">
        <v>4476</v>
      </c>
      <c r="F261" s="116" t="s">
        <v>4515</v>
      </c>
      <c r="G261" s="117" t="s">
        <v>444</v>
      </c>
      <c r="H261" s="118">
        <v>167</v>
      </c>
      <c r="I261" s="122">
        <v>140</v>
      </c>
      <c r="J261" s="123">
        <f t="shared" ref="J261:J272" si="50">ROUND(I261*H261,2)</f>
        <v>23380</v>
      </c>
      <c r="K261" s="124"/>
      <c r="L261" s="125"/>
      <c r="M261" s="126" t="s">
        <v>1</v>
      </c>
      <c r="N261" s="127" t="s">
        <v>42</v>
      </c>
      <c r="P261" s="95">
        <f t="shared" ref="P261:P272" si="51">O261*H261</f>
        <v>0</v>
      </c>
      <c r="Q261" s="95">
        <v>0</v>
      </c>
      <c r="R261" s="95">
        <f t="shared" ref="R261:R272" si="52">Q261*H261</f>
        <v>0</v>
      </c>
      <c r="S261" s="95">
        <v>0</v>
      </c>
      <c r="T261" s="99">
        <f t="shared" ref="T261:T272" si="53">S261*H261</f>
        <v>0</v>
      </c>
      <c r="AR261" s="101" t="s">
        <v>250</v>
      </c>
      <c r="AT261" s="101" t="s">
        <v>438</v>
      </c>
      <c r="AU261" s="101" t="s">
        <v>87</v>
      </c>
      <c r="AY261" s="23" t="s">
        <v>211</v>
      </c>
      <c r="BE261" s="104">
        <f t="shared" ref="BE261:BE272" si="54">IF(N261="základní",J261,0)</f>
        <v>23380</v>
      </c>
      <c r="BF261" s="104">
        <f t="shared" ref="BF261:BF272" si="55">IF(N261="snížená",J261,0)</f>
        <v>0</v>
      </c>
      <c r="BG261" s="104">
        <f t="shared" ref="BG261:BG272" si="56">IF(N261="zákl. přenesená",J261,0)</f>
        <v>0</v>
      </c>
      <c r="BH261" s="104">
        <f t="shared" ref="BH261:BH272" si="57">IF(N261="sníž. přenesená",J261,0)</f>
        <v>0</v>
      </c>
      <c r="BI261" s="104">
        <f t="shared" ref="BI261:BI272" si="58">IF(N261="nulová",J261,0)</f>
        <v>0</v>
      </c>
      <c r="BJ261" s="23" t="s">
        <v>85</v>
      </c>
      <c r="BK261" s="104">
        <f t="shared" ref="BK261:BK272" si="59">ROUND(I261*H261,2)</f>
        <v>23380</v>
      </c>
      <c r="BL261" s="23" t="s">
        <v>218</v>
      </c>
      <c r="BM261" s="101" t="s">
        <v>1564</v>
      </c>
    </row>
    <row r="262" spans="2:65" s="1" customFormat="1" ht="16.5" customHeight="1">
      <c r="B262" s="12"/>
      <c r="C262" s="71" t="s">
        <v>1049</v>
      </c>
      <c r="D262" s="71" t="s">
        <v>214</v>
      </c>
      <c r="E262" s="72" t="s">
        <v>4516</v>
      </c>
      <c r="F262" s="73" t="s">
        <v>4477</v>
      </c>
      <c r="G262" s="74" t="s">
        <v>444</v>
      </c>
      <c r="H262" s="75">
        <v>167</v>
      </c>
      <c r="I262" s="90">
        <v>150</v>
      </c>
      <c r="J262" s="91">
        <f t="shared" si="50"/>
        <v>25050</v>
      </c>
      <c r="K262" s="92"/>
      <c r="L262" s="12"/>
      <c r="M262" s="93" t="s">
        <v>1</v>
      </c>
      <c r="N262" s="94" t="s">
        <v>42</v>
      </c>
      <c r="P262" s="95">
        <f t="shared" si="51"/>
        <v>0</v>
      </c>
      <c r="Q262" s="95">
        <v>0</v>
      </c>
      <c r="R262" s="95">
        <f t="shared" si="52"/>
        <v>0</v>
      </c>
      <c r="S262" s="95">
        <v>0</v>
      </c>
      <c r="T262" s="99">
        <f t="shared" si="53"/>
        <v>0</v>
      </c>
      <c r="AR262" s="101" t="s">
        <v>218</v>
      </c>
      <c r="AT262" s="101" t="s">
        <v>214</v>
      </c>
      <c r="AU262" s="101" t="s">
        <v>87</v>
      </c>
      <c r="AY262" s="23" t="s">
        <v>211</v>
      </c>
      <c r="BE262" s="104">
        <f t="shared" si="54"/>
        <v>25050</v>
      </c>
      <c r="BF262" s="104">
        <f t="shared" si="55"/>
        <v>0</v>
      </c>
      <c r="BG262" s="104">
        <f t="shared" si="56"/>
        <v>0</v>
      </c>
      <c r="BH262" s="104">
        <f t="shared" si="57"/>
        <v>0</v>
      </c>
      <c r="BI262" s="104">
        <f t="shared" si="58"/>
        <v>0</v>
      </c>
      <c r="BJ262" s="23" t="s">
        <v>85</v>
      </c>
      <c r="BK262" s="104">
        <f t="shared" si="59"/>
        <v>25050</v>
      </c>
      <c r="BL262" s="23" t="s">
        <v>218</v>
      </c>
      <c r="BM262" s="101" t="s">
        <v>1572</v>
      </c>
    </row>
    <row r="263" spans="2:65" s="1" customFormat="1" ht="16.5" customHeight="1">
      <c r="B263" s="12"/>
      <c r="C263" s="114" t="s">
        <v>1053</v>
      </c>
      <c r="D263" s="114" t="s">
        <v>438</v>
      </c>
      <c r="E263" s="115" t="s">
        <v>4480</v>
      </c>
      <c r="F263" s="116" t="s">
        <v>4517</v>
      </c>
      <c r="G263" s="117" t="s">
        <v>444</v>
      </c>
      <c r="H263" s="118">
        <v>177</v>
      </c>
      <c r="I263" s="122">
        <v>200</v>
      </c>
      <c r="J263" s="123">
        <f t="shared" si="50"/>
        <v>35400</v>
      </c>
      <c r="K263" s="124"/>
      <c r="L263" s="125"/>
      <c r="M263" s="126" t="s">
        <v>1</v>
      </c>
      <c r="N263" s="127" t="s">
        <v>42</v>
      </c>
      <c r="P263" s="95">
        <f t="shared" si="51"/>
        <v>0</v>
      </c>
      <c r="Q263" s="95">
        <v>0</v>
      </c>
      <c r="R263" s="95">
        <f t="shared" si="52"/>
        <v>0</v>
      </c>
      <c r="S263" s="95">
        <v>0</v>
      </c>
      <c r="T263" s="99">
        <f t="shared" si="53"/>
        <v>0</v>
      </c>
      <c r="AR263" s="101" t="s">
        <v>250</v>
      </c>
      <c r="AT263" s="101" t="s">
        <v>438</v>
      </c>
      <c r="AU263" s="101" t="s">
        <v>87</v>
      </c>
      <c r="AY263" s="23" t="s">
        <v>211</v>
      </c>
      <c r="BE263" s="104">
        <f t="shared" si="54"/>
        <v>35400</v>
      </c>
      <c r="BF263" s="104">
        <f t="shared" si="55"/>
        <v>0</v>
      </c>
      <c r="BG263" s="104">
        <f t="shared" si="56"/>
        <v>0</v>
      </c>
      <c r="BH263" s="104">
        <f t="shared" si="57"/>
        <v>0</v>
      </c>
      <c r="BI263" s="104">
        <f t="shared" si="58"/>
        <v>0</v>
      </c>
      <c r="BJ263" s="23" t="s">
        <v>85</v>
      </c>
      <c r="BK263" s="104">
        <f t="shared" si="59"/>
        <v>35400</v>
      </c>
      <c r="BL263" s="23" t="s">
        <v>218</v>
      </c>
      <c r="BM263" s="101" t="s">
        <v>1580</v>
      </c>
    </row>
    <row r="264" spans="2:65" s="1" customFormat="1" ht="16.5" customHeight="1">
      <c r="B264" s="12"/>
      <c r="C264" s="71" t="s">
        <v>1058</v>
      </c>
      <c r="D264" s="71" t="s">
        <v>214</v>
      </c>
      <c r="E264" s="72" t="s">
        <v>4518</v>
      </c>
      <c r="F264" s="73" t="s">
        <v>4481</v>
      </c>
      <c r="G264" s="74" t="s">
        <v>444</v>
      </c>
      <c r="H264" s="75">
        <v>177</v>
      </c>
      <c r="I264" s="90">
        <v>150</v>
      </c>
      <c r="J264" s="91">
        <f t="shared" si="50"/>
        <v>26550</v>
      </c>
      <c r="K264" s="92"/>
      <c r="L264" s="12"/>
      <c r="M264" s="93" t="s">
        <v>1</v>
      </c>
      <c r="N264" s="94" t="s">
        <v>42</v>
      </c>
      <c r="P264" s="95">
        <f t="shared" si="51"/>
        <v>0</v>
      </c>
      <c r="Q264" s="95">
        <v>0</v>
      </c>
      <c r="R264" s="95">
        <f t="shared" si="52"/>
        <v>0</v>
      </c>
      <c r="S264" s="95">
        <v>0</v>
      </c>
      <c r="T264" s="99">
        <f t="shared" si="53"/>
        <v>0</v>
      </c>
      <c r="AR264" s="101" t="s">
        <v>218</v>
      </c>
      <c r="AT264" s="101" t="s">
        <v>214</v>
      </c>
      <c r="AU264" s="101" t="s">
        <v>87</v>
      </c>
      <c r="AY264" s="23" t="s">
        <v>211</v>
      </c>
      <c r="BE264" s="104">
        <f t="shared" si="54"/>
        <v>26550</v>
      </c>
      <c r="BF264" s="104">
        <f t="shared" si="55"/>
        <v>0</v>
      </c>
      <c r="BG264" s="104">
        <f t="shared" si="56"/>
        <v>0</v>
      </c>
      <c r="BH264" s="104">
        <f t="shared" si="57"/>
        <v>0</v>
      </c>
      <c r="BI264" s="104">
        <f t="shared" si="58"/>
        <v>0</v>
      </c>
      <c r="BJ264" s="23" t="s">
        <v>85</v>
      </c>
      <c r="BK264" s="104">
        <f t="shared" si="59"/>
        <v>26550</v>
      </c>
      <c r="BL264" s="23" t="s">
        <v>218</v>
      </c>
      <c r="BM264" s="101" t="s">
        <v>1588</v>
      </c>
    </row>
    <row r="265" spans="2:65" s="1" customFormat="1" ht="16.5" customHeight="1">
      <c r="B265" s="12"/>
      <c r="C265" s="114" t="s">
        <v>1062</v>
      </c>
      <c r="D265" s="114" t="s">
        <v>438</v>
      </c>
      <c r="E265" s="115" t="s">
        <v>4484</v>
      </c>
      <c r="F265" s="116" t="s">
        <v>4519</v>
      </c>
      <c r="G265" s="117" t="s">
        <v>444</v>
      </c>
      <c r="H265" s="118">
        <v>52</v>
      </c>
      <c r="I265" s="122">
        <v>220</v>
      </c>
      <c r="J265" s="123">
        <f t="shared" si="50"/>
        <v>11440</v>
      </c>
      <c r="K265" s="124"/>
      <c r="L265" s="125"/>
      <c r="M265" s="126" t="s">
        <v>1</v>
      </c>
      <c r="N265" s="127" t="s">
        <v>42</v>
      </c>
      <c r="P265" s="95">
        <f t="shared" si="51"/>
        <v>0</v>
      </c>
      <c r="Q265" s="95">
        <v>0</v>
      </c>
      <c r="R265" s="95">
        <f t="shared" si="52"/>
        <v>0</v>
      </c>
      <c r="S265" s="95">
        <v>0</v>
      </c>
      <c r="T265" s="99">
        <f t="shared" si="53"/>
        <v>0</v>
      </c>
      <c r="AR265" s="101" t="s">
        <v>250</v>
      </c>
      <c r="AT265" s="101" t="s">
        <v>438</v>
      </c>
      <c r="AU265" s="101" t="s">
        <v>87</v>
      </c>
      <c r="AY265" s="23" t="s">
        <v>211</v>
      </c>
      <c r="BE265" s="104">
        <f t="shared" si="54"/>
        <v>11440</v>
      </c>
      <c r="BF265" s="104">
        <f t="shared" si="55"/>
        <v>0</v>
      </c>
      <c r="BG265" s="104">
        <f t="shared" si="56"/>
        <v>0</v>
      </c>
      <c r="BH265" s="104">
        <f t="shared" si="57"/>
        <v>0</v>
      </c>
      <c r="BI265" s="104">
        <f t="shared" si="58"/>
        <v>0</v>
      </c>
      <c r="BJ265" s="23" t="s">
        <v>85</v>
      </c>
      <c r="BK265" s="104">
        <f t="shared" si="59"/>
        <v>11440</v>
      </c>
      <c r="BL265" s="23" t="s">
        <v>218</v>
      </c>
      <c r="BM265" s="101" t="s">
        <v>1596</v>
      </c>
    </row>
    <row r="266" spans="2:65" s="1" customFormat="1" ht="16.5" customHeight="1">
      <c r="B266" s="12"/>
      <c r="C266" s="71" t="s">
        <v>1067</v>
      </c>
      <c r="D266" s="71" t="s">
        <v>214</v>
      </c>
      <c r="E266" s="72" t="s">
        <v>4520</v>
      </c>
      <c r="F266" s="73" t="s">
        <v>4485</v>
      </c>
      <c r="G266" s="74" t="s">
        <v>444</v>
      </c>
      <c r="H266" s="75">
        <v>52</v>
      </c>
      <c r="I266" s="90">
        <v>150</v>
      </c>
      <c r="J266" s="91">
        <f t="shared" si="50"/>
        <v>7800</v>
      </c>
      <c r="K266" s="92"/>
      <c r="L266" s="12"/>
      <c r="M266" s="93" t="s">
        <v>1</v>
      </c>
      <c r="N266" s="94" t="s">
        <v>42</v>
      </c>
      <c r="P266" s="95">
        <f t="shared" si="51"/>
        <v>0</v>
      </c>
      <c r="Q266" s="95">
        <v>0</v>
      </c>
      <c r="R266" s="95">
        <f t="shared" si="52"/>
        <v>0</v>
      </c>
      <c r="S266" s="95">
        <v>0</v>
      </c>
      <c r="T266" s="99">
        <f t="shared" si="53"/>
        <v>0</v>
      </c>
      <c r="AR266" s="101" t="s">
        <v>218</v>
      </c>
      <c r="AT266" s="101" t="s">
        <v>214</v>
      </c>
      <c r="AU266" s="101" t="s">
        <v>87</v>
      </c>
      <c r="AY266" s="23" t="s">
        <v>211</v>
      </c>
      <c r="BE266" s="104">
        <f t="shared" si="54"/>
        <v>7800</v>
      </c>
      <c r="BF266" s="104">
        <f t="shared" si="55"/>
        <v>0</v>
      </c>
      <c r="BG266" s="104">
        <f t="shared" si="56"/>
        <v>0</v>
      </c>
      <c r="BH266" s="104">
        <f t="shared" si="57"/>
        <v>0</v>
      </c>
      <c r="BI266" s="104">
        <f t="shared" si="58"/>
        <v>0</v>
      </c>
      <c r="BJ266" s="23" t="s">
        <v>85</v>
      </c>
      <c r="BK266" s="104">
        <f t="shared" si="59"/>
        <v>7800</v>
      </c>
      <c r="BL266" s="23" t="s">
        <v>218</v>
      </c>
      <c r="BM266" s="101" t="s">
        <v>1605</v>
      </c>
    </row>
    <row r="267" spans="2:65" s="1" customFormat="1" ht="16.5" customHeight="1">
      <c r="B267" s="12"/>
      <c r="C267" s="114" t="s">
        <v>1072</v>
      </c>
      <c r="D267" s="114" t="s">
        <v>438</v>
      </c>
      <c r="E267" s="115" t="s">
        <v>4488</v>
      </c>
      <c r="F267" s="116" t="s">
        <v>4521</v>
      </c>
      <c r="G267" s="117" t="s">
        <v>444</v>
      </c>
      <c r="H267" s="118">
        <v>40</v>
      </c>
      <c r="I267" s="122">
        <v>260</v>
      </c>
      <c r="J267" s="123">
        <f t="shared" si="50"/>
        <v>10400</v>
      </c>
      <c r="K267" s="124"/>
      <c r="L267" s="125"/>
      <c r="M267" s="126" t="s">
        <v>1</v>
      </c>
      <c r="N267" s="127" t="s">
        <v>42</v>
      </c>
      <c r="P267" s="95">
        <f t="shared" si="51"/>
        <v>0</v>
      </c>
      <c r="Q267" s="95">
        <v>0</v>
      </c>
      <c r="R267" s="95">
        <f t="shared" si="52"/>
        <v>0</v>
      </c>
      <c r="S267" s="95">
        <v>0</v>
      </c>
      <c r="T267" s="99">
        <f t="shared" si="53"/>
        <v>0</v>
      </c>
      <c r="AR267" s="101" t="s">
        <v>250</v>
      </c>
      <c r="AT267" s="101" t="s">
        <v>438</v>
      </c>
      <c r="AU267" s="101" t="s">
        <v>87</v>
      </c>
      <c r="AY267" s="23" t="s">
        <v>211</v>
      </c>
      <c r="BE267" s="104">
        <f t="shared" si="54"/>
        <v>10400</v>
      </c>
      <c r="BF267" s="104">
        <f t="shared" si="55"/>
        <v>0</v>
      </c>
      <c r="BG267" s="104">
        <f t="shared" si="56"/>
        <v>0</v>
      </c>
      <c r="BH267" s="104">
        <f t="shared" si="57"/>
        <v>0</v>
      </c>
      <c r="BI267" s="104">
        <f t="shared" si="58"/>
        <v>0</v>
      </c>
      <c r="BJ267" s="23" t="s">
        <v>85</v>
      </c>
      <c r="BK267" s="104">
        <f t="shared" si="59"/>
        <v>10400</v>
      </c>
      <c r="BL267" s="23" t="s">
        <v>218</v>
      </c>
      <c r="BM267" s="101" t="s">
        <v>1624</v>
      </c>
    </row>
    <row r="268" spans="2:65" s="1" customFormat="1" ht="16.5" customHeight="1">
      <c r="B268" s="12"/>
      <c r="C268" s="71" t="s">
        <v>1083</v>
      </c>
      <c r="D268" s="71" t="s">
        <v>214</v>
      </c>
      <c r="E268" s="72" t="s">
        <v>4522</v>
      </c>
      <c r="F268" s="73" t="s">
        <v>4489</v>
      </c>
      <c r="G268" s="74" t="s">
        <v>444</v>
      </c>
      <c r="H268" s="75">
        <v>40</v>
      </c>
      <c r="I268" s="90">
        <v>150</v>
      </c>
      <c r="J268" s="91">
        <f t="shared" si="50"/>
        <v>6000</v>
      </c>
      <c r="K268" s="92"/>
      <c r="L268" s="12"/>
      <c r="M268" s="93" t="s">
        <v>1</v>
      </c>
      <c r="N268" s="94" t="s">
        <v>42</v>
      </c>
      <c r="P268" s="95">
        <f t="shared" si="51"/>
        <v>0</v>
      </c>
      <c r="Q268" s="95">
        <v>0</v>
      </c>
      <c r="R268" s="95">
        <f t="shared" si="52"/>
        <v>0</v>
      </c>
      <c r="S268" s="95">
        <v>0</v>
      </c>
      <c r="T268" s="99">
        <f t="shared" si="53"/>
        <v>0</v>
      </c>
      <c r="AR268" s="101" t="s">
        <v>218</v>
      </c>
      <c r="AT268" s="101" t="s">
        <v>214</v>
      </c>
      <c r="AU268" s="101" t="s">
        <v>87</v>
      </c>
      <c r="AY268" s="23" t="s">
        <v>211</v>
      </c>
      <c r="BE268" s="104">
        <f t="shared" si="54"/>
        <v>6000</v>
      </c>
      <c r="BF268" s="104">
        <f t="shared" si="55"/>
        <v>0</v>
      </c>
      <c r="BG268" s="104">
        <f t="shared" si="56"/>
        <v>0</v>
      </c>
      <c r="BH268" s="104">
        <f t="shared" si="57"/>
        <v>0</v>
      </c>
      <c r="BI268" s="104">
        <f t="shared" si="58"/>
        <v>0</v>
      </c>
      <c r="BJ268" s="23" t="s">
        <v>85</v>
      </c>
      <c r="BK268" s="104">
        <f t="shared" si="59"/>
        <v>6000</v>
      </c>
      <c r="BL268" s="23" t="s">
        <v>218</v>
      </c>
      <c r="BM268" s="101" t="s">
        <v>1650</v>
      </c>
    </row>
    <row r="269" spans="2:65" s="1" customFormat="1" ht="16.5" customHeight="1">
      <c r="B269" s="12"/>
      <c r="C269" s="114" t="s">
        <v>1087</v>
      </c>
      <c r="D269" s="114" t="s">
        <v>438</v>
      </c>
      <c r="E269" s="115" t="s">
        <v>4492</v>
      </c>
      <c r="F269" s="116" t="s">
        <v>4523</v>
      </c>
      <c r="G269" s="117" t="s">
        <v>444</v>
      </c>
      <c r="H269" s="118">
        <v>10</v>
      </c>
      <c r="I269" s="122">
        <v>280</v>
      </c>
      <c r="J269" s="123">
        <f t="shared" si="50"/>
        <v>2800</v>
      </c>
      <c r="K269" s="124"/>
      <c r="L269" s="125"/>
      <c r="M269" s="126" t="s">
        <v>1</v>
      </c>
      <c r="N269" s="127" t="s">
        <v>42</v>
      </c>
      <c r="P269" s="95">
        <f t="shared" si="51"/>
        <v>0</v>
      </c>
      <c r="Q269" s="95">
        <v>0</v>
      </c>
      <c r="R269" s="95">
        <f t="shared" si="52"/>
        <v>0</v>
      </c>
      <c r="S269" s="95">
        <v>0</v>
      </c>
      <c r="T269" s="99">
        <f t="shared" si="53"/>
        <v>0</v>
      </c>
      <c r="AR269" s="101" t="s">
        <v>250</v>
      </c>
      <c r="AT269" s="101" t="s">
        <v>438</v>
      </c>
      <c r="AU269" s="101" t="s">
        <v>87</v>
      </c>
      <c r="AY269" s="23" t="s">
        <v>211</v>
      </c>
      <c r="BE269" s="104">
        <f t="shared" si="54"/>
        <v>2800</v>
      </c>
      <c r="BF269" s="104">
        <f t="shared" si="55"/>
        <v>0</v>
      </c>
      <c r="BG269" s="104">
        <f t="shared" si="56"/>
        <v>0</v>
      </c>
      <c r="BH269" s="104">
        <f t="shared" si="57"/>
        <v>0</v>
      </c>
      <c r="BI269" s="104">
        <f t="shared" si="58"/>
        <v>0</v>
      </c>
      <c r="BJ269" s="23" t="s">
        <v>85</v>
      </c>
      <c r="BK269" s="104">
        <f t="shared" si="59"/>
        <v>2800</v>
      </c>
      <c r="BL269" s="23" t="s">
        <v>218</v>
      </c>
      <c r="BM269" s="101" t="s">
        <v>1659</v>
      </c>
    </row>
    <row r="270" spans="2:65" s="1" customFormat="1" ht="16.5" customHeight="1">
      <c r="B270" s="12"/>
      <c r="C270" s="71" t="s">
        <v>1098</v>
      </c>
      <c r="D270" s="71" t="s">
        <v>214</v>
      </c>
      <c r="E270" s="72" t="s">
        <v>4524</v>
      </c>
      <c r="F270" s="73" t="s">
        <v>4493</v>
      </c>
      <c r="G270" s="74" t="s">
        <v>444</v>
      </c>
      <c r="H270" s="75">
        <v>10</v>
      </c>
      <c r="I270" s="90">
        <v>150</v>
      </c>
      <c r="J270" s="91">
        <f t="shared" si="50"/>
        <v>1500</v>
      </c>
      <c r="K270" s="92"/>
      <c r="L270" s="12"/>
      <c r="M270" s="93" t="s">
        <v>1</v>
      </c>
      <c r="N270" s="94" t="s">
        <v>42</v>
      </c>
      <c r="P270" s="95">
        <f t="shared" si="51"/>
        <v>0</v>
      </c>
      <c r="Q270" s="95">
        <v>0</v>
      </c>
      <c r="R270" s="95">
        <f t="shared" si="52"/>
        <v>0</v>
      </c>
      <c r="S270" s="95">
        <v>0</v>
      </c>
      <c r="T270" s="99">
        <f t="shared" si="53"/>
        <v>0</v>
      </c>
      <c r="AR270" s="101" t="s">
        <v>218</v>
      </c>
      <c r="AT270" s="101" t="s">
        <v>214</v>
      </c>
      <c r="AU270" s="101" t="s">
        <v>87</v>
      </c>
      <c r="AY270" s="23" t="s">
        <v>211</v>
      </c>
      <c r="BE270" s="104">
        <f t="shared" si="54"/>
        <v>1500</v>
      </c>
      <c r="BF270" s="104">
        <f t="shared" si="55"/>
        <v>0</v>
      </c>
      <c r="BG270" s="104">
        <f t="shared" si="56"/>
        <v>0</v>
      </c>
      <c r="BH270" s="104">
        <f t="shared" si="57"/>
        <v>0</v>
      </c>
      <c r="BI270" s="104">
        <f t="shared" si="58"/>
        <v>0</v>
      </c>
      <c r="BJ270" s="23" t="s">
        <v>85</v>
      </c>
      <c r="BK270" s="104">
        <f t="shared" si="59"/>
        <v>1500</v>
      </c>
      <c r="BL270" s="23" t="s">
        <v>218</v>
      </c>
      <c r="BM270" s="101" t="s">
        <v>1669</v>
      </c>
    </row>
    <row r="271" spans="2:65" s="1" customFormat="1" ht="16.5" customHeight="1">
      <c r="B271" s="12"/>
      <c r="C271" s="114" t="s">
        <v>1102</v>
      </c>
      <c r="D271" s="114" t="s">
        <v>438</v>
      </c>
      <c r="E271" s="115" t="s">
        <v>4504</v>
      </c>
      <c r="F271" s="116" t="s">
        <v>4529</v>
      </c>
      <c r="G271" s="117" t="s">
        <v>444</v>
      </c>
      <c r="H271" s="118">
        <v>12</v>
      </c>
      <c r="I271" s="122">
        <v>400</v>
      </c>
      <c r="J271" s="123">
        <f t="shared" si="50"/>
        <v>4800</v>
      </c>
      <c r="K271" s="124"/>
      <c r="L271" s="125"/>
      <c r="M271" s="126" t="s">
        <v>1</v>
      </c>
      <c r="N271" s="127" t="s">
        <v>42</v>
      </c>
      <c r="P271" s="95">
        <f t="shared" si="51"/>
        <v>0</v>
      </c>
      <c r="Q271" s="95">
        <v>0</v>
      </c>
      <c r="R271" s="95">
        <f t="shared" si="52"/>
        <v>0</v>
      </c>
      <c r="S271" s="95">
        <v>0</v>
      </c>
      <c r="T271" s="99">
        <f t="shared" si="53"/>
        <v>0</v>
      </c>
      <c r="AR271" s="101" t="s">
        <v>250</v>
      </c>
      <c r="AT271" s="101" t="s">
        <v>438</v>
      </c>
      <c r="AU271" s="101" t="s">
        <v>87</v>
      </c>
      <c r="AY271" s="23" t="s">
        <v>211</v>
      </c>
      <c r="BE271" s="104">
        <f t="shared" si="54"/>
        <v>4800</v>
      </c>
      <c r="BF271" s="104">
        <f t="shared" si="55"/>
        <v>0</v>
      </c>
      <c r="BG271" s="104">
        <f t="shared" si="56"/>
        <v>0</v>
      </c>
      <c r="BH271" s="104">
        <f t="shared" si="57"/>
        <v>0</v>
      </c>
      <c r="BI271" s="104">
        <f t="shared" si="58"/>
        <v>0</v>
      </c>
      <c r="BJ271" s="23" t="s">
        <v>85</v>
      </c>
      <c r="BK271" s="104">
        <f t="shared" si="59"/>
        <v>4800</v>
      </c>
      <c r="BL271" s="23" t="s">
        <v>218</v>
      </c>
      <c r="BM271" s="101" t="s">
        <v>1678</v>
      </c>
    </row>
    <row r="272" spans="2:65" s="1" customFormat="1" ht="16.5" customHeight="1">
      <c r="B272" s="12"/>
      <c r="C272" s="71" t="s">
        <v>1112</v>
      </c>
      <c r="D272" s="71" t="s">
        <v>214</v>
      </c>
      <c r="E272" s="72" t="s">
        <v>4530</v>
      </c>
      <c r="F272" s="73" t="s">
        <v>4505</v>
      </c>
      <c r="G272" s="74" t="s">
        <v>444</v>
      </c>
      <c r="H272" s="75">
        <v>12</v>
      </c>
      <c r="I272" s="90">
        <v>150</v>
      </c>
      <c r="J272" s="91">
        <f t="shared" si="50"/>
        <v>1800</v>
      </c>
      <c r="K272" s="92"/>
      <c r="L272" s="12"/>
      <c r="M272" s="93" t="s">
        <v>1</v>
      </c>
      <c r="N272" s="94" t="s">
        <v>42</v>
      </c>
      <c r="P272" s="95">
        <f t="shared" si="51"/>
        <v>0</v>
      </c>
      <c r="Q272" s="95">
        <v>0</v>
      </c>
      <c r="R272" s="95">
        <f t="shared" si="52"/>
        <v>0</v>
      </c>
      <c r="S272" s="95">
        <v>0</v>
      </c>
      <c r="T272" s="99">
        <f t="shared" si="53"/>
        <v>0</v>
      </c>
      <c r="AR272" s="101" t="s">
        <v>218</v>
      </c>
      <c r="AT272" s="101" t="s">
        <v>214</v>
      </c>
      <c r="AU272" s="101" t="s">
        <v>87</v>
      </c>
      <c r="AY272" s="23" t="s">
        <v>211</v>
      </c>
      <c r="BE272" s="104">
        <f t="shared" si="54"/>
        <v>1800</v>
      </c>
      <c r="BF272" s="104">
        <f t="shared" si="55"/>
        <v>0</v>
      </c>
      <c r="BG272" s="104">
        <f t="shared" si="56"/>
        <v>0</v>
      </c>
      <c r="BH272" s="104">
        <f t="shared" si="57"/>
        <v>0</v>
      </c>
      <c r="BI272" s="104">
        <f t="shared" si="58"/>
        <v>0</v>
      </c>
      <c r="BJ272" s="23" t="s">
        <v>85</v>
      </c>
      <c r="BK272" s="104">
        <f t="shared" si="59"/>
        <v>1800</v>
      </c>
      <c r="BL272" s="23" t="s">
        <v>218</v>
      </c>
      <c r="BM272" s="101" t="s">
        <v>1686</v>
      </c>
    </row>
    <row r="273" spans="2:65" s="31" customFormat="1" ht="23.1" customHeight="1">
      <c r="B273" s="67"/>
      <c r="D273" s="68" t="s">
        <v>76</v>
      </c>
      <c r="E273" s="70" t="s">
        <v>4531</v>
      </c>
      <c r="F273" s="70" t="s">
        <v>4532</v>
      </c>
      <c r="I273" s="85"/>
      <c r="J273" s="89">
        <f>BK273</f>
        <v>59625</v>
      </c>
      <c r="L273" s="67"/>
      <c r="M273" s="87"/>
      <c r="P273" s="88">
        <f>SUM(P274:P277)</f>
        <v>0</v>
      </c>
      <c r="R273" s="88">
        <f>SUM(R274:R277)</f>
        <v>0</v>
      </c>
      <c r="T273" s="98">
        <f>SUM(T274:T277)</f>
        <v>0</v>
      </c>
      <c r="AR273" s="68" t="s">
        <v>85</v>
      </c>
      <c r="AT273" s="100" t="s">
        <v>76</v>
      </c>
      <c r="AU273" s="100" t="s">
        <v>85</v>
      </c>
      <c r="AY273" s="68" t="s">
        <v>211</v>
      </c>
      <c r="BK273" s="103">
        <f>SUM(BK274:BK277)</f>
        <v>59625</v>
      </c>
    </row>
    <row r="274" spans="2:65" s="1" customFormat="1" ht="44.25" customHeight="1">
      <c r="B274" s="12"/>
      <c r="C274" s="71" t="s">
        <v>1121</v>
      </c>
      <c r="D274" s="71" t="s">
        <v>214</v>
      </c>
      <c r="E274" s="72" t="s">
        <v>4533</v>
      </c>
      <c r="F274" s="73" t="s">
        <v>4534</v>
      </c>
      <c r="G274" s="74" t="s">
        <v>234</v>
      </c>
      <c r="H274" s="75">
        <v>1</v>
      </c>
      <c r="I274" s="90">
        <v>35000</v>
      </c>
      <c r="J274" s="91">
        <f>ROUND(I274*H274,2)</f>
        <v>35000</v>
      </c>
      <c r="K274" s="92"/>
      <c r="L274" s="12"/>
      <c r="M274" s="93" t="s">
        <v>1</v>
      </c>
      <c r="N274" s="94" t="s">
        <v>42</v>
      </c>
      <c r="P274" s="95">
        <f>O274*H274</f>
        <v>0</v>
      </c>
      <c r="Q274" s="95">
        <v>0</v>
      </c>
      <c r="R274" s="95">
        <f>Q274*H274</f>
        <v>0</v>
      </c>
      <c r="S274" s="95">
        <v>0</v>
      </c>
      <c r="T274" s="99">
        <f>S274*H274</f>
        <v>0</v>
      </c>
      <c r="AR274" s="101" t="s">
        <v>218</v>
      </c>
      <c r="AT274" s="101" t="s">
        <v>214</v>
      </c>
      <c r="AU274" s="101" t="s">
        <v>87</v>
      </c>
      <c r="AY274" s="23" t="s">
        <v>211</v>
      </c>
      <c r="BE274" s="104">
        <f>IF(N274="základní",J274,0)</f>
        <v>35000</v>
      </c>
      <c r="BF274" s="104">
        <f>IF(N274="snížená",J274,0)</f>
        <v>0</v>
      </c>
      <c r="BG274" s="104">
        <f>IF(N274="zákl. přenesená",J274,0)</f>
        <v>0</v>
      </c>
      <c r="BH274" s="104">
        <f>IF(N274="sníž. přenesená",J274,0)</f>
        <v>0</v>
      </c>
      <c r="BI274" s="104">
        <f>IF(N274="nulová",J274,0)</f>
        <v>0</v>
      </c>
      <c r="BJ274" s="23" t="s">
        <v>85</v>
      </c>
      <c r="BK274" s="104">
        <f>ROUND(I274*H274,2)</f>
        <v>35000</v>
      </c>
      <c r="BL274" s="23" t="s">
        <v>218</v>
      </c>
      <c r="BM274" s="101" t="s">
        <v>1694</v>
      </c>
    </row>
    <row r="275" spans="2:65" s="1" customFormat="1" ht="16.5" customHeight="1">
      <c r="B275" s="12"/>
      <c r="C275" s="71" t="s">
        <v>1129</v>
      </c>
      <c r="D275" s="71" t="s">
        <v>214</v>
      </c>
      <c r="E275" s="72" t="s">
        <v>4535</v>
      </c>
      <c r="F275" s="73" t="s">
        <v>4536</v>
      </c>
      <c r="G275" s="74" t="s">
        <v>234</v>
      </c>
      <c r="H275" s="75">
        <v>1</v>
      </c>
      <c r="I275" s="90">
        <v>8000</v>
      </c>
      <c r="J275" s="91">
        <f>ROUND(I275*H275,2)</f>
        <v>8000</v>
      </c>
      <c r="K275" s="92"/>
      <c r="L275" s="12"/>
      <c r="M275" s="93" t="s">
        <v>1</v>
      </c>
      <c r="N275" s="94" t="s">
        <v>42</v>
      </c>
      <c r="P275" s="95">
        <f>O275*H275</f>
        <v>0</v>
      </c>
      <c r="Q275" s="95">
        <v>0</v>
      </c>
      <c r="R275" s="95">
        <f>Q275*H275</f>
        <v>0</v>
      </c>
      <c r="S275" s="95">
        <v>0</v>
      </c>
      <c r="T275" s="99">
        <f>S275*H275</f>
        <v>0</v>
      </c>
      <c r="AR275" s="101" t="s">
        <v>218</v>
      </c>
      <c r="AT275" s="101" t="s">
        <v>214</v>
      </c>
      <c r="AU275" s="101" t="s">
        <v>87</v>
      </c>
      <c r="AY275" s="23" t="s">
        <v>211</v>
      </c>
      <c r="BE275" s="104">
        <f>IF(N275="základní",J275,0)</f>
        <v>8000</v>
      </c>
      <c r="BF275" s="104">
        <f>IF(N275="snížená",J275,0)</f>
        <v>0</v>
      </c>
      <c r="BG275" s="104">
        <f>IF(N275="zákl. přenesená",J275,0)</f>
        <v>0</v>
      </c>
      <c r="BH275" s="104">
        <f>IF(N275="sníž. přenesená",J275,0)</f>
        <v>0</v>
      </c>
      <c r="BI275" s="104">
        <f>IF(N275="nulová",J275,0)</f>
        <v>0</v>
      </c>
      <c r="BJ275" s="23" t="s">
        <v>85</v>
      </c>
      <c r="BK275" s="104">
        <f>ROUND(I275*H275,2)</f>
        <v>8000</v>
      </c>
      <c r="BL275" s="23" t="s">
        <v>218</v>
      </c>
      <c r="BM275" s="101" t="s">
        <v>1702</v>
      </c>
    </row>
    <row r="276" spans="2:65" s="1" customFormat="1" ht="24.15" customHeight="1">
      <c r="B276" s="12"/>
      <c r="C276" s="71" t="s">
        <v>1133</v>
      </c>
      <c r="D276" s="71" t="s">
        <v>214</v>
      </c>
      <c r="E276" s="72" t="s">
        <v>4537</v>
      </c>
      <c r="F276" s="73" t="s">
        <v>4538</v>
      </c>
      <c r="G276" s="74" t="s">
        <v>1198</v>
      </c>
      <c r="H276" s="75">
        <v>9.5</v>
      </c>
      <c r="I276" s="90">
        <v>1500</v>
      </c>
      <c r="J276" s="91">
        <f>ROUND(I276*H276,2)</f>
        <v>14250</v>
      </c>
      <c r="K276" s="92"/>
      <c r="L276" s="12"/>
      <c r="M276" s="93" t="s">
        <v>1</v>
      </c>
      <c r="N276" s="94" t="s">
        <v>42</v>
      </c>
      <c r="P276" s="95">
        <f>O276*H276</f>
        <v>0</v>
      </c>
      <c r="Q276" s="95">
        <v>0</v>
      </c>
      <c r="R276" s="95">
        <f>Q276*H276</f>
        <v>0</v>
      </c>
      <c r="S276" s="95">
        <v>0</v>
      </c>
      <c r="T276" s="99">
        <f>S276*H276</f>
        <v>0</v>
      </c>
      <c r="AR276" s="101" t="s">
        <v>218</v>
      </c>
      <c r="AT276" s="101" t="s">
        <v>214</v>
      </c>
      <c r="AU276" s="101" t="s">
        <v>87</v>
      </c>
      <c r="AY276" s="23" t="s">
        <v>211</v>
      </c>
      <c r="BE276" s="104">
        <f>IF(N276="základní",J276,0)</f>
        <v>14250</v>
      </c>
      <c r="BF276" s="104">
        <f>IF(N276="snížená",J276,0)</f>
        <v>0</v>
      </c>
      <c r="BG276" s="104">
        <f>IF(N276="zákl. přenesená",J276,0)</f>
        <v>0</v>
      </c>
      <c r="BH276" s="104">
        <f>IF(N276="sníž. přenesená",J276,0)</f>
        <v>0</v>
      </c>
      <c r="BI276" s="104">
        <f>IF(N276="nulová",J276,0)</f>
        <v>0</v>
      </c>
      <c r="BJ276" s="23" t="s">
        <v>85</v>
      </c>
      <c r="BK276" s="104">
        <f>ROUND(I276*H276,2)</f>
        <v>14250</v>
      </c>
      <c r="BL276" s="23" t="s">
        <v>218</v>
      </c>
      <c r="BM276" s="101" t="s">
        <v>1710</v>
      </c>
    </row>
    <row r="277" spans="2:65" s="1" customFormat="1" ht="16.5" customHeight="1">
      <c r="B277" s="12"/>
      <c r="C277" s="71" t="s">
        <v>1141</v>
      </c>
      <c r="D277" s="71" t="s">
        <v>214</v>
      </c>
      <c r="E277" s="72" t="s">
        <v>4539</v>
      </c>
      <c r="F277" s="73" t="s">
        <v>4540</v>
      </c>
      <c r="G277" s="74" t="s">
        <v>1198</v>
      </c>
      <c r="H277" s="75">
        <v>9.5</v>
      </c>
      <c r="I277" s="90">
        <v>250</v>
      </c>
      <c r="J277" s="91">
        <f>ROUND(I277*H277,2)</f>
        <v>2375</v>
      </c>
      <c r="K277" s="92"/>
      <c r="L277" s="12"/>
      <c r="M277" s="93" t="s">
        <v>1</v>
      </c>
      <c r="N277" s="94" t="s">
        <v>42</v>
      </c>
      <c r="P277" s="95">
        <f>O277*H277</f>
        <v>0</v>
      </c>
      <c r="Q277" s="95">
        <v>0</v>
      </c>
      <c r="R277" s="95">
        <f>Q277*H277</f>
        <v>0</v>
      </c>
      <c r="S277" s="95">
        <v>0</v>
      </c>
      <c r="T277" s="99">
        <f>S277*H277</f>
        <v>0</v>
      </c>
      <c r="AR277" s="101" t="s">
        <v>218</v>
      </c>
      <c r="AT277" s="101" t="s">
        <v>214</v>
      </c>
      <c r="AU277" s="101" t="s">
        <v>87</v>
      </c>
      <c r="AY277" s="23" t="s">
        <v>211</v>
      </c>
      <c r="BE277" s="104">
        <f>IF(N277="základní",J277,0)</f>
        <v>2375</v>
      </c>
      <c r="BF277" s="104">
        <f>IF(N277="snížená",J277,0)</f>
        <v>0</v>
      </c>
      <c r="BG277" s="104">
        <f>IF(N277="zákl. přenesená",J277,0)</f>
        <v>0</v>
      </c>
      <c r="BH277" s="104">
        <f>IF(N277="sníž. přenesená",J277,0)</f>
        <v>0</v>
      </c>
      <c r="BI277" s="104">
        <f>IF(N277="nulová",J277,0)</f>
        <v>0</v>
      </c>
      <c r="BJ277" s="23" t="s">
        <v>85</v>
      </c>
      <c r="BK277" s="104">
        <f>ROUND(I277*H277,2)</f>
        <v>2375</v>
      </c>
      <c r="BL277" s="23" t="s">
        <v>218</v>
      </c>
      <c r="BM277" s="101" t="s">
        <v>1718</v>
      </c>
    </row>
    <row r="278" spans="2:65" s="31" customFormat="1" ht="23.1" customHeight="1">
      <c r="B278" s="67"/>
      <c r="D278" s="68" t="s">
        <v>76</v>
      </c>
      <c r="E278" s="70" t="s">
        <v>4541</v>
      </c>
      <c r="F278" s="70" t="s">
        <v>4542</v>
      </c>
      <c r="I278" s="85"/>
      <c r="J278" s="89">
        <f>BK278</f>
        <v>45000</v>
      </c>
      <c r="L278" s="67"/>
      <c r="M278" s="87"/>
      <c r="P278" s="88">
        <f>SUM(P279:P283)</f>
        <v>0</v>
      </c>
      <c r="R278" s="88">
        <f>SUM(R279:R283)</f>
        <v>0</v>
      </c>
      <c r="T278" s="98">
        <f>SUM(T279:T283)</f>
        <v>0</v>
      </c>
      <c r="AR278" s="68" t="s">
        <v>85</v>
      </c>
      <c r="AT278" s="100" t="s">
        <v>76</v>
      </c>
      <c r="AU278" s="100" t="s">
        <v>85</v>
      </c>
      <c r="AY278" s="68" t="s">
        <v>211</v>
      </c>
      <c r="BK278" s="103">
        <f>SUM(BK279:BK283)</f>
        <v>45000</v>
      </c>
    </row>
    <row r="279" spans="2:65" s="1" customFormat="1" ht="38.1" customHeight="1">
      <c r="B279" s="12"/>
      <c r="C279" s="71" t="s">
        <v>1148</v>
      </c>
      <c r="D279" s="71" t="s">
        <v>214</v>
      </c>
      <c r="E279" s="72" t="s">
        <v>4543</v>
      </c>
      <c r="F279" s="73" t="s">
        <v>4544</v>
      </c>
      <c r="G279" s="74" t="s">
        <v>234</v>
      </c>
      <c r="H279" s="75">
        <v>1</v>
      </c>
      <c r="I279" s="90">
        <v>10000</v>
      </c>
      <c r="J279" s="91">
        <f>ROUND(I279*H279,2)</f>
        <v>10000</v>
      </c>
      <c r="K279" s="92"/>
      <c r="L279" s="12"/>
      <c r="M279" s="93" t="s">
        <v>1</v>
      </c>
      <c r="N279" s="94" t="s">
        <v>42</v>
      </c>
      <c r="P279" s="95">
        <f>O279*H279</f>
        <v>0</v>
      </c>
      <c r="Q279" s="95">
        <v>0</v>
      </c>
      <c r="R279" s="95">
        <f>Q279*H279</f>
        <v>0</v>
      </c>
      <c r="S279" s="95">
        <v>0</v>
      </c>
      <c r="T279" s="99">
        <f>S279*H279</f>
        <v>0</v>
      </c>
      <c r="AR279" s="101" t="s">
        <v>218</v>
      </c>
      <c r="AT279" s="101" t="s">
        <v>214</v>
      </c>
      <c r="AU279" s="101" t="s">
        <v>87</v>
      </c>
      <c r="AY279" s="23" t="s">
        <v>211</v>
      </c>
      <c r="BE279" s="104">
        <f>IF(N279="základní",J279,0)</f>
        <v>10000</v>
      </c>
      <c r="BF279" s="104">
        <f>IF(N279="snížená",J279,0)</f>
        <v>0</v>
      </c>
      <c r="BG279" s="104">
        <f>IF(N279="zákl. přenesená",J279,0)</f>
        <v>0</v>
      </c>
      <c r="BH279" s="104">
        <f>IF(N279="sníž. přenesená",J279,0)</f>
        <v>0</v>
      </c>
      <c r="BI279" s="104">
        <f>IF(N279="nulová",J279,0)</f>
        <v>0</v>
      </c>
      <c r="BJ279" s="23" t="s">
        <v>85</v>
      </c>
      <c r="BK279" s="104">
        <f>ROUND(I279*H279,2)</f>
        <v>10000</v>
      </c>
      <c r="BL279" s="23" t="s">
        <v>218</v>
      </c>
      <c r="BM279" s="101" t="s">
        <v>1726</v>
      </c>
    </row>
    <row r="280" spans="2:65" s="1" customFormat="1" ht="24.15" customHeight="1">
      <c r="B280" s="12"/>
      <c r="C280" s="71" t="s">
        <v>1153</v>
      </c>
      <c r="D280" s="71" t="s">
        <v>214</v>
      </c>
      <c r="E280" s="72" t="s">
        <v>4545</v>
      </c>
      <c r="F280" s="73" t="s">
        <v>4546</v>
      </c>
      <c r="G280" s="74" t="s">
        <v>234</v>
      </c>
      <c r="H280" s="75">
        <v>1</v>
      </c>
      <c r="I280" s="90">
        <v>10000</v>
      </c>
      <c r="J280" s="91">
        <f>ROUND(I280*H280,2)</f>
        <v>10000</v>
      </c>
      <c r="K280" s="92"/>
      <c r="L280" s="12"/>
      <c r="M280" s="93" t="s">
        <v>1</v>
      </c>
      <c r="N280" s="94" t="s">
        <v>42</v>
      </c>
      <c r="P280" s="95">
        <f>O280*H280</f>
        <v>0</v>
      </c>
      <c r="Q280" s="95">
        <v>0</v>
      </c>
      <c r="R280" s="95">
        <f>Q280*H280</f>
        <v>0</v>
      </c>
      <c r="S280" s="95">
        <v>0</v>
      </c>
      <c r="T280" s="99">
        <f>S280*H280</f>
        <v>0</v>
      </c>
      <c r="AR280" s="101" t="s">
        <v>218</v>
      </c>
      <c r="AT280" s="101" t="s">
        <v>214</v>
      </c>
      <c r="AU280" s="101" t="s">
        <v>87</v>
      </c>
      <c r="AY280" s="23" t="s">
        <v>211</v>
      </c>
      <c r="BE280" s="104">
        <f>IF(N280="základní",J280,0)</f>
        <v>10000</v>
      </c>
      <c r="BF280" s="104">
        <f>IF(N280="snížená",J280,0)</f>
        <v>0</v>
      </c>
      <c r="BG280" s="104">
        <f>IF(N280="zákl. přenesená",J280,0)</f>
        <v>0</v>
      </c>
      <c r="BH280" s="104">
        <f>IF(N280="sníž. přenesená",J280,0)</f>
        <v>0</v>
      </c>
      <c r="BI280" s="104">
        <f>IF(N280="nulová",J280,0)</f>
        <v>0</v>
      </c>
      <c r="BJ280" s="23" t="s">
        <v>85</v>
      </c>
      <c r="BK280" s="104">
        <f>ROUND(I280*H280,2)</f>
        <v>10000</v>
      </c>
      <c r="BL280" s="23" t="s">
        <v>218</v>
      </c>
      <c r="BM280" s="101" t="s">
        <v>1734</v>
      </c>
    </row>
    <row r="281" spans="2:65" s="1" customFormat="1" ht="16.5" customHeight="1">
      <c r="B281" s="12"/>
      <c r="C281" s="71" t="s">
        <v>1163</v>
      </c>
      <c r="D281" s="71" t="s">
        <v>214</v>
      </c>
      <c r="E281" s="72" t="s">
        <v>4547</v>
      </c>
      <c r="F281" s="73" t="s">
        <v>4548</v>
      </c>
      <c r="G281" s="74" t="s">
        <v>808</v>
      </c>
      <c r="H281" s="75">
        <v>1</v>
      </c>
      <c r="I281" s="90">
        <v>5000</v>
      </c>
      <c r="J281" s="91">
        <f>ROUND(I281*H281,2)</f>
        <v>5000</v>
      </c>
      <c r="K281" s="92"/>
      <c r="L281" s="12"/>
      <c r="M281" s="93" t="s">
        <v>1</v>
      </c>
      <c r="N281" s="94" t="s">
        <v>42</v>
      </c>
      <c r="P281" s="95">
        <f>O281*H281</f>
        <v>0</v>
      </c>
      <c r="Q281" s="95">
        <v>0</v>
      </c>
      <c r="R281" s="95">
        <f>Q281*H281</f>
        <v>0</v>
      </c>
      <c r="S281" s="95">
        <v>0</v>
      </c>
      <c r="T281" s="99">
        <f>S281*H281</f>
        <v>0</v>
      </c>
      <c r="AR281" s="101" t="s">
        <v>218</v>
      </c>
      <c r="AT281" s="101" t="s">
        <v>214</v>
      </c>
      <c r="AU281" s="101" t="s">
        <v>87</v>
      </c>
      <c r="AY281" s="23" t="s">
        <v>211</v>
      </c>
      <c r="BE281" s="104">
        <f>IF(N281="základní",J281,0)</f>
        <v>5000</v>
      </c>
      <c r="BF281" s="104">
        <f>IF(N281="snížená",J281,0)</f>
        <v>0</v>
      </c>
      <c r="BG281" s="104">
        <f>IF(N281="zákl. přenesená",J281,0)</f>
        <v>0</v>
      </c>
      <c r="BH281" s="104">
        <f>IF(N281="sníž. přenesená",J281,0)</f>
        <v>0</v>
      </c>
      <c r="BI281" s="104">
        <f>IF(N281="nulová",J281,0)</f>
        <v>0</v>
      </c>
      <c r="BJ281" s="23" t="s">
        <v>85</v>
      </c>
      <c r="BK281" s="104">
        <f>ROUND(I281*H281,2)</f>
        <v>5000</v>
      </c>
      <c r="BL281" s="23" t="s">
        <v>218</v>
      </c>
      <c r="BM281" s="101" t="s">
        <v>1742</v>
      </c>
    </row>
    <row r="282" spans="2:65" s="1" customFormat="1" ht="21.75" customHeight="1">
      <c r="B282" s="12"/>
      <c r="C282" s="71" t="s">
        <v>1167</v>
      </c>
      <c r="D282" s="71" t="s">
        <v>214</v>
      </c>
      <c r="E282" s="72" t="s">
        <v>4557</v>
      </c>
      <c r="F282" s="73" t="s">
        <v>4558</v>
      </c>
      <c r="G282" s="74" t="s">
        <v>808</v>
      </c>
      <c r="H282" s="75">
        <v>1</v>
      </c>
      <c r="I282" s="90">
        <v>10000</v>
      </c>
      <c r="J282" s="91">
        <f>ROUND(I282*H282,2)</f>
        <v>10000</v>
      </c>
      <c r="K282" s="92"/>
      <c r="L282" s="12"/>
      <c r="M282" s="93" t="s">
        <v>1</v>
      </c>
      <c r="N282" s="94" t="s">
        <v>42</v>
      </c>
      <c r="P282" s="95">
        <f>O282*H282</f>
        <v>0</v>
      </c>
      <c r="Q282" s="95">
        <v>0</v>
      </c>
      <c r="R282" s="95">
        <f>Q282*H282</f>
        <v>0</v>
      </c>
      <c r="S282" s="95">
        <v>0</v>
      </c>
      <c r="T282" s="99">
        <f>S282*H282</f>
        <v>0</v>
      </c>
      <c r="AR282" s="101" t="s">
        <v>218</v>
      </c>
      <c r="AT282" s="101" t="s">
        <v>214</v>
      </c>
      <c r="AU282" s="101" t="s">
        <v>87</v>
      </c>
      <c r="AY282" s="23" t="s">
        <v>211</v>
      </c>
      <c r="BE282" s="104">
        <f>IF(N282="základní",J282,0)</f>
        <v>10000</v>
      </c>
      <c r="BF282" s="104">
        <f>IF(N282="snížená",J282,0)</f>
        <v>0</v>
      </c>
      <c r="BG282" s="104">
        <f>IF(N282="zákl. přenesená",J282,0)</f>
        <v>0</v>
      </c>
      <c r="BH282" s="104">
        <f>IF(N282="sníž. přenesená",J282,0)</f>
        <v>0</v>
      </c>
      <c r="BI282" s="104">
        <f>IF(N282="nulová",J282,0)</f>
        <v>0</v>
      </c>
      <c r="BJ282" s="23" t="s">
        <v>85</v>
      </c>
      <c r="BK282" s="104">
        <f>ROUND(I282*H282,2)</f>
        <v>10000</v>
      </c>
      <c r="BL282" s="23" t="s">
        <v>218</v>
      </c>
      <c r="BM282" s="101" t="s">
        <v>1751</v>
      </c>
    </row>
    <row r="283" spans="2:65" s="1" customFormat="1" ht="16.5" customHeight="1">
      <c r="B283" s="12"/>
      <c r="C283" s="71" t="s">
        <v>1175</v>
      </c>
      <c r="D283" s="71" t="s">
        <v>214</v>
      </c>
      <c r="E283" s="72" t="s">
        <v>4559</v>
      </c>
      <c r="F283" s="73" t="s">
        <v>4550</v>
      </c>
      <c r="G283" s="74" t="s">
        <v>808</v>
      </c>
      <c r="H283" s="75">
        <v>1</v>
      </c>
      <c r="I283" s="90">
        <v>10000</v>
      </c>
      <c r="J283" s="91">
        <f>ROUND(I283*H283,2)</f>
        <v>10000</v>
      </c>
      <c r="K283" s="92"/>
      <c r="L283" s="12"/>
      <c r="M283" s="93" t="s">
        <v>1</v>
      </c>
      <c r="N283" s="94" t="s">
        <v>42</v>
      </c>
      <c r="P283" s="95">
        <f>O283*H283</f>
        <v>0</v>
      </c>
      <c r="Q283" s="95">
        <v>0</v>
      </c>
      <c r="R283" s="95">
        <f>Q283*H283</f>
        <v>0</v>
      </c>
      <c r="S283" s="95">
        <v>0</v>
      </c>
      <c r="T283" s="99">
        <f>S283*H283</f>
        <v>0</v>
      </c>
      <c r="AR283" s="101" t="s">
        <v>218</v>
      </c>
      <c r="AT283" s="101" t="s">
        <v>214</v>
      </c>
      <c r="AU283" s="101" t="s">
        <v>87</v>
      </c>
      <c r="AY283" s="23" t="s">
        <v>211</v>
      </c>
      <c r="BE283" s="104">
        <f>IF(N283="základní",J283,0)</f>
        <v>10000</v>
      </c>
      <c r="BF283" s="104">
        <f>IF(N283="snížená",J283,0)</f>
        <v>0</v>
      </c>
      <c r="BG283" s="104">
        <f>IF(N283="zákl. přenesená",J283,0)</f>
        <v>0</v>
      </c>
      <c r="BH283" s="104">
        <f>IF(N283="sníž. přenesená",J283,0)</f>
        <v>0</v>
      </c>
      <c r="BI283" s="104">
        <f>IF(N283="nulová",J283,0)</f>
        <v>0</v>
      </c>
      <c r="BJ283" s="23" t="s">
        <v>85</v>
      </c>
      <c r="BK283" s="104">
        <f>ROUND(I283*H283,2)</f>
        <v>10000</v>
      </c>
      <c r="BL283" s="23" t="s">
        <v>218</v>
      </c>
      <c r="BM283" s="101" t="s">
        <v>1760</v>
      </c>
    </row>
    <row r="284" spans="2:65" s="31" customFormat="1" ht="26.1" customHeight="1">
      <c r="B284" s="67"/>
      <c r="D284" s="68" t="s">
        <v>76</v>
      </c>
      <c r="E284" s="69" t="s">
        <v>3858</v>
      </c>
      <c r="F284" s="69" t="s">
        <v>4421</v>
      </c>
      <c r="I284" s="85"/>
      <c r="J284" s="86">
        <f>BK284</f>
        <v>1597450</v>
      </c>
      <c r="L284" s="67"/>
      <c r="M284" s="87"/>
      <c r="P284" s="88">
        <f>P285+P288+P303+P320+P325</f>
        <v>0</v>
      </c>
      <c r="R284" s="88">
        <f>R285+R288+R303+R320+R325</f>
        <v>0</v>
      </c>
      <c r="T284" s="98">
        <f>T285+T288+T303+T320+T325</f>
        <v>0</v>
      </c>
      <c r="AR284" s="68" t="s">
        <v>85</v>
      </c>
      <c r="AT284" s="100" t="s">
        <v>76</v>
      </c>
      <c r="AU284" s="100" t="s">
        <v>77</v>
      </c>
      <c r="AY284" s="68" t="s">
        <v>211</v>
      </c>
      <c r="BK284" s="103">
        <f>BK285+BK288+BK303+BK320+BK325</f>
        <v>1597450</v>
      </c>
    </row>
    <row r="285" spans="2:65" s="31" customFormat="1" ht="23.1" customHeight="1">
      <c r="B285" s="67"/>
      <c r="D285" s="68" t="s">
        <v>76</v>
      </c>
      <c r="E285" s="70" t="s">
        <v>4466</v>
      </c>
      <c r="F285" s="70" t="s">
        <v>4467</v>
      </c>
      <c r="I285" s="85"/>
      <c r="J285" s="89">
        <f>BK285</f>
        <v>655000</v>
      </c>
      <c r="L285" s="67"/>
      <c r="M285" s="87"/>
      <c r="P285" s="88">
        <f>SUM(P286:P287)</f>
        <v>0</v>
      </c>
      <c r="R285" s="88">
        <f>SUM(R286:R287)</f>
        <v>0</v>
      </c>
      <c r="T285" s="98">
        <f>SUM(T286:T287)</f>
        <v>0</v>
      </c>
      <c r="AR285" s="68" t="s">
        <v>85</v>
      </c>
      <c r="AT285" s="100" t="s">
        <v>76</v>
      </c>
      <c r="AU285" s="100" t="s">
        <v>85</v>
      </c>
      <c r="AY285" s="68" t="s">
        <v>211</v>
      </c>
      <c r="BK285" s="103">
        <f>SUM(BK286:BK287)</f>
        <v>655000</v>
      </c>
    </row>
    <row r="286" spans="2:65" s="1" customFormat="1" ht="33" customHeight="1">
      <c r="B286" s="12"/>
      <c r="C286" s="114" t="s">
        <v>1179</v>
      </c>
      <c r="D286" s="114" t="s">
        <v>438</v>
      </c>
      <c r="E286" s="115" t="s">
        <v>4470</v>
      </c>
      <c r="F286" s="116" t="s">
        <v>4551</v>
      </c>
      <c r="G286" s="117" t="s">
        <v>808</v>
      </c>
      <c r="H286" s="118">
        <v>1</v>
      </c>
      <c r="I286" s="122">
        <v>645000</v>
      </c>
      <c r="J286" s="123">
        <f>ROUND(I286*H286,2)</f>
        <v>645000</v>
      </c>
      <c r="K286" s="124"/>
      <c r="L286" s="125"/>
      <c r="M286" s="126" t="s">
        <v>1</v>
      </c>
      <c r="N286" s="127" t="s">
        <v>42</v>
      </c>
      <c r="P286" s="95">
        <f>O286*H286</f>
        <v>0</v>
      </c>
      <c r="Q286" s="95">
        <v>0</v>
      </c>
      <c r="R286" s="95">
        <f>Q286*H286</f>
        <v>0</v>
      </c>
      <c r="S286" s="95">
        <v>0</v>
      </c>
      <c r="T286" s="99">
        <f>S286*H286</f>
        <v>0</v>
      </c>
      <c r="AR286" s="101" t="s">
        <v>250</v>
      </c>
      <c r="AT286" s="101" t="s">
        <v>438</v>
      </c>
      <c r="AU286" s="101" t="s">
        <v>87</v>
      </c>
      <c r="AY286" s="23" t="s">
        <v>211</v>
      </c>
      <c r="BE286" s="104">
        <f>IF(N286="základní",J286,0)</f>
        <v>645000</v>
      </c>
      <c r="BF286" s="104">
        <f>IF(N286="snížená",J286,0)</f>
        <v>0</v>
      </c>
      <c r="BG286" s="104">
        <f>IF(N286="zákl. přenesená",J286,0)</f>
        <v>0</v>
      </c>
      <c r="BH286" s="104">
        <f>IF(N286="sníž. přenesená",J286,0)</f>
        <v>0</v>
      </c>
      <c r="BI286" s="104">
        <f>IF(N286="nulová",J286,0)</f>
        <v>0</v>
      </c>
      <c r="BJ286" s="23" t="s">
        <v>85</v>
      </c>
      <c r="BK286" s="104">
        <f>ROUND(I286*H286,2)</f>
        <v>645000</v>
      </c>
      <c r="BL286" s="23" t="s">
        <v>218</v>
      </c>
      <c r="BM286" s="101" t="s">
        <v>1768</v>
      </c>
    </row>
    <row r="287" spans="2:65" s="1" customFormat="1" ht="16.5" customHeight="1">
      <c r="B287" s="12"/>
      <c r="C287" s="71" t="s">
        <v>1183</v>
      </c>
      <c r="D287" s="71" t="s">
        <v>214</v>
      </c>
      <c r="E287" s="72" t="s">
        <v>4470</v>
      </c>
      <c r="F287" s="73" t="s">
        <v>4471</v>
      </c>
      <c r="G287" s="74" t="s">
        <v>808</v>
      </c>
      <c r="H287" s="75">
        <v>1</v>
      </c>
      <c r="I287" s="90">
        <v>10000</v>
      </c>
      <c r="J287" s="91">
        <f>ROUND(I287*H287,2)</f>
        <v>10000</v>
      </c>
      <c r="K287" s="92"/>
      <c r="L287" s="12"/>
      <c r="M287" s="93" t="s">
        <v>1</v>
      </c>
      <c r="N287" s="94" t="s">
        <v>42</v>
      </c>
      <c r="P287" s="95">
        <f>O287*H287</f>
        <v>0</v>
      </c>
      <c r="Q287" s="95">
        <v>0</v>
      </c>
      <c r="R287" s="95">
        <f>Q287*H287</f>
        <v>0</v>
      </c>
      <c r="S287" s="95">
        <v>0</v>
      </c>
      <c r="T287" s="99">
        <f>S287*H287</f>
        <v>0</v>
      </c>
      <c r="AR287" s="101" t="s">
        <v>218</v>
      </c>
      <c r="AT287" s="101" t="s">
        <v>214</v>
      </c>
      <c r="AU287" s="101" t="s">
        <v>87</v>
      </c>
      <c r="AY287" s="23" t="s">
        <v>211</v>
      </c>
      <c r="BE287" s="104">
        <f>IF(N287="základní",J287,0)</f>
        <v>10000</v>
      </c>
      <c r="BF287" s="104">
        <f>IF(N287="snížená",J287,0)</f>
        <v>0</v>
      </c>
      <c r="BG287" s="104">
        <f>IF(N287="zákl. přenesená",J287,0)</f>
        <v>0</v>
      </c>
      <c r="BH287" s="104">
        <f>IF(N287="sníž. přenesená",J287,0)</f>
        <v>0</v>
      </c>
      <c r="BI287" s="104">
        <f>IF(N287="nulová",J287,0)</f>
        <v>0</v>
      </c>
      <c r="BJ287" s="23" t="s">
        <v>85</v>
      </c>
      <c r="BK287" s="104">
        <f>ROUND(I287*H287,2)</f>
        <v>10000</v>
      </c>
      <c r="BL287" s="23" t="s">
        <v>218</v>
      </c>
      <c r="BM287" s="101" t="s">
        <v>1776</v>
      </c>
    </row>
    <row r="288" spans="2:65" s="31" customFormat="1" ht="23.1" customHeight="1">
      <c r="B288" s="67"/>
      <c r="D288" s="68" t="s">
        <v>76</v>
      </c>
      <c r="E288" s="70" t="s">
        <v>4472</v>
      </c>
      <c r="F288" s="70" t="s">
        <v>4473</v>
      </c>
      <c r="I288" s="85"/>
      <c r="J288" s="89">
        <f>BK288</f>
        <v>629700</v>
      </c>
      <c r="L288" s="67"/>
      <c r="M288" s="87"/>
      <c r="P288" s="88">
        <f>SUM(P289:P302)</f>
        <v>0</v>
      </c>
      <c r="R288" s="88">
        <f>SUM(R289:R302)</f>
        <v>0</v>
      </c>
      <c r="T288" s="98">
        <f>SUM(T289:T302)</f>
        <v>0</v>
      </c>
      <c r="AR288" s="68" t="s">
        <v>85</v>
      </c>
      <c r="AT288" s="100" t="s">
        <v>76</v>
      </c>
      <c r="AU288" s="100" t="s">
        <v>85</v>
      </c>
      <c r="AY288" s="68" t="s">
        <v>211</v>
      </c>
      <c r="BK288" s="103">
        <f>SUM(BK289:BK302)</f>
        <v>629700</v>
      </c>
    </row>
    <row r="289" spans="2:65" s="1" customFormat="1" ht="24.15" customHeight="1">
      <c r="B289" s="12"/>
      <c r="C289" s="114" t="s">
        <v>1187</v>
      </c>
      <c r="D289" s="114" t="s">
        <v>438</v>
      </c>
      <c r="E289" s="115" t="s">
        <v>4474</v>
      </c>
      <c r="F289" s="116" t="s">
        <v>4475</v>
      </c>
      <c r="G289" s="117" t="s">
        <v>808</v>
      </c>
      <c r="H289" s="118">
        <v>11</v>
      </c>
      <c r="I289" s="122">
        <v>12300</v>
      </c>
      <c r="J289" s="123">
        <f t="shared" ref="J289:J302" si="60">ROUND(I289*H289,2)</f>
        <v>135300</v>
      </c>
      <c r="K289" s="124"/>
      <c r="L289" s="125"/>
      <c r="M289" s="126" t="s">
        <v>1</v>
      </c>
      <c r="N289" s="127" t="s">
        <v>42</v>
      </c>
      <c r="P289" s="95">
        <f t="shared" ref="P289:P302" si="61">O289*H289</f>
        <v>0</v>
      </c>
      <c r="Q289" s="95">
        <v>0</v>
      </c>
      <c r="R289" s="95">
        <f t="shared" ref="R289:R302" si="62">Q289*H289</f>
        <v>0</v>
      </c>
      <c r="S289" s="95">
        <v>0</v>
      </c>
      <c r="T289" s="99">
        <f t="shared" ref="T289:T302" si="63">S289*H289</f>
        <v>0</v>
      </c>
      <c r="AR289" s="101" t="s">
        <v>250</v>
      </c>
      <c r="AT289" s="101" t="s">
        <v>438</v>
      </c>
      <c r="AU289" s="101" t="s">
        <v>87</v>
      </c>
      <c r="AY289" s="23" t="s">
        <v>211</v>
      </c>
      <c r="BE289" s="104">
        <f t="shared" ref="BE289:BE302" si="64">IF(N289="základní",J289,0)</f>
        <v>135300</v>
      </c>
      <c r="BF289" s="104">
        <f t="shared" ref="BF289:BF302" si="65">IF(N289="snížená",J289,0)</f>
        <v>0</v>
      </c>
      <c r="BG289" s="104">
        <f t="shared" ref="BG289:BG302" si="66">IF(N289="zákl. přenesená",J289,0)</f>
        <v>0</v>
      </c>
      <c r="BH289" s="104">
        <f t="shared" ref="BH289:BH302" si="67">IF(N289="sníž. přenesená",J289,0)</f>
        <v>0</v>
      </c>
      <c r="BI289" s="104">
        <f t="shared" ref="BI289:BI302" si="68">IF(N289="nulová",J289,0)</f>
        <v>0</v>
      </c>
      <c r="BJ289" s="23" t="s">
        <v>85</v>
      </c>
      <c r="BK289" s="104">
        <f t="shared" ref="BK289:BK302" si="69">ROUND(I289*H289,2)</f>
        <v>135300</v>
      </c>
      <c r="BL289" s="23" t="s">
        <v>218</v>
      </c>
      <c r="BM289" s="101" t="s">
        <v>1784</v>
      </c>
    </row>
    <row r="290" spans="2:65" s="1" customFormat="1" ht="16.5" customHeight="1">
      <c r="B290" s="12"/>
      <c r="C290" s="71" t="s">
        <v>1191</v>
      </c>
      <c r="D290" s="71" t="s">
        <v>214</v>
      </c>
      <c r="E290" s="72" t="s">
        <v>4476</v>
      </c>
      <c r="F290" s="73" t="s">
        <v>4477</v>
      </c>
      <c r="G290" s="74" t="s">
        <v>808</v>
      </c>
      <c r="H290" s="75">
        <v>11</v>
      </c>
      <c r="I290" s="90">
        <v>3000</v>
      </c>
      <c r="J290" s="91">
        <f t="shared" si="60"/>
        <v>33000</v>
      </c>
      <c r="K290" s="92"/>
      <c r="L290" s="12"/>
      <c r="M290" s="93" t="s">
        <v>1</v>
      </c>
      <c r="N290" s="94" t="s">
        <v>42</v>
      </c>
      <c r="P290" s="95">
        <f t="shared" si="61"/>
        <v>0</v>
      </c>
      <c r="Q290" s="95">
        <v>0</v>
      </c>
      <c r="R290" s="95">
        <f t="shared" si="62"/>
        <v>0</v>
      </c>
      <c r="S290" s="95">
        <v>0</v>
      </c>
      <c r="T290" s="99">
        <f t="shared" si="63"/>
        <v>0</v>
      </c>
      <c r="AR290" s="101" t="s">
        <v>218</v>
      </c>
      <c r="AT290" s="101" t="s">
        <v>214</v>
      </c>
      <c r="AU290" s="101" t="s">
        <v>87</v>
      </c>
      <c r="AY290" s="23" t="s">
        <v>211</v>
      </c>
      <c r="BE290" s="104">
        <f t="shared" si="64"/>
        <v>33000</v>
      </c>
      <c r="BF290" s="104">
        <f t="shared" si="65"/>
        <v>0</v>
      </c>
      <c r="BG290" s="104">
        <f t="shared" si="66"/>
        <v>0</v>
      </c>
      <c r="BH290" s="104">
        <f t="shared" si="67"/>
        <v>0</v>
      </c>
      <c r="BI290" s="104">
        <f t="shared" si="68"/>
        <v>0</v>
      </c>
      <c r="BJ290" s="23" t="s">
        <v>85</v>
      </c>
      <c r="BK290" s="104">
        <f t="shared" si="69"/>
        <v>33000</v>
      </c>
      <c r="BL290" s="23" t="s">
        <v>218</v>
      </c>
      <c r="BM290" s="101" t="s">
        <v>1792</v>
      </c>
    </row>
    <row r="291" spans="2:65" s="1" customFormat="1" ht="24.15" customHeight="1">
      <c r="B291" s="12"/>
      <c r="C291" s="114" t="s">
        <v>1195</v>
      </c>
      <c r="D291" s="114" t="s">
        <v>438</v>
      </c>
      <c r="E291" s="115" t="s">
        <v>4478</v>
      </c>
      <c r="F291" s="116" t="s">
        <v>4479</v>
      </c>
      <c r="G291" s="117" t="s">
        <v>808</v>
      </c>
      <c r="H291" s="118">
        <v>16</v>
      </c>
      <c r="I291" s="122">
        <v>11900</v>
      </c>
      <c r="J291" s="123">
        <f t="shared" si="60"/>
        <v>190400</v>
      </c>
      <c r="K291" s="124"/>
      <c r="L291" s="125"/>
      <c r="M291" s="126" t="s">
        <v>1</v>
      </c>
      <c r="N291" s="127" t="s">
        <v>42</v>
      </c>
      <c r="P291" s="95">
        <f t="shared" si="61"/>
        <v>0</v>
      </c>
      <c r="Q291" s="95">
        <v>0</v>
      </c>
      <c r="R291" s="95">
        <f t="shared" si="62"/>
        <v>0</v>
      </c>
      <c r="S291" s="95">
        <v>0</v>
      </c>
      <c r="T291" s="99">
        <f t="shared" si="63"/>
        <v>0</v>
      </c>
      <c r="AR291" s="101" t="s">
        <v>250</v>
      </c>
      <c r="AT291" s="101" t="s">
        <v>438</v>
      </c>
      <c r="AU291" s="101" t="s">
        <v>87</v>
      </c>
      <c r="AY291" s="23" t="s">
        <v>211</v>
      </c>
      <c r="BE291" s="104">
        <f t="shared" si="64"/>
        <v>190400</v>
      </c>
      <c r="BF291" s="104">
        <f t="shared" si="65"/>
        <v>0</v>
      </c>
      <c r="BG291" s="104">
        <f t="shared" si="66"/>
        <v>0</v>
      </c>
      <c r="BH291" s="104">
        <f t="shared" si="67"/>
        <v>0</v>
      </c>
      <c r="BI291" s="104">
        <f t="shared" si="68"/>
        <v>0</v>
      </c>
      <c r="BJ291" s="23" t="s">
        <v>85</v>
      </c>
      <c r="BK291" s="104">
        <f t="shared" si="69"/>
        <v>190400</v>
      </c>
      <c r="BL291" s="23" t="s">
        <v>218</v>
      </c>
      <c r="BM291" s="101" t="s">
        <v>1800</v>
      </c>
    </row>
    <row r="292" spans="2:65" s="1" customFormat="1" ht="16.5" customHeight="1">
      <c r="B292" s="12"/>
      <c r="C292" s="71" t="s">
        <v>1206</v>
      </c>
      <c r="D292" s="71" t="s">
        <v>214</v>
      </c>
      <c r="E292" s="72" t="s">
        <v>4480</v>
      </c>
      <c r="F292" s="73" t="s">
        <v>4481</v>
      </c>
      <c r="G292" s="74" t="s">
        <v>808</v>
      </c>
      <c r="H292" s="75">
        <v>16</v>
      </c>
      <c r="I292" s="90">
        <v>3000</v>
      </c>
      <c r="J292" s="91">
        <f t="shared" si="60"/>
        <v>48000</v>
      </c>
      <c r="K292" s="92"/>
      <c r="L292" s="12"/>
      <c r="M292" s="93" t="s">
        <v>1</v>
      </c>
      <c r="N292" s="94" t="s">
        <v>42</v>
      </c>
      <c r="P292" s="95">
        <f t="shared" si="61"/>
        <v>0</v>
      </c>
      <c r="Q292" s="95">
        <v>0</v>
      </c>
      <c r="R292" s="95">
        <f t="shared" si="62"/>
        <v>0</v>
      </c>
      <c r="S292" s="95">
        <v>0</v>
      </c>
      <c r="T292" s="99">
        <f t="shared" si="63"/>
        <v>0</v>
      </c>
      <c r="AR292" s="101" t="s">
        <v>218</v>
      </c>
      <c r="AT292" s="101" t="s">
        <v>214</v>
      </c>
      <c r="AU292" s="101" t="s">
        <v>87</v>
      </c>
      <c r="AY292" s="23" t="s">
        <v>211</v>
      </c>
      <c r="BE292" s="104">
        <f t="shared" si="64"/>
        <v>48000</v>
      </c>
      <c r="BF292" s="104">
        <f t="shared" si="65"/>
        <v>0</v>
      </c>
      <c r="BG292" s="104">
        <f t="shared" si="66"/>
        <v>0</v>
      </c>
      <c r="BH292" s="104">
        <f t="shared" si="67"/>
        <v>0</v>
      </c>
      <c r="BI292" s="104">
        <f t="shared" si="68"/>
        <v>0</v>
      </c>
      <c r="BJ292" s="23" t="s">
        <v>85</v>
      </c>
      <c r="BK292" s="104">
        <f t="shared" si="69"/>
        <v>48000</v>
      </c>
      <c r="BL292" s="23" t="s">
        <v>218</v>
      </c>
      <c r="BM292" s="101" t="s">
        <v>1808</v>
      </c>
    </row>
    <row r="293" spans="2:65" s="1" customFormat="1" ht="24.15" customHeight="1">
      <c r="B293" s="12"/>
      <c r="C293" s="114" t="s">
        <v>1211</v>
      </c>
      <c r="D293" s="114" t="s">
        <v>438</v>
      </c>
      <c r="E293" s="115" t="s">
        <v>4552</v>
      </c>
      <c r="F293" s="116" t="s">
        <v>4495</v>
      </c>
      <c r="G293" s="117" t="s">
        <v>808</v>
      </c>
      <c r="H293" s="118">
        <v>5</v>
      </c>
      <c r="I293" s="122">
        <v>16000</v>
      </c>
      <c r="J293" s="123">
        <f t="shared" si="60"/>
        <v>80000</v>
      </c>
      <c r="K293" s="124"/>
      <c r="L293" s="125"/>
      <c r="M293" s="126" t="s">
        <v>1</v>
      </c>
      <c r="N293" s="127" t="s">
        <v>42</v>
      </c>
      <c r="P293" s="95">
        <f t="shared" si="61"/>
        <v>0</v>
      </c>
      <c r="Q293" s="95">
        <v>0</v>
      </c>
      <c r="R293" s="95">
        <f t="shared" si="62"/>
        <v>0</v>
      </c>
      <c r="S293" s="95">
        <v>0</v>
      </c>
      <c r="T293" s="99">
        <f t="shared" si="63"/>
        <v>0</v>
      </c>
      <c r="AR293" s="101" t="s">
        <v>250</v>
      </c>
      <c r="AT293" s="101" t="s">
        <v>438</v>
      </c>
      <c r="AU293" s="101" t="s">
        <v>87</v>
      </c>
      <c r="AY293" s="23" t="s">
        <v>211</v>
      </c>
      <c r="BE293" s="104">
        <f t="shared" si="64"/>
        <v>80000</v>
      </c>
      <c r="BF293" s="104">
        <f t="shared" si="65"/>
        <v>0</v>
      </c>
      <c r="BG293" s="104">
        <f t="shared" si="66"/>
        <v>0</v>
      </c>
      <c r="BH293" s="104">
        <f t="shared" si="67"/>
        <v>0</v>
      </c>
      <c r="BI293" s="104">
        <f t="shared" si="68"/>
        <v>0</v>
      </c>
      <c r="BJ293" s="23" t="s">
        <v>85</v>
      </c>
      <c r="BK293" s="104">
        <f t="shared" si="69"/>
        <v>80000</v>
      </c>
      <c r="BL293" s="23" t="s">
        <v>218</v>
      </c>
      <c r="BM293" s="101" t="s">
        <v>1816</v>
      </c>
    </row>
    <row r="294" spans="2:65" s="1" customFormat="1" ht="16.5" customHeight="1">
      <c r="B294" s="12"/>
      <c r="C294" s="71" t="s">
        <v>1220</v>
      </c>
      <c r="D294" s="71" t="s">
        <v>214</v>
      </c>
      <c r="E294" s="72" t="s">
        <v>4484</v>
      </c>
      <c r="F294" s="73" t="s">
        <v>4485</v>
      </c>
      <c r="G294" s="74" t="s">
        <v>808</v>
      </c>
      <c r="H294" s="75">
        <v>5</v>
      </c>
      <c r="I294" s="90">
        <v>3000</v>
      </c>
      <c r="J294" s="91">
        <f t="shared" si="60"/>
        <v>15000</v>
      </c>
      <c r="K294" s="92"/>
      <c r="L294" s="12"/>
      <c r="M294" s="93" t="s">
        <v>1</v>
      </c>
      <c r="N294" s="94" t="s">
        <v>42</v>
      </c>
      <c r="P294" s="95">
        <f t="shared" si="61"/>
        <v>0</v>
      </c>
      <c r="Q294" s="95">
        <v>0</v>
      </c>
      <c r="R294" s="95">
        <f t="shared" si="62"/>
        <v>0</v>
      </c>
      <c r="S294" s="95">
        <v>0</v>
      </c>
      <c r="T294" s="99">
        <f t="shared" si="63"/>
        <v>0</v>
      </c>
      <c r="AR294" s="101" t="s">
        <v>218</v>
      </c>
      <c r="AT294" s="101" t="s">
        <v>214</v>
      </c>
      <c r="AU294" s="101" t="s">
        <v>87</v>
      </c>
      <c r="AY294" s="23" t="s">
        <v>211</v>
      </c>
      <c r="BE294" s="104">
        <f t="shared" si="64"/>
        <v>15000</v>
      </c>
      <c r="BF294" s="104">
        <f t="shared" si="65"/>
        <v>0</v>
      </c>
      <c r="BG294" s="104">
        <f t="shared" si="66"/>
        <v>0</v>
      </c>
      <c r="BH294" s="104">
        <f t="shared" si="67"/>
        <v>0</v>
      </c>
      <c r="BI294" s="104">
        <f t="shared" si="68"/>
        <v>0</v>
      </c>
      <c r="BJ294" s="23" t="s">
        <v>85</v>
      </c>
      <c r="BK294" s="104">
        <f t="shared" si="69"/>
        <v>15000</v>
      </c>
      <c r="BL294" s="23" t="s">
        <v>218</v>
      </c>
      <c r="BM294" s="101" t="s">
        <v>1824</v>
      </c>
    </row>
    <row r="295" spans="2:65" s="1" customFormat="1" ht="24.15" customHeight="1">
      <c r="B295" s="12"/>
      <c r="C295" s="114" t="s">
        <v>1224</v>
      </c>
      <c r="D295" s="114" t="s">
        <v>438</v>
      </c>
      <c r="E295" s="115" t="s">
        <v>4553</v>
      </c>
      <c r="F295" s="116" t="s">
        <v>4499</v>
      </c>
      <c r="G295" s="117" t="s">
        <v>808</v>
      </c>
      <c r="H295" s="118">
        <v>6</v>
      </c>
      <c r="I295" s="122">
        <v>14000</v>
      </c>
      <c r="J295" s="123">
        <f t="shared" si="60"/>
        <v>84000</v>
      </c>
      <c r="K295" s="124"/>
      <c r="L295" s="125"/>
      <c r="M295" s="126" t="s">
        <v>1</v>
      </c>
      <c r="N295" s="127" t="s">
        <v>42</v>
      </c>
      <c r="P295" s="95">
        <f t="shared" si="61"/>
        <v>0</v>
      </c>
      <c r="Q295" s="95">
        <v>0</v>
      </c>
      <c r="R295" s="95">
        <f t="shared" si="62"/>
        <v>0</v>
      </c>
      <c r="S295" s="95">
        <v>0</v>
      </c>
      <c r="T295" s="99">
        <f t="shared" si="63"/>
        <v>0</v>
      </c>
      <c r="AR295" s="101" t="s">
        <v>250</v>
      </c>
      <c r="AT295" s="101" t="s">
        <v>438</v>
      </c>
      <c r="AU295" s="101" t="s">
        <v>87</v>
      </c>
      <c r="AY295" s="23" t="s">
        <v>211</v>
      </c>
      <c r="BE295" s="104">
        <f t="shared" si="64"/>
        <v>84000</v>
      </c>
      <c r="BF295" s="104">
        <f t="shared" si="65"/>
        <v>0</v>
      </c>
      <c r="BG295" s="104">
        <f t="shared" si="66"/>
        <v>0</v>
      </c>
      <c r="BH295" s="104">
        <f t="shared" si="67"/>
        <v>0</v>
      </c>
      <c r="BI295" s="104">
        <f t="shared" si="68"/>
        <v>0</v>
      </c>
      <c r="BJ295" s="23" t="s">
        <v>85</v>
      </c>
      <c r="BK295" s="104">
        <f t="shared" si="69"/>
        <v>84000</v>
      </c>
      <c r="BL295" s="23" t="s">
        <v>218</v>
      </c>
      <c r="BM295" s="101" t="s">
        <v>1832</v>
      </c>
    </row>
    <row r="296" spans="2:65" s="1" customFormat="1" ht="16.5" customHeight="1">
      <c r="B296" s="12"/>
      <c r="C296" s="71" t="s">
        <v>1230</v>
      </c>
      <c r="D296" s="71" t="s">
        <v>214</v>
      </c>
      <c r="E296" s="72" t="s">
        <v>4488</v>
      </c>
      <c r="F296" s="73" t="s">
        <v>4489</v>
      </c>
      <c r="G296" s="74" t="s">
        <v>808</v>
      </c>
      <c r="H296" s="75">
        <v>6</v>
      </c>
      <c r="I296" s="90">
        <v>3000</v>
      </c>
      <c r="J296" s="91">
        <f t="shared" si="60"/>
        <v>18000</v>
      </c>
      <c r="K296" s="92"/>
      <c r="L296" s="12"/>
      <c r="M296" s="93" t="s">
        <v>1</v>
      </c>
      <c r="N296" s="94" t="s">
        <v>42</v>
      </c>
      <c r="P296" s="95">
        <f t="shared" si="61"/>
        <v>0</v>
      </c>
      <c r="Q296" s="95">
        <v>0</v>
      </c>
      <c r="R296" s="95">
        <f t="shared" si="62"/>
        <v>0</v>
      </c>
      <c r="S296" s="95">
        <v>0</v>
      </c>
      <c r="T296" s="99">
        <f t="shared" si="63"/>
        <v>0</v>
      </c>
      <c r="AR296" s="101" t="s">
        <v>218</v>
      </c>
      <c r="AT296" s="101" t="s">
        <v>214</v>
      </c>
      <c r="AU296" s="101" t="s">
        <v>87</v>
      </c>
      <c r="AY296" s="23" t="s">
        <v>211</v>
      </c>
      <c r="BE296" s="104">
        <f t="shared" si="64"/>
        <v>18000</v>
      </c>
      <c r="BF296" s="104">
        <f t="shared" si="65"/>
        <v>0</v>
      </c>
      <c r="BG296" s="104">
        <f t="shared" si="66"/>
        <v>0</v>
      </c>
      <c r="BH296" s="104">
        <f t="shared" si="67"/>
        <v>0</v>
      </c>
      <c r="BI296" s="104">
        <f t="shared" si="68"/>
        <v>0</v>
      </c>
      <c r="BJ296" s="23" t="s">
        <v>85</v>
      </c>
      <c r="BK296" s="104">
        <f t="shared" si="69"/>
        <v>18000</v>
      </c>
      <c r="BL296" s="23" t="s">
        <v>218</v>
      </c>
      <c r="BM296" s="101" t="s">
        <v>1840</v>
      </c>
    </row>
    <row r="297" spans="2:65" s="1" customFormat="1" ht="24.15" customHeight="1">
      <c r="B297" s="12"/>
      <c r="C297" s="114" t="s">
        <v>1239</v>
      </c>
      <c r="D297" s="114" t="s">
        <v>438</v>
      </c>
      <c r="E297" s="115" t="s">
        <v>4554</v>
      </c>
      <c r="F297" s="116" t="s">
        <v>4503</v>
      </c>
      <c r="G297" s="117" t="s">
        <v>808</v>
      </c>
      <c r="H297" s="118">
        <v>6</v>
      </c>
      <c r="I297" s="122">
        <v>2000</v>
      </c>
      <c r="J297" s="123">
        <f t="shared" si="60"/>
        <v>12000</v>
      </c>
      <c r="K297" s="124"/>
      <c r="L297" s="125"/>
      <c r="M297" s="126" t="s">
        <v>1</v>
      </c>
      <c r="N297" s="127" t="s">
        <v>42</v>
      </c>
      <c r="P297" s="95">
        <f t="shared" si="61"/>
        <v>0</v>
      </c>
      <c r="Q297" s="95">
        <v>0</v>
      </c>
      <c r="R297" s="95">
        <f t="shared" si="62"/>
        <v>0</v>
      </c>
      <c r="S297" s="95">
        <v>0</v>
      </c>
      <c r="T297" s="99">
        <f t="shared" si="63"/>
        <v>0</v>
      </c>
      <c r="AR297" s="101" t="s">
        <v>250</v>
      </c>
      <c r="AT297" s="101" t="s">
        <v>438</v>
      </c>
      <c r="AU297" s="101" t="s">
        <v>87</v>
      </c>
      <c r="AY297" s="23" t="s">
        <v>211</v>
      </c>
      <c r="BE297" s="104">
        <f t="shared" si="64"/>
        <v>12000</v>
      </c>
      <c r="BF297" s="104">
        <f t="shared" si="65"/>
        <v>0</v>
      </c>
      <c r="BG297" s="104">
        <f t="shared" si="66"/>
        <v>0</v>
      </c>
      <c r="BH297" s="104">
        <f t="shared" si="67"/>
        <v>0</v>
      </c>
      <c r="BI297" s="104">
        <f t="shared" si="68"/>
        <v>0</v>
      </c>
      <c r="BJ297" s="23" t="s">
        <v>85</v>
      </c>
      <c r="BK297" s="104">
        <f t="shared" si="69"/>
        <v>12000</v>
      </c>
      <c r="BL297" s="23" t="s">
        <v>218</v>
      </c>
      <c r="BM297" s="101" t="s">
        <v>1848</v>
      </c>
    </row>
    <row r="298" spans="2:65" s="1" customFormat="1" ht="16.5" customHeight="1">
      <c r="B298" s="12"/>
      <c r="C298" s="71" t="s">
        <v>1245</v>
      </c>
      <c r="D298" s="71" t="s">
        <v>214</v>
      </c>
      <c r="E298" s="72" t="s">
        <v>4492</v>
      </c>
      <c r="F298" s="73" t="s">
        <v>4493</v>
      </c>
      <c r="G298" s="74" t="s">
        <v>808</v>
      </c>
      <c r="H298" s="75">
        <v>6</v>
      </c>
      <c r="I298" s="90">
        <v>400</v>
      </c>
      <c r="J298" s="91">
        <f t="shared" si="60"/>
        <v>2400</v>
      </c>
      <c r="K298" s="92"/>
      <c r="L298" s="12"/>
      <c r="M298" s="93" t="s">
        <v>1</v>
      </c>
      <c r="N298" s="94" t="s">
        <v>42</v>
      </c>
      <c r="P298" s="95">
        <f t="shared" si="61"/>
        <v>0</v>
      </c>
      <c r="Q298" s="95">
        <v>0</v>
      </c>
      <c r="R298" s="95">
        <f t="shared" si="62"/>
        <v>0</v>
      </c>
      <c r="S298" s="95">
        <v>0</v>
      </c>
      <c r="T298" s="99">
        <f t="shared" si="63"/>
        <v>0</v>
      </c>
      <c r="AR298" s="101" t="s">
        <v>218</v>
      </c>
      <c r="AT298" s="101" t="s">
        <v>214</v>
      </c>
      <c r="AU298" s="101" t="s">
        <v>87</v>
      </c>
      <c r="AY298" s="23" t="s">
        <v>211</v>
      </c>
      <c r="BE298" s="104">
        <f t="shared" si="64"/>
        <v>2400</v>
      </c>
      <c r="BF298" s="104">
        <f t="shared" si="65"/>
        <v>0</v>
      </c>
      <c r="BG298" s="104">
        <f t="shared" si="66"/>
        <v>0</v>
      </c>
      <c r="BH298" s="104">
        <f t="shared" si="67"/>
        <v>0</v>
      </c>
      <c r="BI298" s="104">
        <f t="shared" si="68"/>
        <v>0</v>
      </c>
      <c r="BJ298" s="23" t="s">
        <v>85</v>
      </c>
      <c r="BK298" s="104">
        <f t="shared" si="69"/>
        <v>2400</v>
      </c>
      <c r="BL298" s="23" t="s">
        <v>218</v>
      </c>
      <c r="BM298" s="101" t="s">
        <v>1856</v>
      </c>
    </row>
    <row r="299" spans="2:65" s="1" customFormat="1" ht="24.15" customHeight="1">
      <c r="B299" s="12"/>
      <c r="C299" s="114" t="s">
        <v>1260</v>
      </c>
      <c r="D299" s="114" t="s">
        <v>438</v>
      </c>
      <c r="E299" s="115" t="s">
        <v>4555</v>
      </c>
      <c r="F299" s="116" t="s">
        <v>4507</v>
      </c>
      <c r="G299" s="117" t="s">
        <v>808</v>
      </c>
      <c r="H299" s="118">
        <v>2</v>
      </c>
      <c r="I299" s="122">
        <v>2500</v>
      </c>
      <c r="J299" s="123">
        <f t="shared" si="60"/>
        <v>5000</v>
      </c>
      <c r="K299" s="124"/>
      <c r="L299" s="125"/>
      <c r="M299" s="126" t="s">
        <v>1</v>
      </c>
      <c r="N299" s="127" t="s">
        <v>42</v>
      </c>
      <c r="P299" s="95">
        <f t="shared" si="61"/>
        <v>0</v>
      </c>
      <c r="Q299" s="95">
        <v>0</v>
      </c>
      <c r="R299" s="95">
        <f t="shared" si="62"/>
        <v>0</v>
      </c>
      <c r="S299" s="95">
        <v>0</v>
      </c>
      <c r="T299" s="99">
        <f t="shared" si="63"/>
        <v>0</v>
      </c>
      <c r="AR299" s="101" t="s">
        <v>250</v>
      </c>
      <c r="AT299" s="101" t="s">
        <v>438</v>
      </c>
      <c r="AU299" s="101" t="s">
        <v>87</v>
      </c>
      <c r="AY299" s="23" t="s">
        <v>211</v>
      </c>
      <c r="BE299" s="104">
        <f t="shared" si="64"/>
        <v>5000</v>
      </c>
      <c r="BF299" s="104">
        <f t="shared" si="65"/>
        <v>0</v>
      </c>
      <c r="BG299" s="104">
        <f t="shared" si="66"/>
        <v>0</v>
      </c>
      <c r="BH299" s="104">
        <f t="shared" si="67"/>
        <v>0</v>
      </c>
      <c r="BI299" s="104">
        <f t="shared" si="68"/>
        <v>0</v>
      </c>
      <c r="BJ299" s="23" t="s">
        <v>85</v>
      </c>
      <c r="BK299" s="104">
        <f t="shared" si="69"/>
        <v>5000</v>
      </c>
      <c r="BL299" s="23" t="s">
        <v>218</v>
      </c>
      <c r="BM299" s="101" t="s">
        <v>1864</v>
      </c>
    </row>
    <row r="300" spans="2:65" s="1" customFormat="1" ht="16.5" customHeight="1">
      <c r="B300" s="12"/>
      <c r="C300" s="71" t="s">
        <v>1265</v>
      </c>
      <c r="D300" s="71" t="s">
        <v>214</v>
      </c>
      <c r="E300" s="72" t="s">
        <v>4496</v>
      </c>
      <c r="F300" s="73" t="s">
        <v>4497</v>
      </c>
      <c r="G300" s="74" t="s">
        <v>808</v>
      </c>
      <c r="H300" s="75">
        <v>2</v>
      </c>
      <c r="I300" s="90">
        <v>400</v>
      </c>
      <c r="J300" s="91">
        <f t="shared" si="60"/>
        <v>800</v>
      </c>
      <c r="K300" s="92"/>
      <c r="L300" s="12"/>
      <c r="M300" s="93" t="s">
        <v>1</v>
      </c>
      <c r="N300" s="94" t="s">
        <v>42</v>
      </c>
      <c r="P300" s="95">
        <f t="shared" si="61"/>
        <v>0</v>
      </c>
      <c r="Q300" s="95">
        <v>0</v>
      </c>
      <c r="R300" s="95">
        <f t="shared" si="62"/>
        <v>0</v>
      </c>
      <c r="S300" s="95">
        <v>0</v>
      </c>
      <c r="T300" s="99">
        <f t="shared" si="63"/>
        <v>0</v>
      </c>
      <c r="AR300" s="101" t="s">
        <v>218</v>
      </c>
      <c r="AT300" s="101" t="s">
        <v>214</v>
      </c>
      <c r="AU300" s="101" t="s">
        <v>87</v>
      </c>
      <c r="AY300" s="23" t="s">
        <v>211</v>
      </c>
      <c r="BE300" s="104">
        <f t="shared" si="64"/>
        <v>800</v>
      </c>
      <c r="BF300" s="104">
        <f t="shared" si="65"/>
        <v>0</v>
      </c>
      <c r="BG300" s="104">
        <f t="shared" si="66"/>
        <v>0</v>
      </c>
      <c r="BH300" s="104">
        <f t="shared" si="67"/>
        <v>0</v>
      </c>
      <c r="BI300" s="104">
        <f t="shared" si="68"/>
        <v>0</v>
      </c>
      <c r="BJ300" s="23" t="s">
        <v>85</v>
      </c>
      <c r="BK300" s="104">
        <f t="shared" si="69"/>
        <v>800</v>
      </c>
      <c r="BL300" s="23" t="s">
        <v>218</v>
      </c>
      <c r="BM300" s="101" t="s">
        <v>1872</v>
      </c>
    </row>
    <row r="301" spans="2:65" s="1" customFormat="1" ht="24.15" customHeight="1">
      <c r="B301" s="12"/>
      <c r="C301" s="114" t="s">
        <v>1269</v>
      </c>
      <c r="D301" s="114" t="s">
        <v>438</v>
      </c>
      <c r="E301" s="115" t="s">
        <v>4556</v>
      </c>
      <c r="F301" s="116" t="s">
        <v>4511</v>
      </c>
      <c r="G301" s="117" t="s">
        <v>808</v>
      </c>
      <c r="H301" s="118">
        <v>2</v>
      </c>
      <c r="I301" s="122">
        <v>2500</v>
      </c>
      <c r="J301" s="123">
        <f t="shared" si="60"/>
        <v>5000</v>
      </c>
      <c r="K301" s="124"/>
      <c r="L301" s="125"/>
      <c r="M301" s="126" t="s">
        <v>1</v>
      </c>
      <c r="N301" s="127" t="s">
        <v>42</v>
      </c>
      <c r="P301" s="95">
        <f t="shared" si="61"/>
        <v>0</v>
      </c>
      <c r="Q301" s="95">
        <v>0</v>
      </c>
      <c r="R301" s="95">
        <f t="shared" si="62"/>
        <v>0</v>
      </c>
      <c r="S301" s="95">
        <v>0</v>
      </c>
      <c r="T301" s="99">
        <f t="shared" si="63"/>
        <v>0</v>
      </c>
      <c r="AR301" s="101" t="s">
        <v>250</v>
      </c>
      <c r="AT301" s="101" t="s">
        <v>438</v>
      </c>
      <c r="AU301" s="101" t="s">
        <v>87</v>
      </c>
      <c r="AY301" s="23" t="s">
        <v>211</v>
      </c>
      <c r="BE301" s="104">
        <f t="shared" si="64"/>
        <v>5000</v>
      </c>
      <c r="BF301" s="104">
        <f t="shared" si="65"/>
        <v>0</v>
      </c>
      <c r="BG301" s="104">
        <f t="shared" si="66"/>
        <v>0</v>
      </c>
      <c r="BH301" s="104">
        <f t="shared" si="67"/>
        <v>0</v>
      </c>
      <c r="BI301" s="104">
        <f t="shared" si="68"/>
        <v>0</v>
      </c>
      <c r="BJ301" s="23" t="s">
        <v>85</v>
      </c>
      <c r="BK301" s="104">
        <f t="shared" si="69"/>
        <v>5000</v>
      </c>
      <c r="BL301" s="23" t="s">
        <v>218</v>
      </c>
      <c r="BM301" s="101" t="s">
        <v>1880</v>
      </c>
    </row>
    <row r="302" spans="2:65" s="1" customFormat="1" ht="16.5" customHeight="1">
      <c r="B302" s="12"/>
      <c r="C302" s="71" t="s">
        <v>1273</v>
      </c>
      <c r="D302" s="71" t="s">
        <v>214</v>
      </c>
      <c r="E302" s="72" t="s">
        <v>4500</v>
      </c>
      <c r="F302" s="73" t="s">
        <v>4501</v>
      </c>
      <c r="G302" s="74" t="s">
        <v>808</v>
      </c>
      <c r="H302" s="75">
        <v>2</v>
      </c>
      <c r="I302" s="90">
        <v>400</v>
      </c>
      <c r="J302" s="91">
        <f t="shared" si="60"/>
        <v>800</v>
      </c>
      <c r="K302" s="92"/>
      <c r="L302" s="12"/>
      <c r="M302" s="93" t="s">
        <v>1</v>
      </c>
      <c r="N302" s="94" t="s">
        <v>42</v>
      </c>
      <c r="P302" s="95">
        <f t="shared" si="61"/>
        <v>0</v>
      </c>
      <c r="Q302" s="95">
        <v>0</v>
      </c>
      <c r="R302" s="95">
        <f t="shared" si="62"/>
        <v>0</v>
      </c>
      <c r="S302" s="95">
        <v>0</v>
      </c>
      <c r="T302" s="99">
        <f t="shared" si="63"/>
        <v>0</v>
      </c>
      <c r="AR302" s="101" t="s">
        <v>218</v>
      </c>
      <c r="AT302" s="101" t="s">
        <v>214</v>
      </c>
      <c r="AU302" s="101" t="s">
        <v>87</v>
      </c>
      <c r="AY302" s="23" t="s">
        <v>211</v>
      </c>
      <c r="BE302" s="104">
        <f t="shared" si="64"/>
        <v>800</v>
      </c>
      <c r="BF302" s="104">
        <f t="shared" si="65"/>
        <v>0</v>
      </c>
      <c r="BG302" s="104">
        <f t="shared" si="66"/>
        <v>0</v>
      </c>
      <c r="BH302" s="104">
        <f t="shared" si="67"/>
        <v>0</v>
      </c>
      <c r="BI302" s="104">
        <f t="shared" si="68"/>
        <v>0</v>
      </c>
      <c r="BJ302" s="23" t="s">
        <v>85</v>
      </c>
      <c r="BK302" s="104">
        <f t="shared" si="69"/>
        <v>800</v>
      </c>
      <c r="BL302" s="23" t="s">
        <v>218</v>
      </c>
      <c r="BM302" s="101" t="s">
        <v>1888</v>
      </c>
    </row>
    <row r="303" spans="2:65" s="31" customFormat="1" ht="23.1" customHeight="1">
      <c r="B303" s="67"/>
      <c r="D303" s="68" t="s">
        <v>76</v>
      </c>
      <c r="E303" s="70" t="s">
        <v>3832</v>
      </c>
      <c r="F303" s="70" t="s">
        <v>4514</v>
      </c>
      <c r="I303" s="85"/>
      <c r="J303" s="89">
        <f>BK303</f>
        <v>192550</v>
      </c>
      <c r="L303" s="67"/>
      <c r="M303" s="87"/>
      <c r="P303" s="88">
        <f>SUM(P304:P319)</f>
        <v>0</v>
      </c>
      <c r="R303" s="88">
        <f>SUM(R304:R319)</f>
        <v>0</v>
      </c>
      <c r="T303" s="98">
        <f>SUM(T304:T319)</f>
        <v>0</v>
      </c>
      <c r="AR303" s="68" t="s">
        <v>85</v>
      </c>
      <c r="AT303" s="100" t="s">
        <v>76</v>
      </c>
      <c r="AU303" s="100" t="s">
        <v>85</v>
      </c>
      <c r="AY303" s="68" t="s">
        <v>211</v>
      </c>
      <c r="BK303" s="103">
        <f>SUM(BK304:BK319)</f>
        <v>192550</v>
      </c>
    </row>
    <row r="304" spans="2:65" s="1" customFormat="1" ht="16.5" customHeight="1">
      <c r="B304" s="12"/>
      <c r="C304" s="114" t="s">
        <v>1277</v>
      </c>
      <c r="D304" s="114" t="s">
        <v>438</v>
      </c>
      <c r="E304" s="115" t="s">
        <v>4476</v>
      </c>
      <c r="F304" s="116" t="s">
        <v>4515</v>
      </c>
      <c r="G304" s="117" t="s">
        <v>444</v>
      </c>
      <c r="H304" s="118">
        <v>165</v>
      </c>
      <c r="I304" s="122">
        <v>140</v>
      </c>
      <c r="J304" s="123">
        <f t="shared" ref="J304:J319" si="70">ROUND(I304*H304,2)</f>
        <v>23100</v>
      </c>
      <c r="K304" s="124"/>
      <c r="L304" s="125"/>
      <c r="M304" s="126" t="s">
        <v>1</v>
      </c>
      <c r="N304" s="127" t="s">
        <v>42</v>
      </c>
      <c r="P304" s="95">
        <f t="shared" ref="P304:P319" si="71">O304*H304</f>
        <v>0</v>
      </c>
      <c r="Q304" s="95">
        <v>0</v>
      </c>
      <c r="R304" s="95">
        <f t="shared" ref="R304:R319" si="72">Q304*H304</f>
        <v>0</v>
      </c>
      <c r="S304" s="95">
        <v>0</v>
      </c>
      <c r="T304" s="99">
        <f t="shared" ref="T304:T319" si="73">S304*H304</f>
        <v>0</v>
      </c>
      <c r="AR304" s="101" t="s">
        <v>250</v>
      </c>
      <c r="AT304" s="101" t="s">
        <v>438</v>
      </c>
      <c r="AU304" s="101" t="s">
        <v>87</v>
      </c>
      <c r="AY304" s="23" t="s">
        <v>211</v>
      </c>
      <c r="BE304" s="104">
        <f t="shared" ref="BE304:BE319" si="74">IF(N304="základní",J304,0)</f>
        <v>23100</v>
      </c>
      <c r="BF304" s="104">
        <f t="shared" ref="BF304:BF319" si="75">IF(N304="snížená",J304,0)</f>
        <v>0</v>
      </c>
      <c r="BG304" s="104">
        <f t="shared" ref="BG304:BG319" si="76">IF(N304="zákl. přenesená",J304,0)</f>
        <v>0</v>
      </c>
      <c r="BH304" s="104">
        <f t="shared" ref="BH304:BH319" si="77">IF(N304="sníž. přenesená",J304,0)</f>
        <v>0</v>
      </c>
      <c r="BI304" s="104">
        <f t="shared" ref="BI304:BI319" si="78">IF(N304="nulová",J304,0)</f>
        <v>0</v>
      </c>
      <c r="BJ304" s="23" t="s">
        <v>85</v>
      </c>
      <c r="BK304" s="104">
        <f t="shared" ref="BK304:BK319" si="79">ROUND(I304*H304,2)</f>
        <v>23100</v>
      </c>
      <c r="BL304" s="23" t="s">
        <v>218</v>
      </c>
      <c r="BM304" s="101" t="s">
        <v>1896</v>
      </c>
    </row>
    <row r="305" spans="2:65" s="1" customFormat="1" ht="16.5" customHeight="1">
      <c r="B305" s="12"/>
      <c r="C305" s="71" t="s">
        <v>1291</v>
      </c>
      <c r="D305" s="71" t="s">
        <v>214</v>
      </c>
      <c r="E305" s="72" t="s">
        <v>4516</v>
      </c>
      <c r="F305" s="73" t="s">
        <v>4477</v>
      </c>
      <c r="G305" s="74" t="s">
        <v>444</v>
      </c>
      <c r="H305" s="75">
        <v>165</v>
      </c>
      <c r="I305" s="90">
        <v>150</v>
      </c>
      <c r="J305" s="91">
        <f t="shared" si="70"/>
        <v>24750</v>
      </c>
      <c r="K305" s="92"/>
      <c r="L305" s="12"/>
      <c r="M305" s="93" t="s">
        <v>1</v>
      </c>
      <c r="N305" s="94" t="s">
        <v>42</v>
      </c>
      <c r="P305" s="95">
        <f t="shared" si="71"/>
        <v>0</v>
      </c>
      <c r="Q305" s="95">
        <v>0</v>
      </c>
      <c r="R305" s="95">
        <f t="shared" si="72"/>
        <v>0</v>
      </c>
      <c r="S305" s="95">
        <v>0</v>
      </c>
      <c r="T305" s="99">
        <f t="shared" si="73"/>
        <v>0</v>
      </c>
      <c r="AR305" s="101" t="s">
        <v>218</v>
      </c>
      <c r="AT305" s="101" t="s">
        <v>214</v>
      </c>
      <c r="AU305" s="101" t="s">
        <v>87</v>
      </c>
      <c r="AY305" s="23" t="s">
        <v>211</v>
      </c>
      <c r="BE305" s="104">
        <f t="shared" si="74"/>
        <v>24750</v>
      </c>
      <c r="BF305" s="104">
        <f t="shared" si="75"/>
        <v>0</v>
      </c>
      <c r="BG305" s="104">
        <f t="shared" si="76"/>
        <v>0</v>
      </c>
      <c r="BH305" s="104">
        <f t="shared" si="77"/>
        <v>0</v>
      </c>
      <c r="BI305" s="104">
        <f t="shared" si="78"/>
        <v>0</v>
      </c>
      <c r="BJ305" s="23" t="s">
        <v>85</v>
      </c>
      <c r="BK305" s="104">
        <f t="shared" si="79"/>
        <v>24750</v>
      </c>
      <c r="BL305" s="23" t="s">
        <v>218</v>
      </c>
      <c r="BM305" s="101" t="s">
        <v>1904</v>
      </c>
    </row>
    <row r="306" spans="2:65" s="1" customFormat="1" ht="16.5" customHeight="1">
      <c r="B306" s="12"/>
      <c r="C306" s="114" t="s">
        <v>1296</v>
      </c>
      <c r="D306" s="114" t="s">
        <v>438</v>
      </c>
      <c r="E306" s="115" t="s">
        <v>4480</v>
      </c>
      <c r="F306" s="116" t="s">
        <v>4517</v>
      </c>
      <c r="G306" s="117" t="s">
        <v>444</v>
      </c>
      <c r="H306" s="118">
        <v>185</v>
      </c>
      <c r="I306" s="122">
        <v>200</v>
      </c>
      <c r="J306" s="123">
        <f t="shared" si="70"/>
        <v>37000</v>
      </c>
      <c r="K306" s="124"/>
      <c r="L306" s="125"/>
      <c r="M306" s="126" t="s">
        <v>1</v>
      </c>
      <c r="N306" s="127" t="s">
        <v>42</v>
      </c>
      <c r="P306" s="95">
        <f t="shared" si="71"/>
        <v>0</v>
      </c>
      <c r="Q306" s="95">
        <v>0</v>
      </c>
      <c r="R306" s="95">
        <f t="shared" si="72"/>
        <v>0</v>
      </c>
      <c r="S306" s="95">
        <v>0</v>
      </c>
      <c r="T306" s="99">
        <f t="shared" si="73"/>
        <v>0</v>
      </c>
      <c r="AR306" s="101" t="s">
        <v>250</v>
      </c>
      <c r="AT306" s="101" t="s">
        <v>438</v>
      </c>
      <c r="AU306" s="101" t="s">
        <v>87</v>
      </c>
      <c r="AY306" s="23" t="s">
        <v>211</v>
      </c>
      <c r="BE306" s="104">
        <f t="shared" si="74"/>
        <v>37000</v>
      </c>
      <c r="BF306" s="104">
        <f t="shared" si="75"/>
        <v>0</v>
      </c>
      <c r="BG306" s="104">
        <f t="shared" si="76"/>
        <v>0</v>
      </c>
      <c r="BH306" s="104">
        <f t="shared" si="77"/>
        <v>0</v>
      </c>
      <c r="BI306" s="104">
        <f t="shared" si="78"/>
        <v>0</v>
      </c>
      <c r="BJ306" s="23" t="s">
        <v>85</v>
      </c>
      <c r="BK306" s="104">
        <f t="shared" si="79"/>
        <v>37000</v>
      </c>
      <c r="BL306" s="23" t="s">
        <v>218</v>
      </c>
      <c r="BM306" s="101" t="s">
        <v>1912</v>
      </c>
    </row>
    <row r="307" spans="2:65" s="1" customFormat="1" ht="16.5" customHeight="1">
      <c r="B307" s="12"/>
      <c r="C307" s="71" t="s">
        <v>1306</v>
      </c>
      <c r="D307" s="71" t="s">
        <v>214</v>
      </c>
      <c r="E307" s="72" t="s">
        <v>4518</v>
      </c>
      <c r="F307" s="73" t="s">
        <v>4481</v>
      </c>
      <c r="G307" s="74" t="s">
        <v>444</v>
      </c>
      <c r="H307" s="75">
        <v>185</v>
      </c>
      <c r="I307" s="90">
        <v>150</v>
      </c>
      <c r="J307" s="91">
        <f t="shared" si="70"/>
        <v>27750</v>
      </c>
      <c r="K307" s="92"/>
      <c r="L307" s="12"/>
      <c r="M307" s="93" t="s">
        <v>1</v>
      </c>
      <c r="N307" s="94" t="s">
        <v>42</v>
      </c>
      <c r="P307" s="95">
        <f t="shared" si="71"/>
        <v>0</v>
      </c>
      <c r="Q307" s="95">
        <v>0</v>
      </c>
      <c r="R307" s="95">
        <f t="shared" si="72"/>
        <v>0</v>
      </c>
      <c r="S307" s="95">
        <v>0</v>
      </c>
      <c r="T307" s="99">
        <f t="shared" si="73"/>
        <v>0</v>
      </c>
      <c r="AR307" s="101" t="s">
        <v>218</v>
      </c>
      <c r="AT307" s="101" t="s">
        <v>214</v>
      </c>
      <c r="AU307" s="101" t="s">
        <v>87</v>
      </c>
      <c r="AY307" s="23" t="s">
        <v>211</v>
      </c>
      <c r="BE307" s="104">
        <f t="shared" si="74"/>
        <v>27750</v>
      </c>
      <c r="BF307" s="104">
        <f t="shared" si="75"/>
        <v>0</v>
      </c>
      <c r="BG307" s="104">
        <f t="shared" si="76"/>
        <v>0</v>
      </c>
      <c r="BH307" s="104">
        <f t="shared" si="77"/>
        <v>0</v>
      </c>
      <c r="BI307" s="104">
        <f t="shared" si="78"/>
        <v>0</v>
      </c>
      <c r="BJ307" s="23" t="s">
        <v>85</v>
      </c>
      <c r="BK307" s="104">
        <f t="shared" si="79"/>
        <v>27750</v>
      </c>
      <c r="BL307" s="23" t="s">
        <v>218</v>
      </c>
      <c r="BM307" s="101" t="s">
        <v>1920</v>
      </c>
    </row>
    <row r="308" spans="2:65" s="1" customFormat="1" ht="16.5" customHeight="1">
      <c r="B308" s="12"/>
      <c r="C308" s="114" t="s">
        <v>1312</v>
      </c>
      <c r="D308" s="114" t="s">
        <v>438</v>
      </c>
      <c r="E308" s="115" t="s">
        <v>4484</v>
      </c>
      <c r="F308" s="116" t="s">
        <v>4519</v>
      </c>
      <c r="G308" s="117" t="s">
        <v>444</v>
      </c>
      <c r="H308" s="118">
        <v>73</v>
      </c>
      <c r="I308" s="122">
        <v>220</v>
      </c>
      <c r="J308" s="123">
        <f t="shared" si="70"/>
        <v>16060</v>
      </c>
      <c r="K308" s="124"/>
      <c r="L308" s="125"/>
      <c r="M308" s="126" t="s">
        <v>1</v>
      </c>
      <c r="N308" s="127" t="s">
        <v>42</v>
      </c>
      <c r="P308" s="95">
        <f t="shared" si="71"/>
        <v>0</v>
      </c>
      <c r="Q308" s="95">
        <v>0</v>
      </c>
      <c r="R308" s="95">
        <f t="shared" si="72"/>
        <v>0</v>
      </c>
      <c r="S308" s="95">
        <v>0</v>
      </c>
      <c r="T308" s="99">
        <f t="shared" si="73"/>
        <v>0</v>
      </c>
      <c r="AR308" s="101" t="s">
        <v>250</v>
      </c>
      <c r="AT308" s="101" t="s">
        <v>438</v>
      </c>
      <c r="AU308" s="101" t="s">
        <v>87</v>
      </c>
      <c r="AY308" s="23" t="s">
        <v>211</v>
      </c>
      <c r="BE308" s="104">
        <f t="shared" si="74"/>
        <v>16060</v>
      </c>
      <c r="BF308" s="104">
        <f t="shared" si="75"/>
        <v>0</v>
      </c>
      <c r="BG308" s="104">
        <f t="shared" si="76"/>
        <v>0</v>
      </c>
      <c r="BH308" s="104">
        <f t="shared" si="77"/>
        <v>0</v>
      </c>
      <c r="BI308" s="104">
        <f t="shared" si="78"/>
        <v>0</v>
      </c>
      <c r="BJ308" s="23" t="s">
        <v>85</v>
      </c>
      <c r="BK308" s="104">
        <f t="shared" si="79"/>
        <v>16060</v>
      </c>
      <c r="BL308" s="23" t="s">
        <v>218</v>
      </c>
      <c r="BM308" s="101" t="s">
        <v>1928</v>
      </c>
    </row>
    <row r="309" spans="2:65" s="1" customFormat="1" ht="16.5" customHeight="1">
      <c r="B309" s="12"/>
      <c r="C309" s="71" t="s">
        <v>1318</v>
      </c>
      <c r="D309" s="71" t="s">
        <v>214</v>
      </c>
      <c r="E309" s="72" t="s">
        <v>4520</v>
      </c>
      <c r="F309" s="73" t="s">
        <v>4485</v>
      </c>
      <c r="G309" s="74" t="s">
        <v>444</v>
      </c>
      <c r="H309" s="75">
        <v>73</v>
      </c>
      <c r="I309" s="90">
        <v>150</v>
      </c>
      <c r="J309" s="91">
        <f t="shared" si="70"/>
        <v>10950</v>
      </c>
      <c r="K309" s="92"/>
      <c r="L309" s="12"/>
      <c r="M309" s="93" t="s">
        <v>1</v>
      </c>
      <c r="N309" s="94" t="s">
        <v>42</v>
      </c>
      <c r="P309" s="95">
        <f t="shared" si="71"/>
        <v>0</v>
      </c>
      <c r="Q309" s="95">
        <v>0</v>
      </c>
      <c r="R309" s="95">
        <f t="shared" si="72"/>
        <v>0</v>
      </c>
      <c r="S309" s="95">
        <v>0</v>
      </c>
      <c r="T309" s="99">
        <f t="shared" si="73"/>
        <v>0</v>
      </c>
      <c r="AR309" s="101" t="s">
        <v>218</v>
      </c>
      <c r="AT309" s="101" t="s">
        <v>214</v>
      </c>
      <c r="AU309" s="101" t="s">
        <v>87</v>
      </c>
      <c r="AY309" s="23" t="s">
        <v>211</v>
      </c>
      <c r="BE309" s="104">
        <f t="shared" si="74"/>
        <v>10950</v>
      </c>
      <c r="BF309" s="104">
        <f t="shared" si="75"/>
        <v>0</v>
      </c>
      <c r="BG309" s="104">
        <f t="shared" si="76"/>
        <v>0</v>
      </c>
      <c r="BH309" s="104">
        <f t="shared" si="77"/>
        <v>0</v>
      </c>
      <c r="BI309" s="104">
        <f t="shared" si="78"/>
        <v>0</v>
      </c>
      <c r="BJ309" s="23" t="s">
        <v>85</v>
      </c>
      <c r="BK309" s="104">
        <f t="shared" si="79"/>
        <v>10950</v>
      </c>
      <c r="BL309" s="23" t="s">
        <v>218</v>
      </c>
      <c r="BM309" s="101" t="s">
        <v>1937</v>
      </c>
    </row>
    <row r="310" spans="2:65" s="1" customFormat="1" ht="16.5" customHeight="1">
      <c r="B310" s="12"/>
      <c r="C310" s="114" t="s">
        <v>1323</v>
      </c>
      <c r="D310" s="114" t="s">
        <v>438</v>
      </c>
      <c r="E310" s="115" t="s">
        <v>4488</v>
      </c>
      <c r="F310" s="116" t="s">
        <v>4521</v>
      </c>
      <c r="G310" s="117" t="s">
        <v>444</v>
      </c>
      <c r="H310" s="118">
        <v>42</v>
      </c>
      <c r="I310" s="122">
        <v>260</v>
      </c>
      <c r="J310" s="123">
        <f t="shared" si="70"/>
        <v>10920</v>
      </c>
      <c r="K310" s="124"/>
      <c r="L310" s="125"/>
      <c r="M310" s="126" t="s">
        <v>1</v>
      </c>
      <c r="N310" s="127" t="s">
        <v>42</v>
      </c>
      <c r="P310" s="95">
        <f t="shared" si="71"/>
        <v>0</v>
      </c>
      <c r="Q310" s="95">
        <v>0</v>
      </c>
      <c r="R310" s="95">
        <f t="shared" si="72"/>
        <v>0</v>
      </c>
      <c r="S310" s="95">
        <v>0</v>
      </c>
      <c r="T310" s="99">
        <f t="shared" si="73"/>
        <v>0</v>
      </c>
      <c r="AR310" s="101" t="s">
        <v>250</v>
      </c>
      <c r="AT310" s="101" t="s">
        <v>438</v>
      </c>
      <c r="AU310" s="101" t="s">
        <v>87</v>
      </c>
      <c r="AY310" s="23" t="s">
        <v>211</v>
      </c>
      <c r="BE310" s="104">
        <f t="shared" si="74"/>
        <v>10920</v>
      </c>
      <c r="BF310" s="104">
        <f t="shared" si="75"/>
        <v>0</v>
      </c>
      <c r="BG310" s="104">
        <f t="shared" si="76"/>
        <v>0</v>
      </c>
      <c r="BH310" s="104">
        <f t="shared" si="77"/>
        <v>0</v>
      </c>
      <c r="BI310" s="104">
        <f t="shared" si="78"/>
        <v>0</v>
      </c>
      <c r="BJ310" s="23" t="s">
        <v>85</v>
      </c>
      <c r="BK310" s="104">
        <f t="shared" si="79"/>
        <v>10920</v>
      </c>
      <c r="BL310" s="23" t="s">
        <v>218</v>
      </c>
      <c r="BM310" s="101" t="s">
        <v>1947</v>
      </c>
    </row>
    <row r="311" spans="2:65" s="1" customFormat="1" ht="16.5" customHeight="1">
      <c r="B311" s="12"/>
      <c r="C311" s="71" t="s">
        <v>1328</v>
      </c>
      <c r="D311" s="71" t="s">
        <v>214</v>
      </c>
      <c r="E311" s="72" t="s">
        <v>4522</v>
      </c>
      <c r="F311" s="73" t="s">
        <v>4489</v>
      </c>
      <c r="G311" s="74" t="s">
        <v>444</v>
      </c>
      <c r="H311" s="75">
        <v>42</v>
      </c>
      <c r="I311" s="90">
        <v>150</v>
      </c>
      <c r="J311" s="91">
        <f t="shared" si="70"/>
        <v>6300</v>
      </c>
      <c r="K311" s="92"/>
      <c r="L311" s="12"/>
      <c r="M311" s="93" t="s">
        <v>1</v>
      </c>
      <c r="N311" s="94" t="s">
        <v>42</v>
      </c>
      <c r="P311" s="95">
        <f t="shared" si="71"/>
        <v>0</v>
      </c>
      <c r="Q311" s="95">
        <v>0</v>
      </c>
      <c r="R311" s="95">
        <f t="shared" si="72"/>
        <v>0</v>
      </c>
      <c r="S311" s="95">
        <v>0</v>
      </c>
      <c r="T311" s="99">
        <f t="shared" si="73"/>
        <v>0</v>
      </c>
      <c r="AR311" s="101" t="s">
        <v>218</v>
      </c>
      <c r="AT311" s="101" t="s">
        <v>214</v>
      </c>
      <c r="AU311" s="101" t="s">
        <v>87</v>
      </c>
      <c r="AY311" s="23" t="s">
        <v>211</v>
      </c>
      <c r="BE311" s="104">
        <f t="shared" si="74"/>
        <v>6300</v>
      </c>
      <c r="BF311" s="104">
        <f t="shared" si="75"/>
        <v>0</v>
      </c>
      <c r="BG311" s="104">
        <f t="shared" si="76"/>
        <v>0</v>
      </c>
      <c r="BH311" s="104">
        <f t="shared" si="77"/>
        <v>0</v>
      </c>
      <c r="BI311" s="104">
        <f t="shared" si="78"/>
        <v>0</v>
      </c>
      <c r="BJ311" s="23" t="s">
        <v>85</v>
      </c>
      <c r="BK311" s="104">
        <f t="shared" si="79"/>
        <v>6300</v>
      </c>
      <c r="BL311" s="23" t="s">
        <v>218</v>
      </c>
      <c r="BM311" s="101" t="s">
        <v>1957</v>
      </c>
    </row>
    <row r="312" spans="2:65" s="1" customFormat="1" ht="16.5" customHeight="1">
      <c r="B312" s="12"/>
      <c r="C312" s="114" t="s">
        <v>1332</v>
      </c>
      <c r="D312" s="114" t="s">
        <v>438</v>
      </c>
      <c r="E312" s="115" t="s">
        <v>4492</v>
      </c>
      <c r="F312" s="116" t="s">
        <v>4523</v>
      </c>
      <c r="G312" s="117" t="s">
        <v>444</v>
      </c>
      <c r="H312" s="118">
        <v>47</v>
      </c>
      <c r="I312" s="122">
        <v>280</v>
      </c>
      <c r="J312" s="123">
        <f t="shared" si="70"/>
        <v>13160</v>
      </c>
      <c r="K312" s="124"/>
      <c r="L312" s="125"/>
      <c r="M312" s="126" t="s">
        <v>1</v>
      </c>
      <c r="N312" s="127" t="s">
        <v>42</v>
      </c>
      <c r="P312" s="95">
        <f t="shared" si="71"/>
        <v>0</v>
      </c>
      <c r="Q312" s="95">
        <v>0</v>
      </c>
      <c r="R312" s="95">
        <f t="shared" si="72"/>
        <v>0</v>
      </c>
      <c r="S312" s="95">
        <v>0</v>
      </c>
      <c r="T312" s="99">
        <f t="shared" si="73"/>
        <v>0</v>
      </c>
      <c r="AR312" s="101" t="s">
        <v>250</v>
      </c>
      <c r="AT312" s="101" t="s">
        <v>438</v>
      </c>
      <c r="AU312" s="101" t="s">
        <v>87</v>
      </c>
      <c r="AY312" s="23" t="s">
        <v>211</v>
      </c>
      <c r="BE312" s="104">
        <f t="shared" si="74"/>
        <v>13160</v>
      </c>
      <c r="BF312" s="104">
        <f t="shared" si="75"/>
        <v>0</v>
      </c>
      <c r="BG312" s="104">
        <f t="shared" si="76"/>
        <v>0</v>
      </c>
      <c r="BH312" s="104">
        <f t="shared" si="77"/>
        <v>0</v>
      </c>
      <c r="BI312" s="104">
        <f t="shared" si="78"/>
        <v>0</v>
      </c>
      <c r="BJ312" s="23" t="s">
        <v>85</v>
      </c>
      <c r="BK312" s="104">
        <f t="shared" si="79"/>
        <v>13160</v>
      </c>
      <c r="BL312" s="23" t="s">
        <v>218</v>
      </c>
      <c r="BM312" s="101" t="s">
        <v>1967</v>
      </c>
    </row>
    <row r="313" spans="2:65" s="1" customFormat="1" ht="16.5" customHeight="1">
      <c r="B313" s="12"/>
      <c r="C313" s="71" t="s">
        <v>1337</v>
      </c>
      <c r="D313" s="71" t="s">
        <v>214</v>
      </c>
      <c r="E313" s="72" t="s">
        <v>4524</v>
      </c>
      <c r="F313" s="73" t="s">
        <v>4493</v>
      </c>
      <c r="G313" s="74" t="s">
        <v>444</v>
      </c>
      <c r="H313" s="75">
        <v>47</v>
      </c>
      <c r="I313" s="90">
        <v>150</v>
      </c>
      <c r="J313" s="91">
        <f t="shared" si="70"/>
        <v>7050</v>
      </c>
      <c r="K313" s="92"/>
      <c r="L313" s="12"/>
      <c r="M313" s="93" t="s">
        <v>1</v>
      </c>
      <c r="N313" s="94" t="s">
        <v>42</v>
      </c>
      <c r="P313" s="95">
        <f t="shared" si="71"/>
        <v>0</v>
      </c>
      <c r="Q313" s="95">
        <v>0</v>
      </c>
      <c r="R313" s="95">
        <f t="shared" si="72"/>
        <v>0</v>
      </c>
      <c r="S313" s="95">
        <v>0</v>
      </c>
      <c r="T313" s="99">
        <f t="shared" si="73"/>
        <v>0</v>
      </c>
      <c r="AR313" s="101" t="s">
        <v>218</v>
      </c>
      <c r="AT313" s="101" t="s">
        <v>214</v>
      </c>
      <c r="AU313" s="101" t="s">
        <v>87</v>
      </c>
      <c r="AY313" s="23" t="s">
        <v>211</v>
      </c>
      <c r="BE313" s="104">
        <f t="shared" si="74"/>
        <v>7050</v>
      </c>
      <c r="BF313" s="104">
        <f t="shared" si="75"/>
        <v>0</v>
      </c>
      <c r="BG313" s="104">
        <f t="shared" si="76"/>
        <v>0</v>
      </c>
      <c r="BH313" s="104">
        <f t="shared" si="77"/>
        <v>0</v>
      </c>
      <c r="BI313" s="104">
        <f t="shared" si="78"/>
        <v>0</v>
      </c>
      <c r="BJ313" s="23" t="s">
        <v>85</v>
      </c>
      <c r="BK313" s="104">
        <f t="shared" si="79"/>
        <v>7050</v>
      </c>
      <c r="BL313" s="23" t="s">
        <v>218</v>
      </c>
      <c r="BM313" s="101" t="s">
        <v>1975</v>
      </c>
    </row>
    <row r="314" spans="2:65" s="1" customFormat="1" ht="16.5" customHeight="1">
      <c r="B314" s="12"/>
      <c r="C314" s="114" t="s">
        <v>1342</v>
      </c>
      <c r="D314" s="114" t="s">
        <v>438</v>
      </c>
      <c r="E314" s="115" t="s">
        <v>4496</v>
      </c>
      <c r="F314" s="116" t="s">
        <v>4525</v>
      </c>
      <c r="G314" s="117" t="s">
        <v>444</v>
      </c>
      <c r="H314" s="118">
        <v>9</v>
      </c>
      <c r="I314" s="122">
        <v>320</v>
      </c>
      <c r="J314" s="123">
        <f t="shared" si="70"/>
        <v>2880</v>
      </c>
      <c r="K314" s="124"/>
      <c r="L314" s="125"/>
      <c r="M314" s="126" t="s">
        <v>1</v>
      </c>
      <c r="N314" s="127" t="s">
        <v>42</v>
      </c>
      <c r="P314" s="95">
        <f t="shared" si="71"/>
        <v>0</v>
      </c>
      <c r="Q314" s="95">
        <v>0</v>
      </c>
      <c r="R314" s="95">
        <f t="shared" si="72"/>
        <v>0</v>
      </c>
      <c r="S314" s="95">
        <v>0</v>
      </c>
      <c r="T314" s="99">
        <f t="shared" si="73"/>
        <v>0</v>
      </c>
      <c r="AR314" s="101" t="s">
        <v>250</v>
      </c>
      <c r="AT314" s="101" t="s">
        <v>438</v>
      </c>
      <c r="AU314" s="101" t="s">
        <v>87</v>
      </c>
      <c r="AY314" s="23" t="s">
        <v>211</v>
      </c>
      <c r="BE314" s="104">
        <f t="shared" si="74"/>
        <v>2880</v>
      </c>
      <c r="BF314" s="104">
        <f t="shared" si="75"/>
        <v>0</v>
      </c>
      <c r="BG314" s="104">
        <f t="shared" si="76"/>
        <v>0</v>
      </c>
      <c r="BH314" s="104">
        <f t="shared" si="77"/>
        <v>0</v>
      </c>
      <c r="BI314" s="104">
        <f t="shared" si="78"/>
        <v>0</v>
      </c>
      <c r="BJ314" s="23" t="s">
        <v>85</v>
      </c>
      <c r="BK314" s="104">
        <f t="shared" si="79"/>
        <v>2880</v>
      </c>
      <c r="BL314" s="23" t="s">
        <v>218</v>
      </c>
      <c r="BM314" s="101" t="s">
        <v>1983</v>
      </c>
    </row>
    <row r="315" spans="2:65" s="1" customFormat="1" ht="16.5" customHeight="1">
      <c r="B315" s="12"/>
      <c r="C315" s="71" t="s">
        <v>1347</v>
      </c>
      <c r="D315" s="71" t="s">
        <v>214</v>
      </c>
      <c r="E315" s="72" t="s">
        <v>4526</v>
      </c>
      <c r="F315" s="73" t="s">
        <v>4497</v>
      </c>
      <c r="G315" s="74" t="s">
        <v>444</v>
      </c>
      <c r="H315" s="75">
        <v>9</v>
      </c>
      <c r="I315" s="90">
        <v>150</v>
      </c>
      <c r="J315" s="91">
        <f t="shared" si="70"/>
        <v>1350</v>
      </c>
      <c r="K315" s="92"/>
      <c r="L315" s="12"/>
      <c r="M315" s="93" t="s">
        <v>1</v>
      </c>
      <c r="N315" s="94" t="s">
        <v>42</v>
      </c>
      <c r="P315" s="95">
        <f t="shared" si="71"/>
        <v>0</v>
      </c>
      <c r="Q315" s="95">
        <v>0</v>
      </c>
      <c r="R315" s="95">
        <f t="shared" si="72"/>
        <v>0</v>
      </c>
      <c r="S315" s="95">
        <v>0</v>
      </c>
      <c r="T315" s="99">
        <f t="shared" si="73"/>
        <v>0</v>
      </c>
      <c r="AR315" s="101" t="s">
        <v>218</v>
      </c>
      <c r="AT315" s="101" t="s">
        <v>214</v>
      </c>
      <c r="AU315" s="101" t="s">
        <v>87</v>
      </c>
      <c r="AY315" s="23" t="s">
        <v>211</v>
      </c>
      <c r="BE315" s="104">
        <f t="shared" si="74"/>
        <v>1350</v>
      </c>
      <c r="BF315" s="104">
        <f t="shared" si="75"/>
        <v>0</v>
      </c>
      <c r="BG315" s="104">
        <f t="shared" si="76"/>
        <v>0</v>
      </c>
      <c r="BH315" s="104">
        <f t="shared" si="77"/>
        <v>0</v>
      </c>
      <c r="BI315" s="104">
        <f t="shared" si="78"/>
        <v>0</v>
      </c>
      <c r="BJ315" s="23" t="s">
        <v>85</v>
      </c>
      <c r="BK315" s="104">
        <f t="shared" si="79"/>
        <v>1350</v>
      </c>
      <c r="BL315" s="23" t="s">
        <v>218</v>
      </c>
      <c r="BM315" s="101" t="s">
        <v>1991</v>
      </c>
    </row>
    <row r="316" spans="2:65" s="1" customFormat="1" ht="16.5" customHeight="1">
      <c r="B316" s="12"/>
      <c r="C316" s="114" t="s">
        <v>1352</v>
      </c>
      <c r="D316" s="114" t="s">
        <v>438</v>
      </c>
      <c r="E316" s="115" t="s">
        <v>4500</v>
      </c>
      <c r="F316" s="116" t="s">
        <v>4527</v>
      </c>
      <c r="G316" s="117" t="s">
        <v>444</v>
      </c>
      <c r="H316" s="118">
        <v>8</v>
      </c>
      <c r="I316" s="122">
        <v>360</v>
      </c>
      <c r="J316" s="123">
        <f t="shared" si="70"/>
        <v>2880</v>
      </c>
      <c r="K316" s="124"/>
      <c r="L316" s="125"/>
      <c r="M316" s="126" t="s">
        <v>1</v>
      </c>
      <c r="N316" s="127" t="s">
        <v>42</v>
      </c>
      <c r="P316" s="95">
        <f t="shared" si="71"/>
        <v>0</v>
      </c>
      <c r="Q316" s="95">
        <v>0</v>
      </c>
      <c r="R316" s="95">
        <f t="shared" si="72"/>
        <v>0</v>
      </c>
      <c r="S316" s="95">
        <v>0</v>
      </c>
      <c r="T316" s="99">
        <f t="shared" si="73"/>
        <v>0</v>
      </c>
      <c r="AR316" s="101" t="s">
        <v>250</v>
      </c>
      <c r="AT316" s="101" t="s">
        <v>438</v>
      </c>
      <c r="AU316" s="101" t="s">
        <v>87</v>
      </c>
      <c r="AY316" s="23" t="s">
        <v>211</v>
      </c>
      <c r="BE316" s="104">
        <f t="shared" si="74"/>
        <v>2880</v>
      </c>
      <c r="BF316" s="104">
        <f t="shared" si="75"/>
        <v>0</v>
      </c>
      <c r="BG316" s="104">
        <f t="shared" si="76"/>
        <v>0</v>
      </c>
      <c r="BH316" s="104">
        <f t="shared" si="77"/>
        <v>0</v>
      </c>
      <c r="BI316" s="104">
        <f t="shared" si="78"/>
        <v>0</v>
      </c>
      <c r="BJ316" s="23" t="s">
        <v>85</v>
      </c>
      <c r="BK316" s="104">
        <f t="shared" si="79"/>
        <v>2880</v>
      </c>
      <c r="BL316" s="23" t="s">
        <v>218</v>
      </c>
      <c r="BM316" s="101" t="s">
        <v>2000</v>
      </c>
    </row>
    <row r="317" spans="2:65" s="1" customFormat="1" ht="16.5" customHeight="1">
      <c r="B317" s="12"/>
      <c r="C317" s="71" t="s">
        <v>1357</v>
      </c>
      <c r="D317" s="71" t="s">
        <v>214</v>
      </c>
      <c r="E317" s="72" t="s">
        <v>4528</v>
      </c>
      <c r="F317" s="73" t="s">
        <v>4501</v>
      </c>
      <c r="G317" s="74" t="s">
        <v>444</v>
      </c>
      <c r="H317" s="75">
        <v>8</v>
      </c>
      <c r="I317" s="90">
        <v>150</v>
      </c>
      <c r="J317" s="91">
        <f t="shared" si="70"/>
        <v>1200</v>
      </c>
      <c r="K317" s="92"/>
      <c r="L317" s="12"/>
      <c r="M317" s="93" t="s">
        <v>1</v>
      </c>
      <c r="N317" s="94" t="s">
        <v>42</v>
      </c>
      <c r="P317" s="95">
        <f t="shared" si="71"/>
        <v>0</v>
      </c>
      <c r="Q317" s="95">
        <v>0</v>
      </c>
      <c r="R317" s="95">
        <f t="shared" si="72"/>
        <v>0</v>
      </c>
      <c r="S317" s="95">
        <v>0</v>
      </c>
      <c r="T317" s="99">
        <f t="shared" si="73"/>
        <v>0</v>
      </c>
      <c r="AR317" s="101" t="s">
        <v>218</v>
      </c>
      <c r="AT317" s="101" t="s">
        <v>214</v>
      </c>
      <c r="AU317" s="101" t="s">
        <v>87</v>
      </c>
      <c r="AY317" s="23" t="s">
        <v>211</v>
      </c>
      <c r="BE317" s="104">
        <f t="shared" si="74"/>
        <v>1200</v>
      </c>
      <c r="BF317" s="104">
        <f t="shared" si="75"/>
        <v>0</v>
      </c>
      <c r="BG317" s="104">
        <f t="shared" si="76"/>
        <v>0</v>
      </c>
      <c r="BH317" s="104">
        <f t="shared" si="77"/>
        <v>0</v>
      </c>
      <c r="BI317" s="104">
        <f t="shared" si="78"/>
        <v>0</v>
      </c>
      <c r="BJ317" s="23" t="s">
        <v>85</v>
      </c>
      <c r="BK317" s="104">
        <f t="shared" si="79"/>
        <v>1200</v>
      </c>
      <c r="BL317" s="23" t="s">
        <v>218</v>
      </c>
      <c r="BM317" s="101" t="s">
        <v>2009</v>
      </c>
    </row>
    <row r="318" spans="2:65" s="1" customFormat="1" ht="16.5" customHeight="1">
      <c r="B318" s="12"/>
      <c r="C318" s="71" t="s">
        <v>1361</v>
      </c>
      <c r="D318" s="71" t="s">
        <v>214</v>
      </c>
      <c r="E318" s="72" t="s">
        <v>4502</v>
      </c>
      <c r="F318" s="73" t="s">
        <v>4560</v>
      </c>
      <c r="G318" s="74" t="s">
        <v>444</v>
      </c>
      <c r="H318" s="75">
        <v>12</v>
      </c>
      <c r="I318" s="90">
        <v>450</v>
      </c>
      <c r="J318" s="91">
        <f t="shared" si="70"/>
        <v>5400</v>
      </c>
      <c r="K318" s="92"/>
      <c r="L318" s="12"/>
      <c r="M318" s="93" t="s">
        <v>1</v>
      </c>
      <c r="N318" s="94" t="s">
        <v>42</v>
      </c>
      <c r="P318" s="95">
        <f t="shared" si="71"/>
        <v>0</v>
      </c>
      <c r="Q318" s="95">
        <v>0</v>
      </c>
      <c r="R318" s="95">
        <f t="shared" si="72"/>
        <v>0</v>
      </c>
      <c r="S318" s="95">
        <v>0</v>
      </c>
      <c r="T318" s="99">
        <f t="shared" si="73"/>
        <v>0</v>
      </c>
      <c r="AR318" s="101" t="s">
        <v>218</v>
      </c>
      <c r="AT318" s="101" t="s">
        <v>214</v>
      </c>
      <c r="AU318" s="101" t="s">
        <v>87</v>
      </c>
      <c r="AY318" s="23" t="s">
        <v>211</v>
      </c>
      <c r="BE318" s="104">
        <f t="shared" si="74"/>
        <v>5400</v>
      </c>
      <c r="BF318" s="104">
        <f t="shared" si="75"/>
        <v>0</v>
      </c>
      <c r="BG318" s="104">
        <f t="shared" si="76"/>
        <v>0</v>
      </c>
      <c r="BH318" s="104">
        <f t="shared" si="77"/>
        <v>0</v>
      </c>
      <c r="BI318" s="104">
        <f t="shared" si="78"/>
        <v>0</v>
      </c>
      <c r="BJ318" s="23" t="s">
        <v>85</v>
      </c>
      <c r="BK318" s="104">
        <f t="shared" si="79"/>
        <v>5400</v>
      </c>
      <c r="BL318" s="23" t="s">
        <v>218</v>
      </c>
      <c r="BM318" s="101" t="s">
        <v>2019</v>
      </c>
    </row>
    <row r="319" spans="2:65" s="1" customFormat="1" ht="16.5" customHeight="1">
      <c r="B319" s="12"/>
      <c r="C319" s="71" t="s">
        <v>1365</v>
      </c>
      <c r="D319" s="71" t="s">
        <v>214</v>
      </c>
      <c r="E319" s="72" t="s">
        <v>4530</v>
      </c>
      <c r="F319" s="73" t="s">
        <v>4505</v>
      </c>
      <c r="G319" s="74" t="s">
        <v>444</v>
      </c>
      <c r="H319" s="75">
        <v>12</v>
      </c>
      <c r="I319" s="90">
        <v>150</v>
      </c>
      <c r="J319" s="91">
        <f t="shared" si="70"/>
        <v>1800</v>
      </c>
      <c r="K319" s="92"/>
      <c r="L319" s="12"/>
      <c r="M319" s="93" t="s">
        <v>1</v>
      </c>
      <c r="N319" s="94" t="s">
        <v>42</v>
      </c>
      <c r="P319" s="95">
        <f t="shared" si="71"/>
        <v>0</v>
      </c>
      <c r="Q319" s="95">
        <v>0</v>
      </c>
      <c r="R319" s="95">
        <f t="shared" si="72"/>
        <v>0</v>
      </c>
      <c r="S319" s="95">
        <v>0</v>
      </c>
      <c r="T319" s="99">
        <f t="shared" si="73"/>
        <v>0</v>
      </c>
      <c r="AR319" s="101" t="s">
        <v>218</v>
      </c>
      <c r="AT319" s="101" t="s">
        <v>214</v>
      </c>
      <c r="AU319" s="101" t="s">
        <v>87</v>
      </c>
      <c r="AY319" s="23" t="s">
        <v>211</v>
      </c>
      <c r="BE319" s="104">
        <f t="shared" si="74"/>
        <v>1800</v>
      </c>
      <c r="BF319" s="104">
        <f t="shared" si="75"/>
        <v>0</v>
      </c>
      <c r="BG319" s="104">
        <f t="shared" si="76"/>
        <v>0</v>
      </c>
      <c r="BH319" s="104">
        <f t="shared" si="77"/>
        <v>0</v>
      </c>
      <c r="BI319" s="104">
        <f t="shared" si="78"/>
        <v>0</v>
      </c>
      <c r="BJ319" s="23" t="s">
        <v>85</v>
      </c>
      <c r="BK319" s="104">
        <f t="shared" si="79"/>
        <v>1800</v>
      </c>
      <c r="BL319" s="23" t="s">
        <v>218</v>
      </c>
      <c r="BM319" s="101" t="s">
        <v>2029</v>
      </c>
    </row>
    <row r="320" spans="2:65" s="31" customFormat="1" ht="23.1" customHeight="1">
      <c r="B320" s="67"/>
      <c r="D320" s="68" t="s">
        <v>76</v>
      </c>
      <c r="E320" s="70" t="s">
        <v>4531</v>
      </c>
      <c r="F320" s="70" t="s">
        <v>4532</v>
      </c>
      <c r="I320" s="85"/>
      <c r="J320" s="89">
        <f>BK320</f>
        <v>75200</v>
      </c>
      <c r="L320" s="67"/>
      <c r="M320" s="87"/>
      <c r="P320" s="88">
        <f>SUM(P321:P324)</f>
        <v>0</v>
      </c>
      <c r="R320" s="88">
        <f>SUM(R321:R324)</f>
        <v>0</v>
      </c>
      <c r="T320" s="98">
        <f>SUM(T321:T324)</f>
        <v>0</v>
      </c>
      <c r="AR320" s="68" t="s">
        <v>85</v>
      </c>
      <c r="AT320" s="100" t="s">
        <v>76</v>
      </c>
      <c r="AU320" s="100" t="s">
        <v>85</v>
      </c>
      <c r="AY320" s="68" t="s">
        <v>211</v>
      </c>
      <c r="BK320" s="103">
        <f>SUM(BK321:BK324)</f>
        <v>75200</v>
      </c>
    </row>
    <row r="321" spans="2:65" s="1" customFormat="1" ht="44.25" customHeight="1">
      <c r="B321" s="12"/>
      <c r="C321" s="71" t="s">
        <v>1370</v>
      </c>
      <c r="D321" s="71" t="s">
        <v>214</v>
      </c>
      <c r="E321" s="72" t="s">
        <v>4533</v>
      </c>
      <c r="F321" s="73" t="s">
        <v>4534</v>
      </c>
      <c r="G321" s="74" t="s">
        <v>234</v>
      </c>
      <c r="H321" s="75">
        <v>1</v>
      </c>
      <c r="I321" s="90">
        <v>35000</v>
      </c>
      <c r="J321" s="91">
        <f>ROUND(I321*H321,2)</f>
        <v>35000</v>
      </c>
      <c r="K321" s="92"/>
      <c r="L321" s="12"/>
      <c r="M321" s="93" t="s">
        <v>1</v>
      </c>
      <c r="N321" s="94" t="s">
        <v>42</v>
      </c>
      <c r="P321" s="95">
        <f>O321*H321</f>
        <v>0</v>
      </c>
      <c r="Q321" s="95">
        <v>0</v>
      </c>
      <c r="R321" s="95">
        <f>Q321*H321</f>
        <v>0</v>
      </c>
      <c r="S321" s="95">
        <v>0</v>
      </c>
      <c r="T321" s="99">
        <f>S321*H321</f>
        <v>0</v>
      </c>
      <c r="AR321" s="101" t="s">
        <v>218</v>
      </c>
      <c r="AT321" s="101" t="s">
        <v>214</v>
      </c>
      <c r="AU321" s="101" t="s">
        <v>87</v>
      </c>
      <c r="AY321" s="23" t="s">
        <v>211</v>
      </c>
      <c r="BE321" s="104">
        <f>IF(N321="základní",J321,0)</f>
        <v>35000</v>
      </c>
      <c r="BF321" s="104">
        <f>IF(N321="snížená",J321,0)</f>
        <v>0</v>
      </c>
      <c r="BG321" s="104">
        <f>IF(N321="zákl. přenesená",J321,0)</f>
        <v>0</v>
      </c>
      <c r="BH321" s="104">
        <f>IF(N321="sníž. přenesená",J321,0)</f>
        <v>0</v>
      </c>
      <c r="BI321" s="104">
        <f>IF(N321="nulová",J321,0)</f>
        <v>0</v>
      </c>
      <c r="BJ321" s="23" t="s">
        <v>85</v>
      </c>
      <c r="BK321" s="104">
        <f>ROUND(I321*H321,2)</f>
        <v>35000</v>
      </c>
      <c r="BL321" s="23" t="s">
        <v>218</v>
      </c>
      <c r="BM321" s="101" t="s">
        <v>2038</v>
      </c>
    </row>
    <row r="322" spans="2:65" s="1" customFormat="1" ht="16.5" customHeight="1">
      <c r="B322" s="12"/>
      <c r="C322" s="71" t="s">
        <v>1374</v>
      </c>
      <c r="D322" s="71" t="s">
        <v>214</v>
      </c>
      <c r="E322" s="72" t="s">
        <v>4535</v>
      </c>
      <c r="F322" s="73" t="s">
        <v>4536</v>
      </c>
      <c r="G322" s="74" t="s">
        <v>234</v>
      </c>
      <c r="H322" s="75">
        <v>1</v>
      </c>
      <c r="I322" s="90">
        <v>8000</v>
      </c>
      <c r="J322" s="91">
        <f>ROUND(I322*H322,2)</f>
        <v>8000</v>
      </c>
      <c r="K322" s="92"/>
      <c r="L322" s="12"/>
      <c r="M322" s="93" t="s">
        <v>1</v>
      </c>
      <c r="N322" s="94" t="s">
        <v>42</v>
      </c>
      <c r="P322" s="95">
        <f>O322*H322</f>
        <v>0</v>
      </c>
      <c r="Q322" s="95">
        <v>0</v>
      </c>
      <c r="R322" s="95">
        <f>Q322*H322</f>
        <v>0</v>
      </c>
      <c r="S322" s="95">
        <v>0</v>
      </c>
      <c r="T322" s="99">
        <f>S322*H322</f>
        <v>0</v>
      </c>
      <c r="AR322" s="101" t="s">
        <v>218</v>
      </c>
      <c r="AT322" s="101" t="s">
        <v>214</v>
      </c>
      <c r="AU322" s="101" t="s">
        <v>87</v>
      </c>
      <c r="AY322" s="23" t="s">
        <v>211</v>
      </c>
      <c r="BE322" s="104">
        <f>IF(N322="základní",J322,0)</f>
        <v>8000</v>
      </c>
      <c r="BF322" s="104">
        <f>IF(N322="snížená",J322,0)</f>
        <v>0</v>
      </c>
      <c r="BG322" s="104">
        <f>IF(N322="zákl. přenesená",J322,0)</f>
        <v>0</v>
      </c>
      <c r="BH322" s="104">
        <f>IF(N322="sníž. přenesená",J322,0)</f>
        <v>0</v>
      </c>
      <c r="BI322" s="104">
        <f>IF(N322="nulová",J322,0)</f>
        <v>0</v>
      </c>
      <c r="BJ322" s="23" t="s">
        <v>85</v>
      </c>
      <c r="BK322" s="104">
        <f>ROUND(I322*H322,2)</f>
        <v>8000</v>
      </c>
      <c r="BL322" s="23" t="s">
        <v>218</v>
      </c>
      <c r="BM322" s="101" t="s">
        <v>2046</v>
      </c>
    </row>
    <row r="323" spans="2:65" s="1" customFormat="1" ht="24.15" customHeight="1">
      <c r="B323" s="12"/>
      <c r="C323" s="71" t="s">
        <v>1378</v>
      </c>
      <c r="D323" s="71" t="s">
        <v>214</v>
      </c>
      <c r="E323" s="72" t="s">
        <v>4537</v>
      </c>
      <c r="F323" s="73" t="s">
        <v>4538</v>
      </c>
      <c r="G323" s="74" t="s">
        <v>1198</v>
      </c>
      <c r="H323" s="75">
        <v>18.399999999999999</v>
      </c>
      <c r="I323" s="90">
        <v>1500</v>
      </c>
      <c r="J323" s="91">
        <f>ROUND(I323*H323,2)</f>
        <v>27600</v>
      </c>
      <c r="K323" s="92"/>
      <c r="L323" s="12"/>
      <c r="M323" s="93" t="s">
        <v>1</v>
      </c>
      <c r="N323" s="94" t="s">
        <v>42</v>
      </c>
      <c r="P323" s="95">
        <f>O323*H323</f>
        <v>0</v>
      </c>
      <c r="Q323" s="95">
        <v>0</v>
      </c>
      <c r="R323" s="95">
        <f>Q323*H323</f>
        <v>0</v>
      </c>
      <c r="S323" s="95">
        <v>0</v>
      </c>
      <c r="T323" s="99">
        <f>S323*H323</f>
        <v>0</v>
      </c>
      <c r="AR323" s="101" t="s">
        <v>218</v>
      </c>
      <c r="AT323" s="101" t="s">
        <v>214</v>
      </c>
      <c r="AU323" s="101" t="s">
        <v>87</v>
      </c>
      <c r="AY323" s="23" t="s">
        <v>211</v>
      </c>
      <c r="BE323" s="104">
        <f>IF(N323="základní",J323,0)</f>
        <v>27600</v>
      </c>
      <c r="BF323" s="104">
        <f>IF(N323="snížená",J323,0)</f>
        <v>0</v>
      </c>
      <c r="BG323" s="104">
        <f>IF(N323="zákl. přenesená",J323,0)</f>
        <v>0</v>
      </c>
      <c r="BH323" s="104">
        <f>IF(N323="sníž. přenesená",J323,0)</f>
        <v>0</v>
      </c>
      <c r="BI323" s="104">
        <f>IF(N323="nulová",J323,0)</f>
        <v>0</v>
      </c>
      <c r="BJ323" s="23" t="s">
        <v>85</v>
      </c>
      <c r="BK323" s="104">
        <f>ROUND(I323*H323,2)</f>
        <v>27600</v>
      </c>
      <c r="BL323" s="23" t="s">
        <v>218</v>
      </c>
      <c r="BM323" s="101" t="s">
        <v>2054</v>
      </c>
    </row>
    <row r="324" spans="2:65" s="1" customFormat="1" ht="16.5" customHeight="1">
      <c r="B324" s="12"/>
      <c r="C324" s="71" t="s">
        <v>1383</v>
      </c>
      <c r="D324" s="71" t="s">
        <v>214</v>
      </c>
      <c r="E324" s="72" t="s">
        <v>4539</v>
      </c>
      <c r="F324" s="73" t="s">
        <v>4540</v>
      </c>
      <c r="G324" s="74" t="s">
        <v>1198</v>
      </c>
      <c r="H324" s="75">
        <v>18.399999999999999</v>
      </c>
      <c r="I324" s="90">
        <v>250</v>
      </c>
      <c r="J324" s="91">
        <f>ROUND(I324*H324,2)</f>
        <v>4600</v>
      </c>
      <c r="K324" s="92"/>
      <c r="L324" s="12"/>
      <c r="M324" s="93" t="s">
        <v>1</v>
      </c>
      <c r="N324" s="94" t="s">
        <v>42</v>
      </c>
      <c r="P324" s="95">
        <f>O324*H324</f>
        <v>0</v>
      </c>
      <c r="Q324" s="95">
        <v>0</v>
      </c>
      <c r="R324" s="95">
        <f>Q324*H324</f>
        <v>0</v>
      </c>
      <c r="S324" s="95">
        <v>0</v>
      </c>
      <c r="T324" s="99">
        <f>S324*H324</f>
        <v>0</v>
      </c>
      <c r="AR324" s="101" t="s">
        <v>218</v>
      </c>
      <c r="AT324" s="101" t="s">
        <v>214</v>
      </c>
      <c r="AU324" s="101" t="s">
        <v>87</v>
      </c>
      <c r="AY324" s="23" t="s">
        <v>211</v>
      </c>
      <c r="BE324" s="104">
        <f>IF(N324="základní",J324,0)</f>
        <v>4600</v>
      </c>
      <c r="BF324" s="104">
        <f>IF(N324="snížená",J324,0)</f>
        <v>0</v>
      </c>
      <c r="BG324" s="104">
        <f>IF(N324="zákl. přenesená",J324,0)</f>
        <v>0</v>
      </c>
      <c r="BH324" s="104">
        <f>IF(N324="sníž. přenesená",J324,0)</f>
        <v>0</v>
      </c>
      <c r="BI324" s="104">
        <f>IF(N324="nulová",J324,0)</f>
        <v>0</v>
      </c>
      <c r="BJ324" s="23" t="s">
        <v>85</v>
      </c>
      <c r="BK324" s="104">
        <f>ROUND(I324*H324,2)</f>
        <v>4600</v>
      </c>
      <c r="BL324" s="23" t="s">
        <v>218</v>
      </c>
      <c r="BM324" s="101" t="s">
        <v>2063</v>
      </c>
    </row>
    <row r="325" spans="2:65" s="31" customFormat="1" ht="23.1" customHeight="1">
      <c r="B325" s="67"/>
      <c r="D325" s="68" t="s">
        <v>76</v>
      </c>
      <c r="E325" s="70" t="s">
        <v>4541</v>
      </c>
      <c r="F325" s="70" t="s">
        <v>4542</v>
      </c>
      <c r="I325" s="85"/>
      <c r="J325" s="89">
        <f>BK325</f>
        <v>45000</v>
      </c>
      <c r="L325" s="67"/>
      <c r="M325" s="87"/>
      <c r="P325" s="88">
        <f>SUM(P326:P330)</f>
        <v>0</v>
      </c>
      <c r="R325" s="88">
        <f>SUM(R326:R330)</f>
        <v>0</v>
      </c>
      <c r="T325" s="98">
        <f>SUM(T326:T330)</f>
        <v>0</v>
      </c>
      <c r="AR325" s="68" t="s">
        <v>85</v>
      </c>
      <c r="AT325" s="100" t="s">
        <v>76</v>
      </c>
      <c r="AU325" s="100" t="s">
        <v>85</v>
      </c>
      <c r="AY325" s="68" t="s">
        <v>211</v>
      </c>
      <c r="BK325" s="103">
        <f>SUM(BK326:BK330)</f>
        <v>45000</v>
      </c>
    </row>
    <row r="326" spans="2:65" s="1" customFormat="1" ht="38.1" customHeight="1">
      <c r="B326" s="12"/>
      <c r="C326" s="71" t="s">
        <v>1387</v>
      </c>
      <c r="D326" s="71" t="s">
        <v>214</v>
      </c>
      <c r="E326" s="72" t="s">
        <v>4543</v>
      </c>
      <c r="F326" s="73" t="s">
        <v>4544</v>
      </c>
      <c r="G326" s="74" t="s">
        <v>234</v>
      </c>
      <c r="H326" s="75">
        <v>1</v>
      </c>
      <c r="I326" s="90">
        <v>10000</v>
      </c>
      <c r="J326" s="91">
        <f>ROUND(I326*H326,2)</f>
        <v>10000</v>
      </c>
      <c r="K326" s="92"/>
      <c r="L326" s="12"/>
      <c r="M326" s="93" t="s">
        <v>1</v>
      </c>
      <c r="N326" s="94" t="s">
        <v>42</v>
      </c>
      <c r="P326" s="95">
        <f>O326*H326</f>
        <v>0</v>
      </c>
      <c r="Q326" s="95">
        <v>0</v>
      </c>
      <c r="R326" s="95">
        <f>Q326*H326</f>
        <v>0</v>
      </c>
      <c r="S326" s="95">
        <v>0</v>
      </c>
      <c r="T326" s="99">
        <f>S326*H326</f>
        <v>0</v>
      </c>
      <c r="AR326" s="101" t="s">
        <v>218</v>
      </c>
      <c r="AT326" s="101" t="s">
        <v>214</v>
      </c>
      <c r="AU326" s="101" t="s">
        <v>87</v>
      </c>
      <c r="AY326" s="23" t="s">
        <v>211</v>
      </c>
      <c r="BE326" s="104">
        <f>IF(N326="základní",J326,0)</f>
        <v>10000</v>
      </c>
      <c r="BF326" s="104">
        <f>IF(N326="snížená",J326,0)</f>
        <v>0</v>
      </c>
      <c r="BG326" s="104">
        <f>IF(N326="zákl. přenesená",J326,0)</f>
        <v>0</v>
      </c>
      <c r="BH326" s="104">
        <f>IF(N326="sníž. přenesená",J326,0)</f>
        <v>0</v>
      </c>
      <c r="BI326" s="104">
        <f>IF(N326="nulová",J326,0)</f>
        <v>0</v>
      </c>
      <c r="BJ326" s="23" t="s">
        <v>85</v>
      </c>
      <c r="BK326" s="104">
        <f>ROUND(I326*H326,2)</f>
        <v>10000</v>
      </c>
      <c r="BL326" s="23" t="s">
        <v>218</v>
      </c>
      <c r="BM326" s="101" t="s">
        <v>2070</v>
      </c>
    </row>
    <row r="327" spans="2:65" s="1" customFormat="1" ht="24.15" customHeight="1">
      <c r="B327" s="12"/>
      <c r="C327" s="71" t="s">
        <v>1391</v>
      </c>
      <c r="D327" s="71" t="s">
        <v>214</v>
      </c>
      <c r="E327" s="72" t="s">
        <v>4545</v>
      </c>
      <c r="F327" s="73" t="s">
        <v>4546</v>
      </c>
      <c r="G327" s="74" t="s">
        <v>234</v>
      </c>
      <c r="H327" s="75">
        <v>1</v>
      </c>
      <c r="I327" s="90">
        <v>10000</v>
      </c>
      <c r="J327" s="91">
        <f>ROUND(I327*H327,2)</f>
        <v>10000</v>
      </c>
      <c r="K327" s="92"/>
      <c r="L327" s="12"/>
      <c r="M327" s="93" t="s">
        <v>1</v>
      </c>
      <c r="N327" s="94" t="s">
        <v>42</v>
      </c>
      <c r="P327" s="95">
        <f>O327*H327</f>
        <v>0</v>
      </c>
      <c r="Q327" s="95">
        <v>0</v>
      </c>
      <c r="R327" s="95">
        <f>Q327*H327</f>
        <v>0</v>
      </c>
      <c r="S327" s="95">
        <v>0</v>
      </c>
      <c r="T327" s="99">
        <f>S327*H327</f>
        <v>0</v>
      </c>
      <c r="AR327" s="101" t="s">
        <v>218</v>
      </c>
      <c r="AT327" s="101" t="s">
        <v>214</v>
      </c>
      <c r="AU327" s="101" t="s">
        <v>87</v>
      </c>
      <c r="AY327" s="23" t="s">
        <v>211</v>
      </c>
      <c r="BE327" s="104">
        <f>IF(N327="základní",J327,0)</f>
        <v>10000</v>
      </c>
      <c r="BF327" s="104">
        <f>IF(N327="snížená",J327,0)</f>
        <v>0</v>
      </c>
      <c r="BG327" s="104">
        <f>IF(N327="zákl. přenesená",J327,0)</f>
        <v>0</v>
      </c>
      <c r="BH327" s="104">
        <f>IF(N327="sníž. přenesená",J327,0)</f>
        <v>0</v>
      </c>
      <c r="BI327" s="104">
        <f>IF(N327="nulová",J327,0)</f>
        <v>0</v>
      </c>
      <c r="BJ327" s="23" t="s">
        <v>85</v>
      </c>
      <c r="BK327" s="104">
        <f>ROUND(I327*H327,2)</f>
        <v>10000</v>
      </c>
      <c r="BL327" s="23" t="s">
        <v>218</v>
      </c>
      <c r="BM327" s="101" t="s">
        <v>2077</v>
      </c>
    </row>
    <row r="328" spans="2:65" s="1" customFormat="1" ht="16.5" customHeight="1">
      <c r="B328" s="12"/>
      <c r="C328" s="71" t="s">
        <v>1394</v>
      </c>
      <c r="D328" s="71" t="s">
        <v>214</v>
      </c>
      <c r="E328" s="72" t="s">
        <v>4547</v>
      </c>
      <c r="F328" s="73" t="s">
        <v>4548</v>
      </c>
      <c r="G328" s="74" t="s">
        <v>808</v>
      </c>
      <c r="H328" s="75">
        <v>1</v>
      </c>
      <c r="I328" s="90">
        <v>5000</v>
      </c>
      <c r="J328" s="91">
        <f>ROUND(I328*H328,2)</f>
        <v>5000</v>
      </c>
      <c r="K328" s="92"/>
      <c r="L328" s="12"/>
      <c r="M328" s="93" t="s">
        <v>1</v>
      </c>
      <c r="N328" s="94" t="s">
        <v>42</v>
      </c>
      <c r="P328" s="95">
        <f>O328*H328</f>
        <v>0</v>
      </c>
      <c r="Q328" s="95">
        <v>0</v>
      </c>
      <c r="R328" s="95">
        <f>Q328*H328</f>
        <v>0</v>
      </c>
      <c r="S328" s="95">
        <v>0</v>
      </c>
      <c r="T328" s="99">
        <f>S328*H328</f>
        <v>0</v>
      </c>
      <c r="AR328" s="101" t="s">
        <v>218</v>
      </c>
      <c r="AT328" s="101" t="s">
        <v>214</v>
      </c>
      <c r="AU328" s="101" t="s">
        <v>87</v>
      </c>
      <c r="AY328" s="23" t="s">
        <v>211</v>
      </c>
      <c r="BE328" s="104">
        <f>IF(N328="základní",J328,0)</f>
        <v>5000</v>
      </c>
      <c r="BF328" s="104">
        <f>IF(N328="snížená",J328,0)</f>
        <v>0</v>
      </c>
      <c r="BG328" s="104">
        <f>IF(N328="zákl. přenesená",J328,0)</f>
        <v>0</v>
      </c>
      <c r="BH328" s="104">
        <f>IF(N328="sníž. přenesená",J328,0)</f>
        <v>0</v>
      </c>
      <c r="BI328" s="104">
        <f>IF(N328="nulová",J328,0)</f>
        <v>0</v>
      </c>
      <c r="BJ328" s="23" t="s">
        <v>85</v>
      </c>
      <c r="BK328" s="104">
        <f>ROUND(I328*H328,2)</f>
        <v>5000</v>
      </c>
      <c r="BL328" s="23" t="s">
        <v>218</v>
      </c>
      <c r="BM328" s="101" t="s">
        <v>2083</v>
      </c>
    </row>
    <row r="329" spans="2:65" s="1" customFormat="1" ht="21.75" customHeight="1">
      <c r="B329" s="12"/>
      <c r="C329" s="71" t="s">
        <v>1397</v>
      </c>
      <c r="D329" s="71" t="s">
        <v>214</v>
      </c>
      <c r="E329" s="72" t="s">
        <v>4557</v>
      </c>
      <c r="F329" s="73" t="s">
        <v>4558</v>
      </c>
      <c r="G329" s="74" t="s">
        <v>808</v>
      </c>
      <c r="H329" s="75">
        <v>1</v>
      </c>
      <c r="I329" s="90">
        <v>10000</v>
      </c>
      <c r="J329" s="91">
        <f>ROUND(I329*H329,2)</f>
        <v>10000</v>
      </c>
      <c r="K329" s="92"/>
      <c r="L329" s="12"/>
      <c r="M329" s="93" t="s">
        <v>1</v>
      </c>
      <c r="N329" s="94" t="s">
        <v>42</v>
      </c>
      <c r="P329" s="95">
        <f>O329*H329</f>
        <v>0</v>
      </c>
      <c r="Q329" s="95">
        <v>0</v>
      </c>
      <c r="R329" s="95">
        <f>Q329*H329</f>
        <v>0</v>
      </c>
      <c r="S329" s="95">
        <v>0</v>
      </c>
      <c r="T329" s="99">
        <f>S329*H329</f>
        <v>0</v>
      </c>
      <c r="AR329" s="101" t="s">
        <v>218</v>
      </c>
      <c r="AT329" s="101" t="s">
        <v>214</v>
      </c>
      <c r="AU329" s="101" t="s">
        <v>87</v>
      </c>
      <c r="AY329" s="23" t="s">
        <v>211</v>
      </c>
      <c r="BE329" s="104">
        <f>IF(N329="základní",J329,0)</f>
        <v>10000</v>
      </c>
      <c r="BF329" s="104">
        <f>IF(N329="snížená",J329,0)</f>
        <v>0</v>
      </c>
      <c r="BG329" s="104">
        <f>IF(N329="zákl. přenesená",J329,0)</f>
        <v>0</v>
      </c>
      <c r="BH329" s="104">
        <f>IF(N329="sníž. přenesená",J329,0)</f>
        <v>0</v>
      </c>
      <c r="BI329" s="104">
        <f>IF(N329="nulová",J329,0)</f>
        <v>0</v>
      </c>
      <c r="BJ329" s="23" t="s">
        <v>85</v>
      </c>
      <c r="BK329" s="104">
        <f>ROUND(I329*H329,2)</f>
        <v>10000</v>
      </c>
      <c r="BL329" s="23" t="s">
        <v>218</v>
      </c>
      <c r="BM329" s="101" t="s">
        <v>2090</v>
      </c>
    </row>
    <row r="330" spans="2:65" s="1" customFormat="1" ht="16.5" customHeight="1">
      <c r="B330" s="12"/>
      <c r="C330" s="71" t="s">
        <v>1401</v>
      </c>
      <c r="D330" s="71" t="s">
        <v>214</v>
      </c>
      <c r="E330" s="72" t="s">
        <v>4549</v>
      </c>
      <c r="F330" s="73" t="s">
        <v>4550</v>
      </c>
      <c r="G330" s="74" t="s">
        <v>808</v>
      </c>
      <c r="H330" s="75">
        <v>1</v>
      </c>
      <c r="I330" s="90">
        <v>10000</v>
      </c>
      <c r="J330" s="91">
        <f>ROUND(I330*H330,2)</f>
        <v>10000</v>
      </c>
      <c r="K330" s="92"/>
      <c r="L330" s="12"/>
      <c r="M330" s="130" t="s">
        <v>1</v>
      </c>
      <c r="N330" s="131" t="s">
        <v>42</v>
      </c>
      <c r="O330" s="110"/>
      <c r="P330" s="132">
        <f>O330*H330</f>
        <v>0</v>
      </c>
      <c r="Q330" s="132">
        <v>0</v>
      </c>
      <c r="R330" s="132">
        <f>Q330*H330</f>
        <v>0</v>
      </c>
      <c r="S330" s="132">
        <v>0</v>
      </c>
      <c r="T330" s="134">
        <f>S330*H330</f>
        <v>0</v>
      </c>
      <c r="AR330" s="101" t="s">
        <v>218</v>
      </c>
      <c r="AT330" s="101" t="s">
        <v>214</v>
      </c>
      <c r="AU330" s="101" t="s">
        <v>87</v>
      </c>
      <c r="AY330" s="23" t="s">
        <v>211</v>
      </c>
      <c r="BE330" s="104">
        <f>IF(N330="základní",J330,0)</f>
        <v>10000</v>
      </c>
      <c r="BF330" s="104">
        <f>IF(N330="snížená",J330,0)</f>
        <v>0</v>
      </c>
      <c r="BG330" s="104">
        <f>IF(N330="zákl. přenesená",J330,0)</f>
        <v>0</v>
      </c>
      <c r="BH330" s="104">
        <f>IF(N330="sníž. přenesená",J330,0)</f>
        <v>0</v>
      </c>
      <c r="BI330" s="104">
        <f>IF(N330="nulová",J330,0)</f>
        <v>0</v>
      </c>
      <c r="BJ330" s="23" t="s">
        <v>85</v>
      </c>
      <c r="BK330" s="104">
        <f>ROUND(I330*H330,2)</f>
        <v>10000</v>
      </c>
      <c r="BL330" s="23" t="s">
        <v>218</v>
      </c>
      <c r="BM330" s="101" t="s">
        <v>2096</v>
      </c>
    </row>
    <row r="331" spans="2:65" s="1" customFormat="1" ht="6.9" customHeight="1">
      <c r="B331" s="26"/>
      <c r="C331" s="27"/>
      <c r="D331" s="27"/>
      <c r="E331" s="27"/>
      <c r="F331" s="27"/>
      <c r="G331" s="27"/>
      <c r="H331" s="27"/>
      <c r="I331" s="27"/>
      <c r="J331" s="27"/>
      <c r="K331" s="27"/>
      <c r="L331" s="12"/>
    </row>
  </sheetData>
  <autoFilter ref="C143:K330" xr:uid="{00000000-0009-0000-0000-000007000000}"/>
  <mergeCells count="12">
    <mergeCell ref="L2:V2"/>
    <mergeCell ref="E7:H7"/>
    <mergeCell ref="E9:H9"/>
    <mergeCell ref="E11:H11"/>
    <mergeCell ref="E20:H20"/>
    <mergeCell ref="E134:H134"/>
    <mergeCell ref="E136:H136"/>
    <mergeCell ref="E29:H29"/>
    <mergeCell ref="E85:H85"/>
    <mergeCell ref="E87:H87"/>
    <mergeCell ref="E89:H89"/>
    <mergeCell ref="E132:H132"/>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BM310"/>
  <sheetViews>
    <sheetView showGridLines="0" topLeftCell="A14" zoomScale="130" zoomScaleNormal="130" workbookViewId="0">
      <selection activeCell="I309" sqref="I309"/>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113</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2" customHeight="1">
      <c r="B8" s="5"/>
      <c r="D8" s="10" t="s">
        <v>182</v>
      </c>
      <c r="L8" s="5"/>
    </row>
    <row r="9" spans="2:46" s="1" customFormat="1" ht="16.5" customHeight="1">
      <c r="B9" s="12"/>
      <c r="E9" s="392" t="s">
        <v>293</v>
      </c>
      <c r="F9" s="394"/>
      <c r="G9" s="394"/>
      <c r="H9" s="394"/>
      <c r="L9" s="12"/>
    </row>
    <row r="10" spans="2:46" s="1" customFormat="1" ht="12" customHeight="1">
      <c r="B10" s="12"/>
      <c r="D10" s="10" t="s">
        <v>296</v>
      </c>
      <c r="L10" s="12"/>
    </row>
    <row r="11" spans="2:46" s="1" customFormat="1" ht="16.5" customHeight="1">
      <c r="B11" s="12"/>
      <c r="E11" s="381" t="s">
        <v>4561</v>
      </c>
      <c r="F11" s="394"/>
      <c r="G11" s="394"/>
      <c r="H11" s="394"/>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395" t="str">
        <f>'Rekapitulace stavby'!E14</f>
        <v>DMG Stav a.s.</v>
      </c>
      <c r="F20" s="384"/>
      <c r="G20" s="384"/>
      <c r="H20" s="384"/>
      <c r="I20" s="10" t="s">
        <v>26</v>
      </c>
      <c r="J20" s="33" t="str">
        <f>'Rekapitulace stavby'!AN14</f>
        <v>CZ 08004013</v>
      </c>
      <c r="L20" s="12"/>
    </row>
    <row r="21" spans="2:12" s="1" customFormat="1" ht="6.9"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 customHeight="1">
      <c r="B27" s="12"/>
      <c r="L27" s="12"/>
    </row>
    <row r="28" spans="2:12" s="1" customFormat="1" ht="12" customHeight="1">
      <c r="B28" s="12"/>
      <c r="D28" s="10" t="s">
        <v>36</v>
      </c>
      <c r="L28" s="12"/>
    </row>
    <row r="29" spans="2:12" s="28" customFormat="1" ht="16.5" customHeight="1">
      <c r="B29" s="34"/>
      <c r="E29" s="388" t="s">
        <v>1</v>
      </c>
      <c r="F29" s="388"/>
      <c r="G29" s="388"/>
      <c r="H29" s="388"/>
      <c r="L29" s="34"/>
    </row>
    <row r="30" spans="2:12" s="1" customFormat="1" ht="6.9" customHeight="1">
      <c r="B30" s="12"/>
      <c r="L30" s="12"/>
    </row>
    <row r="31" spans="2:12" s="1" customFormat="1" ht="6.9" customHeight="1">
      <c r="B31" s="12"/>
      <c r="D31" s="35"/>
      <c r="E31" s="35"/>
      <c r="F31" s="35"/>
      <c r="G31" s="35"/>
      <c r="H31" s="35"/>
      <c r="I31" s="35"/>
      <c r="J31" s="35"/>
      <c r="K31" s="35"/>
      <c r="L31" s="12"/>
    </row>
    <row r="32" spans="2:12" s="1" customFormat="1" ht="25.35" customHeight="1">
      <c r="B32" s="12"/>
      <c r="D32" s="36" t="s">
        <v>37</v>
      </c>
      <c r="J32" s="51">
        <f>ROUND(J150,2)</f>
        <v>3569260</v>
      </c>
      <c r="L32" s="12"/>
    </row>
    <row r="33" spans="2:12" s="1" customFormat="1" ht="6.9" customHeight="1">
      <c r="B33" s="12"/>
      <c r="D33" s="35"/>
      <c r="E33" s="35"/>
      <c r="F33" s="35"/>
      <c r="G33" s="35"/>
      <c r="H33" s="35"/>
      <c r="I33" s="35"/>
      <c r="J33" s="35"/>
      <c r="K33" s="35"/>
      <c r="L33" s="12"/>
    </row>
    <row r="34" spans="2:12" s="1" customFormat="1" ht="14.4" customHeight="1">
      <c r="B34" s="12"/>
      <c r="F34" s="37" t="s">
        <v>39</v>
      </c>
      <c r="I34" s="37" t="s">
        <v>38</v>
      </c>
      <c r="J34" s="37" t="s">
        <v>40</v>
      </c>
      <c r="L34" s="12"/>
    </row>
    <row r="35" spans="2:12" s="1" customFormat="1" ht="14.4" customHeight="1">
      <c r="B35" s="12"/>
      <c r="D35" s="38" t="s">
        <v>41</v>
      </c>
      <c r="E35" s="10" t="s">
        <v>42</v>
      </c>
      <c r="F35" s="39">
        <f>ROUND((SUM(BE150:BE309)),2)</f>
        <v>3569260</v>
      </c>
      <c r="I35" s="52">
        <v>0.21</v>
      </c>
      <c r="J35" s="39">
        <f>ROUND(((SUM(BE150:BE309))*I35),2)</f>
        <v>749544.6</v>
      </c>
      <c r="L35" s="12"/>
    </row>
    <row r="36" spans="2:12" s="1" customFormat="1" ht="14.4" customHeight="1">
      <c r="B36" s="12"/>
      <c r="E36" s="10" t="s">
        <v>43</v>
      </c>
      <c r="F36" s="39">
        <f>ROUND((SUM(BF150:BF309)),2)</f>
        <v>0</v>
      </c>
      <c r="I36" s="52">
        <v>0.15</v>
      </c>
      <c r="J36" s="39">
        <f>ROUND(((SUM(BF150:BF309))*I36),2)</f>
        <v>0</v>
      </c>
      <c r="L36" s="12"/>
    </row>
    <row r="37" spans="2:12" s="1" customFormat="1" ht="14.4" hidden="1" customHeight="1">
      <c r="B37" s="12"/>
      <c r="E37" s="10" t="s">
        <v>44</v>
      </c>
      <c r="F37" s="39">
        <f>ROUND((SUM(BG150:BG309)),2)</f>
        <v>0</v>
      </c>
      <c r="I37" s="52">
        <v>0.21</v>
      </c>
      <c r="J37" s="39">
        <f>0</f>
        <v>0</v>
      </c>
      <c r="L37" s="12"/>
    </row>
    <row r="38" spans="2:12" s="1" customFormat="1" ht="14.4" hidden="1" customHeight="1">
      <c r="B38" s="12"/>
      <c r="E38" s="10" t="s">
        <v>45</v>
      </c>
      <c r="F38" s="39">
        <f>ROUND((SUM(BH150:BH309)),2)</f>
        <v>0</v>
      </c>
      <c r="I38" s="52">
        <v>0.15</v>
      </c>
      <c r="J38" s="39">
        <f>0</f>
        <v>0</v>
      </c>
      <c r="L38" s="12"/>
    </row>
    <row r="39" spans="2:12" s="1" customFormat="1" ht="14.4" hidden="1" customHeight="1">
      <c r="B39" s="12"/>
      <c r="E39" s="10" t="s">
        <v>46</v>
      </c>
      <c r="F39" s="39">
        <f>ROUND((SUM(BI150:BI309)),2)</f>
        <v>0</v>
      </c>
      <c r="I39" s="52">
        <v>0</v>
      </c>
      <c r="J39" s="39">
        <f>0</f>
        <v>0</v>
      </c>
      <c r="L39" s="12"/>
    </row>
    <row r="40" spans="2:12" s="1" customFormat="1" ht="6.9" customHeight="1">
      <c r="B40" s="12"/>
      <c r="L40" s="12"/>
    </row>
    <row r="41" spans="2:12" s="1" customFormat="1" ht="25.35" customHeight="1">
      <c r="B41" s="12"/>
      <c r="C41" s="40"/>
      <c r="D41" s="41" t="s">
        <v>47</v>
      </c>
      <c r="E41" s="42"/>
      <c r="F41" s="42"/>
      <c r="G41" s="43" t="s">
        <v>48</v>
      </c>
      <c r="H41" s="44" t="s">
        <v>49</v>
      </c>
      <c r="I41" s="42"/>
      <c r="J41" s="53">
        <f>SUM(J32:J39)</f>
        <v>4318804.5999999996</v>
      </c>
      <c r="K41" s="54"/>
      <c r="L41" s="12"/>
    </row>
    <row r="42" spans="2:12" s="1" customFormat="1" ht="14.4" customHeight="1">
      <c r="B42" s="12"/>
      <c r="L42" s="12"/>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s="1" customFormat="1" ht="16.5" customHeight="1">
      <c r="B87" s="12"/>
      <c r="E87" s="392" t="s">
        <v>293</v>
      </c>
      <c r="F87" s="394"/>
      <c r="G87" s="394"/>
      <c r="H87" s="394"/>
      <c r="L87" s="12"/>
    </row>
    <row r="88" spans="2:12" s="1" customFormat="1" ht="12" customHeight="1">
      <c r="B88" s="12"/>
      <c r="C88" s="10" t="s">
        <v>296</v>
      </c>
      <c r="L88" s="12"/>
    </row>
    <row r="89" spans="2:12" s="1" customFormat="1" ht="16.5" customHeight="1">
      <c r="B89" s="12"/>
      <c r="E89" s="381" t="str">
        <f>E11</f>
        <v>D1.530 - ÚT - Rozvody tepla</v>
      </c>
      <c r="F89" s="394"/>
      <c r="G89" s="394"/>
      <c r="H89" s="394"/>
      <c r="L89" s="12"/>
    </row>
    <row r="90" spans="2:12" s="1" customFormat="1" ht="6.9" customHeight="1">
      <c r="B90" s="12"/>
      <c r="L90" s="12"/>
    </row>
    <row r="91" spans="2:12" s="1" customFormat="1" ht="12" customHeight="1">
      <c r="B91" s="12"/>
      <c r="C91" s="10" t="s">
        <v>20</v>
      </c>
      <c r="F91" s="32" t="str">
        <f>F14</f>
        <v>Praha</v>
      </c>
      <c r="I91" s="10" t="s">
        <v>22</v>
      </c>
      <c r="J91" s="11">
        <f>IF(J14="","",J14)</f>
        <v>45000</v>
      </c>
      <c r="L91" s="12"/>
    </row>
    <row r="92" spans="2:12" s="1" customFormat="1" ht="6.9" customHeight="1">
      <c r="B92" s="12"/>
      <c r="L92" s="12"/>
    </row>
    <row r="93" spans="2:12" s="1" customFormat="1" ht="15.15" customHeight="1">
      <c r="B93" s="12"/>
      <c r="C93" s="10" t="s">
        <v>23</v>
      </c>
      <c r="F93" s="32" t="str">
        <f>E17</f>
        <v>VELTON REAL ESTATE</v>
      </c>
      <c r="I93" s="10" t="s">
        <v>31</v>
      </c>
      <c r="J93" s="8" t="str">
        <f>E23</f>
        <v>ABMV World s.r.o</v>
      </c>
      <c r="L93" s="12"/>
    </row>
    <row r="94" spans="2:12" s="1" customFormat="1" ht="15.15"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J150</f>
        <v>3569260</v>
      </c>
      <c r="L98" s="12"/>
      <c r="AU98" s="23" t="s">
        <v>188</v>
      </c>
    </row>
    <row r="99" spans="2:47" s="29" customFormat="1" ht="24.9" customHeight="1">
      <c r="B99" s="60"/>
      <c r="D99" s="61" t="s">
        <v>4562</v>
      </c>
      <c r="E99" s="62"/>
      <c r="F99" s="62"/>
      <c r="G99" s="62"/>
      <c r="H99" s="62"/>
      <c r="I99" s="62"/>
      <c r="J99" s="77">
        <f>J151</f>
        <v>711340</v>
      </c>
      <c r="L99" s="60"/>
    </row>
    <row r="100" spans="2:47" s="30" customFormat="1" ht="20.100000000000001" customHeight="1">
      <c r="B100" s="63"/>
      <c r="D100" s="64" t="s">
        <v>4563</v>
      </c>
      <c r="E100" s="65"/>
      <c r="F100" s="65"/>
      <c r="G100" s="65"/>
      <c r="H100" s="65"/>
      <c r="I100" s="65"/>
      <c r="J100" s="78">
        <f>J152</f>
        <v>259000</v>
      </c>
      <c r="L100" s="63"/>
    </row>
    <row r="101" spans="2:47" s="30" customFormat="1" ht="20.100000000000001" customHeight="1">
      <c r="B101" s="63"/>
      <c r="D101" s="64" t="s">
        <v>4564</v>
      </c>
      <c r="E101" s="65"/>
      <c r="F101" s="65"/>
      <c r="G101" s="65"/>
      <c r="H101" s="65"/>
      <c r="I101" s="65"/>
      <c r="J101" s="78">
        <f>J155</f>
        <v>172000</v>
      </c>
      <c r="L101" s="63"/>
    </row>
    <row r="102" spans="2:47" s="30" customFormat="1" ht="20.100000000000001" customHeight="1">
      <c r="B102" s="63"/>
      <c r="D102" s="64" t="s">
        <v>4565</v>
      </c>
      <c r="E102" s="65"/>
      <c r="F102" s="65"/>
      <c r="G102" s="65"/>
      <c r="H102" s="65"/>
      <c r="I102" s="65"/>
      <c r="J102" s="78">
        <f>J167</f>
        <v>222500</v>
      </c>
      <c r="L102" s="63"/>
    </row>
    <row r="103" spans="2:47" s="30" customFormat="1" ht="20.100000000000001" customHeight="1">
      <c r="B103" s="63"/>
      <c r="D103" s="64" t="s">
        <v>4566</v>
      </c>
      <c r="E103" s="65"/>
      <c r="F103" s="65"/>
      <c r="G103" s="65"/>
      <c r="H103" s="65"/>
      <c r="I103" s="65"/>
      <c r="J103" s="78">
        <f>J173</f>
        <v>31000</v>
      </c>
      <c r="L103" s="63"/>
    </row>
    <row r="104" spans="2:47" s="30" customFormat="1" ht="20.100000000000001" customHeight="1">
      <c r="B104" s="63"/>
      <c r="D104" s="64" t="s">
        <v>4567</v>
      </c>
      <c r="E104" s="65"/>
      <c r="F104" s="65"/>
      <c r="G104" s="65"/>
      <c r="H104" s="65"/>
      <c r="I104" s="65"/>
      <c r="J104" s="78">
        <f>J176</f>
        <v>3000</v>
      </c>
      <c r="L104" s="63"/>
    </row>
    <row r="105" spans="2:47" s="30" customFormat="1" ht="20.100000000000001" customHeight="1">
      <c r="B105" s="63"/>
      <c r="D105" s="64" t="s">
        <v>4568</v>
      </c>
      <c r="E105" s="65"/>
      <c r="F105" s="65"/>
      <c r="G105" s="65"/>
      <c r="H105" s="65"/>
      <c r="I105" s="65"/>
      <c r="J105" s="78">
        <f>J178</f>
        <v>16960</v>
      </c>
      <c r="L105" s="63"/>
    </row>
    <row r="106" spans="2:47" s="30" customFormat="1" ht="20.100000000000001" customHeight="1">
      <c r="B106" s="63"/>
      <c r="D106" s="64" t="s">
        <v>4569</v>
      </c>
      <c r="E106" s="65"/>
      <c r="F106" s="65"/>
      <c r="G106" s="65"/>
      <c r="H106" s="65"/>
      <c r="I106" s="65"/>
      <c r="J106" s="78">
        <f>J192</f>
        <v>6880</v>
      </c>
      <c r="L106" s="63"/>
    </row>
    <row r="107" spans="2:47" s="29" customFormat="1" ht="24.9" customHeight="1">
      <c r="B107" s="60"/>
      <c r="D107" s="61" t="s">
        <v>4570</v>
      </c>
      <c r="E107" s="62"/>
      <c r="F107" s="62"/>
      <c r="G107" s="62"/>
      <c r="H107" s="62"/>
      <c r="I107" s="62"/>
      <c r="J107" s="77">
        <f>J196</f>
        <v>630000</v>
      </c>
      <c r="L107" s="60"/>
    </row>
    <row r="108" spans="2:47" s="30" customFormat="1" ht="20.100000000000001" customHeight="1">
      <c r="B108" s="63"/>
      <c r="D108" s="64" t="s">
        <v>4571</v>
      </c>
      <c r="E108" s="65"/>
      <c r="F108" s="65"/>
      <c r="G108" s="65"/>
      <c r="H108" s="65"/>
      <c r="I108" s="65"/>
      <c r="J108" s="78">
        <f>J197</f>
        <v>104000</v>
      </c>
      <c r="L108" s="63"/>
    </row>
    <row r="109" spans="2:47" s="30" customFormat="1" ht="20.100000000000001" customHeight="1">
      <c r="B109" s="63"/>
      <c r="D109" s="64" t="s">
        <v>4572</v>
      </c>
      <c r="E109" s="65"/>
      <c r="F109" s="65"/>
      <c r="G109" s="65"/>
      <c r="H109" s="65"/>
      <c r="I109" s="65"/>
      <c r="J109" s="78">
        <f>J204</f>
        <v>526000</v>
      </c>
      <c r="L109" s="63"/>
    </row>
    <row r="110" spans="2:47" s="29" customFormat="1" ht="24.9" customHeight="1">
      <c r="B110" s="60"/>
      <c r="D110" s="61" t="s">
        <v>4573</v>
      </c>
      <c r="E110" s="62"/>
      <c r="F110" s="62"/>
      <c r="G110" s="62"/>
      <c r="H110" s="62"/>
      <c r="I110" s="62"/>
      <c r="J110" s="77">
        <f>J211</f>
        <v>1540800</v>
      </c>
      <c r="L110" s="60"/>
    </row>
    <row r="111" spans="2:47" s="30" customFormat="1" ht="20.100000000000001" customHeight="1">
      <c r="B111" s="63"/>
      <c r="D111" s="64" t="s">
        <v>4574</v>
      </c>
      <c r="E111" s="65"/>
      <c r="F111" s="65"/>
      <c r="G111" s="65"/>
      <c r="H111" s="65"/>
      <c r="I111" s="65"/>
      <c r="J111" s="78">
        <f>J212</f>
        <v>38400</v>
      </c>
      <c r="L111" s="63"/>
    </row>
    <row r="112" spans="2:47" s="30" customFormat="1" ht="20.100000000000001" customHeight="1">
      <c r="B112" s="63"/>
      <c r="D112" s="64" t="s">
        <v>4575</v>
      </c>
      <c r="E112" s="65"/>
      <c r="F112" s="65"/>
      <c r="G112" s="65"/>
      <c r="H112" s="65"/>
      <c r="I112" s="65"/>
      <c r="J112" s="78">
        <f>J217</f>
        <v>3500</v>
      </c>
      <c r="L112" s="63"/>
    </row>
    <row r="113" spans="2:12" s="30" customFormat="1" ht="20.100000000000001" customHeight="1">
      <c r="B113" s="63"/>
      <c r="D113" s="64" t="s">
        <v>4576</v>
      </c>
      <c r="E113" s="65"/>
      <c r="F113" s="65"/>
      <c r="G113" s="65"/>
      <c r="H113" s="65"/>
      <c r="I113" s="65"/>
      <c r="J113" s="78">
        <f>J220</f>
        <v>34000</v>
      </c>
      <c r="L113" s="63"/>
    </row>
    <row r="114" spans="2:12" s="30" customFormat="1" ht="20.100000000000001" customHeight="1">
      <c r="B114" s="63"/>
      <c r="D114" s="64" t="s">
        <v>4577</v>
      </c>
      <c r="E114" s="65"/>
      <c r="F114" s="65"/>
      <c r="G114" s="65"/>
      <c r="H114" s="65"/>
      <c r="I114" s="65"/>
      <c r="J114" s="78">
        <f>J223</f>
        <v>436900</v>
      </c>
      <c r="L114" s="63"/>
    </row>
    <row r="115" spans="2:12" s="30" customFormat="1" ht="20.100000000000001" customHeight="1">
      <c r="B115" s="63"/>
      <c r="D115" s="64" t="s">
        <v>4578</v>
      </c>
      <c r="E115" s="65"/>
      <c r="F115" s="65"/>
      <c r="G115" s="65"/>
      <c r="H115" s="65"/>
      <c r="I115" s="65"/>
      <c r="J115" s="78">
        <f>J239</f>
        <v>376000</v>
      </c>
      <c r="L115" s="63"/>
    </row>
    <row r="116" spans="2:12" s="30" customFormat="1" ht="20.100000000000001" customHeight="1">
      <c r="B116" s="63"/>
      <c r="D116" s="64" t="s">
        <v>4579</v>
      </c>
      <c r="E116" s="65"/>
      <c r="F116" s="65"/>
      <c r="G116" s="65"/>
      <c r="H116" s="65"/>
      <c r="I116" s="65"/>
      <c r="J116" s="78">
        <f>J248</f>
        <v>137000</v>
      </c>
      <c r="L116" s="63"/>
    </row>
    <row r="117" spans="2:12" s="30" customFormat="1" ht="20.100000000000001" customHeight="1">
      <c r="B117" s="63"/>
      <c r="D117" s="64" t="s">
        <v>4580</v>
      </c>
      <c r="E117" s="65"/>
      <c r="F117" s="65"/>
      <c r="G117" s="65"/>
      <c r="H117" s="65"/>
      <c r="I117" s="65"/>
      <c r="J117" s="78">
        <f>J251</f>
        <v>313600</v>
      </c>
      <c r="L117" s="63"/>
    </row>
    <row r="118" spans="2:12" s="30" customFormat="1" ht="20.100000000000001" customHeight="1">
      <c r="B118" s="63"/>
      <c r="D118" s="64" t="s">
        <v>4581</v>
      </c>
      <c r="E118" s="65"/>
      <c r="F118" s="65"/>
      <c r="G118" s="65"/>
      <c r="H118" s="65"/>
      <c r="I118" s="65"/>
      <c r="J118" s="78">
        <f>J261</f>
        <v>74400</v>
      </c>
      <c r="L118" s="63"/>
    </row>
    <row r="119" spans="2:12" s="30" customFormat="1" ht="20.100000000000001" customHeight="1">
      <c r="B119" s="63"/>
      <c r="D119" s="64" t="s">
        <v>4582</v>
      </c>
      <c r="E119" s="65"/>
      <c r="F119" s="65"/>
      <c r="G119" s="65"/>
      <c r="H119" s="65"/>
      <c r="I119" s="65"/>
      <c r="J119" s="78">
        <f>J265</f>
        <v>127000</v>
      </c>
      <c r="L119" s="63"/>
    </row>
    <row r="120" spans="2:12" s="29" customFormat="1" ht="24.9" customHeight="1">
      <c r="B120" s="60"/>
      <c r="D120" s="61" t="s">
        <v>4583</v>
      </c>
      <c r="E120" s="62"/>
      <c r="F120" s="62"/>
      <c r="G120" s="62"/>
      <c r="H120" s="62"/>
      <c r="I120" s="62"/>
      <c r="J120" s="77">
        <f>J269</f>
        <v>687120</v>
      </c>
      <c r="L120" s="60"/>
    </row>
    <row r="121" spans="2:12" s="30" customFormat="1" ht="20.100000000000001" customHeight="1">
      <c r="B121" s="63"/>
      <c r="D121" s="64" t="s">
        <v>4584</v>
      </c>
      <c r="E121" s="65"/>
      <c r="F121" s="65"/>
      <c r="G121" s="65"/>
      <c r="H121" s="65"/>
      <c r="I121" s="65"/>
      <c r="J121" s="78">
        <f>J270</f>
        <v>278000</v>
      </c>
      <c r="L121" s="63"/>
    </row>
    <row r="122" spans="2:12" s="30" customFormat="1" ht="20.100000000000001" customHeight="1">
      <c r="B122" s="63"/>
      <c r="D122" s="64" t="s">
        <v>4585</v>
      </c>
      <c r="E122" s="65"/>
      <c r="F122" s="65"/>
      <c r="G122" s="65"/>
      <c r="H122" s="65"/>
      <c r="I122" s="65"/>
      <c r="J122" s="78">
        <f>J277</f>
        <v>141900</v>
      </c>
      <c r="L122" s="63"/>
    </row>
    <row r="123" spans="2:12" s="30" customFormat="1" ht="20.100000000000001" customHeight="1">
      <c r="B123" s="63"/>
      <c r="D123" s="64" t="s">
        <v>4586</v>
      </c>
      <c r="E123" s="65"/>
      <c r="F123" s="65"/>
      <c r="G123" s="65"/>
      <c r="H123" s="65"/>
      <c r="I123" s="65"/>
      <c r="J123" s="78">
        <f>J283</f>
        <v>1120</v>
      </c>
      <c r="L123" s="63"/>
    </row>
    <row r="124" spans="2:12" s="30" customFormat="1" ht="20.100000000000001" customHeight="1">
      <c r="B124" s="63"/>
      <c r="D124" s="64" t="s">
        <v>4587</v>
      </c>
      <c r="E124" s="65"/>
      <c r="F124" s="65"/>
      <c r="G124" s="65"/>
      <c r="H124" s="65"/>
      <c r="I124" s="65"/>
      <c r="J124" s="78">
        <f>J286</f>
        <v>133500</v>
      </c>
      <c r="L124" s="63"/>
    </row>
    <row r="125" spans="2:12" s="30" customFormat="1" ht="20.100000000000001" customHeight="1">
      <c r="B125" s="63"/>
      <c r="D125" s="64" t="s">
        <v>4588</v>
      </c>
      <c r="E125" s="65"/>
      <c r="F125" s="65"/>
      <c r="G125" s="65"/>
      <c r="H125" s="65"/>
      <c r="I125" s="65"/>
      <c r="J125" s="78">
        <f>J295</f>
        <v>89600</v>
      </c>
      <c r="L125" s="63"/>
    </row>
    <row r="126" spans="2:12" s="30" customFormat="1" ht="20.100000000000001" customHeight="1">
      <c r="B126" s="63"/>
      <c r="D126" s="64" t="s">
        <v>4589</v>
      </c>
      <c r="E126" s="65"/>
      <c r="F126" s="65"/>
      <c r="G126" s="65"/>
      <c r="H126" s="65"/>
      <c r="I126" s="65"/>
      <c r="J126" s="78">
        <f>J301</f>
        <v>20000</v>
      </c>
      <c r="L126" s="63"/>
    </row>
    <row r="127" spans="2:12" s="30" customFormat="1" ht="20.100000000000001" customHeight="1">
      <c r="B127" s="63"/>
      <c r="D127" s="64" t="s">
        <v>4590</v>
      </c>
      <c r="E127" s="65"/>
      <c r="F127" s="65"/>
      <c r="G127" s="65"/>
      <c r="H127" s="65"/>
      <c r="I127" s="65"/>
      <c r="J127" s="78">
        <f>J304</f>
        <v>20000</v>
      </c>
      <c r="L127" s="63"/>
    </row>
    <row r="128" spans="2:12" s="30" customFormat="1" ht="20.100000000000001" customHeight="1">
      <c r="B128" s="63"/>
      <c r="D128" s="64" t="s">
        <v>4591</v>
      </c>
      <c r="E128" s="65"/>
      <c r="F128" s="65"/>
      <c r="G128" s="65"/>
      <c r="H128" s="65"/>
      <c r="I128" s="65"/>
      <c r="J128" s="78">
        <f>J307</f>
        <v>3000</v>
      </c>
      <c r="L128" s="63"/>
    </row>
    <row r="129" spans="2:12" s="1" customFormat="1" ht="21.75" customHeight="1">
      <c r="B129" s="12"/>
      <c r="L129" s="12"/>
    </row>
    <row r="130" spans="2:12" s="1" customFormat="1" ht="6.9" customHeight="1">
      <c r="B130" s="26"/>
      <c r="C130" s="27"/>
      <c r="D130" s="27"/>
      <c r="E130" s="27"/>
      <c r="F130" s="27"/>
      <c r="G130" s="27"/>
      <c r="H130" s="27"/>
      <c r="I130" s="27"/>
      <c r="J130" s="27"/>
      <c r="K130" s="27"/>
      <c r="L130" s="12"/>
    </row>
    <row r="134" spans="2:12" s="1" customFormat="1" ht="6.9" customHeight="1">
      <c r="B134" s="56"/>
      <c r="C134" s="57"/>
      <c r="D134" s="57"/>
      <c r="E134" s="57"/>
      <c r="F134" s="57"/>
      <c r="G134" s="57"/>
      <c r="H134" s="57"/>
      <c r="I134" s="57"/>
      <c r="J134" s="57"/>
      <c r="K134" s="57"/>
      <c r="L134" s="12"/>
    </row>
    <row r="135" spans="2:12" s="1" customFormat="1" ht="24.9" customHeight="1">
      <c r="B135" s="12"/>
      <c r="C135" s="6" t="s">
        <v>195</v>
      </c>
      <c r="L135" s="12"/>
    </row>
    <row r="136" spans="2:12" s="1" customFormat="1" ht="6.9" customHeight="1">
      <c r="B136" s="12"/>
      <c r="L136" s="12"/>
    </row>
    <row r="137" spans="2:12" s="1" customFormat="1" ht="12" customHeight="1">
      <c r="B137" s="12"/>
      <c r="C137" s="10" t="s">
        <v>16</v>
      </c>
      <c r="L137" s="12"/>
    </row>
    <row r="138" spans="2:12" s="1" customFormat="1" ht="16.5" customHeight="1">
      <c r="B138" s="12"/>
      <c r="E138" s="392" t="str">
        <f>E7</f>
        <v>Bytový soubor Libuše</v>
      </c>
      <c r="F138" s="393"/>
      <c r="G138" s="393"/>
      <c r="H138" s="393"/>
      <c r="L138" s="12"/>
    </row>
    <row r="139" spans="2:12" ht="12" customHeight="1">
      <c r="B139" s="5"/>
      <c r="C139" s="10" t="s">
        <v>182</v>
      </c>
      <c r="L139" s="5"/>
    </row>
    <row r="140" spans="2:12" s="1" customFormat="1" ht="16.5" customHeight="1">
      <c r="B140" s="12"/>
      <c r="E140" s="392" t="s">
        <v>293</v>
      </c>
      <c r="F140" s="394"/>
      <c r="G140" s="394"/>
      <c r="H140" s="394"/>
      <c r="L140" s="12"/>
    </row>
    <row r="141" spans="2:12" s="1" customFormat="1" ht="12" customHeight="1">
      <c r="B141" s="12"/>
      <c r="C141" s="10" t="s">
        <v>296</v>
      </c>
      <c r="L141" s="12"/>
    </row>
    <row r="142" spans="2:12" s="1" customFormat="1" ht="16.5" customHeight="1">
      <c r="B142" s="12"/>
      <c r="E142" s="381" t="str">
        <f>E11</f>
        <v>D1.530 - ÚT - Rozvody tepla</v>
      </c>
      <c r="F142" s="394"/>
      <c r="G142" s="394"/>
      <c r="H142" s="394"/>
      <c r="L142" s="12"/>
    </row>
    <row r="143" spans="2:12" s="1" customFormat="1" ht="6.9" customHeight="1">
      <c r="B143" s="12"/>
      <c r="L143" s="12"/>
    </row>
    <row r="144" spans="2:12" s="1" customFormat="1" ht="12" customHeight="1">
      <c r="B144" s="12"/>
      <c r="C144" s="10" t="s">
        <v>20</v>
      </c>
      <c r="F144" s="32" t="str">
        <f>F14</f>
        <v>Praha</v>
      </c>
      <c r="I144" s="10" t="s">
        <v>22</v>
      </c>
      <c r="J144" s="11">
        <f>IF(J14="","",J14)</f>
        <v>45000</v>
      </c>
      <c r="L144" s="12"/>
    </row>
    <row r="145" spans="2:65" s="1" customFormat="1" ht="6.9" customHeight="1">
      <c r="B145" s="12"/>
      <c r="L145" s="12"/>
    </row>
    <row r="146" spans="2:65" s="1" customFormat="1" ht="15.15" customHeight="1">
      <c r="B146" s="12"/>
      <c r="C146" s="10" t="s">
        <v>23</v>
      </c>
      <c r="F146" s="32" t="str">
        <f>E17</f>
        <v>VELTON REAL ESTATE</v>
      </c>
      <c r="I146" s="10" t="s">
        <v>31</v>
      </c>
      <c r="J146" s="8" t="str">
        <f>E23</f>
        <v>ABMV World s.r.o</v>
      </c>
      <c r="L146" s="12"/>
    </row>
    <row r="147" spans="2:65" s="1" customFormat="1" ht="15.15" customHeight="1">
      <c r="B147" s="12"/>
      <c r="C147" s="10" t="s">
        <v>27</v>
      </c>
      <c r="F147" s="32" t="str">
        <f>IF(E20="","",E20)</f>
        <v>DMG Stav a.s.</v>
      </c>
      <c r="I147" s="10" t="s">
        <v>34</v>
      </c>
      <c r="J147" s="8" t="str">
        <f>E26</f>
        <v>QSB s.r.o.</v>
      </c>
      <c r="L147" s="12"/>
    </row>
    <row r="148" spans="2:65" s="1" customFormat="1" ht="10.35" customHeight="1">
      <c r="B148" s="12"/>
      <c r="L148" s="12"/>
    </row>
    <row r="149" spans="2:65" s="2" customFormat="1" ht="29.25" customHeight="1">
      <c r="B149" s="13"/>
      <c r="C149" s="14" t="s">
        <v>196</v>
      </c>
      <c r="D149" s="15" t="s">
        <v>62</v>
      </c>
      <c r="E149" s="15" t="s">
        <v>58</v>
      </c>
      <c r="F149" s="15" t="s">
        <v>59</v>
      </c>
      <c r="G149" s="15" t="s">
        <v>197</v>
      </c>
      <c r="H149" s="15" t="s">
        <v>198</v>
      </c>
      <c r="I149" s="15" t="s">
        <v>199</v>
      </c>
      <c r="J149" s="16" t="s">
        <v>186</v>
      </c>
      <c r="K149" s="79" t="s">
        <v>200</v>
      </c>
      <c r="L149" s="13"/>
      <c r="M149" s="80" t="s">
        <v>1</v>
      </c>
      <c r="N149" s="81" t="s">
        <v>41</v>
      </c>
      <c r="O149" s="81" t="s">
        <v>201</v>
      </c>
      <c r="P149" s="81" t="s">
        <v>202</v>
      </c>
      <c r="Q149" s="81" t="s">
        <v>203</v>
      </c>
      <c r="R149" s="81" t="s">
        <v>204</v>
      </c>
      <c r="S149" s="81" t="s">
        <v>205</v>
      </c>
      <c r="T149" s="96" t="s">
        <v>206</v>
      </c>
    </row>
    <row r="150" spans="2:65" s="1" customFormat="1" ht="23.1" customHeight="1">
      <c r="B150" s="12"/>
      <c r="C150" s="66" t="s">
        <v>207</v>
      </c>
      <c r="J150" s="82">
        <f>BK150</f>
        <v>3569260</v>
      </c>
      <c r="L150" s="12"/>
      <c r="M150" s="83"/>
      <c r="N150" s="35"/>
      <c r="O150" s="35"/>
      <c r="P150" s="84">
        <f>P151+P196+P211+P269</f>
        <v>0</v>
      </c>
      <c r="Q150" s="35"/>
      <c r="R150" s="84">
        <f>R151+R196+R211+R269</f>
        <v>0</v>
      </c>
      <c r="S150" s="35"/>
      <c r="T150" s="97">
        <f>T151+T196+T211+T269</f>
        <v>0</v>
      </c>
      <c r="AT150" s="23" t="s">
        <v>76</v>
      </c>
      <c r="AU150" s="23" t="s">
        <v>188</v>
      </c>
      <c r="BK150" s="102">
        <f>BK151+BK196+BK211+BK269</f>
        <v>3569260</v>
      </c>
    </row>
    <row r="151" spans="2:65" s="31" customFormat="1" ht="26.1" customHeight="1">
      <c r="B151" s="67"/>
      <c r="D151" s="68" t="s">
        <v>76</v>
      </c>
      <c r="E151" s="69" t="s">
        <v>4592</v>
      </c>
      <c r="F151" s="69" t="s">
        <v>4593</v>
      </c>
      <c r="I151" s="85"/>
      <c r="J151" s="86">
        <f>BK151</f>
        <v>711340</v>
      </c>
      <c r="L151" s="67"/>
      <c r="M151" s="87"/>
      <c r="P151" s="88">
        <f>P152+P155+P167+P173+P176+P178+P192</f>
        <v>0</v>
      </c>
      <c r="R151" s="88">
        <f>R152+R155+R167+R173+R176+R178+R192</f>
        <v>0</v>
      </c>
      <c r="T151" s="98">
        <f>T152+T155+T167+T173+T176+T178+T192</f>
        <v>0</v>
      </c>
      <c r="AR151" s="68" t="s">
        <v>85</v>
      </c>
      <c r="AT151" s="100" t="s">
        <v>76</v>
      </c>
      <c r="AU151" s="100" t="s">
        <v>77</v>
      </c>
      <c r="AY151" s="68" t="s">
        <v>211</v>
      </c>
      <c r="BK151" s="103">
        <f>BK152+BK155+BK167+BK173+BK176+BK178+BK192</f>
        <v>711340</v>
      </c>
    </row>
    <row r="152" spans="2:65" s="31" customFormat="1" ht="23.1" customHeight="1">
      <c r="B152" s="67"/>
      <c r="D152" s="68" t="s">
        <v>76</v>
      </c>
      <c r="E152" s="70" t="s">
        <v>3830</v>
      </c>
      <c r="F152" s="70" t="s">
        <v>4594</v>
      </c>
      <c r="I152" s="85"/>
      <c r="J152" s="89">
        <f>BK152</f>
        <v>259000</v>
      </c>
      <c r="L152" s="67"/>
      <c r="M152" s="87"/>
      <c r="P152" s="88">
        <f>SUM(P153:P154)</f>
        <v>0</v>
      </c>
      <c r="R152" s="88">
        <f>SUM(R153:R154)</f>
        <v>0</v>
      </c>
      <c r="T152" s="98">
        <f>SUM(T153:T154)</f>
        <v>0</v>
      </c>
      <c r="AR152" s="68" t="s">
        <v>85</v>
      </c>
      <c r="AT152" s="100" t="s">
        <v>76</v>
      </c>
      <c r="AU152" s="100" t="s">
        <v>85</v>
      </c>
      <c r="AY152" s="68" t="s">
        <v>211</v>
      </c>
      <c r="BK152" s="103">
        <f>SUM(BK153:BK154)</f>
        <v>259000</v>
      </c>
    </row>
    <row r="153" spans="2:65" s="1" customFormat="1" ht="24.15" customHeight="1">
      <c r="B153" s="12"/>
      <c r="C153" s="71" t="s">
        <v>85</v>
      </c>
      <c r="D153" s="71" t="s">
        <v>214</v>
      </c>
      <c r="E153" s="72" t="s">
        <v>4595</v>
      </c>
      <c r="F153" s="73" t="s">
        <v>4596</v>
      </c>
      <c r="G153" s="74" t="s">
        <v>234</v>
      </c>
      <c r="H153" s="75">
        <v>1</v>
      </c>
      <c r="I153" s="90">
        <v>259000</v>
      </c>
      <c r="J153" s="91">
        <f>ROUND(I153*H153,2)</f>
        <v>259000</v>
      </c>
      <c r="K153" s="92"/>
      <c r="L153" s="12"/>
      <c r="M153" s="93" t="s">
        <v>1</v>
      </c>
      <c r="N153" s="94" t="s">
        <v>42</v>
      </c>
      <c r="P153" s="95">
        <f>O153*H153</f>
        <v>0</v>
      </c>
      <c r="Q153" s="95">
        <v>0</v>
      </c>
      <c r="R153" s="95">
        <f>Q153*H153</f>
        <v>0</v>
      </c>
      <c r="S153" s="95">
        <v>0</v>
      </c>
      <c r="T153" s="99">
        <f>S153*H153</f>
        <v>0</v>
      </c>
      <c r="AR153" s="101" t="s">
        <v>218</v>
      </c>
      <c r="AT153" s="101" t="s">
        <v>214</v>
      </c>
      <c r="AU153" s="101" t="s">
        <v>87</v>
      </c>
      <c r="AY153" s="23" t="s">
        <v>211</v>
      </c>
      <c r="BE153" s="104">
        <f>IF(N153="základní",J153,0)</f>
        <v>259000</v>
      </c>
      <c r="BF153" s="104">
        <f>IF(N153="snížená",J153,0)</f>
        <v>0</v>
      </c>
      <c r="BG153" s="104">
        <f>IF(N153="zákl. přenesená",J153,0)</f>
        <v>0</v>
      </c>
      <c r="BH153" s="104">
        <f>IF(N153="sníž. přenesená",J153,0)</f>
        <v>0</v>
      </c>
      <c r="BI153" s="104">
        <f>IF(N153="nulová",J153,0)</f>
        <v>0</v>
      </c>
      <c r="BJ153" s="23" t="s">
        <v>85</v>
      </c>
      <c r="BK153" s="104">
        <f>ROUND(I153*H153,2)</f>
        <v>259000</v>
      </c>
      <c r="BL153" s="23" t="s">
        <v>218</v>
      </c>
      <c r="BM153" s="101" t="s">
        <v>87</v>
      </c>
    </row>
    <row r="154" spans="2:65" s="1" customFormat="1" ht="105.6">
      <c r="B154" s="12"/>
      <c r="D154" s="105" t="s">
        <v>227</v>
      </c>
      <c r="F154" s="106" t="s">
        <v>4597</v>
      </c>
      <c r="I154" s="107"/>
      <c r="L154" s="12"/>
      <c r="M154" s="108"/>
      <c r="T154" s="111"/>
      <c r="AT154" s="23" t="s">
        <v>227</v>
      </c>
      <c r="AU154" s="23" t="s">
        <v>87</v>
      </c>
    </row>
    <row r="155" spans="2:65" s="31" customFormat="1" ht="23.1" customHeight="1">
      <c r="B155" s="67"/>
      <c r="D155" s="68" t="s">
        <v>76</v>
      </c>
      <c r="E155" s="70" t="s">
        <v>3832</v>
      </c>
      <c r="F155" s="70" t="s">
        <v>4598</v>
      </c>
      <c r="I155" s="85"/>
      <c r="J155" s="89">
        <f>BK155</f>
        <v>172000</v>
      </c>
      <c r="L155" s="67"/>
      <c r="M155" s="87"/>
      <c r="P155" s="88">
        <f>SUM(P156:P166)</f>
        <v>0</v>
      </c>
      <c r="R155" s="88">
        <f>SUM(R156:R166)</f>
        <v>0</v>
      </c>
      <c r="T155" s="98">
        <f>SUM(T156:T166)</f>
        <v>0</v>
      </c>
      <c r="AR155" s="68" t="s">
        <v>85</v>
      </c>
      <c r="AT155" s="100" t="s">
        <v>76</v>
      </c>
      <c r="AU155" s="100" t="s">
        <v>85</v>
      </c>
      <c r="AY155" s="68" t="s">
        <v>211</v>
      </c>
      <c r="BK155" s="103">
        <f>SUM(BK156:BK166)</f>
        <v>172000</v>
      </c>
    </row>
    <row r="156" spans="2:65" s="1" customFormat="1" ht="21.75" customHeight="1">
      <c r="B156" s="12"/>
      <c r="C156" s="71" t="s">
        <v>87</v>
      </c>
      <c r="D156" s="71" t="s">
        <v>214</v>
      </c>
      <c r="E156" s="72" t="s">
        <v>4599</v>
      </c>
      <c r="F156" s="73" t="s">
        <v>4600</v>
      </c>
      <c r="G156" s="74" t="s">
        <v>808</v>
      </c>
      <c r="H156" s="75">
        <v>1</v>
      </c>
      <c r="I156" s="90">
        <v>25000</v>
      </c>
      <c r="J156" s="91">
        <f t="shared" ref="J156:J163" si="0">ROUND(I156*H156,2)</f>
        <v>25000</v>
      </c>
      <c r="K156" s="92"/>
      <c r="L156" s="12"/>
      <c r="M156" s="93" t="s">
        <v>1</v>
      </c>
      <c r="N156" s="94" t="s">
        <v>42</v>
      </c>
      <c r="P156" s="95">
        <f t="shared" ref="P156:P163" si="1">O156*H156</f>
        <v>0</v>
      </c>
      <c r="Q156" s="95">
        <v>0</v>
      </c>
      <c r="R156" s="95">
        <f t="shared" ref="R156:R163" si="2">Q156*H156</f>
        <v>0</v>
      </c>
      <c r="S156" s="95">
        <v>0</v>
      </c>
      <c r="T156" s="99">
        <f t="shared" ref="T156:T163" si="3">S156*H156</f>
        <v>0</v>
      </c>
      <c r="AR156" s="101" t="s">
        <v>218</v>
      </c>
      <c r="AT156" s="101" t="s">
        <v>214</v>
      </c>
      <c r="AU156" s="101" t="s">
        <v>87</v>
      </c>
      <c r="AY156" s="23" t="s">
        <v>211</v>
      </c>
      <c r="BE156" s="104">
        <f t="shared" ref="BE156:BE163" si="4">IF(N156="základní",J156,0)</f>
        <v>25000</v>
      </c>
      <c r="BF156" s="104">
        <f t="shared" ref="BF156:BF163" si="5">IF(N156="snížená",J156,0)</f>
        <v>0</v>
      </c>
      <c r="BG156" s="104">
        <f t="shared" ref="BG156:BG163" si="6">IF(N156="zákl. přenesená",J156,0)</f>
        <v>0</v>
      </c>
      <c r="BH156" s="104">
        <f t="shared" ref="BH156:BH163" si="7">IF(N156="sníž. přenesená",J156,0)</f>
        <v>0</v>
      </c>
      <c r="BI156" s="104">
        <f t="shared" ref="BI156:BI163" si="8">IF(N156="nulová",J156,0)</f>
        <v>0</v>
      </c>
      <c r="BJ156" s="23" t="s">
        <v>85</v>
      </c>
      <c r="BK156" s="104">
        <f t="shared" ref="BK156:BK163" si="9">ROUND(I156*H156,2)</f>
        <v>25000</v>
      </c>
      <c r="BL156" s="23" t="s">
        <v>218</v>
      </c>
      <c r="BM156" s="101" t="s">
        <v>218</v>
      </c>
    </row>
    <row r="157" spans="2:65" s="1" customFormat="1" ht="16.5" customHeight="1">
      <c r="B157" s="12"/>
      <c r="C157" s="71" t="s">
        <v>137</v>
      </c>
      <c r="D157" s="71" t="s">
        <v>214</v>
      </c>
      <c r="E157" s="72" t="s">
        <v>4601</v>
      </c>
      <c r="F157" s="73" t="s">
        <v>4602</v>
      </c>
      <c r="G157" s="74" t="s">
        <v>808</v>
      </c>
      <c r="H157" s="75">
        <v>2</v>
      </c>
      <c r="I157" s="90">
        <v>2500</v>
      </c>
      <c r="J157" s="91">
        <f t="shared" si="0"/>
        <v>5000</v>
      </c>
      <c r="K157" s="92"/>
      <c r="L157" s="12"/>
      <c r="M157" s="93" t="s">
        <v>1</v>
      </c>
      <c r="N157" s="94" t="s">
        <v>42</v>
      </c>
      <c r="P157" s="95">
        <f t="shared" si="1"/>
        <v>0</v>
      </c>
      <c r="Q157" s="95">
        <v>0</v>
      </c>
      <c r="R157" s="95">
        <f t="shared" si="2"/>
        <v>0</v>
      </c>
      <c r="S157" s="95">
        <v>0</v>
      </c>
      <c r="T157" s="99">
        <f t="shared" si="3"/>
        <v>0</v>
      </c>
      <c r="AR157" s="101" t="s">
        <v>218</v>
      </c>
      <c r="AT157" s="101" t="s">
        <v>214</v>
      </c>
      <c r="AU157" s="101" t="s">
        <v>87</v>
      </c>
      <c r="AY157" s="23" t="s">
        <v>211</v>
      </c>
      <c r="BE157" s="104">
        <f t="shared" si="4"/>
        <v>5000</v>
      </c>
      <c r="BF157" s="104">
        <f t="shared" si="5"/>
        <v>0</v>
      </c>
      <c r="BG157" s="104">
        <f t="shared" si="6"/>
        <v>0</v>
      </c>
      <c r="BH157" s="104">
        <f t="shared" si="7"/>
        <v>0</v>
      </c>
      <c r="BI157" s="104">
        <f t="shared" si="8"/>
        <v>0</v>
      </c>
      <c r="BJ157" s="23" t="s">
        <v>85</v>
      </c>
      <c r="BK157" s="104">
        <f t="shared" si="9"/>
        <v>5000</v>
      </c>
      <c r="BL157" s="23" t="s">
        <v>218</v>
      </c>
      <c r="BM157" s="101" t="s">
        <v>239</v>
      </c>
    </row>
    <row r="158" spans="2:65" s="1" customFormat="1" ht="16.5" customHeight="1">
      <c r="B158" s="12"/>
      <c r="C158" s="71" t="s">
        <v>218</v>
      </c>
      <c r="D158" s="71" t="s">
        <v>214</v>
      </c>
      <c r="E158" s="72" t="s">
        <v>4603</v>
      </c>
      <c r="F158" s="73" t="s">
        <v>4604</v>
      </c>
      <c r="G158" s="74" t="s">
        <v>808</v>
      </c>
      <c r="H158" s="75">
        <v>1</v>
      </c>
      <c r="I158" s="90">
        <v>8000</v>
      </c>
      <c r="J158" s="91">
        <f t="shared" si="0"/>
        <v>8000</v>
      </c>
      <c r="K158" s="92"/>
      <c r="L158" s="12"/>
      <c r="M158" s="93" t="s">
        <v>1</v>
      </c>
      <c r="N158" s="94" t="s">
        <v>42</v>
      </c>
      <c r="P158" s="95">
        <f t="shared" si="1"/>
        <v>0</v>
      </c>
      <c r="Q158" s="95">
        <v>0</v>
      </c>
      <c r="R158" s="95">
        <f t="shared" si="2"/>
        <v>0</v>
      </c>
      <c r="S158" s="95">
        <v>0</v>
      </c>
      <c r="T158" s="99">
        <f t="shared" si="3"/>
        <v>0</v>
      </c>
      <c r="AR158" s="101" t="s">
        <v>218</v>
      </c>
      <c r="AT158" s="101" t="s">
        <v>214</v>
      </c>
      <c r="AU158" s="101" t="s">
        <v>87</v>
      </c>
      <c r="AY158" s="23" t="s">
        <v>211</v>
      </c>
      <c r="BE158" s="104">
        <f t="shared" si="4"/>
        <v>8000</v>
      </c>
      <c r="BF158" s="104">
        <f t="shared" si="5"/>
        <v>0</v>
      </c>
      <c r="BG158" s="104">
        <f t="shared" si="6"/>
        <v>0</v>
      </c>
      <c r="BH158" s="104">
        <f t="shared" si="7"/>
        <v>0</v>
      </c>
      <c r="BI158" s="104">
        <f t="shared" si="8"/>
        <v>0</v>
      </c>
      <c r="BJ158" s="23" t="s">
        <v>85</v>
      </c>
      <c r="BK158" s="104">
        <f t="shared" si="9"/>
        <v>8000</v>
      </c>
      <c r="BL158" s="23" t="s">
        <v>218</v>
      </c>
      <c r="BM158" s="101" t="s">
        <v>250</v>
      </c>
    </row>
    <row r="159" spans="2:65" s="1" customFormat="1" ht="16.5" customHeight="1">
      <c r="B159" s="12"/>
      <c r="C159" s="71" t="s">
        <v>210</v>
      </c>
      <c r="D159" s="71" t="s">
        <v>214</v>
      </c>
      <c r="E159" s="72" t="s">
        <v>4605</v>
      </c>
      <c r="F159" s="73" t="s">
        <v>4606</v>
      </c>
      <c r="G159" s="74" t="s">
        <v>808</v>
      </c>
      <c r="H159" s="75">
        <v>1</v>
      </c>
      <c r="I159" s="90">
        <v>2000</v>
      </c>
      <c r="J159" s="91">
        <f t="shared" si="0"/>
        <v>2000</v>
      </c>
      <c r="K159" s="92"/>
      <c r="L159" s="12"/>
      <c r="M159" s="93" t="s">
        <v>1</v>
      </c>
      <c r="N159" s="94" t="s">
        <v>42</v>
      </c>
      <c r="P159" s="95">
        <f t="shared" si="1"/>
        <v>0</v>
      </c>
      <c r="Q159" s="95">
        <v>0</v>
      </c>
      <c r="R159" s="95">
        <f t="shared" si="2"/>
        <v>0</v>
      </c>
      <c r="S159" s="95">
        <v>0</v>
      </c>
      <c r="T159" s="99">
        <f t="shared" si="3"/>
        <v>0</v>
      </c>
      <c r="AR159" s="101" t="s">
        <v>218</v>
      </c>
      <c r="AT159" s="101" t="s">
        <v>214</v>
      </c>
      <c r="AU159" s="101" t="s">
        <v>87</v>
      </c>
      <c r="AY159" s="23" t="s">
        <v>211</v>
      </c>
      <c r="BE159" s="104">
        <f t="shared" si="4"/>
        <v>2000</v>
      </c>
      <c r="BF159" s="104">
        <f t="shared" si="5"/>
        <v>0</v>
      </c>
      <c r="BG159" s="104">
        <f t="shared" si="6"/>
        <v>0</v>
      </c>
      <c r="BH159" s="104">
        <f t="shared" si="7"/>
        <v>0</v>
      </c>
      <c r="BI159" s="104">
        <f t="shared" si="8"/>
        <v>0</v>
      </c>
      <c r="BJ159" s="23" t="s">
        <v>85</v>
      </c>
      <c r="BK159" s="104">
        <f t="shared" si="9"/>
        <v>2000</v>
      </c>
      <c r="BL159" s="23" t="s">
        <v>218</v>
      </c>
      <c r="BM159" s="101" t="s">
        <v>259</v>
      </c>
    </row>
    <row r="160" spans="2:65" s="1" customFormat="1" ht="16.5" customHeight="1">
      <c r="B160" s="12"/>
      <c r="C160" s="71" t="s">
        <v>239</v>
      </c>
      <c r="D160" s="71" t="s">
        <v>214</v>
      </c>
      <c r="E160" s="72" t="s">
        <v>4607</v>
      </c>
      <c r="F160" s="73" t="s">
        <v>4608</v>
      </c>
      <c r="G160" s="74" t="s">
        <v>808</v>
      </c>
      <c r="H160" s="75">
        <v>1</v>
      </c>
      <c r="I160" s="90">
        <v>12000</v>
      </c>
      <c r="J160" s="91">
        <f t="shared" si="0"/>
        <v>12000</v>
      </c>
      <c r="K160" s="92"/>
      <c r="L160" s="12"/>
      <c r="M160" s="93" t="s">
        <v>1</v>
      </c>
      <c r="N160" s="94" t="s">
        <v>42</v>
      </c>
      <c r="P160" s="95">
        <f t="shared" si="1"/>
        <v>0</v>
      </c>
      <c r="Q160" s="95">
        <v>0</v>
      </c>
      <c r="R160" s="95">
        <f t="shared" si="2"/>
        <v>0</v>
      </c>
      <c r="S160" s="95">
        <v>0</v>
      </c>
      <c r="T160" s="99">
        <f t="shared" si="3"/>
        <v>0</v>
      </c>
      <c r="AR160" s="101" t="s">
        <v>218</v>
      </c>
      <c r="AT160" s="101" t="s">
        <v>214</v>
      </c>
      <c r="AU160" s="101" t="s">
        <v>87</v>
      </c>
      <c r="AY160" s="23" t="s">
        <v>211</v>
      </c>
      <c r="BE160" s="104">
        <f t="shared" si="4"/>
        <v>12000</v>
      </c>
      <c r="BF160" s="104">
        <f t="shared" si="5"/>
        <v>0</v>
      </c>
      <c r="BG160" s="104">
        <f t="shared" si="6"/>
        <v>0</v>
      </c>
      <c r="BH160" s="104">
        <f t="shared" si="7"/>
        <v>0</v>
      </c>
      <c r="BI160" s="104">
        <f t="shared" si="8"/>
        <v>0</v>
      </c>
      <c r="BJ160" s="23" t="s">
        <v>85</v>
      </c>
      <c r="BK160" s="104">
        <f t="shared" si="9"/>
        <v>12000</v>
      </c>
      <c r="BL160" s="23" t="s">
        <v>218</v>
      </c>
      <c r="BM160" s="101" t="s">
        <v>273</v>
      </c>
    </row>
    <row r="161" spans="2:65" s="1" customFormat="1" ht="16.5" customHeight="1">
      <c r="B161" s="12"/>
      <c r="C161" s="71" t="s">
        <v>245</v>
      </c>
      <c r="D161" s="71" t="s">
        <v>214</v>
      </c>
      <c r="E161" s="72" t="s">
        <v>4609</v>
      </c>
      <c r="F161" s="73" t="s">
        <v>4610</v>
      </c>
      <c r="G161" s="74" t="s">
        <v>808</v>
      </c>
      <c r="H161" s="75">
        <v>2</v>
      </c>
      <c r="I161" s="90">
        <v>5000</v>
      </c>
      <c r="J161" s="91">
        <f t="shared" si="0"/>
        <v>10000</v>
      </c>
      <c r="K161" s="92"/>
      <c r="L161" s="12"/>
      <c r="M161" s="93" t="s">
        <v>1</v>
      </c>
      <c r="N161" s="94" t="s">
        <v>42</v>
      </c>
      <c r="P161" s="95">
        <f t="shared" si="1"/>
        <v>0</v>
      </c>
      <c r="Q161" s="95">
        <v>0</v>
      </c>
      <c r="R161" s="95">
        <f t="shared" si="2"/>
        <v>0</v>
      </c>
      <c r="S161" s="95">
        <v>0</v>
      </c>
      <c r="T161" s="99">
        <f t="shared" si="3"/>
        <v>0</v>
      </c>
      <c r="AR161" s="101" t="s">
        <v>218</v>
      </c>
      <c r="AT161" s="101" t="s">
        <v>214</v>
      </c>
      <c r="AU161" s="101" t="s">
        <v>87</v>
      </c>
      <c r="AY161" s="23" t="s">
        <v>211</v>
      </c>
      <c r="BE161" s="104">
        <f t="shared" si="4"/>
        <v>10000</v>
      </c>
      <c r="BF161" s="104">
        <f t="shared" si="5"/>
        <v>0</v>
      </c>
      <c r="BG161" s="104">
        <f t="shared" si="6"/>
        <v>0</v>
      </c>
      <c r="BH161" s="104">
        <f t="shared" si="7"/>
        <v>0</v>
      </c>
      <c r="BI161" s="104">
        <f t="shared" si="8"/>
        <v>0</v>
      </c>
      <c r="BJ161" s="23" t="s">
        <v>85</v>
      </c>
      <c r="BK161" s="104">
        <f t="shared" si="9"/>
        <v>10000</v>
      </c>
      <c r="BL161" s="23" t="s">
        <v>218</v>
      </c>
      <c r="BM161" s="101" t="s">
        <v>437</v>
      </c>
    </row>
    <row r="162" spans="2:65" s="1" customFormat="1" ht="16.5" customHeight="1">
      <c r="B162" s="12"/>
      <c r="C162" s="71" t="s">
        <v>250</v>
      </c>
      <c r="D162" s="71" t="s">
        <v>214</v>
      </c>
      <c r="E162" s="72" t="s">
        <v>4611</v>
      </c>
      <c r="F162" s="73" t="s">
        <v>4612</v>
      </c>
      <c r="G162" s="74" t="s">
        <v>808</v>
      </c>
      <c r="H162" s="75">
        <v>1</v>
      </c>
      <c r="I162" s="90">
        <v>18000</v>
      </c>
      <c r="J162" s="91">
        <f t="shared" si="0"/>
        <v>18000</v>
      </c>
      <c r="K162" s="92"/>
      <c r="L162" s="12"/>
      <c r="M162" s="93" t="s">
        <v>1</v>
      </c>
      <c r="N162" s="94" t="s">
        <v>42</v>
      </c>
      <c r="P162" s="95">
        <f t="shared" si="1"/>
        <v>0</v>
      </c>
      <c r="Q162" s="95">
        <v>0</v>
      </c>
      <c r="R162" s="95">
        <f t="shared" si="2"/>
        <v>0</v>
      </c>
      <c r="S162" s="95">
        <v>0</v>
      </c>
      <c r="T162" s="99">
        <f t="shared" si="3"/>
        <v>0</v>
      </c>
      <c r="AR162" s="101" t="s">
        <v>218</v>
      </c>
      <c r="AT162" s="101" t="s">
        <v>214</v>
      </c>
      <c r="AU162" s="101" t="s">
        <v>87</v>
      </c>
      <c r="AY162" s="23" t="s">
        <v>211</v>
      </c>
      <c r="BE162" s="104">
        <f t="shared" si="4"/>
        <v>18000</v>
      </c>
      <c r="BF162" s="104">
        <f t="shared" si="5"/>
        <v>0</v>
      </c>
      <c r="BG162" s="104">
        <f t="shared" si="6"/>
        <v>0</v>
      </c>
      <c r="BH162" s="104">
        <f t="shared" si="7"/>
        <v>0</v>
      </c>
      <c r="BI162" s="104">
        <f t="shared" si="8"/>
        <v>0</v>
      </c>
      <c r="BJ162" s="23" t="s">
        <v>85</v>
      </c>
      <c r="BK162" s="104">
        <f t="shared" si="9"/>
        <v>18000</v>
      </c>
      <c r="BL162" s="23" t="s">
        <v>218</v>
      </c>
      <c r="BM162" s="101" t="s">
        <v>446</v>
      </c>
    </row>
    <row r="163" spans="2:65" s="1" customFormat="1" ht="33" customHeight="1">
      <c r="B163" s="12"/>
      <c r="C163" s="71" t="s">
        <v>255</v>
      </c>
      <c r="D163" s="71" t="s">
        <v>214</v>
      </c>
      <c r="E163" s="72" t="s">
        <v>4613</v>
      </c>
      <c r="F163" s="73" t="s">
        <v>4614</v>
      </c>
      <c r="G163" s="74" t="s">
        <v>234</v>
      </c>
      <c r="H163" s="75">
        <v>1</v>
      </c>
      <c r="I163" s="90">
        <v>12000</v>
      </c>
      <c r="J163" s="91">
        <f t="shared" si="0"/>
        <v>12000</v>
      </c>
      <c r="K163" s="92"/>
      <c r="L163" s="12"/>
      <c r="M163" s="93" t="s">
        <v>1</v>
      </c>
      <c r="N163" s="94" t="s">
        <v>42</v>
      </c>
      <c r="P163" s="95">
        <f t="shared" si="1"/>
        <v>0</v>
      </c>
      <c r="Q163" s="95">
        <v>0</v>
      </c>
      <c r="R163" s="95">
        <f t="shared" si="2"/>
        <v>0</v>
      </c>
      <c r="S163" s="95">
        <v>0</v>
      </c>
      <c r="T163" s="99">
        <f t="shared" si="3"/>
        <v>0</v>
      </c>
      <c r="AR163" s="101" t="s">
        <v>218</v>
      </c>
      <c r="AT163" s="101" t="s">
        <v>214</v>
      </c>
      <c r="AU163" s="101" t="s">
        <v>87</v>
      </c>
      <c r="AY163" s="23" t="s">
        <v>211</v>
      </c>
      <c r="BE163" s="104">
        <f t="shared" si="4"/>
        <v>12000</v>
      </c>
      <c r="BF163" s="104">
        <f t="shared" si="5"/>
        <v>0</v>
      </c>
      <c r="BG163" s="104">
        <f t="shared" si="6"/>
        <v>0</v>
      </c>
      <c r="BH163" s="104">
        <f t="shared" si="7"/>
        <v>0</v>
      </c>
      <c r="BI163" s="104">
        <f t="shared" si="8"/>
        <v>0</v>
      </c>
      <c r="BJ163" s="23" t="s">
        <v>85</v>
      </c>
      <c r="BK163" s="104">
        <f t="shared" si="9"/>
        <v>12000</v>
      </c>
      <c r="BL163" s="23" t="s">
        <v>218</v>
      </c>
      <c r="BM163" s="101" t="s">
        <v>454</v>
      </c>
    </row>
    <row r="164" spans="2:65" s="1" customFormat="1" ht="28.8">
      <c r="B164" s="12"/>
      <c r="D164" s="105" t="s">
        <v>227</v>
      </c>
      <c r="F164" s="106" t="s">
        <v>4615</v>
      </c>
      <c r="I164" s="107"/>
      <c r="L164" s="12"/>
      <c r="M164" s="108"/>
      <c r="T164" s="111"/>
      <c r="AT164" s="23" t="s">
        <v>227</v>
      </c>
      <c r="AU164" s="23" t="s">
        <v>87</v>
      </c>
    </row>
    <row r="165" spans="2:65" s="1" customFormat="1" ht="24.15" customHeight="1">
      <c r="B165" s="12"/>
      <c r="C165" s="71" t="s">
        <v>259</v>
      </c>
      <c r="D165" s="71" t="s">
        <v>214</v>
      </c>
      <c r="E165" s="72" t="s">
        <v>4616</v>
      </c>
      <c r="F165" s="73" t="s">
        <v>4617</v>
      </c>
      <c r="G165" s="74" t="s">
        <v>234</v>
      </c>
      <c r="H165" s="75">
        <v>1</v>
      </c>
      <c r="I165" s="90">
        <v>80000</v>
      </c>
      <c r="J165" s="91">
        <f>ROUND(I165*H165,2)</f>
        <v>80000</v>
      </c>
      <c r="K165" s="92"/>
      <c r="L165" s="12"/>
      <c r="M165" s="93" t="s">
        <v>1</v>
      </c>
      <c r="N165" s="94" t="s">
        <v>42</v>
      </c>
      <c r="P165" s="95">
        <f>O165*H165</f>
        <v>0</v>
      </c>
      <c r="Q165" s="95">
        <v>0</v>
      </c>
      <c r="R165" s="95">
        <f>Q165*H165</f>
        <v>0</v>
      </c>
      <c r="S165" s="95">
        <v>0</v>
      </c>
      <c r="T165" s="99">
        <f>S165*H165</f>
        <v>0</v>
      </c>
      <c r="AR165" s="101" t="s">
        <v>218</v>
      </c>
      <c r="AT165" s="101" t="s">
        <v>214</v>
      </c>
      <c r="AU165" s="101" t="s">
        <v>87</v>
      </c>
      <c r="AY165" s="23" t="s">
        <v>211</v>
      </c>
      <c r="BE165" s="104">
        <f>IF(N165="základní",J165,0)</f>
        <v>80000</v>
      </c>
      <c r="BF165" s="104">
        <f>IF(N165="snížená",J165,0)</f>
        <v>0</v>
      </c>
      <c r="BG165" s="104">
        <f>IF(N165="zákl. přenesená",J165,0)</f>
        <v>0</v>
      </c>
      <c r="BH165" s="104">
        <f>IF(N165="sníž. přenesená",J165,0)</f>
        <v>0</v>
      </c>
      <c r="BI165" s="104">
        <f>IF(N165="nulová",J165,0)</f>
        <v>0</v>
      </c>
      <c r="BJ165" s="23" t="s">
        <v>85</v>
      </c>
      <c r="BK165" s="104">
        <f>ROUND(I165*H165,2)</f>
        <v>80000</v>
      </c>
      <c r="BL165" s="23" t="s">
        <v>218</v>
      </c>
      <c r="BM165" s="101" t="s">
        <v>465</v>
      </c>
    </row>
    <row r="166" spans="2:65" s="1" customFormat="1" ht="105.6">
      <c r="B166" s="12"/>
      <c r="D166" s="105" t="s">
        <v>227</v>
      </c>
      <c r="F166" s="106" t="s">
        <v>4618</v>
      </c>
      <c r="I166" s="107"/>
      <c r="L166" s="12"/>
      <c r="M166" s="108"/>
      <c r="T166" s="111"/>
      <c r="AT166" s="23" t="s">
        <v>227</v>
      </c>
      <c r="AU166" s="23" t="s">
        <v>87</v>
      </c>
    </row>
    <row r="167" spans="2:65" s="31" customFormat="1" ht="23.1" customHeight="1">
      <c r="B167" s="67"/>
      <c r="D167" s="68" t="s">
        <v>76</v>
      </c>
      <c r="E167" s="70" t="s">
        <v>3839</v>
      </c>
      <c r="F167" s="70" t="s">
        <v>4619</v>
      </c>
      <c r="I167" s="85"/>
      <c r="J167" s="89">
        <f>BK167</f>
        <v>222500</v>
      </c>
      <c r="L167" s="67"/>
      <c r="M167" s="87"/>
      <c r="P167" s="88">
        <f>SUM(P168:P172)</f>
        <v>0</v>
      </c>
      <c r="R167" s="88">
        <f>SUM(R168:R172)</f>
        <v>0</v>
      </c>
      <c r="T167" s="98">
        <f>SUM(T168:T172)</f>
        <v>0</v>
      </c>
      <c r="AR167" s="68" t="s">
        <v>85</v>
      </c>
      <c r="AT167" s="100" t="s">
        <v>76</v>
      </c>
      <c r="AU167" s="100" t="s">
        <v>85</v>
      </c>
      <c r="AY167" s="68" t="s">
        <v>211</v>
      </c>
      <c r="BK167" s="103">
        <f>SUM(BK168:BK172)</f>
        <v>222500</v>
      </c>
    </row>
    <row r="168" spans="2:65" s="1" customFormat="1" ht="24.15" customHeight="1">
      <c r="B168" s="12"/>
      <c r="C168" s="71" t="s">
        <v>266</v>
      </c>
      <c r="D168" s="71" t="s">
        <v>214</v>
      </c>
      <c r="E168" s="72" t="s">
        <v>4620</v>
      </c>
      <c r="F168" s="73" t="s">
        <v>4621</v>
      </c>
      <c r="G168" s="74" t="s">
        <v>808</v>
      </c>
      <c r="H168" s="75">
        <v>1</v>
      </c>
      <c r="I168" s="90">
        <v>17500</v>
      </c>
      <c r="J168" s="91">
        <f>ROUND(I168*H168,2)</f>
        <v>17500</v>
      </c>
      <c r="K168" s="92"/>
      <c r="L168" s="12"/>
      <c r="M168" s="93" t="s">
        <v>1</v>
      </c>
      <c r="N168" s="94" t="s">
        <v>42</v>
      </c>
      <c r="P168" s="95">
        <f>O168*H168</f>
        <v>0</v>
      </c>
      <c r="Q168" s="95">
        <v>0</v>
      </c>
      <c r="R168" s="95">
        <f>Q168*H168</f>
        <v>0</v>
      </c>
      <c r="S168" s="95">
        <v>0</v>
      </c>
      <c r="T168" s="99">
        <f>S168*H168</f>
        <v>0</v>
      </c>
      <c r="AR168" s="101" t="s">
        <v>218</v>
      </c>
      <c r="AT168" s="101" t="s">
        <v>214</v>
      </c>
      <c r="AU168" s="101" t="s">
        <v>87</v>
      </c>
      <c r="AY168" s="23" t="s">
        <v>211</v>
      </c>
      <c r="BE168" s="104">
        <f>IF(N168="základní",J168,0)</f>
        <v>17500</v>
      </c>
      <c r="BF168" s="104">
        <f>IF(N168="snížená",J168,0)</f>
        <v>0</v>
      </c>
      <c r="BG168" s="104">
        <f>IF(N168="zákl. přenesená",J168,0)</f>
        <v>0</v>
      </c>
      <c r="BH168" s="104">
        <f>IF(N168="sníž. přenesená",J168,0)</f>
        <v>0</v>
      </c>
      <c r="BI168" s="104">
        <f>IF(N168="nulová",J168,0)</f>
        <v>0</v>
      </c>
      <c r="BJ168" s="23" t="s">
        <v>85</v>
      </c>
      <c r="BK168" s="104">
        <f>ROUND(I168*H168,2)</f>
        <v>17500</v>
      </c>
      <c r="BL168" s="23" t="s">
        <v>218</v>
      </c>
      <c r="BM168" s="101" t="s">
        <v>475</v>
      </c>
    </row>
    <row r="169" spans="2:65" s="1" customFormat="1" ht="33" customHeight="1">
      <c r="B169" s="12"/>
      <c r="C169" s="71" t="s">
        <v>273</v>
      </c>
      <c r="D169" s="71" t="s">
        <v>214</v>
      </c>
      <c r="E169" s="72" t="s">
        <v>4622</v>
      </c>
      <c r="F169" s="73" t="s">
        <v>4623</v>
      </c>
      <c r="G169" s="74" t="s">
        <v>808</v>
      </c>
      <c r="H169" s="75">
        <v>1</v>
      </c>
      <c r="I169" s="90">
        <v>26000</v>
      </c>
      <c r="J169" s="91">
        <f>ROUND(I169*H169,2)</f>
        <v>26000</v>
      </c>
      <c r="K169" s="92"/>
      <c r="L169" s="12"/>
      <c r="M169" s="93" t="s">
        <v>1</v>
      </c>
      <c r="N169" s="94" t="s">
        <v>42</v>
      </c>
      <c r="P169" s="95">
        <f>O169*H169</f>
        <v>0</v>
      </c>
      <c r="Q169" s="95">
        <v>0</v>
      </c>
      <c r="R169" s="95">
        <f>Q169*H169</f>
        <v>0</v>
      </c>
      <c r="S169" s="95">
        <v>0</v>
      </c>
      <c r="T169" s="99">
        <f>S169*H169</f>
        <v>0</v>
      </c>
      <c r="AR169" s="101" t="s">
        <v>218</v>
      </c>
      <c r="AT169" s="101" t="s">
        <v>214</v>
      </c>
      <c r="AU169" s="101" t="s">
        <v>87</v>
      </c>
      <c r="AY169" s="23" t="s">
        <v>211</v>
      </c>
      <c r="BE169" s="104">
        <f>IF(N169="základní",J169,0)</f>
        <v>26000</v>
      </c>
      <c r="BF169" s="104">
        <f>IF(N169="snížená",J169,0)</f>
        <v>0</v>
      </c>
      <c r="BG169" s="104">
        <f>IF(N169="zákl. přenesená",J169,0)</f>
        <v>0</v>
      </c>
      <c r="BH169" s="104">
        <f>IF(N169="sníž. přenesená",J169,0)</f>
        <v>0</v>
      </c>
      <c r="BI169" s="104">
        <f>IF(N169="nulová",J169,0)</f>
        <v>0</v>
      </c>
      <c r="BJ169" s="23" t="s">
        <v>85</v>
      </c>
      <c r="BK169" s="104">
        <f>ROUND(I169*H169,2)</f>
        <v>26000</v>
      </c>
      <c r="BL169" s="23" t="s">
        <v>218</v>
      </c>
      <c r="BM169" s="101" t="s">
        <v>486</v>
      </c>
    </row>
    <row r="170" spans="2:65" s="1" customFormat="1" ht="24.15" customHeight="1">
      <c r="B170" s="12"/>
      <c r="C170" s="71" t="s">
        <v>433</v>
      </c>
      <c r="D170" s="71" t="s">
        <v>214</v>
      </c>
      <c r="E170" s="72" t="s">
        <v>4624</v>
      </c>
      <c r="F170" s="73" t="s">
        <v>4625</v>
      </c>
      <c r="G170" s="74" t="s">
        <v>808</v>
      </c>
      <c r="H170" s="75">
        <v>2</v>
      </c>
      <c r="I170" s="90">
        <v>85000</v>
      </c>
      <c r="J170" s="91">
        <f>ROUND(I170*H170,2)</f>
        <v>170000</v>
      </c>
      <c r="K170" s="92"/>
      <c r="L170" s="12"/>
      <c r="M170" s="93" t="s">
        <v>1</v>
      </c>
      <c r="N170" s="94" t="s">
        <v>42</v>
      </c>
      <c r="P170" s="95">
        <f>O170*H170</f>
        <v>0</v>
      </c>
      <c r="Q170" s="95">
        <v>0</v>
      </c>
      <c r="R170" s="95">
        <f>Q170*H170</f>
        <v>0</v>
      </c>
      <c r="S170" s="95">
        <v>0</v>
      </c>
      <c r="T170" s="99">
        <f>S170*H170</f>
        <v>0</v>
      </c>
      <c r="AR170" s="101" t="s">
        <v>218</v>
      </c>
      <c r="AT170" s="101" t="s">
        <v>214</v>
      </c>
      <c r="AU170" s="101" t="s">
        <v>87</v>
      </c>
      <c r="AY170" s="23" t="s">
        <v>211</v>
      </c>
      <c r="BE170" s="104">
        <f>IF(N170="základní",J170,0)</f>
        <v>170000</v>
      </c>
      <c r="BF170" s="104">
        <f>IF(N170="snížená",J170,0)</f>
        <v>0</v>
      </c>
      <c r="BG170" s="104">
        <f>IF(N170="zákl. přenesená",J170,0)</f>
        <v>0</v>
      </c>
      <c r="BH170" s="104">
        <f>IF(N170="sníž. přenesená",J170,0)</f>
        <v>0</v>
      </c>
      <c r="BI170" s="104">
        <f>IF(N170="nulová",J170,0)</f>
        <v>0</v>
      </c>
      <c r="BJ170" s="23" t="s">
        <v>85</v>
      </c>
      <c r="BK170" s="104">
        <f>ROUND(I170*H170,2)</f>
        <v>170000</v>
      </c>
      <c r="BL170" s="23" t="s">
        <v>218</v>
      </c>
      <c r="BM170" s="101" t="s">
        <v>496</v>
      </c>
    </row>
    <row r="171" spans="2:65" s="1" customFormat="1" ht="24.15" customHeight="1">
      <c r="B171" s="12"/>
      <c r="C171" s="71" t="s">
        <v>437</v>
      </c>
      <c r="D171" s="71" t="s">
        <v>214</v>
      </c>
      <c r="E171" s="72" t="s">
        <v>4626</v>
      </c>
      <c r="F171" s="73" t="s">
        <v>4627</v>
      </c>
      <c r="G171" s="74" t="s">
        <v>808</v>
      </c>
      <c r="H171" s="75">
        <v>1</v>
      </c>
      <c r="I171" s="90">
        <v>6000</v>
      </c>
      <c r="J171" s="91">
        <f>ROUND(I171*H171,2)</f>
        <v>6000</v>
      </c>
      <c r="K171" s="92"/>
      <c r="L171" s="12"/>
      <c r="M171" s="93" t="s">
        <v>1</v>
      </c>
      <c r="N171" s="94" t="s">
        <v>42</v>
      </c>
      <c r="P171" s="95">
        <f>O171*H171</f>
        <v>0</v>
      </c>
      <c r="Q171" s="95">
        <v>0</v>
      </c>
      <c r="R171" s="95">
        <f>Q171*H171</f>
        <v>0</v>
      </c>
      <c r="S171" s="95">
        <v>0</v>
      </c>
      <c r="T171" s="99">
        <f>S171*H171</f>
        <v>0</v>
      </c>
      <c r="AR171" s="101" t="s">
        <v>218</v>
      </c>
      <c r="AT171" s="101" t="s">
        <v>214</v>
      </c>
      <c r="AU171" s="101" t="s">
        <v>87</v>
      </c>
      <c r="AY171" s="23" t="s">
        <v>211</v>
      </c>
      <c r="BE171" s="104">
        <f>IF(N171="základní",J171,0)</f>
        <v>6000</v>
      </c>
      <c r="BF171" s="104">
        <f>IF(N171="snížená",J171,0)</f>
        <v>0</v>
      </c>
      <c r="BG171" s="104">
        <f>IF(N171="zákl. přenesená",J171,0)</f>
        <v>0</v>
      </c>
      <c r="BH171" s="104">
        <f>IF(N171="sníž. přenesená",J171,0)</f>
        <v>0</v>
      </c>
      <c r="BI171" s="104">
        <f>IF(N171="nulová",J171,0)</f>
        <v>0</v>
      </c>
      <c r="BJ171" s="23" t="s">
        <v>85</v>
      </c>
      <c r="BK171" s="104">
        <f>ROUND(I171*H171,2)</f>
        <v>6000</v>
      </c>
      <c r="BL171" s="23" t="s">
        <v>218</v>
      </c>
      <c r="BM171" s="101" t="s">
        <v>507</v>
      </c>
    </row>
    <row r="172" spans="2:65" s="1" customFormat="1" ht="21.75" customHeight="1">
      <c r="B172" s="12"/>
      <c r="C172" s="71" t="s">
        <v>8</v>
      </c>
      <c r="D172" s="71" t="s">
        <v>214</v>
      </c>
      <c r="E172" s="72" t="s">
        <v>4628</v>
      </c>
      <c r="F172" s="73" t="s">
        <v>4629</v>
      </c>
      <c r="G172" s="74" t="s">
        <v>808</v>
      </c>
      <c r="H172" s="75">
        <v>1</v>
      </c>
      <c r="I172" s="90">
        <v>3000</v>
      </c>
      <c r="J172" s="91">
        <f>ROUND(I172*H172,2)</f>
        <v>3000</v>
      </c>
      <c r="K172" s="92"/>
      <c r="L172" s="12"/>
      <c r="M172" s="93" t="s">
        <v>1</v>
      </c>
      <c r="N172" s="94" t="s">
        <v>42</v>
      </c>
      <c r="P172" s="95">
        <f>O172*H172</f>
        <v>0</v>
      </c>
      <c r="Q172" s="95">
        <v>0</v>
      </c>
      <c r="R172" s="95">
        <f>Q172*H172</f>
        <v>0</v>
      </c>
      <c r="S172" s="95">
        <v>0</v>
      </c>
      <c r="T172" s="99">
        <f>S172*H172</f>
        <v>0</v>
      </c>
      <c r="AR172" s="101" t="s">
        <v>218</v>
      </c>
      <c r="AT172" s="101" t="s">
        <v>214</v>
      </c>
      <c r="AU172" s="101" t="s">
        <v>87</v>
      </c>
      <c r="AY172" s="23" t="s">
        <v>211</v>
      </c>
      <c r="BE172" s="104">
        <f>IF(N172="základní",J172,0)</f>
        <v>3000</v>
      </c>
      <c r="BF172" s="104">
        <f>IF(N172="snížená",J172,0)</f>
        <v>0</v>
      </c>
      <c r="BG172" s="104">
        <f>IF(N172="zákl. přenesená",J172,0)</f>
        <v>0</v>
      </c>
      <c r="BH172" s="104">
        <f>IF(N172="sníž. přenesená",J172,0)</f>
        <v>0</v>
      </c>
      <c r="BI172" s="104">
        <f>IF(N172="nulová",J172,0)</f>
        <v>0</v>
      </c>
      <c r="BJ172" s="23" t="s">
        <v>85</v>
      </c>
      <c r="BK172" s="104">
        <f>ROUND(I172*H172,2)</f>
        <v>3000</v>
      </c>
      <c r="BL172" s="23" t="s">
        <v>218</v>
      </c>
      <c r="BM172" s="101" t="s">
        <v>517</v>
      </c>
    </row>
    <row r="173" spans="2:65" s="31" customFormat="1" ht="23.1" customHeight="1">
      <c r="B173" s="67"/>
      <c r="D173" s="68" t="s">
        <v>76</v>
      </c>
      <c r="E173" s="70" t="s">
        <v>3853</v>
      </c>
      <c r="F173" s="70" t="s">
        <v>4630</v>
      </c>
      <c r="I173" s="85"/>
      <c r="J173" s="89">
        <f>BK173</f>
        <v>31000</v>
      </c>
      <c r="L173" s="67"/>
      <c r="M173" s="87"/>
      <c r="P173" s="88">
        <f>SUM(P174:P175)</f>
        <v>0</v>
      </c>
      <c r="R173" s="88">
        <f>SUM(R174:R175)</f>
        <v>0</v>
      </c>
      <c r="T173" s="98">
        <f>SUM(T174:T175)</f>
        <v>0</v>
      </c>
      <c r="AR173" s="68" t="s">
        <v>85</v>
      </c>
      <c r="AT173" s="100" t="s">
        <v>76</v>
      </c>
      <c r="AU173" s="100" t="s">
        <v>85</v>
      </c>
      <c r="AY173" s="68" t="s">
        <v>211</v>
      </c>
      <c r="BK173" s="103">
        <f>SUM(BK174:BK175)</f>
        <v>31000</v>
      </c>
    </row>
    <row r="174" spans="2:65" s="1" customFormat="1" ht="24.15" customHeight="1">
      <c r="B174" s="12"/>
      <c r="C174" s="71" t="s">
        <v>446</v>
      </c>
      <c r="D174" s="71" t="s">
        <v>214</v>
      </c>
      <c r="E174" s="72" t="s">
        <v>4631</v>
      </c>
      <c r="F174" s="73" t="s">
        <v>4632</v>
      </c>
      <c r="G174" s="74" t="s">
        <v>808</v>
      </c>
      <c r="H174" s="75">
        <v>1</v>
      </c>
      <c r="I174" s="90">
        <v>19000</v>
      </c>
      <c r="J174" s="91">
        <f>ROUND(I174*H174,2)</f>
        <v>19000</v>
      </c>
      <c r="K174" s="92"/>
      <c r="L174" s="12"/>
      <c r="M174" s="93" t="s">
        <v>1</v>
      </c>
      <c r="N174" s="94" t="s">
        <v>42</v>
      </c>
      <c r="P174" s="95">
        <f>O174*H174</f>
        <v>0</v>
      </c>
      <c r="Q174" s="95">
        <v>0</v>
      </c>
      <c r="R174" s="95">
        <f>Q174*H174</f>
        <v>0</v>
      </c>
      <c r="S174" s="95">
        <v>0</v>
      </c>
      <c r="T174" s="99">
        <f>S174*H174</f>
        <v>0</v>
      </c>
      <c r="AR174" s="101" t="s">
        <v>218</v>
      </c>
      <c r="AT174" s="101" t="s">
        <v>214</v>
      </c>
      <c r="AU174" s="101" t="s">
        <v>87</v>
      </c>
      <c r="AY174" s="23" t="s">
        <v>211</v>
      </c>
      <c r="BE174" s="104">
        <f>IF(N174="základní",J174,0)</f>
        <v>19000</v>
      </c>
      <c r="BF174" s="104">
        <f>IF(N174="snížená",J174,0)</f>
        <v>0</v>
      </c>
      <c r="BG174" s="104">
        <f>IF(N174="zákl. přenesená",J174,0)</f>
        <v>0</v>
      </c>
      <c r="BH174" s="104">
        <f>IF(N174="sníž. přenesená",J174,0)</f>
        <v>0</v>
      </c>
      <c r="BI174" s="104">
        <f>IF(N174="nulová",J174,0)</f>
        <v>0</v>
      </c>
      <c r="BJ174" s="23" t="s">
        <v>85</v>
      </c>
      <c r="BK174" s="104">
        <f>ROUND(I174*H174,2)</f>
        <v>19000</v>
      </c>
      <c r="BL174" s="23" t="s">
        <v>218</v>
      </c>
      <c r="BM174" s="101" t="s">
        <v>527</v>
      </c>
    </row>
    <row r="175" spans="2:65" s="1" customFormat="1" ht="24.15" customHeight="1">
      <c r="B175" s="12"/>
      <c r="C175" s="71" t="s">
        <v>450</v>
      </c>
      <c r="D175" s="71" t="s">
        <v>214</v>
      </c>
      <c r="E175" s="72" t="s">
        <v>4633</v>
      </c>
      <c r="F175" s="73" t="s">
        <v>4634</v>
      </c>
      <c r="G175" s="74" t="s">
        <v>808</v>
      </c>
      <c r="H175" s="75">
        <v>1</v>
      </c>
      <c r="I175" s="90">
        <v>12000</v>
      </c>
      <c r="J175" s="91">
        <f>ROUND(I175*H175,2)</f>
        <v>12000</v>
      </c>
      <c r="K175" s="92"/>
      <c r="L175" s="12"/>
      <c r="M175" s="93" t="s">
        <v>1</v>
      </c>
      <c r="N175" s="94" t="s">
        <v>42</v>
      </c>
      <c r="P175" s="95">
        <f>O175*H175</f>
        <v>0</v>
      </c>
      <c r="Q175" s="95">
        <v>0</v>
      </c>
      <c r="R175" s="95">
        <f>Q175*H175</f>
        <v>0</v>
      </c>
      <c r="S175" s="95">
        <v>0</v>
      </c>
      <c r="T175" s="99">
        <f>S175*H175</f>
        <v>0</v>
      </c>
      <c r="AR175" s="101" t="s">
        <v>218</v>
      </c>
      <c r="AT175" s="101" t="s">
        <v>214</v>
      </c>
      <c r="AU175" s="101" t="s">
        <v>87</v>
      </c>
      <c r="AY175" s="23" t="s">
        <v>211</v>
      </c>
      <c r="BE175" s="104">
        <f>IF(N175="základní",J175,0)</f>
        <v>12000</v>
      </c>
      <c r="BF175" s="104">
        <f>IF(N175="snížená",J175,0)</f>
        <v>0</v>
      </c>
      <c r="BG175" s="104">
        <f>IF(N175="zákl. přenesená",J175,0)</f>
        <v>0</v>
      </c>
      <c r="BH175" s="104">
        <f>IF(N175="sníž. přenesená",J175,0)</f>
        <v>0</v>
      </c>
      <c r="BI175" s="104">
        <f>IF(N175="nulová",J175,0)</f>
        <v>0</v>
      </c>
      <c r="BJ175" s="23" t="s">
        <v>85</v>
      </c>
      <c r="BK175" s="104">
        <f>ROUND(I175*H175,2)</f>
        <v>12000</v>
      </c>
      <c r="BL175" s="23" t="s">
        <v>218</v>
      </c>
      <c r="BM175" s="101" t="s">
        <v>537</v>
      </c>
    </row>
    <row r="176" spans="2:65" s="31" customFormat="1" ht="23.1" customHeight="1">
      <c r="B176" s="67"/>
      <c r="D176" s="68" t="s">
        <v>76</v>
      </c>
      <c r="E176" s="70" t="s">
        <v>3858</v>
      </c>
      <c r="F176" s="70" t="s">
        <v>4635</v>
      </c>
      <c r="I176" s="85"/>
      <c r="J176" s="89">
        <f>BK176</f>
        <v>3000</v>
      </c>
      <c r="L176" s="67"/>
      <c r="M176" s="87"/>
      <c r="P176" s="88">
        <f>P177</f>
        <v>0</v>
      </c>
      <c r="R176" s="88">
        <f>R177</f>
        <v>0</v>
      </c>
      <c r="T176" s="98">
        <f>T177</f>
        <v>0</v>
      </c>
      <c r="AR176" s="68" t="s">
        <v>85</v>
      </c>
      <c r="AT176" s="100" t="s">
        <v>76</v>
      </c>
      <c r="AU176" s="100" t="s">
        <v>85</v>
      </c>
      <c r="AY176" s="68" t="s">
        <v>211</v>
      </c>
      <c r="BK176" s="103">
        <f>BK177</f>
        <v>3000</v>
      </c>
    </row>
    <row r="177" spans="2:65" s="1" customFormat="1" ht="33" customHeight="1">
      <c r="B177" s="12"/>
      <c r="C177" s="71" t="s">
        <v>454</v>
      </c>
      <c r="D177" s="71" t="s">
        <v>214</v>
      </c>
      <c r="E177" s="72" t="s">
        <v>4636</v>
      </c>
      <c r="F177" s="73" t="s">
        <v>4637</v>
      </c>
      <c r="G177" s="74" t="s">
        <v>808</v>
      </c>
      <c r="H177" s="75">
        <v>1</v>
      </c>
      <c r="I177" s="90">
        <v>3000</v>
      </c>
      <c r="J177" s="91">
        <f>ROUND(I177*H177,2)</f>
        <v>3000</v>
      </c>
      <c r="K177" s="92"/>
      <c r="L177" s="12"/>
      <c r="M177" s="93" t="s">
        <v>1</v>
      </c>
      <c r="N177" s="94" t="s">
        <v>42</v>
      </c>
      <c r="P177" s="95">
        <f>O177*H177</f>
        <v>0</v>
      </c>
      <c r="Q177" s="95">
        <v>0</v>
      </c>
      <c r="R177" s="95">
        <f>Q177*H177</f>
        <v>0</v>
      </c>
      <c r="S177" s="95">
        <v>0</v>
      </c>
      <c r="T177" s="99">
        <f>S177*H177</f>
        <v>0</v>
      </c>
      <c r="AR177" s="101" t="s">
        <v>218</v>
      </c>
      <c r="AT177" s="101" t="s">
        <v>214</v>
      </c>
      <c r="AU177" s="101" t="s">
        <v>87</v>
      </c>
      <c r="AY177" s="23" t="s">
        <v>211</v>
      </c>
      <c r="BE177" s="104">
        <f>IF(N177="základní",J177,0)</f>
        <v>3000</v>
      </c>
      <c r="BF177" s="104">
        <f>IF(N177="snížená",J177,0)</f>
        <v>0</v>
      </c>
      <c r="BG177" s="104">
        <f>IF(N177="zákl. přenesená",J177,0)</f>
        <v>0</v>
      </c>
      <c r="BH177" s="104">
        <f>IF(N177="sníž. přenesená",J177,0)</f>
        <v>0</v>
      </c>
      <c r="BI177" s="104">
        <f>IF(N177="nulová",J177,0)</f>
        <v>0</v>
      </c>
      <c r="BJ177" s="23" t="s">
        <v>85</v>
      </c>
      <c r="BK177" s="104">
        <f>ROUND(I177*H177,2)</f>
        <v>3000</v>
      </c>
      <c r="BL177" s="23" t="s">
        <v>218</v>
      </c>
      <c r="BM177" s="101" t="s">
        <v>551</v>
      </c>
    </row>
    <row r="178" spans="2:65" s="31" customFormat="1" ht="23.1" customHeight="1">
      <c r="B178" s="67"/>
      <c r="D178" s="68" t="s">
        <v>76</v>
      </c>
      <c r="E178" s="70" t="s">
        <v>3873</v>
      </c>
      <c r="F178" s="70" t="s">
        <v>4638</v>
      </c>
      <c r="I178" s="85"/>
      <c r="J178" s="89">
        <f>BK178</f>
        <v>16960</v>
      </c>
      <c r="L178" s="67"/>
      <c r="M178" s="87"/>
      <c r="P178" s="88">
        <f>SUM(P179:P191)</f>
        <v>0</v>
      </c>
      <c r="R178" s="88">
        <f>SUM(R179:R191)</f>
        <v>0</v>
      </c>
      <c r="T178" s="98">
        <f>SUM(T179:T191)</f>
        <v>0</v>
      </c>
      <c r="AR178" s="68" t="s">
        <v>85</v>
      </c>
      <c r="AT178" s="100" t="s">
        <v>76</v>
      </c>
      <c r="AU178" s="100" t="s">
        <v>85</v>
      </c>
      <c r="AY178" s="68" t="s">
        <v>211</v>
      </c>
      <c r="BK178" s="103">
        <f>SUM(BK179:BK191)</f>
        <v>16960</v>
      </c>
    </row>
    <row r="179" spans="2:65" s="1" customFormat="1" ht="21.75" customHeight="1">
      <c r="B179" s="12"/>
      <c r="C179" s="71" t="s">
        <v>459</v>
      </c>
      <c r="D179" s="71" t="s">
        <v>214</v>
      </c>
      <c r="E179" s="72" t="s">
        <v>4639</v>
      </c>
      <c r="F179" s="73" t="s">
        <v>4640</v>
      </c>
      <c r="G179" s="74" t="s">
        <v>808</v>
      </c>
      <c r="H179" s="75">
        <v>1</v>
      </c>
      <c r="I179" s="90">
        <v>320</v>
      </c>
      <c r="J179" s="91">
        <f t="shared" ref="J179:J191" si="10">ROUND(I179*H179,2)</f>
        <v>320</v>
      </c>
      <c r="K179" s="92"/>
      <c r="L179" s="12"/>
      <c r="M179" s="93" t="s">
        <v>1</v>
      </c>
      <c r="N179" s="94" t="s">
        <v>42</v>
      </c>
      <c r="P179" s="95">
        <f t="shared" ref="P179:P191" si="11">O179*H179</f>
        <v>0</v>
      </c>
      <c r="Q179" s="95">
        <v>0</v>
      </c>
      <c r="R179" s="95">
        <f t="shared" ref="R179:R191" si="12">Q179*H179</f>
        <v>0</v>
      </c>
      <c r="S179" s="95">
        <v>0</v>
      </c>
      <c r="T179" s="99">
        <f t="shared" ref="T179:T191" si="13">S179*H179</f>
        <v>0</v>
      </c>
      <c r="AR179" s="101" t="s">
        <v>218</v>
      </c>
      <c r="AT179" s="101" t="s">
        <v>214</v>
      </c>
      <c r="AU179" s="101" t="s">
        <v>87</v>
      </c>
      <c r="AY179" s="23" t="s">
        <v>211</v>
      </c>
      <c r="BE179" s="104">
        <f t="shared" ref="BE179:BE191" si="14">IF(N179="základní",J179,0)</f>
        <v>320</v>
      </c>
      <c r="BF179" s="104">
        <f t="shared" ref="BF179:BF191" si="15">IF(N179="snížená",J179,0)</f>
        <v>0</v>
      </c>
      <c r="BG179" s="104">
        <f t="shared" ref="BG179:BG191" si="16">IF(N179="zákl. přenesená",J179,0)</f>
        <v>0</v>
      </c>
      <c r="BH179" s="104">
        <f t="shared" ref="BH179:BH191" si="17">IF(N179="sníž. přenesená",J179,0)</f>
        <v>0</v>
      </c>
      <c r="BI179" s="104">
        <f t="shared" ref="BI179:BI191" si="18">IF(N179="nulová",J179,0)</f>
        <v>0</v>
      </c>
      <c r="BJ179" s="23" t="s">
        <v>85</v>
      </c>
      <c r="BK179" s="104">
        <f t="shared" ref="BK179:BK191" si="19">ROUND(I179*H179,2)</f>
        <v>320</v>
      </c>
      <c r="BL179" s="23" t="s">
        <v>218</v>
      </c>
      <c r="BM179" s="101" t="s">
        <v>566</v>
      </c>
    </row>
    <row r="180" spans="2:65" s="1" customFormat="1" ht="16.5" customHeight="1">
      <c r="B180" s="12"/>
      <c r="C180" s="71" t="s">
        <v>465</v>
      </c>
      <c r="D180" s="71" t="s">
        <v>214</v>
      </c>
      <c r="E180" s="72" t="s">
        <v>4641</v>
      </c>
      <c r="F180" s="73" t="s">
        <v>4642</v>
      </c>
      <c r="G180" s="74" t="s">
        <v>808</v>
      </c>
      <c r="H180" s="75">
        <v>1</v>
      </c>
      <c r="I180" s="90">
        <v>420</v>
      </c>
      <c r="J180" s="91">
        <f t="shared" si="10"/>
        <v>420</v>
      </c>
      <c r="K180" s="92"/>
      <c r="L180" s="12"/>
      <c r="M180" s="93" t="s">
        <v>1</v>
      </c>
      <c r="N180" s="94" t="s">
        <v>42</v>
      </c>
      <c r="P180" s="95">
        <f t="shared" si="11"/>
        <v>0</v>
      </c>
      <c r="Q180" s="95">
        <v>0</v>
      </c>
      <c r="R180" s="95">
        <f t="shared" si="12"/>
        <v>0</v>
      </c>
      <c r="S180" s="95">
        <v>0</v>
      </c>
      <c r="T180" s="99">
        <f t="shared" si="13"/>
        <v>0</v>
      </c>
      <c r="AR180" s="101" t="s">
        <v>218</v>
      </c>
      <c r="AT180" s="101" t="s">
        <v>214</v>
      </c>
      <c r="AU180" s="101" t="s">
        <v>87</v>
      </c>
      <c r="AY180" s="23" t="s">
        <v>211</v>
      </c>
      <c r="BE180" s="104">
        <f t="shared" si="14"/>
        <v>420</v>
      </c>
      <c r="BF180" s="104">
        <f t="shared" si="15"/>
        <v>0</v>
      </c>
      <c r="BG180" s="104">
        <f t="shared" si="16"/>
        <v>0</v>
      </c>
      <c r="BH180" s="104">
        <f t="shared" si="17"/>
        <v>0</v>
      </c>
      <c r="BI180" s="104">
        <f t="shared" si="18"/>
        <v>0</v>
      </c>
      <c r="BJ180" s="23" t="s">
        <v>85</v>
      </c>
      <c r="BK180" s="104">
        <f t="shared" si="19"/>
        <v>420</v>
      </c>
      <c r="BL180" s="23" t="s">
        <v>218</v>
      </c>
      <c r="BM180" s="101" t="s">
        <v>578</v>
      </c>
    </row>
    <row r="181" spans="2:65" s="1" customFormat="1" ht="16.5" customHeight="1">
      <c r="B181" s="12"/>
      <c r="C181" s="71" t="s">
        <v>7</v>
      </c>
      <c r="D181" s="71" t="s">
        <v>214</v>
      </c>
      <c r="E181" s="72" t="s">
        <v>4643</v>
      </c>
      <c r="F181" s="73" t="s">
        <v>4644</v>
      </c>
      <c r="G181" s="74" t="s">
        <v>808</v>
      </c>
      <c r="H181" s="75">
        <v>4</v>
      </c>
      <c r="I181" s="90">
        <v>550</v>
      </c>
      <c r="J181" s="91">
        <f t="shared" si="10"/>
        <v>2200</v>
      </c>
      <c r="K181" s="92"/>
      <c r="L181" s="12"/>
      <c r="M181" s="93" t="s">
        <v>1</v>
      </c>
      <c r="N181" s="94" t="s">
        <v>42</v>
      </c>
      <c r="P181" s="95">
        <f t="shared" si="11"/>
        <v>0</v>
      </c>
      <c r="Q181" s="95">
        <v>0</v>
      </c>
      <c r="R181" s="95">
        <f t="shared" si="12"/>
        <v>0</v>
      </c>
      <c r="S181" s="95">
        <v>0</v>
      </c>
      <c r="T181" s="99">
        <f t="shared" si="13"/>
        <v>0</v>
      </c>
      <c r="AR181" s="101" t="s">
        <v>218</v>
      </c>
      <c r="AT181" s="101" t="s">
        <v>214</v>
      </c>
      <c r="AU181" s="101" t="s">
        <v>87</v>
      </c>
      <c r="AY181" s="23" t="s">
        <v>211</v>
      </c>
      <c r="BE181" s="104">
        <f t="shared" si="14"/>
        <v>2200</v>
      </c>
      <c r="BF181" s="104">
        <f t="shared" si="15"/>
        <v>0</v>
      </c>
      <c r="BG181" s="104">
        <f t="shared" si="16"/>
        <v>0</v>
      </c>
      <c r="BH181" s="104">
        <f t="shared" si="17"/>
        <v>0</v>
      </c>
      <c r="BI181" s="104">
        <f t="shared" si="18"/>
        <v>0</v>
      </c>
      <c r="BJ181" s="23" t="s">
        <v>85</v>
      </c>
      <c r="BK181" s="104">
        <f t="shared" si="19"/>
        <v>2200</v>
      </c>
      <c r="BL181" s="23" t="s">
        <v>218</v>
      </c>
      <c r="BM181" s="101" t="s">
        <v>588</v>
      </c>
    </row>
    <row r="182" spans="2:65" s="1" customFormat="1" ht="16.5" customHeight="1">
      <c r="B182" s="12"/>
      <c r="C182" s="71" t="s">
        <v>475</v>
      </c>
      <c r="D182" s="71" t="s">
        <v>214</v>
      </c>
      <c r="E182" s="72" t="s">
        <v>4645</v>
      </c>
      <c r="F182" s="73" t="s">
        <v>4646</v>
      </c>
      <c r="G182" s="74" t="s">
        <v>808</v>
      </c>
      <c r="H182" s="75">
        <v>3</v>
      </c>
      <c r="I182" s="90">
        <v>700</v>
      </c>
      <c r="J182" s="91">
        <f t="shared" si="10"/>
        <v>2100</v>
      </c>
      <c r="K182" s="92"/>
      <c r="L182" s="12"/>
      <c r="M182" s="93" t="s">
        <v>1</v>
      </c>
      <c r="N182" s="94" t="s">
        <v>42</v>
      </c>
      <c r="P182" s="95">
        <f t="shared" si="11"/>
        <v>0</v>
      </c>
      <c r="Q182" s="95">
        <v>0</v>
      </c>
      <c r="R182" s="95">
        <f t="shared" si="12"/>
        <v>0</v>
      </c>
      <c r="S182" s="95">
        <v>0</v>
      </c>
      <c r="T182" s="99">
        <f t="shared" si="13"/>
        <v>0</v>
      </c>
      <c r="AR182" s="101" t="s">
        <v>218</v>
      </c>
      <c r="AT182" s="101" t="s">
        <v>214</v>
      </c>
      <c r="AU182" s="101" t="s">
        <v>87</v>
      </c>
      <c r="AY182" s="23" t="s">
        <v>211</v>
      </c>
      <c r="BE182" s="104">
        <f t="shared" si="14"/>
        <v>2100</v>
      </c>
      <c r="BF182" s="104">
        <f t="shared" si="15"/>
        <v>0</v>
      </c>
      <c r="BG182" s="104">
        <f t="shared" si="16"/>
        <v>0</v>
      </c>
      <c r="BH182" s="104">
        <f t="shared" si="17"/>
        <v>0</v>
      </c>
      <c r="BI182" s="104">
        <f t="shared" si="18"/>
        <v>0</v>
      </c>
      <c r="BJ182" s="23" t="s">
        <v>85</v>
      </c>
      <c r="BK182" s="104">
        <f t="shared" si="19"/>
        <v>2100</v>
      </c>
      <c r="BL182" s="23" t="s">
        <v>218</v>
      </c>
      <c r="BM182" s="101" t="s">
        <v>598</v>
      </c>
    </row>
    <row r="183" spans="2:65" s="1" customFormat="1" ht="16.5" customHeight="1">
      <c r="B183" s="12"/>
      <c r="C183" s="71" t="s">
        <v>481</v>
      </c>
      <c r="D183" s="71" t="s">
        <v>214</v>
      </c>
      <c r="E183" s="72" t="s">
        <v>4647</v>
      </c>
      <c r="F183" s="73" t="s">
        <v>4648</v>
      </c>
      <c r="G183" s="74" t="s">
        <v>808</v>
      </c>
      <c r="H183" s="75">
        <v>3</v>
      </c>
      <c r="I183" s="90">
        <v>800</v>
      </c>
      <c r="J183" s="91">
        <f t="shared" si="10"/>
        <v>2400</v>
      </c>
      <c r="K183" s="92"/>
      <c r="L183" s="12"/>
      <c r="M183" s="93" t="s">
        <v>1</v>
      </c>
      <c r="N183" s="94" t="s">
        <v>42</v>
      </c>
      <c r="P183" s="95">
        <f t="shared" si="11"/>
        <v>0</v>
      </c>
      <c r="Q183" s="95">
        <v>0</v>
      </c>
      <c r="R183" s="95">
        <f t="shared" si="12"/>
        <v>0</v>
      </c>
      <c r="S183" s="95">
        <v>0</v>
      </c>
      <c r="T183" s="99">
        <f t="shared" si="13"/>
        <v>0</v>
      </c>
      <c r="AR183" s="101" t="s">
        <v>218</v>
      </c>
      <c r="AT183" s="101" t="s">
        <v>214</v>
      </c>
      <c r="AU183" s="101" t="s">
        <v>87</v>
      </c>
      <c r="AY183" s="23" t="s">
        <v>211</v>
      </c>
      <c r="BE183" s="104">
        <f t="shared" si="14"/>
        <v>2400</v>
      </c>
      <c r="BF183" s="104">
        <f t="shared" si="15"/>
        <v>0</v>
      </c>
      <c r="BG183" s="104">
        <f t="shared" si="16"/>
        <v>0</v>
      </c>
      <c r="BH183" s="104">
        <f t="shared" si="17"/>
        <v>0</v>
      </c>
      <c r="BI183" s="104">
        <f t="shared" si="18"/>
        <v>0</v>
      </c>
      <c r="BJ183" s="23" t="s">
        <v>85</v>
      </c>
      <c r="BK183" s="104">
        <f t="shared" si="19"/>
        <v>2400</v>
      </c>
      <c r="BL183" s="23" t="s">
        <v>218</v>
      </c>
      <c r="BM183" s="101" t="s">
        <v>608</v>
      </c>
    </row>
    <row r="184" spans="2:65" s="1" customFormat="1" ht="24.15" customHeight="1">
      <c r="B184" s="12"/>
      <c r="C184" s="71" t="s">
        <v>486</v>
      </c>
      <c r="D184" s="71" t="s">
        <v>214</v>
      </c>
      <c r="E184" s="72" t="s">
        <v>4649</v>
      </c>
      <c r="F184" s="73" t="s">
        <v>4650</v>
      </c>
      <c r="G184" s="74" t="s">
        <v>808</v>
      </c>
      <c r="H184" s="75">
        <v>1</v>
      </c>
      <c r="I184" s="90">
        <v>2500</v>
      </c>
      <c r="J184" s="91">
        <f t="shared" si="10"/>
        <v>2500</v>
      </c>
      <c r="K184" s="92"/>
      <c r="L184" s="12"/>
      <c r="M184" s="93" t="s">
        <v>1</v>
      </c>
      <c r="N184" s="94" t="s">
        <v>42</v>
      </c>
      <c r="P184" s="95">
        <f t="shared" si="11"/>
        <v>0</v>
      </c>
      <c r="Q184" s="95">
        <v>0</v>
      </c>
      <c r="R184" s="95">
        <f t="shared" si="12"/>
        <v>0</v>
      </c>
      <c r="S184" s="95">
        <v>0</v>
      </c>
      <c r="T184" s="99">
        <f t="shared" si="13"/>
        <v>0</v>
      </c>
      <c r="AR184" s="101" t="s">
        <v>218</v>
      </c>
      <c r="AT184" s="101" t="s">
        <v>214</v>
      </c>
      <c r="AU184" s="101" t="s">
        <v>87</v>
      </c>
      <c r="AY184" s="23" t="s">
        <v>211</v>
      </c>
      <c r="BE184" s="104">
        <f t="shared" si="14"/>
        <v>2500</v>
      </c>
      <c r="BF184" s="104">
        <f t="shared" si="15"/>
        <v>0</v>
      </c>
      <c r="BG184" s="104">
        <f t="shared" si="16"/>
        <v>0</v>
      </c>
      <c r="BH184" s="104">
        <f t="shared" si="17"/>
        <v>0</v>
      </c>
      <c r="BI184" s="104">
        <f t="shared" si="18"/>
        <v>0</v>
      </c>
      <c r="BJ184" s="23" t="s">
        <v>85</v>
      </c>
      <c r="BK184" s="104">
        <f t="shared" si="19"/>
        <v>2500</v>
      </c>
      <c r="BL184" s="23" t="s">
        <v>218</v>
      </c>
      <c r="BM184" s="101" t="s">
        <v>619</v>
      </c>
    </row>
    <row r="185" spans="2:65" s="1" customFormat="1" ht="24.15" customHeight="1">
      <c r="B185" s="12"/>
      <c r="C185" s="71" t="s">
        <v>490</v>
      </c>
      <c r="D185" s="71" t="s">
        <v>214</v>
      </c>
      <c r="E185" s="72" t="s">
        <v>4651</v>
      </c>
      <c r="F185" s="73" t="s">
        <v>4652</v>
      </c>
      <c r="G185" s="74" t="s">
        <v>808</v>
      </c>
      <c r="H185" s="75">
        <v>1</v>
      </c>
      <c r="I185" s="90">
        <v>4000</v>
      </c>
      <c r="J185" s="91">
        <f t="shared" si="10"/>
        <v>4000</v>
      </c>
      <c r="K185" s="92"/>
      <c r="L185" s="12"/>
      <c r="M185" s="93" t="s">
        <v>1</v>
      </c>
      <c r="N185" s="94" t="s">
        <v>42</v>
      </c>
      <c r="P185" s="95">
        <f t="shared" si="11"/>
        <v>0</v>
      </c>
      <c r="Q185" s="95">
        <v>0</v>
      </c>
      <c r="R185" s="95">
        <f t="shared" si="12"/>
        <v>0</v>
      </c>
      <c r="S185" s="95">
        <v>0</v>
      </c>
      <c r="T185" s="99">
        <f t="shared" si="13"/>
        <v>0</v>
      </c>
      <c r="AR185" s="101" t="s">
        <v>218</v>
      </c>
      <c r="AT185" s="101" t="s">
        <v>214</v>
      </c>
      <c r="AU185" s="101" t="s">
        <v>87</v>
      </c>
      <c r="AY185" s="23" t="s">
        <v>211</v>
      </c>
      <c r="BE185" s="104">
        <f t="shared" si="14"/>
        <v>4000</v>
      </c>
      <c r="BF185" s="104">
        <f t="shared" si="15"/>
        <v>0</v>
      </c>
      <c r="BG185" s="104">
        <f t="shared" si="16"/>
        <v>0</v>
      </c>
      <c r="BH185" s="104">
        <f t="shared" si="17"/>
        <v>0</v>
      </c>
      <c r="BI185" s="104">
        <f t="shared" si="18"/>
        <v>0</v>
      </c>
      <c r="BJ185" s="23" t="s">
        <v>85</v>
      </c>
      <c r="BK185" s="104">
        <f t="shared" si="19"/>
        <v>4000</v>
      </c>
      <c r="BL185" s="23" t="s">
        <v>218</v>
      </c>
      <c r="BM185" s="101" t="s">
        <v>629</v>
      </c>
    </row>
    <row r="186" spans="2:65" s="1" customFormat="1" ht="21.75" customHeight="1">
      <c r="B186" s="12"/>
      <c r="C186" s="71" t="s">
        <v>496</v>
      </c>
      <c r="D186" s="71" t="s">
        <v>214</v>
      </c>
      <c r="E186" s="72" t="s">
        <v>4653</v>
      </c>
      <c r="F186" s="73" t="s">
        <v>4654</v>
      </c>
      <c r="G186" s="74" t="s">
        <v>808</v>
      </c>
      <c r="H186" s="75">
        <v>1</v>
      </c>
      <c r="I186" s="90">
        <v>250</v>
      </c>
      <c r="J186" s="91">
        <f t="shared" si="10"/>
        <v>250</v>
      </c>
      <c r="K186" s="92"/>
      <c r="L186" s="12"/>
      <c r="M186" s="93" t="s">
        <v>1</v>
      </c>
      <c r="N186" s="94" t="s">
        <v>42</v>
      </c>
      <c r="P186" s="95">
        <f t="shared" si="11"/>
        <v>0</v>
      </c>
      <c r="Q186" s="95">
        <v>0</v>
      </c>
      <c r="R186" s="95">
        <f t="shared" si="12"/>
        <v>0</v>
      </c>
      <c r="S186" s="95">
        <v>0</v>
      </c>
      <c r="T186" s="99">
        <f t="shared" si="13"/>
        <v>0</v>
      </c>
      <c r="AR186" s="101" t="s">
        <v>218</v>
      </c>
      <c r="AT186" s="101" t="s">
        <v>214</v>
      </c>
      <c r="AU186" s="101" t="s">
        <v>87</v>
      </c>
      <c r="AY186" s="23" t="s">
        <v>211</v>
      </c>
      <c r="BE186" s="104">
        <f t="shared" si="14"/>
        <v>250</v>
      </c>
      <c r="BF186" s="104">
        <f t="shared" si="15"/>
        <v>0</v>
      </c>
      <c r="BG186" s="104">
        <f t="shared" si="16"/>
        <v>0</v>
      </c>
      <c r="BH186" s="104">
        <f t="shared" si="17"/>
        <v>0</v>
      </c>
      <c r="BI186" s="104">
        <f t="shared" si="18"/>
        <v>0</v>
      </c>
      <c r="BJ186" s="23" t="s">
        <v>85</v>
      </c>
      <c r="BK186" s="104">
        <f t="shared" si="19"/>
        <v>250</v>
      </c>
      <c r="BL186" s="23" t="s">
        <v>218</v>
      </c>
      <c r="BM186" s="101" t="s">
        <v>639</v>
      </c>
    </row>
    <row r="187" spans="2:65" s="1" customFormat="1" ht="16.5" customHeight="1">
      <c r="B187" s="12"/>
      <c r="C187" s="71" t="s">
        <v>502</v>
      </c>
      <c r="D187" s="71" t="s">
        <v>214</v>
      </c>
      <c r="E187" s="72" t="s">
        <v>4655</v>
      </c>
      <c r="F187" s="73" t="s">
        <v>4656</v>
      </c>
      <c r="G187" s="74" t="s">
        <v>808</v>
      </c>
      <c r="H187" s="75">
        <v>1</v>
      </c>
      <c r="I187" s="90">
        <v>650</v>
      </c>
      <c r="J187" s="91">
        <f t="shared" si="10"/>
        <v>650</v>
      </c>
      <c r="K187" s="92"/>
      <c r="L187" s="12"/>
      <c r="M187" s="93" t="s">
        <v>1</v>
      </c>
      <c r="N187" s="94" t="s">
        <v>42</v>
      </c>
      <c r="P187" s="95">
        <f t="shared" si="11"/>
        <v>0</v>
      </c>
      <c r="Q187" s="95">
        <v>0</v>
      </c>
      <c r="R187" s="95">
        <f t="shared" si="12"/>
        <v>0</v>
      </c>
      <c r="S187" s="95">
        <v>0</v>
      </c>
      <c r="T187" s="99">
        <f t="shared" si="13"/>
        <v>0</v>
      </c>
      <c r="AR187" s="101" t="s">
        <v>218</v>
      </c>
      <c r="AT187" s="101" t="s">
        <v>214</v>
      </c>
      <c r="AU187" s="101" t="s">
        <v>87</v>
      </c>
      <c r="AY187" s="23" t="s">
        <v>211</v>
      </c>
      <c r="BE187" s="104">
        <f t="shared" si="14"/>
        <v>650</v>
      </c>
      <c r="BF187" s="104">
        <f t="shared" si="15"/>
        <v>0</v>
      </c>
      <c r="BG187" s="104">
        <f t="shared" si="16"/>
        <v>0</v>
      </c>
      <c r="BH187" s="104">
        <f t="shared" si="17"/>
        <v>0</v>
      </c>
      <c r="BI187" s="104">
        <f t="shared" si="18"/>
        <v>0</v>
      </c>
      <c r="BJ187" s="23" t="s">
        <v>85</v>
      </c>
      <c r="BK187" s="104">
        <f t="shared" si="19"/>
        <v>650</v>
      </c>
      <c r="BL187" s="23" t="s">
        <v>218</v>
      </c>
      <c r="BM187" s="101" t="s">
        <v>649</v>
      </c>
    </row>
    <row r="188" spans="2:65" s="1" customFormat="1" ht="16.5" customHeight="1">
      <c r="B188" s="12"/>
      <c r="C188" s="71" t="s">
        <v>507</v>
      </c>
      <c r="D188" s="71" t="s">
        <v>214</v>
      </c>
      <c r="E188" s="72" t="s">
        <v>4657</v>
      </c>
      <c r="F188" s="73" t="s">
        <v>4658</v>
      </c>
      <c r="G188" s="74" t="s">
        <v>808</v>
      </c>
      <c r="H188" s="75">
        <v>1</v>
      </c>
      <c r="I188" s="90">
        <v>800</v>
      </c>
      <c r="J188" s="91">
        <f t="shared" si="10"/>
        <v>800</v>
      </c>
      <c r="K188" s="92"/>
      <c r="L188" s="12"/>
      <c r="M188" s="93" t="s">
        <v>1</v>
      </c>
      <c r="N188" s="94" t="s">
        <v>42</v>
      </c>
      <c r="P188" s="95">
        <f t="shared" si="11"/>
        <v>0</v>
      </c>
      <c r="Q188" s="95">
        <v>0</v>
      </c>
      <c r="R188" s="95">
        <f t="shared" si="12"/>
        <v>0</v>
      </c>
      <c r="S188" s="95">
        <v>0</v>
      </c>
      <c r="T188" s="99">
        <f t="shared" si="13"/>
        <v>0</v>
      </c>
      <c r="AR188" s="101" t="s">
        <v>218</v>
      </c>
      <c r="AT188" s="101" t="s">
        <v>214</v>
      </c>
      <c r="AU188" s="101" t="s">
        <v>87</v>
      </c>
      <c r="AY188" s="23" t="s">
        <v>211</v>
      </c>
      <c r="BE188" s="104">
        <f t="shared" si="14"/>
        <v>800</v>
      </c>
      <c r="BF188" s="104">
        <f t="shared" si="15"/>
        <v>0</v>
      </c>
      <c r="BG188" s="104">
        <f t="shared" si="16"/>
        <v>0</v>
      </c>
      <c r="BH188" s="104">
        <f t="shared" si="17"/>
        <v>0</v>
      </c>
      <c r="BI188" s="104">
        <f t="shared" si="18"/>
        <v>0</v>
      </c>
      <c r="BJ188" s="23" t="s">
        <v>85</v>
      </c>
      <c r="BK188" s="104">
        <f t="shared" si="19"/>
        <v>800</v>
      </c>
      <c r="BL188" s="23" t="s">
        <v>218</v>
      </c>
      <c r="BM188" s="101" t="s">
        <v>660</v>
      </c>
    </row>
    <row r="189" spans="2:65" s="1" customFormat="1" ht="16.5" customHeight="1">
      <c r="B189" s="12"/>
      <c r="C189" s="71" t="s">
        <v>511</v>
      </c>
      <c r="D189" s="71" t="s">
        <v>214</v>
      </c>
      <c r="E189" s="72" t="s">
        <v>4659</v>
      </c>
      <c r="F189" s="73" t="s">
        <v>4660</v>
      </c>
      <c r="G189" s="74" t="s">
        <v>808</v>
      </c>
      <c r="H189" s="75">
        <v>1</v>
      </c>
      <c r="I189" s="90">
        <v>400</v>
      </c>
      <c r="J189" s="91">
        <f t="shared" si="10"/>
        <v>400</v>
      </c>
      <c r="K189" s="92"/>
      <c r="L189" s="12"/>
      <c r="M189" s="93" t="s">
        <v>1</v>
      </c>
      <c r="N189" s="94" t="s">
        <v>42</v>
      </c>
      <c r="P189" s="95">
        <f t="shared" si="11"/>
        <v>0</v>
      </c>
      <c r="Q189" s="95">
        <v>0</v>
      </c>
      <c r="R189" s="95">
        <f t="shared" si="12"/>
        <v>0</v>
      </c>
      <c r="S189" s="95">
        <v>0</v>
      </c>
      <c r="T189" s="99">
        <f t="shared" si="13"/>
        <v>0</v>
      </c>
      <c r="AR189" s="101" t="s">
        <v>218</v>
      </c>
      <c r="AT189" s="101" t="s">
        <v>214</v>
      </c>
      <c r="AU189" s="101" t="s">
        <v>87</v>
      </c>
      <c r="AY189" s="23" t="s">
        <v>211</v>
      </c>
      <c r="BE189" s="104">
        <f t="shared" si="14"/>
        <v>400</v>
      </c>
      <c r="BF189" s="104">
        <f t="shared" si="15"/>
        <v>0</v>
      </c>
      <c r="BG189" s="104">
        <f t="shared" si="16"/>
        <v>0</v>
      </c>
      <c r="BH189" s="104">
        <f t="shared" si="17"/>
        <v>0</v>
      </c>
      <c r="BI189" s="104">
        <f t="shared" si="18"/>
        <v>0</v>
      </c>
      <c r="BJ189" s="23" t="s">
        <v>85</v>
      </c>
      <c r="BK189" s="104">
        <f t="shared" si="19"/>
        <v>400</v>
      </c>
      <c r="BL189" s="23" t="s">
        <v>218</v>
      </c>
      <c r="BM189" s="101" t="s">
        <v>679</v>
      </c>
    </row>
    <row r="190" spans="2:65" s="1" customFormat="1" ht="16.5" customHeight="1">
      <c r="B190" s="12"/>
      <c r="C190" s="71" t="s">
        <v>517</v>
      </c>
      <c r="D190" s="71" t="s">
        <v>214</v>
      </c>
      <c r="E190" s="72" t="s">
        <v>4661</v>
      </c>
      <c r="F190" s="73" t="s">
        <v>4662</v>
      </c>
      <c r="G190" s="74" t="s">
        <v>808</v>
      </c>
      <c r="H190" s="75">
        <v>4</v>
      </c>
      <c r="I190" s="90">
        <v>150</v>
      </c>
      <c r="J190" s="91">
        <f t="shared" si="10"/>
        <v>600</v>
      </c>
      <c r="K190" s="92"/>
      <c r="L190" s="12"/>
      <c r="M190" s="93" t="s">
        <v>1</v>
      </c>
      <c r="N190" s="94" t="s">
        <v>42</v>
      </c>
      <c r="P190" s="95">
        <f t="shared" si="11"/>
        <v>0</v>
      </c>
      <c r="Q190" s="95">
        <v>0</v>
      </c>
      <c r="R190" s="95">
        <f t="shared" si="12"/>
        <v>0</v>
      </c>
      <c r="S190" s="95">
        <v>0</v>
      </c>
      <c r="T190" s="99">
        <f t="shared" si="13"/>
        <v>0</v>
      </c>
      <c r="AR190" s="101" t="s">
        <v>218</v>
      </c>
      <c r="AT190" s="101" t="s">
        <v>214</v>
      </c>
      <c r="AU190" s="101" t="s">
        <v>87</v>
      </c>
      <c r="AY190" s="23" t="s">
        <v>211</v>
      </c>
      <c r="BE190" s="104">
        <f t="shared" si="14"/>
        <v>600</v>
      </c>
      <c r="BF190" s="104">
        <f t="shared" si="15"/>
        <v>0</v>
      </c>
      <c r="BG190" s="104">
        <f t="shared" si="16"/>
        <v>0</v>
      </c>
      <c r="BH190" s="104">
        <f t="shared" si="17"/>
        <v>0</v>
      </c>
      <c r="BI190" s="104">
        <f t="shared" si="18"/>
        <v>0</v>
      </c>
      <c r="BJ190" s="23" t="s">
        <v>85</v>
      </c>
      <c r="BK190" s="104">
        <f t="shared" si="19"/>
        <v>600</v>
      </c>
      <c r="BL190" s="23" t="s">
        <v>218</v>
      </c>
      <c r="BM190" s="101" t="s">
        <v>705</v>
      </c>
    </row>
    <row r="191" spans="2:65" s="1" customFormat="1" ht="16.5" customHeight="1">
      <c r="B191" s="12"/>
      <c r="C191" s="71" t="s">
        <v>522</v>
      </c>
      <c r="D191" s="71" t="s">
        <v>214</v>
      </c>
      <c r="E191" s="72" t="s">
        <v>4663</v>
      </c>
      <c r="F191" s="73" t="s">
        <v>4664</v>
      </c>
      <c r="G191" s="74" t="s">
        <v>808</v>
      </c>
      <c r="H191" s="75">
        <v>2</v>
      </c>
      <c r="I191" s="90">
        <v>160</v>
      </c>
      <c r="J191" s="91">
        <f t="shared" si="10"/>
        <v>320</v>
      </c>
      <c r="K191" s="92"/>
      <c r="L191" s="12"/>
      <c r="M191" s="93" t="s">
        <v>1</v>
      </c>
      <c r="N191" s="94" t="s">
        <v>42</v>
      </c>
      <c r="P191" s="95">
        <f t="shared" si="11"/>
        <v>0</v>
      </c>
      <c r="Q191" s="95">
        <v>0</v>
      </c>
      <c r="R191" s="95">
        <f t="shared" si="12"/>
        <v>0</v>
      </c>
      <c r="S191" s="95">
        <v>0</v>
      </c>
      <c r="T191" s="99">
        <f t="shared" si="13"/>
        <v>0</v>
      </c>
      <c r="AR191" s="101" t="s">
        <v>218</v>
      </c>
      <c r="AT191" s="101" t="s">
        <v>214</v>
      </c>
      <c r="AU191" s="101" t="s">
        <v>87</v>
      </c>
      <c r="AY191" s="23" t="s">
        <v>211</v>
      </c>
      <c r="BE191" s="104">
        <f t="shared" si="14"/>
        <v>320</v>
      </c>
      <c r="BF191" s="104">
        <f t="shared" si="15"/>
        <v>0</v>
      </c>
      <c r="BG191" s="104">
        <f t="shared" si="16"/>
        <v>0</v>
      </c>
      <c r="BH191" s="104">
        <f t="shared" si="17"/>
        <v>0</v>
      </c>
      <c r="BI191" s="104">
        <f t="shared" si="18"/>
        <v>0</v>
      </c>
      <c r="BJ191" s="23" t="s">
        <v>85</v>
      </c>
      <c r="BK191" s="104">
        <f t="shared" si="19"/>
        <v>320</v>
      </c>
      <c r="BL191" s="23" t="s">
        <v>218</v>
      </c>
      <c r="BM191" s="101" t="s">
        <v>722</v>
      </c>
    </row>
    <row r="192" spans="2:65" s="31" customFormat="1" ht="23.1" customHeight="1">
      <c r="B192" s="67"/>
      <c r="D192" s="68" t="s">
        <v>76</v>
      </c>
      <c r="E192" s="70" t="s">
        <v>3879</v>
      </c>
      <c r="F192" s="70" t="s">
        <v>4665</v>
      </c>
      <c r="I192" s="85"/>
      <c r="J192" s="89">
        <f>BK192</f>
        <v>6880</v>
      </c>
      <c r="L192" s="67"/>
      <c r="M192" s="87"/>
      <c r="P192" s="88">
        <f>SUM(P193:P195)</f>
        <v>0</v>
      </c>
      <c r="R192" s="88">
        <f>SUM(R193:R195)</f>
        <v>0</v>
      </c>
      <c r="T192" s="98">
        <f>SUM(T193:T195)</f>
        <v>0</v>
      </c>
      <c r="AR192" s="68" t="s">
        <v>85</v>
      </c>
      <c r="AT192" s="100" t="s">
        <v>76</v>
      </c>
      <c r="AU192" s="100" t="s">
        <v>85</v>
      </c>
      <c r="AY192" s="68" t="s">
        <v>211</v>
      </c>
      <c r="BK192" s="103">
        <f>SUM(BK193:BK195)</f>
        <v>6880</v>
      </c>
    </row>
    <row r="193" spans="2:65" s="1" customFormat="1" ht="16.5" customHeight="1">
      <c r="B193" s="12"/>
      <c r="C193" s="71" t="s">
        <v>527</v>
      </c>
      <c r="D193" s="71" t="s">
        <v>214</v>
      </c>
      <c r="E193" s="72" t="s">
        <v>4643</v>
      </c>
      <c r="F193" s="73" t="s">
        <v>4644</v>
      </c>
      <c r="G193" s="74" t="s">
        <v>808</v>
      </c>
      <c r="H193" s="75">
        <v>8</v>
      </c>
      <c r="I193" s="90">
        <v>550</v>
      </c>
      <c r="J193" s="91">
        <f>ROUND(I193*H193,2)</f>
        <v>4400</v>
      </c>
      <c r="K193" s="92"/>
      <c r="L193" s="12"/>
      <c r="M193" s="93" t="s">
        <v>1</v>
      </c>
      <c r="N193" s="94" t="s">
        <v>42</v>
      </c>
      <c r="P193" s="95">
        <f>O193*H193</f>
        <v>0</v>
      </c>
      <c r="Q193" s="95">
        <v>0</v>
      </c>
      <c r="R193" s="95">
        <f>Q193*H193</f>
        <v>0</v>
      </c>
      <c r="S193" s="95">
        <v>0</v>
      </c>
      <c r="T193" s="99">
        <f>S193*H193</f>
        <v>0</v>
      </c>
      <c r="AR193" s="101" t="s">
        <v>218</v>
      </c>
      <c r="AT193" s="101" t="s">
        <v>214</v>
      </c>
      <c r="AU193" s="101" t="s">
        <v>87</v>
      </c>
      <c r="AY193" s="23" t="s">
        <v>211</v>
      </c>
      <c r="BE193" s="104">
        <f>IF(N193="základní",J193,0)</f>
        <v>4400</v>
      </c>
      <c r="BF193" s="104">
        <f>IF(N193="snížená",J193,0)</f>
        <v>0</v>
      </c>
      <c r="BG193" s="104">
        <f>IF(N193="zákl. přenesená",J193,0)</f>
        <v>0</v>
      </c>
      <c r="BH193" s="104">
        <f>IF(N193="sníž. přenesená",J193,0)</f>
        <v>0</v>
      </c>
      <c r="BI193" s="104">
        <f>IF(N193="nulová",J193,0)</f>
        <v>0</v>
      </c>
      <c r="BJ193" s="23" t="s">
        <v>85</v>
      </c>
      <c r="BK193" s="104">
        <f>ROUND(I193*H193,2)</f>
        <v>4400</v>
      </c>
      <c r="BL193" s="23" t="s">
        <v>218</v>
      </c>
      <c r="BM193" s="101" t="s">
        <v>756</v>
      </c>
    </row>
    <row r="194" spans="2:65" s="1" customFormat="1" ht="16.5" customHeight="1">
      <c r="B194" s="12"/>
      <c r="C194" s="71" t="s">
        <v>532</v>
      </c>
      <c r="D194" s="71" t="s">
        <v>214</v>
      </c>
      <c r="E194" s="72" t="s">
        <v>4661</v>
      </c>
      <c r="F194" s="73" t="s">
        <v>4662</v>
      </c>
      <c r="G194" s="74" t="s">
        <v>808</v>
      </c>
      <c r="H194" s="75">
        <v>8</v>
      </c>
      <c r="I194" s="90">
        <v>150</v>
      </c>
      <c r="J194" s="91">
        <f>ROUND(I194*H194,2)</f>
        <v>1200</v>
      </c>
      <c r="K194" s="92"/>
      <c r="L194" s="12"/>
      <c r="M194" s="93" t="s">
        <v>1</v>
      </c>
      <c r="N194" s="94" t="s">
        <v>42</v>
      </c>
      <c r="P194" s="95">
        <f>O194*H194</f>
        <v>0</v>
      </c>
      <c r="Q194" s="95">
        <v>0</v>
      </c>
      <c r="R194" s="95">
        <f>Q194*H194</f>
        <v>0</v>
      </c>
      <c r="S194" s="95">
        <v>0</v>
      </c>
      <c r="T194" s="99">
        <f>S194*H194</f>
        <v>0</v>
      </c>
      <c r="AR194" s="101" t="s">
        <v>218</v>
      </c>
      <c r="AT194" s="101" t="s">
        <v>214</v>
      </c>
      <c r="AU194" s="101" t="s">
        <v>87</v>
      </c>
      <c r="AY194" s="23" t="s">
        <v>211</v>
      </c>
      <c r="BE194" s="104">
        <f>IF(N194="základní",J194,0)</f>
        <v>1200</v>
      </c>
      <c r="BF194" s="104">
        <f>IF(N194="snížená",J194,0)</f>
        <v>0</v>
      </c>
      <c r="BG194" s="104">
        <f>IF(N194="zákl. přenesená",J194,0)</f>
        <v>0</v>
      </c>
      <c r="BH194" s="104">
        <f>IF(N194="sníž. přenesená",J194,0)</f>
        <v>0</v>
      </c>
      <c r="BI194" s="104">
        <f>IF(N194="nulová",J194,0)</f>
        <v>0</v>
      </c>
      <c r="BJ194" s="23" t="s">
        <v>85</v>
      </c>
      <c r="BK194" s="104">
        <f>ROUND(I194*H194,2)</f>
        <v>1200</v>
      </c>
      <c r="BL194" s="23" t="s">
        <v>218</v>
      </c>
      <c r="BM194" s="101" t="s">
        <v>805</v>
      </c>
    </row>
    <row r="195" spans="2:65" s="1" customFormat="1" ht="16.5" customHeight="1">
      <c r="B195" s="12"/>
      <c r="C195" s="71" t="s">
        <v>537</v>
      </c>
      <c r="D195" s="71" t="s">
        <v>214</v>
      </c>
      <c r="E195" s="72" t="s">
        <v>4663</v>
      </c>
      <c r="F195" s="73" t="s">
        <v>4664</v>
      </c>
      <c r="G195" s="74" t="s">
        <v>808</v>
      </c>
      <c r="H195" s="75">
        <v>8</v>
      </c>
      <c r="I195" s="90">
        <v>160</v>
      </c>
      <c r="J195" s="91">
        <f>ROUND(I195*H195,2)</f>
        <v>1280</v>
      </c>
      <c r="K195" s="92"/>
      <c r="L195" s="12"/>
      <c r="M195" s="93" t="s">
        <v>1</v>
      </c>
      <c r="N195" s="94" t="s">
        <v>42</v>
      </c>
      <c r="P195" s="95">
        <f>O195*H195</f>
        <v>0</v>
      </c>
      <c r="Q195" s="95">
        <v>0</v>
      </c>
      <c r="R195" s="95">
        <f>Q195*H195</f>
        <v>0</v>
      </c>
      <c r="S195" s="95">
        <v>0</v>
      </c>
      <c r="T195" s="99">
        <f>S195*H195</f>
        <v>0</v>
      </c>
      <c r="AR195" s="101" t="s">
        <v>218</v>
      </c>
      <c r="AT195" s="101" t="s">
        <v>214</v>
      </c>
      <c r="AU195" s="101" t="s">
        <v>87</v>
      </c>
      <c r="AY195" s="23" t="s">
        <v>211</v>
      </c>
      <c r="BE195" s="104">
        <f>IF(N195="základní",J195,0)</f>
        <v>1280</v>
      </c>
      <c r="BF195" s="104">
        <f>IF(N195="snížená",J195,0)</f>
        <v>0</v>
      </c>
      <c r="BG195" s="104">
        <f>IF(N195="zákl. přenesená",J195,0)</f>
        <v>0</v>
      </c>
      <c r="BH195" s="104">
        <f>IF(N195="sníž. přenesená",J195,0)</f>
        <v>0</v>
      </c>
      <c r="BI195" s="104">
        <f>IF(N195="nulová",J195,0)</f>
        <v>0</v>
      </c>
      <c r="BJ195" s="23" t="s">
        <v>85</v>
      </c>
      <c r="BK195" s="104">
        <f>ROUND(I195*H195,2)</f>
        <v>1280</v>
      </c>
      <c r="BL195" s="23" t="s">
        <v>218</v>
      </c>
      <c r="BM195" s="101" t="s">
        <v>814</v>
      </c>
    </row>
    <row r="196" spans="2:65" s="31" customFormat="1" ht="26.1" customHeight="1">
      <c r="B196" s="67"/>
      <c r="D196" s="68" t="s">
        <v>76</v>
      </c>
      <c r="E196" s="69" t="s">
        <v>3886</v>
      </c>
      <c r="F196" s="69" t="s">
        <v>4666</v>
      </c>
      <c r="I196" s="85"/>
      <c r="J196" s="86">
        <f>BK196</f>
        <v>630000</v>
      </c>
      <c r="L196" s="67"/>
      <c r="M196" s="87"/>
      <c r="P196" s="88">
        <f>P197+P204</f>
        <v>0</v>
      </c>
      <c r="R196" s="88">
        <f>R197+R204</f>
        <v>0</v>
      </c>
      <c r="T196" s="98">
        <f>T197+T204</f>
        <v>0</v>
      </c>
      <c r="AR196" s="68" t="s">
        <v>85</v>
      </c>
      <c r="AT196" s="100" t="s">
        <v>76</v>
      </c>
      <c r="AU196" s="100" t="s">
        <v>77</v>
      </c>
      <c r="AY196" s="68" t="s">
        <v>211</v>
      </c>
      <c r="BK196" s="103">
        <f>BK197+BK204</f>
        <v>630000</v>
      </c>
    </row>
    <row r="197" spans="2:65" s="31" customFormat="1" ht="23.1" customHeight="1">
      <c r="B197" s="67"/>
      <c r="D197" s="68" t="s">
        <v>76</v>
      </c>
      <c r="E197" s="70" t="s">
        <v>3896</v>
      </c>
      <c r="F197" s="70" t="s">
        <v>4667</v>
      </c>
      <c r="I197" s="85"/>
      <c r="J197" s="89">
        <f>BK197</f>
        <v>104000</v>
      </c>
      <c r="L197" s="67"/>
      <c r="M197" s="87"/>
      <c r="P197" s="88">
        <f>SUM(P198:P203)</f>
        <v>0</v>
      </c>
      <c r="R197" s="88">
        <f>SUM(R198:R203)</f>
        <v>0</v>
      </c>
      <c r="T197" s="98">
        <f>SUM(T198:T203)</f>
        <v>0</v>
      </c>
      <c r="AR197" s="68" t="s">
        <v>85</v>
      </c>
      <c r="AT197" s="100" t="s">
        <v>76</v>
      </c>
      <c r="AU197" s="100" t="s">
        <v>85</v>
      </c>
      <c r="AY197" s="68" t="s">
        <v>211</v>
      </c>
      <c r="BK197" s="103">
        <f>SUM(BK198:BK203)</f>
        <v>104000</v>
      </c>
    </row>
    <row r="198" spans="2:65" s="1" customFormat="1" ht="16.5" customHeight="1">
      <c r="B198" s="12"/>
      <c r="C198" s="71" t="s">
        <v>542</v>
      </c>
      <c r="D198" s="71" t="s">
        <v>214</v>
      </c>
      <c r="E198" s="72" t="s">
        <v>4668</v>
      </c>
      <c r="F198" s="73" t="s">
        <v>4669</v>
      </c>
      <c r="G198" s="74" t="s">
        <v>234</v>
      </c>
      <c r="H198" s="75">
        <v>1</v>
      </c>
      <c r="I198" s="90">
        <v>15000</v>
      </c>
      <c r="J198" s="91">
        <f>ROUND(I198*H198,2)</f>
        <v>15000</v>
      </c>
      <c r="K198" s="92"/>
      <c r="L198" s="12"/>
      <c r="M198" s="93" t="s">
        <v>1</v>
      </c>
      <c r="N198" s="94" t="s">
        <v>42</v>
      </c>
      <c r="P198" s="95">
        <f>O198*H198</f>
        <v>0</v>
      </c>
      <c r="Q198" s="95">
        <v>0</v>
      </c>
      <c r="R198" s="95">
        <f>Q198*H198</f>
        <v>0</v>
      </c>
      <c r="S198" s="95">
        <v>0</v>
      </c>
      <c r="T198" s="99">
        <f>S198*H198</f>
        <v>0</v>
      </c>
      <c r="AR198" s="101" t="s">
        <v>218</v>
      </c>
      <c r="AT198" s="101" t="s">
        <v>214</v>
      </c>
      <c r="AU198" s="101" t="s">
        <v>87</v>
      </c>
      <c r="AY198" s="23" t="s">
        <v>211</v>
      </c>
      <c r="BE198" s="104">
        <f>IF(N198="základní",J198,0)</f>
        <v>15000</v>
      </c>
      <c r="BF198" s="104">
        <f>IF(N198="snížená",J198,0)</f>
        <v>0</v>
      </c>
      <c r="BG198" s="104">
        <f>IF(N198="zákl. přenesená",J198,0)</f>
        <v>0</v>
      </c>
      <c r="BH198" s="104">
        <f>IF(N198="sníž. přenesená",J198,0)</f>
        <v>0</v>
      </c>
      <c r="BI198" s="104">
        <f>IF(N198="nulová",J198,0)</f>
        <v>0</v>
      </c>
      <c r="BJ198" s="23" t="s">
        <v>85</v>
      </c>
      <c r="BK198" s="104">
        <f>ROUND(I198*H198,2)</f>
        <v>15000</v>
      </c>
      <c r="BL198" s="23" t="s">
        <v>218</v>
      </c>
      <c r="BM198" s="101" t="s">
        <v>822</v>
      </c>
    </row>
    <row r="199" spans="2:65" s="1" customFormat="1" ht="67.2">
      <c r="B199" s="12"/>
      <c r="D199" s="105" t="s">
        <v>227</v>
      </c>
      <c r="F199" s="106" t="s">
        <v>4670</v>
      </c>
      <c r="I199" s="107"/>
      <c r="L199" s="12"/>
      <c r="M199" s="108"/>
      <c r="T199" s="111"/>
      <c r="AT199" s="23" t="s">
        <v>227</v>
      </c>
      <c r="AU199" s="23" t="s">
        <v>87</v>
      </c>
    </row>
    <row r="200" spans="2:65" s="1" customFormat="1" ht="16.5" customHeight="1">
      <c r="B200" s="12"/>
      <c r="C200" s="71" t="s">
        <v>551</v>
      </c>
      <c r="D200" s="71" t="s">
        <v>214</v>
      </c>
      <c r="E200" s="72" t="s">
        <v>4671</v>
      </c>
      <c r="F200" s="73" t="s">
        <v>4672</v>
      </c>
      <c r="G200" s="74" t="s">
        <v>234</v>
      </c>
      <c r="H200" s="75">
        <v>3</v>
      </c>
      <c r="I200" s="90">
        <v>17000</v>
      </c>
      <c r="J200" s="91">
        <f>ROUND(I200*H200,2)</f>
        <v>51000</v>
      </c>
      <c r="K200" s="92"/>
      <c r="L200" s="12"/>
      <c r="M200" s="93" t="s">
        <v>1</v>
      </c>
      <c r="N200" s="94" t="s">
        <v>42</v>
      </c>
      <c r="P200" s="95">
        <f>O200*H200</f>
        <v>0</v>
      </c>
      <c r="Q200" s="95">
        <v>0</v>
      </c>
      <c r="R200" s="95">
        <f>Q200*H200</f>
        <v>0</v>
      </c>
      <c r="S200" s="95">
        <v>0</v>
      </c>
      <c r="T200" s="99">
        <f>S200*H200</f>
        <v>0</v>
      </c>
      <c r="AR200" s="101" t="s">
        <v>218</v>
      </c>
      <c r="AT200" s="101" t="s">
        <v>214</v>
      </c>
      <c r="AU200" s="101" t="s">
        <v>87</v>
      </c>
      <c r="AY200" s="23" t="s">
        <v>211</v>
      </c>
      <c r="BE200" s="104">
        <f>IF(N200="základní",J200,0)</f>
        <v>51000</v>
      </c>
      <c r="BF200" s="104">
        <f>IF(N200="snížená",J200,0)</f>
        <v>0</v>
      </c>
      <c r="BG200" s="104">
        <f>IF(N200="zákl. přenesená",J200,0)</f>
        <v>0</v>
      </c>
      <c r="BH200" s="104">
        <f>IF(N200="sníž. přenesená",J200,0)</f>
        <v>0</v>
      </c>
      <c r="BI200" s="104">
        <f>IF(N200="nulová",J200,0)</f>
        <v>0</v>
      </c>
      <c r="BJ200" s="23" t="s">
        <v>85</v>
      </c>
      <c r="BK200" s="104">
        <f>ROUND(I200*H200,2)</f>
        <v>51000</v>
      </c>
      <c r="BL200" s="23" t="s">
        <v>218</v>
      </c>
      <c r="BM200" s="101" t="s">
        <v>830</v>
      </c>
    </row>
    <row r="201" spans="2:65" s="1" customFormat="1" ht="67.2">
      <c r="B201" s="12"/>
      <c r="D201" s="105" t="s">
        <v>227</v>
      </c>
      <c r="F201" s="106" t="s">
        <v>4670</v>
      </c>
      <c r="I201" s="107"/>
      <c r="L201" s="12"/>
      <c r="M201" s="108"/>
      <c r="T201" s="111"/>
      <c r="AT201" s="23" t="s">
        <v>227</v>
      </c>
      <c r="AU201" s="23" t="s">
        <v>87</v>
      </c>
    </row>
    <row r="202" spans="2:65" s="1" customFormat="1" ht="16.5" customHeight="1">
      <c r="B202" s="12"/>
      <c r="C202" s="71" t="s">
        <v>555</v>
      </c>
      <c r="D202" s="71" t="s">
        <v>214</v>
      </c>
      <c r="E202" s="72" t="s">
        <v>4673</v>
      </c>
      <c r="F202" s="73" t="s">
        <v>4674</v>
      </c>
      <c r="G202" s="74" t="s">
        <v>234</v>
      </c>
      <c r="H202" s="75">
        <v>2</v>
      </c>
      <c r="I202" s="90">
        <v>19000</v>
      </c>
      <c r="J202" s="91">
        <f>ROUND(I202*H202,2)</f>
        <v>38000</v>
      </c>
      <c r="K202" s="92"/>
      <c r="L202" s="12"/>
      <c r="M202" s="93" t="s">
        <v>1</v>
      </c>
      <c r="N202" s="94" t="s">
        <v>42</v>
      </c>
      <c r="P202" s="95">
        <f>O202*H202</f>
        <v>0</v>
      </c>
      <c r="Q202" s="95">
        <v>0</v>
      </c>
      <c r="R202" s="95">
        <f>Q202*H202</f>
        <v>0</v>
      </c>
      <c r="S202" s="95">
        <v>0</v>
      </c>
      <c r="T202" s="99">
        <f>S202*H202</f>
        <v>0</v>
      </c>
      <c r="AR202" s="101" t="s">
        <v>218</v>
      </c>
      <c r="AT202" s="101" t="s">
        <v>214</v>
      </c>
      <c r="AU202" s="101" t="s">
        <v>87</v>
      </c>
      <c r="AY202" s="23" t="s">
        <v>211</v>
      </c>
      <c r="BE202" s="104">
        <f>IF(N202="základní",J202,0)</f>
        <v>38000</v>
      </c>
      <c r="BF202" s="104">
        <f>IF(N202="snížená",J202,0)</f>
        <v>0</v>
      </c>
      <c r="BG202" s="104">
        <f>IF(N202="zákl. přenesená",J202,0)</f>
        <v>0</v>
      </c>
      <c r="BH202" s="104">
        <f>IF(N202="sníž. přenesená",J202,0)</f>
        <v>0</v>
      </c>
      <c r="BI202" s="104">
        <f>IF(N202="nulová",J202,0)</f>
        <v>0</v>
      </c>
      <c r="BJ202" s="23" t="s">
        <v>85</v>
      </c>
      <c r="BK202" s="104">
        <f>ROUND(I202*H202,2)</f>
        <v>38000</v>
      </c>
      <c r="BL202" s="23" t="s">
        <v>218</v>
      </c>
      <c r="BM202" s="101" t="s">
        <v>838</v>
      </c>
    </row>
    <row r="203" spans="2:65" s="1" customFormat="1" ht="67.2">
      <c r="B203" s="12"/>
      <c r="D203" s="105" t="s">
        <v>227</v>
      </c>
      <c r="F203" s="106" t="s">
        <v>4670</v>
      </c>
      <c r="I203" s="107"/>
      <c r="L203" s="12"/>
      <c r="M203" s="108"/>
      <c r="T203" s="111"/>
      <c r="AT203" s="23" t="s">
        <v>227</v>
      </c>
      <c r="AU203" s="23" t="s">
        <v>87</v>
      </c>
    </row>
    <row r="204" spans="2:65" s="31" customFormat="1" ht="23.1" customHeight="1">
      <c r="B204" s="67"/>
      <c r="D204" s="68" t="s">
        <v>76</v>
      </c>
      <c r="E204" s="70" t="s">
        <v>3916</v>
      </c>
      <c r="F204" s="70" t="s">
        <v>4675</v>
      </c>
      <c r="I204" s="85"/>
      <c r="J204" s="89">
        <f>BK204</f>
        <v>526000</v>
      </c>
      <c r="L204" s="67"/>
      <c r="M204" s="87"/>
      <c r="P204" s="88">
        <f>SUM(P205:P210)</f>
        <v>0</v>
      </c>
      <c r="R204" s="88">
        <f>SUM(R205:R210)</f>
        <v>0</v>
      </c>
      <c r="T204" s="98">
        <f>SUM(T205:T210)</f>
        <v>0</v>
      </c>
      <c r="AR204" s="68" t="s">
        <v>85</v>
      </c>
      <c r="AT204" s="100" t="s">
        <v>76</v>
      </c>
      <c r="AU204" s="100" t="s">
        <v>85</v>
      </c>
      <c r="AY204" s="68" t="s">
        <v>211</v>
      </c>
      <c r="BK204" s="103">
        <f>SUM(BK205:BK210)</f>
        <v>526000</v>
      </c>
    </row>
    <row r="205" spans="2:65" s="1" customFormat="1" ht="16.5" customHeight="1">
      <c r="B205" s="12"/>
      <c r="C205" s="71" t="s">
        <v>566</v>
      </c>
      <c r="D205" s="71" t="s">
        <v>214</v>
      </c>
      <c r="E205" s="72" t="s">
        <v>4671</v>
      </c>
      <c r="F205" s="73" t="s">
        <v>4672</v>
      </c>
      <c r="G205" s="74" t="s">
        <v>234</v>
      </c>
      <c r="H205" s="75">
        <v>4</v>
      </c>
      <c r="I205" s="90">
        <v>17000</v>
      </c>
      <c r="J205" s="91">
        <f>ROUND(I205*H205,2)</f>
        <v>68000</v>
      </c>
      <c r="K205" s="92"/>
      <c r="L205" s="12"/>
      <c r="M205" s="93" t="s">
        <v>1</v>
      </c>
      <c r="N205" s="94" t="s">
        <v>42</v>
      </c>
      <c r="P205" s="95">
        <f>O205*H205</f>
        <v>0</v>
      </c>
      <c r="Q205" s="95">
        <v>0</v>
      </c>
      <c r="R205" s="95">
        <f>Q205*H205</f>
        <v>0</v>
      </c>
      <c r="S205" s="95">
        <v>0</v>
      </c>
      <c r="T205" s="99">
        <f>S205*H205</f>
        <v>0</v>
      </c>
      <c r="AR205" s="101" t="s">
        <v>218</v>
      </c>
      <c r="AT205" s="101" t="s">
        <v>214</v>
      </c>
      <c r="AU205" s="101" t="s">
        <v>87</v>
      </c>
      <c r="AY205" s="23" t="s">
        <v>211</v>
      </c>
      <c r="BE205" s="104">
        <f>IF(N205="základní",J205,0)</f>
        <v>68000</v>
      </c>
      <c r="BF205" s="104">
        <f>IF(N205="snížená",J205,0)</f>
        <v>0</v>
      </c>
      <c r="BG205" s="104">
        <f>IF(N205="zákl. přenesená",J205,0)</f>
        <v>0</v>
      </c>
      <c r="BH205" s="104">
        <f>IF(N205="sníž. přenesená",J205,0)</f>
        <v>0</v>
      </c>
      <c r="BI205" s="104">
        <f>IF(N205="nulová",J205,0)</f>
        <v>0</v>
      </c>
      <c r="BJ205" s="23" t="s">
        <v>85</v>
      </c>
      <c r="BK205" s="104">
        <f>ROUND(I205*H205,2)</f>
        <v>68000</v>
      </c>
      <c r="BL205" s="23" t="s">
        <v>218</v>
      </c>
      <c r="BM205" s="101" t="s">
        <v>846</v>
      </c>
    </row>
    <row r="206" spans="2:65" s="1" customFormat="1" ht="67.2">
      <c r="B206" s="12"/>
      <c r="D206" s="105" t="s">
        <v>227</v>
      </c>
      <c r="F206" s="106" t="s">
        <v>4670</v>
      </c>
      <c r="I206" s="107"/>
      <c r="L206" s="12"/>
      <c r="M206" s="108"/>
      <c r="T206" s="111"/>
      <c r="AT206" s="23" t="s">
        <v>227</v>
      </c>
      <c r="AU206" s="23" t="s">
        <v>87</v>
      </c>
    </row>
    <row r="207" spans="2:65" s="1" customFormat="1" ht="16.5" customHeight="1">
      <c r="B207" s="12"/>
      <c r="C207" s="71" t="s">
        <v>570</v>
      </c>
      <c r="D207" s="71" t="s">
        <v>214</v>
      </c>
      <c r="E207" s="72" t="s">
        <v>4673</v>
      </c>
      <c r="F207" s="73" t="s">
        <v>4674</v>
      </c>
      <c r="G207" s="74" t="s">
        <v>234</v>
      </c>
      <c r="H207" s="75">
        <v>2</v>
      </c>
      <c r="I207" s="90">
        <v>19000</v>
      </c>
      <c r="J207" s="91">
        <f>ROUND(I207*H207,2)</f>
        <v>38000</v>
      </c>
      <c r="K207" s="92"/>
      <c r="L207" s="12"/>
      <c r="M207" s="93" t="s">
        <v>1</v>
      </c>
      <c r="N207" s="94" t="s">
        <v>42</v>
      </c>
      <c r="P207" s="95">
        <f>O207*H207</f>
        <v>0</v>
      </c>
      <c r="Q207" s="95">
        <v>0</v>
      </c>
      <c r="R207" s="95">
        <f>Q207*H207</f>
        <v>0</v>
      </c>
      <c r="S207" s="95">
        <v>0</v>
      </c>
      <c r="T207" s="99">
        <f>S207*H207</f>
        <v>0</v>
      </c>
      <c r="AR207" s="101" t="s">
        <v>218</v>
      </c>
      <c r="AT207" s="101" t="s">
        <v>214</v>
      </c>
      <c r="AU207" s="101" t="s">
        <v>87</v>
      </c>
      <c r="AY207" s="23" t="s">
        <v>211</v>
      </c>
      <c r="BE207" s="104">
        <f>IF(N207="základní",J207,0)</f>
        <v>38000</v>
      </c>
      <c r="BF207" s="104">
        <f>IF(N207="snížená",J207,0)</f>
        <v>0</v>
      </c>
      <c r="BG207" s="104">
        <f>IF(N207="zákl. přenesená",J207,0)</f>
        <v>0</v>
      </c>
      <c r="BH207" s="104">
        <f>IF(N207="sníž. přenesená",J207,0)</f>
        <v>0</v>
      </c>
      <c r="BI207" s="104">
        <f>IF(N207="nulová",J207,0)</f>
        <v>0</v>
      </c>
      <c r="BJ207" s="23" t="s">
        <v>85</v>
      </c>
      <c r="BK207" s="104">
        <f>ROUND(I207*H207,2)</f>
        <v>38000</v>
      </c>
      <c r="BL207" s="23" t="s">
        <v>218</v>
      </c>
      <c r="BM207" s="101" t="s">
        <v>854</v>
      </c>
    </row>
    <row r="208" spans="2:65" s="1" customFormat="1" ht="67.2">
      <c r="B208" s="12"/>
      <c r="D208" s="105" t="s">
        <v>227</v>
      </c>
      <c r="F208" s="106" t="s">
        <v>4670</v>
      </c>
      <c r="I208" s="107"/>
      <c r="L208" s="12"/>
      <c r="M208" s="108"/>
      <c r="T208" s="111"/>
      <c r="AT208" s="23" t="s">
        <v>227</v>
      </c>
      <c r="AU208" s="23" t="s">
        <v>87</v>
      </c>
    </row>
    <row r="209" spans="2:65" s="1" customFormat="1" ht="24.15" customHeight="1">
      <c r="B209" s="12"/>
      <c r="C209" s="71" t="s">
        <v>578</v>
      </c>
      <c r="D209" s="71" t="s">
        <v>214</v>
      </c>
      <c r="E209" s="72" t="s">
        <v>4676</v>
      </c>
      <c r="F209" s="73" t="s">
        <v>4677</v>
      </c>
      <c r="G209" s="74" t="s">
        <v>234</v>
      </c>
      <c r="H209" s="75">
        <v>1</v>
      </c>
      <c r="I209" s="90">
        <v>420000</v>
      </c>
      <c r="J209" s="91">
        <f>ROUND(I209*H209,2)</f>
        <v>420000</v>
      </c>
      <c r="K209" s="92"/>
      <c r="L209" s="12"/>
      <c r="M209" s="93" t="s">
        <v>1</v>
      </c>
      <c r="N209" s="94" t="s">
        <v>42</v>
      </c>
      <c r="P209" s="95">
        <f>O209*H209</f>
        <v>0</v>
      </c>
      <c r="Q209" s="95">
        <v>0</v>
      </c>
      <c r="R209" s="95">
        <f>Q209*H209</f>
        <v>0</v>
      </c>
      <c r="S209" s="95">
        <v>0</v>
      </c>
      <c r="T209" s="99">
        <f>S209*H209</f>
        <v>0</v>
      </c>
      <c r="AR209" s="101" t="s">
        <v>218</v>
      </c>
      <c r="AT209" s="101" t="s">
        <v>214</v>
      </c>
      <c r="AU209" s="101" t="s">
        <v>87</v>
      </c>
      <c r="AY209" s="23" t="s">
        <v>211</v>
      </c>
      <c r="BE209" s="104">
        <f>IF(N209="základní",J209,0)</f>
        <v>420000</v>
      </c>
      <c r="BF209" s="104">
        <f>IF(N209="snížená",J209,0)</f>
        <v>0</v>
      </c>
      <c r="BG209" s="104">
        <f>IF(N209="zákl. přenesená",J209,0)</f>
        <v>0</v>
      </c>
      <c r="BH209" s="104">
        <f>IF(N209="sníž. přenesená",J209,0)</f>
        <v>0</v>
      </c>
      <c r="BI209" s="104">
        <f>IF(N209="nulová",J209,0)</f>
        <v>0</v>
      </c>
      <c r="BJ209" s="23" t="s">
        <v>85</v>
      </c>
      <c r="BK209" s="104">
        <f>ROUND(I209*H209,2)</f>
        <v>420000</v>
      </c>
      <c r="BL209" s="23" t="s">
        <v>218</v>
      </c>
      <c r="BM209" s="101" t="s">
        <v>862</v>
      </c>
    </row>
    <row r="210" spans="2:65" s="1" customFormat="1" ht="57.6">
      <c r="B210" s="12"/>
      <c r="D210" s="105" t="s">
        <v>227</v>
      </c>
      <c r="F210" s="106" t="s">
        <v>4678</v>
      </c>
      <c r="I210" s="107"/>
      <c r="L210" s="12"/>
      <c r="M210" s="108"/>
      <c r="T210" s="111"/>
      <c r="AT210" s="23" t="s">
        <v>227</v>
      </c>
      <c r="AU210" s="23" t="s">
        <v>87</v>
      </c>
    </row>
    <row r="211" spans="2:65" s="31" customFormat="1" ht="26.1" customHeight="1">
      <c r="B211" s="67"/>
      <c r="D211" s="68" t="s">
        <v>76</v>
      </c>
      <c r="E211" s="69" t="s">
        <v>4679</v>
      </c>
      <c r="F211" s="69" t="s">
        <v>4680</v>
      </c>
      <c r="I211" s="85"/>
      <c r="J211" s="86">
        <f>BK211</f>
        <v>1540800</v>
      </c>
      <c r="L211" s="67"/>
      <c r="M211" s="87"/>
      <c r="P211" s="88">
        <f>P212+P217+P220+P223+P239+P248+P251+P261+P265</f>
        <v>0</v>
      </c>
      <c r="R211" s="88">
        <f>R212+R217+R220+R223+R239+R248+R251+R261+R265</f>
        <v>0</v>
      </c>
      <c r="T211" s="98">
        <f>T212+T217+T220+T223+T239+T248+T251+T261+T265</f>
        <v>0</v>
      </c>
      <c r="AR211" s="68" t="s">
        <v>85</v>
      </c>
      <c r="AT211" s="100" t="s">
        <v>76</v>
      </c>
      <c r="AU211" s="100" t="s">
        <v>77</v>
      </c>
      <c r="AY211" s="68" t="s">
        <v>211</v>
      </c>
      <c r="BK211" s="103">
        <f>BK212+BK217+BK220+BK223+BK239+BK248+BK251+BK261+BK265</f>
        <v>1540800</v>
      </c>
    </row>
    <row r="212" spans="2:65" s="31" customFormat="1" ht="23.1" customHeight="1">
      <c r="B212" s="67"/>
      <c r="D212" s="68" t="s">
        <v>76</v>
      </c>
      <c r="E212" s="70" t="s">
        <v>4359</v>
      </c>
      <c r="F212" s="70" t="s">
        <v>4681</v>
      </c>
      <c r="I212" s="85"/>
      <c r="J212" s="89">
        <f>BK212</f>
        <v>38400</v>
      </c>
      <c r="L212" s="67"/>
      <c r="M212" s="87"/>
      <c r="P212" s="88">
        <f>SUM(P213:P216)</f>
        <v>0</v>
      </c>
      <c r="R212" s="88">
        <f>SUM(R213:R216)</f>
        <v>0</v>
      </c>
      <c r="T212" s="98">
        <f>SUM(T213:T216)</f>
        <v>0</v>
      </c>
      <c r="AR212" s="68" t="s">
        <v>85</v>
      </c>
      <c r="AT212" s="100" t="s">
        <v>76</v>
      </c>
      <c r="AU212" s="100" t="s">
        <v>85</v>
      </c>
      <c r="AY212" s="68" t="s">
        <v>211</v>
      </c>
      <c r="BK212" s="103">
        <f>SUM(BK213:BK216)</f>
        <v>38400</v>
      </c>
    </row>
    <row r="213" spans="2:65" s="1" customFormat="1" ht="16.5" customHeight="1">
      <c r="B213" s="12"/>
      <c r="C213" s="71" t="s">
        <v>582</v>
      </c>
      <c r="D213" s="71" t="s">
        <v>214</v>
      </c>
      <c r="E213" s="72" t="s">
        <v>4641</v>
      </c>
      <c r="F213" s="73" t="s">
        <v>4642</v>
      </c>
      <c r="G213" s="74" t="s">
        <v>808</v>
      </c>
      <c r="H213" s="75">
        <v>12</v>
      </c>
      <c r="I213" s="90">
        <v>400</v>
      </c>
      <c r="J213" s="91">
        <f>ROUND(I213*H213,2)</f>
        <v>4800</v>
      </c>
      <c r="K213" s="92"/>
      <c r="L213" s="12"/>
      <c r="M213" s="93" t="s">
        <v>1</v>
      </c>
      <c r="N213" s="94" t="s">
        <v>42</v>
      </c>
      <c r="P213" s="95">
        <f>O213*H213</f>
        <v>0</v>
      </c>
      <c r="Q213" s="95">
        <v>0</v>
      </c>
      <c r="R213" s="95">
        <f>Q213*H213</f>
        <v>0</v>
      </c>
      <c r="S213" s="95">
        <v>0</v>
      </c>
      <c r="T213" s="99">
        <f>S213*H213</f>
        <v>0</v>
      </c>
      <c r="AR213" s="101" t="s">
        <v>218</v>
      </c>
      <c r="AT213" s="101" t="s">
        <v>214</v>
      </c>
      <c r="AU213" s="101" t="s">
        <v>87</v>
      </c>
      <c r="AY213" s="23" t="s">
        <v>211</v>
      </c>
      <c r="BE213" s="104">
        <f>IF(N213="základní",J213,0)</f>
        <v>4800</v>
      </c>
      <c r="BF213" s="104">
        <f>IF(N213="snížená",J213,0)</f>
        <v>0</v>
      </c>
      <c r="BG213" s="104">
        <f>IF(N213="zákl. přenesená",J213,0)</f>
        <v>0</v>
      </c>
      <c r="BH213" s="104">
        <f>IF(N213="sníž. přenesená",J213,0)</f>
        <v>0</v>
      </c>
      <c r="BI213" s="104">
        <f>IF(N213="nulová",J213,0)</f>
        <v>0</v>
      </c>
      <c r="BJ213" s="23" t="s">
        <v>85</v>
      </c>
      <c r="BK213" s="104">
        <f>ROUND(I213*H213,2)</f>
        <v>4800</v>
      </c>
      <c r="BL213" s="23" t="s">
        <v>218</v>
      </c>
      <c r="BM213" s="101" t="s">
        <v>883</v>
      </c>
    </row>
    <row r="214" spans="2:65" s="1" customFormat="1" ht="16.5" customHeight="1">
      <c r="B214" s="12"/>
      <c r="C214" s="71" t="s">
        <v>588</v>
      </c>
      <c r="D214" s="71" t="s">
        <v>214</v>
      </c>
      <c r="E214" s="72" t="s">
        <v>4682</v>
      </c>
      <c r="F214" s="73" t="s">
        <v>4683</v>
      </c>
      <c r="G214" s="74" t="s">
        <v>808</v>
      </c>
      <c r="H214" s="75">
        <v>12</v>
      </c>
      <c r="I214" s="90">
        <v>300</v>
      </c>
      <c r="J214" s="91">
        <f>ROUND(I214*H214,2)</f>
        <v>3600</v>
      </c>
      <c r="K214" s="92"/>
      <c r="L214" s="12"/>
      <c r="M214" s="93" t="s">
        <v>1</v>
      </c>
      <c r="N214" s="94" t="s">
        <v>42</v>
      </c>
      <c r="P214" s="95">
        <f>O214*H214</f>
        <v>0</v>
      </c>
      <c r="Q214" s="95">
        <v>0</v>
      </c>
      <c r="R214" s="95">
        <f>Q214*H214</f>
        <v>0</v>
      </c>
      <c r="S214" s="95">
        <v>0</v>
      </c>
      <c r="T214" s="99">
        <f>S214*H214</f>
        <v>0</v>
      </c>
      <c r="AR214" s="101" t="s">
        <v>218</v>
      </c>
      <c r="AT214" s="101" t="s">
        <v>214</v>
      </c>
      <c r="AU214" s="101" t="s">
        <v>87</v>
      </c>
      <c r="AY214" s="23" t="s">
        <v>211</v>
      </c>
      <c r="BE214" s="104">
        <f>IF(N214="základní",J214,0)</f>
        <v>3600</v>
      </c>
      <c r="BF214" s="104">
        <f>IF(N214="snížená",J214,0)</f>
        <v>0</v>
      </c>
      <c r="BG214" s="104">
        <f>IF(N214="zákl. přenesená",J214,0)</f>
        <v>0</v>
      </c>
      <c r="BH214" s="104">
        <f>IF(N214="sníž. přenesená",J214,0)</f>
        <v>0</v>
      </c>
      <c r="BI214" s="104">
        <f>IF(N214="nulová",J214,0)</f>
        <v>0</v>
      </c>
      <c r="BJ214" s="23" t="s">
        <v>85</v>
      </c>
      <c r="BK214" s="104">
        <f>ROUND(I214*H214,2)</f>
        <v>3600</v>
      </c>
      <c r="BL214" s="23" t="s">
        <v>218</v>
      </c>
      <c r="BM214" s="101" t="s">
        <v>905</v>
      </c>
    </row>
    <row r="215" spans="2:65" s="1" customFormat="1" ht="24.15" customHeight="1">
      <c r="B215" s="12"/>
      <c r="C215" s="71" t="s">
        <v>593</v>
      </c>
      <c r="D215" s="71" t="s">
        <v>214</v>
      </c>
      <c r="E215" s="72" t="s">
        <v>4684</v>
      </c>
      <c r="F215" s="73" t="s">
        <v>4685</v>
      </c>
      <c r="G215" s="74" t="s">
        <v>808</v>
      </c>
      <c r="H215" s="75">
        <v>12</v>
      </c>
      <c r="I215" s="90">
        <v>2200</v>
      </c>
      <c r="J215" s="91">
        <f>ROUND(I215*H215,2)</f>
        <v>26400</v>
      </c>
      <c r="K215" s="92"/>
      <c r="L215" s="12"/>
      <c r="M215" s="93" t="s">
        <v>1</v>
      </c>
      <c r="N215" s="94" t="s">
        <v>42</v>
      </c>
      <c r="P215" s="95">
        <f>O215*H215</f>
        <v>0</v>
      </c>
      <c r="Q215" s="95">
        <v>0</v>
      </c>
      <c r="R215" s="95">
        <f>Q215*H215</f>
        <v>0</v>
      </c>
      <c r="S215" s="95">
        <v>0</v>
      </c>
      <c r="T215" s="99">
        <f>S215*H215</f>
        <v>0</v>
      </c>
      <c r="AR215" s="101" t="s">
        <v>218</v>
      </c>
      <c r="AT215" s="101" t="s">
        <v>214</v>
      </c>
      <c r="AU215" s="101" t="s">
        <v>87</v>
      </c>
      <c r="AY215" s="23" t="s">
        <v>211</v>
      </c>
      <c r="BE215" s="104">
        <f>IF(N215="základní",J215,0)</f>
        <v>26400</v>
      </c>
      <c r="BF215" s="104">
        <f>IF(N215="snížená",J215,0)</f>
        <v>0</v>
      </c>
      <c r="BG215" s="104">
        <f>IF(N215="zákl. přenesená",J215,0)</f>
        <v>0</v>
      </c>
      <c r="BH215" s="104">
        <f>IF(N215="sníž. přenesená",J215,0)</f>
        <v>0</v>
      </c>
      <c r="BI215" s="104">
        <f>IF(N215="nulová",J215,0)</f>
        <v>0</v>
      </c>
      <c r="BJ215" s="23" t="s">
        <v>85</v>
      </c>
      <c r="BK215" s="104">
        <f>ROUND(I215*H215,2)</f>
        <v>26400</v>
      </c>
      <c r="BL215" s="23" t="s">
        <v>218</v>
      </c>
      <c r="BM215" s="101" t="s">
        <v>919</v>
      </c>
    </row>
    <row r="216" spans="2:65" s="1" customFormat="1" ht="16.5" customHeight="1">
      <c r="B216" s="12"/>
      <c r="C216" s="71" t="s">
        <v>598</v>
      </c>
      <c r="D216" s="71" t="s">
        <v>214</v>
      </c>
      <c r="E216" s="72" t="s">
        <v>4661</v>
      </c>
      <c r="F216" s="73" t="s">
        <v>4662</v>
      </c>
      <c r="G216" s="74" t="s">
        <v>808</v>
      </c>
      <c r="H216" s="75">
        <v>24</v>
      </c>
      <c r="I216" s="90">
        <v>150</v>
      </c>
      <c r="J216" s="91">
        <f>ROUND(I216*H216,2)</f>
        <v>3600</v>
      </c>
      <c r="K216" s="92"/>
      <c r="L216" s="12"/>
      <c r="M216" s="93" t="s">
        <v>1</v>
      </c>
      <c r="N216" s="94" t="s">
        <v>42</v>
      </c>
      <c r="P216" s="95">
        <f>O216*H216</f>
        <v>0</v>
      </c>
      <c r="Q216" s="95">
        <v>0</v>
      </c>
      <c r="R216" s="95">
        <f>Q216*H216</f>
        <v>0</v>
      </c>
      <c r="S216" s="95">
        <v>0</v>
      </c>
      <c r="T216" s="99">
        <f>S216*H216</f>
        <v>0</v>
      </c>
      <c r="AR216" s="101" t="s">
        <v>218</v>
      </c>
      <c r="AT216" s="101" t="s">
        <v>214</v>
      </c>
      <c r="AU216" s="101" t="s">
        <v>87</v>
      </c>
      <c r="AY216" s="23" t="s">
        <v>211</v>
      </c>
      <c r="BE216" s="104">
        <f>IF(N216="základní",J216,0)</f>
        <v>3600</v>
      </c>
      <c r="BF216" s="104">
        <f>IF(N216="snížená",J216,0)</f>
        <v>0</v>
      </c>
      <c r="BG216" s="104">
        <f>IF(N216="zákl. přenesená",J216,0)</f>
        <v>0</v>
      </c>
      <c r="BH216" s="104">
        <f>IF(N216="sníž. přenesená",J216,0)</f>
        <v>0</v>
      </c>
      <c r="BI216" s="104">
        <f>IF(N216="nulová",J216,0)</f>
        <v>0</v>
      </c>
      <c r="BJ216" s="23" t="s">
        <v>85</v>
      </c>
      <c r="BK216" s="104">
        <f>ROUND(I216*H216,2)</f>
        <v>3600</v>
      </c>
      <c r="BL216" s="23" t="s">
        <v>218</v>
      </c>
      <c r="BM216" s="101" t="s">
        <v>935</v>
      </c>
    </row>
    <row r="217" spans="2:65" s="31" customFormat="1" ht="23.1" customHeight="1">
      <c r="B217" s="67"/>
      <c r="D217" s="68" t="s">
        <v>76</v>
      </c>
      <c r="E217" s="70" t="s">
        <v>4363</v>
      </c>
      <c r="F217" s="70" t="s">
        <v>4686</v>
      </c>
      <c r="I217" s="85"/>
      <c r="J217" s="89">
        <f>BK217</f>
        <v>3500</v>
      </c>
      <c r="L217" s="67"/>
      <c r="M217" s="87"/>
      <c r="P217" s="88">
        <f>SUM(P218:P219)</f>
        <v>0</v>
      </c>
      <c r="R217" s="88">
        <f>SUM(R218:R219)</f>
        <v>0</v>
      </c>
      <c r="T217" s="98">
        <f>SUM(T218:T219)</f>
        <v>0</v>
      </c>
      <c r="AR217" s="68" t="s">
        <v>85</v>
      </c>
      <c r="AT217" s="100" t="s">
        <v>76</v>
      </c>
      <c r="AU217" s="100" t="s">
        <v>85</v>
      </c>
      <c r="AY217" s="68" t="s">
        <v>211</v>
      </c>
      <c r="BK217" s="103">
        <f>SUM(BK218:BK219)</f>
        <v>3500</v>
      </c>
    </row>
    <row r="218" spans="2:65" s="1" customFormat="1" ht="24.15" customHeight="1">
      <c r="B218" s="12"/>
      <c r="C218" s="71" t="s">
        <v>604</v>
      </c>
      <c r="D218" s="71" t="s">
        <v>214</v>
      </c>
      <c r="E218" s="72" t="s">
        <v>4687</v>
      </c>
      <c r="F218" s="73" t="s">
        <v>4688</v>
      </c>
      <c r="G218" s="74" t="s">
        <v>808</v>
      </c>
      <c r="H218" s="75">
        <v>1</v>
      </c>
      <c r="I218" s="90">
        <v>1500</v>
      </c>
      <c r="J218" s="91">
        <f>ROUND(I218*H218,2)</f>
        <v>1500</v>
      </c>
      <c r="K218" s="92"/>
      <c r="L218" s="12"/>
      <c r="M218" s="93" t="s">
        <v>1</v>
      </c>
      <c r="N218" s="94" t="s">
        <v>42</v>
      </c>
      <c r="P218" s="95">
        <f>O218*H218</f>
        <v>0</v>
      </c>
      <c r="Q218" s="95">
        <v>0</v>
      </c>
      <c r="R218" s="95">
        <f>Q218*H218</f>
        <v>0</v>
      </c>
      <c r="S218" s="95">
        <v>0</v>
      </c>
      <c r="T218" s="99">
        <f>S218*H218</f>
        <v>0</v>
      </c>
      <c r="AR218" s="101" t="s">
        <v>218</v>
      </c>
      <c r="AT218" s="101" t="s">
        <v>214</v>
      </c>
      <c r="AU218" s="101" t="s">
        <v>87</v>
      </c>
      <c r="AY218" s="23" t="s">
        <v>211</v>
      </c>
      <c r="BE218" s="104">
        <f>IF(N218="základní",J218,0)</f>
        <v>1500</v>
      </c>
      <c r="BF218" s="104">
        <f>IF(N218="snížená",J218,0)</f>
        <v>0</v>
      </c>
      <c r="BG218" s="104">
        <f>IF(N218="zákl. přenesená",J218,0)</f>
        <v>0</v>
      </c>
      <c r="BH218" s="104">
        <f>IF(N218="sníž. přenesená",J218,0)</f>
        <v>0</v>
      </c>
      <c r="BI218" s="104">
        <f>IF(N218="nulová",J218,0)</f>
        <v>0</v>
      </c>
      <c r="BJ218" s="23" t="s">
        <v>85</v>
      </c>
      <c r="BK218" s="104">
        <f>ROUND(I218*H218,2)</f>
        <v>1500</v>
      </c>
      <c r="BL218" s="23" t="s">
        <v>218</v>
      </c>
      <c r="BM218" s="101" t="s">
        <v>950</v>
      </c>
    </row>
    <row r="219" spans="2:65" s="1" customFormat="1" ht="24.15" customHeight="1">
      <c r="B219" s="12"/>
      <c r="C219" s="71" t="s">
        <v>608</v>
      </c>
      <c r="D219" s="71" t="s">
        <v>214</v>
      </c>
      <c r="E219" s="72" t="s">
        <v>4689</v>
      </c>
      <c r="F219" s="73" t="s">
        <v>4690</v>
      </c>
      <c r="G219" s="74" t="s">
        <v>808</v>
      </c>
      <c r="H219" s="75">
        <v>5</v>
      </c>
      <c r="I219" s="90">
        <v>400</v>
      </c>
      <c r="J219" s="91">
        <f>ROUND(I219*H219,2)</f>
        <v>2000</v>
      </c>
      <c r="K219" s="92"/>
      <c r="L219" s="12"/>
      <c r="M219" s="93" t="s">
        <v>1</v>
      </c>
      <c r="N219" s="94" t="s">
        <v>42</v>
      </c>
      <c r="P219" s="95">
        <f>O219*H219</f>
        <v>0</v>
      </c>
      <c r="Q219" s="95">
        <v>0</v>
      </c>
      <c r="R219" s="95">
        <f>Q219*H219</f>
        <v>0</v>
      </c>
      <c r="S219" s="95">
        <v>0</v>
      </c>
      <c r="T219" s="99">
        <f>S219*H219</f>
        <v>0</v>
      </c>
      <c r="AR219" s="101" t="s">
        <v>218</v>
      </c>
      <c r="AT219" s="101" t="s">
        <v>214</v>
      </c>
      <c r="AU219" s="101" t="s">
        <v>87</v>
      </c>
      <c r="AY219" s="23" t="s">
        <v>211</v>
      </c>
      <c r="BE219" s="104">
        <f>IF(N219="základní",J219,0)</f>
        <v>2000</v>
      </c>
      <c r="BF219" s="104">
        <f>IF(N219="snížená",J219,0)</f>
        <v>0</v>
      </c>
      <c r="BG219" s="104">
        <f>IF(N219="zákl. přenesená",J219,0)</f>
        <v>0</v>
      </c>
      <c r="BH219" s="104">
        <f>IF(N219="sníž. přenesená",J219,0)</f>
        <v>0</v>
      </c>
      <c r="BI219" s="104">
        <f>IF(N219="nulová",J219,0)</f>
        <v>0</v>
      </c>
      <c r="BJ219" s="23" t="s">
        <v>85</v>
      </c>
      <c r="BK219" s="104">
        <f>ROUND(I219*H219,2)</f>
        <v>2000</v>
      </c>
      <c r="BL219" s="23" t="s">
        <v>218</v>
      </c>
      <c r="BM219" s="101" t="s">
        <v>963</v>
      </c>
    </row>
    <row r="220" spans="2:65" s="31" customFormat="1" ht="23.1" customHeight="1">
      <c r="B220" s="67"/>
      <c r="D220" s="68" t="s">
        <v>76</v>
      </c>
      <c r="E220" s="70" t="s">
        <v>4365</v>
      </c>
      <c r="F220" s="70" t="s">
        <v>4691</v>
      </c>
      <c r="I220" s="85"/>
      <c r="J220" s="89">
        <f>BK220</f>
        <v>34000</v>
      </c>
      <c r="L220" s="67"/>
      <c r="M220" s="87"/>
      <c r="P220" s="88">
        <f>SUM(P221:P222)</f>
        <v>0</v>
      </c>
      <c r="R220" s="88">
        <f>SUM(R221:R222)</f>
        <v>0</v>
      </c>
      <c r="T220" s="98">
        <f>SUM(T221:T222)</f>
        <v>0</v>
      </c>
      <c r="AR220" s="68" t="s">
        <v>85</v>
      </c>
      <c r="AT220" s="100" t="s">
        <v>76</v>
      </c>
      <c r="AU220" s="100" t="s">
        <v>85</v>
      </c>
      <c r="AY220" s="68" t="s">
        <v>211</v>
      </c>
      <c r="BK220" s="103">
        <f>SUM(BK221:BK222)</f>
        <v>34000</v>
      </c>
    </row>
    <row r="221" spans="2:65" s="1" customFormat="1" ht="16.5" customHeight="1">
      <c r="B221" s="12"/>
      <c r="C221" s="71" t="s">
        <v>614</v>
      </c>
      <c r="D221" s="71" t="s">
        <v>214</v>
      </c>
      <c r="E221" s="72" t="s">
        <v>4692</v>
      </c>
      <c r="F221" s="73" t="s">
        <v>4693</v>
      </c>
      <c r="G221" s="74" t="s">
        <v>808</v>
      </c>
      <c r="H221" s="75">
        <v>3</v>
      </c>
      <c r="I221" s="90">
        <v>8000</v>
      </c>
      <c r="J221" s="91">
        <f>ROUND(I221*H221,2)</f>
        <v>24000</v>
      </c>
      <c r="K221" s="92"/>
      <c r="L221" s="12"/>
      <c r="M221" s="93" t="s">
        <v>1</v>
      </c>
      <c r="N221" s="94" t="s">
        <v>42</v>
      </c>
      <c r="P221" s="95">
        <f>O221*H221</f>
        <v>0</v>
      </c>
      <c r="Q221" s="95">
        <v>0</v>
      </c>
      <c r="R221" s="95">
        <f>Q221*H221</f>
        <v>0</v>
      </c>
      <c r="S221" s="95">
        <v>0</v>
      </c>
      <c r="T221" s="99">
        <f>S221*H221</f>
        <v>0</v>
      </c>
      <c r="AR221" s="101" t="s">
        <v>218</v>
      </c>
      <c r="AT221" s="101" t="s">
        <v>214</v>
      </c>
      <c r="AU221" s="101" t="s">
        <v>87</v>
      </c>
      <c r="AY221" s="23" t="s">
        <v>211</v>
      </c>
      <c r="BE221" s="104">
        <f>IF(N221="základní",J221,0)</f>
        <v>24000</v>
      </c>
      <c r="BF221" s="104">
        <f>IF(N221="snížená",J221,0)</f>
        <v>0</v>
      </c>
      <c r="BG221" s="104">
        <f>IF(N221="zákl. přenesená",J221,0)</f>
        <v>0</v>
      </c>
      <c r="BH221" s="104">
        <f>IF(N221="sníž. přenesená",J221,0)</f>
        <v>0</v>
      </c>
      <c r="BI221" s="104">
        <f>IF(N221="nulová",J221,0)</f>
        <v>0</v>
      </c>
      <c r="BJ221" s="23" t="s">
        <v>85</v>
      </c>
      <c r="BK221" s="104">
        <f>ROUND(I221*H221,2)</f>
        <v>24000</v>
      </c>
      <c r="BL221" s="23" t="s">
        <v>218</v>
      </c>
      <c r="BM221" s="101" t="s">
        <v>993</v>
      </c>
    </row>
    <row r="222" spans="2:65" s="1" customFormat="1" ht="16.5" customHeight="1">
      <c r="B222" s="12"/>
      <c r="C222" s="71" t="s">
        <v>619</v>
      </c>
      <c r="D222" s="71" t="s">
        <v>214</v>
      </c>
      <c r="E222" s="72" t="s">
        <v>4694</v>
      </c>
      <c r="F222" s="73" t="s">
        <v>4695</v>
      </c>
      <c r="G222" s="74" t="s">
        <v>808</v>
      </c>
      <c r="H222" s="75">
        <v>1</v>
      </c>
      <c r="I222" s="90">
        <v>10000</v>
      </c>
      <c r="J222" s="91">
        <f>ROUND(I222*H222,2)</f>
        <v>10000</v>
      </c>
      <c r="K222" s="92"/>
      <c r="L222" s="12"/>
      <c r="M222" s="93" t="s">
        <v>1</v>
      </c>
      <c r="N222" s="94" t="s">
        <v>42</v>
      </c>
      <c r="P222" s="95">
        <f>O222*H222</f>
        <v>0</v>
      </c>
      <c r="Q222" s="95">
        <v>0</v>
      </c>
      <c r="R222" s="95">
        <f>Q222*H222</f>
        <v>0</v>
      </c>
      <c r="S222" s="95">
        <v>0</v>
      </c>
      <c r="T222" s="99">
        <f>S222*H222</f>
        <v>0</v>
      </c>
      <c r="AR222" s="101" t="s">
        <v>218</v>
      </c>
      <c r="AT222" s="101" t="s">
        <v>214</v>
      </c>
      <c r="AU222" s="101" t="s">
        <v>87</v>
      </c>
      <c r="AY222" s="23" t="s">
        <v>211</v>
      </c>
      <c r="BE222" s="104">
        <f>IF(N222="základní",J222,0)</f>
        <v>10000</v>
      </c>
      <c r="BF222" s="104">
        <f>IF(N222="snížená",J222,0)</f>
        <v>0</v>
      </c>
      <c r="BG222" s="104">
        <f>IF(N222="zákl. přenesená",J222,0)</f>
        <v>0</v>
      </c>
      <c r="BH222" s="104">
        <f>IF(N222="sníž. přenesená",J222,0)</f>
        <v>0</v>
      </c>
      <c r="BI222" s="104">
        <f>IF(N222="nulová",J222,0)</f>
        <v>0</v>
      </c>
      <c r="BJ222" s="23" t="s">
        <v>85</v>
      </c>
      <c r="BK222" s="104">
        <f>ROUND(I222*H222,2)</f>
        <v>10000</v>
      </c>
      <c r="BL222" s="23" t="s">
        <v>218</v>
      </c>
      <c r="BM222" s="101" t="s">
        <v>1001</v>
      </c>
    </row>
    <row r="223" spans="2:65" s="31" customFormat="1" ht="23.1" customHeight="1">
      <c r="B223" s="67"/>
      <c r="D223" s="68" t="s">
        <v>76</v>
      </c>
      <c r="E223" s="70" t="s">
        <v>4383</v>
      </c>
      <c r="F223" s="70" t="s">
        <v>4696</v>
      </c>
      <c r="I223" s="85"/>
      <c r="J223" s="89">
        <f>BK223</f>
        <v>436900</v>
      </c>
      <c r="L223" s="67"/>
      <c r="M223" s="87"/>
      <c r="P223" s="88">
        <f>SUM(P224:P238)</f>
        <v>0</v>
      </c>
      <c r="R223" s="88">
        <f>SUM(R224:R238)</f>
        <v>0</v>
      </c>
      <c r="T223" s="98">
        <f>SUM(T224:T238)</f>
        <v>0</v>
      </c>
      <c r="AR223" s="68" t="s">
        <v>85</v>
      </c>
      <c r="AT223" s="100" t="s">
        <v>76</v>
      </c>
      <c r="AU223" s="100" t="s">
        <v>85</v>
      </c>
      <c r="AY223" s="68" t="s">
        <v>211</v>
      </c>
      <c r="BK223" s="103">
        <f>SUM(BK224:BK238)</f>
        <v>436900</v>
      </c>
    </row>
    <row r="224" spans="2:65" s="1" customFormat="1" ht="16.5" customHeight="1">
      <c r="B224" s="12"/>
      <c r="C224" s="71" t="s">
        <v>624</v>
      </c>
      <c r="D224" s="71" t="s">
        <v>214</v>
      </c>
      <c r="E224" s="72" t="s">
        <v>4697</v>
      </c>
      <c r="F224" s="73" t="s">
        <v>4698</v>
      </c>
      <c r="G224" s="74" t="s">
        <v>808</v>
      </c>
      <c r="H224" s="75">
        <v>26</v>
      </c>
      <c r="I224" s="90">
        <v>4000</v>
      </c>
      <c r="J224" s="91">
        <f t="shared" ref="J224:J238" si="20">ROUND(I224*H224,2)</f>
        <v>104000</v>
      </c>
      <c r="K224" s="92"/>
      <c r="L224" s="12"/>
      <c r="M224" s="93" t="s">
        <v>1</v>
      </c>
      <c r="N224" s="94" t="s">
        <v>42</v>
      </c>
      <c r="P224" s="95">
        <f t="shared" ref="P224:P238" si="21">O224*H224</f>
        <v>0</v>
      </c>
      <c r="Q224" s="95">
        <v>0</v>
      </c>
      <c r="R224" s="95">
        <f t="shared" ref="R224:R238" si="22">Q224*H224</f>
        <v>0</v>
      </c>
      <c r="S224" s="95">
        <v>0</v>
      </c>
      <c r="T224" s="99">
        <f t="shared" ref="T224:T238" si="23">S224*H224</f>
        <v>0</v>
      </c>
      <c r="AR224" s="101" t="s">
        <v>218</v>
      </c>
      <c r="AT224" s="101" t="s">
        <v>214</v>
      </c>
      <c r="AU224" s="101" t="s">
        <v>87</v>
      </c>
      <c r="AY224" s="23" t="s">
        <v>211</v>
      </c>
      <c r="BE224" s="104">
        <f t="shared" ref="BE224:BE238" si="24">IF(N224="základní",J224,0)</f>
        <v>104000</v>
      </c>
      <c r="BF224" s="104">
        <f t="shared" ref="BF224:BF238" si="25">IF(N224="snížená",J224,0)</f>
        <v>0</v>
      </c>
      <c r="BG224" s="104">
        <f t="shared" ref="BG224:BG238" si="26">IF(N224="zákl. přenesená",J224,0)</f>
        <v>0</v>
      </c>
      <c r="BH224" s="104">
        <f t="shared" ref="BH224:BH238" si="27">IF(N224="sníž. přenesená",J224,0)</f>
        <v>0</v>
      </c>
      <c r="BI224" s="104">
        <f t="shared" ref="BI224:BI238" si="28">IF(N224="nulová",J224,0)</f>
        <v>0</v>
      </c>
      <c r="BJ224" s="23" t="s">
        <v>85</v>
      </c>
      <c r="BK224" s="104">
        <f t="shared" ref="BK224:BK238" si="29">ROUND(I224*H224,2)</f>
        <v>104000</v>
      </c>
      <c r="BL224" s="23" t="s">
        <v>218</v>
      </c>
      <c r="BM224" s="101" t="s">
        <v>1028</v>
      </c>
    </row>
    <row r="225" spans="2:65" s="1" customFormat="1" ht="16.5" customHeight="1">
      <c r="B225" s="12"/>
      <c r="C225" s="71" t="s">
        <v>629</v>
      </c>
      <c r="D225" s="71" t="s">
        <v>214</v>
      </c>
      <c r="E225" s="72" t="s">
        <v>4699</v>
      </c>
      <c r="F225" s="73" t="s">
        <v>4700</v>
      </c>
      <c r="G225" s="74" t="s">
        <v>808</v>
      </c>
      <c r="H225" s="75">
        <v>24</v>
      </c>
      <c r="I225" s="90">
        <v>5000</v>
      </c>
      <c r="J225" s="91">
        <f t="shared" si="20"/>
        <v>120000</v>
      </c>
      <c r="K225" s="92"/>
      <c r="L225" s="12"/>
      <c r="M225" s="93" t="s">
        <v>1</v>
      </c>
      <c r="N225" s="94" t="s">
        <v>42</v>
      </c>
      <c r="P225" s="95">
        <f t="shared" si="21"/>
        <v>0</v>
      </c>
      <c r="Q225" s="95">
        <v>0</v>
      </c>
      <c r="R225" s="95">
        <f t="shared" si="22"/>
        <v>0</v>
      </c>
      <c r="S225" s="95">
        <v>0</v>
      </c>
      <c r="T225" s="99">
        <f t="shared" si="23"/>
        <v>0</v>
      </c>
      <c r="AR225" s="101" t="s">
        <v>218</v>
      </c>
      <c r="AT225" s="101" t="s">
        <v>214</v>
      </c>
      <c r="AU225" s="101" t="s">
        <v>87</v>
      </c>
      <c r="AY225" s="23" t="s">
        <v>211</v>
      </c>
      <c r="BE225" s="104">
        <f t="shared" si="24"/>
        <v>120000</v>
      </c>
      <c r="BF225" s="104">
        <f t="shared" si="25"/>
        <v>0</v>
      </c>
      <c r="BG225" s="104">
        <f t="shared" si="26"/>
        <v>0</v>
      </c>
      <c r="BH225" s="104">
        <f t="shared" si="27"/>
        <v>0</v>
      </c>
      <c r="BI225" s="104">
        <f t="shared" si="28"/>
        <v>0</v>
      </c>
      <c r="BJ225" s="23" t="s">
        <v>85</v>
      </c>
      <c r="BK225" s="104">
        <f t="shared" si="29"/>
        <v>120000</v>
      </c>
      <c r="BL225" s="23" t="s">
        <v>218</v>
      </c>
      <c r="BM225" s="101" t="s">
        <v>92</v>
      </c>
    </row>
    <row r="226" spans="2:65" s="1" customFormat="1" ht="16.5" customHeight="1">
      <c r="B226" s="12"/>
      <c r="C226" s="71" t="s">
        <v>634</v>
      </c>
      <c r="D226" s="71" t="s">
        <v>214</v>
      </c>
      <c r="E226" s="72" t="s">
        <v>4701</v>
      </c>
      <c r="F226" s="73" t="s">
        <v>4702</v>
      </c>
      <c r="G226" s="74" t="s">
        <v>808</v>
      </c>
      <c r="H226" s="75">
        <v>12</v>
      </c>
      <c r="I226" s="90">
        <v>5200</v>
      </c>
      <c r="J226" s="91">
        <f t="shared" si="20"/>
        <v>62400</v>
      </c>
      <c r="K226" s="92"/>
      <c r="L226" s="12"/>
      <c r="M226" s="93" t="s">
        <v>1</v>
      </c>
      <c r="N226" s="94" t="s">
        <v>42</v>
      </c>
      <c r="P226" s="95">
        <f t="shared" si="21"/>
        <v>0</v>
      </c>
      <c r="Q226" s="95">
        <v>0</v>
      </c>
      <c r="R226" s="95">
        <f t="shared" si="22"/>
        <v>0</v>
      </c>
      <c r="S226" s="95">
        <v>0</v>
      </c>
      <c r="T226" s="99">
        <f t="shared" si="23"/>
        <v>0</v>
      </c>
      <c r="AR226" s="101" t="s">
        <v>218</v>
      </c>
      <c r="AT226" s="101" t="s">
        <v>214</v>
      </c>
      <c r="AU226" s="101" t="s">
        <v>87</v>
      </c>
      <c r="AY226" s="23" t="s">
        <v>211</v>
      </c>
      <c r="BE226" s="104">
        <f t="shared" si="24"/>
        <v>62400</v>
      </c>
      <c r="BF226" s="104">
        <f t="shared" si="25"/>
        <v>0</v>
      </c>
      <c r="BG226" s="104">
        <f t="shared" si="26"/>
        <v>0</v>
      </c>
      <c r="BH226" s="104">
        <f t="shared" si="27"/>
        <v>0</v>
      </c>
      <c r="BI226" s="104">
        <f t="shared" si="28"/>
        <v>0</v>
      </c>
      <c r="BJ226" s="23" t="s">
        <v>85</v>
      </c>
      <c r="BK226" s="104">
        <f t="shared" si="29"/>
        <v>62400</v>
      </c>
      <c r="BL226" s="23" t="s">
        <v>218</v>
      </c>
      <c r="BM226" s="101" t="s">
        <v>1049</v>
      </c>
    </row>
    <row r="227" spans="2:65" s="1" customFormat="1" ht="16.5" customHeight="1">
      <c r="B227" s="12"/>
      <c r="C227" s="71" t="s">
        <v>639</v>
      </c>
      <c r="D227" s="71" t="s">
        <v>214</v>
      </c>
      <c r="E227" s="72" t="s">
        <v>4703</v>
      </c>
      <c r="F227" s="73" t="s">
        <v>4704</v>
      </c>
      <c r="G227" s="74" t="s">
        <v>808</v>
      </c>
      <c r="H227" s="75">
        <v>2</v>
      </c>
      <c r="I227" s="90">
        <v>5500</v>
      </c>
      <c r="J227" s="91">
        <f t="shared" si="20"/>
        <v>11000</v>
      </c>
      <c r="K227" s="92"/>
      <c r="L227" s="12"/>
      <c r="M227" s="93" t="s">
        <v>1</v>
      </c>
      <c r="N227" s="94" t="s">
        <v>42</v>
      </c>
      <c r="P227" s="95">
        <f t="shared" si="21"/>
        <v>0</v>
      </c>
      <c r="Q227" s="95">
        <v>0</v>
      </c>
      <c r="R227" s="95">
        <f t="shared" si="22"/>
        <v>0</v>
      </c>
      <c r="S227" s="95">
        <v>0</v>
      </c>
      <c r="T227" s="99">
        <f t="shared" si="23"/>
        <v>0</v>
      </c>
      <c r="AR227" s="101" t="s">
        <v>218</v>
      </c>
      <c r="AT227" s="101" t="s">
        <v>214</v>
      </c>
      <c r="AU227" s="101" t="s">
        <v>87</v>
      </c>
      <c r="AY227" s="23" t="s">
        <v>211</v>
      </c>
      <c r="BE227" s="104">
        <f t="shared" si="24"/>
        <v>11000</v>
      </c>
      <c r="BF227" s="104">
        <f t="shared" si="25"/>
        <v>0</v>
      </c>
      <c r="BG227" s="104">
        <f t="shared" si="26"/>
        <v>0</v>
      </c>
      <c r="BH227" s="104">
        <f t="shared" si="27"/>
        <v>0</v>
      </c>
      <c r="BI227" s="104">
        <f t="shared" si="28"/>
        <v>0</v>
      </c>
      <c r="BJ227" s="23" t="s">
        <v>85</v>
      </c>
      <c r="BK227" s="104">
        <f t="shared" si="29"/>
        <v>11000</v>
      </c>
      <c r="BL227" s="23" t="s">
        <v>218</v>
      </c>
      <c r="BM227" s="101" t="s">
        <v>1058</v>
      </c>
    </row>
    <row r="228" spans="2:65" s="1" customFormat="1" ht="16.5" customHeight="1">
      <c r="B228" s="12"/>
      <c r="C228" s="71" t="s">
        <v>644</v>
      </c>
      <c r="D228" s="71" t="s">
        <v>214</v>
      </c>
      <c r="E228" s="72" t="s">
        <v>4705</v>
      </c>
      <c r="F228" s="73" t="s">
        <v>4706</v>
      </c>
      <c r="G228" s="74" t="s">
        <v>808</v>
      </c>
      <c r="H228" s="75">
        <v>3</v>
      </c>
      <c r="I228" s="90">
        <v>6000</v>
      </c>
      <c r="J228" s="91">
        <f t="shared" si="20"/>
        <v>18000</v>
      </c>
      <c r="K228" s="92"/>
      <c r="L228" s="12"/>
      <c r="M228" s="93" t="s">
        <v>1</v>
      </c>
      <c r="N228" s="94" t="s">
        <v>42</v>
      </c>
      <c r="P228" s="95">
        <f t="shared" si="21"/>
        <v>0</v>
      </c>
      <c r="Q228" s="95">
        <v>0</v>
      </c>
      <c r="R228" s="95">
        <f t="shared" si="22"/>
        <v>0</v>
      </c>
      <c r="S228" s="95">
        <v>0</v>
      </c>
      <c r="T228" s="99">
        <f t="shared" si="23"/>
        <v>0</v>
      </c>
      <c r="AR228" s="101" t="s">
        <v>218</v>
      </c>
      <c r="AT228" s="101" t="s">
        <v>214</v>
      </c>
      <c r="AU228" s="101" t="s">
        <v>87</v>
      </c>
      <c r="AY228" s="23" t="s">
        <v>211</v>
      </c>
      <c r="BE228" s="104">
        <f t="shared" si="24"/>
        <v>18000</v>
      </c>
      <c r="BF228" s="104">
        <f t="shared" si="25"/>
        <v>0</v>
      </c>
      <c r="BG228" s="104">
        <f t="shared" si="26"/>
        <v>0</v>
      </c>
      <c r="BH228" s="104">
        <f t="shared" si="27"/>
        <v>0</v>
      </c>
      <c r="BI228" s="104">
        <f t="shared" si="28"/>
        <v>0</v>
      </c>
      <c r="BJ228" s="23" t="s">
        <v>85</v>
      </c>
      <c r="BK228" s="104">
        <f t="shared" si="29"/>
        <v>18000</v>
      </c>
      <c r="BL228" s="23" t="s">
        <v>218</v>
      </c>
      <c r="BM228" s="101" t="s">
        <v>1067</v>
      </c>
    </row>
    <row r="229" spans="2:65" s="1" customFormat="1" ht="16.5" customHeight="1">
      <c r="B229" s="12"/>
      <c r="C229" s="71" t="s">
        <v>649</v>
      </c>
      <c r="D229" s="71" t="s">
        <v>214</v>
      </c>
      <c r="E229" s="72" t="s">
        <v>4707</v>
      </c>
      <c r="F229" s="73" t="s">
        <v>4708</v>
      </c>
      <c r="G229" s="74" t="s">
        <v>808</v>
      </c>
      <c r="H229" s="75">
        <v>1</v>
      </c>
      <c r="I229" s="90">
        <v>6200</v>
      </c>
      <c r="J229" s="91">
        <f t="shared" si="20"/>
        <v>6200</v>
      </c>
      <c r="K229" s="92"/>
      <c r="L229" s="12"/>
      <c r="M229" s="93" t="s">
        <v>1</v>
      </c>
      <c r="N229" s="94" t="s">
        <v>42</v>
      </c>
      <c r="P229" s="95">
        <f t="shared" si="21"/>
        <v>0</v>
      </c>
      <c r="Q229" s="95">
        <v>0</v>
      </c>
      <c r="R229" s="95">
        <f t="shared" si="22"/>
        <v>0</v>
      </c>
      <c r="S229" s="95">
        <v>0</v>
      </c>
      <c r="T229" s="99">
        <f t="shared" si="23"/>
        <v>0</v>
      </c>
      <c r="AR229" s="101" t="s">
        <v>218</v>
      </c>
      <c r="AT229" s="101" t="s">
        <v>214</v>
      </c>
      <c r="AU229" s="101" t="s">
        <v>87</v>
      </c>
      <c r="AY229" s="23" t="s">
        <v>211</v>
      </c>
      <c r="BE229" s="104">
        <f t="shared" si="24"/>
        <v>6200</v>
      </c>
      <c r="BF229" s="104">
        <f t="shared" si="25"/>
        <v>0</v>
      </c>
      <c r="BG229" s="104">
        <f t="shared" si="26"/>
        <v>0</v>
      </c>
      <c r="BH229" s="104">
        <f t="shared" si="27"/>
        <v>0</v>
      </c>
      <c r="BI229" s="104">
        <f t="shared" si="28"/>
        <v>0</v>
      </c>
      <c r="BJ229" s="23" t="s">
        <v>85</v>
      </c>
      <c r="BK229" s="104">
        <f t="shared" si="29"/>
        <v>6200</v>
      </c>
      <c r="BL229" s="23" t="s">
        <v>218</v>
      </c>
      <c r="BM229" s="101" t="s">
        <v>1083</v>
      </c>
    </row>
    <row r="230" spans="2:65" s="1" customFormat="1" ht="16.5" customHeight="1">
      <c r="B230" s="12"/>
      <c r="C230" s="71" t="s">
        <v>654</v>
      </c>
      <c r="D230" s="71" t="s">
        <v>214</v>
      </c>
      <c r="E230" s="72" t="s">
        <v>4709</v>
      </c>
      <c r="F230" s="73" t="s">
        <v>4710</v>
      </c>
      <c r="G230" s="74" t="s">
        <v>808</v>
      </c>
      <c r="H230" s="75">
        <v>1</v>
      </c>
      <c r="I230" s="90">
        <v>6000</v>
      </c>
      <c r="J230" s="91">
        <f t="shared" si="20"/>
        <v>6000</v>
      </c>
      <c r="K230" s="92"/>
      <c r="L230" s="12"/>
      <c r="M230" s="93" t="s">
        <v>1</v>
      </c>
      <c r="N230" s="94" t="s">
        <v>42</v>
      </c>
      <c r="P230" s="95">
        <f t="shared" si="21"/>
        <v>0</v>
      </c>
      <c r="Q230" s="95">
        <v>0</v>
      </c>
      <c r="R230" s="95">
        <f t="shared" si="22"/>
        <v>0</v>
      </c>
      <c r="S230" s="95">
        <v>0</v>
      </c>
      <c r="T230" s="99">
        <f t="shared" si="23"/>
        <v>0</v>
      </c>
      <c r="AR230" s="101" t="s">
        <v>218</v>
      </c>
      <c r="AT230" s="101" t="s">
        <v>214</v>
      </c>
      <c r="AU230" s="101" t="s">
        <v>87</v>
      </c>
      <c r="AY230" s="23" t="s">
        <v>211</v>
      </c>
      <c r="BE230" s="104">
        <f t="shared" si="24"/>
        <v>6000</v>
      </c>
      <c r="BF230" s="104">
        <f t="shared" si="25"/>
        <v>0</v>
      </c>
      <c r="BG230" s="104">
        <f t="shared" si="26"/>
        <v>0</v>
      </c>
      <c r="BH230" s="104">
        <f t="shared" si="27"/>
        <v>0</v>
      </c>
      <c r="BI230" s="104">
        <f t="shared" si="28"/>
        <v>0</v>
      </c>
      <c r="BJ230" s="23" t="s">
        <v>85</v>
      </c>
      <c r="BK230" s="104">
        <f t="shared" si="29"/>
        <v>6000</v>
      </c>
      <c r="BL230" s="23" t="s">
        <v>218</v>
      </c>
      <c r="BM230" s="101" t="s">
        <v>1098</v>
      </c>
    </row>
    <row r="231" spans="2:65" s="1" customFormat="1" ht="16.5" customHeight="1">
      <c r="B231" s="12"/>
      <c r="C231" s="71" t="s">
        <v>660</v>
      </c>
      <c r="D231" s="71" t="s">
        <v>214</v>
      </c>
      <c r="E231" s="72" t="s">
        <v>4711</v>
      </c>
      <c r="F231" s="73" t="s">
        <v>4712</v>
      </c>
      <c r="G231" s="74" t="s">
        <v>808</v>
      </c>
      <c r="H231" s="75">
        <v>2</v>
      </c>
      <c r="I231" s="90">
        <v>6200</v>
      </c>
      <c r="J231" s="91">
        <f t="shared" si="20"/>
        <v>12400</v>
      </c>
      <c r="K231" s="92"/>
      <c r="L231" s="12"/>
      <c r="M231" s="93" t="s">
        <v>1</v>
      </c>
      <c r="N231" s="94" t="s">
        <v>42</v>
      </c>
      <c r="P231" s="95">
        <f t="shared" si="21"/>
        <v>0</v>
      </c>
      <c r="Q231" s="95">
        <v>0</v>
      </c>
      <c r="R231" s="95">
        <f t="shared" si="22"/>
        <v>0</v>
      </c>
      <c r="S231" s="95">
        <v>0</v>
      </c>
      <c r="T231" s="99">
        <f t="shared" si="23"/>
        <v>0</v>
      </c>
      <c r="AR231" s="101" t="s">
        <v>218</v>
      </c>
      <c r="AT231" s="101" t="s">
        <v>214</v>
      </c>
      <c r="AU231" s="101" t="s">
        <v>87</v>
      </c>
      <c r="AY231" s="23" t="s">
        <v>211</v>
      </c>
      <c r="BE231" s="104">
        <f t="shared" si="24"/>
        <v>12400</v>
      </c>
      <c r="BF231" s="104">
        <f t="shared" si="25"/>
        <v>0</v>
      </c>
      <c r="BG231" s="104">
        <f t="shared" si="26"/>
        <v>0</v>
      </c>
      <c r="BH231" s="104">
        <f t="shared" si="27"/>
        <v>0</v>
      </c>
      <c r="BI231" s="104">
        <f t="shared" si="28"/>
        <v>0</v>
      </c>
      <c r="BJ231" s="23" t="s">
        <v>85</v>
      </c>
      <c r="BK231" s="104">
        <f t="shared" si="29"/>
        <v>12400</v>
      </c>
      <c r="BL231" s="23" t="s">
        <v>218</v>
      </c>
      <c r="BM231" s="101" t="s">
        <v>1112</v>
      </c>
    </row>
    <row r="232" spans="2:65" s="1" customFormat="1" ht="16.5" customHeight="1">
      <c r="B232" s="12"/>
      <c r="C232" s="71" t="s">
        <v>665</v>
      </c>
      <c r="D232" s="71" t="s">
        <v>214</v>
      </c>
      <c r="E232" s="72" t="s">
        <v>4713</v>
      </c>
      <c r="F232" s="73" t="s">
        <v>4714</v>
      </c>
      <c r="G232" s="74" t="s">
        <v>808</v>
      </c>
      <c r="H232" s="75">
        <v>5</v>
      </c>
      <c r="I232" s="90">
        <v>6500</v>
      </c>
      <c r="J232" s="91">
        <f t="shared" si="20"/>
        <v>32500</v>
      </c>
      <c r="K232" s="92"/>
      <c r="L232" s="12"/>
      <c r="M232" s="93" t="s">
        <v>1</v>
      </c>
      <c r="N232" s="94" t="s">
        <v>42</v>
      </c>
      <c r="P232" s="95">
        <f t="shared" si="21"/>
        <v>0</v>
      </c>
      <c r="Q232" s="95">
        <v>0</v>
      </c>
      <c r="R232" s="95">
        <f t="shared" si="22"/>
        <v>0</v>
      </c>
      <c r="S232" s="95">
        <v>0</v>
      </c>
      <c r="T232" s="99">
        <f t="shared" si="23"/>
        <v>0</v>
      </c>
      <c r="AR232" s="101" t="s">
        <v>218</v>
      </c>
      <c r="AT232" s="101" t="s">
        <v>214</v>
      </c>
      <c r="AU232" s="101" t="s">
        <v>87</v>
      </c>
      <c r="AY232" s="23" t="s">
        <v>211</v>
      </c>
      <c r="BE232" s="104">
        <f t="shared" si="24"/>
        <v>32500</v>
      </c>
      <c r="BF232" s="104">
        <f t="shared" si="25"/>
        <v>0</v>
      </c>
      <c r="BG232" s="104">
        <f t="shared" si="26"/>
        <v>0</v>
      </c>
      <c r="BH232" s="104">
        <f t="shared" si="27"/>
        <v>0</v>
      </c>
      <c r="BI232" s="104">
        <f t="shared" si="28"/>
        <v>0</v>
      </c>
      <c r="BJ232" s="23" t="s">
        <v>85</v>
      </c>
      <c r="BK232" s="104">
        <f t="shared" si="29"/>
        <v>32500</v>
      </c>
      <c r="BL232" s="23" t="s">
        <v>218</v>
      </c>
      <c r="BM232" s="101" t="s">
        <v>1129</v>
      </c>
    </row>
    <row r="233" spans="2:65" s="1" customFormat="1" ht="16.5" customHeight="1">
      <c r="B233" s="12"/>
      <c r="C233" s="71" t="s">
        <v>679</v>
      </c>
      <c r="D233" s="71" t="s">
        <v>214</v>
      </c>
      <c r="E233" s="72" t="s">
        <v>4715</v>
      </c>
      <c r="F233" s="73" t="s">
        <v>4716</v>
      </c>
      <c r="G233" s="74" t="s">
        <v>808</v>
      </c>
      <c r="H233" s="75">
        <v>1</v>
      </c>
      <c r="I233" s="90">
        <v>7000</v>
      </c>
      <c r="J233" s="91">
        <f t="shared" si="20"/>
        <v>7000</v>
      </c>
      <c r="K233" s="92"/>
      <c r="L233" s="12"/>
      <c r="M233" s="93" t="s">
        <v>1</v>
      </c>
      <c r="N233" s="94" t="s">
        <v>42</v>
      </c>
      <c r="P233" s="95">
        <f t="shared" si="21"/>
        <v>0</v>
      </c>
      <c r="Q233" s="95">
        <v>0</v>
      </c>
      <c r="R233" s="95">
        <f t="shared" si="22"/>
        <v>0</v>
      </c>
      <c r="S233" s="95">
        <v>0</v>
      </c>
      <c r="T233" s="99">
        <f t="shared" si="23"/>
        <v>0</v>
      </c>
      <c r="AR233" s="101" t="s">
        <v>218</v>
      </c>
      <c r="AT233" s="101" t="s">
        <v>214</v>
      </c>
      <c r="AU233" s="101" t="s">
        <v>87</v>
      </c>
      <c r="AY233" s="23" t="s">
        <v>211</v>
      </c>
      <c r="BE233" s="104">
        <f t="shared" si="24"/>
        <v>7000</v>
      </c>
      <c r="BF233" s="104">
        <f t="shared" si="25"/>
        <v>0</v>
      </c>
      <c r="BG233" s="104">
        <f t="shared" si="26"/>
        <v>0</v>
      </c>
      <c r="BH233" s="104">
        <f t="shared" si="27"/>
        <v>0</v>
      </c>
      <c r="BI233" s="104">
        <f t="shared" si="28"/>
        <v>0</v>
      </c>
      <c r="BJ233" s="23" t="s">
        <v>85</v>
      </c>
      <c r="BK233" s="104">
        <f t="shared" si="29"/>
        <v>7000</v>
      </c>
      <c r="BL233" s="23" t="s">
        <v>218</v>
      </c>
      <c r="BM233" s="101" t="s">
        <v>1141</v>
      </c>
    </row>
    <row r="234" spans="2:65" s="1" customFormat="1" ht="16.5" customHeight="1">
      <c r="B234" s="12"/>
      <c r="C234" s="71" t="s">
        <v>694</v>
      </c>
      <c r="D234" s="71" t="s">
        <v>214</v>
      </c>
      <c r="E234" s="72" t="s">
        <v>4717</v>
      </c>
      <c r="F234" s="73" t="s">
        <v>4718</v>
      </c>
      <c r="G234" s="74" t="s">
        <v>808</v>
      </c>
      <c r="H234" s="75">
        <v>1</v>
      </c>
      <c r="I234" s="90">
        <v>7000</v>
      </c>
      <c r="J234" s="91">
        <f t="shared" si="20"/>
        <v>7000</v>
      </c>
      <c r="K234" s="92"/>
      <c r="L234" s="12"/>
      <c r="M234" s="93" t="s">
        <v>1</v>
      </c>
      <c r="N234" s="94" t="s">
        <v>42</v>
      </c>
      <c r="P234" s="95">
        <f t="shared" si="21"/>
        <v>0</v>
      </c>
      <c r="Q234" s="95">
        <v>0</v>
      </c>
      <c r="R234" s="95">
        <f t="shared" si="22"/>
        <v>0</v>
      </c>
      <c r="S234" s="95">
        <v>0</v>
      </c>
      <c r="T234" s="99">
        <f t="shared" si="23"/>
        <v>0</v>
      </c>
      <c r="AR234" s="101" t="s">
        <v>218</v>
      </c>
      <c r="AT234" s="101" t="s">
        <v>214</v>
      </c>
      <c r="AU234" s="101" t="s">
        <v>87</v>
      </c>
      <c r="AY234" s="23" t="s">
        <v>211</v>
      </c>
      <c r="BE234" s="104">
        <f t="shared" si="24"/>
        <v>7000</v>
      </c>
      <c r="BF234" s="104">
        <f t="shared" si="25"/>
        <v>0</v>
      </c>
      <c r="BG234" s="104">
        <f t="shared" si="26"/>
        <v>0</v>
      </c>
      <c r="BH234" s="104">
        <f t="shared" si="27"/>
        <v>0</v>
      </c>
      <c r="BI234" s="104">
        <f t="shared" si="28"/>
        <v>0</v>
      </c>
      <c r="BJ234" s="23" t="s">
        <v>85</v>
      </c>
      <c r="BK234" s="104">
        <f t="shared" si="29"/>
        <v>7000</v>
      </c>
      <c r="BL234" s="23" t="s">
        <v>218</v>
      </c>
      <c r="BM234" s="101" t="s">
        <v>1153</v>
      </c>
    </row>
    <row r="235" spans="2:65" s="1" customFormat="1" ht="16.5" customHeight="1">
      <c r="B235" s="12"/>
      <c r="C235" s="71" t="s">
        <v>705</v>
      </c>
      <c r="D235" s="71" t="s">
        <v>214</v>
      </c>
      <c r="E235" s="72" t="s">
        <v>4719</v>
      </c>
      <c r="F235" s="73" t="s">
        <v>4720</v>
      </c>
      <c r="G235" s="74" t="s">
        <v>808</v>
      </c>
      <c r="H235" s="75">
        <v>1</v>
      </c>
      <c r="I235" s="90">
        <v>8000</v>
      </c>
      <c r="J235" s="91">
        <f t="shared" si="20"/>
        <v>8000</v>
      </c>
      <c r="K235" s="92"/>
      <c r="L235" s="12"/>
      <c r="M235" s="93" t="s">
        <v>1</v>
      </c>
      <c r="N235" s="94" t="s">
        <v>42</v>
      </c>
      <c r="P235" s="95">
        <f t="shared" si="21"/>
        <v>0</v>
      </c>
      <c r="Q235" s="95">
        <v>0</v>
      </c>
      <c r="R235" s="95">
        <f t="shared" si="22"/>
        <v>0</v>
      </c>
      <c r="S235" s="95">
        <v>0</v>
      </c>
      <c r="T235" s="99">
        <f t="shared" si="23"/>
        <v>0</v>
      </c>
      <c r="AR235" s="101" t="s">
        <v>218</v>
      </c>
      <c r="AT235" s="101" t="s">
        <v>214</v>
      </c>
      <c r="AU235" s="101" t="s">
        <v>87</v>
      </c>
      <c r="AY235" s="23" t="s">
        <v>211</v>
      </c>
      <c r="BE235" s="104">
        <f t="shared" si="24"/>
        <v>8000</v>
      </c>
      <c r="BF235" s="104">
        <f t="shared" si="25"/>
        <v>0</v>
      </c>
      <c r="BG235" s="104">
        <f t="shared" si="26"/>
        <v>0</v>
      </c>
      <c r="BH235" s="104">
        <f t="shared" si="27"/>
        <v>0</v>
      </c>
      <c r="BI235" s="104">
        <f t="shared" si="28"/>
        <v>0</v>
      </c>
      <c r="BJ235" s="23" t="s">
        <v>85</v>
      </c>
      <c r="BK235" s="104">
        <f t="shared" si="29"/>
        <v>8000</v>
      </c>
      <c r="BL235" s="23" t="s">
        <v>218</v>
      </c>
      <c r="BM235" s="101" t="s">
        <v>1167</v>
      </c>
    </row>
    <row r="236" spans="2:65" s="1" customFormat="1" ht="16.5" customHeight="1">
      <c r="B236" s="12"/>
      <c r="C236" s="71" t="s">
        <v>713</v>
      </c>
      <c r="D236" s="71" t="s">
        <v>214</v>
      </c>
      <c r="E236" s="72" t="s">
        <v>4721</v>
      </c>
      <c r="F236" s="73" t="s">
        <v>4722</v>
      </c>
      <c r="G236" s="74" t="s">
        <v>808</v>
      </c>
      <c r="H236" s="75">
        <v>1</v>
      </c>
      <c r="I236" s="90">
        <v>10000</v>
      </c>
      <c r="J236" s="91">
        <f t="shared" si="20"/>
        <v>10000</v>
      </c>
      <c r="K236" s="92"/>
      <c r="L236" s="12"/>
      <c r="M236" s="93" t="s">
        <v>1</v>
      </c>
      <c r="N236" s="94" t="s">
        <v>42</v>
      </c>
      <c r="P236" s="95">
        <f t="shared" si="21"/>
        <v>0</v>
      </c>
      <c r="Q236" s="95">
        <v>0</v>
      </c>
      <c r="R236" s="95">
        <f t="shared" si="22"/>
        <v>0</v>
      </c>
      <c r="S236" s="95">
        <v>0</v>
      </c>
      <c r="T236" s="99">
        <f t="shared" si="23"/>
        <v>0</v>
      </c>
      <c r="AR236" s="101" t="s">
        <v>218</v>
      </c>
      <c r="AT236" s="101" t="s">
        <v>214</v>
      </c>
      <c r="AU236" s="101" t="s">
        <v>87</v>
      </c>
      <c r="AY236" s="23" t="s">
        <v>211</v>
      </c>
      <c r="BE236" s="104">
        <f t="shared" si="24"/>
        <v>10000</v>
      </c>
      <c r="BF236" s="104">
        <f t="shared" si="25"/>
        <v>0</v>
      </c>
      <c r="BG236" s="104">
        <f t="shared" si="26"/>
        <v>0</v>
      </c>
      <c r="BH236" s="104">
        <f t="shared" si="27"/>
        <v>0</v>
      </c>
      <c r="BI236" s="104">
        <f t="shared" si="28"/>
        <v>0</v>
      </c>
      <c r="BJ236" s="23" t="s">
        <v>85</v>
      </c>
      <c r="BK236" s="104">
        <f t="shared" si="29"/>
        <v>10000</v>
      </c>
      <c r="BL236" s="23" t="s">
        <v>218</v>
      </c>
      <c r="BM236" s="101" t="s">
        <v>1179</v>
      </c>
    </row>
    <row r="237" spans="2:65" s="1" customFormat="1" ht="16.5" customHeight="1">
      <c r="B237" s="12"/>
      <c r="C237" s="71" t="s">
        <v>722</v>
      </c>
      <c r="D237" s="71" t="s">
        <v>214</v>
      </c>
      <c r="E237" s="72" t="s">
        <v>4723</v>
      </c>
      <c r="F237" s="73" t="s">
        <v>4724</v>
      </c>
      <c r="G237" s="74" t="s">
        <v>808</v>
      </c>
      <c r="H237" s="75">
        <v>2</v>
      </c>
      <c r="I237" s="90">
        <v>8000</v>
      </c>
      <c r="J237" s="91">
        <f t="shared" si="20"/>
        <v>16000</v>
      </c>
      <c r="K237" s="92"/>
      <c r="L237" s="12"/>
      <c r="M237" s="93" t="s">
        <v>1</v>
      </c>
      <c r="N237" s="94" t="s">
        <v>42</v>
      </c>
      <c r="P237" s="95">
        <f t="shared" si="21"/>
        <v>0</v>
      </c>
      <c r="Q237" s="95">
        <v>0</v>
      </c>
      <c r="R237" s="95">
        <f t="shared" si="22"/>
        <v>0</v>
      </c>
      <c r="S237" s="95">
        <v>0</v>
      </c>
      <c r="T237" s="99">
        <f t="shared" si="23"/>
        <v>0</v>
      </c>
      <c r="AR237" s="101" t="s">
        <v>218</v>
      </c>
      <c r="AT237" s="101" t="s">
        <v>214</v>
      </c>
      <c r="AU237" s="101" t="s">
        <v>87</v>
      </c>
      <c r="AY237" s="23" t="s">
        <v>211</v>
      </c>
      <c r="BE237" s="104">
        <f t="shared" si="24"/>
        <v>16000</v>
      </c>
      <c r="BF237" s="104">
        <f t="shared" si="25"/>
        <v>0</v>
      </c>
      <c r="BG237" s="104">
        <f t="shared" si="26"/>
        <v>0</v>
      </c>
      <c r="BH237" s="104">
        <f t="shared" si="27"/>
        <v>0</v>
      </c>
      <c r="BI237" s="104">
        <f t="shared" si="28"/>
        <v>0</v>
      </c>
      <c r="BJ237" s="23" t="s">
        <v>85</v>
      </c>
      <c r="BK237" s="104">
        <f t="shared" si="29"/>
        <v>16000</v>
      </c>
      <c r="BL237" s="23" t="s">
        <v>218</v>
      </c>
      <c r="BM237" s="101" t="s">
        <v>1187</v>
      </c>
    </row>
    <row r="238" spans="2:65" s="1" customFormat="1" ht="16.5" customHeight="1">
      <c r="B238" s="12"/>
      <c r="C238" s="71" t="s">
        <v>727</v>
      </c>
      <c r="D238" s="71" t="s">
        <v>214</v>
      </c>
      <c r="E238" s="72" t="s">
        <v>4725</v>
      </c>
      <c r="F238" s="73" t="s">
        <v>4726</v>
      </c>
      <c r="G238" s="74" t="s">
        <v>808</v>
      </c>
      <c r="H238" s="75">
        <v>2</v>
      </c>
      <c r="I238" s="90">
        <v>8200</v>
      </c>
      <c r="J238" s="91">
        <f t="shared" si="20"/>
        <v>16400</v>
      </c>
      <c r="K238" s="92"/>
      <c r="L238" s="12"/>
      <c r="M238" s="93" t="s">
        <v>1</v>
      </c>
      <c r="N238" s="94" t="s">
        <v>42</v>
      </c>
      <c r="P238" s="95">
        <f t="shared" si="21"/>
        <v>0</v>
      </c>
      <c r="Q238" s="95">
        <v>0</v>
      </c>
      <c r="R238" s="95">
        <f t="shared" si="22"/>
        <v>0</v>
      </c>
      <c r="S238" s="95">
        <v>0</v>
      </c>
      <c r="T238" s="99">
        <f t="shared" si="23"/>
        <v>0</v>
      </c>
      <c r="AR238" s="101" t="s">
        <v>218</v>
      </c>
      <c r="AT238" s="101" t="s">
        <v>214</v>
      </c>
      <c r="AU238" s="101" t="s">
        <v>87</v>
      </c>
      <c r="AY238" s="23" t="s">
        <v>211</v>
      </c>
      <c r="BE238" s="104">
        <f t="shared" si="24"/>
        <v>16400</v>
      </c>
      <c r="BF238" s="104">
        <f t="shared" si="25"/>
        <v>0</v>
      </c>
      <c r="BG238" s="104">
        <f t="shared" si="26"/>
        <v>0</v>
      </c>
      <c r="BH238" s="104">
        <f t="shared" si="27"/>
        <v>0</v>
      </c>
      <c r="BI238" s="104">
        <f t="shared" si="28"/>
        <v>0</v>
      </c>
      <c r="BJ238" s="23" t="s">
        <v>85</v>
      </c>
      <c r="BK238" s="104">
        <f t="shared" si="29"/>
        <v>16400</v>
      </c>
      <c r="BL238" s="23" t="s">
        <v>218</v>
      </c>
      <c r="BM238" s="101" t="s">
        <v>1195</v>
      </c>
    </row>
    <row r="239" spans="2:65" s="31" customFormat="1" ht="23.1" customHeight="1">
      <c r="B239" s="67"/>
      <c r="D239" s="68" t="s">
        <v>76</v>
      </c>
      <c r="E239" s="70" t="s">
        <v>4389</v>
      </c>
      <c r="F239" s="70" t="s">
        <v>4727</v>
      </c>
      <c r="I239" s="85"/>
      <c r="J239" s="89">
        <f>BK239</f>
        <v>376000</v>
      </c>
      <c r="L239" s="67"/>
      <c r="M239" s="87"/>
      <c r="P239" s="88">
        <f>SUM(P240:P247)</f>
        <v>0</v>
      </c>
      <c r="R239" s="88">
        <f>SUM(R240:R247)</f>
        <v>0</v>
      </c>
      <c r="T239" s="98">
        <f>SUM(T240:T247)</f>
        <v>0</v>
      </c>
      <c r="AR239" s="68" t="s">
        <v>85</v>
      </c>
      <c r="AT239" s="100" t="s">
        <v>76</v>
      </c>
      <c r="AU239" s="100" t="s">
        <v>85</v>
      </c>
      <c r="AY239" s="68" t="s">
        <v>211</v>
      </c>
      <c r="BK239" s="103">
        <f>SUM(BK240:BK247)</f>
        <v>376000</v>
      </c>
    </row>
    <row r="240" spans="2:65" s="1" customFormat="1" ht="16.5" customHeight="1">
      <c r="B240" s="12"/>
      <c r="C240" s="71" t="s">
        <v>756</v>
      </c>
      <c r="D240" s="71" t="s">
        <v>214</v>
      </c>
      <c r="E240" s="72" t="s">
        <v>4728</v>
      </c>
      <c r="F240" s="73" t="s">
        <v>4729</v>
      </c>
      <c r="G240" s="74" t="s">
        <v>808</v>
      </c>
      <c r="H240" s="75">
        <v>5</v>
      </c>
      <c r="I240" s="90">
        <v>6500</v>
      </c>
      <c r="J240" s="91">
        <f t="shared" ref="J240:J246" si="30">ROUND(I240*H240,2)</f>
        <v>32500</v>
      </c>
      <c r="K240" s="92"/>
      <c r="L240" s="12"/>
      <c r="M240" s="93" t="s">
        <v>1</v>
      </c>
      <c r="N240" s="94" t="s">
        <v>42</v>
      </c>
      <c r="P240" s="95">
        <f t="shared" ref="P240:P246" si="31">O240*H240</f>
        <v>0</v>
      </c>
      <c r="Q240" s="95">
        <v>0</v>
      </c>
      <c r="R240" s="95">
        <f t="shared" ref="R240:R246" si="32">Q240*H240</f>
        <v>0</v>
      </c>
      <c r="S240" s="95">
        <v>0</v>
      </c>
      <c r="T240" s="99">
        <f t="shared" ref="T240:T246" si="33">S240*H240</f>
        <v>0</v>
      </c>
      <c r="AR240" s="101" t="s">
        <v>218</v>
      </c>
      <c r="AT240" s="101" t="s">
        <v>214</v>
      </c>
      <c r="AU240" s="101" t="s">
        <v>87</v>
      </c>
      <c r="AY240" s="23" t="s">
        <v>211</v>
      </c>
      <c r="BE240" s="104">
        <f t="shared" ref="BE240:BE246" si="34">IF(N240="základní",J240,0)</f>
        <v>32500</v>
      </c>
      <c r="BF240" s="104">
        <f t="shared" ref="BF240:BF246" si="35">IF(N240="snížená",J240,0)</f>
        <v>0</v>
      </c>
      <c r="BG240" s="104">
        <f t="shared" ref="BG240:BG246" si="36">IF(N240="zákl. přenesená",J240,0)</f>
        <v>0</v>
      </c>
      <c r="BH240" s="104">
        <f t="shared" ref="BH240:BH246" si="37">IF(N240="sníž. přenesená",J240,0)</f>
        <v>0</v>
      </c>
      <c r="BI240" s="104">
        <f t="shared" ref="BI240:BI246" si="38">IF(N240="nulová",J240,0)</f>
        <v>0</v>
      </c>
      <c r="BJ240" s="23" t="s">
        <v>85</v>
      </c>
      <c r="BK240" s="104">
        <f t="shared" ref="BK240:BK246" si="39">ROUND(I240*H240,2)</f>
        <v>32500</v>
      </c>
      <c r="BL240" s="23" t="s">
        <v>218</v>
      </c>
      <c r="BM240" s="101" t="s">
        <v>1211</v>
      </c>
    </row>
    <row r="241" spans="2:65" s="1" customFormat="1" ht="16.5" customHeight="1">
      <c r="B241" s="12"/>
      <c r="C241" s="71" t="s">
        <v>760</v>
      </c>
      <c r="D241" s="71" t="s">
        <v>214</v>
      </c>
      <c r="E241" s="72" t="s">
        <v>4730</v>
      </c>
      <c r="F241" s="73" t="s">
        <v>4731</v>
      </c>
      <c r="G241" s="74" t="s">
        <v>808</v>
      </c>
      <c r="H241" s="75">
        <v>1</v>
      </c>
      <c r="I241" s="90">
        <v>6500</v>
      </c>
      <c r="J241" s="91">
        <f t="shared" si="30"/>
        <v>6500</v>
      </c>
      <c r="K241" s="92"/>
      <c r="L241" s="12"/>
      <c r="M241" s="93" t="s">
        <v>1</v>
      </c>
      <c r="N241" s="94" t="s">
        <v>42</v>
      </c>
      <c r="P241" s="95">
        <f t="shared" si="31"/>
        <v>0</v>
      </c>
      <c r="Q241" s="95">
        <v>0</v>
      </c>
      <c r="R241" s="95">
        <f t="shared" si="32"/>
        <v>0</v>
      </c>
      <c r="S241" s="95">
        <v>0</v>
      </c>
      <c r="T241" s="99">
        <f t="shared" si="33"/>
        <v>0</v>
      </c>
      <c r="AR241" s="101" t="s">
        <v>218</v>
      </c>
      <c r="AT241" s="101" t="s">
        <v>214</v>
      </c>
      <c r="AU241" s="101" t="s">
        <v>87</v>
      </c>
      <c r="AY241" s="23" t="s">
        <v>211</v>
      </c>
      <c r="BE241" s="104">
        <f t="shared" si="34"/>
        <v>6500</v>
      </c>
      <c r="BF241" s="104">
        <f t="shared" si="35"/>
        <v>0</v>
      </c>
      <c r="BG241" s="104">
        <f t="shared" si="36"/>
        <v>0</v>
      </c>
      <c r="BH241" s="104">
        <f t="shared" si="37"/>
        <v>0</v>
      </c>
      <c r="BI241" s="104">
        <f t="shared" si="38"/>
        <v>0</v>
      </c>
      <c r="BJ241" s="23" t="s">
        <v>85</v>
      </c>
      <c r="BK241" s="104">
        <f t="shared" si="39"/>
        <v>6500</v>
      </c>
      <c r="BL241" s="23" t="s">
        <v>218</v>
      </c>
      <c r="BM241" s="101" t="s">
        <v>1224</v>
      </c>
    </row>
    <row r="242" spans="2:65" s="1" customFormat="1" ht="16.5" customHeight="1">
      <c r="B242" s="12"/>
      <c r="C242" s="71" t="s">
        <v>805</v>
      </c>
      <c r="D242" s="71" t="s">
        <v>214</v>
      </c>
      <c r="E242" s="72" t="s">
        <v>4732</v>
      </c>
      <c r="F242" s="73" t="s">
        <v>4733</v>
      </c>
      <c r="G242" s="74" t="s">
        <v>808</v>
      </c>
      <c r="H242" s="75">
        <v>5</v>
      </c>
      <c r="I242" s="90">
        <v>7000</v>
      </c>
      <c r="J242" s="91">
        <f t="shared" si="30"/>
        <v>35000</v>
      </c>
      <c r="K242" s="92"/>
      <c r="L242" s="12"/>
      <c r="M242" s="93" t="s">
        <v>1</v>
      </c>
      <c r="N242" s="94" t="s">
        <v>42</v>
      </c>
      <c r="P242" s="95">
        <f t="shared" si="31"/>
        <v>0</v>
      </c>
      <c r="Q242" s="95">
        <v>0</v>
      </c>
      <c r="R242" s="95">
        <f t="shared" si="32"/>
        <v>0</v>
      </c>
      <c r="S242" s="95">
        <v>0</v>
      </c>
      <c r="T242" s="99">
        <f t="shared" si="33"/>
        <v>0</v>
      </c>
      <c r="AR242" s="101" t="s">
        <v>218</v>
      </c>
      <c r="AT242" s="101" t="s">
        <v>214</v>
      </c>
      <c r="AU242" s="101" t="s">
        <v>87</v>
      </c>
      <c r="AY242" s="23" t="s">
        <v>211</v>
      </c>
      <c r="BE242" s="104">
        <f t="shared" si="34"/>
        <v>35000</v>
      </c>
      <c r="BF242" s="104">
        <f t="shared" si="35"/>
        <v>0</v>
      </c>
      <c r="BG242" s="104">
        <f t="shared" si="36"/>
        <v>0</v>
      </c>
      <c r="BH242" s="104">
        <f t="shared" si="37"/>
        <v>0</v>
      </c>
      <c r="BI242" s="104">
        <f t="shared" si="38"/>
        <v>0</v>
      </c>
      <c r="BJ242" s="23" t="s">
        <v>85</v>
      </c>
      <c r="BK242" s="104">
        <f t="shared" si="39"/>
        <v>35000</v>
      </c>
      <c r="BL242" s="23" t="s">
        <v>218</v>
      </c>
      <c r="BM242" s="101" t="s">
        <v>1239</v>
      </c>
    </row>
    <row r="243" spans="2:65" s="1" customFormat="1" ht="16.5" customHeight="1">
      <c r="B243" s="12"/>
      <c r="C243" s="71" t="s">
        <v>810</v>
      </c>
      <c r="D243" s="71" t="s">
        <v>214</v>
      </c>
      <c r="E243" s="72" t="s">
        <v>4734</v>
      </c>
      <c r="F243" s="73" t="s">
        <v>4735</v>
      </c>
      <c r="G243" s="74" t="s">
        <v>808</v>
      </c>
      <c r="H243" s="75">
        <v>12</v>
      </c>
      <c r="I243" s="90">
        <v>7000</v>
      </c>
      <c r="J243" s="91">
        <f t="shared" si="30"/>
        <v>84000</v>
      </c>
      <c r="K243" s="92"/>
      <c r="L243" s="12"/>
      <c r="M243" s="93" t="s">
        <v>1</v>
      </c>
      <c r="N243" s="94" t="s">
        <v>42</v>
      </c>
      <c r="P243" s="95">
        <f t="shared" si="31"/>
        <v>0</v>
      </c>
      <c r="Q243" s="95">
        <v>0</v>
      </c>
      <c r="R243" s="95">
        <f t="shared" si="32"/>
        <v>0</v>
      </c>
      <c r="S243" s="95">
        <v>0</v>
      </c>
      <c r="T243" s="99">
        <f t="shared" si="33"/>
        <v>0</v>
      </c>
      <c r="AR243" s="101" t="s">
        <v>218</v>
      </c>
      <c r="AT243" s="101" t="s">
        <v>214</v>
      </c>
      <c r="AU243" s="101" t="s">
        <v>87</v>
      </c>
      <c r="AY243" s="23" t="s">
        <v>211</v>
      </c>
      <c r="BE243" s="104">
        <f t="shared" si="34"/>
        <v>84000</v>
      </c>
      <c r="BF243" s="104">
        <f t="shared" si="35"/>
        <v>0</v>
      </c>
      <c r="BG243" s="104">
        <f t="shared" si="36"/>
        <v>0</v>
      </c>
      <c r="BH243" s="104">
        <f t="shared" si="37"/>
        <v>0</v>
      </c>
      <c r="BI243" s="104">
        <f t="shared" si="38"/>
        <v>0</v>
      </c>
      <c r="BJ243" s="23" t="s">
        <v>85</v>
      </c>
      <c r="BK243" s="104">
        <f t="shared" si="39"/>
        <v>84000</v>
      </c>
      <c r="BL243" s="23" t="s">
        <v>218</v>
      </c>
      <c r="BM243" s="101" t="s">
        <v>1260</v>
      </c>
    </row>
    <row r="244" spans="2:65" s="1" customFormat="1" ht="16.5" customHeight="1">
      <c r="B244" s="12"/>
      <c r="C244" s="71" t="s">
        <v>814</v>
      </c>
      <c r="D244" s="71" t="s">
        <v>214</v>
      </c>
      <c r="E244" s="72" t="s">
        <v>4736</v>
      </c>
      <c r="F244" s="73" t="s">
        <v>4737</v>
      </c>
      <c r="G244" s="74" t="s">
        <v>808</v>
      </c>
      <c r="H244" s="75">
        <v>25</v>
      </c>
      <c r="I244" s="90">
        <v>8000</v>
      </c>
      <c r="J244" s="91">
        <f t="shared" si="30"/>
        <v>200000</v>
      </c>
      <c r="K244" s="92"/>
      <c r="L244" s="12"/>
      <c r="M244" s="93" t="s">
        <v>1</v>
      </c>
      <c r="N244" s="94" t="s">
        <v>42</v>
      </c>
      <c r="P244" s="95">
        <f t="shared" si="31"/>
        <v>0</v>
      </c>
      <c r="Q244" s="95">
        <v>0</v>
      </c>
      <c r="R244" s="95">
        <f t="shared" si="32"/>
        <v>0</v>
      </c>
      <c r="S244" s="95">
        <v>0</v>
      </c>
      <c r="T244" s="99">
        <f t="shared" si="33"/>
        <v>0</v>
      </c>
      <c r="AR244" s="101" t="s">
        <v>218</v>
      </c>
      <c r="AT244" s="101" t="s">
        <v>214</v>
      </c>
      <c r="AU244" s="101" t="s">
        <v>87</v>
      </c>
      <c r="AY244" s="23" t="s">
        <v>211</v>
      </c>
      <c r="BE244" s="104">
        <f t="shared" si="34"/>
        <v>200000</v>
      </c>
      <c r="BF244" s="104">
        <f t="shared" si="35"/>
        <v>0</v>
      </c>
      <c r="BG244" s="104">
        <f t="shared" si="36"/>
        <v>0</v>
      </c>
      <c r="BH244" s="104">
        <f t="shared" si="37"/>
        <v>0</v>
      </c>
      <c r="BI244" s="104">
        <f t="shared" si="38"/>
        <v>0</v>
      </c>
      <c r="BJ244" s="23" t="s">
        <v>85</v>
      </c>
      <c r="BK244" s="104">
        <f t="shared" si="39"/>
        <v>200000</v>
      </c>
      <c r="BL244" s="23" t="s">
        <v>218</v>
      </c>
      <c r="BM244" s="101" t="s">
        <v>1269</v>
      </c>
    </row>
    <row r="245" spans="2:65" s="1" customFormat="1" ht="16.5" customHeight="1">
      <c r="B245" s="12"/>
      <c r="C245" s="71" t="s">
        <v>818</v>
      </c>
      <c r="D245" s="71" t="s">
        <v>214</v>
      </c>
      <c r="E245" s="72" t="s">
        <v>4738</v>
      </c>
      <c r="F245" s="73" t="s">
        <v>4739</v>
      </c>
      <c r="G245" s="74" t="s">
        <v>808</v>
      </c>
      <c r="H245" s="75">
        <v>1</v>
      </c>
      <c r="I245" s="90">
        <v>8000</v>
      </c>
      <c r="J245" s="91">
        <f t="shared" si="30"/>
        <v>8000</v>
      </c>
      <c r="K245" s="92"/>
      <c r="L245" s="12"/>
      <c r="M245" s="93" t="s">
        <v>1</v>
      </c>
      <c r="N245" s="94" t="s">
        <v>42</v>
      </c>
      <c r="P245" s="95">
        <f t="shared" si="31"/>
        <v>0</v>
      </c>
      <c r="Q245" s="95">
        <v>0</v>
      </c>
      <c r="R245" s="95">
        <f t="shared" si="32"/>
        <v>0</v>
      </c>
      <c r="S245" s="95">
        <v>0</v>
      </c>
      <c r="T245" s="99">
        <f t="shared" si="33"/>
        <v>0</v>
      </c>
      <c r="AR245" s="101" t="s">
        <v>218</v>
      </c>
      <c r="AT245" s="101" t="s">
        <v>214</v>
      </c>
      <c r="AU245" s="101" t="s">
        <v>87</v>
      </c>
      <c r="AY245" s="23" t="s">
        <v>211</v>
      </c>
      <c r="BE245" s="104">
        <f t="shared" si="34"/>
        <v>8000</v>
      </c>
      <c r="BF245" s="104">
        <f t="shared" si="35"/>
        <v>0</v>
      </c>
      <c r="BG245" s="104">
        <f t="shared" si="36"/>
        <v>0</v>
      </c>
      <c r="BH245" s="104">
        <f t="shared" si="37"/>
        <v>0</v>
      </c>
      <c r="BI245" s="104">
        <f t="shared" si="38"/>
        <v>0</v>
      </c>
      <c r="BJ245" s="23" t="s">
        <v>85</v>
      </c>
      <c r="BK245" s="104">
        <f t="shared" si="39"/>
        <v>8000</v>
      </c>
      <c r="BL245" s="23" t="s">
        <v>218</v>
      </c>
      <c r="BM245" s="101" t="s">
        <v>1277</v>
      </c>
    </row>
    <row r="246" spans="2:65" s="1" customFormat="1" ht="16.5" customHeight="1">
      <c r="B246" s="12"/>
      <c r="C246" s="71" t="s">
        <v>822</v>
      </c>
      <c r="D246" s="71" t="s">
        <v>214</v>
      </c>
      <c r="E246" s="72" t="s">
        <v>4740</v>
      </c>
      <c r="F246" s="73" t="s">
        <v>4741</v>
      </c>
      <c r="G246" s="74" t="s">
        <v>808</v>
      </c>
      <c r="H246" s="75">
        <v>1</v>
      </c>
      <c r="I246" s="90">
        <v>10000</v>
      </c>
      <c r="J246" s="91">
        <f t="shared" si="30"/>
        <v>10000</v>
      </c>
      <c r="K246" s="92"/>
      <c r="L246" s="12"/>
      <c r="M246" s="93" t="s">
        <v>1</v>
      </c>
      <c r="N246" s="94" t="s">
        <v>42</v>
      </c>
      <c r="P246" s="95">
        <f t="shared" si="31"/>
        <v>0</v>
      </c>
      <c r="Q246" s="95">
        <v>0</v>
      </c>
      <c r="R246" s="95">
        <f t="shared" si="32"/>
        <v>0</v>
      </c>
      <c r="S246" s="95">
        <v>0</v>
      </c>
      <c r="T246" s="99">
        <f t="shared" si="33"/>
        <v>0</v>
      </c>
      <c r="AR246" s="101" t="s">
        <v>218</v>
      </c>
      <c r="AT246" s="101" t="s">
        <v>214</v>
      </c>
      <c r="AU246" s="101" t="s">
        <v>87</v>
      </c>
      <c r="AY246" s="23" t="s">
        <v>211</v>
      </c>
      <c r="BE246" s="104">
        <f t="shared" si="34"/>
        <v>10000</v>
      </c>
      <c r="BF246" s="104">
        <f t="shared" si="35"/>
        <v>0</v>
      </c>
      <c r="BG246" s="104">
        <f t="shared" si="36"/>
        <v>0</v>
      </c>
      <c r="BH246" s="104">
        <f t="shared" si="37"/>
        <v>0</v>
      </c>
      <c r="BI246" s="104">
        <f t="shared" si="38"/>
        <v>0</v>
      </c>
      <c r="BJ246" s="23" t="s">
        <v>85</v>
      </c>
      <c r="BK246" s="104">
        <f t="shared" si="39"/>
        <v>10000</v>
      </c>
      <c r="BL246" s="23" t="s">
        <v>218</v>
      </c>
      <c r="BM246" s="101" t="s">
        <v>1296</v>
      </c>
    </row>
    <row r="247" spans="2:65" s="1" customFormat="1" ht="38.4">
      <c r="B247" s="12"/>
      <c r="D247" s="105" t="s">
        <v>227</v>
      </c>
      <c r="F247" s="106" t="s">
        <v>4742</v>
      </c>
      <c r="I247" s="107"/>
      <c r="L247" s="12"/>
      <c r="M247" s="108"/>
      <c r="T247" s="111"/>
      <c r="AT247" s="23" t="s">
        <v>227</v>
      </c>
      <c r="AU247" s="23" t="s">
        <v>87</v>
      </c>
    </row>
    <row r="248" spans="2:65" s="31" customFormat="1" ht="23.1" customHeight="1">
      <c r="B248" s="67"/>
      <c r="D248" s="68" t="s">
        <v>76</v>
      </c>
      <c r="E248" s="70" t="s">
        <v>4391</v>
      </c>
      <c r="F248" s="70" t="s">
        <v>4743</v>
      </c>
      <c r="I248" s="85"/>
      <c r="J248" s="89">
        <f>BK248</f>
        <v>137000</v>
      </c>
      <c r="L248" s="67"/>
      <c r="M248" s="87"/>
      <c r="P248" s="88">
        <f>SUM(P249:P250)</f>
        <v>0</v>
      </c>
      <c r="R248" s="88">
        <f>SUM(R249:R250)</f>
        <v>0</v>
      </c>
      <c r="T248" s="98">
        <f>SUM(T249:T250)</f>
        <v>0</v>
      </c>
      <c r="AR248" s="68" t="s">
        <v>85</v>
      </c>
      <c r="AT248" s="100" t="s">
        <v>76</v>
      </c>
      <c r="AU248" s="100" t="s">
        <v>85</v>
      </c>
      <c r="AY248" s="68" t="s">
        <v>211</v>
      </c>
      <c r="BK248" s="103">
        <f>SUM(BK249:BK250)</f>
        <v>137000</v>
      </c>
    </row>
    <row r="249" spans="2:65" s="1" customFormat="1" ht="16.5" customHeight="1">
      <c r="B249" s="12"/>
      <c r="C249" s="71" t="s">
        <v>826</v>
      </c>
      <c r="D249" s="71" t="s">
        <v>214</v>
      </c>
      <c r="E249" s="72" t="s">
        <v>4744</v>
      </c>
      <c r="F249" s="73" t="s">
        <v>4745</v>
      </c>
      <c r="G249" s="74" t="s">
        <v>808</v>
      </c>
      <c r="H249" s="75">
        <v>2</v>
      </c>
      <c r="I249" s="90">
        <v>2500</v>
      </c>
      <c r="J249" s="91">
        <f>ROUND(I249*H249,2)</f>
        <v>5000</v>
      </c>
      <c r="K249" s="92"/>
      <c r="L249" s="12"/>
      <c r="M249" s="93" t="s">
        <v>1</v>
      </c>
      <c r="N249" s="94" t="s">
        <v>42</v>
      </c>
      <c r="P249" s="95">
        <f>O249*H249</f>
        <v>0</v>
      </c>
      <c r="Q249" s="95">
        <v>0</v>
      </c>
      <c r="R249" s="95">
        <f>Q249*H249</f>
        <v>0</v>
      </c>
      <c r="S249" s="95">
        <v>0</v>
      </c>
      <c r="T249" s="99">
        <f>S249*H249</f>
        <v>0</v>
      </c>
      <c r="AR249" s="101" t="s">
        <v>218</v>
      </c>
      <c r="AT249" s="101" t="s">
        <v>214</v>
      </c>
      <c r="AU249" s="101" t="s">
        <v>87</v>
      </c>
      <c r="AY249" s="23" t="s">
        <v>211</v>
      </c>
      <c r="BE249" s="104">
        <f>IF(N249="základní",J249,0)</f>
        <v>5000</v>
      </c>
      <c r="BF249" s="104">
        <f>IF(N249="snížená",J249,0)</f>
        <v>0</v>
      </c>
      <c r="BG249" s="104">
        <f>IF(N249="zákl. přenesená",J249,0)</f>
        <v>0</v>
      </c>
      <c r="BH249" s="104">
        <f>IF(N249="sníž. přenesená",J249,0)</f>
        <v>0</v>
      </c>
      <c r="BI249" s="104">
        <f>IF(N249="nulová",J249,0)</f>
        <v>0</v>
      </c>
      <c r="BJ249" s="23" t="s">
        <v>85</v>
      </c>
      <c r="BK249" s="104">
        <f>ROUND(I249*H249,2)</f>
        <v>5000</v>
      </c>
      <c r="BL249" s="23" t="s">
        <v>218</v>
      </c>
      <c r="BM249" s="101" t="s">
        <v>1312</v>
      </c>
    </row>
    <row r="250" spans="2:65" s="1" customFormat="1" ht="16.5" customHeight="1">
      <c r="B250" s="12"/>
      <c r="C250" s="71" t="s">
        <v>830</v>
      </c>
      <c r="D250" s="71" t="s">
        <v>214</v>
      </c>
      <c r="E250" s="72" t="s">
        <v>4746</v>
      </c>
      <c r="F250" s="73" t="s">
        <v>4747</v>
      </c>
      <c r="G250" s="74" t="s">
        <v>808</v>
      </c>
      <c r="H250" s="75">
        <v>44</v>
      </c>
      <c r="I250" s="90">
        <v>3000</v>
      </c>
      <c r="J250" s="91">
        <f>ROUND(I250*H250,2)</f>
        <v>132000</v>
      </c>
      <c r="K250" s="92"/>
      <c r="L250" s="12"/>
      <c r="M250" s="93" t="s">
        <v>1</v>
      </c>
      <c r="N250" s="94" t="s">
        <v>42</v>
      </c>
      <c r="P250" s="95">
        <f>O250*H250</f>
        <v>0</v>
      </c>
      <c r="Q250" s="95">
        <v>0</v>
      </c>
      <c r="R250" s="95">
        <f>Q250*H250</f>
        <v>0</v>
      </c>
      <c r="S250" s="95">
        <v>0</v>
      </c>
      <c r="T250" s="99">
        <f>S250*H250</f>
        <v>0</v>
      </c>
      <c r="AR250" s="101" t="s">
        <v>218</v>
      </c>
      <c r="AT250" s="101" t="s">
        <v>214</v>
      </c>
      <c r="AU250" s="101" t="s">
        <v>87</v>
      </c>
      <c r="AY250" s="23" t="s">
        <v>211</v>
      </c>
      <c r="BE250" s="104">
        <f>IF(N250="základní",J250,0)</f>
        <v>132000</v>
      </c>
      <c r="BF250" s="104">
        <f>IF(N250="snížená",J250,0)</f>
        <v>0</v>
      </c>
      <c r="BG250" s="104">
        <f>IF(N250="zákl. přenesená",J250,0)</f>
        <v>0</v>
      </c>
      <c r="BH250" s="104">
        <f>IF(N250="sníž. přenesená",J250,0)</f>
        <v>0</v>
      </c>
      <c r="BI250" s="104">
        <f>IF(N250="nulová",J250,0)</f>
        <v>0</v>
      </c>
      <c r="BJ250" s="23" t="s">
        <v>85</v>
      </c>
      <c r="BK250" s="104">
        <f>ROUND(I250*H250,2)</f>
        <v>132000</v>
      </c>
      <c r="BL250" s="23" t="s">
        <v>218</v>
      </c>
      <c r="BM250" s="101" t="s">
        <v>1323</v>
      </c>
    </row>
    <row r="251" spans="2:65" s="31" customFormat="1" ht="23.1" customHeight="1">
      <c r="B251" s="67"/>
      <c r="D251" s="68" t="s">
        <v>76</v>
      </c>
      <c r="E251" s="70" t="s">
        <v>4396</v>
      </c>
      <c r="F251" s="70" t="s">
        <v>4748</v>
      </c>
      <c r="I251" s="85"/>
      <c r="J251" s="89">
        <f>BK251</f>
        <v>313600</v>
      </c>
      <c r="L251" s="67"/>
      <c r="M251" s="87"/>
      <c r="P251" s="88">
        <f>SUM(P252:P260)</f>
        <v>0</v>
      </c>
      <c r="R251" s="88">
        <f>SUM(R252:R260)</f>
        <v>0</v>
      </c>
      <c r="T251" s="98">
        <f>SUM(T252:T260)</f>
        <v>0</v>
      </c>
      <c r="AR251" s="68" t="s">
        <v>85</v>
      </c>
      <c r="AT251" s="100" t="s">
        <v>76</v>
      </c>
      <c r="AU251" s="100" t="s">
        <v>85</v>
      </c>
      <c r="AY251" s="68" t="s">
        <v>211</v>
      </c>
      <c r="BK251" s="103">
        <f>SUM(BK252:BK260)</f>
        <v>313600</v>
      </c>
    </row>
    <row r="252" spans="2:65" s="1" customFormat="1" ht="21.75" customHeight="1">
      <c r="B252" s="12"/>
      <c r="C252" s="71" t="s">
        <v>834</v>
      </c>
      <c r="D252" s="71" t="s">
        <v>214</v>
      </c>
      <c r="E252" s="72" t="s">
        <v>4749</v>
      </c>
      <c r="F252" s="73" t="s">
        <v>4750</v>
      </c>
      <c r="G252" s="74" t="s">
        <v>808</v>
      </c>
      <c r="H252" s="75">
        <v>4</v>
      </c>
      <c r="I252" s="90">
        <v>550</v>
      </c>
      <c r="J252" s="91">
        <f t="shared" ref="J252:J260" si="40">ROUND(I252*H252,2)</f>
        <v>2200</v>
      </c>
      <c r="K252" s="92"/>
      <c r="L252" s="12"/>
      <c r="M252" s="93" t="s">
        <v>1</v>
      </c>
      <c r="N252" s="94" t="s">
        <v>42</v>
      </c>
      <c r="P252" s="95">
        <f t="shared" ref="P252:P260" si="41">O252*H252</f>
        <v>0</v>
      </c>
      <c r="Q252" s="95">
        <v>0</v>
      </c>
      <c r="R252" s="95">
        <f t="shared" ref="R252:R260" si="42">Q252*H252</f>
        <v>0</v>
      </c>
      <c r="S252" s="95">
        <v>0</v>
      </c>
      <c r="T252" s="99">
        <f t="shared" ref="T252:T260" si="43">S252*H252</f>
        <v>0</v>
      </c>
      <c r="AR252" s="101" t="s">
        <v>218</v>
      </c>
      <c r="AT252" s="101" t="s">
        <v>214</v>
      </c>
      <c r="AU252" s="101" t="s">
        <v>87</v>
      </c>
      <c r="AY252" s="23" t="s">
        <v>211</v>
      </c>
      <c r="BE252" s="104">
        <f t="shared" ref="BE252:BE260" si="44">IF(N252="základní",J252,0)</f>
        <v>2200</v>
      </c>
      <c r="BF252" s="104">
        <f t="shared" ref="BF252:BF260" si="45">IF(N252="snížená",J252,0)</f>
        <v>0</v>
      </c>
      <c r="BG252" s="104">
        <f t="shared" ref="BG252:BG260" si="46">IF(N252="zákl. přenesená",J252,0)</f>
        <v>0</v>
      </c>
      <c r="BH252" s="104">
        <f t="shared" ref="BH252:BH260" si="47">IF(N252="sníž. přenesená",J252,0)</f>
        <v>0</v>
      </c>
      <c r="BI252" s="104">
        <f t="shared" ref="BI252:BI260" si="48">IF(N252="nulová",J252,0)</f>
        <v>0</v>
      </c>
      <c r="BJ252" s="23" t="s">
        <v>85</v>
      </c>
      <c r="BK252" s="104">
        <f t="shared" ref="BK252:BK260" si="49">ROUND(I252*H252,2)</f>
        <v>2200</v>
      </c>
      <c r="BL252" s="23" t="s">
        <v>218</v>
      </c>
      <c r="BM252" s="101" t="s">
        <v>1332</v>
      </c>
    </row>
    <row r="253" spans="2:65" s="1" customFormat="1" ht="16.5" customHeight="1">
      <c r="B253" s="12"/>
      <c r="C253" s="71" t="s">
        <v>838</v>
      </c>
      <c r="D253" s="71" t="s">
        <v>214</v>
      </c>
      <c r="E253" s="72" t="s">
        <v>4751</v>
      </c>
      <c r="F253" s="73" t="s">
        <v>4752</v>
      </c>
      <c r="G253" s="74" t="s">
        <v>808</v>
      </c>
      <c r="H253" s="75">
        <v>46</v>
      </c>
      <c r="I253" s="90">
        <v>900</v>
      </c>
      <c r="J253" s="91">
        <f t="shared" si="40"/>
        <v>41400</v>
      </c>
      <c r="K253" s="92"/>
      <c r="L253" s="12"/>
      <c r="M253" s="93" t="s">
        <v>1</v>
      </c>
      <c r="N253" s="94" t="s">
        <v>42</v>
      </c>
      <c r="P253" s="95">
        <f t="shared" si="41"/>
        <v>0</v>
      </c>
      <c r="Q253" s="95">
        <v>0</v>
      </c>
      <c r="R253" s="95">
        <f t="shared" si="42"/>
        <v>0</v>
      </c>
      <c r="S253" s="95">
        <v>0</v>
      </c>
      <c r="T253" s="99">
        <f t="shared" si="43"/>
        <v>0</v>
      </c>
      <c r="AR253" s="101" t="s">
        <v>218</v>
      </c>
      <c r="AT253" s="101" t="s">
        <v>214</v>
      </c>
      <c r="AU253" s="101" t="s">
        <v>87</v>
      </c>
      <c r="AY253" s="23" t="s">
        <v>211</v>
      </c>
      <c r="BE253" s="104">
        <f t="shared" si="44"/>
        <v>41400</v>
      </c>
      <c r="BF253" s="104">
        <f t="shared" si="45"/>
        <v>0</v>
      </c>
      <c r="BG253" s="104">
        <f t="shared" si="46"/>
        <v>0</v>
      </c>
      <c r="BH253" s="104">
        <f t="shared" si="47"/>
        <v>0</v>
      </c>
      <c r="BI253" s="104">
        <f t="shared" si="48"/>
        <v>0</v>
      </c>
      <c r="BJ253" s="23" t="s">
        <v>85</v>
      </c>
      <c r="BK253" s="104">
        <f t="shared" si="49"/>
        <v>41400</v>
      </c>
      <c r="BL253" s="23" t="s">
        <v>218</v>
      </c>
      <c r="BM253" s="101" t="s">
        <v>1342</v>
      </c>
    </row>
    <row r="254" spans="2:65" s="1" customFormat="1" ht="24.15" customHeight="1">
      <c r="B254" s="12"/>
      <c r="C254" s="71" t="s">
        <v>842</v>
      </c>
      <c r="D254" s="71" t="s">
        <v>214</v>
      </c>
      <c r="E254" s="72" t="s">
        <v>4753</v>
      </c>
      <c r="F254" s="73" t="s">
        <v>4754</v>
      </c>
      <c r="G254" s="74" t="s">
        <v>808</v>
      </c>
      <c r="H254" s="75">
        <v>84</v>
      </c>
      <c r="I254" s="90">
        <v>900</v>
      </c>
      <c r="J254" s="91">
        <f t="shared" si="40"/>
        <v>75600</v>
      </c>
      <c r="K254" s="92"/>
      <c r="L254" s="12"/>
      <c r="M254" s="93" t="s">
        <v>1</v>
      </c>
      <c r="N254" s="94" t="s">
        <v>42</v>
      </c>
      <c r="P254" s="95">
        <f t="shared" si="41"/>
        <v>0</v>
      </c>
      <c r="Q254" s="95">
        <v>0</v>
      </c>
      <c r="R254" s="95">
        <f t="shared" si="42"/>
        <v>0</v>
      </c>
      <c r="S254" s="95">
        <v>0</v>
      </c>
      <c r="T254" s="99">
        <f t="shared" si="43"/>
        <v>0</v>
      </c>
      <c r="AR254" s="101" t="s">
        <v>218</v>
      </c>
      <c r="AT254" s="101" t="s">
        <v>214</v>
      </c>
      <c r="AU254" s="101" t="s">
        <v>87</v>
      </c>
      <c r="AY254" s="23" t="s">
        <v>211</v>
      </c>
      <c r="BE254" s="104">
        <f t="shared" si="44"/>
        <v>75600</v>
      </c>
      <c r="BF254" s="104">
        <f t="shared" si="45"/>
        <v>0</v>
      </c>
      <c r="BG254" s="104">
        <f t="shared" si="46"/>
        <v>0</v>
      </c>
      <c r="BH254" s="104">
        <f t="shared" si="47"/>
        <v>0</v>
      </c>
      <c r="BI254" s="104">
        <f t="shared" si="48"/>
        <v>0</v>
      </c>
      <c r="BJ254" s="23" t="s">
        <v>85</v>
      </c>
      <c r="BK254" s="104">
        <f t="shared" si="49"/>
        <v>75600</v>
      </c>
      <c r="BL254" s="23" t="s">
        <v>218</v>
      </c>
      <c r="BM254" s="101" t="s">
        <v>1352</v>
      </c>
    </row>
    <row r="255" spans="2:65" s="1" customFormat="1" ht="24.15" customHeight="1">
      <c r="B255" s="12"/>
      <c r="C255" s="71" t="s">
        <v>846</v>
      </c>
      <c r="D255" s="71" t="s">
        <v>214</v>
      </c>
      <c r="E255" s="72" t="s">
        <v>4755</v>
      </c>
      <c r="F255" s="73" t="s">
        <v>4756</v>
      </c>
      <c r="G255" s="74" t="s">
        <v>808</v>
      </c>
      <c r="H255" s="75">
        <v>4</v>
      </c>
      <c r="I255" s="90">
        <v>400</v>
      </c>
      <c r="J255" s="91">
        <f t="shared" si="40"/>
        <v>1600</v>
      </c>
      <c r="K255" s="92"/>
      <c r="L255" s="12"/>
      <c r="M255" s="93" t="s">
        <v>1</v>
      </c>
      <c r="N255" s="94" t="s">
        <v>42</v>
      </c>
      <c r="P255" s="95">
        <f t="shared" si="41"/>
        <v>0</v>
      </c>
      <c r="Q255" s="95">
        <v>0</v>
      </c>
      <c r="R255" s="95">
        <f t="shared" si="42"/>
        <v>0</v>
      </c>
      <c r="S255" s="95">
        <v>0</v>
      </c>
      <c r="T255" s="99">
        <f t="shared" si="43"/>
        <v>0</v>
      </c>
      <c r="AR255" s="101" t="s">
        <v>218</v>
      </c>
      <c r="AT255" s="101" t="s">
        <v>214</v>
      </c>
      <c r="AU255" s="101" t="s">
        <v>87</v>
      </c>
      <c r="AY255" s="23" t="s">
        <v>211</v>
      </c>
      <c r="BE255" s="104">
        <f t="shared" si="44"/>
        <v>1600</v>
      </c>
      <c r="BF255" s="104">
        <f t="shared" si="45"/>
        <v>0</v>
      </c>
      <c r="BG255" s="104">
        <f t="shared" si="46"/>
        <v>0</v>
      </c>
      <c r="BH255" s="104">
        <f t="shared" si="47"/>
        <v>0</v>
      </c>
      <c r="BI255" s="104">
        <f t="shared" si="48"/>
        <v>0</v>
      </c>
      <c r="BJ255" s="23" t="s">
        <v>85</v>
      </c>
      <c r="BK255" s="104">
        <f t="shared" si="49"/>
        <v>1600</v>
      </c>
      <c r="BL255" s="23" t="s">
        <v>218</v>
      </c>
      <c r="BM255" s="101" t="s">
        <v>1361</v>
      </c>
    </row>
    <row r="256" spans="2:65" s="1" customFormat="1" ht="16.5" customHeight="1">
      <c r="B256" s="12"/>
      <c r="C256" s="71" t="s">
        <v>850</v>
      </c>
      <c r="D256" s="71" t="s">
        <v>214</v>
      </c>
      <c r="E256" s="72" t="s">
        <v>4757</v>
      </c>
      <c r="F256" s="73" t="s">
        <v>4758</v>
      </c>
      <c r="G256" s="74" t="s">
        <v>808</v>
      </c>
      <c r="H256" s="75">
        <v>130</v>
      </c>
      <c r="I256" s="90">
        <v>400</v>
      </c>
      <c r="J256" s="91">
        <f t="shared" si="40"/>
        <v>52000</v>
      </c>
      <c r="K256" s="92"/>
      <c r="L256" s="12"/>
      <c r="M256" s="93" t="s">
        <v>1</v>
      </c>
      <c r="N256" s="94" t="s">
        <v>42</v>
      </c>
      <c r="P256" s="95">
        <f t="shared" si="41"/>
        <v>0</v>
      </c>
      <c r="Q256" s="95">
        <v>0</v>
      </c>
      <c r="R256" s="95">
        <f t="shared" si="42"/>
        <v>0</v>
      </c>
      <c r="S256" s="95">
        <v>0</v>
      </c>
      <c r="T256" s="99">
        <f t="shared" si="43"/>
        <v>0</v>
      </c>
      <c r="AR256" s="101" t="s">
        <v>218</v>
      </c>
      <c r="AT256" s="101" t="s">
        <v>214</v>
      </c>
      <c r="AU256" s="101" t="s">
        <v>87</v>
      </c>
      <c r="AY256" s="23" t="s">
        <v>211</v>
      </c>
      <c r="BE256" s="104">
        <f t="shared" si="44"/>
        <v>52000</v>
      </c>
      <c r="BF256" s="104">
        <f t="shared" si="45"/>
        <v>0</v>
      </c>
      <c r="BG256" s="104">
        <f t="shared" si="46"/>
        <v>0</v>
      </c>
      <c r="BH256" s="104">
        <f t="shared" si="47"/>
        <v>0</v>
      </c>
      <c r="BI256" s="104">
        <f t="shared" si="48"/>
        <v>0</v>
      </c>
      <c r="BJ256" s="23" t="s">
        <v>85</v>
      </c>
      <c r="BK256" s="104">
        <f t="shared" si="49"/>
        <v>52000</v>
      </c>
      <c r="BL256" s="23" t="s">
        <v>218</v>
      </c>
      <c r="BM256" s="101" t="s">
        <v>1370</v>
      </c>
    </row>
    <row r="257" spans="2:65" s="1" customFormat="1" ht="24.15" customHeight="1">
      <c r="B257" s="12"/>
      <c r="C257" s="71" t="s">
        <v>854</v>
      </c>
      <c r="D257" s="71" t="s">
        <v>214</v>
      </c>
      <c r="E257" s="72" t="s">
        <v>4759</v>
      </c>
      <c r="F257" s="73" t="s">
        <v>4760</v>
      </c>
      <c r="G257" s="74" t="s">
        <v>808</v>
      </c>
      <c r="H257" s="75">
        <v>4</v>
      </c>
      <c r="I257" s="90">
        <v>700</v>
      </c>
      <c r="J257" s="91">
        <f t="shared" si="40"/>
        <v>2800</v>
      </c>
      <c r="K257" s="92"/>
      <c r="L257" s="12"/>
      <c r="M257" s="93" t="s">
        <v>1</v>
      </c>
      <c r="N257" s="94" t="s">
        <v>42</v>
      </c>
      <c r="P257" s="95">
        <f t="shared" si="41"/>
        <v>0</v>
      </c>
      <c r="Q257" s="95">
        <v>0</v>
      </c>
      <c r="R257" s="95">
        <f t="shared" si="42"/>
        <v>0</v>
      </c>
      <c r="S257" s="95">
        <v>0</v>
      </c>
      <c r="T257" s="99">
        <f t="shared" si="43"/>
        <v>0</v>
      </c>
      <c r="AR257" s="101" t="s">
        <v>218</v>
      </c>
      <c r="AT257" s="101" t="s">
        <v>214</v>
      </c>
      <c r="AU257" s="101" t="s">
        <v>87</v>
      </c>
      <c r="AY257" s="23" t="s">
        <v>211</v>
      </c>
      <c r="BE257" s="104">
        <f t="shared" si="44"/>
        <v>2800</v>
      </c>
      <c r="BF257" s="104">
        <f t="shared" si="45"/>
        <v>0</v>
      </c>
      <c r="BG257" s="104">
        <f t="shared" si="46"/>
        <v>0</v>
      </c>
      <c r="BH257" s="104">
        <f t="shared" si="47"/>
        <v>0</v>
      </c>
      <c r="BI257" s="104">
        <f t="shared" si="48"/>
        <v>0</v>
      </c>
      <c r="BJ257" s="23" t="s">
        <v>85</v>
      </c>
      <c r="BK257" s="104">
        <f t="shared" si="49"/>
        <v>2800</v>
      </c>
      <c r="BL257" s="23" t="s">
        <v>218</v>
      </c>
      <c r="BM257" s="101" t="s">
        <v>1378</v>
      </c>
    </row>
    <row r="258" spans="2:65" s="1" customFormat="1" ht="16.5" customHeight="1">
      <c r="B258" s="12"/>
      <c r="C258" s="71" t="s">
        <v>858</v>
      </c>
      <c r="D258" s="71" t="s">
        <v>214</v>
      </c>
      <c r="E258" s="72" t="s">
        <v>4761</v>
      </c>
      <c r="F258" s="73" t="s">
        <v>4762</v>
      </c>
      <c r="G258" s="74" t="s">
        <v>808</v>
      </c>
      <c r="H258" s="75">
        <v>2</v>
      </c>
      <c r="I258" s="90">
        <v>1500</v>
      </c>
      <c r="J258" s="91">
        <f t="shared" si="40"/>
        <v>3000</v>
      </c>
      <c r="K258" s="92"/>
      <c r="L258" s="12"/>
      <c r="M258" s="93" t="s">
        <v>1</v>
      </c>
      <c r="N258" s="94" t="s">
        <v>42</v>
      </c>
      <c r="P258" s="95">
        <f t="shared" si="41"/>
        <v>0</v>
      </c>
      <c r="Q258" s="95">
        <v>0</v>
      </c>
      <c r="R258" s="95">
        <f t="shared" si="42"/>
        <v>0</v>
      </c>
      <c r="S258" s="95">
        <v>0</v>
      </c>
      <c r="T258" s="99">
        <f t="shared" si="43"/>
        <v>0</v>
      </c>
      <c r="AR258" s="101" t="s">
        <v>218</v>
      </c>
      <c r="AT258" s="101" t="s">
        <v>214</v>
      </c>
      <c r="AU258" s="101" t="s">
        <v>87</v>
      </c>
      <c r="AY258" s="23" t="s">
        <v>211</v>
      </c>
      <c r="BE258" s="104">
        <f t="shared" si="44"/>
        <v>3000</v>
      </c>
      <c r="BF258" s="104">
        <f t="shared" si="45"/>
        <v>0</v>
      </c>
      <c r="BG258" s="104">
        <f t="shared" si="46"/>
        <v>0</v>
      </c>
      <c r="BH258" s="104">
        <f t="shared" si="47"/>
        <v>0</v>
      </c>
      <c r="BI258" s="104">
        <f t="shared" si="48"/>
        <v>0</v>
      </c>
      <c r="BJ258" s="23" t="s">
        <v>85</v>
      </c>
      <c r="BK258" s="104">
        <f t="shared" si="49"/>
        <v>3000</v>
      </c>
      <c r="BL258" s="23" t="s">
        <v>218</v>
      </c>
      <c r="BM258" s="101" t="s">
        <v>1387</v>
      </c>
    </row>
    <row r="259" spans="2:65" s="1" customFormat="1" ht="16.5" customHeight="1">
      <c r="B259" s="12"/>
      <c r="C259" s="71" t="s">
        <v>862</v>
      </c>
      <c r="D259" s="71" t="s">
        <v>214</v>
      </c>
      <c r="E259" s="72" t="s">
        <v>4763</v>
      </c>
      <c r="F259" s="73" t="s">
        <v>4764</v>
      </c>
      <c r="G259" s="74" t="s">
        <v>808</v>
      </c>
      <c r="H259" s="75">
        <v>44</v>
      </c>
      <c r="I259" s="90">
        <v>1500</v>
      </c>
      <c r="J259" s="91">
        <f t="shared" si="40"/>
        <v>66000</v>
      </c>
      <c r="K259" s="92"/>
      <c r="L259" s="12"/>
      <c r="M259" s="93" t="s">
        <v>1</v>
      </c>
      <c r="N259" s="94" t="s">
        <v>42</v>
      </c>
      <c r="P259" s="95">
        <f t="shared" si="41"/>
        <v>0</v>
      </c>
      <c r="Q259" s="95">
        <v>0</v>
      </c>
      <c r="R259" s="95">
        <f t="shared" si="42"/>
        <v>0</v>
      </c>
      <c r="S259" s="95">
        <v>0</v>
      </c>
      <c r="T259" s="99">
        <f t="shared" si="43"/>
        <v>0</v>
      </c>
      <c r="AR259" s="101" t="s">
        <v>218</v>
      </c>
      <c r="AT259" s="101" t="s">
        <v>214</v>
      </c>
      <c r="AU259" s="101" t="s">
        <v>87</v>
      </c>
      <c r="AY259" s="23" t="s">
        <v>211</v>
      </c>
      <c r="BE259" s="104">
        <f t="shared" si="44"/>
        <v>66000</v>
      </c>
      <c r="BF259" s="104">
        <f t="shared" si="45"/>
        <v>0</v>
      </c>
      <c r="BG259" s="104">
        <f t="shared" si="46"/>
        <v>0</v>
      </c>
      <c r="BH259" s="104">
        <f t="shared" si="47"/>
        <v>0</v>
      </c>
      <c r="BI259" s="104">
        <f t="shared" si="48"/>
        <v>0</v>
      </c>
      <c r="BJ259" s="23" t="s">
        <v>85</v>
      </c>
      <c r="BK259" s="104">
        <f t="shared" si="49"/>
        <v>66000</v>
      </c>
      <c r="BL259" s="23" t="s">
        <v>218</v>
      </c>
      <c r="BM259" s="101" t="s">
        <v>1394</v>
      </c>
    </row>
    <row r="260" spans="2:65" s="1" customFormat="1" ht="24.15" customHeight="1">
      <c r="B260" s="12"/>
      <c r="C260" s="71" t="s">
        <v>874</v>
      </c>
      <c r="D260" s="71" t="s">
        <v>214</v>
      </c>
      <c r="E260" s="72" t="s">
        <v>4765</v>
      </c>
      <c r="F260" s="73" t="s">
        <v>4766</v>
      </c>
      <c r="G260" s="74" t="s">
        <v>808</v>
      </c>
      <c r="H260" s="75">
        <v>46</v>
      </c>
      <c r="I260" s="90">
        <v>1500</v>
      </c>
      <c r="J260" s="91">
        <f t="shared" si="40"/>
        <v>69000</v>
      </c>
      <c r="K260" s="92"/>
      <c r="L260" s="12"/>
      <c r="M260" s="93" t="s">
        <v>1</v>
      </c>
      <c r="N260" s="94" t="s">
        <v>42</v>
      </c>
      <c r="P260" s="95">
        <f t="shared" si="41"/>
        <v>0</v>
      </c>
      <c r="Q260" s="95">
        <v>0</v>
      </c>
      <c r="R260" s="95">
        <f t="shared" si="42"/>
        <v>0</v>
      </c>
      <c r="S260" s="95">
        <v>0</v>
      </c>
      <c r="T260" s="99">
        <f t="shared" si="43"/>
        <v>0</v>
      </c>
      <c r="AR260" s="101" t="s">
        <v>218</v>
      </c>
      <c r="AT260" s="101" t="s">
        <v>214</v>
      </c>
      <c r="AU260" s="101" t="s">
        <v>87</v>
      </c>
      <c r="AY260" s="23" t="s">
        <v>211</v>
      </c>
      <c r="BE260" s="104">
        <f t="shared" si="44"/>
        <v>69000</v>
      </c>
      <c r="BF260" s="104">
        <f t="shared" si="45"/>
        <v>0</v>
      </c>
      <c r="BG260" s="104">
        <f t="shared" si="46"/>
        <v>0</v>
      </c>
      <c r="BH260" s="104">
        <f t="shared" si="47"/>
        <v>0</v>
      </c>
      <c r="BI260" s="104">
        <f t="shared" si="48"/>
        <v>0</v>
      </c>
      <c r="BJ260" s="23" t="s">
        <v>85</v>
      </c>
      <c r="BK260" s="104">
        <f t="shared" si="49"/>
        <v>69000</v>
      </c>
      <c r="BL260" s="23" t="s">
        <v>218</v>
      </c>
      <c r="BM260" s="101" t="s">
        <v>1401</v>
      </c>
    </row>
    <row r="261" spans="2:65" s="31" customFormat="1" ht="23.1" customHeight="1">
      <c r="B261" s="67"/>
      <c r="D261" s="68" t="s">
        <v>76</v>
      </c>
      <c r="E261" s="70" t="s">
        <v>4398</v>
      </c>
      <c r="F261" s="70" t="s">
        <v>4767</v>
      </c>
      <c r="I261" s="85"/>
      <c r="J261" s="89">
        <f>BK261</f>
        <v>74400</v>
      </c>
      <c r="L261" s="67"/>
      <c r="M261" s="87"/>
      <c r="P261" s="88">
        <f>SUM(P262:P264)</f>
        <v>0</v>
      </c>
      <c r="R261" s="88">
        <f>SUM(R262:R264)</f>
        <v>0</v>
      </c>
      <c r="T261" s="98">
        <f>SUM(T262:T264)</f>
        <v>0</v>
      </c>
      <c r="AR261" s="68" t="s">
        <v>85</v>
      </c>
      <c r="AT261" s="100" t="s">
        <v>76</v>
      </c>
      <c r="AU261" s="100" t="s">
        <v>85</v>
      </c>
      <c r="AY261" s="68" t="s">
        <v>211</v>
      </c>
      <c r="BK261" s="103">
        <f>SUM(BK262:BK264)</f>
        <v>74400</v>
      </c>
    </row>
    <row r="262" spans="2:65" s="1" customFormat="1" ht="38.1" customHeight="1">
      <c r="B262" s="12"/>
      <c r="C262" s="71" t="s">
        <v>883</v>
      </c>
      <c r="D262" s="71" t="s">
        <v>214</v>
      </c>
      <c r="E262" s="72" t="s">
        <v>4768</v>
      </c>
      <c r="F262" s="73" t="s">
        <v>4769</v>
      </c>
      <c r="G262" s="74" t="s">
        <v>808</v>
      </c>
      <c r="H262" s="75">
        <v>48</v>
      </c>
      <c r="I262" s="90">
        <v>550</v>
      </c>
      <c r="J262" s="91">
        <f>ROUND(I262*H262,2)</f>
        <v>26400</v>
      </c>
      <c r="K262" s="92"/>
      <c r="L262" s="12"/>
      <c r="M262" s="93" t="s">
        <v>1</v>
      </c>
      <c r="N262" s="94" t="s">
        <v>42</v>
      </c>
      <c r="P262" s="95">
        <f>O262*H262</f>
        <v>0</v>
      </c>
      <c r="Q262" s="95">
        <v>0</v>
      </c>
      <c r="R262" s="95">
        <f>Q262*H262</f>
        <v>0</v>
      </c>
      <c r="S262" s="95">
        <v>0</v>
      </c>
      <c r="T262" s="99">
        <f>S262*H262</f>
        <v>0</v>
      </c>
      <c r="AR262" s="101" t="s">
        <v>218</v>
      </c>
      <c r="AT262" s="101" t="s">
        <v>214</v>
      </c>
      <c r="AU262" s="101" t="s">
        <v>87</v>
      </c>
      <c r="AY262" s="23" t="s">
        <v>211</v>
      </c>
      <c r="BE262" s="104">
        <f>IF(N262="základní",J262,0)</f>
        <v>26400</v>
      </c>
      <c r="BF262" s="104">
        <f>IF(N262="snížená",J262,0)</f>
        <v>0</v>
      </c>
      <c r="BG262" s="104">
        <f>IF(N262="zákl. přenesená",J262,0)</f>
        <v>0</v>
      </c>
      <c r="BH262" s="104">
        <f>IF(N262="sníž. přenesená",J262,0)</f>
        <v>0</v>
      </c>
      <c r="BI262" s="104">
        <f>IF(N262="nulová",J262,0)</f>
        <v>0</v>
      </c>
      <c r="BJ262" s="23" t="s">
        <v>85</v>
      </c>
      <c r="BK262" s="104">
        <f>ROUND(I262*H262,2)</f>
        <v>26400</v>
      </c>
      <c r="BL262" s="23" t="s">
        <v>218</v>
      </c>
      <c r="BM262" s="101" t="s">
        <v>1408</v>
      </c>
    </row>
    <row r="263" spans="2:65" s="1" customFormat="1" ht="38.1" customHeight="1">
      <c r="B263" s="12"/>
      <c r="C263" s="71" t="s">
        <v>895</v>
      </c>
      <c r="D263" s="71" t="s">
        <v>214</v>
      </c>
      <c r="E263" s="72" t="s">
        <v>4770</v>
      </c>
      <c r="F263" s="73" t="s">
        <v>4771</v>
      </c>
      <c r="G263" s="74" t="s">
        <v>808</v>
      </c>
      <c r="H263" s="75">
        <v>50</v>
      </c>
      <c r="I263" s="90">
        <v>500</v>
      </c>
      <c r="J263" s="91">
        <f>ROUND(I263*H263,2)</f>
        <v>25000</v>
      </c>
      <c r="K263" s="92"/>
      <c r="L263" s="12"/>
      <c r="M263" s="93" t="s">
        <v>1</v>
      </c>
      <c r="N263" s="94" t="s">
        <v>42</v>
      </c>
      <c r="P263" s="95">
        <f>O263*H263</f>
        <v>0</v>
      </c>
      <c r="Q263" s="95">
        <v>0</v>
      </c>
      <c r="R263" s="95">
        <f>Q263*H263</f>
        <v>0</v>
      </c>
      <c r="S263" s="95">
        <v>0</v>
      </c>
      <c r="T263" s="99">
        <f>S263*H263</f>
        <v>0</v>
      </c>
      <c r="AR263" s="101" t="s">
        <v>218</v>
      </c>
      <c r="AT263" s="101" t="s">
        <v>214</v>
      </c>
      <c r="AU263" s="101" t="s">
        <v>87</v>
      </c>
      <c r="AY263" s="23" t="s">
        <v>211</v>
      </c>
      <c r="BE263" s="104">
        <f>IF(N263="základní",J263,0)</f>
        <v>25000</v>
      </c>
      <c r="BF263" s="104">
        <f>IF(N263="snížená",J263,0)</f>
        <v>0</v>
      </c>
      <c r="BG263" s="104">
        <f>IF(N263="zákl. přenesená",J263,0)</f>
        <v>0</v>
      </c>
      <c r="BH263" s="104">
        <f>IF(N263="sníž. přenesená",J263,0)</f>
        <v>0</v>
      </c>
      <c r="BI263" s="104">
        <f>IF(N263="nulová",J263,0)</f>
        <v>0</v>
      </c>
      <c r="BJ263" s="23" t="s">
        <v>85</v>
      </c>
      <c r="BK263" s="104">
        <f>ROUND(I263*H263,2)</f>
        <v>25000</v>
      </c>
      <c r="BL263" s="23" t="s">
        <v>218</v>
      </c>
      <c r="BM263" s="101" t="s">
        <v>1415</v>
      </c>
    </row>
    <row r="264" spans="2:65" s="1" customFormat="1" ht="24.15" customHeight="1">
      <c r="B264" s="12"/>
      <c r="C264" s="71" t="s">
        <v>905</v>
      </c>
      <c r="D264" s="71" t="s">
        <v>214</v>
      </c>
      <c r="E264" s="72" t="s">
        <v>4772</v>
      </c>
      <c r="F264" s="73" t="s">
        <v>4773</v>
      </c>
      <c r="G264" s="74" t="s">
        <v>808</v>
      </c>
      <c r="H264" s="75">
        <v>100</v>
      </c>
      <c r="I264" s="90">
        <v>230</v>
      </c>
      <c r="J264" s="91">
        <f>ROUND(I264*H264,2)</f>
        <v>23000</v>
      </c>
      <c r="K264" s="92"/>
      <c r="L264" s="12"/>
      <c r="M264" s="93" t="s">
        <v>1</v>
      </c>
      <c r="N264" s="94" t="s">
        <v>42</v>
      </c>
      <c r="P264" s="95">
        <f>O264*H264</f>
        <v>0</v>
      </c>
      <c r="Q264" s="95">
        <v>0</v>
      </c>
      <c r="R264" s="95">
        <f>Q264*H264</f>
        <v>0</v>
      </c>
      <c r="S264" s="95">
        <v>0</v>
      </c>
      <c r="T264" s="99">
        <f>S264*H264</f>
        <v>0</v>
      </c>
      <c r="AR264" s="101" t="s">
        <v>218</v>
      </c>
      <c r="AT264" s="101" t="s">
        <v>214</v>
      </c>
      <c r="AU264" s="101" t="s">
        <v>87</v>
      </c>
      <c r="AY264" s="23" t="s">
        <v>211</v>
      </c>
      <c r="BE264" s="104">
        <f>IF(N264="základní",J264,0)</f>
        <v>23000</v>
      </c>
      <c r="BF264" s="104">
        <f>IF(N264="snížená",J264,0)</f>
        <v>0</v>
      </c>
      <c r="BG264" s="104">
        <f>IF(N264="zákl. přenesená",J264,0)</f>
        <v>0</v>
      </c>
      <c r="BH264" s="104">
        <f>IF(N264="sníž. přenesená",J264,0)</f>
        <v>0</v>
      </c>
      <c r="BI264" s="104">
        <f>IF(N264="nulová",J264,0)</f>
        <v>0</v>
      </c>
      <c r="BJ264" s="23" t="s">
        <v>85</v>
      </c>
      <c r="BK264" s="104">
        <f>ROUND(I264*H264,2)</f>
        <v>23000</v>
      </c>
      <c r="BL264" s="23" t="s">
        <v>218</v>
      </c>
      <c r="BM264" s="101" t="s">
        <v>1423</v>
      </c>
    </row>
    <row r="265" spans="2:65" s="31" customFormat="1" ht="23.1" customHeight="1">
      <c r="B265" s="67"/>
      <c r="D265" s="68" t="s">
        <v>76</v>
      </c>
      <c r="E265" s="70" t="s">
        <v>4412</v>
      </c>
      <c r="F265" s="70" t="s">
        <v>4774</v>
      </c>
      <c r="I265" s="85"/>
      <c r="J265" s="89">
        <f>BK265</f>
        <v>127000</v>
      </c>
      <c r="L265" s="67"/>
      <c r="M265" s="87"/>
      <c r="P265" s="88">
        <f>SUM(P266:P268)</f>
        <v>0</v>
      </c>
      <c r="R265" s="88">
        <f>SUM(R266:R268)</f>
        <v>0</v>
      </c>
      <c r="T265" s="98">
        <f>SUM(T266:T268)</f>
        <v>0</v>
      </c>
      <c r="AR265" s="68" t="s">
        <v>85</v>
      </c>
      <c r="AT265" s="100" t="s">
        <v>76</v>
      </c>
      <c r="AU265" s="100" t="s">
        <v>85</v>
      </c>
      <c r="AY265" s="68" t="s">
        <v>211</v>
      </c>
      <c r="BK265" s="103">
        <f>SUM(BK266:BK268)</f>
        <v>127000</v>
      </c>
    </row>
    <row r="266" spans="2:65" s="1" customFormat="1" ht="16.5" customHeight="1">
      <c r="B266" s="12"/>
      <c r="C266" s="71" t="s">
        <v>913</v>
      </c>
      <c r="D266" s="71" t="s">
        <v>214</v>
      </c>
      <c r="E266" s="72" t="s">
        <v>4775</v>
      </c>
      <c r="F266" s="73" t="s">
        <v>4776</v>
      </c>
      <c r="G266" s="74" t="s">
        <v>808</v>
      </c>
      <c r="H266" s="75">
        <v>36</v>
      </c>
      <c r="I266" s="90">
        <v>2500</v>
      </c>
      <c r="J266" s="91">
        <f>ROUND(I266*H266,2)</f>
        <v>90000</v>
      </c>
      <c r="K266" s="92"/>
      <c r="L266" s="12"/>
      <c r="M266" s="93" t="s">
        <v>1</v>
      </c>
      <c r="N266" s="94" t="s">
        <v>42</v>
      </c>
      <c r="P266" s="95">
        <f>O266*H266</f>
        <v>0</v>
      </c>
      <c r="Q266" s="95">
        <v>0</v>
      </c>
      <c r="R266" s="95">
        <f>Q266*H266</f>
        <v>0</v>
      </c>
      <c r="S266" s="95">
        <v>0</v>
      </c>
      <c r="T266" s="99">
        <f>S266*H266</f>
        <v>0</v>
      </c>
      <c r="AR266" s="101" t="s">
        <v>218</v>
      </c>
      <c r="AT266" s="101" t="s">
        <v>214</v>
      </c>
      <c r="AU266" s="101" t="s">
        <v>87</v>
      </c>
      <c r="AY266" s="23" t="s">
        <v>211</v>
      </c>
      <c r="BE266" s="104">
        <f>IF(N266="základní",J266,0)</f>
        <v>90000</v>
      </c>
      <c r="BF266" s="104">
        <f>IF(N266="snížená",J266,0)</f>
        <v>0</v>
      </c>
      <c r="BG266" s="104">
        <f>IF(N266="zákl. přenesená",J266,0)</f>
        <v>0</v>
      </c>
      <c r="BH266" s="104">
        <f>IF(N266="sníž. přenesená",J266,0)</f>
        <v>0</v>
      </c>
      <c r="BI266" s="104">
        <f>IF(N266="nulová",J266,0)</f>
        <v>0</v>
      </c>
      <c r="BJ266" s="23" t="s">
        <v>85</v>
      </c>
      <c r="BK266" s="104">
        <f>ROUND(I266*H266,2)</f>
        <v>90000</v>
      </c>
      <c r="BL266" s="23" t="s">
        <v>218</v>
      </c>
      <c r="BM266" s="101" t="s">
        <v>1433</v>
      </c>
    </row>
    <row r="267" spans="2:65" s="1" customFormat="1" ht="16.5" customHeight="1">
      <c r="B267" s="12"/>
      <c r="C267" s="71" t="s">
        <v>919</v>
      </c>
      <c r="D267" s="71" t="s">
        <v>214</v>
      </c>
      <c r="E267" s="72" t="s">
        <v>4777</v>
      </c>
      <c r="F267" s="73" t="s">
        <v>4778</v>
      </c>
      <c r="G267" s="74" t="s">
        <v>808</v>
      </c>
      <c r="H267" s="75">
        <v>10</v>
      </c>
      <c r="I267" s="90">
        <v>2800</v>
      </c>
      <c r="J267" s="91">
        <f>ROUND(I267*H267,2)</f>
        <v>28000</v>
      </c>
      <c r="K267" s="92"/>
      <c r="L267" s="12"/>
      <c r="M267" s="93" t="s">
        <v>1</v>
      </c>
      <c r="N267" s="94" t="s">
        <v>42</v>
      </c>
      <c r="P267" s="95">
        <f>O267*H267</f>
        <v>0</v>
      </c>
      <c r="Q267" s="95">
        <v>0</v>
      </c>
      <c r="R267" s="95">
        <f>Q267*H267</f>
        <v>0</v>
      </c>
      <c r="S267" s="95">
        <v>0</v>
      </c>
      <c r="T267" s="99">
        <f>S267*H267</f>
        <v>0</v>
      </c>
      <c r="AR267" s="101" t="s">
        <v>218</v>
      </c>
      <c r="AT267" s="101" t="s">
        <v>214</v>
      </c>
      <c r="AU267" s="101" t="s">
        <v>87</v>
      </c>
      <c r="AY267" s="23" t="s">
        <v>211</v>
      </c>
      <c r="BE267" s="104">
        <f>IF(N267="základní",J267,0)</f>
        <v>28000</v>
      </c>
      <c r="BF267" s="104">
        <f>IF(N267="snížená",J267,0)</f>
        <v>0</v>
      </c>
      <c r="BG267" s="104">
        <f>IF(N267="zákl. přenesená",J267,0)</f>
        <v>0</v>
      </c>
      <c r="BH267" s="104">
        <f>IF(N267="sníž. přenesená",J267,0)</f>
        <v>0</v>
      </c>
      <c r="BI267" s="104">
        <f>IF(N267="nulová",J267,0)</f>
        <v>0</v>
      </c>
      <c r="BJ267" s="23" t="s">
        <v>85</v>
      </c>
      <c r="BK267" s="104">
        <f>ROUND(I267*H267,2)</f>
        <v>28000</v>
      </c>
      <c r="BL267" s="23" t="s">
        <v>218</v>
      </c>
      <c r="BM267" s="101" t="s">
        <v>1441</v>
      </c>
    </row>
    <row r="268" spans="2:65" s="1" customFormat="1" ht="16.5" customHeight="1">
      <c r="B268" s="12"/>
      <c r="C268" s="71" t="s">
        <v>927</v>
      </c>
      <c r="D268" s="71" t="s">
        <v>214</v>
      </c>
      <c r="E268" s="72" t="s">
        <v>4779</v>
      </c>
      <c r="F268" s="73" t="s">
        <v>4780</v>
      </c>
      <c r="G268" s="74" t="s">
        <v>808</v>
      </c>
      <c r="H268" s="75">
        <v>2</v>
      </c>
      <c r="I268" s="90">
        <v>4500</v>
      </c>
      <c r="J268" s="91">
        <f>ROUND(I268*H268,2)</f>
        <v>9000</v>
      </c>
      <c r="K268" s="92"/>
      <c r="L268" s="12"/>
      <c r="M268" s="93" t="s">
        <v>1</v>
      </c>
      <c r="N268" s="94" t="s">
        <v>42</v>
      </c>
      <c r="P268" s="95">
        <f>O268*H268</f>
        <v>0</v>
      </c>
      <c r="Q268" s="95">
        <v>0</v>
      </c>
      <c r="R268" s="95">
        <f>Q268*H268</f>
        <v>0</v>
      </c>
      <c r="S268" s="95">
        <v>0</v>
      </c>
      <c r="T268" s="99">
        <f>S268*H268</f>
        <v>0</v>
      </c>
      <c r="AR268" s="101" t="s">
        <v>218</v>
      </c>
      <c r="AT268" s="101" t="s">
        <v>214</v>
      </c>
      <c r="AU268" s="101" t="s">
        <v>87</v>
      </c>
      <c r="AY268" s="23" t="s">
        <v>211</v>
      </c>
      <c r="BE268" s="104">
        <f>IF(N268="základní",J268,0)</f>
        <v>9000</v>
      </c>
      <c r="BF268" s="104">
        <f>IF(N268="snížená",J268,0)</f>
        <v>0</v>
      </c>
      <c r="BG268" s="104">
        <f>IF(N268="zákl. přenesená",J268,0)</f>
        <v>0</v>
      </c>
      <c r="BH268" s="104">
        <f>IF(N268="sníž. přenesená",J268,0)</f>
        <v>0</v>
      </c>
      <c r="BI268" s="104">
        <f>IF(N268="nulová",J268,0)</f>
        <v>0</v>
      </c>
      <c r="BJ268" s="23" t="s">
        <v>85</v>
      </c>
      <c r="BK268" s="104">
        <f>ROUND(I268*H268,2)</f>
        <v>9000</v>
      </c>
      <c r="BL268" s="23" t="s">
        <v>218</v>
      </c>
      <c r="BM268" s="101" t="s">
        <v>1449</v>
      </c>
    </row>
    <row r="269" spans="2:65" s="31" customFormat="1" ht="26.1" customHeight="1">
      <c r="B269" s="67"/>
      <c r="D269" s="68" t="s">
        <v>76</v>
      </c>
      <c r="E269" s="69" t="s">
        <v>4781</v>
      </c>
      <c r="F269" s="69" t="s">
        <v>4782</v>
      </c>
      <c r="I269" s="85"/>
      <c r="J269" s="86">
        <f>BK269</f>
        <v>687120</v>
      </c>
      <c r="L269" s="67"/>
      <c r="M269" s="87"/>
      <c r="P269" s="88">
        <f>P270+P277+P283+P286+P295+P301+P304+P307</f>
        <v>0</v>
      </c>
      <c r="R269" s="88">
        <f>R270+R277+R283+R286+R295+R301+R304+R307</f>
        <v>0</v>
      </c>
      <c r="T269" s="98">
        <f>T270+T277+T283+T286+T295+T301+T304+T307</f>
        <v>0</v>
      </c>
      <c r="AR269" s="68" t="s">
        <v>85</v>
      </c>
      <c r="AT269" s="100" t="s">
        <v>76</v>
      </c>
      <c r="AU269" s="100" t="s">
        <v>77</v>
      </c>
      <c r="AY269" s="68" t="s">
        <v>211</v>
      </c>
      <c r="BK269" s="103">
        <f>BK270+BK277+BK283+BK286+BK295+BK301+BK304+BK307</f>
        <v>687120</v>
      </c>
    </row>
    <row r="270" spans="2:65" s="31" customFormat="1" ht="23.1" customHeight="1">
      <c r="B270" s="67"/>
      <c r="D270" s="68" t="s">
        <v>76</v>
      </c>
      <c r="E270" s="70" t="s">
        <v>4415</v>
      </c>
      <c r="F270" s="70" t="s">
        <v>4783</v>
      </c>
      <c r="I270" s="85"/>
      <c r="J270" s="89">
        <f>BK270</f>
        <v>278000</v>
      </c>
      <c r="L270" s="67"/>
      <c r="M270" s="87"/>
      <c r="P270" s="88">
        <f>SUM(P271:P276)</f>
        <v>0</v>
      </c>
      <c r="R270" s="88">
        <f>SUM(R271:R276)</f>
        <v>0</v>
      </c>
      <c r="T270" s="98">
        <f>SUM(T271:T276)</f>
        <v>0</v>
      </c>
      <c r="AR270" s="68" t="s">
        <v>85</v>
      </c>
      <c r="AT270" s="100" t="s">
        <v>76</v>
      </c>
      <c r="AU270" s="100" t="s">
        <v>85</v>
      </c>
      <c r="AY270" s="68" t="s">
        <v>211</v>
      </c>
      <c r="BK270" s="103">
        <f>SUM(BK271:BK276)</f>
        <v>278000</v>
      </c>
    </row>
    <row r="271" spans="2:65" s="1" customFormat="1" ht="16.5" customHeight="1">
      <c r="B271" s="12"/>
      <c r="C271" s="71" t="s">
        <v>935</v>
      </c>
      <c r="D271" s="71" t="s">
        <v>214</v>
      </c>
      <c r="E271" s="72" t="s">
        <v>4784</v>
      </c>
      <c r="F271" s="73" t="s">
        <v>4785</v>
      </c>
      <c r="G271" s="74" t="s">
        <v>444</v>
      </c>
      <c r="H271" s="75">
        <v>78</v>
      </c>
      <c r="I271" s="90">
        <v>450</v>
      </c>
      <c r="J271" s="91">
        <f>ROUND(I271*H271,2)</f>
        <v>35100</v>
      </c>
      <c r="K271" s="92"/>
      <c r="L271" s="12"/>
      <c r="M271" s="93" t="s">
        <v>1</v>
      </c>
      <c r="N271" s="94" t="s">
        <v>42</v>
      </c>
      <c r="P271" s="95">
        <f>O271*H271</f>
        <v>0</v>
      </c>
      <c r="Q271" s="95">
        <v>0</v>
      </c>
      <c r="R271" s="95">
        <f>Q271*H271</f>
        <v>0</v>
      </c>
      <c r="S271" s="95">
        <v>0</v>
      </c>
      <c r="T271" s="99">
        <f>S271*H271</f>
        <v>0</v>
      </c>
      <c r="AR271" s="101" t="s">
        <v>218</v>
      </c>
      <c r="AT271" s="101" t="s">
        <v>214</v>
      </c>
      <c r="AU271" s="101" t="s">
        <v>87</v>
      </c>
      <c r="AY271" s="23" t="s">
        <v>211</v>
      </c>
      <c r="BE271" s="104">
        <f>IF(N271="základní",J271,0)</f>
        <v>35100</v>
      </c>
      <c r="BF271" s="104">
        <f>IF(N271="snížená",J271,0)</f>
        <v>0</v>
      </c>
      <c r="BG271" s="104">
        <f>IF(N271="zákl. přenesená",J271,0)</f>
        <v>0</v>
      </c>
      <c r="BH271" s="104">
        <f>IF(N271="sníž. přenesená",J271,0)</f>
        <v>0</v>
      </c>
      <c r="BI271" s="104">
        <f>IF(N271="nulová",J271,0)</f>
        <v>0</v>
      </c>
      <c r="BJ271" s="23" t="s">
        <v>85</v>
      </c>
      <c r="BK271" s="104">
        <f>ROUND(I271*H271,2)</f>
        <v>35100</v>
      </c>
      <c r="BL271" s="23" t="s">
        <v>218</v>
      </c>
      <c r="BM271" s="101" t="s">
        <v>1457</v>
      </c>
    </row>
    <row r="272" spans="2:65" s="1" customFormat="1" ht="16.5" customHeight="1">
      <c r="B272" s="12"/>
      <c r="C272" s="71" t="s">
        <v>942</v>
      </c>
      <c r="D272" s="71" t="s">
        <v>214</v>
      </c>
      <c r="E272" s="72" t="s">
        <v>4786</v>
      </c>
      <c r="F272" s="73" t="s">
        <v>4787</v>
      </c>
      <c r="G272" s="74" t="s">
        <v>444</v>
      </c>
      <c r="H272" s="75">
        <v>97</v>
      </c>
      <c r="I272" s="90">
        <v>500</v>
      </c>
      <c r="J272" s="91">
        <f>ROUND(I272*H272,2)</f>
        <v>48500</v>
      </c>
      <c r="K272" s="92"/>
      <c r="L272" s="12"/>
      <c r="M272" s="93" t="s">
        <v>1</v>
      </c>
      <c r="N272" s="94" t="s">
        <v>42</v>
      </c>
      <c r="P272" s="95">
        <f>O272*H272</f>
        <v>0</v>
      </c>
      <c r="Q272" s="95">
        <v>0</v>
      </c>
      <c r="R272" s="95">
        <f>Q272*H272</f>
        <v>0</v>
      </c>
      <c r="S272" s="95">
        <v>0</v>
      </c>
      <c r="T272" s="99">
        <f>S272*H272</f>
        <v>0</v>
      </c>
      <c r="AR272" s="101" t="s">
        <v>218</v>
      </c>
      <c r="AT272" s="101" t="s">
        <v>214</v>
      </c>
      <c r="AU272" s="101" t="s">
        <v>87</v>
      </c>
      <c r="AY272" s="23" t="s">
        <v>211</v>
      </c>
      <c r="BE272" s="104">
        <f>IF(N272="základní",J272,0)</f>
        <v>48500</v>
      </c>
      <c r="BF272" s="104">
        <f>IF(N272="snížená",J272,0)</f>
        <v>0</v>
      </c>
      <c r="BG272" s="104">
        <f>IF(N272="zákl. přenesená",J272,0)</f>
        <v>0</v>
      </c>
      <c r="BH272" s="104">
        <f>IF(N272="sníž. přenesená",J272,0)</f>
        <v>0</v>
      </c>
      <c r="BI272" s="104">
        <f>IF(N272="nulová",J272,0)</f>
        <v>0</v>
      </c>
      <c r="BJ272" s="23" t="s">
        <v>85</v>
      </c>
      <c r="BK272" s="104">
        <f>ROUND(I272*H272,2)</f>
        <v>48500</v>
      </c>
      <c r="BL272" s="23" t="s">
        <v>218</v>
      </c>
      <c r="BM272" s="101" t="s">
        <v>1466</v>
      </c>
    </row>
    <row r="273" spans="2:65" s="1" customFormat="1" ht="16.5" customHeight="1">
      <c r="B273" s="12"/>
      <c r="C273" s="71" t="s">
        <v>950</v>
      </c>
      <c r="D273" s="71" t="s">
        <v>214</v>
      </c>
      <c r="E273" s="72" t="s">
        <v>4788</v>
      </c>
      <c r="F273" s="73" t="s">
        <v>4789</v>
      </c>
      <c r="G273" s="74" t="s">
        <v>444</v>
      </c>
      <c r="H273" s="75">
        <v>268</v>
      </c>
      <c r="I273" s="90">
        <v>550</v>
      </c>
      <c r="J273" s="91">
        <f>ROUND(I273*H273,2)</f>
        <v>147400</v>
      </c>
      <c r="K273" s="92"/>
      <c r="L273" s="12"/>
      <c r="M273" s="93" t="s">
        <v>1</v>
      </c>
      <c r="N273" s="94" t="s">
        <v>42</v>
      </c>
      <c r="P273" s="95">
        <f>O273*H273</f>
        <v>0</v>
      </c>
      <c r="Q273" s="95">
        <v>0</v>
      </c>
      <c r="R273" s="95">
        <f>Q273*H273</f>
        <v>0</v>
      </c>
      <c r="S273" s="95">
        <v>0</v>
      </c>
      <c r="T273" s="99">
        <f>S273*H273</f>
        <v>0</v>
      </c>
      <c r="AR273" s="101" t="s">
        <v>218</v>
      </c>
      <c r="AT273" s="101" t="s">
        <v>214</v>
      </c>
      <c r="AU273" s="101" t="s">
        <v>87</v>
      </c>
      <c r="AY273" s="23" t="s">
        <v>211</v>
      </c>
      <c r="BE273" s="104">
        <f>IF(N273="základní",J273,0)</f>
        <v>147400</v>
      </c>
      <c r="BF273" s="104">
        <f>IF(N273="snížená",J273,0)</f>
        <v>0</v>
      </c>
      <c r="BG273" s="104">
        <f>IF(N273="zákl. přenesená",J273,0)</f>
        <v>0</v>
      </c>
      <c r="BH273" s="104">
        <f>IF(N273="sníž. přenesená",J273,0)</f>
        <v>0</v>
      </c>
      <c r="BI273" s="104">
        <f>IF(N273="nulová",J273,0)</f>
        <v>0</v>
      </c>
      <c r="BJ273" s="23" t="s">
        <v>85</v>
      </c>
      <c r="BK273" s="104">
        <f>ROUND(I273*H273,2)</f>
        <v>147400</v>
      </c>
      <c r="BL273" s="23" t="s">
        <v>218</v>
      </c>
      <c r="BM273" s="101" t="s">
        <v>1475</v>
      </c>
    </row>
    <row r="274" spans="2:65" s="1" customFormat="1" ht="16.5" customHeight="1">
      <c r="B274" s="12"/>
      <c r="C274" s="71" t="s">
        <v>958</v>
      </c>
      <c r="D274" s="71" t="s">
        <v>214</v>
      </c>
      <c r="E274" s="72" t="s">
        <v>4790</v>
      </c>
      <c r="F274" s="73" t="s">
        <v>4791</v>
      </c>
      <c r="G274" s="74" t="s">
        <v>444</v>
      </c>
      <c r="H274" s="75">
        <v>22</v>
      </c>
      <c r="I274" s="90">
        <v>600</v>
      </c>
      <c r="J274" s="91">
        <f>ROUND(I274*H274,2)</f>
        <v>13200</v>
      </c>
      <c r="K274" s="92"/>
      <c r="L274" s="12"/>
      <c r="M274" s="93" t="s">
        <v>1</v>
      </c>
      <c r="N274" s="94" t="s">
        <v>42</v>
      </c>
      <c r="P274" s="95">
        <f>O274*H274</f>
        <v>0</v>
      </c>
      <c r="Q274" s="95">
        <v>0</v>
      </c>
      <c r="R274" s="95">
        <f>Q274*H274</f>
        <v>0</v>
      </c>
      <c r="S274" s="95">
        <v>0</v>
      </c>
      <c r="T274" s="99">
        <f>S274*H274</f>
        <v>0</v>
      </c>
      <c r="AR274" s="101" t="s">
        <v>218</v>
      </c>
      <c r="AT274" s="101" t="s">
        <v>214</v>
      </c>
      <c r="AU274" s="101" t="s">
        <v>87</v>
      </c>
      <c r="AY274" s="23" t="s">
        <v>211</v>
      </c>
      <c r="BE274" s="104">
        <f>IF(N274="základní",J274,0)</f>
        <v>13200</v>
      </c>
      <c r="BF274" s="104">
        <f>IF(N274="snížená",J274,0)</f>
        <v>0</v>
      </c>
      <c r="BG274" s="104">
        <f>IF(N274="zákl. přenesená",J274,0)</f>
        <v>0</v>
      </c>
      <c r="BH274" s="104">
        <f>IF(N274="sníž. přenesená",J274,0)</f>
        <v>0</v>
      </c>
      <c r="BI274" s="104">
        <f>IF(N274="nulová",J274,0)</f>
        <v>0</v>
      </c>
      <c r="BJ274" s="23" t="s">
        <v>85</v>
      </c>
      <c r="BK274" s="104">
        <f>ROUND(I274*H274,2)</f>
        <v>13200</v>
      </c>
      <c r="BL274" s="23" t="s">
        <v>218</v>
      </c>
      <c r="BM274" s="101" t="s">
        <v>1483</v>
      </c>
    </row>
    <row r="275" spans="2:65" s="1" customFormat="1" ht="16.5" customHeight="1">
      <c r="B275" s="12"/>
      <c r="C275" s="71" t="s">
        <v>963</v>
      </c>
      <c r="D275" s="71" t="s">
        <v>214</v>
      </c>
      <c r="E275" s="72" t="s">
        <v>4792</v>
      </c>
      <c r="F275" s="73" t="s">
        <v>4793</v>
      </c>
      <c r="G275" s="74" t="s">
        <v>444</v>
      </c>
      <c r="H275" s="75">
        <v>52</v>
      </c>
      <c r="I275" s="90">
        <v>650</v>
      </c>
      <c r="J275" s="91">
        <f>ROUND(I275*H275,2)</f>
        <v>33800</v>
      </c>
      <c r="K275" s="92"/>
      <c r="L275" s="12"/>
      <c r="M275" s="93" t="s">
        <v>1</v>
      </c>
      <c r="N275" s="94" t="s">
        <v>42</v>
      </c>
      <c r="P275" s="95">
        <f>O275*H275</f>
        <v>0</v>
      </c>
      <c r="Q275" s="95">
        <v>0</v>
      </c>
      <c r="R275" s="95">
        <f>Q275*H275</f>
        <v>0</v>
      </c>
      <c r="S275" s="95">
        <v>0</v>
      </c>
      <c r="T275" s="99">
        <f>S275*H275</f>
        <v>0</v>
      </c>
      <c r="AR275" s="101" t="s">
        <v>218</v>
      </c>
      <c r="AT275" s="101" t="s">
        <v>214</v>
      </c>
      <c r="AU275" s="101" t="s">
        <v>87</v>
      </c>
      <c r="AY275" s="23" t="s">
        <v>211</v>
      </c>
      <c r="BE275" s="104">
        <f>IF(N275="základní",J275,0)</f>
        <v>33800</v>
      </c>
      <c r="BF275" s="104">
        <f>IF(N275="snížená",J275,0)</f>
        <v>0</v>
      </c>
      <c r="BG275" s="104">
        <f>IF(N275="zákl. přenesená",J275,0)</f>
        <v>0</v>
      </c>
      <c r="BH275" s="104">
        <f>IF(N275="sníž. přenesená",J275,0)</f>
        <v>0</v>
      </c>
      <c r="BI275" s="104">
        <f>IF(N275="nulová",J275,0)</f>
        <v>0</v>
      </c>
      <c r="BJ275" s="23" t="s">
        <v>85</v>
      </c>
      <c r="BK275" s="104">
        <f>ROUND(I275*H275,2)</f>
        <v>33800</v>
      </c>
      <c r="BL275" s="23" t="s">
        <v>218</v>
      </c>
      <c r="BM275" s="101" t="s">
        <v>1491</v>
      </c>
    </row>
    <row r="276" spans="2:65" s="1" customFormat="1" ht="67.2">
      <c r="B276" s="12"/>
      <c r="D276" s="105" t="s">
        <v>227</v>
      </c>
      <c r="F276" s="106" t="s">
        <v>4794</v>
      </c>
      <c r="I276" s="107"/>
      <c r="L276" s="12"/>
      <c r="M276" s="108"/>
      <c r="T276" s="111"/>
      <c r="AT276" s="23" t="s">
        <v>227</v>
      </c>
      <c r="AU276" s="23" t="s">
        <v>87</v>
      </c>
    </row>
    <row r="277" spans="2:65" s="31" customFormat="1" ht="23.1" customHeight="1">
      <c r="B277" s="67"/>
      <c r="D277" s="68" t="s">
        <v>76</v>
      </c>
      <c r="E277" s="70" t="s">
        <v>4420</v>
      </c>
      <c r="F277" s="70" t="s">
        <v>4795</v>
      </c>
      <c r="I277" s="85"/>
      <c r="J277" s="89">
        <f>BK277</f>
        <v>141900</v>
      </c>
      <c r="L277" s="67"/>
      <c r="M277" s="87"/>
      <c r="P277" s="88">
        <f>SUM(P278:P282)</f>
        <v>0</v>
      </c>
      <c r="R277" s="88">
        <f>SUM(R278:R282)</f>
        <v>0</v>
      </c>
      <c r="T277" s="98">
        <f>SUM(T278:T282)</f>
        <v>0</v>
      </c>
      <c r="AR277" s="68" t="s">
        <v>85</v>
      </c>
      <c r="AT277" s="100" t="s">
        <v>76</v>
      </c>
      <c r="AU277" s="100" t="s">
        <v>85</v>
      </c>
      <c r="AY277" s="68" t="s">
        <v>211</v>
      </c>
      <c r="BK277" s="103">
        <f>SUM(BK278:BK282)</f>
        <v>141900</v>
      </c>
    </row>
    <row r="278" spans="2:65" s="1" customFormat="1" ht="16.5" customHeight="1">
      <c r="B278" s="12"/>
      <c r="C278" s="71" t="s">
        <v>968</v>
      </c>
      <c r="D278" s="71" t="s">
        <v>214</v>
      </c>
      <c r="E278" s="72" t="s">
        <v>4796</v>
      </c>
      <c r="F278" s="73" t="s">
        <v>4797</v>
      </c>
      <c r="G278" s="74" t="s">
        <v>444</v>
      </c>
      <c r="H278" s="75">
        <v>1907</v>
      </c>
      <c r="I278" s="90">
        <v>60</v>
      </c>
      <c r="J278" s="91">
        <f>ROUND(I278*H278,2)</f>
        <v>114420</v>
      </c>
      <c r="K278" s="92"/>
      <c r="L278" s="12"/>
      <c r="M278" s="93" t="s">
        <v>1</v>
      </c>
      <c r="N278" s="94" t="s">
        <v>42</v>
      </c>
      <c r="P278" s="95">
        <f>O278*H278</f>
        <v>0</v>
      </c>
      <c r="Q278" s="95">
        <v>0</v>
      </c>
      <c r="R278" s="95">
        <f>Q278*H278</f>
        <v>0</v>
      </c>
      <c r="S278" s="95">
        <v>0</v>
      </c>
      <c r="T278" s="99">
        <f>S278*H278</f>
        <v>0</v>
      </c>
      <c r="AR278" s="101" t="s">
        <v>218</v>
      </c>
      <c r="AT278" s="101" t="s">
        <v>214</v>
      </c>
      <c r="AU278" s="101" t="s">
        <v>87</v>
      </c>
      <c r="AY278" s="23" t="s">
        <v>211</v>
      </c>
      <c r="BE278" s="104">
        <f>IF(N278="základní",J278,0)</f>
        <v>114420</v>
      </c>
      <c r="BF278" s="104">
        <f>IF(N278="snížená",J278,0)</f>
        <v>0</v>
      </c>
      <c r="BG278" s="104">
        <f>IF(N278="zákl. přenesená",J278,0)</f>
        <v>0</v>
      </c>
      <c r="BH278" s="104">
        <f>IF(N278="sníž. přenesená",J278,0)</f>
        <v>0</v>
      </c>
      <c r="BI278" s="104">
        <f>IF(N278="nulová",J278,0)</f>
        <v>0</v>
      </c>
      <c r="BJ278" s="23" t="s">
        <v>85</v>
      </c>
      <c r="BK278" s="104">
        <f>ROUND(I278*H278,2)</f>
        <v>114420</v>
      </c>
      <c r="BL278" s="23" t="s">
        <v>218</v>
      </c>
      <c r="BM278" s="101" t="s">
        <v>1500</v>
      </c>
    </row>
    <row r="279" spans="2:65" s="1" customFormat="1" ht="16.5" customHeight="1">
      <c r="B279" s="12"/>
      <c r="C279" s="71" t="s">
        <v>993</v>
      </c>
      <c r="D279" s="71" t="s">
        <v>214</v>
      </c>
      <c r="E279" s="72" t="s">
        <v>4798</v>
      </c>
      <c r="F279" s="73" t="s">
        <v>4799</v>
      </c>
      <c r="G279" s="74" t="s">
        <v>444</v>
      </c>
      <c r="H279" s="75">
        <v>226</v>
      </c>
      <c r="I279" s="90">
        <v>80</v>
      </c>
      <c r="J279" s="91">
        <f>ROUND(I279*H279,2)</f>
        <v>18080</v>
      </c>
      <c r="K279" s="92"/>
      <c r="L279" s="12"/>
      <c r="M279" s="93" t="s">
        <v>1</v>
      </c>
      <c r="N279" s="94" t="s">
        <v>42</v>
      </c>
      <c r="P279" s="95">
        <f>O279*H279</f>
        <v>0</v>
      </c>
      <c r="Q279" s="95">
        <v>0</v>
      </c>
      <c r="R279" s="95">
        <f>Q279*H279</f>
        <v>0</v>
      </c>
      <c r="S279" s="95">
        <v>0</v>
      </c>
      <c r="T279" s="99">
        <f>S279*H279</f>
        <v>0</v>
      </c>
      <c r="AR279" s="101" t="s">
        <v>218</v>
      </c>
      <c r="AT279" s="101" t="s">
        <v>214</v>
      </c>
      <c r="AU279" s="101" t="s">
        <v>87</v>
      </c>
      <c r="AY279" s="23" t="s">
        <v>211</v>
      </c>
      <c r="BE279" s="104">
        <f>IF(N279="základní",J279,0)</f>
        <v>18080</v>
      </c>
      <c r="BF279" s="104">
        <f>IF(N279="snížená",J279,0)</f>
        <v>0</v>
      </c>
      <c r="BG279" s="104">
        <f>IF(N279="zákl. přenesená",J279,0)</f>
        <v>0</v>
      </c>
      <c r="BH279" s="104">
        <f>IF(N279="sníž. přenesená",J279,0)</f>
        <v>0</v>
      </c>
      <c r="BI279" s="104">
        <f>IF(N279="nulová",J279,0)</f>
        <v>0</v>
      </c>
      <c r="BJ279" s="23" t="s">
        <v>85</v>
      </c>
      <c r="BK279" s="104">
        <f>ROUND(I279*H279,2)</f>
        <v>18080</v>
      </c>
      <c r="BL279" s="23" t="s">
        <v>218</v>
      </c>
      <c r="BM279" s="101" t="s">
        <v>1509</v>
      </c>
    </row>
    <row r="280" spans="2:65" s="1" customFormat="1" ht="16.5" customHeight="1">
      <c r="B280" s="12"/>
      <c r="C280" s="71" t="s">
        <v>997</v>
      </c>
      <c r="D280" s="71" t="s">
        <v>214</v>
      </c>
      <c r="E280" s="72" t="s">
        <v>4800</v>
      </c>
      <c r="F280" s="73" t="s">
        <v>4801</v>
      </c>
      <c r="G280" s="74" t="s">
        <v>444</v>
      </c>
      <c r="H280" s="75">
        <v>44</v>
      </c>
      <c r="I280" s="90">
        <v>100</v>
      </c>
      <c r="J280" s="91">
        <f>ROUND(I280*H280,2)</f>
        <v>4400</v>
      </c>
      <c r="K280" s="92"/>
      <c r="L280" s="12"/>
      <c r="M280" s="93" t="s">
        <v>1</v>
      </c>
      <c r="N280" s="94" t="s">
        <v>42</v>
      </c>
      <c r="P280" s="95">
        <f>O280*H280</f>
        <v>0</v>
      </c>
      <c r="Q280" s="95">
        <v>0</v>
      </c>
      <c r="R280" s="95">
        <f>Q280*H280</f>
        <v>0</v>
      </c>
      <c r="S280" s="95">
        <v>0</v>
      </c>
      <c r="T280" s="99">
        <f>S280*H280</f>
        <v>0</v>
      </c>
      <c r="AR280" s="101" t="s">
        <v>218</v>
      </c>
      <c r="AT280" s="101" t="s">
        <v>214</v>
      </c>
      <c r="AU280" s="101" t="s">
        <v>87</v>
      </c>
      <c r="AY280" s="23" t="s">
        <v>211</v>
      </c>
      <c r="BE280" s="104">
        <f>IF(N280="základní",J280,0)</f>
        <v>4400</v>
      </c>
      <c r="BF280" s="104">
        <f>IF(N280="snížená",J280,0)</f>
        <v>0</v>
      </c>
      <c r="BG280" s="104">
        <f>IF(N280="zákl. přenesená",J280,0)</f>
        <v>0</v>
      </c>
      <c r="BH280" s="104">
        <f>IF(N280="sníž. přenesená",J280,0)</f>
        <v>0</v>
      </c>
      <c r="BI280" s="104">
        <f>IF(N280="nulová",J280,0)</f>
        <v>0</v>
      </c>
      <c r="BJ280" s="23" t="s">
        <v>85</v>
      </c>
      <c r="BK280" s="104">
        <f>ROUND(I280*H280,2)</f>
        <v>4400</v>
      </c>
      <c r="BL280" s="23" t="s">
        <v>218</v>
      </c>
      <c r="BM280" s="101" t="s">
        <v>1515</v>
      </c>
    </row>
    <row r="281" spans="2:65" s="1" customFormat="1" ht="24.15" customHeight="1">
      <c r="B281" s="12"/>
      <c r="C281" s="71" t="s">
        <v>1001</v>
      </c>
      <c r="D281" s="71" t="s">
        <v>214</v>
      </c>
      <c r="E281" s="72" t="s">
        <v>4802</v>
      </c>
      <c r="F281" s="73" t="s">
        <v>4803</v>
      </c>
      <c r="G281" s="74" t="s">
        <v>234</v>
      </c>
      <c r="H281" s="75">
        <v>1</v>
      </c>
      <c r="I281" s="90">
        <v>5000</v>
      </c>
      <c r="J281" s="91">
        <f>ROUND(I281*H281,2)</f>
        <v>5000</v>
      </c>
      <c r="K281" s="92"/>
      <c r="L281" s="12"/>
      <c r="M281" s="93" t="s">
        <v>1</v>
      </c>
      <c r="N281" s="94" t="s">
        <v>42</v>
      </c>
      <c r="P281" s="95">
        <f>O281*H281</f>
        <v>0</v>
      </c>
      <c r="Q281" s="95">
        <v>0</v>
      </c>
      <c r="R281" s="95">
        <f>Q281*H281</f>
        <v>0</v>
      </c>
      <c r="S281" s="95">
        <v>0</v>
      </c>
      <c r="T281" s="99">
        <f>S281*H281</f>
        <v>0</v>
      </c>
      <c r="AR281" s="101" t="s">
        <v>218</v>
      </c>
      <c r="AT281" s="101" t="s">
        <v>214</v>
      </c>
      <c r="AU281" s="101" t="s">
        <v>87</v>
      </c>
      <c r="AY281" s="23" t="s">
        <v>211</v>
      </c>
      <c r="BE281" s="104">
        <f>IF(N281="základní",J281,0)</f>
        <v>5000</v>
      </c>
      <c r="BF281" s="104">
        <f>IF(N281="snížená",J281,0)</f>
        <v>0</v>
      </c>
      <c r="BG281" s="104">
        <f>IF(N281="zákl. přenesená",J281,0)</f>
        <v>0</v>
      </c>
      <c r="BH281" s="104">
        <f>IF(N281="sníž. přenesená",J281,0)</f>
        <v>0</v>
      </c>
      <c r="BI281" s="104">
        <f>IF(N281="nulová",J281,0)</f>
        <v>0</v>
      </c>
      <c r="BJ281" s="23" t="s">
        <v>85</v>
      </c>
      <c r="BK281" s="104">
        <f>ROUND(I281*H281,2)</f>
        <v>5000</v>
      </c>
      <c r="BL281" s="23" t="s">
        <v>218</v>
      </c>
      <c r="BM281" s="101" t="s">
        <v>1524</v>
      </c>
    </row>
    <row r="282" spans="2:65" s="1" customFormat="1" ht="19.2">
      <c r="B282" s="12"/>
      <c r="D282" s="105" t="s">
        <v>227</v>
      </c>
      <c r="F282" s="106" t="s">
        <v>4804</v>
      </c>
      <c r="I282" s="107"/>
      <c r="L282" s="12"/>
      <c r="M282" s="108"/>
      <c r="T282" s="111"/>
      <c r="AT282" s="23" t="s">
        <v>227</v>
      </c>
      <c r="AU282" s="23" t="s">
        <v>87</v>
      </c>
    </row>
    <row r="283" spans="2:65" s="31" customFormat="1" ht="23.1" customHeight="1">
      <c r="B283" s="67"/>
      <c r="D283" s="68" t="s">
        <v>76</v>
      </c>
      <c r="E283" s="70" t="s">
        <v>4422</v>
      </c>
      <c r="F283" s="70" t="s">
        <v>4805</v>
      </c>
      <c r="I283" s="85"/>
      <c r="J283" s="89">
        <f>BK283</f>
        <v>1120</v>
      </c>
      <c r="L283" s="67"/>
      <c r="M283" s="87"/>
      <c r="P283" s="88">
        <f>SUM(P284:P285)</f>
        <v>0</v>
      </c>
      <c r="R283" s="88">
        <f>SUM(R284:R285)</f>
        <v>0</v>
      </c>
      <c r="T283" s="98">
        <f>SUM(T284:T285)</f>
        <v>0</v>
      </c>
      <c r="AR283" s="68" t="s">
        <v>85</v>
      </c>
      <c r="AT283" s="100" t="s">
        <v>76</v>
      </c>
      <c r="AU283" s="100" t="s">
        <v>85</v>
      </c>
      <c r="AY283" s="68" t="s">
        <v>211</v>
      </c>
      <c r="BK283" s="103">
        <f>SUM(BK284:BK285)</f>
        <v>1120</v>
      </c>
    </row>
    <row r="284" spans="2:65" s="1" customFormat="1" ht="16.5" customHeight="1">
      <c r="B284" s="12"/>
      <c r="C284" s="71" t="s">
        <v>1005</v>
      </c>
      <c r="D284" s="71" t="s">
        <v>214</v>
      </c>
      <c r="E284" s="72" t="s">
        <v>4806</v>
      </c>
      <c r="F284" s="73" t="s">
        <v>4807</v>
      </c>
      <c r="G284" s="74" t="s">
        <v>444</v>
      </c>
      <c r="H284" s="75">
        <v>2</v>
      </c>
      <c r="I284" s="90">
        <v>60</v>
      </c>
      <c r="J284" s="91">
        <f>ROUND(I284*H284,2)</f>
        <v>120</v>
      </c>
      <c r="K284" s="92"/>
      <c r="L284" s="12"/>
      <c r="M284" s="93" t="s">
        <v>1</v>
      </c>
      <c r="N284" s="94" t="s">
        <v>42</v>
      </c>
      <c r="P284" s="95">
        <f>O284*H284</f>
        <v>0</v>
      </c>
      <c r="Q284" s="95">
        <v>0</v>
      </c>
      <c r="R284" s="95">
        <f>Q284*H284</f>
        <v>0</v>
      </c>
      <c r="S284" s="95">
        <v>0</v>
      </c>
      <c r="T284" s="99">
        <f>S284*H284</f>
        <v>0</v>
      </c>
      <c r="AR284" s="101" t="s">
        <v>218</v>
      </c>
      <c r="AT284" s="101" t="s">
        <v>214</v>
      </c>
      <c r="AU284" s="101" t="s">
        <v>87</v>
      </c>
      <c r="AY284" s="23" t="s">
        <v>211</v>
      </c>
      <c r="BE284" s="104">
        <f>IF(N284="základní",J284,0)</f>
        <v>120</v>
      </c>
      <c r="BF284" s="104">
        <f>IF(N284="snížená",J284,0)</f>
        <v>0</v>
      </c>
      <c r="BG284" s="104">
        <f>IF(N284="zákl. přenesená",J284,0)</f>
        <v>0</v>
      </c>
      <c r="BH284" s="104">
        <f>IF(N284="sníž. přenesená",J284,0)</f>
        <v>0</v>
      </c>
      <c r="BI284" s="104">
        <f>IF(N284="nulová",J284,0)</f>
        <v>0</v>
      </c>
      <c r="BJ284" s="23" t="s">
        <v>85</v>
      </c>
      <c r="BK284" s="104">
        <f>ROUND(I284*H284,2)</f>
        <v>120</v>
      </c>
      <c r="BL284" s="23" t="s">
        <v>218</v>
      </c>
      <c r="BM284" s="101" t="s">
        <v>1532</v>
      </c>
    </row>
    <row r="285" spans="2:65" s="1" customFormat="1" ht="24.15" customHeight="1">
      <c r="B285" s="12"/>
      <c r="C285" s="71" t="s">
        <v>1028</v>
      </c>
      <c r="D285" s="71" t="s">
        <v>214</v>
      </c>
      <c r="E285" s="72" t="s">
        <v>4808</v>
      </c>
      <c r="F285" s="73" t="s">
        <v>4809</v>
      </c>
      <c r="G285" s="74" t="s">
        <v>234</v>
      </c>
      <c r="H285" s="75">
        <v>1</v>
      </c>
      <c r="I285" s="90">
        <v>1000</v>
      </c>
      <c r="J285" s="91">
        <f>ROUND(I285*H285,2)</f>
        <v>1000</v>
      </c>
      <c r="K285" s="92"/>
      <c r="L285" s="12"/>
      <c r="M285" s="93" t="s">
        <v>1</v>
      </c>
      <c r="N285" s="94" t="s">
        <v>42</v>
      </c>
      <c r="P285" s="95">
        <f>O285*H285</f>
        <v>0</v>
      </c>
      <c r="Q285" s="95">
        <v>0</v>
      </c>
      <c r="R285" s="95">
        <f>Q285*H285</f>
        <v>0</v>
      </c>
      <c r="S285" s="95">
        <v>0</v>
      </c>
      <c r="T285" s="99">
        <f>S285*H285</f>
        <v>0</v>
      </c>
      <c r="AR285" s="101" t="s">
        <v>218</v>
      </c>
      <c r="AT285" s="101" t="s">
        <v>214</v>
      </c>
      <c r="AU285" s="101" t="s">
        <v>87</v>
      </c>
      <c r="AY285" s="23" t="s">
        <v>211</v>
      </c>
      <c r="BE285" s="104">
        <f>IF(N285="základní",J285,0)</f>
        <v>1000</v>
      </c>
      <c r="BF285" s="104">
        <f>IF(N285="snížená",J285,0)</f>
        <v>0</v>
      </c>
      <c r="BG285" s="104">
        <f>IF(N285="zákl. přenesená",J285,0)</f>
        <v>0</v>
      </c>
      <c r="BH285" s="104">
        <f>IF(N285="sníž. přenesená",J285,0)</f>
        <v>0</v>
      </c>
      <c r="BI285" s="104">
        <f>IF(N285="nulová",J285,0)</f>
        <v>0</v>
      </c>
      <c r="BJ285" s="23" t="s">
        <v>85</v>
      </c>
      <c r="BK285" s="104">
        <f>ROUND(I285*H285,2)</f>
        <v>1000</v>
      </c>
      <c r="BL285" s="23" t="s">
        <v>218</v>
      </c>
      <c r="BM285" s="101" t="s">
        <v>1540</v>
      </c>
    </row>
    <row r="286" spans="2:65" s="31" customFormat="1" ht="23.1" customHeight="1">
      <c r="B286" s="67"/>
      <c r="D286" s="68" t="s">
        <v>76</v>
      </c>
      <c r="E286" s="70" t="s">
        <v>4431</v>
      </c>
      <c r="F286" s="70" t="s">
        <v>4810</v>
      </c>
      <c r="I286" s="85"/>
      <c r="J286" s="89">
        <f>BK286</f>
        <v>133500</v>
      </c>
      <c r="L286" s="67"/>
      <c r="M286" s="87"/>
      <c r="P286" s="88">
        <f>SUM(P287:P294)</f>
        <v>0</v>
      </c>
      <c r="R286" s="88">
        <f>SUM(R287:R294)</f>
        <v>0</v>
      </c>
      <c r="T286" s="98">
        <f>SUM(T287:T294)</f>
        <v>0</v>
      </c>
      <c r="AR286" s="68" t="s">
        <v>85</v>
      </c>
      <c r="AT286" s="100" t="s">
        <v>76</v>
      </c>
      <c r="AU286" s="100" t="s">
        <v>85</v>
      </c>
      <c r="AY286" s="68" t="s">
        <v>211</v>
      </c>
      <c r="BK286" s="103">
        <f>SUM(BK287:BK294)</f>
        <v>133500</v>
      </c>
    </row>
    <row r="287" spans="2:65" s="1" customFormat="1" ht="16.5" customHeight="1">
      <c r="B287" s="12"/>
      <c r="C287" s="71" t="s">
        <v>1036</v>
      </c>
      <c r="D287" s="71" t="s">
        <v>214</v>
      </c>
      <c r="E287" s="72" t="s">
        <v>4811</v>
      </c>
      <c r="F287" s="73" t="s">
        <v>4812</v>
      </c>
      <c r="G287" s="74" t="s">
        <v>444</v>
      </c>
      <c r="H287" s="75">
        <v>1446</v>
      </c>
      <c r="I287" s="90">
        <v>50</v>
      </c>
      <c r="J287" s="91">
        <f t="shared" ref="J287:J294" si="50">ROUND(I287*H287,2)</f>
        <v>72300</v>
      </c>
      <c r="K287" s="92"/>
      <c r="L287" s="12"/>
      <c r="M287" s="93" t="s">
        <v>1</v>
      </c>
      <c r="N287" s="94" t="s">
        <v>42</v>
      </c>
      <c r="P287" s="95">
        <f t="shared" ref="P287:P294" si="51">O287*H287</f>
        <v>0</v>
      </c>
      <c r="Q287" s="95">
        <v>0</v>
      </c>
      <c r="R287" s="95">
        <f t="shared" ref="R287:R294" si="52">Q287*H287</f>
        <v>0</v>
      </c>
      <c r="S287" s="95">
        <v>0</v>
      </c>
      <c r="T287" s="99">
        <f t="shared" ref="T287:T294" si="53">S287*H287</f>
        <v>0</v>
      </c>
      <c r="AR287" s="101" t="s">
        <v>218</v>
      </c>
      <c r="AT287" s="101" t="s">
        <v>214</v>
      </c>
      <c r="AU287" s="101" t="s">
        <v>87</v>
      </c>
      <c r="AY287" s="23" t="s">
        <v>211</v>
      </c>
      <c r="BE287" s="104">
        <f t="shared" ref="BE287:BE294" si="54">IF(N287="základní",J287,0)</f>
        <v>72300</v>
      </c>
      <c r="BF287" s="104">
        <f t="shared" ref="BF287:BF294" si="55">IF(N287="snížená",J287,0)</f>
        <v>0</v>
      </c>
      <c r="BG287" s="104">
        <f t="shared" ref="BG287:BG294" si="56">IF(N287="zákl. přenesená",J287,0)</f>
        <v>0</v>
      </c>
      <c r="BH287" s="104">
        <f t="shared" ref="BH287:BH294" si="57">IF(N287="sníž. přenesená",J287,0)</f>
        <v>0</v>
      </c>
      <c r="BI287" s="104">
        <f t="shared" ref="BI287:BI294" si="58">IF(N287="nulová",J287,0)</f>
        <v>0</v>
      </c>
      <c r="BJ287" s="23" t="s">
        <v>85</v>
      </c>
      <c r="BK287" s="104">
        <f t="shared" ref="BK287:BK294" si="59">ROUND(I287*H287,2)</f>
        <v>72300</v>
      </c>
      <c r="BL287" s="23" t="s">
        <v>218</v>
      </c>
      <c r="BM287" s="101" t="s">
        <v>1548</v>
      </c>
    </row>
    <row r="288" spans="2:65" s="1" customFormat="1" ht="16.5" customHeight="1">
      <c r="B288" s="12"/>
      <c r="C288" s="71" t="s">
        <v>92</v>
      </c>
      <c r="D288" s="71" t="s">
        <v>214</v>
      </c>
      <c r="E288" s="72" t="s">
        <v>4813</v>
      </c>
      <c r="F288" s="73" t="s">
        <v>4814</v>
      </c>
      <c r="G288" s="74" t="s">
        <v>444</v>
      </c>
      <c r="H288" s="75">
        <v>61</v>
      </c>
      <c r="I288" s="90">
        <v>50</v>
      </c>
      <c r="J288" s="91">
        <f t="shared" si="50"/>
        <v>3050</v>
      </c>
      <c r="K288" s="92"/>
      <c r="L288" s="12"/>
      <c r="M288" s="93" t="s">
        <v>1</v>
      </c>
      <c r="N288" s="94" t="s">
        <v>42</v>
      </c>
      <c r="P288" s="95">
        <f t="shared" si="51"/>
        <v>0</v>
      </c>
      <c r="Q288" s="95">
        <v>0</v>
      </c>
      <c r="R288" s="95">
        <f t="shared" si="52"/>
        <v>0</v>
      </c>
      <c r="S288" s="95">
        <v>0</v>
      </c>
      <c r="T288" s="99">
        <f t="shared" si="53"/>
        <v>0</v>
      </c>
      <c r="AR288" s="101" t="s">
        <v>218</v>
      </c>
      <c r="AT288" s="101" t="s">
        <v>214</v>
      </c>
      <c r="AU288" s="101" t="s">
        <v>87</v>
      </c>
      <c r="AY288" s="23" t="s">
        <v>211</v>
      </c>
      <c r="BE288" s="104">
        <f t="shared" si="54"/>
        <v>3050</v>
      </c>
      <c r="BF288" s="104">
        <f t="shared" si="55"/>
        <v>0</v>
      </c>
      <c r="BG288" s="104">
        <f t="shared" si="56"/>
        <v>0</v>
      </c>
      <c r="BH288" s="104">
        <f t="shared" si="57"/>
        <v>0</v>
      </c>
      <c r="BI288" s="104">
        <f t="shared" si="58"/>
        <v>0</v>
      </c>
      <c r="BJ288" s="23" t="s">
        <v>85</v>
      </c>
      <c r="BK288" s="104">
        <f t="shared" si="59"/>
        <v>3050</v>
      </c>
      <c r="BL288" s="23" t="s">
        <v>218</v>
      </c>
      <c r="BM288" s="101" t="s">
        <v>1556</v>
      </c>
    </row>
    <row r="289" spans="2:65" s="1" customFormat="1" ht="16.5" customHeight="1">
      <c r="B289" s="12"/>
      <c r="C289" s="71" t="s">
        <v>1044</v>
      </c>
      <c r="D289" s="71" t="s">
        <v>214</v>
      </c>
      <c r="E289" s="72" t="s">
        <v>4815</v>
      </c>
      <c r="F289" s="73" t="s">
        <v>4816</v>
      </c>
      <c r="G289" s="74" t="s">
        <v>444</v>
      </c>
      <c r="H289" s="75">
        <v>24</v>
      </c>
      <c r="I289" s="90">
        <v>50</v>
      </c>
      <c r="J289" s="91">
        <f t="shared" si="50"/>
        <v>1200</v>
      </c>
      <c r="K289" s="92"/>
      <c r="L289" s="12"/>
      <c r="M289" s="93" t="s">
        <v>1</v>
      </c>
      <c r="N289" s="94" t="s">
        <v>42</v>
      </c>
      <c r="P289" s="95">
        <f t="shared" si="51"/>
        <v>0</v>
      </c>
      <c r="Q289" s="95">
        <v>0</v>
      </c>
      <c r="R289" s="95">
        <f t="shared" si="52"/>
        <v>0</v>
      </c>
      <c r="S289" s="95">
        <v>0</v>
      </c>
      <c r="T289" s="99">
        <f t="shared" si="53"/>
        <v>0</v>
      </c>
      <c r="AR289" s="101" t="s">
        <v>218</v>
      </c>
      <c r="AT289" s="101" t="s">
        <v>214</v>
      </c>
      <c r="AU289" s="101" t="s">
        <v>87</v>
      </c>
      <c r="AY289" s="23" t="s">
        <v>211</v>
      </c>
      <c r="BE289" s="104">
        <f t="shared" si="54"/>
        <v>1200</v>
      </c>
      <c r="BF289" s="104">
        <f t="shared" si="55"/>
        <v>0</v>
      </c>
      <c r="BG289" s="104">
        <f t="shared" si="56"/>
        <v>0</v>
      </c>
      <c r="BH289" s="104">
        <f t="shared" si="57"/>
        <v>0</v>
      </c>
      <c r="BI289" s="104">
        <f t="shared" si="58"/>
        <v>0</v>
      </c>
      <c r="BJ289" s="23" t="s">
        <v>85</v>
      </c>
      <c r="BK289" s="104">
        <f t="shared" si="59"/>
        <v>1200</v>
      </c>
      <c r="BL289" s="23" t="s">
        <v>218</v>
      </c>
      <c r="BM289" s="101" t="s">
        <v>1564</v>
      </c>
    </row>
    <row r="290" spans="2:65" s="1" customFormat="1" ht="21.75" customHeight="1">
      <c r="B290" s="12"/>
      <c r="C290" s="71" t="s">
        <v>1049</v>
      </c>
      <c r="D290" s="71" t="s">
        <v>214</v>
      </c>
      <c r="E290" s="72" t="s">
        <v>4817</v>
      </c>
      <c r="F290" s="73" t="s">
        <v>4818</v>
      </c>
      <c r="G290" s="74" t="s">
        <v>444</v>
      </c>
      <c r="H290" s="75">
        <v>461</v>
      </c>
      <c r="I290" s="90">
        <v>70</v>
      </c>
      <c r="J290" s="91">
        <f t="shared" si="50"/>
        <v>32270</v>
      </c>
      <c r="K290" s="92"/>
      <c r="L290" s="12"/>
      <c r="M290" s="93" t="s">
        <v>1</v>
      </c>
      <c r="N290" s="94" t="s">
        <v>42</v>
      </c>
      <c r="P290" s="95">
        <f t="shared" si="51"/>
        <v>0</v>
      </c>
      <c r="Q290" s="95">
        <v>0</v>
      </c>
      <c r="R290" s="95">
        <f t="shared" si="52"/>
        <v>0</v>
      </c>
      <c r="S290" s="95">
        <v>0</v>
      </c>
      <c r="T290" s="99">
        <f t="shared" si="53"/>
        <v>0</v>
      </c>
      <c r="AR290" s="101" t="s">
        <v>218</v>
      </c>
      <c r="AT290" s="101" t="s">
        <v>214</v>
      </c>
      <c r="AU290" s="101" t="s">
        <v>87</v>
      </c>
      <c r="AY290" s="23" t="s">
        <v>211</v>
      </c>
      <c r="BE290" s="104">
        <f t="shared" si="54"/>
        <v>32270</v>
      </c>
      <c r="BF290" s="104">
        <f t="shared" si="55"/>
        <v>0</v>
      </c>
      <c r="BG290" s="104">
        <f t="shared" si="56"/>
        <v>0</v>
      </c>
      <c r="BH290" s="104">
        <f t="shared" si="57"/>
        <v>0</v>
      </c>
      <c r="BI290" s="104">
        <f t="shared" si="58"/>
        <v>0</v>
      </c>
      <c r="BJ290" s="23" t="s">
        <v>85</v>
      </c>
      <c r="BK290" s="104">
        <f t="shared" si="59"/>
        <v>32270</v>
      </c>
      <c r="BL290" s="23" t="s">
        <v>218</v>
      </c>
      <c r="BM290" s="101" t="s">
        <v>1572</v>
      </c>
    </row>
    <row r="291" spans="2:65" s="1" customFormat="1" ht="21.75" customHeight="1">
      <c r="B291" s="12"/>
      <c r="C291" s="71" t="s">
        <v>1053</v>
      </c>
      <c r="D291" s="71" t="s">
        <v>214</v>
      </c>
      <c r="E291" s="72" t="s">
        <v>4819</v>
      </c>
      <c r="F291" s="73" t="s">
        <v>4820</v>
      </c>
      <c r="G291" s="74" t="s">
        <v>444</v>
      </c>
      <c r="H291" s="75">
        <v>165</v>
      </c>
      <c r="I291" s="90">
        <v>80</v>
      </c>
      <c r="J291" s="91">
        <f t="shared" si="50"/>
        <v>13200</v>
      </c>
      <c r="K291" s="92"/>
      <c r="L291" s="12"/>
      <c r="M291" s="93" t="s">
        <v>1</v>
      </c>
      <c r="N291" s="94" t="s">
        <v>42</v>
      </c>
      <c r="P291" s="95">
        <f t="shared" si="51"/>
        <v>0</v>
      </c>
      <c r="Q291" s="95">
        <v>0</v>
      </c>
      <c r="R291" s="95">
        <f t="shared" si="52"/>
        <v>0</v>
      </c>
      <c r="S291" s="95">
        <v>0</v>
      </c>
      <c r="T291" s="99">
        <f t="shared" si="53"/>
        <v>0</v>
      </c>
      <c r="AR291" s="101" t="s">
        <v>218</v>
      </c>
      <c r="AT291" s="101" t="s">
        <v>214</v>
      </c>
      <c r="AU291" s="101" t="s">
        <v>87</v>
      </c>
      <c r="AY291" s="23" t="s">
        <v>211</v>
      </c>
      <c r="BE291" s="104">
        <f t="shared" si="54"/>
        <v>13200</v>
      </c>
      <c r="BF291" s="104">
        <f t="shared" si="55"/>
        <v>0</v>
      </c>
      <c r="BG291" s="104">
        <f t="shared" si="56"/>
        <v>0</v>
      </c>
      <c r="BH291" s="104">
        <f t="shared" si="57"/>
        <v>0</v>
      </c>
      <c r="BI291" s="104">
        <f t="shared" si="58"/>
        <v>0</v>
      </c>
      <c r="BJ291" s="23" t="s">
        <v>85</v>
      </c>
      <c r="BK291" s="104">
        <f t="shared" si="59"/>
        <v>13200</v>
      </c>
      <c r="BL291" s="23" t="s">
        <v>218</v>
      </c>
      <c r="BM291" s="101" t="s">
        <v>1580</v>
      </c>
    </row>
    <row r="292" spans="2:65" s="1" customFormat="1" ht="21.75" customHeight="1">
      <c r="B292" s="12"/>
      <c r="C292" s="71" t="s">
        <v>1058</v>
      </c>
      <c r="D292" s="71" t="s">
        <v>214</v>
      </c>
      <c r="E292" s="72" t="s">
        <v>4821</v>
      </c>
      <c r="F292" s="73" t="s">
        <v>4822</v>
      </c>
      <c r="G292" s="74" t="s">
        <v>444</v>
      </c>
      <c r="H292" s="75">
        <v>20</v>
      </c>
      <c r="I292" s="90">
        <v>90</v>
      </c>
      <c r="J292" s="91">
        <f t="shared" si="50"/>
        <v>1800</v>
      </c>
      <c r="K292" s="92"/>
      <c r="L292" s="12"/>
      <c r="M292" s="93" t="s">
        <v>1</v>
      </c>
      <c r="N292" s="94" t="s">
        <v>42</v>
      </c>
      <c r="P292" s="95">
        <f t="shared" si="51"/>
        <v>0</v>
      </c>
      <c r="Q292" s="95">
        <v>0</v>
      </c>
      <c r="R292" s="95">
        <f t="shared" si="52"/>
        <v>0</v>
      </c>
      <c r="S292" s="95">
        <v>0</v>
      </c>
      <c r="T292" s="99">
        <f t="shared" si="53"/>
        <v>0</v>
      </c>
      <c r="AR292" s="101" t="s">
        <v>218</v>
      </c>
      <c r="AT292" s="101" t="s">
        <v>214</v>
      </c>
      <c r="AU292" s="101" t="s">
        <v>87</v>
      </c>
      <c r="AY292" s="23" t="s">
        <v>211</v>
      </c>
      <c r="BE292" s="104">
        <f t="shared" si="54"/>
        <v>1800</v>
      </c>
      <c r="BF292" s="104">
        <f t="shared" si="55"/>
        <v>0</v>
      </c>
      <c r="BG292" s="104">
        <f t="shared" si="56"/>
        <v>0</v>
      </c>
      <c r="BH292" s="104">
        <f t="shared" si="57"/>
        <v>0</v>
      </c>
      <c r="BI292" s="104">
        <f t="shared" si="58"/>
        <v>0</v>
      </c>
      <c r="BJ292" s="23" t="s">
        <v>85</v>
      </c>
      <c r="BK292" s="104">
        <f t="shared" si="59"/>
        <v>1800</v>
      </c>
      <c r="BL292" s="23" t="s">
        <v>218</v>
      </c>
      <c r="BM292" s="101" t="s">
        <v>1588</v>
      </c>
    </row>
    <row r="293" spans="2:65" s="1" customFormat="1" ht="16.5" customHeight="1">
      <c r="B293" s="12"/>
      <c r="C293" s="71" t="s">
        <v>1062</v>
      </c>
      <c r="D293" s="71" t="s">
        <v>214</v>
      </c>
      <c r="E293" s="72" t="s">
        <v>4823</v>
      </c>
      <c r="F293" s="73" t="s">
        <v>4824</v>
      </c>
      <c r="G293" s="74" t="s">
        <v>444</v>
      </c>
      <c r="H293" s="75">
        <v>92</v>
      </c>
      <c r="I293" s="90">
        <v>90</v>
      </c>
      <c r="J293" s="91">
        <f t="shared" si="50"/>
        <v>8280</v>
      </c>
      <c r="K293" s="92"/>
      <c r="L293" s="12"/>
      <c r="M293" s="93" t="s">
        <v>1</v>
      </c>
      <c r="N293" s="94" t="s">
        <v>42</v>
      </c>
      <c r="P293" s="95">
        <f t="shared" si="51"/>
        <v>0</v>
      </c>
      <c r="Q293" s="95">
        <v>0</v>
      </c>
      <c r="R293" s="95">
        <f t="shared" si="52"/>
        <v>0</v>
      </c>
      <c r="S293" s="95">
        <v>0</v>
      </c>
      <c r="T293" s="99">
        <f t="shared" si="53"/>
        <v>0</v>
      </c>
      <c r="AR293" s="101" t="s">
        <v>218</v>
      </c>
      <c r="AT293" s="101" t="s">
        <v>214</v>
      </c>
      <c r="AU293" s="101" t="s">
        <v>87</v>
      </c>
      <c r="AY293" s="23" t="s">
        <v>211</v>
      </c>
      <c r="BE293" s="104">
        <f t="shared" si="54"/>
        <v>8280</v>
      </c>
      <c r="BF293" s="104">
        <f t="shared" si="55"/>
        <v>0</v>
      </c>
      <c r="BG293" s="104">
        <f t="shared" si="56"/>
        <v>0</v>
      </c>
      <c r="BH293" s="104">
        <f t="shared" si="57"/>
        <v>0</v>
      </c>
      <c r="BI293" s="104">
        <f t="shared" si="58"/>
        <v>0</v>
      </c>
      <c r="BJ293" s="23" t="s">
        <v>85</v>
      </c>
      <c r="BK293" s="104">
        <f t="shared" si="59"/>
        <v>8280</v>
      </c>
      <c r="BL293" s="23" t="s">
        <v>218</v>
      </c>
      <c r="BM293" s="101" t="s">
        <v>1596</v>
      </c>
    </row>
    <row r="294" spans="2:65" s="1" customFormat="1" ht="16.5" customHeight="1">
      <c r="B294" s="12"/>
      <c r="C294" s="71" t="s">
        <v>1067</v>
      </c>
      <c r="D294" s="71" t="s">
        <v>214</v>
      </c>
      <c r="E294" s="72" t="s">
        <v>4825</v>
      </c>
      <c r="F294" s="73" t="s">
        <v>4826</v>
      </c>
      <c r="G294" s="74" t="s">
        <v>444</v>
      </c>
      <c r="H294" s="75">
        <v>14</v>
      </c>
      <c r="I294" s="90">
        <v>100</v>
      </c>
      <c r="J294" s="91">
        <f t="shared" si="50"/>
        <v>1400</v>
      </c>
      <c r="K294" s="92"/>
      <c r="L294" s="12"/>
      <c r="M294" s="93" t="s">
        <v>1</v>
      </c>
      <c r="N294" s="94" t="s">
        <v>42</v>
      </c>
      <c r="P294" s="95">
        <f t="shared" si="51"/>
        <v>0</v>
      </c>
      <c r="Q294" s="95">
        <v>0</v>
      </c>
      <c r="R294" s="95">
        <f t="shared" si="52"/>
        <v>0</v>
      </c>
      <c r="S294" s="95">
        <v>0</v>
      </c>
      <c r="T294" s="99">
        <f t="shared" si="53"/>
        <v>0</v>
      </c>
      <c r="AR294" s="101" t="s">
        <v>218</v>
      </c>
      <c r="AT294" s="101" t="s">
        <v>214</v>
      </c>
      <c r="AU294" s="101" t="s">
        <v>87</v>
      </c>
      <c r="AY294" s="23" t="s">
        <v>211</v>
      </c>
      <c r="BE294" s="104">
        <f t="shared" si="54"/>
        <v>1400</v>
      </c>
      <c r="BF294" s="104">
        <f t="shared" si="55"/>
        <v>0</v>
      </c>
      <c r="BG294" s="104">
        <f t="shared" si="56"/>
        <v>0</v>
      </c>
      <c r="BH294" s="104">
        <f t="shared" si="57"/>
        <v>0</v>
      </c>
      <c r="BI294" s="104">
        <f t="shared" si="58"/>
        <v>0</v>
      </c>
      <c r="BJ294" s="23" t="s">
        <v>85</v>
      </c>
      <c r="BK294" s="104">
        <f t="shared" si="59"/>
        <v>1400</v>
      </c>
      <c r="BL294" s="23" t="s">
        <v>218</v>
      </c>
      <c r="BM294" s="101" t="s">
        <v>1605</v>
      </c>
    </row>
    <row r="295" spans="2:65" s="31" customFormat="1" ht="23.1" customHeight="1">
      <c r="B295" s="67"/>
      <c r="D295" s="68" t="s">
        <v>76</v>
      </c>
      <c r="E295" s="70" t="s">
        <v>4443</v>
      </c>
      <c r="F295" s="70" t="s">
        <v>4827</v>
      </c>
      <c r="I295" s="85"/>
      <c r="J295" s="89">
        <f>BK295</f>
        <v>89600</v>
      </c>
      <c r="L295" s="67"/>
      <c r="M295" s="87"/>
      <c r="P295" s="88">
        <f>SUM(P296:P300)</f>
        <v>0</v>
      </c>
      <c r="R295" s="88">
        <f>SUM(R296:R300)</f>
        <v>0</v>
      </c>
      <c r="T295" s="98">
        <f>SUM(T296:T300)</f>
        <v>0</v>
      </c>
      <c r="AR295" s="68" t="s">
        <v>85</v>
      </c>
      <c r="AT295" s="100" t="s">
        <v>76</v>
      </c>
      <c r="AU295" s="100" t="s">
        <v>85</v>
      </c>
      <c r="AY295" s="68" t="s">
        <v>211</v>
      </c>
      <c r="BK295" s="103">
        <f>SUM(BK296:BK300)</f>
        <v>89600</v>
      </c>
    </row>
    <row r="296" spans="2:65" s="1" customFormat="1" ht="21.75" customHeight="1">
      <c r="B296" s="12"/>
      <c r="C296" s="71" t="s">
        <v>1072</v>
      </c>
      <c r="D296" s="71" t="s">
        <v>214</v>
      </c>
      <c r="E296" s="72" t="s">
        <v>4828</v>
      </c>
      <c r="F296" s="73" t="s">
        <v>4829</v>
      </c>
      <c r="G296" s="74" t="s">
        <v>444</v>
      </c>
      <c r="H296" s="75">
        <v>78</v>
      </c>
      <c r="I296" s="90">
        <v>200</v>
      </c>
      <c r="J296" s="91">
        <f>ROUND(I296*H296,2)</f>
        <v>15600</v>
      </c>
      <c r="K296" s="92"/>
      <c r="L296" s="12"/>
      <c r="M296" s="93" t="s">
        <v>1</v>
      </c>
      <c r="N296" s="94" t="s">
        <v>42</v>
      </c>
      <c r="P296" s="95">
        <f>O296*H296</f>
        <v>0</v>
      </c>
      <c r="Q296" s="95">
        <v>0</v>
      </c>
      <c r="R296" s="95">
        <f>Q296*H296</f>
        <v>0</v>
      </c>
      <c r="S296" s="95">
        <v>0</v>
      </c>
      <c r="T296" s="99">
        <f>S296*H296</f>
        <v>0</v>
      </c>
      <c r="AR296" s="101" t="s">
        <v>218</v>
      </c>
      <c r="AT296" s="101" t="s">
        <v>214</v>
      </c>
      <c r="AU296" s="101" t="s">
        <v>87</v>
      </c>
      <c r="AY296" s="23" t="s">
        <v>211</v>
      </c>
      <c r="BE296" s="104">
        <f>IF(N296="základní",J296,0)</f>
        <v>15600</v>
      </c>
      <c r="BF296" s="104">
        <f>IF(N296="snížená",J296,0)</f>
        <v>0</v>
      </c>
      <c r="BG296" s="104">
        <f>IF(N296="zákl. přenesená",J296,0)</f>
        <v>0</v>
      </c>
      <c r="BH296" s="104">
        <f>IF(N296="sníž. přenesená",J296,0)</f>
        <v>0</v>
      </c>
      <c r="BI296" s="104">
        <f>IF(N296="nulová",J296,0)</f>
        <v>0</v>
      </c>
      <c r="BJ296" s="23" t="s">
        <v>85</v>
      </c>
      <c r="BK296" s="104">
        <f>ROUND(I296*H296,2)</f>
        <v>15600</v>
      </c>
      <c r="BL296" s="23" t="s">
        <v>218</v>
      </c>
      <c r="BM296" s="101" t="s">
        <v>1624</v>
      </c>
    </row>
    <row r="297" spans="2:65" s="1" customFormat="1" ht="21.75" customHeight="1">
      <c r="B297" s="12"/>
      <c r="C297" s="71" t="s">
        <v>1083</v>
      </c>
      <c r="D297" s="71" t="s">
        <v>214</v>
      </c>
      <c r="E297" s="72" t="s">
        <v>4830</v>
      </c>
      <c r="F297" s="73" t="s">
        <v>4831</v>
      </c>
      <c r="G297" s="74" t="s">
        <v>444</v>
      </c>
      <c r="H297" s="75">
        <v>5</v>
      </c>
      <c r="I297" s="90">
        <v>200</v>
      </c>
      <c r="J297" s="91">
        <f>ROUND(I297*H297,2)</f>
        <v>1000</v>
      </c>
      <c r="K297" s="92"/>
      <c r="L297" s="12"/>
      <c r="M297" s="93" t="s">
        <v>1</v>
      </c>
      <c r="N297" s="94" t="s">
        <v>42</v>
      </c>
      <c r="P297" s="95">
        <f>O297*H297</f>
        <v>0</v>
      </c>
      <c r="Q297" s="95">
        <v>0</v>
      </c>
      <c r="R297" s="95">
        <f>Q297*H297</f>
        <v>0</v>
      </c>
      <c r="S297" s="95">
        <v>0</v>
      </c>
      <c r="T297" s="99">
        <f>S297*H297</f>
        <v>0</v>
      </c>
      <c r="AR297" s="101" t="s">
        <v>218</v>
      </c>
      <c r="AT297" s="101" t="s">
        <v>214</v>
      </c>
      <c r="AU297" s="101" t="s">
        <v>87</v>
      </c>
      <c r="AY297" s="23" t="s">
        <v>211</v>
      </c>
      <c r="BE297" s="104">
        <f>IF(N297="základní",J297,0)</f>
        <v>1000</v>
      </c>
      <c r="BF297" s="104">
        <f>IF(N297="snížená",J297,0)</f>
        <v>0</v>
      </c>
      <c r="BG297" s="104">
        <f>IF(N297="zákl. přenesená",J297,0)</f>
        <v>0</v>
      </c>
      <c r="BH297" s="104">
        <f>IF(N297="sníž. přenesená",J297,0)</f>
        <v>0</v>
      </c>
      <c r="BI297" s="104">
        <f>IF(N297="nulová",J297,0)</f>
        <v>0</v>
      </c>
      <c r="BJ297" s="23" t="s">
        <v>85</v>
      </c>
      <c r="BK297" s="104">
        <f>ROUND(I297*H297,2)</f>
        <v>1000</v>
      </c>
      <c r="BL297" s="23" t="s">
        <v>218</v>
      </c>
      <c r="BM297" s="101" t="s">
        <v>1650</v>
      </c>
    </row>
    <row r="298" spans="2:65" s="1" customFormat="1" ht="21.75" customHeight="1">
      <c r="B298" s="12"/>
      <c r="C298" s="71" t="s">
        <v>1087</v>
      </c>
      <c r="D298" s="71" t="s">
        <v>214</v>
      </c>
      <c r="E298" s="72" t="s">
        <v>4832</v>
      </c>
      <c r="F298" s="73" t="s">
        <v>4833</v>
      </c>
      <c r="G298" s="74" t="s">
        <v>444</v>
      </c>
      <c r="H298" s="75">
        <v>254</v>
      </c>
      <c r="I298" s="90">
        <v>200</v>
      </c>
      <c r="J298" s="91">
        <f>ROUND(I298*H298,2)</f>
        <v>50800</v>
      </c>
      <c r="K298" s="92"/>
      <c r="L298" s="12"/>
      <c r="M298" s="93" t="s">
        <v>1</v>
      </c>
      <c r="N298" s="94" t="s">
        <v>42</v>
      </c>
      <c r="P298" s="95">
        <f>O298*H298</f>
        <v>0</v>
      </c>
      <c r="Q298" s="95">
        <v>0</v>
      </c>
      <c r="R298" s="95">
        <f>Q298*H298</f>
        <v>0</v>
      </c>
      <c r="S298" s="95">
        <v>0</v>
      </c>
      <c r="T298" s="99">
        <f>S298*H298</f>
        <v>0</v>
      </c>
      <c r="AR298" s="101" t="s">
        <v>218</v>
      </c>
      <c r="AT298" s="101" t="s">
        <v>214</v>
      </c>
      <c r="AU298" s="101" t="s">
        <v>87</v>
      </c>
      <c r="AY298" s="23" t="s">
        <v>211</v>
      </c>
      <c r="BE298" s="104">
        <f>IF(N298="základní",J298,0)</f>
        <v>50800</v>
      </c>
      <c r="BF298" s="104">
        <f>IF(N298="snížená",J298,0)</f>
        <v>0</v>
      </c>
      <c r="BG298" s="104">
        <f>IF(N298="zákl. přenesená",J298,0)</f>
        <v>0</v>
      </c>
      <c r="BH298" s="104">
        <f>IF(N298="sníž. přenesená",J298,0)</f>
        <v>0</v>
      </c>
      <c r="BI298" s="104">
        <f>IF(N298="nulová",J298,0)</f>
        <v>0</v>
      </c>
      <c r="BJ298" s="23" t="s">
        <v>85</v>
      </c>
      <c r="BK298" s="104">
        <f>ROUND(I298*H298,2)</f>
        <v>50800</v>
      </c>
      <c r="BL298" s="23" t="s">
        <v>218</v>
      </c>
      <c r="BM298" s="101" t="s">
        <v>1659</v>
      </c>
    </row>
    <row r="299" spans="2:65" s="1" customFormat="1" ht="21.75" customHeight="1">
      <c r="B299" s="12"/>
      <c r="C299" s="71" t="s">
        <v>1098</v>
      </c>
      <c r="D299" s="71" t="s">
        <v>214</v>
      </c>
      <c r="E299" s="72" t="s">
        <v>4834</v>
      </c>
      <c r="F299" s="73" t="s">
        <v>4835</v>
      </c>
      <c r="G299" s="74" t="s">
        <v>444</v>
      </c>
      <c r="H299" s="75">
        <v>22</v>
      </c>
      <c r="I299" s="90">
        <v>300</v>
      </c>
      <c r="J299" s="91">
        <f>ROUND(I299*H299,2)</f>
        <v>6600</v>
      </c>
      <c r="K299" s="92"/>
      <c r="L299" s="12"/>
      <c r="M299" s="93" t="s">
        <v>1</v>
      </c>
      <c r="N299" s="94" t="s">
        <v>42</v>
      </c>
      <c r="P299" s="95">
        <f>O299*H299</f>
        <v>0</v>
      </c>
      <c r="Q299" s="95">
        <v>0</v>
      </c>
      <c r="R299" s="95">
        <f>Q299*H299</f>
        <v>0</v>
      </c>
      <c r="S299" s="95">
        <v>0</v>
      </c>
      <c r="T299" s="99">
        <f>S299*H299</f>
        <v>0</v>
      </c>
      <c r="AR299" s="101" t="s">
        <v>218</v>
      </c>
      <c r="AT299" s="101" t="s">
        <v>214</v>
      </c>
      <c r="AU299" s="101" t="s">
        <v>87</v>
      </c>
      <c r="AY299" s="23" t="s">
        <v>211</v>
      </c>
      <c r="BE299" s="104">
        <f>IF(N299="základní",J299,0)</f>
        <v>6600</v>
      </c>
      <c r="BF299" s="104">
        <f>IF(N299="snížená",J299,0)</f>
        <v>0</v>
      </c>
      <c r="BG299" s="104">
        <f>IF(N299="zákl. přenesená",J299,0)</f>
        <v>0</v>
      </c>
      <c r="BH299" s="104">
        <f>IF(N299="sníž. přenesená",J299,0)</f>
        <v>0</v>
      </c>
      <c r="BI299" s="104">
        <f>IF(N299="nulová",J299,0)</f>
        <v>0</v>
      </c>
      <c r="BJ299" s="23" t="s">
        <v>85</v>
      </c>
      <c r="BK299" s="104">
        <f>ROUND(I299*H299,2)</f>
        <v>6600</v>
      </c>
      <c r="BL299" s="23" t="s">
        <v>218</v>
      </c>
      <c r="BM299" s="101" t="s">
        <v>1669</v>
      </c>
    </row>
    <row r="300" spans="2:65" s="1" customFormat="1" ht="21.75" customHeight="1">
      <c r="B300" s="12"/>
      <c r="C300" s="71" t="s">
        <v>1102</v>
      </c>
      <c r="D300" s="71" t="s">
        <v>214</v>
      </c>
      <c r="E300" s="72" t="s">
        <v>4836</v>
      </c>
      <c r="F300" s="73" t="s">
        <v>4837</v>
      </c>
      <c r="G300" s="74" t="s">
        <v>444</v>
      </c>
      <c r="H300" s="75">
        <v>52</v>
      </c>
      <c r="I300" s="90">
        <v>300</v>
      </c>
      <c r="J300" s="91">
        <f>ROUND(I300*H300,2)</f>
        <v>15600</v>
      </c>
      <c r="K300" s="92"/>
      <c r="L300" s="12"/>
      <c r="M300" s="93" t="s">
        <v>1</v>
      </c>
      <c r="N300" s="94" t="s">
        <v>42</v>
      </c>
      <c r="P300" s="95">
        <f>O300*H300</f>
        <v>0</v>
      </c>
      <c r="Q300" s="95">
        <v>0</v>
      </c>
      <c r="R300" s="95">
        <f>Q300*H300</f>
        <v>0</v>
      </c>
      <c r="S300" s="95">
        <v>0</v>
      </c>
      <c r="T300" s="99">
        <f>S300*H300</f>
        <v>0</v>
      </c>
      <c r="AR300" s="101" t="s">
        <v>218</v>
      </c>
      <c r="AT300" s="101" t="s">
        <v>214</v>
      </c>
      <c r="AU300" s="101" t="s">
        <v>87</v>
      </c>
      <c r="AY300" s="23" t="s">
        <v>211</v>
      </c>
      <c r="BE300" s="104">
        <f>IF(N300="základní",J300,0)</f>
        <v>15600</v>
      </c>
      <c r="BF300" s="104">
        <f>IF(N300="snížená",J300,0)</f>
        <v>0</v>
      </c>
      <c r="BG300" s="104">
        <f>IF(N300="zákl. přenesená",J300,0)</f>
        <v>0</v>
      </c>
      <c r="BH300" s="104">
        <f>IF(N300="sníž. přenesená",J300,0)</f>
        <v>0</v>
      </c>
      <c r="BI300" s="104">
        <f>IF(N300="nulová",J300,0)</f>
        <v>0</v>
      </c>
      <c r="BJ300" s="23" t="s">
        <v>85</v>
      </c>
      <c r="BK300" s="104">
        <f>ROUND(I300*H300,2)</f>
        <v>15600</v>
      </c>
      <c r="BL300" s="23" t="s">
        <v>218</v>
      </c>
      <c r="BM300" s="101" t="s">
        <v>1678</v>
      </c>
    </row>
    <row r="301" spans="2:65" s="31" customFormat="1" ht="23.1" customHeight="1">
      <c r="B301" s="67"/>
      <c r="D301" s="68" t="s">
        <v>76</v>
      </c>
      <c r="E301" s="70" t="s">
        <v>4446</v>
      </c>
      <c r="F301" s="70" t="s">
        <v>4838</v>
      </c>
      <c r="I301" s="85"/>
      <c r="J301" s="89">
        <f>BK301</f>
        <v>20000</v>
      </c>
      <c r="L301" s="67"/>
      <c r="M301" s="87"/>
      <c r="P301" s="88">
        <f>SUM(P302:P303)</f>
        <v>0</v>
      </c>
      <c r="R301" s="88">
        <f>SUM(R302:R303)</f>
        <v>0</v>
      </c>
      <c r="T301" s="98">
        <f>SUM(T302:T303)</f>
        <v>0</v>
      </c>
      <c r="AR301" s="68" t="s">
        <v>85</v>
      </c>
      <c r="AT301" s="100" t="s">
        <v>76</v>
      </c>
      <c r="AU301" s="100" t="s">
        <v>85</v>
      </c>
      <c r="AY301" s="68" t="s">
        <v>211</v>
      </c>
      <c r="BK301" s="103">
        <f>SUM(BK302:BK303)</f>
        <v>20000</v>
      </c>
    </row>
    <row r="302" spans="2:65" s="1" customFormat="1" ht="16.5" customHeight="1">
      <c r="B302" s="12"/>
      <c r="C302" s="71" t="s">
        <v>1112</v>
      </c>
      <c r="D302" s="71" t="s">
        <v>214</v>
      </c>
      <c r="E302" s="72" t="s">
        <v>4839</v>
      </c>
      <c r="F302" s="73" t="s">
        <v>4840</v>
      </c>
      <c r="G302" s="74" t="s">
        <v>234</v>
      </c>
      <c r="H302" s="75">
        <v>1</v>
      </c>
      <c r="I302" s="90">
        <v>20000</v>
      </c>
      <c r="J302" s="91">
        <f>ROUND(I302*H302,2)</f>
        <v>20000</v>
      </c>
      <c r="K302" s="92"/>
      <c r="L302" s="12"/>
      <c r="M302" s="93" t="s">
        <v>1</v>
      </c>
      <c r="N302" s="94" t="s">
        <v>42</v>
      </c>
      <c r="P302" s="95">
        <f>O302*H302</f>
        <v>0</v>
      </c>
      <c r="Q302" s="95">
        <v>0</v>
      </c>
      <c r="R302" s="95">
        <f>Q302*H302</f>
        <v>0</v>
      </c>
      <c r="S302" s="95">
        <v>0</v>
      </c>
      <c r="T302" s="99">
        <f>S302*H302</f>
        <v>0</v>
      </c>
      <c r="AR302" s="101" t="s">
        <v>218</v>
      </c>
      <c r="AT302" s="101" t="s">
        <v>214</v>
      </c>
      <c r="AU302" s="101" t="s">
        <v>87</v>
      </c>
      <c r="AY302" s="23" t="s">
        <v>211</v>
      </c>
      <c r="BE302" s="104">
        <f>IF(N302="základní",J302,0)</f>
        <v>20000</v>
      </c>
      <c r="BF302" s="104">
        <f>IF(N302="snížená",J302,0)</f>
        <v>0</v>
      </c>
      <c r="BG302" s="104">
        <f>IF(N302="zákl. přenesená",J302,0)</f>
        <v>0</v>
      </c>
      <c r="BH302" s="104">
        <f>IF(N302="sníž. přenesená",J302,0)</f>
        <v>0</v>
      </c>
      <c r="BI302" s="104">
        <f>IF(N302="nulová",J302,0)</f>
        <v>0</v>
      </c>
      <c r="BJ302" s="23" t="s">
        <v>85</v>
      </c>
      <c r="BK302" s="104">
        <f>ROUND(I302*H302,2)</f>
        <v>20000</v>
      </c>
      <c r="BL302" s="23" t="s">
        <v>218</v>
      </c>
      <c r="BM302" s="101" t="s">
        <v>1686</v>
      </c>
    </row>
    <row r="303" spans="2:65" s="1" customFormat="1" ht="57.6">
      <c r="B303" s="12"/>
      <c r="D303" s="105" t="s">
        <v>227</v>
      </c>
      <c r="F303" s="106" t="s">
        <v>4841</v>
      </c>
      <c r="I303" s="107"/>
      <c r="L303" s="12"/>
      <c r="M303" s="108"/>
      <c r="T303" s="111"/>
      <c r="AT303" s="23" t="s">
        <v>227</v>
      </c>
      <c r="AU303" s="23" t="s">
        <v>87</v>
      </c>
    </row>
    <row r="304" spans="2:65" s="31" customFormat="1" ht="23.1" customHeight="1">
      <c r="B304" s="67"/>
      <c r="D304" s="68" t="s">
        <v>76</v>
      </c>
      <c r="E304" s="70" t="s">
        <v>4448</v>
      </c>
      <c r="F304" s="70" t="s">
        <v>4842</v>
      </c>
      <c r="I304" s="85"/>
      <c r="J304" s="89">
        <f>BK304</f>
        <v>20000</v>
      </c>
      <c r="L304" s="67"/>
      <c r="M304" s="87"/>
      <c r="P304" s="88">
        <f>SUM(P305:P306)</f>
        <v>0</v>
      </c>
      <c r="R304" s="88">
        <f>SUM(R305:R306)</f>
        <v>0</v>
      </c>
      <c r="T304" s="98">
        <f>SUM(T305:T306)</f>
        <v>0</v>
      </c>
      <c r="AR304" s="68" t="s">
        <v>85</v>
      </c>
      <c r="AT304" s="100" t="s">
        <v>76</v>
      </c>
      <c r="AU304" s="100" t="s">
        <v>85</v>
      </c>
      <c r="AY304" s="68" t="s">
        <v>211</v>
      </c>
      <c r="BK304" s="103">
        <f>SUM(BK305:BK306)</f>
        <v>20000</v>
      </c>
    </row>
    <row r="305" spans="2:65" s="1" customFormat="1" ht="16.5" customHeight="1">
      <c r="B305" s="12"/>
      <c r="C305" s="71" t="s">
        <v>1121</v>
      </c>
      <c r="D305" s="71" t="s">
        <v>214</v>
      </c>
      <c r="E305" s="72" t="s">
        <v>4843</v>
      </c>
      <c r="F305" s="73" t="s">
        <v>4844</v>
      </c>
      <c r="G305" s="74" t="s">
        <v>234</v>
      </c>
      <c r="H305" s="75">
        <v>1</v>
      </c>
      <c r="I305" s="90">
        <v>20000</v>
      </c>
      <c r="J305" s="91">
        <f>ROUND(I305*H305,2)</f>
        <v>20000</v>
      </c>
      <c r="K305" s="92"/>
      <c r="L305" s="12"/>
      <c r="M305" s="93" t="s">
        <v>1</v>
      </c>
      <c r="N305" s="94" t="s">
        <v>42</v>
      </c>
      <c r="P305" s="95">
        <f>O305*H305</f>
        <v>0</v>
      </c>
      <c r="Q305" s="95">
        <v>0</v>
      </c>
      <c r="R305" s="95">
        <f>Q305*H305</f>
        <v>0</v>
      </c>
      <c r="S305" s="95">
        <v>0</v>
      </c>
      <c r="T305" s="99">
        <f>S305*H305</f>
        <v>0</v>
      </c>
      <c r="AR305" s="101" t="s">
        <v>218</v>
      </c>
      <c r="AT305" s="101" t="s">
        <v>214</v>
      </c>
      <c r="AU305" s="101" t="s">
        <v>87</v>
      </c>
      <c r="AY305" s="23" t="s">
        <v>211</v>
      </c>
      <c r="BE305" s="104">
        <f>IF(N305="základní",J305,0)</f>
        <v>20000</v>
      </c>
      <c r="BF305" s="104">
        <f>IF(N305="snížená",J305,0)</f>
        <v>0</v>
      </c>
      <c r="BG305" s="104">
        <f>IF(N305="zákl. přenesená",J305,0)</f>
        <v>0</v>
      </c>
      <c r="BH305" s="104">
        <f>IF(N305="sníž. přenesená",J305,0)</f>
        <v>0</v>
      </c>
      <c r="BI305" s="104">
        <f>IF(N305="nulová",J305,0)</f>
        <v>0</v>
      </c>
      <c r="BJ305" s="23" t="s">
        <v>85</v>
      </c>
      <c r="BK305" s="104">
        <f>ROUND(I305*H305,2)</f>
        <v>20000</v>
      </c>
      <c r="BL305" s="23" t="s">
        <v>218</v>
      </c>
      <c r="BM305" s="101" t="s">
        <v>1694</v>
      </c>
    </row>
    <row r="306" spans="2:65" s="1" customFormat="1" ht="48">
      <c r="B306" s="12"/>
      <c r="D306" s="105" t="s">
        <v>227</v>
      </c>
      <c r="F306" s="106" t="s">
        <v>4845</v>
      </c>
      <c r="I306" s="107"/>
      <c r="L306" s="12"/>
      <c r="M306" s="108"/>
      <c r="T306" s="111"/>
      <c r="AT306" s="23" t="s">
        <v>227</v>
      </c>
      <c r="AU306" s="23" t="s">
        <v>87</v>
      </c>
    </row>
    <row r="307" spans="2:65" s="31" customFormat="1" ht="23.1" customHeight="1">
      <c r="B307" s="67"/>
      <c r="D307" s="68" t="s">
        <v>76</v>
      </c>
      <c r="E307" s="70" t="s">
        <v>4450</v>
      </c>
      <c r="F307" s="70" t="s">
        <v>4846</v>
      </c>
      <c r="I307" s="85"/>
      <c r="J307" s="89">
        <f>BK307</f>
        <v>3000</v>
      </c>
      <c r="L307" s="67"/>
      <c r="M307" s="87"/>
      <c r="P307" s="88">
        <f>SUM(P308:P309)</f>
        <v>0</v>
      </c>
      <c r="R307" s="88">
        <f>SUM(R308:R309)</f>
        <v>0</v>
      </c>
      <c r="T307" s="98">
        <f>SUM(T308:T309)</f>
        <v>0</v>
      </c>
      <c r="AR307" s="68" t="s">
        <v>85</v>
      </c>
      <c r="AT307" s="100" t="s">
        <v>76</v>
      </c>
      <c r="AU307" s="100" t="s">
        <v>85</v>
      </c>
      <c r="AY307" s="68" t="s">
        <v>211</v>
      </c>
      <c r="BK307" s="103">
        <f>SUM(BK308:BK309)</f>
        <v>3000</v>
      </c>
    </row>
    <row r="308" spans="2:65" s="1" customFormat="1" ht="16.5" customHeight="1">
      <c r="B308" s="12"/>
      <c r="C308" s="71" t="s">
        <v>1129</v>
      </c>
      <c r="D308" s="71" t="s">
        <v>214</v>
      </c>
      <c r="E308" s="72" t="s">
        <v>4847</v>
      </c>
      <c r="F308" s="73" t="s">
        <v>4848</v>
      </c>
      <c r="G308" s="74" t="s">
        <v>234</v>
      </c>
      <c r="H308" s="75">
        <v>1</v>
      </c>
      <c r="I308" s="90">
        <v>3000</v>
      </c>
      <c r="J308" s="91">
        <f>ROUND(I308*H308,2)</f>
        <v>3000</v>
      </c>
      <c r="K308" s="92"/>
      <c r="L308" s="12"/>
      <c r="M308" s="93" t="s">
        <v>1</v>
      </c>
      <c r="N308" s="94" t="s">
        <v>42</v>
      </c>
      <c r="P308" s="95">
        <f>O308*H308</f>
        <v>0</v>
      </c>
      <c r="Q308" s="95">
        <v>0</v>
      </c>
      <c r="R308" s="95">
        <f>Q308*H308</f>
        <v>0</v>
      </c>
      <c r="S308" s="95">
        <v>0</v>
      </c>
      <c r="T308" s="99">
        <f>S308*H308</f>
        <v>0</v>
      </c>
      <c r="AR308" s="101" t="s">
        <v>218</v>
      </c>
      <c r="AT308" s="101" t="s">
        <v>214</v>
      </c>
      <c r="AU308" s="101" t="s">
        <v>87</v>
      </c>
      <c r="AY308" s="23" t="s">
        <v>211</v>
      </c>
      <c r="BE308" s="104">
        <f>IF(N308="základní",J308,0)</f>
        <v>3000</v>
      </c>
      <c r="BF308" s="104">
        <f>IF(N308="snížená",J308,0)</f>
        <v>0</v>
      </c>
      <c r="BG308" s="104">
        <f>IF(N308="zákl. přenesená",J308,0)</f>
        <v>0</v>
      </c>
      <c r="BH308" s="104">
        <f>IF(N308="sníž. přenesená",J308,0)</f>
        <v>0</v>
      </c>
      <c r="BI308" s="104">
        <f>IF(N308="nulová",J308,0)</f>
        <v>0</v>
      </c>
      <c r="BJ308" s="23" t="s">
        <v>85</v>
      </c>
      <c r="BK308" s="104">
        <f>ROUND(I308*H308,2)</f>
        <v>3000</v>
      </c>
      <c r="BL308" s="23" t="s">
        <v>218</v>
      </c>
      <c r="BM308" s="101" t="s">
        <v>1702</v>
      </c>
    </row>
    <row r="309" spans="2:65" s="1" customFormat="1" ht="19.2">
      <c r="B309" s="12"/>
      <c r="D309" s="105" t="s">
        <v>227</v>
      </c>
      <c r="F309" s="106" t="s">
        <v>4849</v>
      </c>
      <c r="I309" s="107"/>
      <c r="L309" s="12"/>
      <c r="M309" s="109"/>
      <c r="N309" s="110"/>
      <c r="O309" s="110"/>
      <c r="P309" s="110"/>
      <c r="Q309" s="110"/>
      <c r="R309" s="110"/>
      <c r="S309" s="110"/>
      <c r="T309" s="112"/>
      <c r="AT309" s="23" t="s">
        <v>227</v>
      </c>
      <c r="AU309" s="23" t="s">
        <v>87</v>
      </c>
    </row>
    <row r="310" spans="2:65" s="1" customFormat="1" ht="6.9" customHeight="1">
      <c r="B310" s="26"/>
      <c r="C310" s="27"/>
      <c r="D310" s="27"/>
      <c r="E310" s="27"/>
      <c r="F310" s="27"/>
      <c r="G310" s="27"/>
      <c r="H310" s="27"/>
      <c r="I310" s="27"/>
      <c r="J310" s="27"/>
      <c r="K310" s="27"/>
      <c r="L310" s="12"/>
    </row>
  </sheetData>
  <autoFilter ref="C149:K309" xr:uid="{00000000-0009-0000-0000-000008000000}"/>
  <mergeCells count="12">
    <mergeCell ref="L2:V2"/>
    <mergeCell ref="E7:H7"/>
    <mergeCell ref="E9:H9"/>
    <mergeCell ref="E11:H11"/>
    <mergeCell ref="E20:H20"/>
    <mergeCell ref="E140:H140"/>
    <mergeCell ref="E142:H142"/>
    <mergeCell ref="E29:H29"/>
    <mergeCell ref="E85:H85"/>
    <mergeCell ref="E87:H87"/>
    <mergeCell ref="E89:H89"/>
    <mergeCell ref="E138:H138"/>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2:BM147"/>
  <sheetViews>
    <sheetView showGridLines="0" topLeftCell="A11" zoomScale="130" zoomScaleNormal="130" workbookViewId="0">
      <selection activeCell="I147" sqref="I147"/>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116</v>
      </c>
    </row>
    <row r="3" spans="2:46" ht="6.9" customHeight="1">
      <c r="B3" s="3"/>
      <c r="C3" s="4"/>
      <c r="D3" s="4"/>
      <c r="E3" s="4"/>
      <c r="F3" s="4"/>
      <c r="G3" s="4"/>
      <c r="H3" s="4"/>
      <c r="I3" s="4"/>
      <c r="J3" s="4"/>
      <c r="K3" s="4"/>
      <c r="L3" s="5"/>
      <c r="AT3" s="23" t="s">
        <v>85</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2" customHeight="1">
      <c r="B8" s="5"/>
      <c r="D8" s="10" t="s">
        <v>182</v>
      </c>
      <c r="L8" s="5"/>
    </row>
    <row r="9" spans="2:46" s="1" customFormat="1" ht="16.5" customHeight="1">
      <c r="B9" s="12"/>
      <c r="E9" s="392" t="s">
        <v>293</v>
      </c>
      <c r="F9" s="394"/>
      <c r="G9" s="394"/>
      <c r="H9" s="394"/>
      <c r="L9" s="12"/>
    </row>
    <row r="10" spans="2:46" s="1" customFormat="1" ht="12" customHeight="1">
      <c r="B10" s="12"/>
      <c r="D10" s="10" t="s">
        <v>296</v>
      </c>
      <c r="L10" s="12"/>
    </row>
    <row r="11" spans="2:46" s="1" customFormat="1" ht="16.5" customHeight="1">
      <c r="B11" s="12"/>
      <c r="E11" s="381" t="s">
        <v>4850</v>
      </c>
      <c r="F11" s="394"/>
      <c r="G11" s="394"/>
      <c r="H11" s="394"/>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395" t="str">
        <f>'Rekapitulace stavby'!E14</f>
        <v>DMG Stav a.s.</v>
      </c>
      <c r="F20" s="384"/>
      <c r="G20" s="384"/>
      <c r="H20" s="384"/>
      <c r="I20" s="10" t="s">
        <v>26</v>
      </c>
      <c r="J20" s="33" t="str">
        <f>'Rekapitulace stavby'!AN14</f>
        <v>CZ 08004013</v>
      </c>
      <c r="L20" s="12"/>
    </row>
    <row r="21" spans="2:12" s="1" customFormat="1" ht="6.9"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 customHeight="1">
      <c r="B27" s="12"/>
      <c r="L27" s="12"/>
    </row>
    <row r="28" spans="2:12" s="1" customFormat="1" ht="12" customHeight="1">
      <c r="B28" s="12"/>
      <c r="D28" s="10" t="s">
        <v>36</v>
      </c>
      <c r="L28" s="12"/>
    </row>
    <row r="29" spans="2:12" s="28" customFormat="1" ht="16.5" customHeight="1">
      <c r="B29" s="34"/>
      <c r="E29" s="388" t="s">
        <v>1</v>
      </c>
      <c r="F29" s="388"/>
      <c r="G29" s="388"/>
      <c r="H29" s="388"/>
      <c r="L29" s="34"/>
    </row>
    <row r="30" spans="2:12" s="1" customFormat="1" ht="6.9" customHeight="1">
      <c r="B30" s="12"/>
      <c r="L30" s="12"/>
    </row>
    <row r="31" spans="2:12" s="1" customFormat="1" ht="6.9" customHeight="1">
      <c r="B31" s="12"/>
      <c r="D31" s="35"/>
      <c r="E31" s="35"/>
      <c r="F31" s="35"/>
      <c r="G31" s="35"/>
      <c r="H31" s="35"/>
      <c r="I31" s="35"/>
      <c r="J31" s="35"/>
      <c r="K31" s="35"/>
      <c r="L31" s="12"/>
    </row>
    <row r="32" spans="2:12" s="1" customFormat="1" ht="25.35" customHeight="1">
      <c r="B32" s="12"/>
      <c r="D32" s="36" t="s">
        <v>37</v>
      </c>
      <c r="J32" s="51">
        <f>ROUND(J122,2)</f>
        <v>472890</v>
      </c>
      <c r="L32" s="12"/>
    </row>
    <row r="33" spans="2:12" s="1" customFormat="1" ht="6.9" customHeight="1">
      <c r="B33" s="12"/>
      <c r="D33" s="35"/>
      <c r="E33" s="35"/>
      <c r="F33" s="35"/>
      <c r="G33" s="35"/>
      <c r="H33" s="35"/>
      <c r="I33" s="35"/>
      <c r="J33" s="35"/>
      <c r="K33" s="35"/>
      <c r="L33" s="12"/>
    </row>
    <row r="34" spans="2:12" s="1" customFormat="1" ht="14.4" customHeight="1">
      <c r="B34" s="12"/>
      <c r="F34" s="37" t="s">
        <v>39</v>
      </c>
      <c r="I34" s="37" t="s">
        <v>38</v>
      </c>
      <c r="J34" s="37" t="s">
        <v>40</v>
      </c>
      <c r="L34" s="12"/>
    </row>
    <row r="35" spans="2:12" s="1" customFormat="1" ht="14.4" customHeight="1">
      <c r="B35" s="12"/>
      <c r="D35" s="38" t="s">
        <v>41</v>
      </c>
      <c r="E35" s="10" t="s">
        <v>42</v>
      </c>
      <c r="F35" s="39">
        <f>ROUND((SUM(BE122:BE146)),2)</f>
        <v>0</v>
      </c>
      <c r="I35" s="52">
        <v>0.21</v>
      </c>
      <c r="J35" s="39">
        <f>ROUND(((SUM(BE122:BE146))*I35),2)</f>
        <v>0</v>
      </c>
      <c r="L35" s="12"/>
    </row>
    <row r="36" spans="2:12" s="1" customFormat="1" ht="14.4" customHeight="1">
      <c r="B36" s="12"/>
      <c r="E36" s="10" t="s">
        <v>43</v>
      </c>
      <c r="F36" s="39">
        <f>ROUND((SUM(BF122:BF146)),2)</f>
        <v>472890</v>
      </c>
      <c r="I36" s="52">
        <v>0.15</v>
      </c>
      <c r="J36" s="39">
        <f>ROUND(((SUM(BF122:BF146))*I36),2)</f>
        <v>70933.5</v>
      </c>
      <c r="L36" s="12"/>
    </row>
    <row r="37" spans="2:12" s="1" customFormat="1" ht="14.4" hidden="1" customHeight="1">
      <c r="B37" s="12"/>
      <c r="E37" s="10" t="s">
        <v>44</v>
      </c>
      <c r="F37" s="39">
        <f>ROUND((SUM(BG122:BG146)),2)</f>
        <v>0</v>
      </c>
      <c r="I37" s="52">
        <v>0.21</v>
      </c>
      <c r="J37" s="39">
        <f>0</f>
        <v>0</v>
      </c>
      <c r="L37" s="12"/>
    </row>
    <row r="38" spans="2:12" s="1" customFormat="1" ht="14.4" hidden="1" customHeight="1">
      <c r="B38" s="12"/>
      <c r="E38" s="10" t="s">
        <v>45</v>
      </c>
      <c r="F38" s="39">
        <f>ROUND((SUM(BH122:BH146)),2)</f>
        <v>0</v>
      </c>
      <c r="I38" s="52">
        <v>0.15</v>
      </c>
      <c r="J38" s="39">
        <f>0</f>
        <v>0</v>
      </c>
      <c r="L38" s="12"/>
    </row>
    <row r="39" spans="2:12" s="1" customFormat="1" ht="14.4" hidden="1" customHeight="1">
      <c r="B39" s="12"/>
      <c r="E39" s="10" t="s">
        <v>46</v>
      </c>
      <c r="F39" s="39">
        <f>ROUND((SUM(BI122:BI146)),2)</f>
        <v>0</v>
      </c>
      <c r="I39" s="52">
        <v>0</v>
      </c>
      <c r="J39" s="39">
        <f>0</f>
        <v>0</v>
      </c>
      <c r="L39" s="12"/>
    </row>
    <row r="40" spans="2:12" s="1" customFormat="1" ht="6.9" customHeight="1">
      <c r="B40" s="12"/>
      <c r="L40" s="12"/>
    </row>
    <row r="41" spans="2:12" s="1" customFormat="1" ht="25.35" customHeight="1">
      <c r="B41" s="12"/>
      <c r="C41" s="40"/>
      <c r="D41" s="41" t="s">
        <v>47</v>
      </c>
      <c r="E41" s="42"/>
      <c r="F41" s="42"/>
      <c r="G41" s="43" t="s">
        <v>48</v>
      </c>
      <c r="H41" s="44" t="s">
        <v>49</v>
      </c>
      <c r="I41" s="42"/>
      <c r="J41" s="53">
        <f>SUM(J32:J39)</f>
        <v>543823.5</v>
      </c>
      <c r="K41" s="54"/>
      <c r="L41" s="12"/>
    </row>
    <row r="42" spans="2:12" s="1" customFormat="1" ht="14.4" customHeight="1">
      <c r="B42" s="12"/>
      <c r="L42" s="12"/>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s="1" customFormat="1" ht="16.5" customHeight="1">
      <c r="B87" s="12"/>
      <c r="E87" s="392" t="s">
        <v>293</v>
      </c>
      <c r="F87" s="394"/>
      <c r="G87" s="394"/>
      <c r="H87" s="394"/>
      <c r="L87" s="12"/>
    </row>
    <row r="88" spans="2:12" s="1" customFormat="1" ht="12" customHeight="1">
      <c r="B88" s="12"/>
      <c r="C88" s="10" t="s">
        <v>296</v>
      </c>
      <c r="L88" s="12"/>
    </row>
    <row r="89" spans="2:12" s="1" customFormat="1" ht="16.5" customHeight="1">
      <c r="B89" s="12"/>
      <c r="E89" s="381" t="str">
        <f>E11</f>
        <v>D1.610 - Uzemnění a hromosvod</v>
      </c>
      <c r="F89" s="394"/>
      <c r="G89" s="394"/>
      <c r="H89" s="394"/>
      <c r="L89" s="12"/>
    </row>
    <row r="90" spans="2:12" s="1" customFormat="1" ht="6.9" customHeight="1">
      <c r="B90" s="12"/>
      <c r="L90" s="12"/>
    </row>
    <row r="91" spans="2:12" s="1" customFormat="1" ht="12" customHeight="1">
      <c r="B91" s="12"/>
      <c r="C91" s="10" t="s">
        <v>20</v>
      </c>
      <c r="F91" s="32" t="str">
        <f>F14</f>
        <v>Praha</v>
      </c>
      <c r="I91" s="10" t="s">
        <v>22</v>
      </c>
      <c r="J91" s="11">
        <f>IF(J14="","",J14)</f>
        <v>45000</v>
      </c>
      <c r="L91" s="12"/>
    </row>
    <row r="92" spans="2:12" s="1" customFormat="1" ht="6.9" customHeight="1">
      <c r="B92" s="12"/>
      <c r="L92" s="12"/>
    </row>
    <row r="93" spans="2:12" s="1" customFormat="1" ht="15.15" customHeight="1">
      <c r="B93" s="12"/>
      <c r="C93" s="10" t="s">
        <v>23</v>
      </c>
      <c r="F93" s="32" t="str">
        <f>E17</f>
        <v>VELTON REAL ESTATE</v>
      </c>
      <c r="I93" s="10" t="s">
        <v>31</v>
      </c>
      <c r="J93" s="8" t="str">
        <f>E23</f>
        <v>ABMV World s.r.o</v>
      </c>
      <c r="L93" s="12"/>
    </row>
    <row r="94" spans="2:12" s="1" customFormat="1" ht="15.15"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J122</f>
        <v>472890</v>
      </c>
      <c r="L98" s="12"/>
      <c r="AU98" s="23" t="s">
        <v>188</v>
      </c>
    </row>
    <row r="99" spans="2:47" s="29" customFormat="1" ht="24.9" customHeight="1">
      <c r="B99" s="60"/>
      <c r="D99" s="61" t="s">
        <v>332</v>
      </c>
      <c r="E99" s="62"/>
      <c r="F99" s="62"/>
      <c r="G99" s="62"/>
      <c r="H99" s="62"/>
      <c r="I99" s="62"/>
      <c r="J99" s="77">
        <f>J123</f>
        <v>472890</v>
      </c>
      <c r="L99" s="60"/>
    </row>
    <row r="100" spans="2:47" s="30" customFormat="1" ht="20.100000000000001" customHeight="1">
      <c r="B100" s="63"/>
      <c r="D100" s="64" t="s">
        <v>4851</v>
      </c>
      <c r="E100" s="65"/>
      <c r="F100" s="65"/>
      <c r="G100" s="65"/>
      <c r="H100" s="65"/>
      <c r="I100" s="65"/>
      <c r="J100" s="78">
        <f>J124</f>
        <v>472890</v>
      </c>
      <c r="L100" s="63"/>
    </row>
    <row r="101" spans="2:47" s="1" customFormat="1" ht="21.75" customHeight="1">
      <c r="B101" s="12"/>
      <c r="L101" s="12"/>
    </row>
    <row r="102" spans="2:47" s="1" customFormat="1" ht="6.9" customHeight="1">
      <c r="B102" s="26"/>
      <c r="C102" s="27"/>
      <c r="D102" s="27"/>
      <c r="E102" s="27"/>
      <c r="F102" s="27"/>
      <c r="G102" s="27"/>
      <c r="H102" s="27"/>
      <c r="I102" s="27"/>
      <c r="J102" s="27"/>
      <c r="K102" s="27"/>
      <c r="L102" s="12"/>
    </row>
    <row r="106" spans="2:47" s="1" customFormat="1" ht="6.9" customHeight="1">
      <c r="B106" s="56"/>
      <c r="C106" s="57"/>
      <c r="D106" s="57"/>
      <c r="E106" s="57"/>
      <c r="F106" s="57"/>
      <c r="G106" s="57"/>
      <c r="H106" s="57"/>
      <c r="I106" s="57"/>
      <c r="J106" s="57"/>
      <c r="K106" s="57"/>
      <c r="L106" s="12"/>
    </row>
    <row r="107" spans="2:47" s="1" customFormat="1" ht="24.9" customHeight="1">
      <c r="B107" s="12"/>
      <c r="C107" s="6" t="s">
        <v>195</v>
      </c>
      <c r="L107" s="12"/>
    </row>
    <row r="108" spans="2:47" s="1" customFormat="1" ht="6.9" customHeight="1">
      <c r="B108" s="12"/>
      <c r="L108" s="12"/>
    </row>
    <row r="109" spans="2:47" s="1" customFormat="1" ht="12" customHeight="1">
      <c r="B109" s="12"/>
      <c r="C109" s="10" t="s">
        <v>16</v>
      </c>
      <c r="L109" s="12"/>
    </row>
    <row r="110" spans="2:47" s="1" customFormat="1" ht="16.5" customHeight="1">
      <c r="B110" s="12"/>
      <c r="E110" s="392" t="str">
        <f>E7</f>
        <v>Bytový soubor Libuše</v>
      </c>
      <c r="F110" s="393"/>
      <c r="G110" s="393"/>
      <c r="H110" s="393"/>
      <c r="L110" s="12"/>
    </row>
    <row r="111" spans="2:47" ht="12" customHeight="1">
      <c r="B111" s="5"/>
      <c r="C111" s="10" t="s">
        <v>182</v>
      </c>
      <c r="L111" s="5"/>
    </row>
    <row r="112" spans="2:47" s="1" customFormat="1" ht="16.5" customHeight="1">
      <c r="B112" s="12"/>
      <c r="E112" s="392" t="s">
        <v>293</v>
      </c>
      <c r="F112" s="394"/>
      <c r="G112" s="394"/>
      <c r="H112" s="394"/>
      <c r="L112" s="12"/>
    </row>
    <row r="113" spans="2:65" s="1" customFormat="1" ht="12" customHeight="1">
      <c r="B113" s="12"/>
      <c r="C113" s="10" t="s">
        <v>296</v>
      </c>
      <c r="L113" s="12"/>
    </row>
    <row r="114" spans="2:65" s="1" customFormat="1" ht="16.5" customHeight="1">
      <c r="B114" s="12"/>
      <c r="E114" s="381" t="str">
        <f>E11</f>
        <v>D1.610 - Uzemnění a hromosvod</v>
      </c>
      <c r="F114" s="394"/>
      <c r="G114" s="394"/>
      <c r="H114" s="394"/>
      <c r="L114" s="12"/>
    </row>
    <row r="115" spans="2:65" s="1" customFormat="1" ht="6.9" customHeight="1">
      <c r="B115" s="12"/>
      <c r="L115" s="12"/>
    </row>
    <row r="116" spans="2:65" s="1" customFormat="1" ht="12" customHeight="1">
      <c r="B116" s="12"/>
      <c r="C116" s="10" t="s">
        <v>20</v>
      </c>
      <c r="F116" s="32" t="str">
        <f>F14</f>
        <v>Praha</v>
      </c>
      <c r="I116" s="10" t="s">
        <v>22</v>
      </c>
      <c r="J116" s="11">
        <f>IF(J14="","",J14)</f>
        <v>45000</v>
      </c>
      <c r="L116" s="12"/>
    </row>
    <row r="117" spans="2:65" s="1" customFormat="1" ht="6.9" customHeight="1">
      <c r="B117" s="12"/>
      <c r="L117" s="12"/>
    </row>
    <row r="118" spans="2:65" s="1" customFormat="1" ht="15.15" customHeight="1">
      <c r="B118" s="12"/>
      <c r="C118" s="10" t="s">
        <v>23</v>
      </c>
      <c r="F118" s="32" t="str">
        <f>E17</f>
        <v>VELTON REAL ESTATE</v>
      </c>
      <c r="I118" s="10" t="s">
        <v>31</v>
      </c>
      <c r="J118" s="8" t="str">
        <f>E23</f>
        <v>ABMV World s.r.o</v>
      </c>
      <c r="L118" s="12"/>
    </row>
    <row r="119" spans="2:65" s="1" customFormat="1" ht="15.15" customHeight="1">
      <c r="B119" s="12"/>
      <c r="C119" s="10" t="s">
        <v>27</v>
      </c>
      <c r="F119" s="32" t="str">
        <f>IF(E20="","",E20)</f>
        <v>DMG Stav a.s.</v>
      </c>
      <c r="I119" s="10" t="s">
        <v>34</v>
      </c>
      <c r="J119" s="8" t="str">
        <f>E26</f>
        <v>QSB s.r.o.</v>
      </c>
      <c r="L119" s="12"/>
    </row>
    <row r="120" spans="2:65" s="1" customFormat="1" ht="10.35" customHeight="1">
      <c r="B120" s="12"/>
      <c r="L120" s="12"/>
    </row>
    <row r="121" spans="2:65" s="2" customFormat="1" ht="29.25" customHeight="1">
      <c r="B121" s="13"/>
      <c r="C121" s="14" t="s">
        <v>196</v>
      </c>
      <c r="D121" s="15" t="s">
        <v>62</v>
      </c>
      <c r="E121" s="15" t="s">
        <v>58</v>
      </c>
      <c r="F121" s="15" t="s">
        <v>59</v>
      </c>
      <c r="G121" s="15" t="s">
        <v>197</v>
      </c>
      <c r="H121" s="15" t="s">
        <v>198</v>
      </c>
      <c r="I121" s="15" t="s">
        <v>199</v>
      </c>
      <c r="J121" s="16" t="s">
        <v>186</v>
      </c>
      <c r="K121" s="79" t="s">
        <v>200</v>
      </c>
      <c r="L121" s="13"/>
      <c r="M121" s="80" t="s">
        <v>1</v>
      </c>
      <c r="N121" s="81" t="s">
        <v>41</v>
      </c>
      <c r="O121" s="81" t="s">
        <v>201</v>
      </c>
      <c r="P121" s="81" t="s">
        <v>202</v>
      </c>
      <c r="Q121" s="81" t="s">
        <v>203</v>
      </c>
      <c r="R121" s="81" t="s">
        <v>204</v>
      </c>
      <c r="S121" s="81" t="s">
        <v>205</v>
      </c>
      <c r="T121" s="96" t="s">
        <v>206</v>
      </c>
    </row>
    <row r="122" spans="2:65" s="1" customFormat="1" ht="23.1" customHeight="1">
      <c r="B122" s="12"/>
      <c r="C122" s="66" t="s">
        <v>207</v>
      </c>
      <c r="J122" s="82">
        <f>BK122</f>
        <v>472890</v>
      </c>
      <c r="L122" s="12"/>
      <c r="M122" s="83"/>
      <c r="N122" s="35"/>
      <c r="O122" s="35"/>
      <c r="P122" s="84">
        <f>P123</f>
        <v>0</v>
      </c>
      <c r="Q122" s="35"/>
      <c r="R122" s="84">
        <f>R123</f>
        <v>2.60921</v>
      </c>
      <c r="S122" s="35"/>
      <c r="T122" s="97">
        <f>T123</f>
        <v>0</v>
      </c>
      <c r="AT122" s="23" t="s">
        <v>76</v>
      </c>
      <c r="AU122" s="23" t="s">
        <v>188</v>
      </c>
      <c r="BK122" s="102">
        <f>BK123</f>
        <v>472890</v>
      </c>
    </row>
    <row r="123" spans="2:65" s="31" customFormat="1" ht="26.1" customHeight="1">
      <c r="B123" s="67"/>
      <c r="D123" s="68" t="s">
        <v>76</v>
      </c>
      <c r="E123" s="69" t="s">
        <v>1645</v>
      </c>
      <c r="F123" s="69" t="s">
        <v>1646</v>
      </c>
      <c r="I123" s="85"/>
      <c r="J123" s="86">
        <f>BK123</f>
        <v>472890</v>
      </c>
      <c r="L123" s="67"/>
      <c r="M123" s="87"/>
      <c r="P123" s="88">
        <f>P124</f>
        <v>0</v>
      </c>
      <c r="R123" s="88">
        <f>R124</f>
        <v>2.60921</v>
      </c>
      <c r="T123" s="98">
        <f>T124</f>
        <v>0</v>
      </c>
      <c r="AR123" s="68" t="s">
        <v>87</v>
      </c>
      <c r="AT123" s="100" t="s">
        <v>76</v>
      </c>
      <c r="AU123" s="100" t="s">
        <v>77</v>
      </c>
      <c r="AY123" s="68" t="s">
        <v>211</v>
      </c>
      <c r="BK123" s="103">
        <f>BK124</f>
        <v>472890</v>
      </c>
    </row>
    <row r="124" spans="2:65" s="31" customFormat="1" ht="23.1" customHeight="1">
      <c r="B124" s="67"/>
      <c r="D124" s="68" t="s">
        <v>76</v>
      </c>
      <c r="E124" s="70" t="s">
        <v>4852</v>
      </c>
      <c r="F124" s="70" t="s">
        <v>4853</v>
      </c>
      <c r="I124" s="85"/>
      <c r="J124" s="89">
        <f>BK124</f>
        <v>472890</v>
      </c>
      <c r="L124" s="67"/>
      <c r="M124" s="87"/>
      <c r="P124" s="88">
        <f>SUM(P125:P146)</f>
        <v>0</v>
      </c>
      <c r="R124" s="88">
        <f>SUM(R125:R146)</f>
        <v>2.60921</v>
      </c>
      <c r="T124" s="98">
        <f>SUM(T125:T146)</f>
        <v>0</v>
      </c>
      <c r="AR124" s="68" t="s">
        <v>87</v>
      </c>
      <c r="AT124" s="100" t="s">
        <v>76</v>
      </c>
      <c r="AU124" s="100" t="s">
        <v>85</v>
      </c>
      <c r="AY124" s="68" t="s">
        <v>211</v>
      </c>
      <c r="BK124" s="103">
        <f>SUM(BK125:BK146)</f>
        <v>472890</v>
      </c>
    </row>
    <row r="125" spans="2:65" s="1" customFormat="1" ht="24.15" customHeight="1">
      <c r="B125" s="12"/>
      <c r="C125" s="71" t="s">
        <v>85</v>
      </c>
      <c r="D125" s="71" t="s">
        <v>214</v>
      </c>
      <c r="E125" s="72" t="s">
        <v>4854</v>
      </c>
      <c r="F125" s="73" t="s">
        <v>4855</v>
      </c>
      <c r="G125" s="74" t="s">
        <v>444</v>
      </c>
      <c r="H125" s="75">
        <v>700</v>
      </c>
      <c r="I125" s="90">
        <v>45</v>
      </c>
      <c r="J125" s="91">
        <f t="shared" ref="J125:J146" si="0">ROUND(I125*H125,2)</f>
        <v>31500</v>
      </c>
      <c r="K125" s="92"/>
      <c r="L125" s="12"/>
      <c r="M125" s="93" t="s">
        <v>1</v>
      </c>
      <c r="N125" s="94" t="s">
        <v>43</v>
      </c>
      <c r="P125" s="95">
        <f t="shared" ref="P125:P146" si="1">O125*H125</f>
        <v>0</v>
      </c>
      <c r="Q125" s="95">
        <v>0</v>
      </c>
      <c r="R125" s="95">
        <f t="shared" ref="R125:R146" si="2">Q125*H125</f>
        <v>0</v>
      </c>
      <c r="S125" s="95">
        <v>0</v>
      </c>
      <c r="T125" s="99">
        <f t="shared" ref="T125:T146" si="3">S125*H125</f>
        <v>0</v>
      </c>
      <c r="AR125" s="101" t="s">
        <v>446</v>
      </c>
      <c r="AT125" s="101" t="s">
        <v>214</v>
      </c>
      <c r="AU125" s="101" t="s">
        <v>87</v>
      </c>
      <c r="AY125" s="23" t="s">
        <v>211</v>
      </c>
      <c r="BE125" s="104">
        <f t="shared" ref="BE125:BE146" si="4">IF(N125="základní",J125,0)</f>
        <v>0</v>
      </c>
      <c r="BF125" s="104">
        <f t="shared" ref="BF125:BF146" si="5">IF(N125="snížená",J125,0)</f>
        <v>31500</v>
      </c>
      <c r="BG125" s="104">
        <f t="shared" ref="BG125:BG146" si="6">IF(N125="zákl. přenesená",J125,0)</f>
        <v>0</v>
      </c>
      <c r="BH125" s="104">
        <f t="shared" ref="BH125:BH146" si="7">IF(N125="sníž. přenesená",J125,0)</f>
        <v>0</v>
      </c>
      <c r="BI125" s="104">
        <f t="shared" ref="BI125:BI146" si="8">IF(N125="nulová",J125,0)</f>
        <v>0</v>
      </c>
      <c r="BJ125" s="23" t="s">
        <v>87</v>
      </c>
      <c r="BK125" s="104">
        <f t="shared" ref="BK125:BK146" si="9">ROUND(I125*H125,2)</f>
        <v>31500</v>
      </c>
      <c r="BL125" s="23" t="s">
        <v>446</v>
      </c>
      <c r="BM125" s="101" t="s">
        <v>4856</v>
      </c>
    </row>
    <row r="126" spans="2:65" s="1" customFormat="1" ht="16.5" customHeight="1">
      <c r="B126" s="12"/>
      <c r="C126" s="114" t="s">
        <v>87</v>
      </c>
      <c r="D126" s="114" t="s">
        <v>438</v>
      </c>
      <c r="E126" s="115" t="s">
        <v>4857</v>
      </c>
      <c r="F126" s="116" t="s">
        <v>4858</v>
      </c>
      <c r="G126" s="117" t="s">
        <v>1198</v>
      </c>
      <c r="H126" s="118">
        <v>700</v>
      </c>
      <c r="I126" s="122">
        <v>30</v>
      </c>
      <c r="J126" s="123">
        <f t="shared" si="0"/>
        <v>21000</v>
      </c>
      <c r="K126" s="124"/>
      <c r="L126" s="125"/>
      <c r="M126" s="126" t="s">
        <v>1</v>
      </c>
      <c r="N126" s="127" t="s">
        <v>43</v>
      </c>
      <c r="P126" s="95">
        <f t="shared" si="1"/>
        <v>0</v>
      </c>
      <c r="Q126" s="95">
        <v>1E-3</v>
      </c>
      <c r="R126" s="95">
        <f t="shared" si="2"/>
        <v>0.7</v>
      </c>
      <c r="S126" s="95">
        <v>0</v>
      </c>
      <c r="T126" s="99">
        <f t="shared" si="3"/>
        <v>0</v>
      </c>
      <c r="AR126" s="101" t="s">
        <v>527</v>
      </c>
      <c r="AT126" s="101" t="s">
        <v>438</v>
      </c>
      <c r="AU126" s="101" t="s">
        <v>87</v>
      </c>
      <c r="AY126" s="23" t="s">
        <v>211</v>
      </c>
      <c r="BE126" s="104">
        <f t="shared" si="4"/>
        <v>0</v>
      </c>
      <c r="BF126" s="104">
        <f t="shared" si="5"/>
        <v>21000</v>
      </c>
      <c r="BG126" s="104">
        <f t="shared" si="6"/>
        <v>0</v>
      </c>
      <c r="BH126" s="104">
        <f t="shared" si="7"/>
        <v>0</v>
      </c>
      <c r="BI126" s="104">
        <f t="shared" si="8"/>
        <v>0</v>
      </c>
      <c r="BJ126" s="23" t="s">
        <v>87</v>
      </c>
      <c r="BK126" s="104">
        <f t="shared" si="9"/>
        <v>21000</v>
      </c>
      <c r="BL126" s="23" t="s">
        <v>446</v>
      </c>
      <c r="BM126" s="101" t="s">
        <v>4859</v>
      </c>
    </row>
    <row r="127" spans="2:65" s="1" customFormat="1" ht="24.15" customHeight="1">
      <c r="B127" s="12"/>
      <c r="C127" s="114" t="s">
        <v>137</v>
      </c>
      <c r="D127" s="114" t="s">
        <v>438</v>
      </c>
      <c r="E127" s="115" t="s">
        <v>4860</v>
      </c>
      <c r="F127" s="116" t="s">
        <v>4861</v>
      </c>
      <c r="G127" s="117" t="s">
        <v>1599</v>
      </c>
      <c r="H127" s="118">
        <v>200</v>
      </c>
      <c r="I127" s="122">
        <v>20</v>
      </c>
      <c r="J127" s="123">
        <f t="shared" si="0"/>
        <v>4000</v>
      </c>
      <c r="K127" s="124"/>
      <c r="L127" s="125"/>
      <c r="M127" s="126" t="s">
        <v>1</v>
      </c>
      <c r="N127" s="127" t="s">
        <v>43</v>
      </c>
      <c r="P127" s="95">
        <f t="shared" si="1"/>
        <v>0</v>
      </c>
      <c r="Q127" s="95">
        <v>2.5999999999999998E-4</v>
      </c>
      <c r="R127" s="95">
        <f t="shared" si="2"/>
        <v>5.1999999999999998E-2</v>
      </c>
      <c r="S127" s="95">
        <v>0</v>
      </c>
      <c r="T127" s="99">
        <f t="shared" si="3"/>
        <v>0</v>
      </c>
      <c r="AR127" s="101" t="s">
        <v>527</v>
      </c>
      <c r="AT127" s="101" t="s">
        <v>438</v>
      </c>
      <c r="AU127" s="101" t="s">
        <v>87</v>
      </c>
      <c r="AY127" s="23" t="s">
        <v>211</v>
      </c>
      <c r="BE127" s="104">
        <f t="shared" si="4"/>
        <v>0</v>
      </c>
      <c r="BF127" s="104">
        <f t="shared" si="5"/>
        <v>4000</v>
      </c>
      <c r="BG127" s="104">
        <f t="shared" si="6"/>
        <v>0</v>
      </c>
      <c r="BH127" s="104">
        <f t="shared" si="7"/>
        <v>0</v>
      </c>
      <c r="BI127" s="104">
        <f t="shared" si="8"/>
        <v>0</v>
      </c>
      <c r="BJ127" s="23" t="s">
        <v>87</v>
      </c>
      <c r="BK127" s="104">
        <f t="shared" si="9"/>
        <v>4000</v>
      </c>
      <c r="BL127" s="23" t="s">
        <v>446</v>
      </c>
      <c r="BM127" s="101" t="s">
        <v>4862</v>
      </c>
    </row>
    <row r="128" spans="2:65" s="1" customFormat="1" ht="24.15" customHeight="1">
      <c r="B128" s="12"/>
      <c r="C128" s="71" t="s">
        <v>218</v>
      </c>
      <c r="D128" s="71" t="s">
        <v>214</v>
      </c>
      <c r="E128" s="72" t="s">
        <v>4863</v>
      </c>
      <c r="F128" s="73" t="s">
        <v>4864</v>
      </c>
      <c r="G128" s="74" t="s">
        <v>444</v>
      </c>
      <c r="H128" s="75">
        <v>850</v>
      </c>
      <c r="I128" s="90">
        <v>150</v>
      </c>
      <c r="J128" s="91">
        <f t="shared" si="0"/>
        <v>127500</v>
      </c>
      <c r="K128" s="92"/>
      <c r="L128" s="12"/>
      <c r="M128" s="93" t="s">
        <v>1</v>
      </c>
      <c r="N128" s="94" t="s">
        <v>43</v>
      </c>
      <c r="P128" s="95">
        <f t="shared" si="1"/>
        <v>0</v>
      </c>
      <c r="Q128" s="95">
        <v>0</v>
      </c>
      <c r="R128" s="95">
        <f t="shared" si="2"/>
        <v>0</v>
      </c>
      <c r="S128" s="95">
        <v>0</v>
      </c>
      <c r="T128" s="99">
        <f t="shared" si="3"/>
        <v>0</v>
      </c>
      <c r="AR128" s="101" t="s">
        <v>446</v>
      </c>
      <c r="AT128" s="101" t="s">
        <v>214</v>
      </c>
      <c r="AU128" s="101" t="s">
        <v>87</v>
      </c>
      <c r="AY128" s="23" t="s">
        <v>211</v>
      </c>
      <c r="BE128" s="104">
        <f t="shared" si="4"/>
        <v>0</v>
      </c>
      <c r="BF128" s="104">
        <f t="shared" si="5"/>
        <v>127500</v>
      </c>
      <c r="BG128" s="104">
        <f t="shared" si="6"/>
        <v>0</v>
      </c>
      <c r="BH128" s="104">
        <f t="shared" si="7"/>
        <v>0</v>
      </c>
      <c r="BI128" s="104">
        <f t="shared" si="8"/>
        <v>0</v>
      </c>
      <c r="BJ128" s="23" t="s">
        <v>87</v>
      </c>
      <c r="BK128" s="104">
        <f t="shared" si="9"/>
        <v>127500</v>
      </c>
      <c r="BL128" s="23" t="s">
        <v>446</v>
      </c>
      <c r="BM128" s="101" t="s">
        <v>4865</v>
      </c>
    </row>
    <row r="129" spans="2:65" s="1" customFormat="1" ht="16.5" customHeight="1">
      <c r="B129" s="12"/>
      <c r="C129" s="114" t="s">
        <v>210</v>
      </c>
      <c r="D129" s="114" t="s">
        <v>438</v>
      </c>
      <c r="E129" s="115" t="s">
        <v>4866</v>
      </c>
      <c r="F129" s="116" t="s">
        <v>4867</v>
      </c>
      <c r="G129" s="117" t="s">
        <v>1198</v>
      </c>
      <c r="H129" s="118">
        <v>850</v>
      </c>
      <c r="I129" s="122">
        <v>100</v>
      </c>
      <c r="J129" s="123">
        <f t="shared" si="0"/>
        <v>85000</v>
      </c>
      <c r="K129" s="124"/>
      <c r="L129" s="125"/>
      <c r="M129" s="126" t="s">
        <v>1</v>
      </c>
      <c r="N129" s="127" t="s">
        <v>43</v>
      </c>
      <c r="P129" s="95">
        <f t="shared" si="1"/>
        <v>0</v>
      </c>
      <c r="Q129" s="95">
        <v>1E-3</v>
      </c>
      <c r="R129" s="95">
        <f t="shared" si="2"/>
        <v>0.85</v>
      </c>
      <c r="S129" s="95">
        <v>0</v>
      </c>
      <c r="T129" s="99">
        <f t="shared" si="3"/>
        <v>0</v>
      </c>
      <c r="AR129" s="101" t="s">
        <v>527</v>
      </c>
      <c r="AT129" s="101" t="s">
        <v>438</v>
      </c>
      <c r="AU129" s="101" t="s">
        <v>87</v>
      </c>
      <c r="AY129" s="23" t="s">
        <v>211</v>
      </c>
      <c r="BE129" s="104">
        <f t="shared" si="4"/>
        <v>0</v>
      </c>
      <c r="BF129" s="104">
        <f t="shared" si="5"/>
        <v>85000</v>
      </c>
      <c r="BG129" s="104">
        <f t="shared" si="6"/>
        <v>0</v>
      </c>
      <c r="BH129" s="104">
        <f t="shared" si="7"/>
        <v>0</v>
      </c>
      <c r="BI129" s="104">
        <f t="shared" si="8"/>
        <v>0</v>
      </c>
      <c r="BJ129" s="23" t="s">
        <v>87</v>
      </c>
      <c r="BK129" s="104">
        <f t="shared" si="9"/>
        <v>85000</v>
      </c>
      <c r="BL129" s="23" t="s">
        <v>446</v>
      </c>
      <c r="BM129" s="101" t="s">
        <v>4868</v>
      </c>
    </row>
    <row r="130" spans="2:65" s="1" customFormat="1" ht="21.75" customHeight="1">
      <c r="B130" s="12"/>
      <c r="C130" s="114" t="s">
        <v>239</v>
      </c>
      <c r="D130" s="114" t="s">
        <v>438</v>
      </c>
      <c r="E130" s="115" t="s">
        <v>4869</v>
      </c>
      <c r="F130" s="116" t="s">
        <v>4870</v>
      </c>
      <c r="G130" s="117" t="s">
        <v>1599</v>
      </c>
      <c r="H130" s="118">
        <v>850</v>
      </c>
      <c r="I130" s="122">
        <v>30</v>
      </c>
      <c r="J130" s="123">
        <f t="shared" si="0"/>
        <v>25500</v>
      </c>
      <c r="K130" s="124"/>
      <c r="L130" s="125"/>
      <c r="M130" s="126" t="s">
        <v>1</v>
      </c>
      <c r="N130" s="127" t="s">
        <v>43</v>
      </c>
      <c r="P130" s="95">
        <f t="shared" si="1"/>
        <v>0</v>
      </c>
      <c r="Q130" s="95">
        <v>5.5000000000000003E-4</v>
      </c>
      <c r="R130" s="95">
        <f t="shared" si="2"/>
        <v>0.46750000000000003</v>
      </c>
      <c r="S130" s="95">
        <v>0</v>
      </c>
      <c r="T130" s="99">
        <f t="shared" si="3"/>
        <v>0</v>
      </c>
      <c r="AR130" s="101" t="s">
        <v>527</v>
      </c>
      <c r="AT130" s="101" t="s">
        <v>438</v>
      </c>
      <c r="AU130" s="101" t="s">
        <v>87</v>
      </c>
      <c r="AY130" s="23" t="s">
        <v>211</v>
      </c>
      <c r="BE130" s="104">
        <f t="shared" si="4"/>
        <v>0</v>
      </c>
      <c r="BF130" s="104">
        <f t="shared" si="5"/>
        <v>25500</v>
      </c>
      <c r="BG130" s="104">
        <f t="shared" si="6"/>
        <v>0</v>
      </c>
      <c r="BH130" s="104">
        <f t="shared" si="7"/>
        <v>0</v>
      </c>
      <c r="BI130" s="104">
        <f t="shared" si="8"/>
        <v>0</v>
      </c>
      <c r="BJ130" s="23" t="s">
        <v>87</v>
      </c>
      <c r="BK130" s="104">
        <f t="shared" si="9"/>
        <v>25500</v>
      </c>
      <c r="BL130" s="23" t="s">
        <v>446</v>
      </c>
      <c r="BM130" s="101" t="s">
        <v>4871</v>
      </c>
    </row>
    <row r="131" spans="2:65" s="1" customFormat="1" ht="24.15" customHeight="1">
      <c r="B131" s="12"/>
      <c r="C131" s="114" t="s">
        <v>245</v>
      </c>
      <c r="D131" s="114" t="s">
        <v>438</v>
      </c>
      <c r="E131" s="115" t="s">
        <v>4872</v>
      </c>
      <c r="F131" s="116" t="s">
        <v>4873</v>
      </c>
      <c r="G131" s="117" t="s">
        <v>1599</v>
      </c>
      <c r="H131" s="118">
        <v>200</v>
      </c>
      <c r="I131" s="122">
        <v>20</v>
      </c>
      <c r="J131" s="123">
        <f t="shared" si="0"/>
        <v>4000</v>
      </c>
      <c r="K131" s="124"/>
      <c r="L131" s="125"/>
      <c r="M131" s="126" t="s">
        <v>1</v>
      </c>
      <c r="N131" s="127" t="s">
        <v>43</v>
      </c>
      <c r="P131" s="95">
        <f t="shared" si="1"/>
        <v>0</v>
      </c>
      <c r="Q131" s="95">
        <v>2.5000000000000001E-4</v>
      </c>
      <c r="R131" s="95">
        <f t="shared" si="2"/>
        <v>0.05</v>
      </c>
      <c r="S131" s="95">
        <v>0</v>
      </c>
      <c r="T131" s="99">
        <f t="shared" si="3"/>
        <v>0</v>
      </c>
      <c r="AR131" s="101" t="s">
        <v>527</v>
      </c>
      <c r="AT131" s="101" t="s">
        <v>438</v>
      </c>
      <c r="AU131" s="101" t="s">
        <v>87</v>
      </c>
      <c r="AY131" s="23" t="s">
        <v>211</v>
      </c>
      <c r="BE131" s="104">
        <f t="shared" si="4"/>
        <v>0</v>
      </c>
      <c r="BF131" s="104">
        <f t="shared" si="5"/>
        <v>4000</v>
      </c>
      <c r="BG131" s="104">
        <f t="shared" si="6"/>
        <v>0</v>
      </c>
      <c r="BH131" s="104">
        <f t="shared" si="7"/>
        <v>0</v>
      </c>
      <c r="BI131" s="104">
        <f t="shared" si="8"/>
        <v>0</v>
      </c>
      <c r="BJ131" s="23" t="s">
        <v>87</v>
      </c>
      <c r="BK131" s="104">
        <f t="shared" si="9"/>
        <v>4000</v>
      </c>
      <c r="BL131" s="23" t="s">
        <v>446</v>
      </c>
      <c r="BM131" s="101" t="s">
        <v>4874</v>
      </c>
    </row>
    <row r="132" spans="2:65" s="1" customFormat="1" ht="16.5" customHeight="1">
      <c r="B132" s="12"/>
      <c r="C132" s="114" t="s">
        <v>250</v>
      </c>
      <c r="D132" s="114" t="s">
        <v>438</v>
      </c>
      <c r="E132" s="115" t="s">
        <v>4875</v>
      </c>
      <c r="F132" s="116" t="s">
        <v>4876</v>
      </c>
      <c r="G132" s="117" t="s">
        <v>1599</v>
      </c>
      <c r="H132" s="118">
        <v>12</v>
      </c>
      <c r="I132" s="122">
        <v>25</v>
      </c>
      <c r="J132" s="123">
        <f t="shared" si="0"/>
        <v>300</v>
      </c>
      <c r="K132" s="124"/>
      <c r="L132" s="125"/>
      <c r="M132" s="126" t="s">
        <v>1</v>
      </c>
      <c r="N132" s="127" t="s">
        <v>43</v>
      </c>
      <c r="P132" s="95">
        <f t="shared" si="1"/>
        <v>0</v>
      </c>
      <c r="Q132" s="95">
        <v>4.2999999999999999E-4</v>
      </c>
      <c r="R132" s="95">
        <f t="shared" si="2"/>
        <v>5.1599999999999997E-3</v>
      </c>
      <c r="S132" s="95">
        <v>0</v>
      </c>
      <c r="T132" s="99">
        <f t="shared" si="3"/>
        <v>0</v>
      </c>
      <c r="AR132" s="101" t="s">
        <v>527</v>
      </c>
      <c r="AT132" s="101" t="s">
        <v>438</v>
      </c>
      <c r="AU132" s="101" t="s">
        <v>87</v>
      </c>
      <c r="AY132" s="23" t="s">
        <v>211</v>
      </c>
      <c r="BE132" s="104">
        <f t="shared" si="4"/>
        <v>0</v>
      </c>
      <c r="BF132" s="104">
        <f t="shared" si="5"/>
        <v>300</v>
      </c>
      <c r="BG132" s="104">
        <f t="shared" si="6"/>
        <v>0</v>
      </c>
      <c r="BH132" s="104">
        <f t="shared" si="7"/>
        <v>0</v>
      </c>
      <c r="BI132" s="104">
        <f t="shared" si="8"/>
        <v>0</v>
      </c>
      <c r="BJ132" s="23" t="s">
        <v>87</v>
      </c>
      <c r="BK132" s="104">
        <f t="shared" si="9"/>
        <v>300</v>
      </c>
      <c r="BL132" s="23" t="s">
        <v>446</v>
      </c>
      <c r="BM132" s="101" t="s">
        <v>4877</v>
      </c>
    </row>
    <row r="133" spans="2:65" s="1" customFormat="1" ht="16.5" customHeight="1">
      <c r="B133" s="12"/>
      <c r="C133" s="114" t="s">
        <v>255</v>
      </c>
      <c r="D133" s="114" t="s">
        <v>438</v>
      </c>
      <c r="E133" s="115" t="s">
        <v>4878</v>
      </c>
      <c r="F133" s="116" t="s">
        <v>4879</v>
      </c>
      <c r="G133" s="117" t="s">
        <v>1599</v>
      </c>
      <c r="H133" s="118">
        <v>67</v>
      </c>
      <c r="I133" s="122">
        <v>20</v>
      </c>
      <c r="J133" s="123">
        <f t="shared" si="0"/>
        <v>1340</v>
      </c>
      <c r="K133" s="124"/>
      <c r="L133" s="125"/>
      <c r="M133" s="126" t="s">
        <v>1</v>
      </c>
      <c r="N133" s="127" t="s">
        <v>43</v>
      </c>
      <c r="P133" s="95">
        <f t="shared" si="1"/>
        <v>0</v>
      </c>
      <c r="Q133" s="95">
        <v>1.6000000000000001E-4</v>
      </c>
      <c r="R133" s="95">
        <f t="shared" si="2"/>
        <v>1.072E-2</v>
      </c>
      <c r="S133" s="95">
        <v>0</v>
      </c>
      <c r="T133" s="99">
        <f t="shared" si="3"/>
        <v>0</v>
      </c>
      <c r="AR133" s="101" t="s">
        <v>527</v>
      </c>
      <c r="AT133" s="101" t="s">
        <v>438</v>
      </c>
      <c r="AU133" s="101" t="s">
        <v>87</v>
      </c>
      <c r="AY133" s="23" t="s">
        <v>211</v>
      </c>
      <c r="BE133" s="104">
        <f t="shared" si="4"/>
        <v>0</v>
      </c>
      <c r="BF133" s="104">
        <f t="shared" si="5"/>
        <v>1340</v>
      </c>
      <c r="BG133" s="104">
        <f t="shared" si="6"/>
        <v>0</v>
      </c>
      <c r="BH133" s="104">
        <f t="shared" si="7"/>
        <v>0</v>
      </c>
      <c r="BI133" s="104">
        <f t="shared" si="8"/>
        <v>0</v>
      </c>
      <c r="BJ133" s="23" t="s">
        <v>87</v>
      </c>
      <c r="BK133" s="104">
        <f t="shared" si="9"/>
        <v>1340</v>
      </c>
      <c r="BL133" s="23" t="s">
        <v>446</v>
      </c>
      <c r="BM133" s="101" t="s">
        <v>4880</v>
      </c>
    </row>
    <row r="134" spans="2:65" s="1" customFormat="1" ht="24.15" customHeight="1">
      <c r="B134" s="12"/>
      <c r="C134" s="114" t="s">
        <v>259</v>
      </c>
      <c r="D134" s="114" t="s">
        <v>438</v>
      </c>
      <c r="E134" s="115" t="s">
        <v>4881</v>
      </c>
      <c r="F134" s="116" t="s">
        <v>4882</v>
      </c>
      <c r="G134" s="117" t="s">
        <v>1599</v>
      </c>
      <c r="H134" s="118">
        <v>72</v>
      </c>
      <c r="I134" s="122">
        <v>25</v>
      </c>
      <c r="J134" s="123">
        <f t="shared" si="0"/>
        <v>1800</v>
      </c>
      <c r="K134" s="124"/>
      <c r="L134" s="125"/>
      <c r="M134" s="126" t="s">
        <v>1</v>
      </c>
      <c r="N134" s="127" t="s">
        <v>43</v>
      </c>
      <c r="P134" s="95">
        <f t="shared" si="1"/>
        <v>0</v>
      </c>
      <c r="Q134" s="95">
        <v>6.9999999999999999E-4</v>
      </c>
      <c r="R134" s="95">
        <f t="shared" si="2"/>
        <v>5.04E-2</v>
      </c>
      <c r="S134" s="95">
        <v>0</v>
      </c>
      <c r="T134" s="99">
        <f t="shared" si="3"/>
        <v>0</v>
      </c>
      <c r="AR134" s="101" t="s">
        <v>527</v>
      </c>
      <c r="AT134" s="101" t="s">
        <v>438</v>
      </c>
      <c r="AU134" s="101" t="s">
        <v>87</v>
      </c>
      <c r="AY134" s="23" t="s">
        <v>211</v>
      </c>
      <c r="BE134" s="104">
        <f t="shared" si="4"/>
        <v>0</v>
      </c>
      <c r="BF134" s="104">
        <f t="shared" si="5"/>
        <v>1800</v>
      </c>
      <c r="BG134" s="104">
        <f t="shared" si="6"/>
        <v>0</v>
      </c>
      <c r="BH134" s="104">
        <f t="shared" si="7"/>
        <v>0</v>
      </c>
      <c r="BI134" s="104">
        <f t="shared" si="8"/>
        <v>0</v>
      </c>
      <c r="BJ134" s="23" t="s">
        <v>87</v>
      </c>
      <c r="BK134" s="104">
        <f t="shared" si="9"/>
        <v>1800</v>
      </c>
      <c r="BL134" s="23" t="s">
        <v>446</v>
      </c>
      <c r="BM134" s="101" t="s">
        <v>4883</v>
      </c>
    </row>
    <row r="135" spans="2:65" s="1" customFormat="1" ht="16.5" customHeight="1">
      <c r="B135" s="12"/>
      <c r="C135" s="114" t="s">
        <v>266</v>
      </c>
      <c r="D135" s="114" t="s">
        <v>438</v>
      </c>
      <c r="E135" s="115" t="s">
        <v>4884</v>
      </c>
      <c r="F135" s="116" t="s">
        <v>4885</v>
      </c>
      <c r="G135" s="117" t="s">
        <v>1599</v>
      </c>
      <c r="H135" s="118">
        <v>24</v>
      </c>
      <c r="I135" s="122">
        <v>20</v>
      </c>
      <c r="J135" s="123">
        <f t="shared" si="0"/>
        <v>480</v>
      </c>
      <c r="K135" s="124"/>
      <c r="L135" s="125"/>
      <c r="M135" s="126" t="s">
        <v>1</v>
      </c>
      <c r="N135" s="127" t="s">
        <v>43</v>
      </c>
      <c r="P135" s="95">
        <f t="shared" si="1"/>
        <v>0</v>
      </c>
      <c r="Q135" s="95">
        <v>2.0000000000000001E-4</v>
      </c>
      <c r="R135" s="95">
        <f t="shared" si="2"/>
        <v>4.7999999999999996E-3</v>
      </c>
      <c r="S135" s="95">
        <v>0</v>
      </c>
      <c r="T135" s="99">
        <f t="shared" si="3"/>
        <v>0</v>
      </c>
      <c r="AR135" s="101" t="s">
        <v>527</v>
      </c>
      <c r="AT135" s="101" t="s">
        <v>438</v>
      </c>
      <c r="AU135" s="101" t="s">
        <v>87</v>
      </c>
      <c r="AY135" s="23" t="s">
        <v>211</v>
      </c>
      <c r="BE135" s="104">
        <f t="shared" si="4"/>
        <v>0</v>
      </c>
      <c r="BF135" s="104">
        <f t="shared" si="5"/>
        <v>480</v>
      </c>
      <c r="BG135" s="104">
        <f t="shared" si="6"/>
        <v>0</v>
      </c>
      <c r="BH135" s="104">
        <f t="shared" si="7"/>
        <v>0</v>
      </c>
      <c r="BI135" s="104">
        <f t="shared" si="8"/>
        <v>0</v>
      </c>
      <c r="BJ135" s="23" t="s">
        <v>87</v>
      </c>
      <c r="BK135" s="104">
        <f t="shared" si="9"/>
        <v>480</v>
      </c>
      <c r="BL135" s="23" t="s">
        <v>446</v>
      </c>
      <c r="BM135" s="101" t="s">
        <v>4886</v>
      </c>
    </row>
    <row r="136" spans="2:65" s="1" customFormat="1" ht="24.15" customHeight="1">
      <c r="B136" s="12"/>
      <c r="C136" s="71" t="s">
        <v>273</v>
      </c>
      <c r="D136" s="71" t="s">
        <v>214</v>
      </c>
      <c r="E136" s="72" t="s">
        <v>4863</v>
      </c>
      <c r="F136" s="73" t="s">
        <v>4864</v>
      </c>
      <c r="G136" s="74" t="s">
        <v>444</v>
      </c>
      <c r="H136" s="75">
        <v>250</v>
      </c>
      <c r="I136" s="90">
        <v>150</v>
      </c>
      <c r="J136" s="91">
        <f t="shared" si="0"/>
        <v>37500</v>
      </c>
      <c r="K136" s="92"/>
      <c r="L136" s="12"/>
      <c r="M136" s="93" t="s">
        <v>1</v>
      </c>
      <c r="N136" s="94" t="s">
        <v>43</v>
      </c>
      <c r="P136" s="95">
        <f t="shared" si="1"/>
        <v>0</v>
      </c>
      <c r="Q136" s="95">
        <v>0</v>
      </c>
      <c r="R136" s="95">
        <f t="shared" si="2"/>
        <v>0</v>
      </c>
      <c r="S136" s="95">
        <v>0</v>
      </c>
      <c r="T136" s="99">
        <f t="shared" si="3"/>
        <v>0</v>
      </c>
      <c r="AR136" s="101" t="s">
        <v>446</v>
      </c>
      <c r="AT136" s="101" t="s">
        <v>214</v>
      </c>
      <c r="AU136" s="101" t="s">
        <v>87</v>
      </c>
      <c r="AY136" s="23" t="s">
        <v>211</v>
      </c>
      <c r="BE136" s="104">
        <f t="shared" si="4"/>
        <v>0</v>
      </c>
      <c r="BF136" s="104">
        <f t="shared" si="5"/>
        <v>37500</v>
      </c>
      <c r="BG136" s="104">
        <f t="shared" si="6"/>
        <v>0</v>
      </c>
      <c r="BH136" s="104">
        <f t="shared" si="7"/>
        <v>0</v>
      </c>
      <c r="BI136" s="104">
        <f t="shared" si="8"/>
        <v>0</v>
      </c>
      <c r="BJ136" s="23" t="s">
        <v>87</v>
      </c>
      <c r="BK136" s="104">
        <f t="shared" si="9"/>
        <v>37500</v>
      </c>
      <c r="BL136" s="23" t="s">
        <v>446</v>
      </c>
      <c r="BM136" s="101" t="s">
        <v>4887</v>
      </c>
    </row>
    <row r="137" spans="2:65" s="1" customFormat="1" ht="16.5" customHeight="1">
      <c r="B137" s="12"/>
      <c r="C137" s="114" t="s">
        <v>433</v>
      </c>
      <c r="D137" s="114" t="s">
        <v>438</v>
      </c>
      <c r="E137" s="115" t="s">
        <v>4888</v>
      </c>
      <c r="F137" s="116" t="s">
        <v>4889</v>
      </c>
      <c r="G137" s="117" t="s">
        <v>1198</v>
      </c>
      <c r="H137" s="118">
        <v>250</v>
      </c>
      <c r="I137" s="122">
        <v>200</v>
      </c>
      <c r="J137" s="123">
        <f t="shared" si="0"/>
        <v>50000</v>
      </c>
      <c r="K137" s="124"/>
      <c r="L137" s="125"/>
      <c r="M137" s="126" t="s">
        <v>1</v>
      </c>
      <c r="N137" s="127" t="s">
        <v>43</v>
      </c>
      <c r="P137" s="95">
        <f t="shared" si="1"/>
        <v>0</v>
      </c>
      <c r="Q137" s="95">
        <v>1E-3</v>
      </c>
      <c r="R137" s="95">
        <f t="shared" si="2"/>
        <v>0.25</v>
      </c>
      <c r="S137" s="95">
        <v>0</v>
      </c>
      <c r="T137" s="99">
        <f t="shared" si="3"/>
        <v>0</v>
      </c>
      <c r="AR137" s="101" t="s">
        <v>527</v>
      </c>
      <c r="AT137" s="101" t="s">
        <v>438</v>
      </c>
      <c r="AU137" s="101" t="s">
        <v>87</v>
      </c>
      <c r="AY137" s="23" t="s">
        <v>211</v>
      </c>
      <c r="BE137" s="104">
        <f t="shared" si="4"/>
        <v>0</v>
      </c>
      <c r="BF137" s="104">
        <f t="shared" si="5"/>
        <v>50000</v>
      </c>
      <c r="BG137" s="104">
        <f t="shared" si="6"/>
        <v>0</v>
      </c>
      <c r="BH137" s="104">
        <f t="shared" si="7"/>
        <v>0</v>
      </c>
      <c r="BI137" s="104">
        <f t="shared" si="8"/>
        <v>0</v>
      </c>
      <c r="BJ137" s="23" t="s">
        <v>87</v>
      </c>
      <c r="BK137" s="104">
        <f t="shared" si="9"/>
        <v>50000</v>
      </c>
      <c r="BL137" s="23" t="s">
        <v>446</v>
      </c>
      <c r="BM137" s="101" t="s">
        <v>4890</v>
      </c>
    </row>
    <row r="138" spans="2:65" s="1" customFormat="1" ht="16.5" customHeight="1">
      <c r="B138" s="12"/>
      <c r="C138" s="71" t="s">
        <v>437</v>
      </c>
      <c r="D138" s="71" t="s">
        <v>214</v>
      </c>
      <c r="E138" s="72" t="s">
        <v>4891</v>
      </c>
      <c r="F138" s="73" t="s">
        <v>4892</v>
      </c>
      <c r="G138" s="74" t="s">
        <v>1599</v>
      </c>
      <c r="H138" s="75">
        <v>59</v>
      </c>
      <c r="I138" s="90">
        <v>120</v>
      </c>
      <c r="J138" s="91">
        <f t="shared" si="0"/>
        <v>7080</v>
      </c>
      <c r="K138" s="92"/>
      <c r="L138" s="12"/>
      <c r="M138" s="93" t="s">
        <v>1</v>
      </c>
      <c r="N138" s="94" t="s">
        <v>43</v>
      </c>
      <c r="P138" s="95">
        <f t="shared" si="1"/>
        <v>0</v>
      </c>
      <c r="Q138" s="95">
        <v>0</v>
      </c>
      <c r="R138" s="95">
        <f t="shared" si="2"/>
        <v>0</v>
      </c>
      <c r="S138" s="95">
        <v>0</v>
      </c>
      <c r="T138" s="99">
        <f t="shared" si="3"/>
        <v>0</v>
      </c>
      <c r="AR138" s="101" t="s">
        <v>446</v>
      </c>
      <c r="AT138" s="101" t="s">
        <v>214</v>
      </c>
      <c r="AU138" s="101" t="s">
        <v>87</v>
      </c>
      <c r="AY138" s="23" t="s">
        <v>211</v>
      </c>
      <c r="BE138" s="104">
        <f t="shared" si="4"/>
        <v>0</v>
      </c>
      <c r="BF138" s="104">
        <f t="shared" si="5"/>
        <v>7080</v>
      </c>
      <c r="BG138" s="104">
        <f t="shared" si="6"/>
        <v>0</v>
      </c>
      <c r="BH138" s="104">
        <f t="shared" si="7"/>
        <v>0</v>
      </c>
      <c r="BI138" s="104">
        <f t="shared" si="8"/>
        <v>0</v>
      </c>
      <c r="BJ138" s="23" t="s">
        <v>87</v>
      </c>
      <c r="BK138" s="104">
        <f t="shared" si="9"/>
        <v>7080</v>
      </c>
      <c r="BL138" s="23" t="s">
        <v>446</v>
      </c>
      <c r="BM138" s="101" t="s">
        <v>4893</v>
      </c>
    </row>
    <row r="139" spans="2:65" s="1" customFormat="1" ht="16.5" customHeight="1">
      <c r="B139" s="12"/>
      <c r="C139" s="114" t="s">
        <v>8</v>
      </c>
      <c r="D139" s="114" t="s">
        <v>438</v>
      </c>
      <c r="E139" s="115" t="s">
        <v>4894</v>
      </c>
      <c r="F139" s="116" t="s">
        <v>4895</v>
      </c>
      <c r="G139" s="117" t="s">
        <v>1599</v>
      </c>
      <c r="H139" s="118">
        <v>59</v>
      </c>
      <c r="I139" s="122">
        <v>70</v>
      </c>
      <c r="J139" s="123">
        <f t="shared" si="0"/>
        <v>4130</v>
      </c>
      <c r="K139" s="124"/>
      <c r="L139" s="125"/>
      <c r="M139" s="126" t="s">
        <v>1</v>
      </c>
      <c r="N139" s="127" t="s">
        <v>43</v>
      </c>
      <c r="P139" s="95">
        <f t="shared" si="1"/>
        <v>0</v>
      </c>
      <c r="Q139" s="95">
        <v>2.1000000000000001E-4</v>
      </c>
      <c r="R139" s="95">
        <f t="shared" si="2"/>
        <v>1.239E-2</v>
      </c>
      <c r="S139" s="95">
        <v>0</v>
      </c>
      <c r="T139" s="99">
        <f t="shared" si="3"/>
        <v>0</v>
      </c>
      <c r="AR139" s="101" t="s">
        <v>527</v>
      </c>
      <c r="AT139" s="101" t="s">
        <v>438</v>
      </c>
      <c r="AU139" s="101" t="s">
        <v>87</v>
      </c>
      <c r="AY139" s="23" t="s">
        <v>211</v>
      </c>
      <c r="BE139" s="104">
        <f t="shared" si="4"/>
        <v>0</v>
      </c>
      <c r="BF139" s="104">
        <f t="shared" si="5"/>
        <v>4130</v>
      </c>
      <c r="BG139" s="104">
        <f t="shared" si="6"/>
        <v>0</v>
      </c>
      <c r="BH139" s="104">
        <f t="shared" si="7"/>
        <v>0</v>
      </c>
      <c r="BI139" s="104">
        <f t="shared" si="8"/>
        <v>0</v>
      </c>
      <c r="BJ139" s="23" t="s">
        <v>87</v>
      </c>
      <c r="BK139" s="104">
        <f t="shared" si="9"/>
        <v>4130</v>
      </c>
      <c r="BL139" s="23" t="s">
        <v>446</v>
      </c>
      <c r="BM139" s="101" t="s">
        <v>4896</v>
      </c>
    </row>
    <row r="140" spans="2:65" s="1" customFormat="1" ht="16.5" customHeight="1">
      <c r="B140" s="12"/>
      <c r="C140" s="71" t="s">
        <v>446</v>
      </c>
      <c r="D140" s="71" t="s">
        <v>214</v>
      </c>
      <c r="E140" s="72" t="s">
        <v>4891</v>
      </c>
      <c r="F140" s="73" t="s">
        <v>4892</v>
      </c>
      <c r="G140" s="74" t="s">
        <v>1599</v>
      </c>
      <c r="H140" s="75">
        <v>24</v>
      </c>
      <c r="I140" s="90">
        <v>120</v>
      </c>
      <c r="J140" s="91">
        <f t="shared" si="0"/>
        <v>2880</v>
      </c>
      <c r="K140" s="92"/>
      <c r="L140" s="12"/>
      <c r="M140" s="93" t="s">
        <v>1</v>
      </c>
      <c r="N140" s="94" t="s">
        <v>43</v>
      </c>
      <c r="P140" s="95">
        <f t="shared" si="1"/>
        <v>0</v>
      </c>
      <c r="Q140" s="95">
        <v>0</v>
      </c>
      <c r="R140" s="95">
        <f t="shared" si="2"/>
        <v>0</v>
      </c>
      <c r="S140" s="95">
        <v>0</v>
      </c>
      <c r="T140" s="99">
        <f t="shared" si="3"/>
        <v>0</v>
      </c>
      <c r="AR140" s="101" t="s">
        <v>446</v>
      </c>
      <c r="AT140" s="101" t="s">
        <v>214</v>
      </c>
      <c r="AU140" s="101" t="s">
        <v>87</v>
      </c>
      <c r="AY140" s="23" t="s">
        <v>211</v>
      </c>
      <c r="BE140" s="104">
        <f t="shared" si="4"/>
        <v>0</v>
      </c>
      <c r="BF140" s="104">
        <f t="shared" si="5"/>
        <v>2880</v>
      </c>
      <c r="BG140" s="104">
        <f t="shared" si="6"/>
        <v>0</v>
      </c>
      <c r="BH140" s="104">
        <f t="shared" si="7"/>
        <v>0</v>
      </c>
      <c r="BI140" s="104">
        <f t="shared" si="8"/>
        <v>0</v>
      </c>
      <c r="BJ140" s="23" t="s">
        <v>87</v>
      </c>
      <c r="BK140" s="104">
        <f t="shared" si="9"/>
        <v>2880</v>
      </c>
      <c r="BL140" s="23" t="s">
        <v>446</v>
      </c>
      <c r="BM140" s="101" t="s">
        <v>4897</v>
      </c>
    </row>
    <row r="141" spans="2:65" s="1" customFormat="1" ht="21.75" customHeight="1">
      <c r="B141" s="12"/>
      <c r="C141" s="114" t="s">
        <v>450</v>
      </c>
      <c r="D141" s="114" t="s">
        <v>438</v>
      </c>
      <c r="E141" s="115" t="s">
        <v>4898</v>
      </c>
      <c r="F141" s="116" t="s">
        <v>4899</v>
      </c>
      <c r="G141" s="117" t="s">
        <v>1599</v>
      </c>
      <c r="H141" s="118">
        <v>24</v>
      </c>
      <c r="I141" s="122">
        <v>1000</v>
      </c>
      <c r="J141" s="123">
        <f t="shared" si="0"/>
        <v>24000</v>
      </c>
      <c r="K141" s="124"/>
      <c r="L141" s="125"/>
      <c r="M141" s="126" t="s">
        <v>1</v>
      </c>
      <c r="N141" s="127" t="s">
        <v>43</v>
      </c>
      <c r="P141" s="95">
        <f t="shared" si="1"/>
        <v>0</v>
      </c>
      <c r="Q141" s="95">
        <v>6.5100000000000002E-3</v>
      </c>
      <c r="R141" s="95">
        <f t="shared" si="2"/>
        <v>0.15623999999999999</v>
      </c>
      <c r="S141" s="95">
        <v>0</v>
      </c>
      <c r="T141" s="99">
        <f t="shared" si="3"/>
        <v>0</v>
      </c>
      <c r="AR141" s="101" t="s">
        <v>527</v>
      </c>
      <c r="AT141" s="101" t="s">
        <v>438</v>
      </c>
      <c r="AU141" s="101" t="s">
        <v>87</v>
      </c>
      <c r="AY141" s="23" t="s">
        <v>211</v>
      </c>
      <c r="BE141" s="104">
        <f t="shared" si="4"/>
        <v>0</v>
      </c>
      <c r="BF141" s="104">
        <f t="shared" si="5"/>
        <v>24000</v>
      </c>
      <c r="BG141" s="104">
        <f t="shared" si="6"/>
        <v>0</v>
      </c>
      <c r="BH141" s="104">
        <f t="shared" si="7"/>
        <v>0</v>
      </c>
      <c r="BI141" s="104">
        <f t="shared" si="8"/>
        <v>0</v>
      </c>
      <c r="BJ141" s="23" t="s">
        <v>87</v>
      </c>
      <c r="BK141" s="104">
        <f t="shared" si="9"/>
        <v>24000</v>
      </c>
      <c r="BL141" s="23" t="s">
        <v>446</v>
      </c>
      <c r="BM141" s="101" t="s">
        <v>4900</v>
      </c>
    </row>
    <row r="142" spans="2:65" s="1" customFormat="1" ht="21.75" customHeight="1">
      <c r="B142" s="12"/>
      <c r="C142" s="71" t="s">
        <v>454</v>
      </c>
      <c r="D142" s="71" t="s">
        <v>214</v>
      </c>
      <c r="E142" s="72" t="s">
        <v>4901</v>
      </c>
      <c r="F142" s="73" t="s">
        <v>4902</v>
      </c>
      <c r="G142" s="74" t="s">
        <v>1599</v>
      </c>
      <c r="H142" s="75">
        <v>24</v>
      </c>
      <c r="I142" s="90">
        <v>60</v>
      </c>
      <c r="J142" s="91">
        <f t="shared" si="0"/>
        <v>1440</v>
      </c>
      <c r="K142" s="92"/>
      <c r="L142" s="12"/>
      <c r="M142" s="93" t="s">
        <v>1</v>
      </c>
      <c r="N142" s="94" t="s">
        <v>43</v>
      </c>
      <c r="P142" s="95">
        <f t="shared" si="1"/>
        <v>0</v>
      </c>
      <c r="Q142" s="95">
        <v>0</v>
      </c>
      <c r="R142" s="95">
        <f t="shared" si="2"/>
        <v>0</v>
      </c>
      <c r="S142" s="95">
        <v>0</v>
      </c>
      <c r="T142" s="99">
        <f t="shared" si="3"/>
        <v>0</v>
      </c>
      <c r="AR142" s="101" t="s">
        <v>446</v>
      </c>
      <c r="AT142" s="101" t="s">
        <v>214</v>
      </c>
      <c r="AU142" s="101" t="s">
        <v>87</v>
      </c>
      <c r="AY142" s="23" t="s">
        <v>211</v>
      </c>
      <c r="BE142" s="104">
        <f t="shared" si="4"/>
        <v>0</v>
      </c>
      <c r="BF142" s="104">
        <f t="shared" si="5"/>
        <v>1440</v>
      </c>
      <c r="BG142" s="104">
        <f t="shared" si="6"/>
        <v>0</v>
      </c>
      <c r="BH142" s="104">
        <f t="shared" si="7"/>
        <v>0</v>
      </c>
      <c r="BI142" s="104">
        <f t="shared" si="8"/>
        <v>0</v>
      </c>
      <c r="BJ142" s="23" t="s">
        <v>87</v>
      </c>
      <c r="BK142" s="104">
        <f t="shared" si="9"/>
        <v>1440</v>
      </c>
      <c r="BL142" s="23" t="s">
        <v>446</v>
      </c>
      <c r="BM142" s="101" t="s">
        <v>4903</v>
      </c>
    </row>
    <row r="143" spans="2:65" s="1" customFormat="1" ht="16.5" customHeight="1">
      <c r="B143" s="12"/>
      <c r="C143" s="114" t="s">
        <v>459</v>
      </c>
      <c r="D143" s="114" t="s">
        <v>438</v>
      </c>
      <c r="E143" s="115" t="s">
        <v>4904</v>
      </c>
      <c r="F143" s="116" t="s">
        <v>4905</v>
      </c>
      <c r="G143" s="117" t="s">
        <v>1599</v>
      </c>
      <c r="H143" s="118">
        <v>24</v>
      </c>
      <c r="I143" s="122">
        <v>10</v>
      </c>
      <c r="J143" s="123">
        <f t="shared" si="0"/>
        <v>240</v>
      </c>
      <c r="K143" s="124"/>
      <c r="L143" s="125"/>
      <c r="M143" s="126" t="s">
        <v>1</v>
      </c>
      <c r="N143" s="127" t="s">
        <v>43</v>
      </c>
      <c r="P143" s="95">
        <f t="shared" si="1"/>
        <v>0</v>
      </c>
      <c r="Q143" s="95">
        <v>0</v>
      </c>
      <c r="R143" s="95">
        <f t="shared" si="2"/>
        <v>0</v>
      </c>
      <c r="S143" s="95">
        <v>0</v>
      </c>
      <c r="T143" s="99">
        <f t="shared" si="3"/>
        <v>0</v>
      </c>
      <c r="AR143" s="101" t="s">
        <v>527</v>
      </c>
      <c r="AT143" s="101" t="s">
        <v>438</v>
      </c>
      <c r="AU143" s="101" t="s">
        <v>87</v>
      </c>
      <c r="AY143" s="23" t="s">
        <v>211</v>
      </c>
      <c r="BE143" s="104">
        <f t="shared" si="4"/>
        <v>0</v>
      </c>
      <c r="BF143" s="104">
        <f t="shared" si="5"/>
        <v>240</v>
      </c>
      <c r="BG143" s="104">
        <f t="shared" si="6"/>
        <v>0</v>
      </c>
      <c r="BH143" s="104">
        <f t="shared" si="7"/>
        <v>0</v>
      </c>
      <c r="BI143" s="104">
        <f t="shared" si="8"/>
        <v>0</v>
      </c>
      <c r="BJ143" s="23" t="s">
        <v>87</v>
      </c>
      <c r="BK143" s="104">
        <f t="shared" si="9"/>
        <v>240</v>
      </c>
      <c r="BL143" s="23" t="s">
        <v>446</v>
      </c>
      <c r="BM143" s="101" t="s">
        <v>4906</v>
      </c>
    </row>
    <row r="144" spans="2:65" s="1" customFormat="1" ht="21.75" customHeight="1">
      <c r="B144" s="12"/>
      <c r="C144" s="71" t="s">
        <v>465</v>
      </c>
      <c r="D144" s="71" t="s">
        <v>214</v>
      </c>
      <c r="E144" s="72" t="s">
        <v>4907</v>
      </c>
      <c r="F144" s="73" t="s">
        <v>4908</v>
      </c>
      <c r="G144" s="74" t="s">
        <v>1599</v>
      </c>
      <c r="H144" s="75">
        <v>12</v>
      </c>
      <c r="I144" s="90">
        <v>600</v>
      </c>
      <c r="J144" s="91">
        <f t="shared" si="0"/>
        <v>7200</v>
      </c>
      <c r="K144" s="92"/>
      <c r="L144" s="12"/>
      <c r="M144" s="93" t="s">
        <v>1</v>
      </c>
      <c r="N144" s="94" t="s">
        <v>43</v>
      </c>
      <c r="P144" s="95">
        <f t="shared" si="1"/>
        <v>0</v>
      </c>
      <c r="Q144" s="95">
        <v>0</v>
      </c>
      <c r="R144" s="95">
        <f t="shared" si="2"/>
        <v>0</v>
      </c>
      <c r="S144" s="95">
        <v>0</v>
      </c>
      <c r="T144" s="99">
        <f t="shared" si="3"/>
        <v>0</v>
      </c>
      <c r="AR144" s="101" t="s">
        <v>446</v>
      </c>
      <c r="AT144" s="101" t="s">
        <v>214</v>
      </c>
      <c r="AU144" s="101" t="s">
        <v>87</v>
      </c>
      <c r="AY144" s="23" t="s">
        <v>211</v>
      </c>
      <c r="BE144" s="104">
        <f t="shared" si="4"/>
        <v>0</v>
      </c>
      <c r="BF144" s="104">
        <f t="shared" si="5"/>
        <v>7200</v>
      </c>
      <c r="BG144" s="104">
        <f t="shared" si="6"/>
        <v>0</v>
      </c>
      <c r="BH144" s="104">
        <f t="shared" si="7"/>
        <v>0</v>
      </c>
      <c r="BI144" s="104">
        <f t="shared" si="8"/>
        <v>0</v>
      </c>
      <c r="BJ144" s="23" t="s">
        <v>87</v>
      </c>
      <c r="BK144" s="104">
        <f t="shared" si="9"/>
        <v>7200</v>
      </c>
      <c r="BL144" s="23" t="s">
        <v>446</v>
      </c>
      <c r="BM144" s="101" t="s">
        <v>4909</v>
      </c>
    </row>
    <row r="145" spans="2:65" s="1" customFormat="1" ht="16.5" customHeight="1">
      <c r="B145" s="12"/>
      <c r="C145" s="114" t="s">
        <v>7</v>
      </c>
      <c r="D145" s="114" t="s">
        <v>438</v>
      </c>
      <c r="E145" s="115" t="s">
        <v>4910</v>
      </c>
      <c r="F145" s="116" t="s">
        <v>4911</v>
      </c>
      <c r="G145" s="117" t="s">
        <v>808</v>
      </c>
      <c r="H145" s="118">
        <v>12</v>
      </c>
      <c r="I145" s="122">
        <v>500</v>
      </c>
      <c r="J145" s="123">
        <f t="shared" si="0"/>
        <v>6000</v>
      </c>
      <c r="K145" s="124"/>
      <c r="L145" s="125"/>
      <c r="M145" s="126" t="s">
        <v>1</v>
      </c>
      <c r="N145" s="127" t="s">
        <v>43</v>
      </c>
      <c r="P145" s="95">
        <f t="shared" si="1"/>
        <v>0</v>
      </c>
      <c r="Q145" s="95">
        <v>0</v>
      </c>
      <c r="R145" s="95">
        <f t="shared" si="2"/>
        <v>0</v>
      </c>
      <c r="S145" s="95">
        <v>0</v>
      </c>
      <c r="T145" s="99">
        <f t="shared" si="3"/>
        <v>0</v>
      </c>
      <c r="AR145" s="101" t="s">
        <v>527</v>
      </c>
      <c r="AT145" s="101" t="s">
        <v>438</v>
      </c>
      <c r="AU145" s="101" t="s">
        <v>87</v>
      </c>
      <c r="AY145" s="23" t="s">
        <v>211</v>
      </c>
      <c r="BE145" s="104">
        <f t="shared" si="4"/>
        <v>0</v>
      </c>
      <c r="BF145" s="104">
        <f t="shared" si="5"/>
        <v>6000</v>
      </c>
      <c r="BG145" s="104">
        <f t="shared" si="6"/>
        <v>0</v>
      </c>
      <c r="BH145" s="104">
        <f t="shared" si="7"/>
        <v>0</v>
      </c>
      <c r="BI145" s="104">
        <f t="shared" si="8"/>
        <v>0</v>
      </c>
      <c r="BJ145" s="23" t="s">
        <v>87</v>
      </c>
      <c r="BK145" s="104">
        <f t="shared" si="9"/>
        <v>6000</v>
      </c>
      <c r="BL145" s="23" t="s">
        <v>446</v>
      </c>
      <c r="BM145" s="101" t="s">
        <v>4912</v>
      </c>
    </row>
    <row r="146" spans="2:65" s="1" customFormat="1" ht="24.15" customHeight="1">
      <c r="B146" s="12"/>
      <c r="C146" s="71" t="s">
        <v>475</v>
      </c>
      <c r="D146" s="71" t="s">
        <v>214</v>
      </c>
      <c r="E146" s="72" t="s">
        <v>4913</v>
      </c>
      <c r="F146" s="73" t="s">
        <v>4914</v>
      </c>
      <c r="G146" s="74" t="s">
        <v>1599</v>
      </c>
      <c r="H146" s="75">
        <v>6</v>
      </c>
      <c r="I146" s="90">
        <v>5000</v>
      </c>
      <c r="J146" s="91">
        <f t="shared" si="0"/>
        <v>30000</v>
      </c>
      <c r="K146" s="92"/>
      <c r="L146" s="12"/>
      <c r="M146" s="130" t="s">
        <v>1</v>
      </c>
      <c r="N146" s="131" t="s">
        <v>43</v>
      </c>
      <c r="O146" s="110"/>
      <c r="P146" s="132">
        <f t="shared" si="1"/>
        <v>0</v>
      </c>
      <c r="Q146" s="132">
        <v>0</v>
      </c>
      <c r="R146" s="132">
        <f t="shared" si="2"/>
        <v>0</v>
      </c>
      <c r="S146" s="132">
        <v>0</v>
      </c>
      <c r="T146" s="134">
        <f t="shared" si="3"/>
        <v>0</v>
      </c>
      <c r="AR146" s="101" t="s">
        <v>2681</v>
      </c>
      <c r="AT146" s="101" t="s">
        <v>214</v>
      </c>
      <c r="AU146" s="101" t="s">
        <v>87</v>
      </c>
      <c r="AY146" s="23" t="s">
        <v>211</v>
      </c>
      <c r="BE146" s="104">
        <f t="shared" si="4"/>
        <v>0</v>
      </c>
      <c r="BF146" s="104">
        <f t="shared" si="5"/>
        <v>30000</v>
      </c>
      <c r="BG146" s="104">
        <f t="shared" si="6"/>
        <v>0</v>
      </c>
      <c r="BH146" s="104">
        <f t="shared" si="7"/>
        <v>0</v>
      </c>
      <c r="BI146" s="104">
        <f t="shared" si="8"/>
        <v>0</v>
      </c>
      <c r="BJ146" s="23" t="s">
        <v>87</v>
      </c>
      <c r="BK146" s="104">
        <f t="shared" si="9"/>
        <v>30000</v>
      </c>
      <c r="BL146" s="23" t="s">
        <v>2681</v>
      </c>
      <c r="BM146" s="101" t="s">
        <v>4915</v>
      </c>
    </row>
    <row r="147" spans="2:65" s="1" customFormat="1" ht="6.9" customHeight="1">
      <c r="B147" s="26"/>
      <c r="C147" s="27"/>
      <c r="D147" s="27"/>
      <c r="E147" s="27"/>
      <c r="F147" s="27"/>
      <c r="G147" s="27"/>
      <c r="H147" s="27"/>
      <c r="I147" s="27"/>
      <c r="J147" s="27"/>
      <c r="K147" s="27"/>
      <c r="L147" s="12"/>
    </row>
  </sheetData>
  <autoFilter ref="C121:K146" xr:uid="{00000000-0009-0000-0000-000009000000}"/>
  <mergeCells count="12">
    <mergeCell ref="L2:V2"/>
    <mergeCell ref="E7:H7"/>
    <mergeCell ref="E9:H9"/>
    <mergeCell ref="E11:H11"/>
    <mergeCell ref="E20:H20"/>
    <mergeCell ref="E112:H112"/>
    <mergeCell ref="E114:H114"/>
    <mergeCell ref="E29:H29"/>
    <mergeCell ref="E85:H85"/>
    <mergeCell ref="E87:H87"/>
    <mergeCell ref="E89:H89"/>
    <mergeCell ref="E110:H11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2:BM276"/>
  <sheetViews>
    <sheetView showGridLines="0" topLeftCell="A183" zoomScale="130" zoomScaleNormal="130" workbookViewId="0">
      <selection activeCell="F187" sqref="F187"/>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119</v>
      </c>
    </row>
    <row r="3" spans="2:46" ht="6.9" customHeight="1">
      <c r="B3" s="3"/>
      <c r="C3" s="4"/>
      <c r="D3" s="4"/>
      <c r="E3" s="4"/>
      <c r="F3" s="4"/>
      <c r="G3" s="4"/>
      <c r="H3" s="4"/>
      <c r="I3" s="4"/>
      <c r="J3" s="4"/>
      <c r="K3" s="4"/>
      <c r="L3" s="5"/>
      <c r="AT3" s="23" t="s">
        <v>85</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2" customHeight="1">
      <c r="B8" s="5"/>
      <c r="D8" s="10" t="s">
        <v>182</v>
      </c>
      <c r="L8" s="5"/>
    </row>
    <row r="9" spans="2:46" s="1" customFormat="1" ht="16.5" customHeight="1">
      <c r="B9" s="12"/>
      <c r="E9" s="392" t="s">
        <v>293</v>
      </c>
      <c r="F9" s="394"/>
      <c r="G9" s="394"/>
      <c r="H9" s="394"/>
      <c r="L9" s="12"/>
    </row>
    <row r="10" spans="2:46" s="1" customFormat="1" ht="12" customHeight="1">
      <c r="B10" s="12"/>
      <c r="D10" s="10" t="s">
        <v>296</v>
      </c>
      <c r="L10" s="12"/>
    </row>
    <row r="11" spans="2:46" s="1" customFormat="1" ht="16.5" customHeight="1">
      <c r="B11" s="12"/>
      <c r="E11" s="381" t="s">
        <v>4916</v>
      </c>
      <c r="F11" s="394"/>
      <c r="G11" s="394"/>
      <c r="H11" s="394"/>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395" t="str">
        <f>'Rekapitulace stavby'!E14</f>
        <v>DMG Stav a.s.</v>
      </c>
      <c r="F20" s="384"/>
      <c r="G20" s="384"/>
      <c r="H20" s="384"/>
      <c r="I20" s="10" t="s">
        <v>26</v>
      </c>
      <c r="J20" s="33" t="str">
        <f>'Rekapitulace stavby'!AN14</f>
        <v>CZ 08004013</v>
      </c>
      <c r="L20" s="12"/>
    </row>
    <row r="21" spans="2:12" s="1" customFormat="1" ht="6.9"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 customHeight="1">
      <c r="B27" s="12"/>
      <c r="L27" s="12"/>
    </row>
    <row r="28" spans="2:12" s="1" customFormat="1" ht="12" customHeight="1">
      <c r="B28" s="12"/>
      <c r="D28" s="10" t="s">
        <v>36</v>
      </c>
      <c r="L28" s="12"/>
    </row>
    <row r="29" spans="2:12" s="28" customFormat="1" ht="16.5" customHeight="1">
      <c r="B29" s="34"/>
      <c r="E29" s="388" t="s">
        <v>1</v>
      </c>
      <c r="F29" s="388"/>
      <c r="G29" s="388"/>
      <c r="H29" s="388"/>
      <c r="L29" s="34"/>
    </row>
    <row r="30" spans="2:12" s="1" customFormat="1" ht="6.9" customHeight="1">
      <c r="B30" s="12"/>
      <c r="L30" s="12"/>
    </row>
    <row r="31" spans="2:12" s="1" customFormat="1" ht="6.9" customHeight="1">
      <c r="B31" s="12"/>
      <c r="D31" s="35"/>
      <c r="E31" s="35"/>
      <c r="F31" s="35"/>
      <c r="G31" s="35"/>
      <c r="H31" s="35"/>
      <c r="I31" s="35"/>
      <c r="J31" s="35"/>
      <c r="K31" s="35"/>
      <c r="L31" s="12"/>
    </row>
    <row r="32" spans="2:12" s="1" customFormat="1" ht="25.35" customHeight="1">
      <c r="B32" s="12"/>
      <c r="D32" s="36" t="s">
        <v>37</v>
      </c>
      <c r="J32" s="51">
        <f>ROUND(J127,2)</f>
        <v>12086552</v>
      </c>
      <c r="L32" s="12"/>
    </row>
    <row r="33" spans="2:12" s="1" customFormat="1" ht="6.9" customHeight="1">
      <c r="B33" s="12"/>
      <c r="D33" s="35"/>
      <c r="E33" s="35"/>
      <c r="F33" s="35"/>
      <c r="G33" s="35"/>
      <c r="H33" s="35"/>
      <c r="I33" s="35"/>
      <c r="J33" s="35"/>
      <c r="K33" s="35"/>
      <c r="L33" s="12"/>
    </row>
    <row r="34" spans="2:12" s="1" customFormat="1" ht="14.4" customHeight="1">
      <c r="B34" s="12"/>
      <c r="F34" s="37" t="s">
        <v>39</v>
      </c>
      <c r="I34" s="37" t="s">
        <v>38</v>
      </c>
      <c r="J34" s="37" t="s">
        <v>40</v>
      </c>
      <c r="L34" s="12"/>
    </row>
    <row r="35" spans="2:12" s="1" customFormat="1" ht="14.4" customHeight="1">
      <c r="B35" s="12"/>
      <c r="D35" s="38" t="s">
        <v>41</v>
      </c>
      <c r="E35" s="10" t="s">
        <v>42</v>
      </c>
      <c r="F35" s="39">
        <f>ROUND((SUM(BE127:BE275)),2)</f>
        <v>0</v>
      </c>
      <c r="I35" s="52">
        <v>0.21</v>
      </c>
      <c r="J35" s="39">
        <f>ROUND(((SUM(BE127:BE275))*I35),2)</f>
        <v>0</v>
      </c>
      <c r="L35" s="12"/>
    </row>
    <row r="36" spans="2:12" s="1" customFormat="1" ht="14.4" customHeight="1">
      <c r="B36" s="12"/>
      <c r="E36" s="10" t="s">
        <v>43</v>
      </c>
      <c r="F36" s="39">
        <f>ROUND((SUM(BF127:BF275)),2)</f>
        <v>12086552</v>
      </c>
      <c r="I36" s="52">
        <v>0.15</v>
      </c>
      <c r="J36" s="39">
        <f>ROUND(((SUM(BF127:BF275))*I36),2)</f>
        <v>1812982.8</v>
      </c>
      <c r="L36" s="12"/>
    </row>
    <row r="37" spans="2:12" s="1" customFormat="1" ht="14.4" hidden="1" customHeight="1">
      <c r="B37" s="12"/>
      <c r="E37" s="10" t="s">
        <v>44</v>
      </c>
      <c r="F37" s="39">
        <f>ROUND((SUM(BG127:BG275)),2)</f>
        <v>0</v>
      </c>
      <c r="I37" s="52">
        <v>0.21</v>
      </c>
      <c r="J37" s="39">
        <f>0</f>
        <v>0</v>
      </c>
      <c r="L37" s="12"/>
    </row>
    <row r="38" spans="2:12" s="1" customFormat="1" ht="14.4" hidden="1" customHeight="1">
      <c r="B38" s="12"/>
      <c r="E38" s="10" t="s">
        <v>45</v>
      </c>
      <c r="F38" s="39">
        <f>ROUND((SUM(BH127:BH275)),2)</f>
        <v>0</v>
      </c>
      <c r="I38" s="52">
        <v>0.15</v>
      </c>
      <c r="J38" s="39">
        <f>0</f>
        <v>0</v>
      </c>
      <c r="L38" s="12"/>
    </row>
    <row r="39" spans="2:12" s="1" customFormat="1" ht="14.4" hidden="1" customHeight="1">
      <c r="B39" s="12"/>
      <c r="E39" s="10" t="s">
        <v>46</v>
      </c>
      <c r="F39" s="39">
        <f>ROUND((SUM(BI127:BI275)),2)</f>
        <v>0</v>
      </c>
      <c r="I39" s="52">
        <v>0</v>
      </c>
      <c r="J39" s="39">
        <f>0</f>
        <v>0</v>
      </c>
      <c r="L39" s="12"/>
    </row>
    <row r="40" spans="2:12" s="1" customFormat="1" ht="6.9" customHeight="1">
      <c r="B40" s="12"/>
      <c r="L40" s="12"/>
    </row>
    <row r="41" spans="2:12" s="1" customFormat="1" ht="25.35" customHeight="1">
      <c r="B41" s="12"/>
      <c r="C41" s="40"/>
      <c r="D41" s="41" t="s">
        <v>47</v>
      </c>
      <c r="E41" s="42"/>
      <c r="F41" s="42"/>
      <c r="G41" s="43" t="s">
        <v>48</v>
      </c>
      <c r="H41" s="44" t="s">
        <v>49</v>
      </c>
      <c r="I41" s="42"/>
      <c r="J41" s="53">
        <f>SUM(J32:J39)</f>
        <v>13899534.800000001</v>
      </c>
      <c r="K41" s="54"/>
      <c r="L41" s="12"/>
    </row>
    <row r="42" spans="2:12" s="1" customFormat="1" ht="14.4" customHeight="1">
      <c r="B42" s="12"/>
      <c r="L42" s="12"/>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s="1" customFormat="1" ht="16.5" customHeight="1">
      <c r="B87" s="12"/>
      <c r="E87" s="392" t="s">
        <v>293</v>
      </c>
      <c r="F87" s="394"/>
      <c r="G87" s="394"/>
      <c r="H87" s="394"/>
      <c r="L87" s="12"/>
    </row>
    <row r="88" spans="2:12" s="1" customFormat="1" ht="12" customHeight="1">
      <c r="B88" s="12"/>
      <c r="C88" s="10" t="s">
        <v>296</v>
      </c>
      <c r="L88" s="12"/>
    </row>
    <row r="89" spans="2:12" s="1" customFormat="1" ht="16.5" customHeight="1">
      <c r="B89" s="12"/>
      <c r="E89" s="381" t="str">
        <f>E11</f>
        <v>D1.620 - Silnoproudá elektroinstalace</v>
      </c>
      <c r="F89" s="394"/>
      <c r="G89" s="394"/>
      <c r="H89" s="394"/>
      <c r="L89" s="12"/>
    </row>
    <row r="90" spans="2:12" s="1" customFormat="1" ht="6.9" customHeight="1">
      <c r="B90" s="12"/>
      <c r="L90" s="12"/>
    </row>
    <row r="91" spans="2:12" s="1" customFormat="1" ht="12" customHeight="1">
      <c r="B91" s="12"/>
      <c r="C91" s="10" t="s">
        <v>20</v>
      </c>
      <c r="F91" s="32" t="str">
        <f>F14</f>
        <v>Praha</v>
      </c>
      <c r="I91" s="10" t="s">
        <v>22</v>
      </c>
      <c r="J91" s="11">
        <f>IF(J14="","",J14)</f>
        <v>45000</v>
      </c>
      <c r="L91" s="12"/>
    </row>
    <row r="92" spans="2:12" s="1" customFormat="1" ht="6.9" customHeight="1">
      <c r="B92" s="12"/>
      <c r="L92" s="12"/>
    </row>
    <row r="93" spans="2:12" s="1" customFormat="1" ht="15.15" customHeight="1">
      <c r="B93" s="12"/>
      <c r="C93" s="10" t="s">
        <v>23</v>
      </c>
      <c r="F93" s="32" t="str">
        <f>E17</f>
        <v>VELTON REAL ESTATE</v>
      </c>
      <c r="I93" s="10" t="s">
        <v>31</v>
      </c>
      <c r="J93" s="8" t="str">
        <f>E23</f>
        <v>ABMV World s.r.o</v>
      </c>
      <c r="L93" s="12"/>
    </row>
    <row r="94" spans="2:12" s="1" customFormat="1" ht="15.15"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J127</f>
        <v>12086552</v>
      </c>
      <c r="L98" s="12"/>
      <c r="AU98" s="23" t="s">
        <v>188</v>
      </c>
    </row>
    <row r="99" spans="2:47" s="29" customFormat="1" ht="24.9" customHeight="1">
      <c r="B99" s="60"/>
      <c r="D99" s="61" t="s">
        <v>4917</v>
      </c>
      <c r="E99" s="62"/>
      <c r="F99" s="62"/>
      <c r="G99" s="62"/>
      <c r="H99" s="62"/>
      <c r="I99" s="62"/>
      <c r="J99" s="77">
        <f>J128</f>
        <v>12086552</v>
      </c>
      <c r="L99" s="60"/>
    </row>
    <row r="100" spans="2:47" s="30" customFormat="1" ht="20.100000000000001" customHeight="1">
      <c r="B100" s="63"/>
      <c r="D100" s="64" t="s">
        <v>4918</v>
      </c>
      <c r="E100" s="65"/>
      <c r="F100" s="65"/>
      <c r="G100" s="65"/>
      <c r="H100" s="65"/>
      <c r="I100" s="65"/>
      <c r="J100" s="78">
        <f>J129</f>
        <v>2911100</v>
      </c>
      <c r="L100" s="63"/>
    </row>
    <row r="101" spans="2:47" s="30" customFormat="1" ht="20.100000000000001" customHeight="1">
      <c r="B101" s="63"/>
      <c r="D101" s="64" t="s">
        <v>4919</v>
      </c>
      <c r="E101" s="65"/>
      <c r="F101" s="65"/>
      <c r="G101" s="65"/>
      <c r="H101" s="65"/>
      <c r="I101" s="65"/>
      <c r="J101" s="78">
        <f>J159</f>
        <v>921760</v>
      </c>
      <c r="L101" s="63"/>
    </row>
    <row r="102" spans="2:47" s="30" customFormat="1" ht="20.100000000000001" customHeight="1">
      <c r="B102" s="63"/>
      <c r="D102" s="64" t="s">
        <v>4920</v>
      </c>
      <c r="E102" s="65"/>
      <c r="F102" s="65"/>
      <c r="G102" s="65"/>
      <c r="H102" s="65"/>
      <c r="I102" s="65"/>
      <c r="J102" s="78">
        <f>J185</f>
        <v>2435000</v>
      </c>
      <c r="L102" s="63"/>
    </row>
    <row r="103" spans="2:47" s="30" customFormat="1" ht="20.100000000000001" customHeight="1">
      <c r="B103" s="63"/>
      <c r="D103" s="64" t="s">
        <v>4921</v>
      </c>
      <c r="E103" s="65"/>
      <c r="F103" s="65"/>
      <c r="G103" s="65"/>
      <c r="H103" s="65"/>
      <c r="I103" s="65"/>
      <c r="J103" s="78">
        <f>J207</f>
        <v>4559192</v>
      </c>
      <c r="L103" s="63"/>
    </row>
    <row r="104" spans="2:47" s="30" customFormat="1" ht="20.100000000000001" customHeight="1">
      <c r="B104" s="63"/>
      <c r="D104" s="64" t="s">
        <v>4922</v>
      </c>
      <c r="E104" s="65"/>
      <c r="F104" s="65"/>
      <c r="G104" s="65"/>
      <c r="H104" s="65"/>
      <c r="I104" s="65"/>
      <c r="J104" s="78">
        <f>J255</f>
        <v>785000</v>
      </c>
      <c r="L104" s="63"/>
    </row>
    <row r="105" spans="2:47" s="30" customFormat="1" ht="20.100000000000001" customHeight="1">
      <c r="B105" s="63"/>
      <c r="D105" s="64" t="s">
        <v>4923</v>
      </c>
      <c r="E105" s="65"/>
      <c r="F105" s="65"/>
      <c r="G105" s="65"/>
      <c r="H105" s="65"/>
      <c r="I105" s="65"/>
      <c r="J105" s="78">
        <f>J265</f>
        <v>474500</v>
      </c>
      <c r="L105" s="63"/>
    </row>
    <row r="106" spans="2:47" s="1" customFormat="1" ht="21.75" customHeight="1">
      <c r="B106" s="12"/>
      <c r="L106" s="12"/>
    </row>
    <row r="107" spans="2:47" s="1" customFormat="1" ht="6.9" customHeight="1">
      <c r="B107" s="26"/>
      <c r="C107" s="27"/>
      <c r="D107" s="27"/>
      <c r="E107" s="27"/>
      <c r="F107" s="27"/>
      <c r="G107" s="27"/>
      <c r="H107" s="27"/>
      <c r="I107" s="27"/>
      <c r="J107" s="27"/>
      <c r="K107" s="27"/>
      <c r="L107" s="12"/>
    </row>
    <row r="111" spans="2:47" s="1" customFormat="1" ht="6.9" customHeight="1">
      <c r="B111" s="56"/>
      <c r="C111" s="57"/>
      <c r="D111" s="57"/>
      <c r="E111" s="57"/>
      <c r="F111" s="57"/>
      <c r="G111" s="57"/>
      <c r="H111" s="57"/>
      <c r="I111" s="57"/>
      <c r="J111" s="57"/>
      <c r="K111" s="57"/>
      <c r="L111" s="12"/>
    </row>
    <row r="112" spans="2:47" s="1" customFormat="1" ht="24.9" customHeight="1">
      <c r="B112" s="12"/>
      <c r="C112" s="6" t="s">
        <v>195</v>
      </c>
      <c r="L112" s="12"/>
    </row>
    <row r="113" spans="2:63" s="1" customFormat="1" ht="6.9" customHeight="1">
      <c r="B113" s="12"/>
      <c r="L113" s="12"/>
    </row>
    <row r="114" spans="2:63" s="1" customFormat="1" ht="12" customHeight="1">
      <c r="B114" s="12"/>
      <c r="C114" s="10" t="s">
        <v>16</v>
      </c>
      <c r="L114" s="12"/>
    </row>
    <row r="115" spans="2:63" s="1" customFormat="1" ht="16.5" customHeight="1">
      <c r="B115" s="12"/>
      <c r="E115" s="392" t="str">
        <f>E7</f>
        <v>Bytový soubor Libuše</v>
      </c>
      <c r="F115" s="393"/>
      <c r="G115" s="393"/>
      <c r="H115" s="393"/>
      <c r="L115" s="12"/>
    </row>
    <row r="116" spans="2:63" ht="12" customHeight="1">
      <c r="B116" s="5"/>
      <c r="C116" s="10" t="s">
        <v>182</v>
      </c>
      <c r="L116" s="5"/>
    </row>
    <row r="117" spans="2:63" s="1" customFormat="1" ht="16.5" customHeight="1">
      <c r="B117" s="12"/>
      <c r="E117" s="392" t="s">
        <v>293</v>
      </c>
      <c r="F117" s="394"/>
      <c r="G117" s="394"/>
      <c r="H117" s="394"/>
      <c r="L117" s="12"/>
    </row>
    <row r="118" spans="2:63" s="1" customFormat="1" ht="12" customHeight="1">
      <c r="B118" s="12"/>
      <c r="C118" s="10" t="s">
        <v>296</v>
      </c>
      <c r="L118" s="12"/>
    </row>
    <row r="119" spans="2:63" s="1" customFormat="1" ht="16.5" customHeight="1">
      <c r="B119" s="12"/>
      <c r="E119" s="381" t="str">
        <f>E11</f>
        <v>D1.620 - Silnoproudá elektroinstalace</v>
      </c>
      <c r="F119" s="394"/>
      <c r="G119" s="394"/>
      <c r="H119" s="394"/>
      <c r="L119" s="12"/>
    </row>
    <row r="120" spans="2:63" s="1" customFormat="1" ht="6.9" customHeight="1">
      <c r="B120" s="12"/>
      <c r="L120" s="12"/>
    </row>
    <row r="121" spans="2:63" s="1" customFormat="1" ht="12" customHeight="1">
      <c r="B121" s="12"/>
      <c r="C121" s="10" t="s">
        <v>20</v>
      </c>
      <c r="F121" s="32" t="str">
        <f>F14</f>
        <v>Praha</v>
      </c>
      <c r="I121" s="10" t="s">
        <v>22</v>
      </c>
      <c r="J121" s="11">
        <f>IF(J14="","",J14)</f>
        <v>45000</v>
      </c>
      <c r="L121" s="12"/>
    </row>
    <row r="122" spans="2:63" s="1" customFormat="1" ht="6.9" customHeight="1">
      <c r="B122" s="12"/>
      <c r="L122" s="12"/>
    </row>
    <row r="123" spans="2:63" s="1" customFormat="1" ht="15.15" customHeight="1">
      <c r="B123" s="12"/>
      <c r="C123" s="10" t="s">
        <v>23</v>
      </c>
      <c r="F123" s="32" t="str">
        <f>E17</f>
        <v>VELTON REAL ESTATE</v>
      </c>
      <c r="I123" s="10" t="s">
        <v>31</v>
      </c>
      <c r="J123" s="8" t="str">
        <f>E23</f>
        <v>ABMV World s.r.o</v>
      </c>
      <c r="L123" s="12"/>
    </row>
    <row r="124" spans="2:63" s="1" customFormat="1" ht="15.15" customHeight="1">
      <c r="B124" s="12"/>
      <c r="C124" s="10" t="s">
        <v>27</v>
      </c>
      <c r="F124" s="32" t="str">
        <f>IF(E20="","",E20)</f>
        <v>DMG Stav a.s.</v>
      </c>
      <c r="I124" s="10" t="s">
        <v>34</v>
      </c>
      <c r="J124" s="8" t="str">
        <f>E26</f>
        <v>QSB s.r.o.</v>
      </c>
      <c r="L124" s="12"/>
    </row>
    <row r="125" spans="2:63" s="1" customFormat="1" ht="10.35" customHeight="1">
      <c r="B125" s="12"/>
      <c r="L125" s="12"/>
    </row>
    <row r="126" spans="2:63" s="2" customFormat="1" ht="29.25" customHeight="1">
      <c r="B126" s="13"/>
      <c r="C126" s="14" t="s">
        <v>196</v>
      </c>
      <c r="D126" s="15" t="s">
        <v>62</v>
      </c>
      <c r="E126" s="15" t="s">
        <v>58</v>
      </c>
      <c r="F126" s="15" t="s">
        <v>59</v>
      </c>
      <c r="G126" s="15" t="s">
        <v>197</v>
      </c>
      <c r="H126" s="15" t="s">
        <v>198</v>
      </c>
      <c r="I126" s="15" t="s">
        <v>199</v>
      </c>
      <c r="J126" s="16" t="s">
        <v>186</v>
      </c>
      <c r="K126" s="79" t="s">
        <v>200</v>
      </c>
      <c r="L126" s="13"/>
      <c r="M126" s="80" t="s">
        <v>1</v>
      </c>
      <c r="N126" s="81" t="s">
        <v>41</v>
      </c>
      <c r="O126" s="81" t="s">
        <v>201</v>
      </c>
      <c r="P126" s="81" t="s">
        <v>202</v>
      </c>
      <c r="Q126" s="81" t="s">
        <v>203</v>
      </c>
      <c r="R126" s="81" t="s">
        <v>204</v>
      </c>
      <c r="S126" s="81" t="s">
        <v>205</v>
      </c>
      <c r="T126" s="96" t="s">
        <v>206</v>
      </c>
    </row>
    <row r="127" spans="2:63" s="1" customFormat="1" ht="23.1" customHeight="1">
      <c r="B127" s="12"/>
      <c r="C127" s="66" t="s">
        <v>207</v>
      </c>
      <c r="J127" s="82">
        <f>BK127</f>
        <v>12086552</v>
      </c>
      <c r="L127" s="12"/>
      <c r="M127" s="83"/>
      <c r="N127" s="35"/>
      <c r="O127" s="35"/>
      <c r="P127" s="84">
        <f>P128</f>
        <v>0</v>
      </c>
      <c r="Q127" s="35"/>
      <c r="R127" s="84">
        <f>R128</f>
        <v>16.575690000000002</v>
      </c>
      <c r="S127" s="35"/>
      <c r="T127" s="97">
        <f>T128</f>
        <v>0</v>
      </c>
      <c r="AT127" s="23" t="s">
        <v>76</v>
      </c>
      <c r="AU127" s="23" t="s">
        <v>188</v>
      </c>
      <c r="BK127" s="102">
        <f>BK128</f>
        <v>12086552</v>
      </c>
    </row>
    <row r="128" spans="2:63" s="31" customFormat="1" ht="26.1" customHeight="1">
      <c r="B128" s="67"/>
      <c r="D128" s="68" t="s">
        <v>76</v>
      </c>
      <c r="E128" s="69" t="s">
        <v>352</v>
      </c>
      <c r="F128" s="69" t="s">
        <v>352</v>
      </c>
      <c r="I128" s="85"/>
      <c r="J128" s="86">
        <f>BK128</f>
        <v>12086552</v>
      </c>
      <c r="L128" s="67"/>
      <c r="M128" s="87"/>
      <c r="P128" s="88">
        <f>P129+P159+P185+P207+P255+P265</f>
        <v>0</v>
      </c>
      <c r="R128" s="88">
        <f>R129+R159+R185+R207+R255+R265</f>
        <v>16.575690000000002</v>
      </c>
      <c r="T128" s="98">
        <f>T129+T159+T185+T207+T255+T265</f>
        <v>0</v>
      </c>
      <c r="AR128" s="68" t="s">
        <v>85</v>
      </c>
      <c r="AT128" s="100" t="s">
        <v>76</v>
      </c>
      <c r="AU128" s="100" t="s">
        <v>77</v>
      </c>
      <c r="AY128" s="68" t="s">
        <v>211</v>
      </c>
      <c r="BK128" s="103">
        <f>BK129+BK159+BK185+BK207+BK255+BK265</f>
        <v>12086552</v>
      </c>
    </row>
    <row r="129" spans="2:65" s="31" customFormat="1" ht="23.1" customHeight="1">
      <c r="B129" s="67"/>
      <c r="D129" s="68" t="s">
        <v>76</v>
      </c>
      <c r="E129" s="70" t="s">
        <v>4924</v>
      </c>
      <c r="F129" s="70" t="s">
        <v>4925</v>
      </c>
      <c r="I129" s="85"/>
      <c r="J129" s="89">
        <f>BK129</f>
        <v>2911100</v>
      </c>
      <c r="L129" s="67"/>
      <c r="M129" s="87"/>
      <c r="P129" s="88">
        <f>SUM(P130:P158)</f>
        <v>0</v>
      </c>
      <c r="R129" s="88">
        <f>SUM(R130:R158)</f>
        <v>0</v>
      </c>
      <c r="T129" s="98">
        <f>SUM(T130:T158)</f>
        <v>0</v>
      </c>
      <c r="AR129" s="68" t="s">
        <v>85</v>
      </c>
      <c r="AT129" s="100" t="s">
        <v>76</v>
      </c>
      <c r="AU129" s="100" t="s">
        <v>85</v>
      </c>
      <c r="AY129" s="68" t="s">
        <v>211</v>
      </c>
      <c r="BK129" s="103">
        <f>SUM(BK130:BK158)</f>
        <v>2911100</v>
      </c>
    </row>
    <row r="130" spans="2:65" s="1" customFormat="1" ht="16.5" customHeight="1">
      <c r="B130" s="12"/>
      <c r="C130" s="114" t="s">
        <v>85</v>
      </c>
      <c r="D130" s="114" t="s">
        <v>438</v>
      </c>
      <c r="E130" s="115" t="s">
        <v>4926</v>
      </c>
      <c r="F130" s="116" t="s">
        <v>4927</v>
      </c>
      <c r="G130" s="117" t="s">
        <v>808</v>
      </c>
      <c r="H130" s="118">
        <v>14</v>
      </c>
      <c r="I130" s="122">
        <v>6000</v>
      </c>
      <c r="J130" s="123">
        <f>ROUND(I130*H130,2)</f>
        <v>84000</v>
      </c>
      <c r="K130" s="124"/>
      <c r="L130" s="125"/>
      <c r="M130" s="126" t="s">
        <v>1</v>
      </c>
      <c r="N130" s="127" t="s">
        <v>43</v>
      </c>
      <c r="P130" s="95">
        <f>O130*H130</f>
        <v>0</v>
      </c>
      <c r="Q130" s="95">
        <v>0</v>
      </c>
      <c r="R130" s="95">
        <f>Q130*H130</f>
        <v>0</v>
      </c>
      <c r="S130" s="95">
        <v>0</v>
      </c>
      <c r="T130" s="99">
        <f>S130*H130</f>
        <v>0</v>
      </c>
      <c r="AR130" s="101" t="s">
        <v>250</v>
      </c>
      <c r="AT130" s="101" t="s">
        <v>438</v>
      </c>
      <c r="AU130" s="101" t="s">
        <v>87</v>
      </c>
      <c r="AY130" s="23" t="s">
        <v>211</v>
      </c>
      <c r="BE130" s="104">
        <f>IF(N130="základní",J130,0)</f>
        <v>0</v>
      </c>
      <c r="BF130" s="104">
        <f>IF(N130="snížená",J130,0)</f>
        <v>84000</v>
      </c>
      <c r="BG130" s="104">
        <f>IF(N130="zákl. přenesená",J130,0)</f>
        <v>0</v>
      </c>
      <c r="BH130" s="104">
        <f>IF(N130="sníž. přenesená",J130,0)</f>
        <v>0</v>
      </c>
      <c r="BI130" s="104">
        <f>IF(N130="nulová",J130,0)</f>
        <v>0</v>
      </c>
      <c r="BJ130" s="23" t="s">
        <v>87</v>
      </c>
      <c r="BK130" s="104">
        <f>ROUND(I130*H130,2)</f>
        <v>84000</v>
      </c>
      <c r="BL130" s="23" t="s">
        <v>218</v>
      </c>
      <c r="BM130" s="101" t="s">
        <v>4928</v>
      </c>
    </row>
    <row r="131" spans="2:65" s="1" customFormat="1" ht="16.5" customHeight="1">
      <c r="B131" s="12"/>
      <c r="C131" s="114" t="s">
        <v>87</v>
      </c>
      <c r="D131" s="114" t="s">
        <v>438</v>
      </c>
      <c r="E131" s="115" t="s">
        <v>4929</v>
      </c>
      <c r="F131" s="116" t="s">
        <v>4927</v>
      </c>
      <c r="G131" s="117" t="s">
        <v>808</v>
      </c>
      <c r="H131" s="118">
        <v>30</v>
      </c>
      <c r="I131" s="122">
        <v>5000</v>
      </c>
      <c r="J131" s="123">
        <f>ROUND(I131*H131,2)</f>
        <v>150000</v>
      </c>
      <c r="K131" s="124"/>
      <c r="L131" s="125"/>
      <c r="M131" s="126" t="s">
        <v>1</v>
      </c>
      <c r="N131" s="127" t="s">
        <v>43</v>
      </c>
      <c r="P131" s="95">
        <f>O131*H131</f>
        <v>0</v>
      </c>
      <c r="Q131" s="95">
        <v>0</v>
      </c>
      <c r="R131" s="95">
        <f>Q131*H131</f>
        <v>0</v>
      </c>
      <c r="S131" s="95">
        <v>0</v>
      </c>
      <c r="T131" s="99">
        <f>S131*H131</f>
        <v>0</v>
      </c>
      <c r="AR131" s="101" t="s">
        <v>250</v>
      </c>
      <c r="AT131" s="101" t="s">
        <v>438</v>
      </c>
      <c r="AU131" s="101" t="s">
        <v>87</v>
      </c>
      <c r="AY131" s="23" t="s">
        <v>211</v>
      </c>
      <c r="BE131" s="104">
        <f>IF(N131="základní",J131,0)</f>
        <v>0</v>
      </c>
      <c r="BF131" s="104">
        <f>IF(N131="snížená",J131,0)</f>
        <v>150000</v>
      </c>
      <c r="BG131" s="104">
        <f>IF(N131="zákl. přenesená",J131,0)</f>
        <v>0</v>
      </c>
      <c r="BH131" s="104">
        <f>IF(N131="sníž. přenesená",J131,0)</f>
        <v>0</v>
      </c>
      <c r="BI131" s="104">
        <f>IF(N131="nulová",J131,0)</f>
        <v>0</v>
      </c>
      <c r="BJ131" s="23" t="s">
        <v>87</v>
      </c>
      <c r="BK131" s="104">
        <f>ROUND(I131*H131,2)</f>
        <v>150000</v>
      </c>
      <c r="BL131" s="23" t="s">
        <v>218</v>
      </c>
      <c r="BM131" s="101" t="s">
        <v>4930</v>
      </c>
    </row>
    <row r="132" spans="2:65" s="1" customFormat="1" ht="16.5" customHeight="1">
      <c r="B132" s="12"/>
      <c r="C132" s="114" t="s">
        <v>137</v>
      </c>
      <c r="D132" s="114" t="s">
        <v>438</v>
      </c>
      <c r="E132" s="115" t="s">
        <v>4931</v>
      </c>
      <c r="F132" s="116" t="s">
        <v>4932</v>
      </c>
      <c r="G132" s="117" t="s">
        <v>808</v>
      </c>
      <c r="H132" s="118">
        <v>18</v>
      </c>
      <c r="I132" s="122">
        <v>5500</v>
      </c>
      <c r="J132" s="123">
        <f>ROUND(I132*H132,2)</f>
        <v>99000</v>
      </c>
      <c r="K132" s="124"/>
      <c r="L132" s="125"/>
      <c r="M132" s="126" t="s">
        <v>1</v>
      </c>
      <c r="N132" s="127" t="s">
        <v>43</v>
      </c>
      <c r="P132" s="95">
        <f>O132*H132</f>
        <v>0</v>
      </c>
      <c r="Q132" s="95">
        <v>0</v>
      </c>
      <c r="R132" s="95">
        <f>Q132*H132</f>
        <v>0</v>
      </c>
      <c r="S132" s="95">
        <v>0</v>
      </c>
      <c r="T132" s="99">
        <f>S132*H132</f>
        <v>0</v>
      </c>
      <c r="AR132" s="101" t="s">
        <v>250</v>
      </c>
      <c r="AT132" s="101" t="s">
        <v>438</v>
      </c>
      <c r="AU132" s="101" t="s">
        <v>87</v>
      </c>
      <c r="AY132" s="23" t="s">
        <v>211</v>
      </c>
      <c r="BE132" s="104">
        <f>IF(N132="základní",J132,0)</f>
        <v>0</v>
      </c>
      <c r="BF132" s="104">
        <f>IF(N132="snížená",J132,0)</f>
        <v>99000</v>
      </c>
      <c r="BG132" s="104">
        <f>IF(N132="zákl. přenesená",J132,0)</f>
        <v>0</v>
      </c>
      <c r="BH132" s="104">
        <f>IF(N132="sníž. přenesená",J132,0)</f>
        <v>0</v>
      </c>
      <c r="BI132" s="104">
        <f>IF(N132="nulová",J132,0)</f>
        <v>0</v>
      </c>
      <c r="BJ132" s="23" t="s">
        <v>87</v>
      </c>
      <c r="BK132" s="104">
        <f>ROUND(I132*H132,2)</f>
        <v>99000</v>
      </c>
      <c r="BL132" s="23" t="s">
        <v>218</v>
      </c>
      <c r="BM132" s="101" t="s">
        <v>4933</v>
      </c>
    </row>
    <row r="133" spans="2:65" s="1" customFormat="1" ht="16.5" customHeight="1">
      <c r="B133" s="12"/>
      <c r="C133" s="114" t="s">
        <v>218</v>
      </c>
      <c r="D133" s="114" t="s">
        <v>438</v>
      </c>
      <c r="E133" s="115" t="s">
        <v>4934</v>
      </c>
      <c r="F133" s="116" t="s">
        <v>4935</v>
      </c>
      <c r="G133" s="117" t="s">
        <v>808</v>
      </c>
      <c r="H133" s="118">
        <v>18</v>
      </c>
      <c r="I133" s="122">
        <v>200</v>
      </c>
      <c r="J133" s="123">
        <f>ROUND(I133*H133,2)</f>
        <v>3600</v>
      </c>
      <c r="K133" s="124"/>
      <c r="L133" s="125"/>
      <c r="M133" s="126" t="s">
        <v>1</v>
      </c>
      <c r="N133" s="127" t="s">
        <v>43</v>
      </c>
      <c r="P133" s="95">
        <f>O133*H133</f>
        <v>0</v>
      </c>
      <c r="Q133" s="95">
        <v>0</v>
      </c>
      <c r="R133" s="95">
        <f>Q133*H133</f>
        <v>0</v>
      </c>
      <c r="S133" s="95">
        <v>0</v>
      </c>
      <c r="T133" s="99">
        <f>S133*H133</f>
        <v>0</v>
      </c>
      <c r="AR133" s="101" t="s">
        <v>250</v>
      </c>
      <c r="AT133" s="101" t="s">
        <v>438</v>
      </c>
      <c r="AU133" s="101" t="s">
        <v>87</v>
      </c>
      <c r="AY133" s="23" t="s">
        <v>211</v>
      </c>
      <c r="BE133" s="104">
        <f>IF(N133="základní",J133,0)</f>
        <v>0</v>
      </c>
      <c r="BF133" s="104">
        <f>IF(N133="snížená",J133,0)</f>
        <v>3600</v>
      </c>
      <c r="BG133" s="104">
        <f>IF(N133="zákl. přenesená",J133,0)</f>
        <v>0</v>
      </c>
      <c r="BH133" s="104">
        <f>IF(N133="sníž. přenesená",J133,0)</f>
        <v>0</v>
      </c>
      <c r="BI133" s="104">
        <f>IF(N133="nulová",J133,0)</f>
        <v>0</v>
      </c>
      <c r="BJ133" s="23" t="s">
        <v>87</v>
      </c>
      <c r="BK133" s="104">
        <f>ROUND(I133*H133,2)</f>
        <v>3600</v>
      </c>
      <c r="BL133" s="23" t="s">
        <v>218</v>
      </c>
      <c r="BM133" s="101" t="s">
        <v>4936</v>
      </c>
    </row>
    <row r="134" spans="2:65" s="1" customFormat="1" ht="16.5" customHeight="1">
      <c r="B134" s="12"/>
      <c r="C134" s="114" t="s">
        <v>210</v>
      </c>
      <c r="D134" s="114" t="s">
        <v>438</v>
      </c>
      <c r="E134" s="115" t="s">
        <v>4937</v>
      </c>
      <c r="F134" s="116" t="s">
        <v>4938</v>
      </c>
      <c r="G134" s="117" t="s">
        <v>808</v>
      </c>
      <c r="H134" s="118">
        <v>36</v>
      </c>
      <c r="I134" s="122">
        <v>200</v>
      </c>
      <c r="J134" s="123">
        <f>ROUND(I134*H134,2)</f>
        <v>7200</v>
      </c>
      <c r="K134" s="124"/>
      <c r="L134" s="125"/>
      <c r="M134" s="126" t="s">
        <v>1</v>
      </c>
      <c r="N134" s="127" t="s">
        <v>43</v>
      </c>
      <c r="P134" s="95">
        <f>O134*H134</f>
        <v>0</v>
      </c>
      <c r="Q134" s="95">
        <v>0</v>
      </c>
      <c r="R134" s="95">
        <f>Q134*H134</f>
        <v>0</v>
      </c>
      <c r="S134" s="95">
        <v>0</v>
      </c>
      <c r="T134" s="99">
        <f>S134*H134</f>
        <v>0</v>
      </c>
      <c r="AR134" s="101" t="s">
        <v>250</v>
      </c>
      <c r="AT134" s="101" t="s">
        <v>438</v>
      </c>
      <c r="AU134" s="101" t="s">
        <v>87</v>
      </c>
      <c r="AY134" s="23" t="s">
        <v>211</v>
      </c>
      <c r="BE134" s="104">
        <f>IF(N134="základní",J134,0)</f>
        <v>0</v>
      </c>
      <c r="BF134" s="104">
        <f>IF(N134="snížená",J134,0)</f>
        <v>7200</v>
      </c>
      <c r="BG134" s="104">
        <f>IF(N134="zákl. přenesená",J134,0)</f>
        <v>0</v>
      </c>
      <c r="BH134" s="104">
        <f>IF(N134="sníž. přenesená",J134,0)</f>
        <v>0</v>
      </c>
      <c r="BI134" s="104">
        <f>IF(N134="nulová",J134,0)</f>
        <v>0</v>
      </c>
      <c r="BJ134" s="23" t="s">
        <v>87</v>
      </c>
      <c r="BK134" s="104">
        <f>ROUND(I134*H134,2)</f>
        <v>7200</v>
      </c>
      <c r="BL134" s="23" t="s">
        <v>218</v>
      </c>
      <c r="BM134" s="101" t="s">
        <v>4939</v>
      </c>
    </row>
    <row r="135" spans="2:65" s="113" customFormat="1">
      <c r="B135" s="119"/>
      <c r="D135" s="105" t="s">
        <v>365</v>
      </c>
      <c r="F135" s="120" t="s">
        <v>4940</v>
      </c>
      <c r="H135" s="121">
        <v>36</v>
      </c>
      <c r="I135" s="128"/>
      <c r="L135" s="119"/>
      <c r="M135" s="129"/>
      <c r="T135" s="133"/>
      <c r="AT135" s="135" t="s">
        <v>365</v>
      </c>
      <c r="AU135" s="135" t="s">
        <v>87</v>
      </c>
      <c r="AV135" s="113" t="s">
        <v>87</v>
      </c>
      <c r="AW135" s="113" t="s">
        <v>4</v>
      </c>
      <c r="AX135" s="113" t="s">
        <v>85</v>
      </c>
      <c r="AY135" s="135" t="s">
        <v>211</v>
      </c>
    </row>
    <row r="136" spans="2:65" s="1" customFormat="1" ht="16.5" customHeight="1">
      <c r="B136" s="12"/>
      <c r="C136" s="114" t="s">
        <v>239</v>
      </c>
      <c r="D136" s="114" t="s">
        <v>438</v>
      </c>
      <c r="E136" s="115" t="s">
        <v>4941</v>
      </c>
      <c r="F136" s="116" t="s">
        <v>4942</v>
      </c>
      <c r="G136" s="117" t="s">
        <v>808</v>
      </c>
      <c r="H136" s="118">
        <v>18</v>
      </c>
      <c r="I136" s="122">
        <v>200</v>
      </c>
      <c r="J136" s="123">
        <f t="shared" ref="J136:J158" si="0">ROUND(I136*H136,2)</f>
        <v>3600</v>
      </c>
      <c r="K136" s="124"/>
      <c r="L136" s="125"/>
      <c r="M136" s="126" t="s">
        <v>1</v>
      </c>
      <c r="N136" s="127" t="s">
        <v>43</v>
      </c>
      <c r="P136" s="95">
        <f t="shared" ref="P136:P158" si="1">O136*H136</f>
        <v>0</v>
      </c>
      <c r="Q136" s="95">
        <v>0</v>
      </c>
      <c r="R136" s="95">
        <f t="shared" ref="R136:R158" si="2">Q136*H136</f>
        <v>0</v>
      </c>
      <c r="S136" s="95">
        <v>0</v>
      </c>
      <c r="T136" s="99">
        <f t="shared" ref="T136:T158" si="3">S136*H136</f>
        <v>0</v>
      </c>
      <c r="AR136" s="101" t="s">
        <v>250</v>
      </c>
      <c r="AT136" s="101" t="s">
        <v>438</v>
      </c>
      <c r="AU136" s="101" t="s">
        <v>87</v>
      </c>
      <c r="AY136" s="23" t="s">
        <v>211</v>
      </c>
      <c r="BE136" s="104">
        <f t="shared" ref="BE136:BE158" si="4">IF(N136="základní",J136,0)</f>
        <v>0</v>
      </c>
      <c r="BF136" s="104">
        <f t="shared" ref="BF136:BF158" si="5">IF(N136="snížená",J136,0)</f>
        <v>3600</v>
      </c>
      <c r="BG136" s="104">
        <f t="shared" ref="BG136:BG158" si="6">IF(N136="zákl. přenesená",J136,0)</f>
        <v>0</v>
      </c>
      <c r="BH136" s="104">
        <f t="shared" ref="BH136:BH158" si="7">IF(N136="sníž. přenesená",J136,0)</f>
        <v>0</v>
      </c>
      <c r="BI136" s="104">
        <f t="shared" ref="BI136:BI158" si="8">IF(N136="nulová",J136,0)</f>
        <v>0</v>
      </c>
      <c r="BJ136" s="23" t="s">
        <v>87</v>
      </c>
      <c r="BK136" s="104">
        <f t="shared" ref="BK136:BK158" si="9">ROUND(I136*H136,2)</f>
        <v>3600</v>
      </c>
      <c r="BL136" s="23" t="s">
        <v>218</v>
      </c>
      <c r="BM136" s="101" t="s">
        <v>4943</v>
      </c>
    </row>
    <row r="137" spans="2:65" s="1" customFormat="1" ht="24.15" customHeight="1">
      <c r="B137" s="12"/>
      <c r="C137" s="114" t="s">
        <v>245</v>
      </c>
      <c r="D137" s="114" t="s">
        <v>438</v>
      </c>
      <c r="E137" s="115" t="s">
        <v>4944</v>
      </c>
      <c r="F137" s="116" t="s">
        <v>4945</v>
      </c>
      <c r="G137" s="117" t="s">
        <v>808</v>
      </c>
      <c r="H137" s="118">
        <v>97</v>
      </c>
      <c r="I137" s="122">
        <v>1500</v>
      </c>
      <c r="J137" s="123">
        <f t="shared" si="0"/>
        <v>145500</v>
      </c>
      <c r="K137" s="124"/>
      <c r="L137" s="125"/>
      <c r="M137" s="126" t="s">
        <v>1</v>
      </c>
      <c r="N137" s="127" t="s">
        <v>43</v>
      </c>
      <c r="P137" s="95">
        <f t="shared" si="1"/>
        <v>0</v>
      </c>
      <c r="Q137" s="95">
        <v>0</v>
      </c>
      <c r="R137" s="95">
        <f t="shared" si="2"/>
        <v>0</v>
      </c>
      <c r="S137" s="95">
        <v>0</v>
      </c>
      <c r="T137" s="99">
        <f t="shared" si="3"/>
        <v>0</v>
      </c>
      <c r="AR137" s="101" t="s">
        <v>250</v>
      </c>
      <c r="AT137" s="101" t="s">
        <v>438</v>
      </c>
      <c r="AU137" s="101" t="s">
        <v>87</v>
      </c>
      <c r="AY137" s="23" t="s">
        <v>211</v>
      </c>
      <c r="BE137" s="104">
        <f t="shared" si="4"/>
        <v>0</v>
      </c>
      <c r="BF137" s="104">
        <f t="shared" si="5"/>
        <v>145500</v>
      </c>
      <c r="BG137" s="104">
        <f t="shared" si="6"/>
        <v>0</v>
      </c>
      <c r="BH137" s="104">
        <f t="shared" si="7"/>
        <v>0</v>
      </c>
      <c r="BI137" s="104">
        <f t="shared" si="8"/>
        <v>0</v>
      </c>
      <c r="BJ137" s="23" t="s">
        <v>87</v>
      </c>
      <c r="BK137" s="104">
        <f t="shared" si="9"/>
        <v>145500</v>
      </c>
      <c r="BL137" s="23" t="s">
        <v>218</v>
      </c>
      <c r="BM137" s="101" t="s">
        <v>4946</v>
      </c>
    </row>
    <row r="138" spans="2:65" s="1" customFormat="1" ht="24.15" customHeight="1">
      <c r="B138" s="12"/>
      <c r="C138" s="114" t="s">
        <v>250</v>
      </c>
      <c r="D138" s="114" t="s">
        <v>438</v>
      </c>
      <c r="E138" s="115" t="s">
        <v>4947</v>
      </c>
      <c r="F138" s="116" t="s">
        <v>4948</v>
      </c>
      <c r="G138" s="117" t="s">
        <v>808</v>
      </c>
      <c r="H138" s="118">
        <v>10</v>
      </c>
      <c r="I138" s="122">
        <v>1600</v>
      </c>
      <c r="J138" s="123">
        <f t="shared" si="0"/>
        <v>16000</v>
      </c>
      <c r="K138" s="124"/>
      <c r="L138" s="125"/>
      <c r="M138" s="126" t="s">
        <v>1</v>
      </c>
      <c r="N138" s="127" t="s">
        <v>43</v>
      </c>
      <c r="P138" s="95">
        <f t="shared" si="1"/>
        <v>0</v>
      </c>
      <c r="Q138" s="95">
        <v>0</v>
      </c>
      <c r="R138" s="95">
        <f t="shared" si="2"/>
        <v>0</v>
      </c>
      <c r="S138" s="95">
        <v>0</v>
      </c>
      <c r="T138" s="99">
        <f t="shared" si="3"/>
        <v>0</v>
      </c>
      <c r="AR138" s="101" t="s">
        <v>250</v>
      </c>
      <c r="AT138" s="101" t="s">
        <v>438</v>
      </c>
      <c r="AU138" s="101" t="s">
        <v>87</v>
      </c>
      <c r="AY138" s="23" t="s">
        <v>211</v>
      </c>
      <c r="BE138" s="104">
        <f t="shared" si="4"/>
        <v>0</v>
      </c>
      <c r="BF138" s="104">
        <f t="shared" si="5"/>
        <v>16000</v>
      </c>
      <c r="BG138" s="104">
        <f t="shared" si="6"/>
        <v>0</v>
      </c>
      <c r="BH138" s="104">
        <f t="shared" si="7"/>
        <v>0</v>
      </c>
      <c r="BI138" s="104">
        <f t="shared" si="8"/>
        <v>0</v>
      </c>
      <c r="BJ138" s="23" t="s">
        <v>87</v>
      </c>
      <c r="BK138" s="104">
        <f t="shared" si="9"/>
        <v>16000</v>
      </c>
      <c r="BL138" s="23" t="s">
        <v>218</v>
      </c>
      <c r="BM138" s="101" t="s">
        <v>4949</v>
      </c>
    </row>
    <row r="139" spans="2:65" s="1" customFormat="1" ht="33" customHeight="1">
      <c r="B139" s="12"/>
      <c r="C139" s="114" t="s">
        <v>255</v>
      </c>
      <c r="D139" s="114" t="s">
        <v>438</v>
      </c>
      <c r="E139" s="115" t="s">
        <v>4950</v>
      </c>
      <c r="F139" s="116" t="s">
        <v>4951</v>
      </c>
      <c r="G139" s="117" t="s">
        <v>808</v>
      </c>
      <c r="H139" s="118">
        <v>43</v>
      </c>
      <c r="I139" s="122">
        <v>1200</v>
      </c>
      <c r="J139" s="123">
        <f t="shared" si="0"/>
        <v>51600</v>
      </c>
      <c r="K139" s="124"/>
      <c r="L139" s="125"/>
      <c r="M139" s="126" t="s">
        <v>1</v>
      </c>
      <c r="N139" s="127" t="s">
        <v>43</v>
      </c>
      <c r="P139" s="95">
        <f t="shared" si="1"/>
        <v>0</v>
      </c>
      <c r="Q139" s="95">
        <v>0</v>
      </c>
      <c r="R139" s="95">
        <f t="shared" si="2"/>
        <v>0</v>
      </c>
      <c r="S139" s="95">
        <v>0</v>
      </c>
      <c r="T139" s="99">
        <f t="shared" si="3"/>
        <v>0</v>
      </c>
      <c r="AR139" s="101" t="s">
        <v>250</v>
      </c>
      <c r="AT139" s="101" t="s">
        <v>438</v>
      </c>
      <c r="AU139" s="101" t="s">
        <v>87</v>
      </c>
      <c r="AY139" s="23" t="s">
        <v>211</v>
      </c>
      <c r="BE139" s="104">
        <f t="shared" si="4"/>
        <v>0</v>
      </c>
      <c r="BF139" s="104">
        <f t="shared" si="5"/>
        <v>51600</v>
      </c>
      <c r="BG139" s="104">
        <f t="shared" si="6"/>
        <v>0</v>
      </c>
      <c r="BH139" s="104">
        <f t="shared" si="7"/>
        <v>0</v>
      </c>
      <c r="BI139" s="104">
        <f t="shared" si="8"/>
        <v>0</v>
      </c>
      <c r="BJ139" s="23" t="s">
        <v>87</v>
      </c>
      <c r="BK139" s="104">
        <f t="shared" si="9"/>
        <v>51600</v>
      </c>
      <c r="BL139" s="23" t="s">
        <v>218</v>
      </c>
      <c r="BM139" s="101" t="s">
        <v>4952</v>
      </c>
    </row>
    <row r="140" spans="2:65" s="1" customFormat="1" ht="24.15" customHeight="1">
      <c r="B140" s="12"/>
      <c r="C140" s="114" t="s">
        <v>259</v>
      </c>
      <c r="D140" s="114" t="s">
        <v>438</v>
      </c>
      <c r="E140" s="115" t="s">
        <v>4953</v>
      </c>
      <c r="F140" s="116" t="s">
        <v>4954</v>
      </c>
      <c r="G140" s="117" t="s">
        <v>808</v>
      </c>
      <c r="H140" s="118">
        <v>42</v>
      </c>
      <c r="I140" s="122">
        <v>1500</v>
      </c>
      <c r="J140" s="123">
        <f t="shared" si="0"/>
        <v>63000</v>
      </c>
      <c r="K140" s="124"/>
      <c r="L140" s="125"/>
      <c r="M140" s="126" t="s">
        <v>1</v>
      </c>
      <c r="N140" s="127" t="s">
        <v>43</v>
      </c>
      <c r="P140" s="95">
        <f t="shared" si="1"/>
        <v>0</v>
      </c>
      <c r="Q140" s="95">
        <v>0</v>
      </c>
      <c r="R140" s="95">
        <f t="shared" si="2"/>
        <v>0</v>
      </c>
      <c r="S140" s="95">
        <v>0</v>
      </c>
      <c r="T140" s="99">
        <f t="shared" si="3"/>
        <v>0</v>
      </c>
      <c r="AR140" s="101" t="s">
        <v>250</v>
      </c>
      <c r="AT140" s="101" t="s">
        <v>438</v>
      </c>
      <c r="AU140" s="101" t="s">
        <v>87</v>
      </c>
      <c r="AY140" s="23" t="s">
        <v>211</v>
      </c>
      <c r="BE140" s="104">
        <f t="shared" si="4"/>
        <v>0</v>
      </c>
      <c r="BF140" s="104">
        <f t="shared" si="5"/>
        <v>63000</v>
      </c>
      <c r="BG140" s="104">
        <f t="shared" si="6"/>
        <v>0</v>
      </c>
      <c r="BH140" s="104">
        <f t="shared" si="7"/>
        <v>0</v>
      </c>
      <c r="BI140" s="104">
        <f t="shared" si="8"/>
        <v>0</v>
      </c>
      <c r="BJ140" s="23" t="s">
        <v>87</v>
      </c>
      <c r="BK140" s="104">
        <f t="shared" si="9"/>
        <v>63000</v>
      </c>
      <c r="BL140" s="23" t="s">
        <v>218</v>
      </c>
      <c r="BM140" s="101" t="s">
        <v>4955</v>
      </c>
    </row>
    <row r="141" spans="2:65" s="1" customFormat="1" ht="21.75" customHeight="1">
      <c r="B141" s="12"/>
      <c r="C141" s="114" t="s">
        <v>266</v>
      </c>
      <c r="D141" s="114" t="s">
        <v>438</v>
      </c>
      <c r="E141" s="115" t="s">
        <v>4956</v>
      </c>
      <c r="F141" s="116" t="s">
        <v>4957</v>
      </c>
      <c r="G141" s="117" t="s">
        <v>808</v>
      </c>
      <c r="H141" s="118">
        <v>21</v>
      </c>
      <c r="I141" s="122">
        <v>1600</v>
      </c>
      <c r="J141" s="123">
        <f t="shared" si="0"/>
        <v>33600</v>
      </c>
      <c r="K141" s="124"/>
      <c r="L141" s="125"/>
      <c r="M141" s="126" t="s">
        <v>1</v>
      </c>
      <c r="N141" s="127" t="s">
        <v>43</v>
      </c>
      <c r="P141" s="95">
        <f t="shared" si="1"/>
        <v>0</v>
      </c>
      <c r="Q141" s="95">
        <v>0</v>
      </c>
      <c r="R141" s="95">
        <f t="shared" si="2"/>
        <v>0</v>
      </c>
      <c r="S141" s="95">
        <v>0</v>
      </c>
      <c r="T141" s="99">
        <f t="shared" si="3"/>
        <v>0</v>
      </c>
      <c r="AR141" s="101" t="s">
        <v>250</v>
      </c>
      <c r="AT141" s="101" t="s">
        <v>438</v>
      </c>
      <c r="AU141" s="101" t="s">
        <v>87</v>
      </c>
      <c r="AY141" s="23" t="s">
        <v>211</v>
      </c>
      <c r="BE141" s="104">
        <f t="shared" si="4"/>
        <v>0</v>
      </c>
      <c r="BF141" s="104">
        <f t="shared" si="5"/>
        <v>33600</v>
      </c>
      <c r="BG141" s="104">
        <f t="shared" si="6"/>
        <v>0</v>
      </c>
      <c r="BH141" s="104">
        <f t="shared" si="7"/>
        <v>0</v>
      </c>
      <c r="BI141" s="104">
        <f t="shared" si="8"/>
        <v>0</v>
      </c>
      <c r="BJ141" s="23" t="s">
        <v>87</v>
      </c>
      <c r="BK141" s="104">
        <f t="shared" si="9"/>
        <v>33600</v>
      </c>
      <c r="BL141" s="23" t="s">
        <v>218</v>
      </c>
      <c r="BM141" s="101" t="s">
        <v>4958</v>
      </c>
    </row>
    <row r="142" spans="2:65" s="1" customFormat="1" ht="24.15" customHeight="1">
      <c r="B142" s="12"/>
      <c r="C142" s="114" t="s">
        <v>273</v>
      </c>
      <c r="D142" s="114" t="s">
        <v>438</v>
      </c>
      <c r="E142" s="115" t="s">
        <v>4959</v>
      </c>
      <c r="F142" s="116" t="s">
        <v>4960</v>
      </c>
      <c r="G142" s="117" t="s">
        <v>808</v>
      </c>
      <c r="H142" s="118">
        <v>6</v>
      </c>
      <c r="I142" s="122">
        <v>2000</v>
      </c>
      <c r="J142" s="123">
        <f t="shared" si="0"/>
        <v>12000</v>
      </c>
      <c r="K142" s="124"/>
      <c r="L142" s="125"/>
      <c r="M142" s="126" t="s">
        <v>1</v>
      </c>
      <c r="N142" s="127" t="s">
        <v>43</v>
      </c>
      <c r="P142" s="95">
        <f t="shared" si="1"/>
        <v>0</v>
      </c>
      <c r="Q142" s="95">
        <v>0</v>
      </c>
      <c r="R142" s="95">
        <f t="shared" si="2"/>
        <v>0</v>
      </c>
      <c r="S142" s="95">
        <v>0</v>
      </c>
      <c r="T142" s="99">
        <f t="shared" si="3"/>
        <v>0</v>
      </c>
      <c r="AR142" s="101" t="s">
        <v>250</v>
      </c>
      <c r="AT142" s="101" t="s">
        <v>438</v>
      </c>
      <c r="AU142" s="101" t="s">
        <v>87</v>
      </c>
      <c r="AY142" s="23" t="s">
        <v>211</v>
      </c>
      <c r="BE142" s="104">
        <f t="shared" si="4"/>
        <v>0</v>
      </c>
      <c r="BF142" s="104">
        <f t="shared" si="5"/>
        <v>12000</v>
      </c>
      <c r="BG142" s="104">
        <f t="shared" si="6"/>
        <v>0</v>
      </c>
      <c r="BH142" s="104">
        <f t="shared" si="7"/>
        <v>0</v>
      </c>
      <c r="BI142" s="104">
        <f t="shared" si="8"/>
        <v>0</v>
      </c>
      <c r="BJ142" s="23" t="s">
        <v>87</v>
      </c>
      <c r="BK142" s="104">
        <f t="shared" si="9"/>
        <v>12000</v>
      </c>
      <c r="BL142" s="23" t="s">
        <v>218</v>
      </c>
      <c r="BM142" s="101" t="s">
        <v>4961</v>
      </c>
    </row>
    <row r="143" spans="2:65" s="1" customFormat="1" ht="21.75" customHeight="1">
      <c r="B143" s="12"/>
      <c r="C143" s="114" t="s">
        <v>433</v>
      </c>
      <c r="D143" s="114" t="s">
        <v>438</v>
      </c>
      <c r="E143" s="115" t="s">
        <v>4962</v>
      </c>
      <c r="F143" s="116" t="s">
        <v>4963</v>
      </c>
      <c r="G143" s="117" t="s">
        <v>808</v>
      </c>
      <c r="H143" s="118">
        <v>28</v>
      </c>
      <c r="I143" s="122">
        <v>1600</v>
      </c>
      <c r="J143" s="123">
        <f t="shared" si="0"/>
        <v>44800</v>
      </c>
      <c r="K143" s="124"/>
      <c r="L143" s="125"/>
      <c r="M143" s="126" t="s">
        <v>1</v>
      </c>
      <c r="N143" s="127" t="s">
        <v>43</v>
      </c>
      <c r="P143" s="95">
        <f t="shared" si="1"/>
        <v>0</v>
      </c>
      <c r="Q143" s="95">
        <v>0</v>
      </c>
      <c r="R143" s="95">
        <f t="shared" si="2"/>
        <v>0</v>
      </c>
      <c r="S143" s="95">
        <v>0</v>
      </c>
      <c r="T143" s="99">
        <f t="shared" si="3"/>
        <v>0</v>
      </c>
      <c r="AR143" s="101" t="s">
        <v>250</v>
      </c>
      <c r="AT143" s="101" t="s">
        <v>438</v>
      </c>
      <c r="AU143" s="101" t="s">
        <v>87</v>
      </c>
      <c r="AY143" s="23" t="s">
        <v>211</v>
      </c>
      <c r="BE143" s="104">
        <f t="shared" si="4"/>
        <v>0</v>
      </c>
      <c r="BF143" s="104">
        <f t="shared" si="5"/>
        <v>44800</v>
      </c>
      <c r="BG143" s="104">
        <f t="shared" si="6"/>
        <v>0</v>
      </c>
      <c r="BH143" s="104">
        <f t="shared" si="7"/>
        <v>0</v>
      </c>
      <c r="BI143" s="104">
        <f t="shared" si="8"/>
        <v>0</v>
      </c>
      <c r="BJ143" s="23" t="s">
        <v>87</v>
      </c>
      <c r="BK143" s="104">
        <f t="shared" si="9"/>
        <v>44800</v>
      </c>
      <c r="BL143" s="23" t="s">
        <v>218</v>
      </c>
      <c r="BM143" s="101" t="s">
        <v>4964</v>
      </c>
    </row>
    <row r="144" spans="2:65" s="1" customFormat="1" ht="16.5" customHeight="1">
      <c r="B144" s="12"/>
      <c r="C144" s="114" t="s">
        <v>437</v>
      </c>
      <c r="D144" s="114" t="s">
        <v>438</v>
      </c>
      <c r="E144" s="115" t="s">
        <v>4965</v>
      </c>
      <c r="F144" s="116" t="s">
        <v>4966</v>
      </c>
      <c r="G144" s="117" t="s">
        <v>808</v>
      </c>
      <c r="H144" s="118">
        <v>22</v>
      </c>
      <c r="I144" s="122">
        <v>1000</v>
      </c>
      <c r="J144" s="123">
        <f t="shared" si="0"/>
        <v>22000</v>
      </c>
      <c r="K144" s="124"/>
      <c r="L144" s="125"/>
      <c r="M144" s="126" t="s">
        <v>1</v>
      </c>
      <c r="N144" s="127" t="s">
        <v>43</v>
      </c>
      <c r="P144" s="95">
        <f t="shared" si="1"/>
        <v>0</v>
      </c>
      <c r="Q144" s="95">
        <v>0</v>
      </c>
      <c r="R144" s="95">
        <f t="shared" si="2"/>
        <v>0</v>
      </c>
      <c r="S144" s="95">
        <v>0</v>
      </c>
      <c r="T144" s="99">
        <f t="shared" si="3"/>
        <v>0</v>
      </c>
      <c r="AR144" s="101" t="s">
        <v>250</v>
      </c>
      <c r="AT144" s="101" t="s">
        <v>438</v>
      </c>
      <c r="AU144" s="101" t="s">
        <v>87</v>
      </c>
      <c r="AY144" s="23" t="s">
        <v>211</v>
      </c>
      <c r="BE144" s="104">
        <f t="shared" si="4"/>
        <v>0</v>
      </c>
      <c r="BF144" s="104">
        <f t="shared" si="5"/>
        <v>22000</v>
      </c>
      <c r="BG144" s="104">
        <f t="shared" si="6"/>
        <v>0</v>
      </c>
      <c r="BH144" s="104">
        <f t="shared" si="7"/>
        <v>0</v>
      </c>
      <c r="BI144" s="104">
        <f t="shared" si="8"/>
        <v>0</v>
      </c>
      <c r="BJ144" s="23" t="s">
        <v>87</v>
      </c>
      <c r="BK144" s="104">
        <f t="shared" si="9"/>
        <v>22000</v>
      </c>
      <c r="BL144" s="23" t="s">
        <v>218</v>
      </c>
      <c r="BM144" s="101" t="s">
        <v>4967</v>
      </c>
    </row>
    <row r="145" spans="2:65" s="1" customFormat="1" ht="16.5" customHeight="1">
      <c r="B145" s="12"/>
      <c r="C145" s="114" t="s">
        <v>8</v>
      </c>
      <c r="D145" s="114" t="s">
        <v>438</v>
      </c>
      <c r="E145" s="115" t="s">
        <v>4968</v>
      </c>
      <c r="F145" s="116" t="s">
        <v>4969</v>
      </c>
      <c r="G145" s="117" t="s">
        <v>808</v>
      </c>
      <c r="H145" s="118">
        <v>19</v>
      </c>
      <c r="I145" s="122">
        <v>1700</v>
      </c>
      <c r="J145" s="123">
        <f t="shared" si="0"/>
        <v>32300</v>
      </c>
      <c r="K145" s="124"/>
      <c r="L145" s="125"/>
      <c r="M145" s="126" t="s">
        <v>1</v>
      </c>
      <c r="N145" s="127" t="s">
        <v>43</v>
      </c>
      <c r="P145" s="95">
        <f t="shared" si="1"/>
        <v>0</v>
      </c>
      <c r="Q145" s="95">
        <v>0</v>
      </c>
      <c r="R145" s="95">
        <f t="shared" si="2"/>
        <v>0</v>
      </c>
      <c r="S145" s="95">
        <v>0</v>
      </c>
      <c r="T145" s="99">
        <f t="shared" si="3"/>
        <v>0</v>
      </c>
      <c r="AR145" s="101" t="s">
        <v>250</v>
      </c>
      <c r="AT145" s="101" t="s">
        <v>438</v>
      </c>
      <c r="AU145" s="101" t="s">
        <v>87</v>
      </c>
      <c r="AY145" s="23" t="s">
        <v>211</v>
      </c>
      <c r="BE145" s="104">
        <f t="shared" si="4"/>
        <v>0</v>
      </c>
      <c r="BF145" s="104">
        <f t="shared" si="5"/>
        <v>32300</v>
      </c>
      <c r="BG145" s="104">
        <f t="shared" si="6"/>
        <v>0</v>
      </c>
      <c r="BH145" s="104">
        <f t="shared" si="7"/>
        <v>0</v>
      </c>
      <c r="BI145" s="104">
        <f t="shared" si="8"/>
        <v>0</v>
      </c>
      <c r="BJ145" s="23" t="s">
        <v>87</v>
      </c>
      <c r="BK145" s="104">
        <f t="shared" si="9"/>
        <v>32300</v>
      </c>
      <c r="BL145" s="23" t="s">
        <v>218</v>
      </c>
      <c r="BM145" s="101" t="s">
        <v>4970</v>
      </c>
    </row>
    <row r="146" spans="2:65" s="1" customFormat="1" ht="16.5" customHeight="1">
      <c r="B146" s="12"/>
      <c r="C146" s="114" t="s">
        <v>446</v>
      </c>
      <c r="D146" s="114" t="s">
        <v>438</v>
      </c>
      <c r="E146" s="115" t="s">
        <v>4971</v>
      </c>
      <c r="F146" s="116" t="s">
        <v>4972</v>
      </c>
      <c r="G146" s="117" t="s">
        <v>808</v>
      </c>
      <c r="H146" s="118">
        <v>4</v>
      </c>
      <c r="I146" s="122">
        <v>1300</v>
      </c>
      <c r="J146" s="123">
        <f t="shared" si="0"/>
        <v>5200</v>
      </c>
      <c r="K146" s="124"/>
      <c r="L146" s="125"/>
      <c r="M146" s="126" t="s">
        <v>1</v>
      </c>
      <c r="N146" s="127" t="s">
        <v>43</v>
      </c>
      <c r="P146" s="95">
        <f t="shared" si="1"/>
        <v>0</v>
      </c>
      <c r="Q146" s="95">
        <v>0</v>
      </c>
      <c r="R146" s="95">
        <f t="shared" si="2"/>
        <v>0</v>
      </c>
      <c r="S146" s="95">
        <v>0</v>
      </c>
      <c r="T146" s="99">
        <f t="shared" si="3"/>
        <v>0</v>
      </c>
      <c r="AR146" s="101" t="s">
        <v>250</v>
      </c>
      <c r="AT146" s="101" t="s">
        <v>438</v>
      </c>
      <c r="AU146" s="101" t="s">
        <v>87</v>
      </c>
      <c r="AY146" s="23" t="s">
        <v>211</v>
      </c>
      <c r="BE146" s="104">
        <f t="shared" si="4"/>
        <v>0</v>
      </c>
      <c r="BF146" s="104">
        <f t="shared" si="5"/>
        <v>5200</v>
      </c>
      <c r="BG146" s="104">
        <f t="shared" si="6"/>
        <v>0</v>
      </c>
      <c r="BH146" s="104">
        <f t="shared" si="7"/>
        <v>0</v>
      </c>
      <c r="BI146" s="104">
        <f t="shared" si="8"/>
        <v>0</v>
      </c>
      <c r="BJ146" s="23" t="s">
        <v>87</v>
      </c>
      <c r="BK146" s="104">
        <f t="shared" si="9"/>
        <v>5200</v>
      </c>
      <c r="BL146" s="23" t="s">
        <v>218</v>
      </c>
      <c r="BM146" s="101" t="s">
        <v>4973</v>
      </c>
    </row>
    <row r="147" spans="2:65" s="1" customFormat="1" ht="21.75" customHeight="1">
      <c r="B147" s="12"/>
      <c r="C147" s="114" t="s">
        <v>450</v>
      </c>
      <c r="D147" s="114" t="s">
        <v>438</v>
      </c>
      <c r="E147" s="115" t="s">
        <v>4974</v>
      </c>
      <c r="F147" s="116" t="s">
        <v>4975</v>
      </c>
      <c r="G147" s="117" t="s">
        <v>808</v>
      </c>
      <c r="H147" s="118">
        <v>4</v>
      </c>
      <c r="I147" s="122">
        <v>200</v>
      </c>
      <c r="J147" s="123">
        <f t="shared" si="0"/>
        <v>800</v>
      </c>
      <c r="K147" s="124"/>
      <c r="L147" s="125"/>
      <c r="M147" s="126" t="s">
        <v>1</v>
      </c>
      <c r="N147" s="127" t="s">
        <v>43</v>
      </c>
      <c r="P147" s="95">
        <f t="shared" si="1"/>
        <v>0</v>
      </c>
      <c r="Q147" s="95">
        <v>0</v>
      </c>
      <c r="R147" s="95">
        <f t="shared" si="2"/>
        <v>0</v>
      </c>
      <c r="S147" s="95">
        <v>0</v>
      </c>
      <c r="T147" s="99">
        <f t="shared" si="3"/>
        <v>0</v>
      </c>
      <c r="AR147" s="101" t="s">
        <v>250</v>
      </c>
      <c r="AT147" s="101" t="s">
        <v>438</v>
      </c>
      <c r="AU147" s="101" t="s">
        <v>87</v>
      </c>
      <c r="AY147" s="23" t="s">
        <v>211</v>
      </c>
      <c r="BE147" s="104">
        <f t="shared" si="4"/>
        <v>0</v>
      </c>
      <c r="BF147" s="104">
        <f t="shared" si="5"/>
        <v>800</v>
      </c>
      <c r="BG147" s="104">
        <f t="shared" si="6"/>
        <v>0</v>
      </c>
      <c r="BH147" s="104">
        <f t="shared" si="7"/>
        <v>0</v>
      </c>
      <c r="BI147" s="104">
        <f t="shared" si="8"/>
        <v>0</v>
      </c>
      <c r="BJ147" s="23" t="s">
        <v>87</v>
      </c>
      <c r="BK147" s="104">
        <f t="shared" si="9"/>
        <v>800</v>
      </c>
      <c r="BL147" s="23" t="s">
        <v>218</v>
      </c>
      <c r="BM147" s="101" t="s">
        <v>4976</v>
      </c>
    </row>
    <row r="148" spans="2:65" s="1" customFormat="1" ht="16.5" customHeight="1">
      <c r="B148" s="12"/>
      <c r="C148" s="114" t="s">
        <v>454</v>
      </c>
      <c r="D148" s="114" t="s">
        <v>438</v>
      </c>
      <c r="E148" s="115" t="s">
        <v>4977</v>
      </c>
      <c r="F148" s="116" t="s">
        <v>4978</v>
      </c>
      <c r="G148" s="117" t="s">
        <v>808</v>
      </c>
      <c r="H148" s="118">
        <v>17</v>
      </c>
      <c r="I148" s="122">
        <v>1200</v>
      </c>
      <c r="J148" s="123">
        <f t="shared" si="0"/>
        <v>20400</v>
      </c>
      <c r="K148" s="124"/>
      <c r="L148" s="125"/>
      <c r="M148" s="126" t="s">
        <v>1</v>
      </c>
      <c r="N148" s="127" t="s">
        <v>43</v>
      </c>
      <c r="P148" s="95">
        <f t="shared" si="1"/>
        <v>0</v>
      </c>
      <c r="Q148" s="95">
        <v>0</v>
      </c>
      <c r="R148" s="95">
        <f t="shared" si="2"/>
        <v>0</v>
      </c>
      <c r="S148" s="95">
        <v>0</v>
      </c>
      <c r="T148" s="99">
        <f t="shared" si="3"/>
        <v>0</v>
      </c>
      <c r="AR148" s="101" t="s">
        <v>250</v>
      </c>
      <c r="AT148" s="101" t="s">
        <v>438</v>
      </c>
      <c r="AU148" s="101" t="s">
        <v>87</v>
      </c>
      <c r="AY148" s="23" t="s">
        <v>211</v>
      </c>
      <c r="BE148" s="104">
        <f t="shared" si="4"/>
        <v>0</v>
      </c>
      <c r="BF148" s="104">
        <f t="shared" si="5"/>
        <v>20400</v>
      </c>
      <c r="BG148" s="104">
        <f t="shared" si="6"/>
        <v>0</v>
      </c>
      <c r="BH148" s="104">
        <f t="shared" si="7"/>
        <v>0</v>
      </c>
      <c r="BI148" s="104">
        <f t="shared" si="8"/>
        <v>0</v>
      </c>
      <c r="BJ148" s="23" t="s">
        <v>87</v>
      </c>
      <c r="BK148" s="104">
        <f t="shared" si="9"/>
        <v>20400</v>
      </c>
      <c r="BL148" s="23" t="s">
        <v>218</v>
      </c>
      <c r="BM148" s="101" t="s">
        <v>4979</v>
      </c>
    </row>
    <row r="149" spans="2:65" s="1" customFormat="1" ht="21.75" customHeight="1">
      <c r="B149" s="12"/>
      <c r="C149" s="114" t="s">
        <v>459</v>
      </c>
      <c r="D149" s="114" t="s">
        <v>438</v>
      </c>
      <c r="E149" s="115" t="s">
        <v>4980</v>
      </c>
      <c r="F149" s="116" t="s">
        <v>4981</v>
      </c>
      <c r="G149" s="117" t="s">
        <v>808</v>
      </c>
      <c r="H149" s="118">
        <v>8</v>
      </c>
      <c r="I149" s="122">
        <v>4000</v>
      </c>
      <c r="J149" s="123">
        <f t="shared" si="0"/>
        <v>32000</v>
      </c>
      <c r="K149" s="124"/>
      <c r="L149" s="125"/>
      <c r="M149" s="126" t="s">
        <v>1</v>
      </c>
      <c r="N149" s="127" t="s">
        <v>43</v>
      </c>
      <c r="P149" s="95">
        <f t="shared" si="1"/>
        <v>0</v>
      </c>
      <c r="Q149" s="95">
        <v>0</v>
      </c>
      <c r="R149" s="95">
        <f t="shared" si="2"/>
        <v>0</v>
      </c>
      <c r="S149" s="95">
        <v>0</v>
      </c>
      <c r="T149" s="99">
        <f t="shared" si="3"/>
        <v>0</v>
      </c>
      <c r="AR149" s="101" t="s">
        <v>250</v>
      </c>
      <c r="AT149" s="101" t="s">
        <v>438</v>
      </c>
      <c r="AU149" s="101" t="s">
        <v>87</v>
      </c>
      <c r="AY149" s="23" t="s">
        <v>211</v>
      </c>
      <c r="BE149" s="104">
        <f t="shared" si="4"/>
        <v>0</v>
      </c>
      <c r="BF149" s="104">
        <f t="shared" si="5"/>
        <v>32000</v>
      </c>
      <c r="BG149" s="104">
        <f t="shared" si="6"/>
        <v>0</v>
      </c>
      <c r="BH149" s="104">
        <f t="shared" si="7"/>
        <v>0</v>
      </c>
      <c r="BI149" s="104">
        <f t="shared" si="8"/>
        <v>0</v>
      </c>
      <c r="BJ149" s="23" t="s">
        <v>87</v>
      </c>
      <c r="BK149" s="104">
        <f t="shared" si="9"/>
        <v>32000</v>
      </c>
      <c r="BL149" s="23" t="s">
        <v>218</v>
      </c>
      <c r="BM149" s="101" t="s">
        <v>4982</v>
      </c>
    </row>
    <row r="150" spans="2:65" s="1" customFormat="1" ht="24.15" customHeight="1">
      <c r="B150" s="12"/>
      <c r="C150" s="114" t="s">
        <v>465</v>
      </c>
      <c r="D150" s="114" t="s">
        <v>438</v>
      </c>
      <c r="E150" s="115" t="s">
        <v>4983</v>
      </c>
      <c r="F150" s="116" t="s">
        <v>4984</v>
      </c>
      <c r="G150" s="117" t="s">
        <v>808</v>
      </c>
      <c r="H150" s="118">
        <v>75</v>
      </c>
      <c r="I150" s="122">
        <v>5000</v>
      </c>
      <c r="J150" s="123">
        <f t="shared" si="0"/>
        <v>375000</v>
      </c>
      <c r="K150" s="124"/>
      <c r="L150" s="125"/>
      <c r="M150" s="126" t="s">
        <v>1</v>
      </c>
      <c r="N150" s="127" t="s">
        <v>43</v>
      </c>
      <c r="P150" s="95">
        <f t="shared" si="1"/>
        <v>0</v>
      </c>
      <c r="Q150" s="95">
        <v>0</v>
      </c>
      <c r="R150" s="95">
        <f t="shared" si="2"/>
        <v>0</v>
      </c>
      <c r="S150" s="95">
        <v>0</v>
      </c>
      <c r="T150" s="99">
        <f t="shared" si="3"/>
        <v>0</v>
      </c>
      <c r="AR150" s="101" t="s">
        <v>250</v>
      </c>
      <c r="AT150" s="101" t="s">
        <v>438</v>
      </c>
      <c r="AU150" s="101" t="s">
        <v>87</v>
      </c>
      <c r="AY150" s="23" t="s">
        <v>211</v>
      </c>
      <c r="BE150" s="104">
        <f t="shared" si="4"/>
        <v>0</v>
      </c>
      <c r="BF150" s="104">
        <f t="shared" si="5"/>
        <v>375000</v>
      </c>
      <c r="BG150" s="104">
        <f t="shared" si="6"/>
        <v>0</v>
      </c>
      <c r="BH150" s="104">
        <f t="shared" si="7"/>
        <v>0</v>
      </c>
      <c r="BI150" s="104">
        <f t="shared" si="8"/>
        <v>0</v>
      </c>
      <c r="BJ150" s="23" t="s">
        <v>87</v>
      </c>
      <c r="BK150" s="104">
        <f t="shared" si="9"/>
        <v>375000</v>
      </c>
      <c r="BL150" s="23" t="s">
        <v>218</v>
      </c>
      <c r="BM150" s="101" t="s">
        <v>4985</v>
      </c>
    </row>
    <row r="151" spans="2:65" s="1" customFormat="1" ht="24.15" customHeight="1">
      <c r="B151" s="12"/>
      <c r="C151" s="114" t="s">
        <v>7</v>
      </c>
      <c r="D151" s="114" t="s">
        <v>438</v>
      </c>
      <c r="E151" s="115" t="s">
        <v>4986</v>
      </c>
      <c r="F151" s="116" t="s">
        <v>4987</v>
      </c>
      <c r="G151" s="117" t="s">
        <v>808</v>
      </c>
      <c r="H151" s="118">
        <v>61</v>
      </c>
      <c r="I151" s="122">
        <v>1000</v>
      </c>
      <c r="J151" s="123">
        <f t="shared" si="0"/>
        <v>61000</v>
      </c>
      <c r="K151" s="124"/>
      <c r="L151" s="125"/>
      <c r="M151" s="126" t="s">
        <v>1</v>
      </c>
      <c r="N151" s="127" t="s">
        <v>43</v>
      </c>
      <c r="P151" s="95">
        <f t="shared" si="1"/>
        <v>0</v>
      </c>
      <c r="Q151" s="95">
        <v>0</v>
      </c>
      <c r="R151" s="95">
        <f t="shared" si="2"/>
        <v>0</v>
      </c>
      <c r="S151" s="95">
        <v>0</v>
      </c>
      <c r="T151" s="99">
        <f t="shared" si="3"/>
        <v>0</v>
      </c>
      <c r="AR151" s="101" t="s">
        <v>250</v>
      </c>
      <c r="AT151" s="101" t="s">
        <v>438</v>
      </c>
      <c r="AU151" s="101" t="s">
        <v>87</v>
      </c>
      <c r="AY151" s="23" t="s">
        <v>211</v>
      </c>
      <c r="BE151" s="104">
        <f t="shared" si="4"/>
        <v>0</v>
      </c>
      <c r="BF151" s="104">
        <f t="shared" si="5"/>
        <v>61000</v>
      </c>
      <c r="BG151" s="104">
        <f t="shared" si="6"/>
        <v>0</v>
      </c>
      <c r="BH151" s="104">
        <f t="shared" si="7"/>
        <v>0</v>
      </c>
      <c r="BI151" s="104">
        <f t="shared" si="8"/>
        <v>0</v>
      </c>
      <c r="BJ151" s="23" t="s">
        <v>87</v>
      </c>
      <c r="BK151" s="104">
        <f t="shared" si="9"/>
        <v>61000</v>
      </c>
      <c r="BL151" s="23" t="s">
        <v>218</v>
      </c>
      <c r="BM151" s="101" t="s">
        <v>4988</v>
      </c>
    </row>
    <row r="152" spans="2:65" s="1" customFormat="1" ht="16.5" customHeight="1">
      <c r="B152" s="12"/>
      <c r="C152" s="114" t="s">
        <v>475</v>
      </c>
      <c r="D152" s="114" t="s">
        <v>438</v>
      </c>
      <c r="E152" s="115" t="s">
        <v>4989</v>
      </c>
      <c r="F152" s="116" t="s">
        <v>4990</v>
      </c>
      <c r="G152" s="117" t="s">
        <v>808</v>
      </c>
      <c r="H152" s="118">
        <v>36</v>
      </c>
      <c r="I152" s="122">
        <v>2100</v>
      </c>
      <c r="J152" s="123">
        <f t="shared" si="0"/>
        <v>75600</v>
      </c>
      <c r="K152" s="124"/>
      <c r="L152" s="125"/>
      <c r="M152" s="126" t="s">
        <v>1</v>
      </c>
      <c r="N152" s="127" t="s">
        <v>43</v>
      </c>
      <c r="P152" s="95">
        <f t="shared" si="1"/>
        <v>0</v>
      </c>
      <c r="Q152" s="95">
        <v>0</v>
      </c>
      <c r="R152" s="95">
        <f t="shared" si="2"/>
        <v>0</v>
      </c>
      <c r="S152" s="95">
        <v>0</v>
      </c>
      <c r="T152" s="99">
        <f t="shared" si="3"/>
        <v>0</v>
      </c>
      <c r="AR152" s="101" t="s">
        <v>250</v>
      </c>
      <c r="AT152" s="101" t="s">
        <v>438</v>
      </c>
      <c r="AU152" s="101" t="s">
        <v>87</v>
      </c>
      <c r="AY152" s="23" t="s">
        <v>211</v>
      </c>
      <c r="BE152" s="104">
        <f t="shared" si="4"/>
        <v>0</v>
      </c>
      <c r="BF152" s="104">
        <f t="shared" si="5"/>
        <v>75600</v>
      </c>
      <c r="BG152" s="104">
        <f t="shared" si="6"/>
        <v>0</v>
      </c>
      <c r="BH152" s="104">
        <f t="shared" si="7"/>
        <v>0</v>
      </c>
      <c r="BI152" s="104">
        <f t="shared" si="8"/>
        <v>0</v>
      </c>
      <c r="BJ152" s="23" t="s">
        <v>87</v>
      </c>
      <c r="BK152" s="104">
        <f t="shared" si="9"/>
        <v>75600</v>
      </c>
      <c r="BL152" s="23" t="s">
        <v>218</v>
      </c>
      <c r="BM152" s="101" t="s">
        <v>4991</v>
      </c>
    </row>
    <row r="153" spans="2:65" s="1" customFormat="1" ht="16.5" customHeight="1">
      <c r="B153" s="12"/>
      <c r="C153" s="114" t="s">
        <v>481</v>
      </c>
      <c r="D153" s="114" t="s">
        <v>438</v>
      </c>
      <c r="E153" s="115" t="s">
        <v>4992</v>
      </c>
      <c r="F153" s="116" t="s">
        <v>4993</v>
      </c>
      <c r="G153" s="117" t="s">
        <v>808</v>
      </c>
      <c r="H153" s="118">
        <v>40</v>
      </c>
      <c r="I153" s="122">
        <v>6000</v>
      </c>
      <c r="J153" s="123">
        <f t="shared" si="0"/>
        <v>240000</v>
      </c>
      <c r="K153" s="124"/>
      <c r="L153" s="125"/>
      <c r="M153" s="126" t="s">
        <v>1</v>
      </c>
      <c r="N153" s="127" t="s">
        <v>43</v>
      </c>
      <c r="P153" s="95">
        <f t="shared" si="1"/>
        <v>0</v>
      </c>
      <c r="Q153" s="95">
        <v>0</v>
      </c>
      <c r="R153" s="95">
        <f t="shared" si="2"/>
        <v>0</v>
      </c>
      <c r="S153" s="95">
        <v>0</v>
      </c>
      <c r="T153" s="99">
        <f t="shared" si="3"/>
        <v>0</v>
      </c>
      <c r="AR153" s="101" t="s">
        <v>250</v>
      </c>
      <c r="AT153" s="101" t="s">
        <v>438</v>
      </c>
      <c r="AU153" s="101" t="s">
        <v>87</v>
      </c>
      <c r="AY153" s="23" t="s">
        <v>211</v>
      </c>
      <c r="BE153" s="104">
        <f t="shared" si="4"/>
        <v>0</v>
      </c>
      <c r="BF153" s="104">
        <f t="shared" si="5"/>
        <v>240000</v>
      </c>
      <c r="BG153" s="104">
        <f t="shared" si="6"/>
        <v>0</v>
      </c>
      <c r="BH153" s="104">
        <f t="shared" si="7"/>
        <v>0</v>
      </c>
      <c r="BI153" s="104">
        <f t="shared" si="8"/>
        <v>0</v>
      </c>
      <c r="BJ153" s="23" t="s">
        <v>87</v>
      </c>
      <c r="BK153" s="104">
        <f t="shared" si="9"/>
        <v>240000</v>
      </c>
      <c r="BL153" s="23" t="s">
        <v>218</v>
      </c>
      <c r="BM153" s="101" t="s">
        <v>4994</v>
      </c>
    </row>
    <row r="154" spans="2:65" s="1" customFormat="1" ht="16.5" customHeight="1">
      <c r="B154" s="12"/>
      <c r="C154" s="114" t="s">
        <v>486</v>
      </c>
      <c r="D154" s="114" t="s">
        <v>438</v>
      </c>
      <c r="E154" s="115" t="s">
        <v>4995</v>
      </c>
      <c r="F154" s="116" t="s">
        <v>4996</v>
      </c>
      <c r="G154" s="117" t="s">
        <v>808</v>
      </c>
      <c r="H154" s="118">
        <v>147</v>
      </c>
      <c r="I154" s="122">
        <v>5500</v>
      </c>
      <c r="J154" s="123">
        <f t="shared" si="0"/>
        <v>808500</v>
      </c>
      <c r="K154" s="124"/>
      <c r="L154" s="125"/>
      <c r="M154" s="126" t="s">
        <v>1</v>
      </c>
      <c r="N154" s="127" t="s">
        <v>43</v>
      </c>
      <c r="P154" s="95">
        <f t="shared" si="1"/>
        <v>0</v>
      </c>
      <c r="Q154" s="95">
        <v>0</v>
      </c>
      <c r="R154" s="95">
        <f t="shared" si="2"/>
        <v>0</v>
      </c>
      <c r="S154" s="95">
        <v>0</v>
      </c>
      <c r="T154" s="99">
        <f t="shared" si="3"/>
        <v>0</v>
      </c>
      <c r="AR154" s="101" t="s">
        <v>250</v>
      </c>
      <c r="AT154" s="101" t="s">
        <v>438</v>
      </c>
      <c r="AU154" s="101" t="s">
        <v>87</v>
      </c>
      <c r="AY154" s="23" t="s">
        <v>211</v>
      </c>
      <c r="BE154" s="104">
        <f t="shared" si="4"/>
        <v>0</v>
      </c>
      <c r="BF154" s="104">
        <f t="shared" si="5"/>
        <v>808500</v>
      </c>
      <c r="BG154" s="104">
        <f t="shared" si="6"/>
        <v>0</v>
      </c>
      <c r="BH154" s="104">
        <f t="shared" si="7"/>
        <v>0</v>
      </c>
      <c r="BI154" s="104">
        <f t="shared" si="8"/>
        <v>0</v>
      </c>
      <c r="BJ154" s="23" t="s">
        <v>87</v>
      </c>
      <c r="BK154" s="104">
        <f t="shared" si="9"/>
        <v>808500</v>
      </c>
      <c r="BL154" s="23" t="s">
        <v>218</v>
      </c>
      <c r="BM154" s="101" t="s">
        <v>4997</v>
      </c>
    </row>
    <row r="155" spans="2:65" s="1" customFormat="1" ht="24.15" customHeight="1">
      <c r="B155" s="12"/>
      <c r="C155" s="114" t="s">
        <v>490</v>
      </c>
      <c r="D155" s="114" t="s">
        <v>438</v>
      </c>
      <c r="E155" s="115" t="s">
        <v>4998</v>
      </c>
      <c r="F155" s="116" t="s">
        <v>4999</v>
      </c>
      <c r="G155" s="117" t="s">
        <v>808</v>
      </c>
      <c r="H155" s="118">
        <v>147</v>
      </c>
      <c r="I155" s="122">
        <v>600</v>
      </c>
      <c r="J155" s="123">
        <f t="shared" si="0"/>
        <v>88200</v>
      </c>
      <c r="K155" s="124"/>
      <c r="L155" s="125"/>
      <c r="M155" s="126" t="s">
        <v>1</v>
      </c>
      <c r="N155" s="127" t="s">
        <v>43</v>
      </c>
      <c r="P155" s="95">
        <f t="shared" si="1"/>
        <v>0</v>
      </c>
      <c r="Q155" s="95">
        <v>0</v>
      </c>
      <c r="R155" s="95">
        <f t="shared" si="2"/>
        <v>0</v>
      </c>
      <c r="S155" s="95">
        <v>0</v>
      </c>
      <c r="T155" s="99">
        <f t="shared" si="3"/>
        <v>0</v>
      </c>
      <c r="AR155" s="101" t="s">
        <v>250</v>
      </c>
      <c r="AT155" s="101" t="s">
        <v>438</v>
      </c>
      <c r="AU155" s="101" t="s">
        <v>87</v>
      </c>
      <c r="AY155" s="23" t="s">
        <v>211</v>
      </c>
      <c r="BE155" s="104">
        <f t="shared" si="4"/>
        <v>0</v>
      </c>
      <c r="BF155" s="104">
        <f t="shared" si="5"/>
        <v>88200</v>
      </c>
      <c r="BG155" s="104">
        <f t="shared" si="6"/>
        <v>0</v>
      </c>
      <c r="BH155" s="104">
        <f t="shared" si="7"/>
        <v>0</v>
      </c>
      <c r="BI155" s="104">
        <f t="shared" si="8"/>
        <v>0</v>
      </c>
      <c r="BJ155" s="23" t="s">
        <v>87</v>
      </c>
      <c r="BK155" s="104">
        <f t="shared" si="9"/>
        <v>88200</v>
      </c>
      <c r="BL155" s="23" t="s">
        <v>218</v>
      </c>
      <c r="BM155" s="101" t="s">
        <v>5000</v>
      </c>
    </row>
    <row r="156" spans="2:65" s="1" customFormat="1" ht="38.1" customHeight="1">
      <c r="B156" s="12"/>
      <c r="C156" s="114" t="s">
        <v>496</v>
      </c>
      <c r="D156" s="114" t="s">
        <v>438</v>
      </c>
      <c r="E156" s="115" t="s">
        <v>5001</v>
      </c>
      <c r="F156" s="116" t="s">
        <v>5002</v>
      </c>
      <c r="G156" s="117" t="s">
        <v>444</v>
      </c>
      <c r="H156" s="118">
        <v>40</v>
      </c>
      <c r="I156" s="122">
        <v>1200</v>
      </c>
      <c r="J156" s="123">
        <f t="shared" si="0"/>
        <v>48000</v>
      </c>
      <c r="K156" s="124"/>
      <c r="L156" s="125"/>
      <c r="M156" s="126" t="s">
        <v>1</v>
      </c>
      <c r="N156" s="127" t="s">
        <v>43</v>
      </c>
      <c r="P156" s="95">
        <f t="shared" si="1"/>
        <v>0</v>
      </c>
      <c r="Q156" s="95">
        <v>0</v>
      </c>
      <c r="R156" s="95">
        <f t="shared" si="2"/>
        <v>0</v>
      </c>
      <c r="S156" s="95">
        <v>0</v>
      </c>
      <c r="T156" s="99">
        <f t="shared" si="3"/>
        <v>0</v>
      </c>
      <c r="AR156" s="101" t="s">
        <v>250</v>
      </c>
      <c r="AT156" s="101" t="s">
        <v>438</v>
      </c>
      <c r="AU156" s="101" t="s">
        <v>87</v>
      </c>
      <c r="AY156" s="23" t="s">
        <v>211</v>
      </c>
      <c r="BE156" s="104">
        <f t="shared" si="4"/>
        <v>0</v>
      </c>
      <c r="BF156" s="104">
        <f t="shared" si="5"/>
        <v>48000</v>
      </c>
      <c r="BG156" s="104">
        <f t="shared" si="6"/>
        <v>0</v>
      </c>
      <c r="BH156" s="104">
        <f t="shared" si="7"/>
        <v>0</v>
      </c>
      <c r="BI156" s="104">
        <f t="shared" si="8"/>
        <v>0</v>
      </c>
      <c r="BJ156" s="23" t="s">
        <v>87</v>
      </c>
      <c r="BK156" s="104">
        <f t="shared" si="9"/>
        <v>48000</v>
      </c>
      <c r="BL156" s="23" t="s">
        <v>218</v>
      </c>
      <c r="BM156" s="101" t="s">
        <v>5003</v>
      </c>
    </row>
    <row r="157" spans="2:65" s="1" customFormat="1" ht="24.15" customHeight="1">
      <c r="B157" s="12"/>
      <c r="C157" s="114" t="s">
        <v>502</v>
      </c>
      <c r="D157" s="114" t="s">
        <v>438</v>
      </c>
      <c r="E157" s="115" t="s">
        <v>5004</v>
      </c>
      <c r="F157" s="116" t="s">
        <v>5005</v>
      </c>
      <c r="G157" s="117" t="s">
        <v>808</v>
      </c>
      <c r="H157" s="118">
        <v>36</v>
      </c>
      <c r="I157" s="122">
        <v>4000</v>
      </c>
      <c r="J157" s="123">
        <f t="shared" si="0"/>
        <v>144000</v>
      </c>
      <c r="K157" s="124"/>
      <c r="L157" s="125"/>
      <c r="M157" s="126" t="s">
        <v>1</v>
      </c>
      <c r="N157" s="127" t="s">
        <v>43</v>
      </c>
      <c r="P157" s="95">
        <f t="shared" si="1"/>
        <v>0</v>
      </c>
      <c r="Q157" s="95">
        <v>0</v>
      </c>
      <c r="R157" s="95">
        <f t="shared" si="2"/>
        <v>0</v>
      </c>
      <c r="S157" s="95">
        <v>0</v>
      </c>
      <c r="T157" s="99">
        <f t="shared" si="3"/>
        <v>0</v>
      </c>
      <c r="AR157" s="101" t="s">
        <v>250</v>
      </c>
      <c r="AT157" s="101" t="s">
        <v>438</v>
      </c>
      <c r="AU157" s="101" t="s">
        <v>87</v>
      </c>
      <c r="AY157" s="23" t="s">
        <v>211</v>
      </c>
      <c r="BE157" s="104">
        <f t="shared" si="4"/>
        <v>0</v>
      </c>
      <c r="BF157" s="104">
        <f t="shared" si="5"/>
        <v>144000</v>
      </c>
      <c r="BG157" s="104">
        <f t="shared" si="6"/>
        <v>0</v>
      </c>
      <c r="BH157" s="104">
        <f t="shared" si="7"/>
        <v>0</v>
      </c>
      <c r="BI157" s="104">
        <f t="shared" si="8"/>
        <v>0</v>
      </c>
      <c r="BJ157" s="23" t="s">
        <v>87</v>
      </c>
      <c r="BK157" s="104">
        <f t="shared" si="9"/>
        <v>144000</v>
      </c>
      <c r="BL157" s="23" t="s">
        <v>218</v>
      </c>
      <c r="BM157" s="101" t="s">
        <v>5006</v>
      </c>
    </row>
    <row r="158" spans="2:65" s="1" customFormat="1" ht="16.5" customHeight="1">
      <c r="B158" s="12"/>
      <c r="C158" s="71" t="s">
        <v>507</v>
      </c>
      <c r="D158" s="71" t="s">
        <v>214</v>
      </c>
      <c r="E158" s="72" t="s">
        <v>4924</v>
      </c>
      <c r="F158" s="73" t="s">
        <v>5007</v>
      </c>
      <c r="G158" s="74" t="s">
        <v>808</v>
      </c>
      <c r="H158" s="75">
        <v>814</v>
      </c>
      <c r="I158" s="90">
        <v>300</v>
      </c>
      <c r="J158" s="91">
        <f t="shared" si="0"/>
        <v>244200</v>
      </c>
      <c r="K158" s="92"/>
      <c r="L158" s="12"/>
      <c r="M158" s="93" t="s">
        <v>1</v>
      </c>
      <c r="N158" s="94" t="s">
        <v>43</v>
      </c>
      <c r="P158" s="95">
        <f t="shared" si="1"/>
        <v>0</v>
      </c>
      <c r="Q158" s="95">
        <v>0</v>
      </c>
      <c r="R158" s="95">
        <f t="shared" si="2"/>
        <v>0</v>
      </c>
      <c r="S158" s="95">
        <v>0</v>
      </c>
      <c r="T158" s="99">
        <f t="shared" si="3"/>
        <v>0</v>
      </c>
      <c r="AR158" s="101" t="s">
        <v>218</v>
      </c>
      <c r="AT158" s="101" t="s">
        <v>214</v>
      </c>
      <c r="AU158" s="101" t="s">
        <v>87</v>
      </c>
      <c r="AY158" s="23" t="s">
        <v>211</v>
      </c>
      <c r="BE158" s="104">
        <f t="shared" si="4"/>
        <v>0</v>
      </c>
      <c r="BF158" s="104">
        <f t="shared" si="5"/>
        <v>244200</v>
      </c>
      <c r="BG158" s="104">
        <f t="shared" si="6"/>
        <v>0</v>
      </c>
      <c r="BH158" s="104">
        <f t="shared" si="7"/>
        <v>0</v>
      </c>
      <c r="BI158" s="104">
        <f t="shared" si="8"/>
        <v>0</v>
      </c>
      <c r="BJ158" s="23" t="s">
        <v>87</v>
      </c>
      <c r="BK158" s="104">
        <f t="shared" si="9"/>
        <v>244200</v>
      </c>
      <c r="BL158" s="23" t="s">
        <v>218</v>
      </c>
      <c r="BM158" s="101" t="s">
        <v>5008</v>
      </c>
    </row>
    <row r="159" spans="2:65" s="31" customFormat="1" ht="23.1" customHeight="1">
      <c r="B159" s="67"/>
      <c r="D159" s="68" t="s">
        <v>76</v>
      </c>
      <c r="E159" s="70" t="s">
        <v>5009</v>
      </c>
      <c r="F159" s="70" t="s">
        <v>1</v>
      </c>
      <c r="I159" s="85"/>
      <c r="J159" s="89">
        <f>BK159</f>
        <v>921760</v>
      </c>
      <c r="L159" s="67"/>
      <c r="M159" s="87"/>
      <c r="P159" s="88">
        <f>SUM(P160:P184)</f>
        <v>0</v>
      </c>
      <c r="R159" s="88">
        <f>SUM(R160:R184)</f>
        <v>0.18404000000000001</v>
      </c>
      <c r="T159" s="98">
        <f>SUM(T160:T184)</f>
        <v>0</v>
      </c>
      <c r="AR159" s="68" t="s">
        <v>85</v>
      </c>
      <c r="AT159" s="100" t="s">
        <v>76</v>
      </c>
      <c r="AU159" s="100" t="s">
        <v>85</v>
      </c>
      <c r="AY159" s="68" t="s">
        <v>211</v>
      </c>
      <c r="BK159" s="103">
        <f>SUM(BK160:BK184)</f>
        <v>921760</v>
      </c>
    </row>
    <row r="160" spans="2:65" s="1" customFormat="1" ht="21.75" customHeight="1">
      <c r="B160" s="12"/>
      <c r="C160" s="71" t="s">
        <v>511</v>
      </c>
      <c r="D160" s="71" t="s">
        <v>214</v>
      </c>
      <c r="E160" s="72" t="s">
        <v>5010</v>
      </c>
      <c r="F160" s="73" t="s">
        <v>5011</v>
      </c>
      <c r="G160" s="74" t="s">
        <v>1599</v>
      </c>
      <c r="H160" s="75">
        <v>1500</v>
      </c>
      <c r="I160" s="90">
        <v>30</v>
      </c>
      <c r="J160" s="91">
        <f t="shared" ref="J160:J184" si="10">ROUND(I160*H160,2)</f>
        <v>45000</v>
      </c>
      <c r="K160" s="92"/>
      <c r="L160" s="12"/>
      <c r="M160" s="93" t="s">
        <v>1</v>
      </c>
      <c r="N160" s="94" t="s">
        <v>43</v>
      </c>
      <c r="P160" s="95">
        <f t="shared" ref="P160:P184" si="11">O160*H160</f>
        <v>0</v>
      </c>
      <c r="Q160" s="95">
        <v>0</v>
      </c>
      <c r="R160" s="95">
        <f t="shared" ref="R160:R184" si="12">Q160*H160</f>
        <v>0</v>
      </c>
      <c r="S160" s="95">
        <v>0</v>
      </c>
      <c r="T160" s="99">
        <f t="shared" ref="T160:T184" si="13">S160*H160</f>
        <v>0</v>
      </c>
      <c r="AR160" s="101" t="s">
        <v>446</v>
      </c>
      <c r="AT160" s="101" t="s">
        <v>214</v>
      </c>
      <c r="AU160" s="101" t="s">
        <v>87</v>
      </c>
      <c r="AY160" s="23" t="s">
        <v>211</v>
      </c>
      <c r="BE160" s="104">
        <f t="shared" ref="BE160:BE184" si="14">IF(N160="základní",J160,0)</f>
        <v>0</v>
      </c>
      <c r="BF160" s="104">
        <f t="shared" ref="BF160:BF184" si="15">IF(N160="snížená",J160,0)</f>
        <v>45000</v>
      </c>
      <c r="BG160" s="104">
        <f t="shared" ref="BG160:BG184" si="16">IF(N160="zákl. přenesená",J160,0)</f>
        <v>0</v>
      </c>
      <c r="BH160" s="104">
        <f t="shared" ref="BH160:BH184" si="17">IF(N160="sníž. přenesená",J160,0)</f>
        <v>0</v>
      </c>
      <c r="BI160" s="104">
        <f t="shared" ref="BI160:BI184" si="18">IF(N160="nulová",J160,0)</f>
        <v>0</v>
      </c>
      <c r="BJ160" s="23" t="s">
        <v>87</v>
      </c>
      <c r="BK160" s="104">
        <f t="shared" ref="BK160:BK184" si="19">ROUND(I160*H160,2)</f>
        <v>45000</v>
      </c>
      <c r="BL160" s="23" t="s">
        <v>446</v>
      </c>
      <c r="BM160" s="101" t="s">
        <v>5012</v>
      </c>
    </row>
    <row r="161" spans="2:65" s="1" customFormat="1" ht="21.75" customHeight="1">
      <c r="B161" s="12"/>
      <c r="C161" s="114" t="s">
        <v>517</v>
      </c>
      <c r="D161" s="114" t="s">
        <v>438</v>
      </c>
      <c r="E161" s="115" t="s">
        <v>5013</v>
      </c>
      <c r="F161" s="116" t="s">
        <v>5014</v>
      </c>
      <c r="G161" s="117" t="s">
        <v>1599</v>
      </c>
      <c r="H161" s="118">
        <v>1500</v>
      </c>
      <c r="I161" s="122">
        <v>7</v>
      </c>
      <c r="J161" s="123">
        <f t="shared" si="10"/>
        <v>10500</v>
      </c>
      <c r="K161" s="124"/>
      <c r="L161" s="125"/>
      <c r="M161" s="126" t="s">
        <v>1</v>
      </c>
      <c r="N161" s="127" t="s">
        <v>43</v>
      </c>
      <c r="P161" s="95">
        <f t="shared" si="11"/>
        <v>0</v>
      </c>
      <c r="Q161" s="95">
        <v>3.0000000000000001E-5</v>
      </c>
      <c r="R161" s="95">
        <f t="shared" si="12"/>
        <v>4.4999999999999998E-2</v>
      </c>
      <c r="S161" s="95">
        <v>0</v>
      </c>
      <c r="T161" s="99">
        <f t="shared" si="13"/>
        <v>0</v>
      </c>
      <c r="AR161" s="101" t="s">
        <v>527</v>
      </c>
      <c r="AT161" s="101" t="s">
        <v>438</v>
      </c>
      <c r="AU161" s="101" t="s">
        <v>87</v>
      </c>
      <c r="AY161" s="23" t="s">
        <v>211</v>
      </c>
      <c r="BE161" s="104">
        <f t="shared" si="14"/>
        <v>0</v>
      </c>
      <c r="BF161" s="104">
        <f t="shared" si="15"/>
        <v>10500</v>
      </c>
      <c r="BG161" s="104">
        <f t="shared" si="16"/>
        <v>0</v>
      </c>
      <c r="BH161" s="104">
        <f t="shared" si="17"/>
        <v>0</v>
      </c>
      <c r="BI161" s="104">
        <f t="shared" si="18"/>
        <v>0</v>
      </c>
      <c r="BJ161" s="23" t="s">
        <v>87</v>
      </c>
      <c r="BK161" s="104">
        <f t="shared" si="19"/>
        <v>10500</v>
      </c>
      <c r="BL161" s="23" t="s">
        <v>446</v>
      </c>
      <c r="BM161" s="101" t="s">
        <v>5015</v>
      </c>
    </row>
    <row r="162" spans="2:65" s="1" customFormat="1" ht="16.5" customHeight="1">
      <c r="B162" s="12"/>
      <c r="C162" s="71" t="s">
        <v>522</v>
      </c>
      <c r="D162" s="71" t="s">
        <v>214</v>
      </c>
      <c r="E162" s="72" t="s">
        <v>5016</v>
      </c>
      <c r="F162" s="73" t="s">
        <v>5017</v>
      </c>
      <c r="G162" s="74" t="s">
        <v>1599</v>
      </c>
      <c r="H162" s="75">
        <v>1500</v>
      </c>
      <c r="I162" s="90">
        <v>130</v>
      </c>
      <c r="J162" s="91">
        <f t="shared" si="10"/>
        <v>195000</v>
      </c>
      <c r="K162" s="92"/>
      <c r="L162" s="12"/>
      <c r="M162" s="93" t="s">
        <v>1</v>
      </c>
      <c r="N162" s="94" t="s">
        <v>43</v>
      </c>
      <c r="P162" s="95">
        <f t="shared" si="11"/>
        <v>0</v>
      </c>
      <c r="Q162" s="95">
        <v>0</v>
      </c>
      <c r="R162" s="95">
        <f t="shared" si="12"/>
        <v>0</v>
      </c>
      <c r="S162" s="95">
        <v>0</v>
      </c>
      <c r="T162" s="99">
        <f t="shared" si="13"/>
        <v>0</v>
      </c>
      <c r="AR162" s="101" t="s">
        <v>446</v>
      </c>
      <c r="AT162" s="101" t="s">
        <v>214</v>
      </c>
      <c r="AU162" s="101" t="s">
        <v>87</v>
      </c>
      <c r="AY162" s="23" t="s">
        <v>211</v>
      </c>
      <c r="BE162" s="104">
        <f t="shared" si="14"/>
        <v>0</v>
      </c>
      <c r="BF162" s="104">
        <f t="shared" si="15"/>
        <v>195000</v>
      </c>
      <c r="BG162" s="104">
        <f t="shared" si="16"/>
        <v>0</v>
      </c>
      <c r="BH162" s="104">
        <f t="shared" si="17"/>
        <v>0</v>
      </c>
      <c r="BI162" s="104">
        <f t="shared" si="18"/>
        <v>0</v>
      </c>
      <c r="BJ162" s="23" t="s">
        <v>87</v>
      </c>
      <c r="BK162" s="104">
        <f t="shared" si="19"/>
        <v>195000</v>
      </c>
      <c r="BL162" s="23" t="s">
        <v>446</v>
      </c>
      <c r="BM162" s="101" t="s">
        <v>5018</v>
      </c>
    </row>
    <row r="163" spans="2:65" s="1" customFormat="1" ht="24.15" customHeight="1">
      <c r="B163" s="12"/>
      <c r="C163" s="114" t="s">
        <v>527</v>
      </c>
      <c r="D163" s="114" t="s">
        <v>438</v>
      </c>
      <c r="E163" s="115" t="s">
        <v>5019</v>
      </c>
      <c r="F163" s="116" t="s">
        <v>5020</v>
      </c>
      <c r="G163" s="117" t="s">
        <v>1599</v>
      </c>
      <c r="H163" s="118">
        <v>1500</v>
      </c>
      <c r="I163" s="122">
        <v>14</v>
      </c>
      <c r="J163" s="123">
        <f t="shared" si="10"/>
        <v>21000</v>
      </c>
      <c r="K163" s="124"/>
      <c r="L163" s="125"/>
      <c r="M163" s="126" t="s">
        <v>1</v>
      </c>
      <c r="N163" s="127" t="s">
        <v>43</v>
      </c>
      <c r="P163" s="95">
        <f t="shared" si="11"/>
        <v>0</v>
      </c>
      <c r="Q163" s="95">
        <v>5.0000000000000002E-5</v>
      </c>
      <c r="R163" s="95">
        <f t="shared" si="12"/>
        <v>7.4999999999999997E-2</v>
      </c>
      <c r="S163" s="95">
        <v>0</v>
      </c>
      <c r="T163" s="99">
        <f t="shared" si="13"/>
        <v>0</v>
      </c>
      <c r="AR163" s="101" t="s">
        <v>527</v>
      </c>
      <c r="AT163" s="101" t="s">
        <v>438</v>
      </c>
      <c r="AU163" s="101" t="s">
        <v>87</v>
      </c>
      <c r="AY163" s="23" t="s">
        <v>211</v>
      </c>
      <c r="BE163" s="104">
        <f t="shared" si="14"/>
        <v>0</v>
      </c>
      <c r="BF163" s="104">
        <f t="shared" si="15"/>
        <v>21000</v>
      </c>
      <c r="BG163" s="104">
        <f t="shared" si="16"/>
        <v>0</v>
      </c>
      <c r="BH163" s="104">
        <f t="shared" si="17"/>
        <v>0</v>
      </c>
      <c r="BI163" s="104">
        <f t="shared" si="18"/>
        <v>0</v>
      </c>
      <c r="BJ163" s="23" t="s">
        <v>87</v>
      </c>
      <c r="BK163" s="104">
        <f t="shared" si="19"/>
        <v>21000</v>
      </c>
      <c r="BL163" s="23" t="s">
        <v>446</v>
      </c>
      <c r="BM163" s="101" t="s">
        <v>5021</v>
      </c>
    </row>
    <row r="164" spans="2:65" s="1" customFormat="1" ht="16.5" customHeight="1">
      <c r="B164" s="12"/>
      <c r="C164" s="114" t="s">
        <v>532</v>
      </c>
      <c r="D164" s="114" t="s">
        <v>438</v>
      </c>
      <c r="E164" s="115" t="s">
        <v>4113</v>
      </c>
      <c r="F164" s="116" t="s">
        <v>5022</v>
      </c>
      <c r="G164" s="117" t="s">
        <v>808</v>
      </c>
      <c r="H164" s="118">
        <v>600</v>
      </c>
      <c r="I164" s="122">
        <v>3</v>
      </c>
      <c r="J164" s="123">
        <f t="shared" si="10"/>
        <v>1800</v>
      </c>
      <c r="K164" s="124"/>
      <c r="L164" s="125"/>
      <c r="M164" s="126" t="s">
        <v>1</v>
      </c>
      <c r="N164" s="127" t="s">
        <v>43</v>
      </c>
      <c r="P164" s="95">
        <f t="shared" si="11"/>
        <v>0</v>
      </c>
      <c r="Q164" s="95">
        <v>0</v>
      </c>
      <c r="R164" s="95">
        <f t="shared" si="12"/>
        <v>0</v>
      </c>
      <c r="S164" s="95">
        <v>0</v>
      </c>
      <c r="T164" s="99">
        <f t="shared" si="13"/>
        <v>0</v>
      </c>
      <c r="AR164" s="101" t="s">
        <v>250</v>
      </c>
      <c r="AT164" s="101" t="s">
        <v>438</v>
      </c>
      <c r="AU164" s="101" t="s">
        <v>87</v>
      </c>
      <c r="AY164" s="23" t="s">
        <v>211</v>
      </c>
      <c r="BE164" s="104">
        <f t="shared" si="14"/>
        <v>0</v>
      </c>
      <c r="BF164" s="104">
        <f t="shared" si="15"/>
        <v>1800</v>
      </c>
      <c r="BG164" s="104">
        <f t="shared" si="16"/>
        <v>0</v>
      </c>
      <c r="BH164" s="104">
        <f t="shared" si="17"/>
        <v>0</v>
      </c>
      <c r="BI164" s="104">
        <f t="shared" si="18"/>
        <v>0</v>
      </c>
      <c r="BJ164" s="23" t="s">
        <v>87</v>
      </c>
      <c r="BK164" s="104">
        <f t="shared" si="19"/>
        <v>1800</v>
      </c>
      <c r="BL164" s="23" t="s">
        <v>218</v>
      </c>
      <c r="BM164" s="101" t="s">
        <v>5023</v>
      </c>
    </row>
    <row r="165" spans="2:65" s="1" customFormat="1" ht="16.5" customHeight="1">
      <c r="B165" s="12"/>
      <c r="C165" s="114" t="s">
        <v>537</v>
      </c>
      <c r="D165" s="114" t="s">
        <v>438</v>
      </c>
      <c r="E165" s="115" t="s">
        <v>4115</v>
      </c>
      <c r="F165" s="116" t="s">
        <v>5024</v>
      </c>
      <c r="G165" s="117" t="s">
        <v>808</v>
      </c>
      <c r="H165" s="118">
        <v>600</v>
      </c>
      <c r="I165" s="122">
        <v>12</v>
      </c>
      <c r="J165" s="123">
        <f t="shared" si="10"/>
        <v>7200</v>
      </c>
      <c r="K165" s="124"/>
      <c r="L165" s="125"/>
      <c r="M165" s="126" t="s">
        <v>1</v>
      </c>
      <c r="N165" s="127" t="s">
        <v>43</v>
      </c>
      <c r="P165" s="95">
        <f t="shared" si="11"/>
        <v>0</v>
      </c>
      <c r="Q165" s="95">
        <v>0</v>
      </c>
      <c r="R165" s="95">
        <f t="shared" si="12"/>
        <v>0</v>
      </c>
      <c r="S165" s="95">
        <v>0</v>
      </c>
      <c r="T165" s="99">
        <f t="shared" si="13"/>
        <v>0</v>
      </c>
      <c r="AR165" s="101" t="s">
        <v>250</v>
      </c>
      <c r="AT165" s="101" t="s">
        <v>438</v>
      </c>
      <c r="AU165" s="101" t="s">
        <v>87</v>
      </c>
      <c r="AY165" s="23" t="s">
        <v>211</v>
      </c>
      <c r="BE165" s="104">
        <f t="shared" si="14"/>
        <v>0</v>
      </c>
      <c r="BF165" s="104">
        <f t="shared" si="15"/>
        <v>7200</v>
      </c>
      <c r="BG165" s="104">
        <f t="shared" si="16"/>
        <v>0</v>
      </c>
      <c r="BH165" s="104">
        <f t="shared" si="17"/>
        <v>0</v>
      </c>
      <c r="BI165" s="104">
        <f t="shared" si="18"/>
        <v>0</v>
      </c>
      <c r="BJ165" s="23" t="s">
        <v>87</v>
      </c>
      <c r="BK165" s="104">
        <f t="shared" si="19"/>
        <v>7200</v>
      </c>
      <c r="BL165" s="23" t="s">
        <v>218</v>
      </c>
      <c r="BM165" s="101" t="s">
        <v>5025</v>
      </c>
    </row>
    <row r="166" spans="2:65" s="1" customFormat="1" ht="16.5" customHeight="1">
      <c r="B166" s="12"/>
      <c r="C166" s="114" t="s">
        <v>542</v>
      </c>
      <c r="D166" s="114" t="s">
        <v>438</v>
      </c>
      <c r="E166" s="115" t="s">
        <v>4117</v>
      </c>
      <c r="F166" s="116" t="s">
        <v>5026</v>
      </c>
      <c r="G166" s="117" t="s">
        <v>808</v>
      </c>
      <c r="H166" s="118">
        <v>600</v>
      </c>
      <c r="I166" s="122">
        <v>3</v>
      </c>
      <c r="J166" s="123">
        <f t="shared" si="10"/>
        <v>1800</v>
      </c>
      <c r="K166" s="124"/>
      <c r="L166" s="125"/>
      <c r="M166" s="126" t="s">
        <v>1</v>
      </c>
      <c r="N166" s="127" t="s">
        <v>43</v>
      </c>
      <c r="P166" s="95">
        <f t="shared" si="11"/>
        <v>0</v>
      </c>
      <c r="Q166" s="95">
        <v>0</v>
      </c>
      <c r="R166" s="95">
        <f t="shared" si="12"/>
        <v>0</v>
      </c>
      <c r="S166" s="95">
        <v>0</v>
      </c>
      <c r="T166" s="99">
        <f t="shared" si="13"/>
        <v>0</v>
      </c>
      <c r="AR166" s="101" t="s">
        <v>250</v>
      </c>
      <c r="AT166" s="101" t="s">
        <v>438</v>
      </c>
      <c r="AU166" s="101" t="s">
        <v>87</v>
      </c>
      <c r="AY166" s="23" t="s">
        <v>211</v>
      </c>
      <c r="BE166" s="104">
        <f t="shared" si="14"/>
        <v>0</v>
      </c>
      <c r="BF166" s="104">
        <f t="shared" si="15"/>
        <v>1800</v>
      </c>
      <c r="BG166" s="104">
        <f t="shared" si="16"/>
        <v>0</v>
      </c>
      <c r="BH166" s="104">
        <f t="shared" si="17"/>
        <v>0</v>
      </c>
      <c r="BI166" s="104">
        <f t="shared" si="18"/>
        <v>0</v>
      </c>
      <c r="BJ166" s="23" t="s">
        <v>87</v>
      </c>
      <c r="BK166" s="104">
        <f t="shared" si="19"/>
        <v>1800</v>
      </c>
      <c r="BL166" s="23" t="s">
        <v>218</v>
      </c>
      <c r="BM166" s="101" t="s">
        <v>5027</v>
      </c>
    </row>
    <row r="167" spans="2:65" s="1" customFormat="1" ht="16.5" customHeight="1">
      <c r="B167" s="12"/>
      <c r="C167" s="114" t="s">
        <v>551</v>
      </c>
      <c r="D167" s="114" t="s">
        <v>438</v>
      </c>
      <c r="E167" s="115" t="s">
        <v>4119</v>
      </c>
      <c r="F167" s="116" t="s">
        <v>5028</v>
      </c>
      <c r="G167" s="117" t="s">
        <v>808</v>
      </c>
      <c r="H167" s="118">
        <v>600</v>
      </c>
      <c r="I167" s="122">
        <v>4</v>
      </c>
      <c r="J167" s="123">
        <f t="shared" si="10"/>
        <v>2400</v>
      </c>
      <c r="K167" s="124"/>
      <c r="L167" s="125"/>
      <c r="M167" s="126" t="s">
        <v>1</v>
      </c>
      <c r="N167" s="127" t="s">
        <v>43</v>
      </c>
      <c r="P167" s="95">
        <f t="shared" si="11"/>
        <v>0</v>
      </c>
      <c r="Q167" s="95">
        <v>0</v>
      </c>
      <c r="R167" s="95">
        <f t="shared" si="12"/>
        <v>0</v>
      </c>
      <c r="S167" s="95">
        <v>0</v>
      </c>
      <c r="T167" s="99">
        <f t="shared" si="13"/>
        <v>0</v>
      </c>
      <c r="AR167" s="101" t="s">
        <v>250</v>
      </c>
      <c r="AT167" s="101" t="s">
        <v>438</v>
      </c>
      <c r="AU167" s="101" t="s">
        <v>87</v>
      </c>
      <c r="AY167" s="23" t="s">
        <v>211</v>
      </c>
      <c r="BE167" s="104">
        <f t="shared" si="14"/>
        <v>0</v>
      </c>
      <c r="BF167" s="104">
        <f t="shared" si="15"/>
        <v>2400</v>
      </c>
      <c r="BG167" s="104">
        <f t="shared" si="16"/>
        <v>0</v>
      </c>
      <c r="BH167" s="104">
        <f t="shared" si="17"/>
        <v>0</v>
      </c>
      <c r="BI167" s="104">
        <f t="shared" si="18"/>
        <v>0</v>
      </c>
      <c r="BJ167" s="23" t="s">
        <v>87</v>
      </c>
      <c r="BK167" s="104">
        <f t="shared" si="19"/>
        <v>2400</v>
      </c>
      <c r="BL167" s="23" t="s">
        <v>218</v>
      </c>
      <c r="BM167" s="101" t="s">
        <v>5029</v>
      </c>
    </row>
    <row r="168" spans="2:65" s="1" customFormat="1" ht="16.5" customHeight="1">
      <c r="B168" s="12"/>
      <c r="C168" s="114" t="s">
        <v>555</v>
      </c>
      <c r="D168" s="114" t="s">
        <v>438</v>
      </c>
      <c r="E168" s="115" t="s">
        <v>4123</v>
      </c>
      <c r="F168" s="116" t="s">
        <v>5030</v>
      </c>
      <c r="G168" s="117" t="s">
        <v>808</v>
      </c>
      <c r="H168" s="118">
        <v>40</v>
      </c>
      <c r="I168" s="122">
        <v>500</v>
      </c>
      <c r="J168" s="123">
        <f t="shared" si="10"/>
        <v>20000</v>
      </c>
      <c r="K168" s="124"/>
      <c r="L168" s="125"/>
      <c r="M168" s="126" t="s">
        <v>1</v>
      </c>
      <c r="N168" s="127" t="s">
        <v>43</v>
      </c>
      <c r="P168" s="95">
        <f t="shared" si="11"/>
        <v>0</v>
      </c>
      <c r="Q168" s="95">
        <v>0</v>
      </c>
      <c r="R168" s="95">
        <f t="shared" si="12"/>
        <v>0</v>
      </c>
      <c r="S168" s="95">
        <v>0</v>
      </c>
      <c r="T168" s="99">
        <f t="shared" si="13"/>
        <v>0</v>
      </c>
      <c r="AR168" s="101" t="s">
        <v>250</v>
      </c>
      <c r="AT168" s="101" t="s">
        <v>438</v>
      </c>
      <c r="AU168" s="101" t="s">
        <v>87</v>
      </c>
      <c r="AY168" s="23" t="s">
        <v>211</v>
      </c>
      <c r="BE168" s="104">
        <f t="shared" si="14"/>
        <v>0</v>
      </c>
      <c r="BF168" s="104">
        <f t="shared" si="15"/>
        <v>20000</v>
      </c>
      <c r="BG168" s="104">
        <f t="shared" si="16"/>
        <v>0</v>
      </c>
      <c r="BH168" s="104">
        <f t="shared" si="17"/>
        <v>0</v>
      </c>
      <c r="BI168" s="104">
        <f t="shared" si="18"/>
        <v>0</v>
      </c>
      <c r="BJ168" s="23" t="s">
        <v>87</v>
      </c>
      <c r="BK168" s="104">
        <f t="shared" si="19"/>
        <v>20000</v>
      </c>
      <c r="BL168" s="23" t="s">
        <v>218</v>
      </c>
      <c r="BM168" s="101" t="s">
        <v>5031</v>
      </c>
    </row>
    <row r="169" spans="2:65" s="1" customFormat="1" ht="24.15" customHeight="1">
      <c r="B169" s="12"/>
      <c r="C169" s="71" t="s">
        <v>566</v>
      </c>
      <c r="D169" s="71" t="s">
        <v>214</v>
      </c>
      <c r="E169" s="72" t="s">
        <v>5032</v>
      </c>
      <c r="F169" s="73" t="s">
        <v>5033</v>
      </c>
      <c r="G169" s="74" t="s">
        <v>1599</v>
      </c>
      <c r="H169" s="75">
        <v>95</v>
      </c>
      <c r="I169" s="90">
        <v>50</v>
      </c>
      <c r="J169" s="91">
        <f t="shared" si="10"/>
        <v>4750</v>
      </c>
      <c r="K169" s="92"/>
      <c r="L169" s="12"/>
      <c r="M169" s="93" t="s">
        <v>1</v>
      </c>
      <c r="N169" s="94" t="s">
        <v>43</v>
      </c>
      <c r="P169" s="95">
        <f t="shared" si="11"/>
        <v>0</v>
      </c>
      <c r="Q169" s="95">
        <v>0</v>
      </c>
      <c r="R169" s="95">
        <f t="shared" si="12"/>
        <v>0</v>
      </c>
      <c r="S169" s="95">
        <v>0</v>
      </c>
      <c r="T169" s="99">
        <f t="shared" si="13"/>
        <v>0</v>
      </c>
      <c r="AR169" s="101" t="s">
        <v>446</v>
      </c>
      <c r="AT169" s="101" t="s">
        <v>214</v>
      </c>
      <c r="AU169" s="101" t="s">
        <v>87</v>
      </c>
      <c r="AY169" s="23" t="s">
        <v>211</v>
      </c>
      <c r="BE169" s="104">
        <f t="shared" si="14"/>
        <v>0</v>
      </c>
      <c r="BF169" s="104">
        <f t="shared" si="15"/>
        <v>4750</v>
      </c>
      <c r="BG169" s="104">
        <f t="shared" si="16"/>
        <v>0</v>
      </c>
      <c r="BH169" s="104">
        <f t="shared" si="17"/>
        <v>0</v>
      </c>
      <c r="BI169" s="104">
        <f t="shared" si="18"/>
        <v>0</v>
      </c>
      <c r="BJ169" s="23" t="s">
        <v>87</v>
      </c>
      <c r="BK169" s="104">
        <f t="shared" si="19"/>
        <v>4750</v>
      </c>
      <c r="BL169" s="23" t="s">
        <v>446</v>
      </c>
      <c r="BM169" s="101" t="s">
        <v>5034</v>
      </c>
    </row>
    <row r="170" spans="2:65" s="1" customFormat="1" ht="21.75" customHeight="1">
      <c r="B170" s="12"/>
      <c r="C170" s="114" t="s">
        <v>570</v>
      </c>
      <c r="D170" s="114" t="s">
        <v>438</v>
      </c>
      <c r="E170" s="115" t="s">
        <v>5035</v>
      </c>
      <c r="F170" s="116" t="s">
        <v>5036</v>
      </c>
      <c r="G170" s="117" t="s">
        <v>1599</v>
      </c>
      <c r="H170" s="118">
        <v>95</v>
      </c>
      <c r="I170" s="122">
        <v>200</v>
      </c>
      <c r="J170" s="123">
        <f t="shared" si="10"/>
        <v>19000</v>
      </c>
      <c r="K170" s="124"/>
      <c r="L170" s="125"/>
      <c r="M170" s="126" t="s">
        <v>1</v>
      </c>
      <c r="N170" s="127" t="s">
        <v>43</v>
      </c>
      <c r="P170" s="95">
        <f t="shared" si="11"/>
        <v>0</v>
      </c>
      <c r="Q170" s="95">
        <v>5.0000000000000002E-5</v>
      </c>
      <c r="R170" s="95">
        <f t="shared" si="12"/>
        <v>4.7499999999999999E-3</v>
      </c>
      <c r="S170" s="95">
        <v>0</v>
      </c>
      <c r="T170" s="99">
        <f t="shared" si="13"/>
        <v>0</v>
      </c>
      <c r="AR170" s="101" t="s">
        <v>527</v>
      </c>
      <c r="AT170" s="101" t="s">
        <v>438</v>
      </c>
      <c r="AU170" s="101" t="s">
        <v>87</v>
      </c>
      <c r="AY170" s="23" t="s">
        <v>211</v>
      </c>
      <c r="BE170" s="104">
        <f t="shared" si="14"/>
        <v>0</v>
      </c>
      <c r="BF170" s="104">
        <f t="shared" si="15"/>
        <v>19000</v>
      </c>
      <c r="BG170" s="104">
        <f t="shared" si="16"/>
        <v>0</v>
      </c>
      <c r="BH170" s="104">
        <f t="shared" si="17"/>
        <v>0</v>
      </c>
      <c r="BI170" s="104">
        <f t="shared" si="18"/>
        <v>0</v>
      </c>
      <c r="BJ170" s="23" t="s">
        <v>87</v>
      </c>
      <c r="BK170" s="104">
        <f t="shared" si="19"/>
        <v>19000</v>
      </c>
      <c r="BL170" s="23" t="s">
        <v>446</v>
      </c>
      <c r="BM170" s="101" t="s">
        <v>5037</v>
      </c>
    </row>
    <row r="171" spans="2:65" s="1" customFormat="1" ht="16.5" customHeight="1">
      <c r="B171" s="12"/>
      <c r="C171" s="71" t="s">
        <v>578</v>
      </c>
      <c r="D171" s="71" t="s">
        <v>214</v>
      </c>
      <c r="E171" s="72" t="s">
        <v>5038</v>
      </c>
      <c r="F171" s="73" t="s">
        <v>5039</v>
      </c>
      <c r="G171" s="74" t="s">
        <v>1599</v>
      </c>
      <c r="H171" s="75">
        <v>81</v>
      </c>
      <c r="I171" s="90">
        <v>60</v>
      </c>
      <c r="J171" s="91">
        <f t="shared" si="10"/>
        <v>4860</v>
      </c>
      <c r="K171" s="92"/>
      <c r="L171" s="12"/>
      <c r="M171" s="93" t="s">
        <v>1</v>
      </c>
      <c r="N171" s="94" t="s">
        <v>43</v>
      </c>
      <c r="P171" s="95">
        <f t="shared" si="11"/>
        <v>0</v>
      </c>
      <c r="Q171" s="95">
        <v>0</v>
      </c>
      <c r="R171" s="95">
        <f t="shared" si="12"/>
        <v>0</v>
      </c>
      <c r="S171" s="95">
        <v>0</v>
      </c>
      <c r="T171" s="99">
        <f t="shared" si="13"/>
        <v>0</v>
      </c>
      <c r="AR171" s="101" t="s">
        <v>446</v>
      </c>
      <c r="AT171" s="101" t="s">
        <v>214</v>
      </c>
      <c r="AU171" s="101" t="s">
        <v>87</v>
      </c>
      <c r="AY171" s="23" t="s">
        <v>211</v>
      </c>
      <c r="BE171" s="104">
        <f t="shared" si="14"/>
        <v>0</v>
      </c>
      <c r="BF171" s="104">
        <f t="shared" si="15"/>
        <v>4860</v>
      </c>
      <c r="BG171" s="104">
        <f t="shared" si="16"/>
        <v>0</v>
      </c>
      <c r="BH171" s="104">
        <f t="shared" si="17"/>
        <v>0</v>
      </c>
      <c r="BI171" s="104">
        <f t="shared" si="18"/>
        <v>0</v>
      </c>
      <c r="BJ171" s="23" t="s">
        <v>87</v>
      </c>
      <c r="BK171" s="104">
        <f t="shared" si="19"/>
        <v>4860</v>
      </c>
      <c r="BL171" s="23" t="s">
        <v>446</v>
      </c>
      <c r="BM171" s="101" t="s">
        <v>5040</v>
      </c>
    </row>
    <row r="172" spans="2:65" s="1" customFormat="1" ht="16.5" customHeight="1">
      <c r="B172" s="12"/>
      <c r="C172" s="114" t="s">
        <v>582</v>
      </c>
      <c r="D172" s="114" t="s">
        <v>438</v>
      </c>
      <c r="E172" s="115" t="s">
        <v>5041</v>
      </c>
      <c r="F172" s="116" t="s">
        <v>5042</v>
      </c>
      <c r="G172" s="117" t="s">
        <v>808</v>
      </c>
      <c r="H172" s="118">
        <v>81</v>
      </c>
      <c r="I172" s="122">
        <v>1300</v>
      </c>
      <c r="J172" s="123">
        <f t="shared" si="10"/>
        <v>105300</v>
      </c>
      <c r="K172" s="124"/>
      <c r="L172" s="125"/>
      <c r="M172" s="126" t="s">
        <v>1</v>
      </c>
      <c r="N172" s="127" t="s">
        <v>43</v>
      </c>
      <c r="P172" s="95">
        <f t="shared" si="11"/>
        <v>0</v>
      </c>
      <c r="Q172" s="95">
        <v>0</v>
      </c>
      <c r="R172" s="95">
        <f t="shared" si="12"/>
        <v>0</v>
      </c>
      <c r="S172" s="95">
        <v>0</v>
      </c>
      <c r="T172" s="99">
        <f t="shared" si="13"/>
        <v>0</v>
      </c>
      <c r="AR172" s="101" t="s">
        <v>527</v>
      </c>
      <c r="AT172" s="101" t="s">
        <v>438</v>
      </c>
      <c r="AU172" s="101" t="s">
        <v>87</v>
      </c>
      <c r="AY172" s="23" t="s">
        <v>211</v>
      </c>
      <c r="BE172" s="104">
        <f t="shared" si="14"/>
        <v>0</v>
      </c>
      <c r="BF172" s="104">
        <f t="shared" si="15"/>
        <v>105300</v>
      </c>
      <c r="BG172" s="104">
        <f t="shared" si="16"/>
        <v>0</v>
      </c>
      <c r="BH172" s="104">
        <f t="shared" si="17"/>
        <v>0</v>
      </c>
      <c r="BI172" s="104">
        <f t="shared" si="18"/>
        <v>0</v>
      </c>
      <c r="BJ172" s="23" t="s">
        <v>87</v>
      </c>
      <c r="BK172" s="104">
        <f t="shared" si="19"/>
        <v>105300</v>
      </c>
      <c r="BL172" s="23" t="s">
        <v>446</v>
      </c>
      <c r="BM172" s="101" t="s">
        <v>5043</v>
      </c>
    </row>
    <row r="173" spans="2:65" s="1" customFormat="1" ht="24.15" customHeight="1">
      <c r="B173" s="12"/>
      <c r="C173" s="71" t="s">
        <v>588</v>
      </c>
      <c r="D173" s="71" t="s">
        <v>214</v>
      </c>
      <c r="E173" s="72" t="s">
        <v>5044</v>
      </c>
      <c r="F173" s="73" t="s">
        <v>5045</v>
      </c>
      <c r="G173" s="74" t="s">
        <v>1599</v>
      </c>
      <c r="H173" s="75">
        <v>45</v>
      </c>
      <c r="I173" s="90">
        <v>80</v>
      </c>
      <c r="J173" s="91">
        <f t="shared" si="10"/>
        <v>3600</v>
      </c>
      <c r="K173" s="92"/>
      <c r="L173" s="12"/>
      <c r="M173" s="93" t="s">
        <v>1</v>
      </c>
      <c r="N173" s="94" t="s">
        <v>43</v>
      </c>
      <c r="P173" s="95">
        <f t="shared" si="11"/>
        <v>0</v>
      </c>
      <c r="Q173" s="95">
        <v>0</v>
      </c>
      <c r="R173" s="95">
        <f t="shared" si="12"/>
        <v>0</v>
      </c>
      <c r="S173" s="95">
        <v>0</v>
      </c>
      <c r="T173" s="99">
        <f t="shared" si="13"/>
        <v>0</v>
      </c>
      <c r="AR173" s="101" t="s">
        <v>446</v>
      </c>
      <c r="AT173" s="101" t="s">
        <v>214</v>
      </c>
      <c r="AU173" s="101" t="s">
        <v>87</v>
      </c>
      <c r="AY173" s="23" t="s">
        <v>211</v>
      </c>
      <c r="BE173" s="104">
        <f t="shared" si="14"/>
        <v>0</v>
      </c>
      <c r="BF173" s="104">
        <f t="shared" si="15"/>
        <v>3600</v>
      </c>
      <c r="BG173" s="104">
        <f t="shared" si="16"/>
        <v>0</v>
      </c>
      <c r="BH173" s="104">
        <f t="shared" si="17"/>
        <v>0</v>
      </c>
      <c r="BI173" s="104">
        <f t="shared" si="18"/>
        <v>0</v>
      </c>
      <c r="BJ173" s="23" t="s">
        <v>87</v>
      </c>
      <c r="BK173" s="104">
        <f t="shared" si="19"/>
        <v>3600</v>
      </c>
      <c r="BL173" s="23" t="s">
        <v>446</v>
      </c>
      <c r="BM173" s="101" t="s">
        <v>5046</v>
      </c>
    </row>
    <row r="174" spans="2:65" s="1" customFormat="1" ht="16.5" customHeight="1">
      <c r="B174" s="12"/>
      <c r="C174" s="114" t="s">
        <v>593</v>
      </c>
      <c r="D174" s="114" t="s">
        <v>438</v>
      </c>
      <c r="E174" s="115" t="s">
        <v>5047</v>
      </c>
      <c r="F174" s="116" t="s">
        <v>5048</v>
      </c>
      <c r="G174" s="117" t="s">
        <v>808</v>
      </c>
      <c r="H174" s="118">
        <v>45</v>
      </c>
      <c r="I174" s="122">
        <v>350</v>
      </c>
      <c r="J174" s="123">
        <f t="shared" si="10"/>
        <v>15750</v>
      </c>
      <c r="K174" s="124"/>
      <c r="L174" s="125"/>
      <c r="M174" s="126" t="s">
        <v>1</v>
      </c>
      <c r="N174" s="127" t="s">
        <v>43</v>
      </c>
      <c r="P174" s="95">
        <f t="shared" si="11"/>
        <v>0</v>
      </c>
      <c r="Q174" s="95">
        <v>0</v>
      </c>
      <c r="R174" s="95">
        <f t="shared" si="12"/>
        <v>0</v>
      </c>
      <c r="S174" s="95">
        <v>0</v>
      </c>
      <c r="T174" s="99">
        <f t="shared" si="13"/>
        <v>0</v>
      </c>
      <c r="AR174" s="101" t="s">
        <v>527</v>
      </c>
      <c r="AT174" s="101" t="s">
        <v>438</v>
      </c>
      <c r="AU174" s="101" t="s">
        <v>87</v>
      </c>
      <c r="AY174" s="23" t="s">
        <v>211</v>
      </c>
      <c r="BE174" s="104">
        <f t="shared" si="14"/>
        <v>0</v>
      </c>
      <c r="BF174" s="104">
        <f t="shared" si="15"/>
        <v>15750</v>
      </c>
      <c r="BG174" s="104">
        <f t="shared" si="16"/>
        <v>0</v>
      </c>
      <c r="BH174" s="104">
        <f t="shared" si="17"/>
        <v>0</v>
      </c>
      <c r="BI174" s="104">
        <f t="shared" si="18"/>
        <v>0</v>
      </c>
      <c r="BJ174" s="23" t="s">
        <v>87</v>
      </c>
      <c r="BK174" s="104">
        <f t="shared" si="19"/>
        <v>15750</v>
      </c>
      <c r="BL174" s="23" t="s">
        <v>446</v>
      </c>
      <c r="BM174" s="101" t="s">
        <v>5049</v>
      </c>
    </row>
    <row r="175" spans="2:65" s="1" customFormat="1" ht="24.15" customHeight="1">
      <c r="B175" s="12"/>
      <c r="C175" s="71" t="s">
        <v>598</v>
      </c>
      <c r="D175" s="71" t="s">
        <v>214</v>
      </c>
      <c r="E175" s="72" t="s">
        <v>5050</v>
      </c>
      <c r="F175" s="73" t="s">
        <v>5051</v>
      </c>
      <c r="G175" s="74" t="s">
        <v>1599</v>
      </c>
      <c r="H175" s="75">
        <v>71</v>
      </c>
      <c r="I175" s="90">
        <v>60</v>
      </c>
      <c r="J175" s="91">
        <f t="shared" si="10"/>
        <v>4260</v>
      </c>
      <c r="K175" s="92"/>
      <c r="L175" s="12"/>
      <c r="M175" s="93" t="s">
        <v>1</v>
      </c>
      <c r="N175" s="94" t="s">
        <v>43</v>
      </c>
      <c r="P175" s="95">
        <f t="shared" si="11"/>
        <v>0</v>
      </c>
      <c r="Q175" s="95">
        <v>0</v>
      </c>
      <c r="R175" s="95">
        <f t="shared" si="12"/>
        <v>0</v>
      </c>
      <c r="S175" s="95">
        <v>0</v>
      </c>
      <c r="T175" s="99">
        <f t="shared" si="13"/>
        <v>0</v>
      </c>
      <c r="AR175" s="101" t="s">
        <v>446</v>
      </c>
      <c r="AT175" s="101" t="s">
        <v>214</v>
      </c>
      <c r="AU175" s="101" t="s">
        <v>87</v>
      </c>
      <c r="AY175" s="23" t="s">
        <v>211</v>
      </c>
      <c r="BE175" s="104">
        <f t="shared" si="14"/>
        <v>0</v>
      </c>
      <c r="BF175" s="104">
        <f t="shared" si="15"/>
        <v>4260</v>
      </c>
      <c r="BG175" s="104">
        <f t="shared" si="16"/>
        <v>0</v>
      </c>
      <c r="BH175" s="104">
        <f t="shared" si="17"/>
        <v>0</v>
      </c>
      <c r="BI175" s="104">
        <f t="shared" si="18"/>
        <v>0</v>
      </c>
      <c r="BJ175" s="23" t="s">
        <v>87</v>
      </c>
      <c r="BK175" s="104">
        <f t="shared" si="19"/>
        <v>4260</v>
      </c>
      <c r="BL175" s="23" t="s">
        <v>446</v>
      </c>
      <c r="BM175" s="101" t="s">
        <v>5052</v>
      </c>
    </row>
    <row r="176" spans="2:65" s="1" customFormat="1" ht="21.75" customHeight="1">
      <c r="B176" s="12"/>
      <c r="C176" s="114" t="s">
        <v>604</v>
      </c>
      <c r="D176" s="114" t="s">
        <v>438</v>
      </c>
      <c r="E176" s="115" t="s">
        <v>5053</v>
      </c>
      <c r="F176" s="116" t="s">
        <v>5054</v>
      </c>
      <c r="G176" s="117" t="s">
        <v>1599</v>
      </c>
      <c r="H176" s="118">
        <v>71</v>
      </c>
      <c r="I176" s="122">
        <v>300</v>
      </c>
      <c r="J176" s="123">
        <f t="shared" si="10"/>
        <v>21300</v>
      </c>
      <c r="K176" s="124"/>
      <c r="L176" s="125"/>
      <c r="M176" s="126" t="s">
        <v>1</v>
      </c>
      <c r="N176" s="127" t="s">
        <v>43</v>
      </c>
      <c r="P176" s="95">
        <f t="shared" si="11"/>
        <v>0</v>
      </c>
      <c r="Q176" s="95">
        <v>5.0000000000000002E-5</v>
      </c>
      <c r="R176" s="95">
        <f t="shared" si="12"/>
        <v>3.5500000000000002E-3</v>
      </c>
      <c r="S176" s="95">
        <v>0</v>
      </c>
      <c r="T176" s="99">
        <f t="shared" si="13"/>
        <v>0</v>
      </c>
      <c r="AR176" s="101" t="s">
        <v>527</v>
      </c>
      <c r="AT176" s="101" t="s">
        <v>438</v>
      </c>
      <c r="AU176" s="101" t="s">
        <v>87</v>
      </c>
      <c r="AY176" s="23" t="s">
        <v>211</v>
      </c>
      <c r="BE176" s="104">
        <f t="shared" si="14"/>
        <v>0</v>
      </c>
      <c r="BF176" s="104">
        <f t="shared" si="15"/>
        <v>21300</v>
      </c>
      <c r="BG176" s="104">
        <f t="shared" si="16"/>
        <v>0</v>
      </c>
      <c r="BH176" s="104">
        <f t="shared" si="17"/>
        <v>0</v>
      </c>
      <c r="BI176" s="104">
        <f t="shared" si="18"/>
        <v>0</v>
      </c>
      <c r="BJ176" s="23" t="s">
        <v>87</v>
      </c>
      <c r="BK176" s="104">
        <f t="shared" si="19"/>
        <v>21300</v>
      </c>
      <c r="BL176" s="23" t="s">
        <v>446</v>
      </c>
      <c r="BM176" s="101" t="s">
        <v>5055</v>
      </c>
    </row>
    <row r="177" spans="2:65" s="1" customFormat="1" ht="24.15" customHeight="1">
      <c r="B177" s="12"/>
      <c r="C177" s="71" t="s">
        <v>608</v>
      </c>
      <c r="D177" s="71" t="s">
        <v>214</v>
      </c>
      <c r="E177" s="72" t="s">
        <v>5056</v>
      </c>
      <c r="F177" s="73" t="s">
        <v>5057</v>
      </c>
      <c r="G177" s="74" t="s">
        <v>1599</v>
      </c>
      <c r="H177" s="75">
        <v>194</v>
      </c>
      <c r="I177" s="90">
        <v>60</v>
      </c>
      <c r="J177" s="91">
        <f t="shared" si="10"/>
        <v>11640</v>
      </c>
      <c r="K177" s="92"/>
      <c r="L177" s="12"/>
      <c r="M177" s="93" t="s">
        <v>1</v>
      </c>
      <c r="N177" s="94" t="s">
        <v>43</v>
      </c>
      <c r="P177" s="95">
        <f t="shared" si="11"/>
        <v>0</v>
      </c>
      <c r="Q177" s="95">
        <v>0</v>
      </c>
      <c r="R177" s="95">
        <f t="shared" si="12"/>
        <v>0</v>
      </c>
      <c r="S177" s="95">
        <v>0</v>
      </c>
      <c r="T177" s="99">
        <f t="shared" si="13"/>
        <v>0</v>
      </c>
      <c r="AR177" s="101" t="s">
        <v>446</v>
      </c>
      <c r="AT177" s="101" t="s">
        <v>214</v>
      </c>
      <c r="AU177" s="101" t="s">
        <v>87</v>
      </c>
      <c r="AY177" s="23" t="s">
        <v>211</v>
      </c>
      <c r="BE177" s="104">
        <f t="shared" si="14"/>
        <v>0</v>
      </c>
      <c r="BF177" s="104">
        <f t="shared" si="15"/>
        <v>11640</v>
      </c>
      <c r="BG177" s="104">
        <f t="shared" si="16"/>
        <v>0</v>
      </c>
      <c r="BH177" s="104">
        <f t="shared" si="17"/>
        <v>0</v>
      </c>
      <c r="BI177" s="104">
        <f t="shared" si="18"/>
        <v>0</v>
      </c>
      <c r="BJ177" s="23" t="s">
        <v>87</v>
      </c>
      <c r="BK177" s="104">
        <f t="shared" si="19"/>
        <v>11640</v>
      </c>
      <c r="BL177" s="23" t="s">
        <v>446</v>
      </c>
      <c r="BM177" s="101" t="s">
        <v>5058</v>
      </c>
    </row>
    <row r="178" spans="2:65" s="1" customFormat="1" ht="16.5" customHeight="1">
      <c r="B178" s="12"/>
      <c r="C178" s="114" t="s">
        <v>614</v>
      </c>
      <c r="D178" s="114" t="s">
        <v>438</v>
      </c>
      <c r="E178" s="115" t="s">
        <v>5059</v>
      </c>
      <c r="F178" s="116" t="s">
        <v>5060</v>
      </c>
      <c r="G178" s="117" t="s">
        <v>808</v>
      </c>
      <c r="H178" s="118">
        <v>194</v>
      </c>
      <c r="I178" s="122">
        <v>300</v>
      </c>
      <c r="J178" s="123">
        <f t="shared" si="10"/>
        <v>58200</v>
      </c>
      <c r="K178" s="124"/>
      <c r="L178" s="125"/>
      <c r="M178" s="126" t="s">
        <v>1</v>
      </c>
      <c r="N178" s="127" t="s">
        <v>43</v>
      </c>
      <c r="P178" s="95">
        <f t="shared" si="11"/>
        <v>0</v>
      </c>
      <c r="Q178" s="95">
        <v>0</v>
      </c>
      <c r="R178" s="95">
        <f t="shared" si="12"/>
        <v>0</v>
      </c>
      <c r="S178" s="95">
        <v>0</v>
      </c>
      <c r="T178" s="99">
        <f t="shared" si="13"/>
        <v>0</v>
      </c>
      <c r="AR178" s="101" t="s">
        <v>527</v>
      </c>
      <c r="AT178" s="101" t="s">
        <v>438</v>
      </c>
      <c r="AU178" s="101" t="s">
        <v>87</v>
      </c>
      <c r="AY178" s="23" t="s">
        <v>211</v>
      </c>
      <c r="BE178" s="104">
        <f t="shared" si="14"/>
        <v>0</v>
      </c>
      <c r="BF178" s="104">
        <f t="shared" si="15"/>
        <v>58200</v>
      </c>
      <c r="BG178" s="104">
        <f t="shared" si="16"/>
        <v>0</v>
      </c>
      <c r="BH178" s="104">
        <f t="shared" si="17"/>
        <v>0</v>
      </c>
      <c r="BI178" s="104">
        <f t="shared" si="18"/>
        <v>0</v>
      </c>
      <c r="BJ178" s="23" t="s">
        <v>87</v>
      </c>
      <c r="BK178" s="104">
        <f t="shared" si="19"/>
        <v>58200</v>
      </c>
      <c r="BL178" s="23" t="s">
        <v>446</v>
      </c>
      <c r="BM178" s="101" t="s">
        <v>5061</v>
      </c>
    </row>
    <row r="179" spans="2:65" s="1" customFormat="1" ht="24.15" customHeight="1">
      <c r="B179" s="12"/>
      <c r="C179" s="71" t="s">
        <v>619</v>
      </c>
      <c r="D179" s="71" t="s">
        <v>214</v>
      </c>
      <c r="E179" s="72" t="s">
        <v>5062</v>
      </c>
      <c r="F179" s="73" t="s">
        <v>5063</v>
      </c>
      <c r="G179" s="74" t="s">
        <v>1599</v>
      </c>
      <c r="H179" s="75">
        <v>45</v>
      </c>
      <c r="I179" s="90">
        <v>60</v>
      </c>
      <c r="J179" s="91">
        <f t="shared" si="10"/>
        <v>2700</v>
      </c>
      <c r="K179" s="92"/>
      <c r="L179" s="12"/>
      <c r="M179" s="93" t="s">
        <v>1</v>
      </c>
      <c r="N179" s="94" t="s">
        <v>43</v>
      </c>
      <c r="P179" s="95">
        <f t="shared" si="11"/>
        <v>0</v>
      </c>
      <c r="Q179" s="95">
        <v>0</v>
      </c>
      <c r="R179" s="95">
        <f t="shared" si="12"/>
        <v>0</v>
      </c>
      <c r="S179" s="95">
        <v>0</v>
      </c>
      <c r="T179" s="99">
        <f t="shared" si="13"/>
        <v>0</v>
      </c>
      <c r="AR179" s="101" t="s">
        <v>446</v>
      </c>
      <c r="AT179" s="101" t="s">
        <v>214</v>
      </c>
      <c r="AU179" s="101" t="s">
        <v>87</v>
      </c>
      <c r="AY179" s="23" t="s">
        <v>211</v>
      </c>
      <c r="BE179" s="104">
        <f t="shared" si="14"/>
        <v>0</v>
      </c>
      <c r="BF179" s="104">
        <f t="shared" si="15"/>
        <v>2700</v>
      </c>
      <c r="BG179" s="104">
        <f t="shared" si="16"/>
        <v>0</v>
      </c>
      <c r="BH179" s="104">
        <f t="shared" si="17"/>
        <v>0</v>
      </c>
      <c r="BI179" s="104">
        <f t="shared" si="18"/>
        <v>0</v>
      </c>
      <c r="BJ179" s="23" t="s">
        <v>87</v>
      </c>
      <c r="BK179" s="104">
        <f t="shared" si="19"/>
        <v>2700</v>
      </c>
      <c r="BL179" s="23" t="s">
        <v>446</v>
      </c>
      <c r="BM179" s="101" t="s">
        <v>5064</v>
      </c>
    </row>
    <row r="180" spans="2:65" s="1" customFormat="1" ht="16.5" customHeight="1">
      <c r="B180" s="12"/>
      <c r="C180" s="114" t="s">
        <v>624</v>
      </c>
      <c r="D180" s="114" t="s">
        <v>438</v>
      </c>
      <c r="E180" s="115" t="s">
        <v>5065</v>
      </c>
      <c r="F180" s="116" t="s">
        <v>5066</v>
      </c>
      <c r="G180" s="117" t="s">
        <v>808</v>
      </c>
      <c r="H180" s="118">
        <v>45</v>
      </c>
      <c r="I180" s="122">
        <v>300</v>
      </c>
      <c r="J180" s="123">
        <f t="shared" si="10"/>
        <v>13500</v>
      </c>
      <c r="K180" s="124"/>
      <c r="L180" s="125"/>
      <c r="M180" s="126" t="s">
        <v>1</v>
      </c>
      <c r="N180" s="127" t="s">
        <v>43</v>
      </c>
      <c r="P180" s="95">
        <f t="shared" si="11"/>
        <v>0</v>
      </c>
      <c r="Q180" s="95">
        <v>0</v>
      </c>
      <c r="R180" s="95">
        <f t="shared" si="12"/>
        <v>0</v>
      </c>
      <c r="S180" s="95">
        <v>0</v>
      </c>
      <c r="T180" s="99">
        <f t="shared" si="13"/>
        <v>0</v>
      </c>
      <c r="AR180" s="101" t="s">
        <v>527</v>
      </c>
      <c r="AT180" s="101" t="s">
        <v>438</v>
      </c>
      <c r="AU180" s="101" t="s">
        <v>87</v>
      </c>
      <c r="AY180" s="23" t="s">
        <v>211</v>
      </c>
      <c r="BE180" s="104">
        <f t="shared" si="14"/>
        <v>0</v>
      </c>
      <c r="BF180" s="104">
        <f t="shared" si="15"/>
        <v>13500</v>
      </c>
      <c r="BG180" s="104">
        <f t="shared" si="16"/>
        <v>0</v>
      </c>
      <c r="BH180" s="104">
        <f t="shared" si="17"/>
        <v>0</v>
      </c>
      <c r="BI180" s="104">
        <f t="shared" si="18"/>
        <v>0</v>
      </c>
      <c r="BJ180" s="23" t="s">
        <v>87</v>
      </c>
      <c r="BK180" s="104">
        <f t="shared" si="19"/>
        <v>13500</v>
      </c>
      <c r="BL180" s="23" t="s">
        <v>446</v>
      </c>
      <c r="BM180" s="101" t="s">
        <v>5067</v>
      </c>
    </row>
    <row r="181" spans="2:65" s="1" customFormat="1" ht="21.75" customHeight="1">
      <c r="B181" s="12"/>
      <c r="C181" s="71" t="s">
        <v>629</v>
      </c>
      <c r="D181" s="71" t="s">
        <v>214</v>
      </c>
      <c r="E181" s="72" t="s">
        <v>5068</v>
      </c>
      <c r="F181" s="73" t="s">
        <v>5069</v>
      </c>
      <c r="G181" s="74" t="s">
        <v>1599</v>
      </c>
      <c r="H181" s="75">
        <v>49</v>
      </c>
      <c r="I181" s="90">
        <v>300</v>
      </c>
      <c r="J181" s="91">
        <f t="shared" si="10"/>
        <v>14700</v>
      </c>
      <c r="K181" s="92"/>
      <c r="L181" s="12"/>
      <c r="M181" s="93" t="s">
        <v>1</v>
      </c>
      <c r="N181" s="94" t="s">
        <v>43</v>
      </c>
      <c r="P181" s="95">
        <f t="shared" si="11"/>
        <v>0</v>
      </c>
      <c r="Q181" s="95">
        <v>0</v>
      </c>
      <c r="R181" s="95">
        <f t="shared" si="12"/>
        <v>0</v>
      </c>
      <c r="S181" s="95">
        <v>0</v>
      </c>
      <c r="T181" s="99">
        <f t="shared" si="13"/>
        <v>0</v>
      </c>
      <c r="AR181" s="101" t="s">
        <v>446</v>
      </c>
      <c r="AT181" s="101" t="s">
        <v>214</v>
      </c>
      <c r="AU181" s="101" t="s">
        <v>87</v>
      </c>
      <c r="AY181" s="23" t="s">
        <v>211</v>
      </c>
      <c r="BE181" s="104">
        <f t="shared" si="14"/>
        <v>0</v>
      </c>
      <c r="BF181" s="104">
        <f t="shared" si="15"/>
        <v>14700</v>
      </c>
      <c r="BG181" s="104">
        <f t="shared" si="16"/>
        <v>0</v>
      </c>
      <c r="BH181" s="104">
        <f t="shared" si="17"/>
        <v>0</v>
      </c>
      <c r="BI181" s="104">
        <f t="shared" si="18"/>
        <v>0</v>
      </c>
      <c r="BJ181" s="23" t="s">
        <v>87</v>
      </c>
      <c r="BK181" s="104">
        <f t="shared" si="19"/>
        <v>14700</v>
      </c>
      <c r="BL181" s="23" t="s">
        <v>446</v>
      </c>
      <c r="BM181" s="101" t="s">
        <v>5070</v>
      </c>
    </row>
    <row r="182" spans="2:65" s="1" customFormat="1" ht="16.5" customHeight="1">
      <c r="B182" s="12"/>
      <c r="C182" s="114" t="s">
        <v>634</v>
      </c>
      <c r="D182" s="114" t="s">
        <v>438</v>
      </c>
      <c r="E182" s="115" t="s">
        <v>5071</v>
      </c>
      <c r="F182" s="116" t="s">
        <v>5072</v>
      </c>
      <c r="G182" s="117" t="s">
        <v>808</v>
      </c>
      <c r="H182" s="118">
        <v>49</v>
      </c>
      <c r="I182" s="122">
        <v>1200</v>
      </c>
      <c r="J182" s="123">
        <f t="shared" si="10"/>
        <v>58800</v>
      </c>
      <c r="K182" s="124"/>
      <c r="L182" s="125"/>
      <c r="M182" s="126" t="s">
        <v>1</v>
      </c>
      <c r="N182" s="127" t="s">
        <v>43</v>
      </c>
      <c r="P182" s="95">
        <f t="shared" si="11"/>
        <v>0</v>
      </c>
      <c r="Q182" s="95">
        <v>0</v>
      </c>
      <c r="R182" s="95">
        <f t="shared" si="12"/>
        <v>0</v>
      </c>
      <c r="S182" s="95">
        <v>0</v>
      </c>
      <c r="T182" s="99">
        <f t="shared" si="13"/>
        <v>0</v>
      </c>
      <c r="AR182" s="101" t="s">
        <v>527</v>
      </c>
      <c r="AT182" s="101" t="s">
        <v>438</v>
      </c>
      <c r="AU182" s="101" t="s">
        <v>87</v>
      </c>
      <c r="AY182" s="23" t="s">
        <v>211</v>
      </c>
      <c r="BE182" s="104">
        <f t="shared" si="14"/>
        <v>0</v>
      </c>
      <c r="BF182" s="104">
        <f t="shared" si="15"/>
        <v>58800</v>
      </c>
      <c r="BG182" s="104">
        <f t="shared" si="16"/>
        <v>0</v>
      </c>
      <c r="BH182" s="104">
        <f t="shared" si="17"/>
        <v>0</v>
      </c>
      <c r="BI182" s="104">
        <f t="shared" si="18"/>
        <v>0</v>
      </c>
      <c r="BJ182" s="23" t="s">
        <v>87</v>
      </c>
      <c r="BK182" s="104">
        <f t="shared" si="19"/>
        <v>58800</v>
      </c>
      <c r="BL182" s="23" t="s">
        <v>446</v>
      </c>
      <c r="BM182" s="101" t="s">
        <v>5073</v>
      </c>
    </row>
    <row r="183" spans="2:65" s="1" customFormat="1" ht="24.15" customHeight="1">
      <c r="B183" s="12"/>
      <c r="C183" s="71" t="s">
        <v>639</v>
      </c>
      <c r="D183" s="71" t="s">
        <v>214</v>
      </c>
      <c r="E183" s="72" t="s">
        <v>5074</v>
      </c>
      <c r="F183" s="73" t="s">
        <v>5075</v>
      </c>
      <c r="G183" s="74" t="s">
        <v>1599</v>
      </c>
      <c r="H183" s="75">
        <v>929</v>
      </c>
      <c r="I183" s="90">
        <v>100</v>
      </c>
      <c r="J183" s="91">
        <f t="shared" si="10"/>
        <v>92900</v>
      </c>
      <c r="K183" s="92"/>
      <c r="L183" s="12"/>
      <c r="M183" s="93" t="s">
        <v>1</v>
      </c>
      <c r="N183" s="94" t="s">
        <v>43</v>
      </c>
      <c r="P183" s="95">
        <f t="shared" si="11"/>
        <v>0</v>
      </c>
      <c r="Q183" s="95">
        <v>0</v>
      </c>
      <c r="R183" s="95">
        <f t="shared" si="12"/>
        <v>0</v>
      </c>
      <c r="S183" s="95">
        <v>0</v>
      </c>
      <c r="T183" s="99">
        <f t="shared" si="13"/>
        <v>0</v>
      </c>
      <c r="AR183" s="101" t="s">
        <v>446</v>
      </c>
      <c r="AT183" s="101" t="s">
        <v>214</v>
      </c>
      <c r="AU183" s="101" t="s">
        <v>87</v>
      </c>
      <c r="AY183" s="23" t="s">
        <v>211</v>
      </c>
      <c r="BE183" s="104">
        <f t="shared" si="14"/>
        <v>0</v>
      </c>
      <c r="BF183" s="104">
        <f t="shared" si="15"/>
        <v>92900</v>
      </c>
      <c r="BG183" s="104">
        <f t="shared" si="16"/>
        <v>0</v>
      </c>
      <c r="BH183" s="104">
        <f t="shared" si="17"/>
        <v>0</v>
      </c>
      <c r="BI183" s="104">
        <f t="shared" si="18"/>
        <v>0</v>
      </c>
      <c r="BJ183" s="23" t="s">
        <v>87</v>
      </c>
      <c r="BK183" s="104">
        <f t="shared" si="19"/>
        <v>92900</v>
      </c>
      <c r="BL183" s="23" t="s">
        <v>446</v>
      </c>
      <c r="BM183" s="101" t="s">
        <v>5076</v>
      </c>
    </row>
    <row r="184" spans="2:65" s="1" customFormat="1" ht="16.5" customHeight="1">
      <c r="B184" s="12"/>
      <c r="C184" s="114" t="s">
        <v>644</v>
      </c>
      <c r="D184" s="114" t="s">
        <v>438</v>
      </c>
      <c r="E184" s="115" t="s">
        <v>5077</v>
      </c>
      <c r="F184" s="116" t="s">
        <v>5078</v>
      </c>
      <c r="G184" s="117" t="s">
        <v>1599</v>
      </c>
      <c r="H184" s="118">
        <v>929</v>
      </c>
      <c r="I184" s="122">
        <v>200</v>
      </c>
      <c r="J184" s="123">
        <f t="shared" si="10"/>
        <v>185800</v>
      </c>
      <c r="K184" s="124"/>
      <c r="L184" s="125"/>
      <c r="M184" s="126" t="s">
        <v>1</v>
      </c>
      <c r="N184" s="127" t="s">
        <v>43</v>
      </c>
      <c r="P184" s="95">
        <f t="shared" si="11"/>
        <v>0</v>
      </c>
      <c r="Q184" s="95">
        <v>6.0000000000000002E-5</v>
      </c>
      <c r="R184" s="95">
        <f t="shared" si="12"/>
        <v>5.5739999999999998E-2</v>
      </c>
      <c r="S184" s="95">
        <v>0</v>
      </c>
      <c r="T184" s="99">
        <f t="shared" si="13"/>
        <v>0</v>
      </c>
      <c r="AR184" s="101" t="s">
        <v>527</v>
      </c>
      <c r="AT184" s="101" t="s">
        <v>438</v>
      </c>
      <c r="AU184" s="101" t="s">
        <v>87</v>
      </c>
      <c r="AY184" s="23" t="s">
        <v>211</v>
      </c>
      <c r="BE184" s="104">
        <f t="shared" si="14"/>
        <v>0</v>
      </c>
      <c r="BF184" s="104">
        <f t="shared" si="15"/>
        <v>185800</v>
      </c>
      <c r="BG184" s="104">
        <f t="shared" si="16"/>
        <v>0</v>
      </c>
      <c r="BH184" s="104">
        <f t="shared" si="17"/>
        <v>0</v>
      </c>
      <c r="BI184" s="104">
        <f t="shared" si="18"/>
        <v>0</v>
      </c>
      <c r="BJ184" s="23" t="s">
        <v>87</v>
      </c>
      <c r="BK184" s="104">
        <f t="shared" si="19"/>
        <v>185800</v>
      </c>
      <c r="BL184" s="23" t="s">
        <v>446</v>
      </c>
      <c r="BM184" s="101" t="s">
        <v>5079</v>
      </c>
    </row>
    <row r="185" spans="2:65" s="31" customFormat="1" ht="23.1" customHeight="1">
      <c r="B185" s="67"/>
      <c r="D185" s="68" t="s">
        <v>76</v>
      </c>
      <c r="E185" s="70" t="s">
        <v>5080</v>
      </c>
      <c r="F185" s="70" t="s">
        <v>1</v>
      </c>
      <c r="I185" s="85"/>
      <c r="J185" s="89">
        <f>BK185</f>
        <v>2435000</v>
      </c>
      <c r="L185" s="67"/>
      <c r="M185" s="87"/>
      <c r="P185" s="88">
        <f>SUM(P186:P206)</f>
        <v>0</v>
      </c>
      <c r="R185" s="88">
        <f>SUM(R186:R206)</f>
        <v>0</v>
      </c>
      <c r="T185" s="98">
        <f>SUM(T186:T206)</f>
        <v>0</v>
      </c>
      <c r="AR185" s="68" t="s">
        <v>85</v>
      </c>
      <c r="AT185" s="100" t="s">
        <v>76</v>
      </c>
      <c r="AU185" s="100" t="s">
        <v>85</v>
      </c>
      <c r="AY185" s="68" t="s">
        <v>211</v>
      </c>
      <c r="BK185" s="103">
        <f>SUM(BK186:BK206)</f>
        <v>2435000</v>
      </c>
    </row>
    <row r="186" spans="2:65" s="1" customFormat="1" ht="16.5" customHeight="1">
      <c r="B186" s="12"/>
      <c r="C186" s="114" t="s">
        <v>649</v>
      </c>
      <c r="D186" s="114" t="s">
        <v>438</v>
      </c>
      <c r="E186" s="115" t="s">
        <v>5081</v>
      </c>
      <c r="F186" s="116" t="s">
        <v>5082</v>
      </c>
      <c r="G186" s="117" t="s">
        <v>808</v>
      </c>
      <c r="H186" s="118">
        <v>36</v>
      </c>
      <c r="I186" s="122">
        <v>17000</v>
      </c>
      <c r="J186" s="123">
        <f>ROUND(I186*H186,2)</f>
        <v>612000</v>
      </c>
      <c r="K186" s="124"/>
      <c r="L186" s="125"/>
      <c r="M186" s="126" t="s">
        <v>1</v>
      </c>
      <c r="N186" s="127" t="s">
        <v>43</v>
      </c>
      <c r="P186" s="95">
        <f>O186*H186</f>
        <v>0</v>
      </c>
      <c r="Q186" s="95">
        <v>0</v>
      </c>
      <c r="R186" s="95">
        <f>Q186*H186</f>
        <v>0</v>
      </c>
      <c r="S186" s="95">
        <v>0</v>
      </c>
      <c r="T186" s="99">
        <f>S186*H186</f>
        <v>0</v>
      </c>
      <c r="AR186" s="101" t="s">
        <v>250</v>
      </c>
      <c r="AT186" s="101" t="s">
        <v>438</v>
      </c>
      <c r="AU186" s="101" t="s">
        <v>87</v>
      </c>
      <c r="AY186" s="23" t="s">
        <v>211</v>
      </c>
      <c r="BE186" s="104">
        <f>IF(N186="základní",J186,0)</f>
        <v>0</v>
      </c>
      <c r="BF186" s="104">
        <f>IF(N186="snížená",J186,0)</f>
        <v>612000</v>
      </c>
      <c r="BG186" s="104">
        <f>IF(N186="zákl. přenesená",J186,0)</f>
        <v>0</v>
      </c>
      <c r="BH186" s="104">
        <f>IF(N186="sníž. přenesená",J186,0)</f>
        <v>0</v>
      </c>
      <c r="BI186" s="104">
        <f>IF(N186="nulová",J186,0)</f>
        <v>0</v>
      </c>
      <c r="BJ186" s="23" t="s">
        <v>87</v>
      </c>
      <c r="BK186" s="104">
        <f>ROUND(I186*H186,2)</f>
        <v>612000</v>
      </c>
      <c r="BL186" s="23" t="s">
        <v>218</v>
      </c>
      <c r="BM186" s="101" t="s">
        <v>5083</v>
      </c>
    </row>
    <row r="187" spans="2:65" s="1" customFormat="1" ht="24.15" customHeight="1">
      <c r="B187" s="12"/>
      <c r="C187" s="71" t="s">
        <v>654</v>
      </c>
      <c r="D187" s="71" t="s">
        <v>214</v>
      </c>
      <c r="E187" s="72" t="s">
        <v>5084</v>
      </c>
      <c r="F187" s="73" t="s">
        <v>5085</v>
      </c>
      <c r="G187" s="74" t="s">
        <v>808</v>
      </c>
      <c r="H187" s="75">
        <v>4</v>
      </c>
      <c r="I187" s="90">
        <v>20000</v>
      </c>
      <c r="J187" s="91">
        <f>ROUND(I187*H187,2)</f>
        <v>80000</v>
      </c>
      <c r="K187" s="92"/>
      <c r="L187" s="12"/>
      <c r="M187" s="93" t="s">
        <v>1</v>
      </c>
      <c r="N187" s="94" t="s">
        <v>43</v>
      </c>
      <c r="P187" s="95">
        <f>O187*H187</f>
        <v>0</v>
      </c>
      <c r="Q187" s="95">
        <v>0</v>
      </c>
      <c r="R187" s="95">
        <f>Q187*H187</f>
        <v>0</v>
      </c>
      <c r="S187" s="95">
        <v>0</v>
      </c>
      <c r="T187" s="99">
        <f>S187*H187</f>
        <v>0</v>
      </c>
      <c r="AR187" s="101" t="s">
        <v>218</v>
      </c>
      <c r="AT187" s="101" t="s">
        <v>214</v>
      </c>
      <c r="AU187" s="101" t="s">
        <v>87</v>
      </c>
      <c r="AY187" s="23" t="s">
        <v>211</v>
      </c>
      <c r="BE187" s="104">
        <f>IF(N187="základní",J187,0)</f>
        <v>0</v>
      </c>
      <c r="BF187" s="104">
        <f>IF(N187="snížená",J187,0)</f>
        <v>80000</v>
      </c>
      <c r="BG187" s="104">
        <f>IF(N187="zákl. přenesená",J187,0)</f>
        <v>0</v>
      </c>
      <c r="BH187" s="104">
        <f>IF(N187="sníž. přenesená",J187,0)</f>
        <v>0</v>
      </c>
      <c r="BI187" s="104">
        <f>IF(N187="nulová",J187,0)</f>
        <v>0</v>
      </c>
      <c r="BJ187" s="23" t="s">
        <v>87</v>
      </c>
      <c r="BK187" s="104">
        <f>ROUND(I187*H187,2)</f>
        <v>80000</v>
      </c>
      <c r="BL187" s="23" t="s">
        <v>218</v>
      </c>
      <c r="BM187" s="101" t="s">
        <v>5086</v>
      </c>
    </row>
    <row r="188" spans="2:65" s="1" customFormat="1" ht="24.15" customHeight="1">
      <c r="B188" s="12"/>
      <c r="C188" s="114" t="s">
        <v>660</v>
      </c>
      <c r="D188" s="114" t="s">
        <v>438</v>
      </c>
      <c r="E188" s="115" t="s">
        <v>5087</v>
      </c>
      <c r="F188" s="116" t="s">
        <v>5088</v>
      </c>
      <c r="G188" s="117" t="s">
        <v>808</v>
      </c>
      <c r="H188" s="118">
        <v>1</v>
      </c>
      <c r="I188" s="122">
        <v>100000</v>
      </c>
      <c r="J188" s="123">
        <f>ROUND(I188*H188,2)</f>
        <v>100000</v>
      </c>
      <c r="K188" s="124"/>
      <c r="L188" s="125"/>
      <c r="M188" s="126" t="s">
        <v>1</v>
      </c>
      <c r="N188" s="127" t="s">
        <v>43</v>
      </c>
      <c r="P188" s="95">
        <f>O188*H188</f>
        <v>0</v>
      </c>
      <c r="Q188" s="95">
        <v>0</v>
      </c>
      <c r="R188" s="95">
        <f>Q188*H188</f>
        <v>0</v>
      </c>
      <c r="S188" s="95">
        <v>0</v>
      </c>
      <c r="T188" s="99">
        <f>S188*H188</f>
        <v>0</v>
      </c>
      <c r="AR188" s="101" t="s">
        <v>250</v>
      </c>
      <c r="AT188" s="101" t="s">
        <v>438</v>
      </c>
      <c r="AU188" s="101" t="s">
        <v>87</v>
      </c>
      <c r="AY188" s="23" t="s">
        <v>211</v>
      </c>
      <c r="BE188" s="104">
        <f>IF(N188="základní",J188,0)</f>
        <v>0</v>
      </c>
      <c r="BF188" s="104">
        <f>IF(N188="snížená",J188,0)</f>
        <v>100000</v>
      </c>
      <c r="BG188" s="104">
        <f>IF(N188="zákl. přenesená",J188,0)</f>
        <v>0</v>
      </c>
      <c r="BH188" s="104">
        <f>IF(N188="sníž. přenesená",J188,0)</f>
        <v>0</v>
      </c>
      <c r="BI188" s="104">
        <f>IF(N188="nulová",J188,0)</f>
        <v>0</v>
      </c>
      <c r="BJ188" s="23" t="s">
        <v>87</v>
      </c>
      <c r="BK188" s="104">
        <f>ROUND(I188*H188,2)</f>
        <v>100000</v>
      </c>
      <c r="BL188" s="23" t="s">
        <v>218</v>
      </c>
      <c r="BM188" s="101" t="s">
        <v>5089</v>
      </c>
    </row>
    <row r="189" spans="2:65" s="1" customFormat="1" ht="24.15" customHeight="1">
      <c r="B189" s="12"/>
      <c r="C189" s="114" t="s">
        <v>665</v>
      </c>
      <c r="D189" s="114" t="s">
        <v>438</v>
      </c>
      <c r="E189" s="115" t="s">
        <v>5090</v>
      </c>
      <c r="F189" s="116" t="s">
        <v>5091</v>
      </c>
      <c r="G189" s="117" t="s">
        <v>808</v>
      </c>
      <c r="H189" s="118">
        <v>4</v>
      </c>
      <c r="I189" s="122">
        <v>100000</v>
      </c>
      <c r="J189" s="123">
        <f>ROUND(I189*H189,2)</f>
        <v>400000</v>
      </c>
      <c r="K189" s="124"/>
      <c r="L189" s="125"/>
      <c r="M189" s="126" t="s">
        <v>1</v>
      </c>
      <c r="N189" s="127" t="s">
        <v>43</v>
      </c>
      <c r="P189" s="95">
        <f>O189*H189</f>
        <v>0</v>
      </c>
      <c r="Q189" s="95">
        <v>0</v>
      </c>
      <c r="R189" s="95">
        <f>Q189*H189</f>
        <v>0</v>
      </c>
      <c r="S189" s="95">
        <v>0</v>
      </c>
      <c r="T189" s="99">
        <f>S189*H189</f>
        <v>0</v>
      </c>
      <c r="AR189" s="101" t="s">
        <v>250</v>
      </c>
      <c r="AT189" s="101" t="s">
        <v>438</v>
      </c>
      <c r="AU189" s="101" t="s">
        <v>87</v>
      </c>
      <c r="AY189" s="23" t="s">
        <v>211</v>
      </c>
      <c r="BE189" s="104">
        <f>IF(N189="základní",J189,0)</f>
        <v>0</v>
      </c>
      <c r="BF189" s="104">
        <f>IF(N189="snížená",J189,0)</f>
        <v>400000</v>
      </c>
      <c r="BG189" s="104">
        <f>IF(N189="zákl. přenesená",J189,0)</f>
        <v>0</v>
      </c>
      <c r="BH189" s="104">
        <f>IF(N189="sníž. přenesená",J189,0)</f>
        <v>0</v>
      </c>
      <c r="BI189" s="104">
        <f>IF(N189="nulová",J189,0)</f>
        <v>0</v>
      </c>
      <c r="BJ189" s="23" t="s">
        <v>87</v>
      </c>
      <c r="BK189" s="104">
        <f>ROUND(I189*H189,2)</f>
        <v>400000</v>
      </c>
      <c r="BL189" s="23" t="s">
        <v>218</v>
      </c>
      <c r="BM189" s="101" t="s">
        <v>5092</v>
      </c>
    </row>
    <row r="190" spans="2:65" s="113" customFormat="1">
      <c r="B190" s="119"/>
      <c r="D190" s="105" t="s">
        <v>365</v>
      </c>
      <c r="F190" s="120" t="s">
        <v>5093</v>
      </c>
      <c r="H190" s="121">
        <v>4</v>
      </c>
      <c r="I190" s="128"/>
      <c r="L190" s="119"/>
      <c r="M190" s="129"/>
      <c r="T190" s="133"/>
      <c r="AT190" s="135" t="s">
        <v>365</v>
      </c>
      <c r="AU190" s="135" t="s">
        <v>87</v>
      </c>
      <c r="AV190" s="113" t="s">
        <v>87</v>
      </c>
      <c r="AW190" s="113" t="s">
        <v>4</v>
      </c>
      <c r="AX190" s="113" t="s">
        <v>85</v>
      </c>
      <c r="AY190" s="135" t="s">
        <v>211</v>
      </c>
    </row>
    <row r="191" spans="2:65" s="1" customFormat="1" ht="16.5" customHeight="1">
      <c r="B191" s="12"/>
      <c r="C191" s="114" t="s">
        <v>679</v>
      </c>
      <c r="D191" s="114" t="s">
        <v>438</v>
      </c>
      <c r="E191" s="115" t="s">
        <v>5094</v>
      </c>
      <c r="F191" s="116" t="s">
        <v>5095</v>
      </c>
      <c r="G191" s="117" t="s">
        <v>808</v>
      </c>
      <c r="H191" s="118">
        <v>1</v>
      </c>
      <c r="I191" s="122">
        <v>60000</v>
      </c>
      <c r="J191" s="123">
        <f t="shared" ref="J191:J206" si="20">ROUND(I191*H191,2)</f>
        <v>60000</v>
      </c>
      <c r="K191" s="124"/>
      <c r="L191" s="125"/>
      <c r="M191" s="126" t="s">
        <v>1</v>
      </c>
      <c r="N191" s="127" t="s">
        <v>43</v>
      </c>
      <c r="P191" s="95">
        <f t="shared" ref="P191:P206" si="21">O191*H191</f>
        <v>0</v>
      </c>
      <c r="Q191" s="95">
        <v>0</v>
      </c>
      <c r="R191" s="95">
        <f t="shared" ref="R191:R206" si="22">Q191*H191</f>
        <v>0</v>
      </c>
      <c r="S191" s="95">
        <v>0</v>
      </c>
      <c r="T191" s="99">
        <f t="shared" ref="T191:T206" si="23">S191*H191</f>
        <v>0</v>
      </c>
      <c r="AR191" s="101" t="s">
        <v>250</v>
      </c>
      <c r="AT191" s="101" t="s">
        <v>438</v>
      </c>
      <c r="AU191" s="101" t="s">
        <v>87</v>
      </c>
      <c r="AY191" s="23" t="s">
        <v>211</v>
      </c>
      <c r="BE191" s="104">
        <f t="shared" ref="BE191:BE206" si="24">IF(N191="základní",J191,0)</f>
        <v>0</v>
      </c>
      <c r="BF191" s="104">
        <f t="shared" ref="BF191:BF206" si="25">IF(N191="snížená",J191,0)</f>
        <v>60000</v>
      </c>
      <c r="BG191" s="104">
        <f t="shared" ref="BG191:BG206" si="26">IF(N191="zákl. přenesená",J191,0)</f>
        <v>0</v>
      </c>
      <c r="BH191" s="104">
        <f t="shared" ref="BH191:BH206" si="27">IF(N191="sníž. přenesená",J191,0)</f>
        <v>0</v>
      </c>
      <c r="BI191" s="104">
        <f t="shared" ref="BI191:BI206" si="28">IF(N191="nulová",J191,0)</f>
        <v>0</v>
      </c>
      <c r="BJ191" s="23" t="s">
        <v>87</v>
      </c>
      <c r="BK191" s="104">
        <f t="shared" ref="BK191:BK206" si="29">ROUND(I191*H191,2)</f>
        <v>60000</v>
      </c>
      <c r="BL191" s="23" t="s">
        <v>218</v>
      </c>
      <c r="BM191" s="101" t="s">
        <v>5096</v>
      </c>
    </row>
    <row r="192" spans="2:65" s="1" customFormat="1" ht="16.5" customHeight="1">
      <c r="B192" s="12"/>
      <c r="C192" s="114" t="s">
        <v>694</v>
      </c>
      <c r="D192" s="114" t="s">
        <v>438</v>
      </c>
      <c r="E192" s="115" t="s">
        <v>5097</v>
      </c>
      <c r="F192" s="116" t="s">
        <v>5098</v>
      </c>
      <c r="G192" s="117" t="s">
        <v>808</v>
      </c>
      <c r="H192" s="118">
        <v>1</v>
      </c>
      <c r="I192" s="122">
        <v>55000</v>
      </c>
      <c r="J192" s="123">
        <f t="shared" si="20"/>
        <v>55000</v>
      </c>
      <c r="K192" s="124"/>
      <c r="L192" s="125"/>
      <c r="M192" s="126" t="s">
        <v>1</v>
      </c>
      <c r="N192" s="127" t="s">
        <v>43</v>
      </c>
      <c r="P192" s="95">
        <f t="shared" si="21"/>
        <v>0</v>
      </c>
      <c r="Q192" s="95">
        <v>0</v>
      </c>
      <c r="R192" s="95">
        <f t="shared" si="22"/>
        <v>0</v>
      </c>
      <c r="S192" s="95">
        <v>0</v>
      </c>
      <c r="T192" s="99">
        <f t="shared" si="23"/>
        <v>0</v>
      </c>
      <c r="AR192" s="101" t="s">
        <v>250</v>
      </c>
      <c r="AT192" s="101" t="s">
        <v>438</v>
      </c>
      <c r="AU192" s="101" t="s">
        <v>87</v>
      </c>
      <c r="AY192" s="23" t="s">
        <v>211</v>
      </c>
      <c r="BE192" s="104">
        <f t="shared" si="24"/>
        <v>0</v>
      </c>
      <c r="BF192" s="104">
        <f t="shared" si="25"/>
        <v>55000</v>
      </c>
      <c r="BG192" s="104">
        <f t="shared" si="26"/>
        <v>0</v>
      </c>
      <c r="BH192" s="104">
        <f t="shared" si="27"/>
        <v>0</v>
      </c>
      <c r="BI192" s="104">
        <f t="shared" si="28"/>
        <v>0</v>
      </c>
      <c r="BJ192" s="23" t="s">
        <v>87</v>
      </c>
      <c r="BK192" s="104">
        <f t="shared" si="29"/>
        <v>55000</v>
      </c>
      <c r="BL192" s="23" t="s">
        <v>218</v>
      </c>
      <c r="BM192" s="101" t="s">
        <v>5099</v>
      </c>
    </row>
    <row r="193" spans="2:65" s="1" customFormat="1" ht="16.5" customHeight="1">
      <c r="B193" s="12"/>
      <c r="C193" s="114" t="s">
        <v>705</v>
      </c>
      <c r="D193" s="114" t="s">
        <v>438</v>
      </c>
      <c r="E193" s="115" t="s">
        <v>5100</v>
      </c>
      <c r="F193" s="116" t="s">
        <v>5101</v>
      </c>
      <c r="G193" s="117" t="s">
        <v>808</v>
      </c>
      <c r="H193" s="118">
        <v>1</v>
      </c>
      <c r="I193" s="122">
        <v>120000</v>
      </c>
      <c r="J193" s="123">
        <f t="shared" si="20"/>
        <v>120000</v>
      </c>
      <c r="K193" s="124"/>
      <c r="L193" s="125"/>
      <c r="M193" s="126" t="s">
        <v>1</v>
      </c>
      <c r="N193" s="127" t="s">
        <v>43</v>
      </c>
      <c r="P193" s="95">
        <f t="shared" si="21"/>
        <v>0</v>
      </c>
      <c r="Q193" s="95">
        <v>0</v>
      </c>
      <c r="R193" s="95">
        <f t="shared" si="22"/>
        <v>0</v>
      </c>
      <c r="S193" s="95">
        <v>0</v>
      </c>
      <c r="T193" s="99">
        <f t="shared" si="23"/>
        <v>0</v>
      </c>
      <c r="AR193" s="101" t="s">
        <v>250</v>
      </c>
      <c r="AT193" s="101" t="s">
        <v>438</v>
      </c>
      <c r="AU193" s="101" t="s">
        <v>87</v>
      </c>
      <c r="AY193" s="23" t="s">
        <v>211</v>
      </c>
      <c r="BE193" s="104">
        <f t="shared" si="24"/>
        <v>0</v>
      </c>
      <c r="BF193" s="104">
        <f t="shared" si="25"/>
        <v>120000</v>
      </c>
      <c r="BG193" s="104">
        <f t="shared" si="26"/>
        <v>0</v>
      </c>
      <c r="BH193" s="104">
        <f t="shared" si="27"/>
        <v>0</v>
      </c>
      <c r="BI193" s="104">
        <f t="shared" si="28"/>
        <v>0</v>
      </c>
      <c r="BJ193" s="23" t="s">
        <v>87</v>
      </c>
      <c r="BK193" s="104">
        <f t="shared" si="29"/>
        <v>120000</v>
      </c>
      <c r="BL193" s="23" t="s">
        <v>218</v>
      </c>
      <c r="BM193" s="101" t="s">
        <v>5102</v>
      </c>
    </row>
    <row r="194" spans="2:65" s="1" customFormat="1" ht="24.15" customHeight="1">
      <c r="B194" s="12"/>
      <c r="C194" s="114" t="s">
        <v>713</v>
      </c>
      <c r="D194" s="114" t="s">
        <v>438</v>
      </c>
      <c r="E194" s="115" t="s">
        <v>5103</v>
      </c>
      <c r="F194" s="116" t="s">
        <v>5104</v>
      </c>
      <c r="G194" s="117" t="s">
        <v>808</v>
      </c>
      <c r="H194" s="118">
        <v>1</v>
      </c>
      <c r="I194" s="122">
        <v>90000</v>
      </c>
      <c r="J194" s="123">
        <f t="shared" si="20"/>
        <v>90000</v>
      </c>
      <c r="K194" s="124"/>
      <c r="L194" s="125"/>
      <c r="M194" s="126" t="s">
        <v>1</v>
      </c>
      <c r="N194" s="127" t="s">
        <v>43</v>
      </c>
      <c r="P194" s="95">
        <f t="shared" si="21"/>
        <v>0</v>
      </c>
      <c r="Q194" s="95">
        <v>0</v>
      </c>
      <c r="R194" s="95">
        <f t="shared" si="22"/>
        <v>0</v>
      </c>
      <c r="S194" s="95">
        <v>0</v>
      </c>
      <c r="T194" s="99">
        <f t="shared" si="23"/>
        <v>0</v>
      </c>
      <c r="AR194" s="101" t="s">
        <v>250</v>
      </c>
      <c r="AT194" s="101" t="s">
        <v>438</v>
      </c>
      <c r="AU194" s="101" t="s">
        <v>87</v>
      </c>
      <c r="AY194" s="23" t="s">
        <v>211</v>
      </c>
      <c r="BE194" s="104">
        <f t="shared" si="24"/>
        <v>0</v>
      </c>
      <c r="BF194" s="104">
        <f t="shared" si="25"/>
        <v>90000</v>
      </c>
      <c r="BG194" s="104">
        <f t="shared" si="26"/>
        <v>0</v>
      </c>
      <c r="BH194" s="104">
        <f t="shared" si="27"/>
        <v>0</v>
      </c>
      <c r="BI194" s="104">
        <f t="shared" si="28"/>
        <v>0</v>
      </c>
      <c r="BJ194" s="23" t="s">
        <v>87</v>
      </c>
      <c r="BK194" s="104">
        <f t="shared" si="29"/>
        <v>90000</v>
      </c>
      <c r="BL194" s="23" t="s">
        <v>218</v>
      </c>
      <c r="BM194" s="101" t="s">
        <v>5105</v>
      </c>
    </row>
    <row r="195" spans="2:65" s="1" customFormat="1" ht="24.15" customHeight="1">
      <c r="B195" s="12"/>
      <c r="C195" s="114" t="s">
        <v>722</v>
      </c>
      <c r="D195" s="114" t="s">
        <v>438</v>
      </c>
      <c r="E195" s="115" t="s">
        <v>5106</v>
      </c>
      <c r="F195" s="116" t="s">
        <v>5107</v>
      </c>
      <c r="G195" s="117" t="s">
        <v>808</v>
      </c>
      <c r="H195" s="118">
        <v>1</v>
      </c>
      <c r="I195" s="122">
        <v>100000</v>
      </c>
      <c r="J195" s="123">
        <f t="shared" si="20"/>
        <v>100000</v>
      </c>
      <c r="K195" s="124"/>
      <c r="L195" s="125"/>
      <c r="M195" s="126" t="s">
        <v>1</v>
      </c>
      <c r="N195" s="127" t="s">
        <v>43</v>
      </c>
      <c r="P195" s="95">
        <f t="shared" si="21"/>
        <v>0</v>
      </c>
      <c r="Q195" s="95">
        <v>0</v>
      </c>
      <c r="R195" s="95">
        <f t="shared" si="22"/>
        <v>0</v>
      </c>
      <c r="S195" s="95">
        <v>0</v>
      </c>
      <c r="T195" s="99">
        <f t="shared" si="23"/>
        <v>0</v>
      </c>
      <c r="AR195" s="101" t="s">
        <v>250</v>
      </c>
      <c r="AT195" s="101" t="s">
        <v>438</v>
      </c>
      <c r="AU195" s="101" t="s">
        <v>87</v>
      </c>
      <c r="AY195" s="23" t="s">
        <v>211</v>
      </c>
      <c r="BE195" s="104">
        <f t="shared" si="24"/>
        <v>0</v>
      </c>
      <c r="BF195" s="104">
        <f t="shared" si="25"/>
        <v>100000</v>
      </c>
      <c r="BG195" s="104">
        <f t="shared" si="26"/>
        <v>0</v>
      </c>
      <c r="BH195" s="104">
        <f t="shared" si="27"/>
        <v>0</v>
      </c>
      <c r="BI195" s="104">
        <f t="shared" si="28"/>
        <v>0</v>
      </c>
      <c r="BJ195" s="23" t="s">
        <v>87</v>
      </c>
      <c r="BK195" s="104">
        <f t="shared" si="29"/>
        <v>100000</v>
      </c>
      <c r="BL195" s="23" t="s">
        <v>218</v>
      </c>
      <c r="BM195" s="101" t="s">
        <v>5108</v>
      </c>
    </row>
    <row r="196" spans="2:65" s="1" customFormat="1" ht="24.15" customHeight="1">
      <c r="B196" s="12"/>
      <c r="C196" s="114" t="s">
        <v>727</v>
      </c>
      <c r="D196" s="114" t="s">
        <v>438</v>
      </c>
      <c r="E196" s="115" t="s">
        <v>5109</v>
      </c>
      <c r="F196" s="116" t="s">
        <v>5110</v>
      </c>
      <c r="G196" s="117" t="s">
        <v>808</v>
      </c>
      <c r="H196" s="118">
        <v>1</v>
      </c>
      <c r="I196" s="122">
        <v>150000</v>
      </c>
      <c r="J196" s="123">
        <f t="shared" si="20"/>
        <v>150000</v>
      </c>
      <c r="K196" s="124"/>
      <c r="L196" s="125"/>
      <c r="M196" s="126" t="s">
        <v>1</v>
      </c>
      <c r="N196" s="127" t="s">
        <v>43</v>
      </c>
      <c r="P196" s="95">
        <f t="shared" si="21"/>
        <v>0</v>
      </c>
      <c r="Q196" s="95">
        <v>0</v>
      </c>
      <c r="R196" s="95">
        <f t="shared" si="22"/>
        <v>0</v>
      </c>
      <c r="S196" s="95">
        <v>0</v>
      </c>
      <c r="T196" s="99">
        <f t="shared" si="23"/>
        <v>0</v>
      </c>
      <c r="AR196" s="101" t="s">
        <v>250</v>
      </c>
      <c r="AT196" s="101" t="s">
        <v>438</v>
      </c>
      <c r="AU196" s="101" t="s">
        <v>87</v>
      </c>
      <c r="AY196" s="23" t="s">
        <v>211</v>
      </c>
      <c r="BE196" s="104">
        <f t="shared" si="24"/>
        <v>0</v>
      </c>
      <c r="BF196" s="104">
        <f t="shared" si="25"/>
        <v>150000</v>
      </c>
      <c r="BG196" s="104">
        <f t="shared" si="26"/>
        <v>0</v>
      </c>
      <c r="BH196" s="104">
        <f t="shared" si="27"/>
        <v>0</v>
      </c>
      <c r="BI196" s="104">
        <f t="shared" si="28"/>
        <v>0</v>
      </c>
      <c r="BJ196" s="23" t="s">
        <v>87</v>
      </c>
      <c r="BK196" s="104">
        <f t="shared" si="29"/>
        <v>150000</v>
      </c>
      <c r="BL196" s="23" t="s">
        <v>218</v>
      </c>
      <c r="BM196" s="101" t="s">
        <v>5111</v>
      </c>
    </row>
    <row r="197" spans="2:65" s="1" customFormat="1" ht="24.15" customHeight="1">
      <c r="B197" s="12"/>
      <c r="C197" s="71" t="s">
        <v>756</v>
      </c>
      <c r="D197" s="71" t="s">
        <v>214</v>
      </c>
      <c r="E197" s="72" t="s">
        <v>5112</v>
      </c>
      <c r="F197" s="73" t="s">
        <v>5113</v>
      </c>
      <c r="G197" s="74" t="s">
        <v>808</v>
      </c>
      <c r="H197" s="75">
        <v>4</v>
      </c>
      <c r="I197" s="90">
        <v>20000</v>
      </c>
      <c r="J197" s="91">
        <f t="shared" si="20"/>
        <v>80000</v>
      </c>
      <c r="K197" s="92"/>
      <c r="L197" s="12"/>
      <c r="M197" s="93" t="s">
        <v>1</v>
      </c>
      <c r="N197" s="94" t="s">
        <v>43</v>
      </c>
      <c r="P197" s="95">
        <f t="shared" si="21"/>
        <v>0</v>
      </c>
      <c r="Q197" s="95">
        <v>0</v>
      </c>
      <c r="R197" s="95">
        <f t="shared" si="22"/>
        <v>0</v>
      </c>
      <c r="S197" s="95">
        <v>0</v>
      </c>
      <c r="T197" s="99">
        <f t="shared" si="23"/>
        <v>0</v>
      </c>
      <c r="AR197" s="101" t="s">
        <v>218</v>
      </c>
      <c r="AT197" s="101" t="s">
        <v>214</v>
      </c>
      <c r="AU197" s="101" t="s">
        <v>87</v>
      </c>
      <c r="AY197" s="23" t="s">
        <v>211</v>
      </c>
      <c r="BE197" s="104">
        <f t="shared" si="24"/>
        <v>0</v>
      </c>
      <c r="BF197" s="104">
        <f t="shared" si="25"/>
        <v>80000</v>
      </c>
      <c r="BG197" s="104">
        <f t="shared" si="26"/>
        <v>0</v>
      </c>
      <c r="BH197" s="104">
        <f t="shared" si="27"/>
        <v>0</v>
      </c>
      <c r="BI197" s="104">
        <f t="shared" si="28"/>
        <v>0</v>
      </c>
      <c r="BJ197" s="23" t="s">
        <v>87</v>
      </c>
      <c r="BK197" s="104">
        <f t="shared" si="29"/>
        <v>80000</v>
      </c>
      <c r="BL197" s="23" t="s">
        <v>218</v>
      </c>
      <c r="BM197" s="101" t="s">
        <v>5114</v>
      </c>
    </row>
    <row r="198" spans="2:65" s="1" customFormat="1" ht="16.5" customHeight="1">
      <c r="B198" s="12"/>
      <c r="C198" s="71" t="s">
        <v>760</v>
      </c>
      <c r="D198" s="71" t="s">
        <v>214</v>
      </c>
      <c r="E198" s="72" t="s">
        <v>5115</v>
      </c>
      <c r="F198" s="73" t="s">
        <v>5116</v>
      </c>
      <c r="G198" s="74" t="s">
        <v>808</v>
      </c>
      <c r="H198" s="75">
        <v>1</v>
      </c>
      <c r="I198" s="90">
        <v>10000</v>
      </c>
      <c r="J198" s="91">
        <f t="shared" si="20"/>
        <v>10000</v>
      </c>
      <c r="K198" s="92"/>
      <c r="L198" s="12"/>
      <c r="M198" s="93" t="s">
        <v>1</v>
      </c>
      <c r="N198" s="94" t="s">
        <v>43</v>
      </c>
      <c r="P198" s="95">
        <f t="shared" si="21"/>
        <v>0</v>
      </c>
      <c r="Q198" s="95">
        <v>0</v>
      </c>
      <c r="R198" s="95">
        <f t="shared" si="22"/>
        <v>0</v>
      </c>
      <c r="S198" s="95">
        <v>0</v>
      </c>
      <c r="T198" s="99">
        <f t="shared" si="23"/>
        <v>0</v>
      </c>
      <c r="AR198" s="101" t="s">
        <v>218</v>
      </c>
      <c r="AT198" s="101" t="s">
        <v>214</v>
      </c>
      <c r="AU198" s="101" t="s">
        <v>87</v>
      </c>
      <c r="AY198" s="23" t="s">
        <v>211</v>
      </c>
      <c r="BE198" s="104">
        <f t="shared" si="24"/>
        <v>0</v>
      </c>
      <c r="BF198" s="104">
        <f t="shared" si="25"/>
        <v>10000</v>
      </c>
      <c r="BG198" s="104">
        <f t="shared" si="26"/>
        <v>0</v>
      </c>
      <c r="BH198" s="104">
        <f t="shared" si="27"/>
        <v>0</v>
      </c>
      <c r="BI198" s="104">
        <f t="shared" si="28"/>
        <v>0</v>
      </c>
      <c r="BJ198" s="23" t="s">
        <v>87</v>
      </c>
      <c r="BK198" s="104">
        <f t="shared" si="29"/>
        <v>10000</v>
      </c>
      <c r="BL198" s="23" t="s">
        <v>218</v>
      </c>
      <c r="BM198" s="101" t="s">
        <v>5117</v>
      </c>
    </row>
    <row r="199" spans="2:65" s="1" customFormat="1" ht="16.5" customHeight="1">
      <c r="B199" s="12"/>
      <c r="C199" s="71" t="s">
        <v>805</v>
      </c>
      <c r="D199" s="71" t="s">
        <v>214</v>
      </c>
      <c r="E199" s="72" t="s">
        <v>5118</v>
      </c>
      <c r="F199" s="73" t="s">
        <v>5119</v>
      </c>
      <c r="G199" s="74" t="s">
        <v>808</v>
      </c>
      <c r="H199" s="75">
        <v>1</v>
      </c>
      <c r="I199" s="90">
        <v>10000</v>
      </c>
      <c r="J199" s="91">
        <f t="shared" si="20"/>
        <v>10000</v>
      </c>
      <c r="K199" s="92"/>
      <c r="L199" s="12"/>
      <c r="M199" s="93" t="s">
        <v>1</v>
      </c>
      <c r="N199" s="94" t="s">
        <v>43</v>
      </c>
      <c r="P199" s="95">
        <f t="shared" si="21"/>
        <v>0</v>
      </c>
      <c r="Q199" s="95">
        <v>0</v>
      </c>
      <c r="R199" s="95">
        <f t="shared" si="22"/>
        <v>0</v>
      </c>
      <c r="S199" s="95">
        <v>0</v>
      </c>
      <c r="T199" s="99">
        <f t="shared" si="23"/>
        <v>0</v>
      </c>
      <c r="AR199" s="101" t="s">
        <v>218</v>
      </c>
      <c r="AT199" s="101" t="s">
        <v>214</v>
      </c>
      <c r="AU199" s="101" t="s">
        <v>87</v>
      </c>
      <c r="AY199" s="23" t="s">
        <v>211</v>
      </c>
      <c r="BE199" s="104">
        <f t="shared" si="24"/>
        <v>0</v>
      </c>
      <c r="BF199" s="104">
        <f t="shared" si="25"/>
        <v>10000</v>
      </c>
      <c r="BG199" s="104">
        <f t="shared" si="26"/>
        <v>0</v>
      </c>
      <c r="BH199" s="104">
        <f t="shared" si="27"/>
        <v>0</v>
      </c>
      <c r="BI199" s="104">
        <f t="shared" si="28"/>
        <v>0</v>
      </c>
      <c r="BJ199" s="23" t="s">
        <v>87</v>
      </c>
      <c r="BK199" s="104">
        <f t="shared" si="29"/>
        <v>10000</v>
      </c>
      <c r="BL199" s="23" t="s">
        <v>218</v>
      </c>
      <c r="BM199" s="101" t="s">
        <v>5120</v>
      </c>
    </row>
    <row r="200" spans="2:65" s="1" customFormat="1" ht="21.75" customHeight="1">
      <c r="B200" s="12"/>
      <c r="C200" s="71" t="s">
        <v>810</v>
      </c>
      <c r="D200" s="71" t="s">
        <v>214</v>
      </c>
      <c r="E200" s="72" t="s">
        <v>5121</v>
      </c>
      <c r="F200" s="73" t="s">
        <v>5122</v>
      </c>
      <c r="G200" s="74" t="s">
        <v>808</v>
      </c>
      <c r="H200" s="75">
        <v>36</v>
      </c>
      <c r="I200" s="90">
        <v>3000</v>
      </c>
      <c r="J200" s="91">
        <f t="shared" si="20"/>
        <v>108000</v>
      </c>
      <c r="K200" s="92"/>
      <c r="L200" s="12"/>
      <c r="M200" s="93" t="s">
        <v>1</v>
      </c>
      <c r="N200" s="94" t="s">
        <v>43</v>
      </c>
      <c r="P200" s="95">
        <f t="shared" si="21"/>
        <v>0</v>
      </c>
      <c r="Q200" s="95">
        <v>0</v>
      </c>
      <c r="R200" s="95">
        <f t="shared" si="22"/>
        <v>0</v>
      </c>
      <c r="S200" s="95">
        <v>0</v>
      </c>
      <c r="T200" s="99">
        <f t="shared" si="23"/>
        <v>0</v>
      </c>
      <c r="AR200" s="101" t="s">
        <v>218</v>
      </c>
      <c r="AT200" s="101" t="s">
        <v>214</v>
      </c>
      <c r="AU200" s="101" t="s">
        <v>87</v>
      </c>
      <c r="AY200" s="23" t="s">
        <v>211</v>
      </c>
      <c r="BE200" s="104">
        <f t="shared" si="24"/>
        <v>0</v>
      </c>
      <c r="BF200" s="104">
        <f t="shared" si="25"/>
        <v>108000</v>
      </c>
      <c r="BG200" s="104">
        <f t="shared" si="26"/>
        <v>0</v>
      </c>
      <c r="BH200" s="104">
        <f t="shared" si="27"/>
        <v>0</v>
      </c>
      <c r="BI200" s="104">
        <f t="shared" si="28"/>
        <v>0</v>
      </c>
      <c r="BJ200" s="23" t="s">
        <v>87</v>
      </c>
      <c r="BK200" s="104">
        <f t="shared" si="29"/>
        <v>108000</v>
      </c>
      <c r="BL200" s="23" t="s">
        <v>218</v>
      </c>
      <c r="BM200" s="101" t="s">
        <v>5123</v>
      </c>
    </row>
    <row r="201" spans="2:65" s="1" customFormat="1" ht="21.75" customHeight="1">
      <c r="B201" s="12"/>
      <c r="C201" s="71" t="s">
        <v>814</v>
      </c>
      <c r="D201" s="71" t="s">
        <v>214</v>
      </c>
      <c r="E201" s="72" t="s">
        <v>5124</v>
      </c>
      <c r="F201" s="73" t="s">
        <v>5125</v>
      </c>
      <c r="G201" s="74" t="s">
        <v>808</v>
      </c>
      <c r="H201" s="75">
        <v>4</v>
      </c>
      <c r="I201" s="90">
        <v>10000</v>
      </c>
      <c r="J201" s="91">
        <f t="shared" si="20"/>
        <v>40000</v>
      </c>
      <c r="K201" s="92"/>
      <c r="L201" s="12"/>
      <c r="M201" s="93" t="s">
        <v>1</v>
      </c>
      <c r="N201" s="94" t="s">
        <v>43</v>
      </c>
      <c r="P201" s="95">
        <f t="shared" si="21"/>
        <v>0</v>
      </c>
      <c r="Q201" s="95">
        <v>0</v>
      </c>
      <c r="R201" s="95">
        <f t="shared" si="22"/>
        <v>0</v>
      </c>
      <c r="S201" s="95">
        <v>0</v>
      </c>
      <c r="T201" s="99">
        <f t="shared" si="23"/>
        <v>0</v>
      </c>
      <c r="AR201" s="101" t="s">
        <v>218</v>
      </c>
      <c r="AT201" s="101" t="s">
        <v>214</v>
      </c>
      <c r="AU201" s="101" t="s">
        <v>87</v>
      </c>
      <c r="AY201" s="23" t="s">
        <v>211</v>
      </c>
      <c r="BE201" s="104">
        <f t="shared" si="24"/>
        <v>0</v>
      </c>
      <c r="BF201" s="104">
        <f t="shared" si="25"/>
        <v>40000</v>
      </c>
      <c r="BG201" s="104">
        <f t="shared" si="26"/>
        <v>0</v>
      </c>
      <c r="BH201" s="104">
        <f t="shared" si="27"/>
        <v>0</v>
      </c>
      <c r="BI201" s="104">
        <f t="shared" si="28"/>
        <v>0</v>
      </c>
      <c r="BJ201" s="23" t="s">
        <v>87</v>
      </c>
      <c r="BK201" s="104">
        <f t="shared" si="29"/>
        <v>40000</v>
      </c>
      <c r="BL201" s="23" t="s">
        <v>218</v>
      </c>
      <c r="BM201" s="101" t="s">
        <v>5126</v>
      </c>
    </row>
    <row r="202" spans="2:65" s="1" customFormat="1" ht="24.15" customHeight="1">
      <c r="B202" s="12"/>
      <c r="C202" s="114" t="s">
        <v>818</v>
      </c>
      <c r="D202" s="114" t="s">
        <v>438</v>
      </c>
      <c r="E202" s="115" t="s">
        <v>5127</v>
      </c>
      <c r="F202" s="116" t="s">
        <v>5128</v>
      </c>
      <c r="G202" s="117" t="s">
        <v>808</v>
      </c>
      <c r="H202" s="118">
        <v>1</v>
      </c>
      <c r="I202" s="122">
        <v>90000</v>
      </c>
      <c r="J202" s="123">
        <f t="shared" si="20"/>
        <v>90000</v>
      </c>
      <c r="K202" s="124"/>
      <c r="L202" s="125"/>
      <c r="M202" s="126" t="s">
        <v>1</v>
      </c>
      <c r="N202" s="127" t="s">
        <v>43</v>
      </c>
      <c r="P202" s="95">
        <f t="shared" si="21"/>
        <v>0</v>
      </c>
      <c r="Q202" s="95">
        <v>0</v>
      </c>
      <c r="R202" s="95">
        <f t="shared" si="22"/>
        <v>0</v>
      </c>
      <c r="S202" s="95">
        <v>0</v>
      </c>
      <c r="T202" s="99">
        <f t="shared" si="23"/>
        <v>0</v>
      </c>
      <c r="AR202" s="101" t="s">
        <v>250</v>
      </c>
      <c r="AT202" s="101" t="s">
        <v>438</v>
      </c>
      <c r="AU202" s="101" t="s">
        <v>87</v>
      </c>
      <c r="AY202" s="23" t="s">
        <v>211</v>
      </c>
      <c r="BE202" s="104">
        <f t="shared" si="24"/>
        <v>0</v>
      </c>
      <c r="BF202" s="104">
        <f t="shared" si="25"/>
        <v>90000</v>
      </c>
      <c r="BG202" s="104">
        <f t="shared" si="26"/>
        <v>0</v>
      </c>
      <c r="BH202" s="104">
        <f t="shared" si="27"/>
        <v>0</v>
      </c>
      <c r="BI202" s="104">
        <f t="shared" si="28"/>
        <v>0</v>
      </c>
      <c r="BJ202" s="23" t="s">
        <v>87</v>
      </c>
      <c r="BK202" s="104">
        <f t="shared" si="29"/>
        <v>90000</v>
      </c>
      <c r="BL202" s="23" t="s">
        <v>218</v>
      </c>
      <c r="BM202" s="101" t="s">
        <v>5129</v>
      </c>
    </row>
    <row r="203" spans="2:65" s="1" customFormat="1" ht="24.15" customHeight="1">
      <c r="B203" s="12"/>
      <c r="C203" s="114" t="s">
        <v>822</v>
      </c>
      <c r="D203" s="114" t="s">
        <v>438</v>
      </c>
      <c r="E203" s="115" t="s">
        <v>5130</v>
      </c>
      <c r="F203" s="116" t="s">
        <v>5128</v>
      </c>
      <c r="G203" s="117" t="s">
        <v>808</v>
      </c>
      <c r="H203" s="118">
        <v>1</v>
      </c>
      <c r="I203" s="122">
        <v>90000</v>
      </c>
      <c r="J203" s="123">
        <f t="shared" si="20"/>
        <v>90000</v>
      </c>
      <c r="K203" s="124"/>
      <c r="L203" s="125"/>
      <c r="M203" s="126" t="s">
        <v>1</v>
      </c>
      <c r="N203" s="127" t="s">
        <v>43</v>
      </c>
      <c r="P203" s="95">
        <f t="shared" si="21"/>
        <v>0</v>
      </c>
      <c r="Q203" s="95">
        <v>0</v>
      </c>
      <c r="R203" s="95">
        <f t="shared" si="22"/>
        <v>0</v>
      </c>
      <c r="S203" s="95">
        <v>0</v>
      </c>
      <c r="T203" s="99">
        <f t="shared" si="23"/>
        <v>0</v>
      </c>
      <c r="AR203" s="101" t="s">
        <v>250</v>
      </c>
      <c r="AT203" s="101" t="s">
        <v>438</v>
      </c>
      <c r="AU203" s="101" t="s">
        <v>87</v>
      </c>
      <c r="AY203" s="23" t="s">
        <v>211</v>
      </c>
      <c r="BE203" s="104">
        <f t="shared" si="24"/>
        <v>0</v>
      </c>
      <c r="BF203" s="104">
        <f t="shared" si="25"/>
        <v>90000</v>
      </c>
      <c r="BG203" s="104">
        <f t="shared" si="26"/>
        <v>0</v>
      </c>
      <c r="BH203" s="104">
        <f t="shared" si="27"/>
        <v>0</v>
      </c>
      <c r="BI203" s="104">
        <f t="shared" si="28"/>
        <v>0</v>
      </c>
      <c r="BJ203" s="23" t="s">
        <v>87</v>
      </c>
      <c r="BK203" s="104">
        <f t="shared" si="29"/>
        <v>90000</v>
      </c>
      <c r="BL203" s="23" t="s">
        <v>218</v>
      </c>
      <c r="BM203" s="101" t="s">
        <v>5131</v>
      </c>
    </row>
    <row r="204" spans="2:65" s="1" customFormat="1" ht="24.15" customHeight="1">
      <c r="B204" s="12"/>
      <c r="C204" s="114" t="s">
        <v>826</v>
      </c>
      <c r="D204" s="114" t="s">
        <v>438</v>
      </c>
      <c r="E204" s="115" t="s">
        <v>5132</v>
      </c>
      <c r="F204" s="116" t="s">
        <v>5128</v>
      </c>
      <c r="G204" s="117" t="s">
        <v>808</v>
      </c>
      <c r="H204" s="118">
        <v>1</v>
      </c>
      <c r="I204" s="122">
        <v>90000</v>
      </c>
      <c r="J204" s="123">
        <f t="shared" si="20"/>
        <v>90000</v>
      </c>
      <c r="K204" s="124"/>
      <c r="L204" s="125"/>
      <c r="M204" s="126" t="s">
        <v>1</v>
      </c>
      <c r="N204" s="127" t="s">
        <v>43</v>
      </c>
      <c r="P204" s="95">
        <f t="shared" si="21"/>
        <v>0</v>
      </c>
      <c r="Q204" s="95">
        <v>0</v>
      </c>
      <c r="R204" s="95">
        <f t="shared" si="22"/>
        <v>0</v>
      </c>
      <c r="S204" s="95">
        <v>0</v>
      </c>
      <c r="T204" s="99">
        <f t="shared" si="23"/>
        <v>0</v>
      </c>
      <c r="AR204" s="101" t="s">
        <v>250</v>
      </c>
      <c r="AT204" s="101" t="s">
        <v>438</v>
      </c>
      <c r="AU204" s="101" t="s">
        <v>87</v>
      </c>
      <c r="AY204" s="23" t="s">
        <v>211</v>
      </c>
      <c r="BE204" s="104">
        <f t="shared" si="24"/>
        <v>0</v>
      </c>
      <c r="BF204" s="104">
        <f t="shared" si="25"/>
        <v>90000</v>
      </c>
      <c r="BG204" s="104">
        <f t="shared" si="26"/>
        <v>0</v>
      </c>
      <c r="BH204" s="104">
        <f t="shared" si="27"/>
        <v>0</v>
      </c>
      <c r="BI204" s="104">
        <f t="shared" si="28"/>
        <v>0</v>
      </c>
      <c r="BJ204" s="23" t="s">
        <v>87</v>
      </c>
      <c r="BK204" s="104">
        <f t="shared" si="29"/>
        <v>90000</v>
      </c>
      <c r="BL204" s="23" t="s">
        <v>218</v>
      </c>
      <c r="BM204" s="101" t="s">
        <v>5133</v>
      </c>
    </row>
    <row r="205" spans="2:65" s="1" customFormat="1" ht="24.15" customHeight="1">
      <c r="B205" s="12"/>
      <c r="C205" s="114" t="s">
        <v>830</v>
      </c>
      <c r="D205" s="114" t="s">
        <v>438</v>
      </c>
      <c r="E205" s="115" t="s">
        <v>5134</v>
      </c>
      <c r="F205" s="116" t="s">
        <v>5128</v>
      </c>
      <c r="G205" s="117" t="s">
        <v>808</v>
      </c>
      <c r="H205" s="118">
        <v>1</v>
      </c>
      <c r="I205" s="122">
        <v>90000</v>
      </c>
      <c r="J205" s="123">
        <f t="shared" si="20"/>
        <v>90000</v>
      </c>
      <c r="K205" s="124"/>
      <c r="L205" s="125"/>
      <c r="M205" s="126" t="s">
        <v>1</v>
      </c>
      <c r="N205" s="127" t="s">
        <v>43</v>
      </c>
      <c r="P205" s="95">
        <f t="shared" si="21"/>
        <v>0</v>
      </c>
      <c r="Q205" s="95">
        <v>0</v>
      </c>
      <c r="R205" s="95">
        <f t="shared" si="22"/>
        <v>0</v>
      </c>
      <c r="S205" s="95">
        <v>0</v>
      </c>
      <c r="T205" s="99">
        <f t="shared" si="23"/>
        <v>0</v>
      </c>
      <c r="AR205" s="101" t="s">
        <v>250</v>
      </c>
      <c r="AT205" s="101" t="s">
        <v>438</v>
      </c>
      <c r="AU205" s="101" t="s">
        <v>87</v>
      </c>
      <c r="AY205" s="23" t="s">
        <v>211</v>
      </c>
      <c r="BE205" s="104">
        <f t="shared" si="24"/>
        <v>0</v>
      </c>
      <c r="BF205" s="104">
        <f t="shared" si="25"/>
        <v>90000</v>
      </c>
      <c r="BG205" s="104">
        <f t="shared" si="26"/>
        <v>0</v>
      </c>
      <c r="BH205" s="104">
        <f t="shared" si="27"/>
        <v>0</v>
      </c>
      <c r="BI205" s="104">
        <f t="shared" si="28"/>
        <v>0</v>
      </c>
      <c r="BJ205" s="23" t="s">
        <v>87</v>
      </c>
      <c r="BK205" s="104">
        <f t="shared" si="29"/>
        <v>90000</v>
      </c>
      <c r="BL205" s="23" t="s">
        <v>218</v>
      </c>
      <c r="BM205" s="101" t="s">
        <v>5135</v>
      </c>
    </row>
    <row r="206" spans="2:65" s="1" customFormat="1" ht="16.5" customHeight="1">
      <c r="B206" s="12"/>
      <c r="C206" s="114" t="s">
        <v>834</v>
      </c>
      <c r="D206" s="114" t="s">
        <v>438</v>
      </c>
      <c r="E206" s="115" t="s">
        <v>5136</v>
      </c>
      <c r="F206" s="116" t="s">
        <v>5137</v>
      </c>
      <c r="G206" s="117" t="s">
        <v>808</v>
      </c>
      <c r="H206" s="118">
        <v>2</v>
      </c>
      <c r="I206" s="122">
        <v>30000</v>
      </c>
      <c r="J206" s="123">
        <f t="shared" si="20"/>
        <v>60000</v>
      </c>
      <c r="K206" s="124"/>
      <c r="L206" s="125"/>
      <c r="M206" s="126" t="s">
        <v>1</v>
      </c>
      <c r="N206" s="127" t="s">
        <v>43</v>
      </c>
      <c r="P206" s="95">
        <f t="shared" si="21"/>
        <v>0</v>
      </c>
      <c r="Q206" s="95">
        <v>0</v>
      </c>
      <c r="R206" s="95">
        <f t="shared" si="22"/>
        <v>0</v>
      </c>
      <c r="S206" s="95">
        <v>0</v>
      </c>
      <c r="T206" s="99">
        <f t="shared" si="23"/>
        <v>0</v>
      </c>
      <c r="AR206" s="101" t="s">
        <v>250</v>
      </c>
      <c r="AT206" s="101" t="s">
        <v>438</v>
      </c>
      <c r="AU206" s="101" t="s">
        <v>87</v>
      </c>
      <c r="AY206" s="23" t="s">
        <v>211</v>
      </c>
      <c r="BE206" s="104">
        <f t="shared" si="24"/>
        <v>0</v>
      </c>
      <c r="BF206" s="104">
        <f t="shared" si="25"/>
        <v>60000</v>
      </c>
      <c r="BG206" s="104">
        <f t="shared" si="26"/>
        <v>0</v>
      </c>
      <c r="BH206" s="104">
        <f t="shared" si="27"/>
        <v>0</v>
      </c>
      <c r="BI206" s="104">
        <f t="shared" si="28"/>
        <v>0</v>
      </c>
      <c r="BJ206" s="23" t="s">
        <v>87</v>
      </c>
      <c r="BK206" s="104">
        <f t="shared" si="29"/>
        <v>60000</v>
      </c>
      <c r="BL206" s="23" t="s">
        <v>218</v>
      </c>
      <c r="BM206" s="101" t="s">
        <v>5138</v>
      </c>
    </row>
    <row r="207" spans="2:65" s="31" customFormat="1" ht="23.1" customHeight="1">
      <c r="B207" s="67"/>
      <c r="D207" s="68" t="s">
        <v>76</v>
      </c>
      <c r="E207" s="70" t="s">
        <v>5139</v>
      </c>
      <c r="F207" s="70" t="s">
        <v>1</v>
      </c>
      <c r="I207" s="85"/>
      <c r="J207" s="89">
        <f>BK207</f>
        <v>4559192</v>
      </c>
      <c r="L207" s="67"/>
      <c r="M207" s="87"/>
      <c r="P207" s="88">
        <f>SUM(P208:P254)</f>
        <v>0</v>
      </c>
      <c r="R207" s="88">
        <f>SUM(R208:R254)</f>
        <v>13.86665</v>
      </c>
      <c r="T207" s="98">
        <f>SUM(T208:T254)</f>
        <v>0</v>
      </c>
      <c r="AR207" s="68" t="s">
        <v>85</v>
      </c>
      <c r="AT207" s="100" t="s">
        <v>76</v>
      </c>
      <c r="AU207" s="100" t="s">
        <v>85</v>
      </c>
      <c r="AY207" s="68" t="s">
        <v>211</v>
      </c>
      <c r="BK207" s="103">
        <f>SUM(BK208:BK254)</f>
        <v>4559192</v>
      </c>
    </row>
    <row r="208" spans="2:65" s="1" customFormat="1" ht="24.15" customHeight="1">
      <c r="B208" s="12"/>
      <c r="C208" s="71" t="s">
        <v>838</v>
      </c>
      <c r="D208" s="71" t="s">
        <v>214</v>
      </c>
      <c r="E208" s="72" t="s">
        <v>5140</v>
      </c>
      <c r="F208" s="73" t="s">
        <v>5141</v>
      </c>
      <c r="G208" s="74" t="s">
        <v>444</v>
      </c>
      <c r="H208" s="75">
        <v>12000</v>
      </c>
      <c r="I208" s="90">
        <v>40</v>
      </c>
      <c r="J208" s="91">
        <f t="shared" ref="J208:J218" si="30">ROUND(I208*H208,2)</f>
        <v>480000</v>
      </c>
      <c r="K208" s="92"/>
      <c r="L208" s="12"/>
      <c r="M208" s="93" t="s">
        <v>1</v>
      </c>
      <c r="N208" s="94" t="s">
        <v>43</v>
      </c>
      <c r="P208" s="95">
        <f t="shared" ref="P208:P218" si="31">O208*H208</f>
        <v>0</v>
      </c>
      <c r="Q208" s="95">
        <v>0</v>
      </c>
      <c r="R208" s="95">
        <f t="shared" ref="R208:R218" si="32">Q208*H208</f>
        <v>0</v>
      </c>
      <c r="S208" s="95">
        <v>0</v>
      </c>
      <c r="T208" s="99">
        <f t="shared" ref="T208:T218" si="33">S208*H208</f>
        <v>0</v>
      </c>
      <c r="AR208" s="101" t="s">
        <v>446</v>
      </c>
      <c r="AT208" s="101" t="s">
        <v>214</v>
      </c>
      <c r="AU208" s="101" t="s">
        <v>87</v>
      </c>
      <c r="AY208" s="23" t="s">
        <v>211</v>
      </c>
      <c r="BE208" s="104">
        <f t="shared" ref="BE208:BE218" si="34">IF(N208="základní",J208,0)</f>
        <v>0</v>
      </c>
      <c r="BF208" s="104">
        <f t="shared" ref="BF208:BF218" si="35">IF(N208="snížená",J208,0)</f>
        <v>480000</v>
      </c>
      <c r="BG208" s="104">
        <f t="shared" ref="BG208:BG218" si="36">IF(N208="zákl. přenesená",J208,0)</f>
        <v>0</v>
      </c>
      <c r="BH208" s="104">
        <f t="shared" ref="BH208:BH218" si="37">IF(N208="sníž. přenesená",J208,0)</f>
        <v>0</v>
      </c>
      <c r="BI208" s="104">
        <f t="shared" ref="BI208:BI218" si="38">IF(N208="nulová",J208,0)</f>
        <v>0</v>
      </c>
      <c r="BJ208" s="23" t="s">
        <v>87</v>
      </c>
      <c r="BK208" s="104">
        <f t="shared" ref="BK208:BK218" si="39">ROUND(I208*H208,2)</f>
        <v>480000</v>
      </c>
      <c r="BL208" s="23" t="s">
        <v>446</v>
      </c>
      <c r="BM208" s="101" t="s">
        <v>5142</v>
      </c>
    </row>
    <row r="209" spans="2:65" s="1" customFormat="1" ht="16.5" customHeight="1">
      <c r="B209" s="12"/>
      <c r="C209" s="114" t="s">
        <v>842</v>
      </c>
      <c r="D209" s="114" t="s">
        <v>438</v>
      </c>
      <c r="E209" s="115" t="s">
        <v>5143</v>
      </c>
      <c r="F209" s="116" t="s">
        <v>5144</v>
      </c>
      <c r="G209" s="117" t="s">
        <v>444</v>
      </c>
      <c r="H209" s="118">
        <v>8500</v>
      </c>
      <c r="I209" s="122">
        <v>9</v>
      </c>
      <c r="J209" s="123">
        <f t="shared" si="30"/>
        <v>76500</v>
      </c>
      <c r="K209" s="124"/>
      <c r="L209" s="125"/>
      <c r="M209" s="126" t="s">
        <v>1</v>
      </c>
      <c r="N209" s="127" t="s">
        <v>43</v>
      </c>
      <c r="P209" s="95">
        <f t="shared" si="31"/>
        <v>0</v>
      </c>
      <c r="Q209" s="95">
        <v>5.0000000000000002E-5</v>
      </c>
      <c r="R209" s="95">
        <f t="shared" si="32"/>
        <v>0.42499999999999999</v>
      </c>
      <c r="S209" s="95">
        <v>0</v>
      </c>
      <c r="T209" s="99">
        <f t="shared" si="33"/>
        <v>0</v>
      </c>
      <c r="AR209" s="101" t="s">
        <v>527</v>
      </c>
      <c r="AT209" s="101" t="s">
        <v>438</v>
      </c>
      <c r="AU209" s="101" t="s">
        <v>87</v>
      </c>
      <c r="AY209" s="23" t="s">
        <v>211</v>
      </c>
      <c r="BE209" s="104">
        <f t="shared" si="34"/>
        <v>0</v>
      </c>
      <c r="BF209" s="104">
        <f t="shared" si="35"/>
        <v>76500</v>
      </c>
      <c r="BG209" s="104">
        <f t="shared" si="36"/>
        <v>0</v>
      </c>
      <c r="BH209" s="104">
        <f t="shared" si="37"/>
        <v>0</v>
      </c>
      <c r="BI209" s="104">
        <f t="shared" si="38"/>
        <v>0</v>
      </c>
      <c r="BJ209" s="23" t="s">
        <v>87</v>
      </c>
      <c r="BK209" s="104">
        <f t="shared" si="39"/>
        <v>76500</v>
      </c>
      <c r="BL209" s="23" t="s">
        <v>446</v>
      </c>
      <c r="BM209" s="101" t="s">
        <v>5145</v>
      </c>
    </row>
    <row r="210" spans="2:65" s="1" customFormat="1" ht="16.5" customHeight="1">
      <c r="B210" s="12"/>
      <c r="C210" s="114" t="s">
        <v>846</v>
      </c>
      <c r="D210" s="114" t="s">
        <v>438</v>
      </c>
      <c r="E210" s="115" t="s">
        <v>5146</v>
      </c>
      <c r="F210" s="116" t="s">
        <v>5147</v>
      </c>
      <c r="G210" s="117" t="s">
        <v>444</v>
      </c>
      <c r="H210" s="118">
        <v>3500</v>
      </c>
      <c r="I210" s="122">
        <v>12</v>
      </c>
      <c r="J210" s="123">
        <f t="shared" si="30"/>
        <v>42000</v>
      </c>
      <c r="K210" s="124"/>
      <c r="L210" s="125"/>
      <c r="M210" s="126" t="s">
        <v>1</v>
      </c>
      <c r="N210" s="127" t="s">
        <v>43</v>
      </c>
      <c r="P210" s="95">
        <f t="shared" si="31"/>
        <v>0</v>
      </c>
      <c r="Q210" s="95">
        <v>6.9999999999999994E-5</v>
      </c>
      <c r="R210" s="95">
        <f t="shared" si="32"/>
        <v>0.245</v>
      </c>
      <c r="S210" s="95">
        <v>0</v>
      </c>
      <c r="T210" s="99">
        <f t="shared" si="33"/>
        <v>0</v>
      </c>
      <c r="AR210" s="101" t="s">
        <v>527</v>
      </c>
      <c r="AT210" s="101" t="s">
        <v>438</v>
      </c>
      <c r="AU210" s="101" t="s">
        <v>87</v>
      </c>
      <c r="AY210" s="23" t="s">
        <v>211</v>
      </c>
      <c r="BE210" s="104">
        <f t="shared" si="34"/>
        <v>0</v>
      </c>
      <c r="BF210" s="104">
        <f t="shared" si="35"/>
        <v>42000</v>
      </c>
      <c r="BG210" s="104">
        <f t="shared" si="36"/>
        <v>0</v>
      </c>
      <c r="BH210" s="104">
        <f t="shared" si="37"/>
        <v>0</v>
      </c>
      <c r="BI210" s="104">
        <f t="shared" si="38"/>
        <v>0</v>
      </c>
      <c r="BJ210" s="23" t="s">
        <v>87</v>
      </c>
      <c r="BK210" s="104">
        <f t="shared" si="39"/>
        <v>42000</v>
      </c>
      <c r="BL210" s="23" t="s">
        <v>446</v>
      </c>
      <c r="BM210" s="101" t="s">
        <v>5148</v>
      </c>
    </row>
    <row r="211" spans="2:65" s="1" customFormat="1" ht="24.15" customHeight="1">
      <c r="B211" s="12"/>
      <c r="C211" s="71" t="s">
        <v>850</v>
      </c>
      <c r="D211" s="71" t="s">
        <v>214</v>
      </c>
      <c r="E211" s="72" t="s">
        <v>5149</v>
      </c>
      <c r="F211" s="73" t="s">
        <v>5150</v>
      </c>
      <c r="G211" s="74" t="s">
        <v>1599</v>
      </c>
      <c r="H211" s="75">
        <v>850</v>
      </c>
      <c r="I211" s="90">
        <v>20</v>
      </c>
      <c r="J211" s="91">
        <f t="shared" si="30"/>
        <v>17000</v>
      </c>
      <c r="K211" s="92"/>
      <c r="L211" s="12"/>
      <c r="M211" s="93" t="s">
        <v>1</v>
      </c>
      <c r="N211" s="94" t="s">
        <v>43</v>
      </c>
      <c r="P211" s="95">
        <f t="shared" si="31"/>
        <v>0</v>
      </c>
      <c r="Q211" s="95">
        <v>0</v>
      </c>
      <c r="R211" s="95">
        <f t="shared" si="32"/>
        <v>0</v>
      </c>
      <c r="S211" s="95">
        <v>0</v>
      </c>
      <c r="T211" s="99">
        <f t="shared" si="33"/>
        <v>0</v>
      </c>
      <c r="AR211" s="101" t="s">
        <v>446</v>
      </c>
      <c r="AT211" s="101" t="s">
        <v>214</v>
      </c>
      <c r="AU211" s="101" t="s">
        <v>87</v>
      </c>
      <c r="AY211" s="23" t="s">
        <v>211</v>
      </c>
      <c r="BE211" s="104">
        <f t="shared" si="34"/>
        <v>0</v>
      </c>
      <c r="BF211" s="104">
        <f t="shared" si="35"/>
        <v>17000</v>
      </c>
      <c r="BG211" s="104">
        <f t="shared" si="36"/>
        <v>0</v>
      </c>
      <c r="BH211" s="104">
        <f t="shared" si="37"/>
        <v>0</v>
      </c>
      <c r="BI211" s="104">
        <f t="shared" si="38"/>
        <v>0</v>
      </c>
      <c r="BJ211" s="23" t="s">
        <v>87</v>
      </c>
      <c r="BK211" s="104">
        <f t="shared" si="39"/>
        <v>17000</v>
      </c>
      <c r="BL211" s="23" t="s">
        <v>446</v>
      </c>
      <c r="BM211" s="101" t="s">
        <v>5151</v>
      </c>
    </row>
    <row r="212" spans="2:65" s="1" customFormat="1" ht="24.15" customHeight="1">
      <c r="B212" s="12"/>
      <c r="C212" s="71" t="s">
        <v>854</v>
      </c>
      <c r="D212" s="71" t="s">
        <v>214</v>
      </c>
      <c r="E212" s="72" t="s">
        <v>5152</v>
      </c>
      <c r="F212" s="73" t="s">
        <v>5153</v>
      </c>
      <c r="G212" s="74" t="s">
        <v>1599</v>
      </c>
      <c r="H212" s="75">
        <v>50</v>
      </c>
      <c r="I212" s="90">
        <v>20</v>
      </c>
      <c r="J212" s="91">
        <f t="shared" si="30"/>
        <v>1000</v>
      </c>
      <c r="K212" s="92"/>
      <c r="L212" s="12"/>
      <c r="M212" s="93" t="s">
        <v>1</v>
      </c>
      <c r="N212" s="94" t="s">
        <v>43</v>
      </c>
      <c r="P212" s="95">
        <f t="shared" si="31"/>
        <v>0</v>
      </c>
      <c r="Q212" s="95">
        <v>0</v>
      </c>
      <c r="R212" s="95">
        <f t="shared" si="32"/>
        <v>0</v>
      </c>
      <c r="S212" s="95">
        <v>0</v>
      </c>
      <c r="T212" s="99">
        <f t="shared" si="33"/>
        <v>0</v>
      </c>
      <c r="AR212" s="101" t="s">
        <v>446</v>
      </c>
      <c r="AT212" s="101" t="s">
        <v>214</v>
      </c>
      <c r="AU212" s="101" t="s">
        <v>87</v>
      </c>
      <c r="AY212" s="23" t="s">
        <v>211</v>
      </c>
      <c r="BE212" s="104">
        <f t="shared" si="34"/>
        <v>0</v>
      </c>
      <c r="BF212" s="104">
        <f t="shared" si="35"/>
        <v>1000</v>
      </c>
      <c r="BG212" s="104">
        <f t="shared" si="36"/>
        <v>0</v>
      </c>
      <c r="BH212" s="104">
        <f t="shared" si="37"/>
        <v>0</v>
      </c>
      <c r="BI212" s="104">
        <f t="shared" si="38"/>
        <v>0</v>
      </c>
      <c r="BJ212" s="23" t="s">
        <v>87</v>
      </c>
      <c r="BK212" s="104">
        <f t="shared" si="39"/>
        <v>1000</v>
      </c>
      <c r="BL212" s="23" t="s">
        <v>446</v>
      </c>
      <c r="BM212" s="101" t="s">
        <v>5154</v>
      </c>
    </row>
    <row r="213" spans="2:65" s="1" customFormat="1" ht="24.15" customHeight="1">
      <c r="B213" s="12"/>
      <c r="C213" s="71" t="s">
        <v>858</v>
      </c>
      <c r="D213" s="71" t="s">
        <v>214</v>
      </c>
      <c r="E213" s="72" t="s">
        <v>5155</v>
      </c>
      <c r="F213" s="73" t="s">
        <v>5156</v>
      </c>
      <c r="G213" s="74" t="s">
        <v>1599</v>
      </c>
      <c r="H213" s="75">
        <v>20</v>
      </c>
      <c r="I213" s="90">
        <v>40</v>
      </c>
      <c r="J213" s="91">
        <f t="shared" si="30"/>
        <v>800</v>
      </c>
      <c r="K213" s="92"/>
      <c r="L213" s="12"/>
      <c r="M213" s="93" t="s">
        <v>1</v>
      </c>
      <c r="N213" s="94" t="s">
        <v>43</v>
      </c>
      <c r="P213" s="95">
        <f t="shared" si="31"/>
        <v>0</v>
      </c>
      <c r="Q213" s="95">
        <v>0</v>
      </c>
      <c r="R213" s="95">
        <f t="shared" si="32"/>
        <v>0</v>
      </c>
      <c r="S213" s="95">
        <v>0</v>
      </c>
      <c r="T213" s="99">
        <f t="shared" si="33"/>
        <v>0</v>
      </c>
      <c r="AR213" s="101" t="s">
        <v>446</v>
      </c>
      <c r="AT213" s="101" t="s">
        <v>214</v>
      </c>
      <c r="AU213" s="101" t="s">
        <v>87</v>
      </c>
      <c r="AY213" s="23" t="s">
        <v>211</v>
      </c>
      <c r="BE213" s="104">
        <f t="shared" si="34"/>
        <v>0</v>
      </c>
      <c r="BF213" s="104">
        <f t="shared" si="35"/>
        <v>800</v>
      </c>
      <c r="BG213" s="104">
        <f t="shared" si="36"/>
        <v>0</v>
      </c>
      <c r="BH213" s="104">
        <f t="shared" si="37"/>
        <v>0</v>
      </c>
      <c r="BI213" s="104">
        <f t="shared" si="38"/>
        <v>0</v>
      </c>
      <c r="BJ213" s="23" t="s">
        <v>87</v>
      </c>
      <c r="BK213" s="104">
        <f t="shared" si="39"/>
        <v>800</v>
      </c>
      <c r="BL213" s="23" t="s">
        <v>446</v>
      </c>
      <c r="BM213" s="101" t="s">
        <v>5157</v>
      </c>
    </row>
    <row r="214" spans="2:65" s="1" customFormat="1" ht="24.15" customHeight="1">
      <c r="B214" s="12"/>
      <c r="C214" s="71" t="s">
        <v>862</v>
      </c>
      <c r="D214" s="71" t="s">
        <v>214</v>
      </c>
      <c r="E214" s="72" t="s">
        <v>5158</v>
      </c>
      <c r="F214" s="73" t="s">
        <v>5159</v>
      </c>
      <c r="G214" s="74" t="s">
        <v>1599</v>
      </c>
      <c r="H214" s="75">
        <v>10</v>
      </c>
      <c r="I214" s="90">
        <v>80</v>
      </c>
      <c r="J214" s="91">
        <f t="shared" si="30"/>
        <v>800</v>
      </c>
      <c r="K214" s="92"/>
      <c r="L214" s="12"/>
      <c r="M214" s="93" t="s">
        <v>1</v>
      </c>
      <c r="N214" s="94" t="s">
        <v>43</v>
      </c>
      <c r="P214" s="95">
        <f t="shared" si="31"/>
        <v>0</v>
      </c>
      <c r="Q214" s="95">
        <v>0</v>
      </c>
      <c r="R214" s="95">
        <f t="shared" si="32"/>
        <v>0</v>
      </c>
      <c r="S214" s="95">
        <v>0</v>
      </c>
      <c r="T214" s="99">
        <f t="shared" si="33"/>
        <v>0</v>
      </c>
      <c r="AR214" s="101" t="s">
        <v>446</v>
      </c>
      <c r="AT214" s="101" t="s">
        <v>214</v>
      </c>
      <c r="AU214" s="101" t="s">
        <v>87</v>
      </c>
      <c r="AY214" s="23" t="s">
        <v>211</v>
      </c>
      <c r="BE214" s="104">
        <f t="shared" si="34"/>
        <v>0</v>
      </c>
      <c r="BF214" s="104">
        <f t="shared" si="35"/>
        <v>800</v>
      </c>
      <c r="BG214" s="104">
        <f t="shared" si="36"/>
        <v>0</v>
      </c>
      <c r="BH214" s="104">
        <f t="shared" si="37"/>
        <v>0</v>
      </c>
      <c r="BI214" s="104">
        <f t="shared" si="38"/>
        <v>0</v>
      </c>
      <c r="BJ214" s="23" t="s">
        <v>87</v>
      </c>
      <c r="BK214" s="104">
        <f t="shared" si="39"/>
        <v>800</v>
      </c>
      <c r="BL214" s="23" t="s">
        <v>446</v>
      </c>
      <c r="BM214" s="101" t="s">
        <v>5160</v>
      </c>
    </row>
    <row r="215" spans="2:65" s="1" customFormat="1" ht="24.15" customHeight="1">
      <c r="B215" s="12"/>
      <c r="C215" s="71" t="s">
        <v>874</v>
      </c>
      <c r="D215" s="71" t="s">
        <v>214</v>
      </c>
      <c r="E215" s="72" t="s">
        <v>5161</v>
      </c>
      <c r="F215" s="73" t="s">
        <v>5162</v>
      </c>
      <c r="G215" s="74" t="s">
        <v>1599</v>
      </c>
      <c r="H215" s="75">
        <v>5</v>
      </c>
      <c r="I215" s="90">
        <v>100</v>
      </c>
      <c r="J215" s="91">
        <f t="shared" si="30"/>
        <v>500</v>
      </c>
      <c r="K215" s="92"/>
      <c r="L215" s="12"/>
      <c r="M215" s="93" t="s">
        <v>1</v>
      </c>
      <c r="N215" s="94" t="s">
        <v>43</v>
      </c>
      <c r="P215" s="95">
        <f t="shared" si="31"/>
        <v>0</v>
      </c>
      <c r="Q215" s="95">
        <v>0</v>
      </c>
      <c r="R215" s="95">
        <f t="shared" si="32"/>
        <v>0</v>
      </c>
      <c r="S215" s="95">
        <v>0</v>
      </c>
      <c r="T215" s="99">
        <f t="shared" si="33"/>
        <v>0</v>
      </c>
      <c r="AR215" s="101" t="s">
        <v>446</v>
      </c>
      <c r="AT215" s="101" t="s">
        <v>214</v>
      </c>
      <c r="AU215" s="101" t="s">
        <v>87</v>
      </c>
      <c r="AY215" s="23" t="s">
        <v>211</v>
      </c>
      <c r="BE215" s="104">
        <f t="shared" si="34"/>
        <v>0</v>
      </c>
      <c r="BF215" s="104">
        <f t="shared" si="35"/>
        <v>500</v>
      </c>
      <c r="BG215" s="104">
        <f t="shared" si="36"/>
        <v>0</v>
      </c>
      <c r="BH215" s="104">
        <f t="shared" si="37"/>
        <v>0</v>
      </c>
      <c r="BI215" s="104">
        <f t="shared" si="38"/>
        <v>0</v>
      </c>
      <c r="BJ215" s="23" t="s">
        <v>87</v>
      </c>
      <c r="BK215" s="104">
        <f t="shared" si="39"/>
        <v>500</v>
      </c>
      <c r="BL215" s="23" t="s">
        <v>446</v>
      </c>
      <c r="BM215" s="101" t="s">
        <v>5163</v>
      </c>
    </row>
    <row r="216" spans="2:65" s="1" customFormat="1" ht="24.15" customHeight="1">
      <c r="B216" s="12"/>
      <c r="C216" s="71" t="s">
        <v>883</v>
      </c>
      <c r="D216" s="71" t="s">
        <v>214</v>
      </c>
      <c r="E216" s="72" t="s">
        <v>5164</v>
      </c>
      <c r="F216" s="73" t="s">
        <v>5165</v>
      </c>
      <c r="G216" s="74" t="s">
        <v>1599</v>
      </c>
      <c r="H216" s="75">
        <v>5</v>
      </c>
      <c r="I216" s="90">
        <v>130</v>
      </c>
      <c r="J216" s="91">
        <f t="shared" si="30"/>
        <v>650</v>
      </c>
      <c r="K216" s="92"/>
      <c r="L216" s="12"/>
      <c r="M216" s="93" t="s">
        <v>1</v>
      </c>
      <c r="N216" s="94" t="s">
        <v>43</v>
      </c>
      <c r="P216" s="95">
        <f t="shared" si="31"/>
        <v>0</v>
      </c>
      <c r="Q216" s="95">
        <v>0</v>
      </c>
      <c r="R216" s="95">
        <f t="shared" si="32"/>
        <v>0</v>
      </c>
      <c r="S216" s="95">
        <v>0</v>
      </c>
      <c r="T216" s="99">
        <f t="shared" si="33"/>
        <v>0</v>
      </c>
      <c r="AR216" s="101" t="s">
        <v>446</v>
      </c>
      <c r="AT216" s="101" t="s">
        <v>214</v>
      </c>
      <c r="AU216" s="101" t="s">
        <v>87</v>
      </c>
      <c r="AY216" s="23" t="s">
        <v>211</v>
      </c>
      <c r="BE216" s="104">
        <f t="shared" si="34"/>
        <v>0</v>
      </c>
      <c r="BF216" s="104">
        <f t="shared" si="35"/>
        <v>650</v>
      </c>
      <c r="BG216" s="104">
        <f t="shared" si="36"/>
        <v>0</v>
      </c>
      <c r="BH216" s="104">
        <f t="shared" si="37"/>
        <v>0</v>
      </c>
      <c r="BI216" s="104">
        <f t="shared" si="38"/>
        <v>0</v>
      </c>
      <c r="BJ216" s="23" t="s">
        <v>87</v>
      </c>
      <c r="BK216" s="104">
        <f t="shared" si="39"/>
        <v>650</v>
      </c>
      <c r="BL216" s="23" t="s">
        <v>446</v>
      </c>
      <c r="BM216" s="101" t="s">
        <v>5166</v>
      </c>
    </row>
    <row r="217" spans="2:65" s="1" customFormat="1" ht="24.15" customHeight="1">
      <c r="B217" s="12"/>
      <c r="C217" s="71" t="s">
        <v>895</v>
      </c>
      <c r="D217" s="71" t="s">
        <v>214</v>
      </c>
      <c r="E217" s="72" t="s">
        <v>5167</v>
      </c>
      <c r="F217" s="73" t="s">
        <v>5168</v>
      </c>
      <c r="G217" s="74" t="s">
        <v>444</v>
      </c>
      <c r="H217" s="75">
        <v>12760</v>
      </c>
      <c r="I217" s="90">
        <v>35</v>
      </c>
      <c r="J217" s="91">
        <f t="shared" si="30"/>
        <v>446600</v>
      </c>
      <c r="K217" s="92"/>
      <c r="L217" s="12"/>
      <c r="M217" s="93" t="s">
        <v>1</v>
      </c>
      <c r="N217" s="94" t="s">
        <v>43</v>
      </c>
      <c r="P217" s="95">
        <f t="shared" si="31"/>
        <v>0</v>
      </c>
      <c r="Q217" s="95">
        <v>0</v>
      </c>
      <c r="R217" s="95">
        <f t="shared" si="32"/>
        <v>0</v>
      </c>
      <c r="S217" s="95">
        <v>0</v>
      </c>
      <c r="T217" s="99">
        <f t="shared" si="33"/>
        <v>0</v>
      </c>
      <c r="AR217" s="101" t="s">
        <v>446</v>
      </c>
      <c r="AT217" s="101" t="s">
        <v>214</v>
      </c>
      <c r="AU217" s="101" t="s">
        <v>87</v>
      </c>
      <c r="AY217" s="23" t="s">
        <v>211</v>
      </c>
      <c r="BE217" s="104">
        <f t="shared" si="34"/>
        <v>0</v>
      </c>
      <c r="BF217" s="104">
        <f t="shared" si="35"/>
        <v>446600</v>
      </c>
      <c r="BG217" s="104">
        <f t="shared" si="36"/>
        <v>0</v>
      </c>
      <c r="BH217" s="104">
        <f t="shared" si="37"/>
        <v>0</v>
      </c>
      <c r="BI217" s="104">
        <f t="shared" si="38"/>
        <v>0</v>
      </c>
      <c r="BJ217" s="23" t="s">
        <v>87</v>
      </c>
      <c r="BK217" s="104">
        <f t="shared" si="39"/>
        <v>446600</v>
      </c>
      <c r="BL217" s="23" t="s">
        <v>446</v>
      </c>
      <c r="BM217" s="101" t="s">
        <v>5169</v>
      </c>
    </row>
    <row r="218" spans="2:65" s="1" customFormat="1" ht="21.75" customHeight="1">
      <c r="B218" s="12"/>
      <c r="C218" s="114" t="s">
        <v>905</v>
      </c>
      <c r="D218" s="114" t="s">
        <v>438</v>
      </c>
      <c r="E218" s="115" t="s">
        <v>5170</v>
      </c>
      <c r="F218" s="116" t="s">
        <v>5171</v>
      </c>
      <c r="G218" s="117" t="s">
        <v>444</v>
      </c>
      <c r="H218" s="118">
        <v>13663</v>
      </c>
      <c r="I218" s="122">
        <v>19</v>
      </c>
      <c r="J218" s="123">
        <f t="shared" si="30"/>
        <v>259597</v>
      </c>
      <c r="K218" s="124"/>
      <c r="L218" s="125"/>
      <c r="M218" s="126" t="s">
        <v>1</v>
      </c>
      <c r="N218" s="127" t="s">
        <v>43</v>
      </c>
      <c r="P218" s="95">
        <f t="shared" si="31"/>
        <v>0</v>
      </c>
      <c r="Q218" s="95">
        <v>1.6000000000000001E-4</v>
      </c>
      <c r="R218" s="95">
        <f t="shared" si="32"/>
        <v>2.18608</v>
      </c>
      <c r="S218" s="95">
        <v>0</v>
      </c>
      <c r="T218" s="99">
        <f t="shared" si="33"/>
        <v>0</v>
      </c>
      <c r="AR218" s="101" t="s">
        <v>527</v>
      </c>
      <c r="AT218" s="101" t="s">
        <v>438</v>
      </c>
      <c r="AU218" s="101" t="s">
        <v>87</v>
      </c>
      <c r="AY218" s="23" t="s">
        <v>211</v>
      </c>
      <c r="BE218" s="104">
        <f t="shared" si="34"/>
        <v>0</v>
      </c>
      <c r="BF218" s="104">
        <f t="shared" si="35"/>
        <v>259597</v>
      </c>
      <c r="BG218" s="104">
        <f t="shared" si="36"/>
        <v>0</v>
      </c>
      <c r="BH218" s="104">
        <f t="shared" si="37"/>
        <v>0</v>
      </c>
      <c r="BI218" s="104">
        <f t="shared" si="38"/>
        <v>0</v>
      </c>
      <c r="BJ218" s="23" t="s">
        <v>87</v>
      </c>
      <c r="BK218" s="104">
        <f t="shared" si="39"/>
        <v>259597</v>
      </c>
      <c r="BL218" s="23" t="s">
        <v>446</v>
      </c>
      <c r="BM218" s="101" t="s">
        <v>5172</v>
      </c>
    </row>
    <row r="219" spans="2:65" s="113" customFormat="1">
      <c r="B219" s="119"/>
      <c r="D219" s="105" t="s">
        <v>365</v>
      </c>
      <c r="F219" s="120" t="s">
        <v>5173</v>
      </c>
      <c r="H219" s="121">
        <v>13663</v>
      </c>
      <c r="I219" s="128"/>
      <c r="L219" s="119"/>
      <c r="M219" s="129"/>
      <c r="T219" s="133"/>
      <c r="AT219" s="135" t="s">
        <v>365</v>
      </c>
      <c r="AU219" s="135" t="s">
        <v>87</v>
      </c>
      <c r="AV219" s="113" t="s">
        <v>87</v>
      </c>
      <c r="AW219" s="113" t="s">
        <v>4</v>
      </c>
      <c r="AX219" s="113" t="s">
        <v>85</v>
      </c>
      <c r="AY219" s="135" t="s">
        <v>211</v>
      </c>
    </row>
    <row r="220" spans="2:65" s="1" customFormat="1" ht="21.75" customHeight="1">
      <c r="B220" s="12"/>
      <c r="C220" s="114" t="s">
        <v>913</v>
      </c>
      <c r="D220" s="114" t="s">
        <v>438</v>
      </c>
      <c r="E220" s="115" t="s">
        <v>5174</v>
      </c>
      <c r="F220" s="116" t="s">
        <v>5175</v>
      </c>
      <c r="G220" s="117" t="s">
        <v>444</v>
      </c>
      <c r="H220" s="118">
        <v>2925</v>
      </c>
      <c r="I220" s="122">
        <v>31</v>
      </c>
      <c r="J220" s="123">
        <f>ROUND(I220*H220,2)</f>
        <v>90675</v>
      </c>
      <c r="K220" s="124"/>
      <c r="L220" s="125"/>
      <c r="M220" s="126" t="s">
        <v>1</v>
      </c>
      <c r="N220" s="127" t="s">
        <v>43</v>
      </c>
      <c r="P220" s="95">
        <f>O220*H220</f>
        <v>0</v>
      </c>
      <c r="Q220" s="95">
        <v>2.5000000000000001E-4</v>
      </c>
      <c r="R220" s="95">
        <f>Q220*H220</f>
        <v>0.73124999999999996</v>
      </c>
      <c r="S220" s="95">
        <v>0</v>
      </c>
      <c r="T220" s="99">
        <f>S220*H220</f>
        <v>0</v>
      </c>
      <c r="AR220" s="101" t="s">
        <v>527</v>
      </c>
      <c r="AT220" s="101" t="s">
        <v>438</v>
      </c>
      <c r="AU220" s="101" t="s">
        <v>87</v>
      </c>
      <c r="AY220" s="23" t="s">
        <v>211</v>
      </c>
      <c r="BE220" s="104">
        <f>IF(N220="základní",J220,0)</f>
        <v>0</v>
      </c>
      <c r="BF220" s="104">
        <f>IF(N220="snížená",J220,0)</f>
        <v>90675</v>
      </c>
      <c r="BG220" s="104">
        <f>IF(N220="zákl. přenesená",J220,0)</f>
        <v>0</v>
      </c>
      <c r="BH220" s="104">
        <f>IF(N220="sníž. přenesená",J220,0)</f>
        <v>0</v>
      </c>
      <c r="BI220" s="104">
        <f>IF(N220="nulová",J220,0)</f>
        <v>0</v>
      </c>
      <c r="BJ220" s="23" t="s">
        <v>87</v>
      </c>
      <c r="BK220" s="104">
        <f>ROUND(I220*H220,2)</f>
        <v>90675</v>
      </c>
      <c r="BL220" s="23" t="s">
        <v>446</v>
      </c>
      <c r="BM220" s="101" t="s">
        <v>5176</v>
      </c>
    </row>
    <row r="221" spans="2:65" s="113" customFormat="1">
      <c r="B221" s="119"/>
      <c r="D221" s="105" t="s">
        <v>365</v>
      </c>
      <c r="F221" s="120" t="s">
        <v>5177</v>
      </c>
      <c r="H221" s="121">
        <v>2925</v>
      </c>
      <c r="I221" s="128"/>
      <c r="L221" s="119"/>
      <c r="M221" s="129"/>
      <c r="T221" s="133"/>
      <c r="AT221" s="135" t="s">
        <v>365</v>
      </c>
      <c r="AU221" s="135" t="s">
        <v>87</v>
      </c>
      <c r="AV221" s="113" t="s">
        <v>87</v>
      </c>
      <c r="AW221" s="113" t="s">
        <v>4</v>
      </c>
      <c r="AX221" s="113" t="s">
        <v>85</v>
      </c>
      <c r="AY221" s="135" t="s">
        <v>211</v>
      </c>
    </row>
    <row r="222" spans="2:65" s="1" customFormat="1" ht="33" customHeight="1">
      <c r="B222" s="12"/>
      <c r="C222" s="71" t="s">
        <v>919</v>
      </c>
      <c r="D222" s="71" t="s">
        <v>214</v>
      </c>
      <c r="E222" s="72" t="s">
        <v>5178</v>
      </c>
      <c r="F222" s="73" t="s">
        <v>5179</v>
      </c>
      <c r="G222" s="74" t="s">
        <v>444</v>
      </c>
      <c r="H222" s="75">
        <v>44190</v>
      </c>
      <c r="I222" s="90">
        <v>29</v>
      </c>
      <c r="J222" s="91">
        <f>ROUND(I222*H222,2)</f>
        <v>1281510</v>
      </c>
      <c r="K222" s="92"/>
      <c r="L222" s="12"/>
      <c r="M222" s="93" t="s">
        <v>1</v>
      </c>
      <c r="N222" s="94" t="s">
        <v>43</v>
      </c>
      <c r="P222" s="95">
        <f>O222*H222</f>
        <v>0</v>
      </c>
      <c r="Q222" s="95">
        <v>0</v>
      </c>
      <c r="R222" s="95">
        <f>Q222*H222</f>
        <v>0</v>
      </c>
      <c r="S222" s="95">
        <v>0</v>
      </c>
      <c r="T222" s="99">
        <f>S222*H222</f>
        <v>0</v>
      </c>
      <c r="AR222" s="101" t="s">
        <v>446</v>
      </c>
      <c r="AT222" s="101" t="s">
        <v>214</v>
      </c>
      <c r="AU222" s="101" t="s">
        <v>87</v>
      </c>
      <c r="AY222" s="23" t="s">
        <v>211</v>
      </c>
      <c r="BE222" s="104">
        <f>IF(N222="základní",J222,0)</f>
        <v>0</v>
      </c>
      <c r="BF222" s="104">
        <f>IF(N222="snížená",J222,0)</f>
        <v>1281510</v>
      </c>
      <c r="BG222" s="104">
        <f>IF(N222="zákl. přenesená",J222,0)</f>
        <v>0</v>
      </c>
      <c r="BH222" s="104">
        <f>IF(N222="sníž. přenesená",J222,0)</f>
        <v>0</v>
      </c>
      <c r="BI222" s="104">
        <f>IF(N222="nulová",J222,0)</f>
        <v>0</v>
      </c>
      <c r="BJ222" s="23" t="s">
        <v>87</v>
      </c>
      <c r="BK222" s="104">
        <f>ROUND(I222*H222,2)</f>
        <v>1281510</v>
      </c>
      <c r="BL222" s="23" t="s">
        <v>446</v>
      </c>
      <c r="BM222" s="101" t="s">
        <v>5180</v>
      </c>
    </row>
    <row r="223" spans="2:65" s="1" customFormat="1" ht="21.75" customHeight="1">
      <c r="B223" s="12"/>
      <c r="C223" s="114" t="s">
        <v>927</v>
      </c>
      <c r="D223" s="114" t="s">
        <v>438</v>
      </c>
      <c r="E223" s="115" t="s">
        <v>5181</v>
      </c>
      <c r="F223" s="116" t="s">
        <v>5182</v>
      </c>
      <c r="G223" s="117" t="s">
        <v>444</v>
      </c>
      <c r="H223" s="118">
        <v>21240</v>
      </c>
      <c r="I223" s="122">
        <v>11</v>
      </c>
      <c r="J223" s="123">
        <f>ROUND(I223*H223,2)</f>
        <v>233640</v>
      </c>
      <c r="K223" s="124"/>
      <c r="L223" s="125"/>
      <c r="M223" s="126" t="s">
        <v>1</v>
      </c>
      <c r="N223" s="127" t="s">
        <v>43</v>
      </c>
      <c r="P223" s="95">
        <f>O223*H223</f>
        <v>0</v>
      </c>
      <c r="Q223" s="95">
        <v>1.2E-4</v>
      </c>
      <c r="R223" s="95">
        <f>Q223*H223</f>
        <v>2.5488</v>
      </c>
      <c r="S223" s="95">
        <v>0</v>
      </c>
      <c r="T223" s="99">
        <f>S223*H223</f>
        <v>0</v>
      </c>
      <c r="AR223" s="101" t="s">
        <v>527</v>
      </c>
      <c r="AT223" s="101" t="s">
        <v>438</v>
      </c>
      <c r="AU223" s="101" t="s">
        <v>87</v>
      </c>
      <c r="AY223" s="23" t="s">
        <v>211</v>
      </c>
      <c r="BE223" s="104">
        <f>IF(N223="základní",J223,0)</f>
        <v>0</v>
      </c>
      <c r="BF223" s="104">
        <f>IF(N223="snížená",J223,0)</f>
        <v>233640</v>
      </c>
      <c r="BG223" s="104">
        <f>IF(N223="zákl. přenesená",J223,0)</f>
        <v>0</v>
      </c>
      <c r="BH223" s="104">
        <f>IF(N223="sníž. přenesená",J223,0)</f>
        <v>0</v>
      </c>
      <c r="BI223" s="104">
        <f>IF(N223="nulová",J223,0)</f>
        <v>0</v>
      </c>
      <c r="BJ223" s="23" t="s">
        <v>87</v>
      </c>
      <c r="BK223" s="104">
        <f>ROUND(I223*H223,2)</f>
        <v>233640</v>
      </c>
      <c r="BL223" s="23" t="s">
        <v>446</v>
      </c>
      <c r="BM223" s="101" t="s">
        <v>5183</v>
      </c>
    </row>
    <row r="224" spans="2:65" s="113" customFormat="1">
      <c r="B224" s="119"/>
      <c r="D224" s="105" t="s">
        <v>365</v>
      </c>
      <c r="F224" s="120" t="s">
        <v>5184</v>
      </c>
      <c r="H224" s="121">
        <v>21240</v>
      </c>
      <c r="I224" s="128"/>
      <c r="L224" s="119"/>
      <c r="M224" s="129"/>
      <c r="T224" s="133"/>
      <c r="AT224" s="135" t="s">
        <v>365</v>
      </c>
      <c r="AU224" s="135" t="s">
        <v>87</v>
      </c>
      <c r="AV224" s="113" t="s">
        <v>87</v>
      </c>
      <c r="AW224" s="113" t="s">
        <v>4</v>
      </c>
      <c r="AX224" s="113" t="s">
        <v>85</v>
      </c>
      <c r="AY224" s="135" t="s">
        <v>211</v>
      </c>
    </row>
    <row r="225" spans="2:65" s="1" customFormat="1" ht="21.75" customHeight="1">
      <c r="B225" s="12"/>
      <c r="C225" s="114" t="s">
        <v>935</v>
      </c>
      <c r="D225" s="114" t="s">
        <v>438</v>
      </c>
      <c r="E225" s="115" t="s">
        <v>5185</v>
      </c>
      <c r="F225" s="116" t="s">
        <v>5186</v>
      </c>
      <c r="G225" s="117" t="s">
        <v>444</v>
      </c>
      <c r="H225" s="118">
        <v>31788</v>
      </c>
      <c r="I225" s="122">
        <v>20</v>
      </c>
      <c r="J225" s="123">
        <f>ROUND(I225*H225,2)</f>
        <v>635760</v>
      </c>
      <c r="K225" s="124"/>
      <c r="L225" s="125"/>
      <c r="M225" s="126" t="s">
        <v>1</v>
      </c>
      <c r="N225" s="127" t="s">
        <v>43</v>
      </c>
      <c r="P225" s="95">
        <f>O225*H225</f>
        <v>0</v>
      </c>
      <c r="Q225" s="95">
        <v>1.7000000000000001E-4</v>
      </c>
      <c r="R225" s="95">
        <f>Q225*H225</f>
        <v>5.4039599999999997</v>
      </c>
      <c r="S225" s="95">
        <v>0</v>
      </c>
      <c r="T225" s="99">
        <f>S225*H225</f>
        <v>0</v>
      </c>
      <c r="AR225" s="101" t="s">
        <v>527</v>
      </c>
      <c r="AT225" s="101" t="s">
        <v>438</v>
      </c>
      <c r="AU225" s="101" t="s">
        <v>87</v>
      </c>
      <c r="AY225" s="23" t="s">
        <v>211</v>
      </c>
      <c r="BE225" s="104">
        <f>IF(N225="základní",J225,0)</f>
        <v>0</v>
      </c>
      <c r="BF225" s="104">
        <f>IF(N225="snížená",J225,0)</f>
        <v>635760</v>
      </c>
      <c r="BG225" s="104">
        <f>IF(N225="zákl. přenesená",J225,0)</f>
        <v>0</v>
      </c>
      <c r="BH225" s="104">
        <f>IF(N225="sníž. přenesená",J225,0)</f>
        <v>0</v>
      </c>
      <c r="BI225" s="104">
        <f>IF(N225="nulová",J225,0)</f>
        <v>0</v>
      </c>
      <c r="BJ225" s="23" t="s">
        <v>87</v>
      </c>
      <c r="BK225" s="104">
        <f>ROUND(I225*H225,2)</f>
        <v>635760</v>
      </c>
      <c r="BL225" s="23" t="s">
        <v>446</v>
      </c>
      <c r="BM225" s="101" t="s">
        <v>5187</v>
      </c>
    </row>
    <row r="226" spans="2:65" s="113" customFormat="1">
      <c r="B226" s="119"/>
      <c r="D226" s="105" t="s">
        <v>365</v>
      </c>
      <c r="F226" s="120" t="s">
        <v>5188</v>
      </c>
      <c r="H226" s="121">
        <v>31788</v>
      </c>
      <c r="I226" s="128"/>
      <c r="L226" s="119"/>
      <c r="M226" s="129"/>
      <c r="T226" s="133"/>
      <c r="AT226" s="135" t="s">
        <v>365</v>
      </c>
      <c r="AU226" s="135" t="s">
        <v>87</v>
      </c>
      <c r="AV226" s="113" t="s">
        <v>87</v>
      </c>
      <c r="AW226" s="113" t="s">
        <v>4</v>
      </c>
      <c r="AX226" s="113" t="s">
        <v>85</v>
      </c>
      <c r="AY226" s="135" t="s">
        <v>211</v>
      </c>
    </row>
    <row r="227" spans="2:65" s="1" customFormat="1" ht="24.15" customHeight="1">
      <c r="B227" s="12"/>
      <c r="C227" s="71" t="s">
        <v>942</v>
      </c>
      <c r="D227" s="71" t="s">
        <v>214</v>
      </c>
      <c r="E227" s="72" t="s">
        <v>5189</v>
      </c>
      <c r="F227" s="73" t="s">
        <v>5190</v>
      </c>
      <c r="G227" s="74" t="s">
        <v>444</v>
      </c>
      <c r="H227" s="75">
        <v>320</v>
      </c>
      <c r="I227" s="90">
        <v>44</v>
      </c>
      <c r="J227" s="91">
        <f>ROUND(I227*H227,2)</f>
        <v>14080</v>
      </c>
      <c r="K227" s="92"/>
      <c r="L227" s="12"/>
      <c r="M227" s="93" t="s">
        <v>1</v>
      </c>
      <c r="N227" s="94" t="s">
        <v>43</v>
      </c>
      <c r="P227" s="95">
        <f>O227*H227</f>
        <v>0</v>
      </c>
      <c r="Q227" s="95">
        <v>0</v>
      </c>
      <c r="R227" s="95">
        <f>Q227*H227</f>
        <v>0</v>
      </c>
      <c r="S227" s="95">
        <v>0</v>
      </c>
      <c r="T227" s="99">
        <f>S227*H227</f>
        <v>0</v>
      </c>
      <c r="AR227" s="101" t="s">
        <v>446</v>
      </c>
      <c r="AT227" s="101" t="s">
        <v>214</v>
      </c>
      <c r="AU227" s="101" t="s">
        <v>87</v>
      </c>
      <c r="AY227" s="23" t="s">
        <v>211</v>
      </c>
      <c r="BE227" s="104">
        <f>IF(N227="základní",J227,0)</f>
        <v>0</v>
      </c>
      <c r="BF227" s="104">
        <f>IF(N227="snížená",J227,0)</f>
        <v>14080</v>
      </c>
      <c r="BG227" s="104">
        <f>IF(N227="zákl. přenesená",J227,0)</f>
        <v>0</v>
      </c>
      <c r="BH227" s="104">
        <f>IF(N227="sníž. přenesená",J227,0)</f>
        <v>0</v>
      </c>
      <c r="BI227" s="104">
        <f>IF(N227="nulová",J227,0)</f>
        <v>0</v>
      </c>
      <c r="BJ227" s="23" t="s">
        <v>87</v>
      </c>
      <c r="BK227" s="104">
        <f>ROUND(I227*H227,2)</f>
        <v>14080</v>
      </c>
      <c r="BL227" s="23" t="s">
        <v>446</v>
      </c>
      <c r="BM227" s="101" t="s">
        <v>5191</v>
      </c>
    </row>
    <row r="228" spans="2:65" s="1" customFormat="1" ht="16.5" customHeight="1">
      <c r="B228" s="12"/>
      <c r="C228" s="114" t="s">
        <v>950</v>
      </c>
      <c r="D228" s="114" t="s">
        <v>438</v>
      </c>
      <c r="E228" s="115" t="s">
        <v>5192</v>
      </c>
      <c r="F228" s="116" t="s">
        <v>5193</v>
      </c>
      <c r="G228" s="117" t="s">
        <v>444</v>
      </c>
      <c r="H228" s="118">
        <v>384</v>
      </c>
      <c r="I228" s="122">
        <v>50</v>
      </c>
      <c r="J228" s="123">
        <f>ROUND(I228*H228,2)</f>
        <v>19200</v>
      </c>
      <c r="K228" s="124"/>
      <c r="L228" s="125"/>
      <c r="M228" s="126" t="s">
        <v>1</v>
      </c>
      <c r="N228" s="127" t="s">
        <v>43</v>
      </c>
      <c r="P228" s="95">
        <f>O228*H228</f>
        <v>0</v>
      </c>
      <c r="Q228" s="95">
        <v>3.4000000000000002E-4</v>
      </c>
      <c r="R228" s="95">
        <f>Q228*H228</f>
        <v>0.13056000000000001</v>
      </c>
      <c r="S228" s="95">
        <v>0</v>
      </c>
      <c r="T228" s="99">
        <f>S228*H228</f>
        <v>0</v>
      </c>
      <c r="AR228" s="101" t="s">
        <v>527</v>
      </c>
      <c r="AT228" s="101" t="s">
        <v>438</v>
      </c>
      <c r="AU228" s="101" t="s">
        <v>87</v>
      </c>
      <c r="AY228" s="23" t="s">
        <v>211</v>
      </c>
      <c r="BE228" s="104">
        <f>IF(N228="základní",J228,0)</f>
        <v>0</v>
      </c>
      <c r="BF228" s="104">
        <f>IF(N228="snížená",J228,0)</f>
        <v>19200</v>
      </c>
      <c r="BG228" s="104">
        <f>IF(N228="zákl. přenesená",J228,0)</f>
        <v>0</v>
      </c>
      <c r="BH228" s="104">
        <f>IF(N228="sníž. přenesená",J228,0)</f>
        <v>0</v>
      </c>
      <c r="BI228" s="104">
        <f>IF(N228="nulová",J228,0)</f>
        <v>0</v>
      </c>
      <c r="BJ228" s="23" t="s">
        <v>87</v>
      </c>
      <c r="BK228" s="104">
        <f>ROUND(I228*H228,2)</f>
        <v>19200</v>
      </c>
      <c r="BL228" s="23" t="s">
        <v>446</v>
      </c>
      <c r="BM228" s="101" t="s">
        <v>5194</v>
      </c>
    </row>
    <row r="229" spans="2:65" s="113" customFormat="1">
      <c r="B229" s="119"/>
      <c r="D229" s="105" t="s">
        <v>365</v>
      </c>
      <c r="F229" s="120" t="s">
        <v>5195</v>
      </c>
      <c r="H229" s="121">
        <v>384</v>
      </c>
      <c r="I229" s="128"/>
      <c r="L229" s="119"/>
      <c r="M229" s="129"/>
      <c r="T229" s="133"/>
      <c r="AT229" s="135" t="s">
        <v>365</v>
      </c>
      <c r="AU229" s="135" t="s">
        <v>87</v>
      </c>
      <c r="AV229" s="113" t="s">
        <v>87</v>
      </c>
      <c r="AW229" s="113" t="s">
        <v>4</v>
      </c>
      <c r="AX229" s="113" t="s">
        <v>85</v>
      </c>
      <c r="AY229" s="135" t="s">
        <v>211</v>
      </c>
    </row>
    <row r="230" spans="2:65" s="1" customFormat="1" ht="24.15" customHeight="1">
      <c r="B230" s="12"/>
      <c r="C230" s="71" t="s">
        <v>958</v>
      </c>
      <c r="D230" s="71" t="s">
        <v>214</v>
      </c>
      <c r="E230" s="72" t="s">
        <v>5196</v>
      </c>
      <c r="F230" s="73" t="s">
        <v>5197</v>
      </c>
      <c r="G230" s="74" t="s">
        <v>444</v>
      </c>
      <c r="H230" s="75">
        <v>1200</v>
      </c>
      <c r="I230" s="90">
        <v>46</v>
      </c>
      <c r="J230" s="91">
        <f>ROUND(I230*H230,2)</f>
        <v>55200</v>
      </c>
      <c r="K230" s="92"/>
      <c r="L230" s="12"/>
      <c r="M230" s="93" t="s">
        <v>1</v>
      </c>
      <c r="N230" s="94" t="s">
        <v>43</v>
      </c>
      <c r="P230" s="95">
        <f>O230*H230</f>
        <v>0</v>
      </c>
      <c r="Q230" s="95">
        <v>0</v>
      </c>
      <c r="R230" s="95">
        <f>Q230*H230</f>
        <v>0</v>
      </c>
      <c r="S230" s="95">
        <v>0</v>
      </c>
      <c r="T230" s="99">
        <f>S230*H230</f>
        <v>0</v>
      </c>
      <c r="AR230" s="101" t="s">
        <v>446</v>
      </c>
      <c r="AT230" s="101" t="s">
        <v>214</v>
      </c>
      <c r="AU230" s="101" t="s">
        <v>87</v>
      </c>
      <c r="AY230" s="23" t="s">
        <v>211</v>
      </c>
      <c r="BE230" s="104">
        <f>IF(N230="základní",J230,0)</f>
        <v>0</v>
      </c>
      <c r="BF230" s="104">
        <f>IF(N230="snížená",J230,0)</f>
        <v>55200</v>
      </c>
      <c r="BG230" s="104">
        <f>IF(N230="zákl. přenesená",J230,0)</f>
        <v>0</v>
      </c>
      <c r="BH230" s="104">
        <f>IF(N230="sníž. přenesená",J230,0)</f>
        <v>0</v>
      </c>
      <c r="BI230" s="104">
        <f>IF(N230="nulová",J230,0)</f>
        <v>0</v>
      </c>
      <c r="BJ230" s="23" t="s">
        <v>87</v>
      </c>
      <c r="BK230" s="104">
        <f>ROUND(I230*H230,2)</f>
        <v>55200</v>
      </c>
      <c r="BL230" s="23" t="s">
        <v>446</v>
      </c>
      <c r="BM230" s="101" t="s">
        <v>5198</v>
      </c>
    </row>
    <row r="231" spans="2:65" s="1" customFormat="1" ht="16.5" customHeight="1">
      <c r="B231" s="12"/>
      <c r="C231" s="114" t="s">
        <v>963</v>
      </c>
      <c r="D231" s="114" t="s">
        <v>438</v>
      </c>
      <c r="E231" s="115" t="s">
        <v>5199</v>
      </c>
      <c r="F231" s="116" t="s">
        <v>5200</v>
      </c>
      <c r="G231" s="117" t="s">
        <v>444</v>
      </c>
      <c r="H231" s="118">
        <v>1560</v>
      </c>
      <c r="I231" s="122">
        <v>150</v>
      </c>
      <c r="J231" s="123">
        <f>ROUND(I231*H231,2)</f>
        <v>234000</v>
      </c>
      <c r="K231" s="124"/>
      <c r="L231" s="125"/>
      <c r="M231" s="126" t="s">
        <v>1</v>
      </c>
      <c r="N231" s="127" t="s">
        <v>43</v>
      </c>
      <c r="P231" s="95">
        <f>O231*H231</f>
        <v>0</v>
      </c>
      <c r="Q231" s="95">
        <v>6.3000000000000003E-4</v>
      </c>
      <c r="R231" s="95">
        <f>Q231*H231</f>
        <v>0.98280000000000001</v>
      </c>
      <c r="S231" s="95">
        <v>0</v>
      </c>
      <c r="T231" s="99">
        <f>S231*H231</f>
        <v>0</v>
      </c>
      <c r="AR231" s="101" t="s">
        <v>527</v>
      </c>
      <c r="AT231" s="101" t="s">
        <v>438</v>
      </c>
      <c r="AU231" s="101" t="s">
        <v>87</v>
      </c>
      <c r="AY231" s="23" t="s">
        <v>211</v>
      </c>
      <c r="BE231" s="104">
        <f>IF(N231="základní",J231,0)</f>
        <v>0</v>
      </c>
      <c r="BF231" s="104">
        <f>IF(N231="snížená",J231,0)</f>
        <v>234000</v>
      </c>
      <c r="BG231" s="104">
        <f>IF(N231="zákl. přenesená",J231,0)</f>
        <v>0</v>
      </c>
      <c r="BH231" s="104">
        <f>IF(N231="sníž. přenesená",J231,0)</f>
        <v>0</v>
      </c>
      <c r="BI231" s="104">
        <f>IF(N231="nulová",J231,0)</f>
        <v>0</v>
      </c>
      <c r="BJ231" s="23" t="s">
        <v>87</v>
      </c>
      <c r="BK231" s="104">
        <f>ROUND(I231*H231,2)</f>
        <v>234000</v>
      </c>
      <c r="BL231" s="23" t="s">
        <v>446</v>
      </c>
      <c r="BM231" s="101" t="s">
        <v>5201</v>
      </c>
    </row>
    <row r="232" spans="2:65" s="113" customFormat="1">
      <c r="B232" s="119"/>
      <c r="D232" s="105" t="s">
        <v>365</v>
      </c>
      <c r="F232" s="120" t="s">
        <v>5202</v>
      </c>
      <c r="H232" s="121">
        <v>1560</v>
      </c>
      <c r="I232" s="128"/>
      <c r="L232" s="119"/>
      <c r="M232" s="129"/>
      <c r="T232" s="133"/>
      <c r="AT232" s="135" t="s">
        <v>365</v>
      </c>
      <c r="AU232" s="135" t="s">
        <v>87</v>
      </c>
      <c r="AV232" s="113" t="s">
        <v>87</v>
      </c>
      <c r="AW232" s="113" t="s">
        <v>4</v>
      </c>
      <c r="AX232" s="113" t="s">
        <v>85</v>
      </c>
      <c r="AY232" s="135" t="s">
        <v>211</v>
      </c>
    </row>
    <row r="233" spans="2:65" s="1" customFormat="1" ht="24.15" customHeight="1">
      <c r="B233" s="12"/>
      <c r="C233" s="71" t="s">
        <v>968</v>
      </c>
      <c r="D233" s="71" t="s">
        <v>214</v>
      </c>
      <c r="E233" s="72" t="s">
        <v>5203</v>
      </c>
      <c r="F233" s="73" t="s">
        <v>5204</v>
      </c>
      <c r="G233" s="74" t="s">
        <v>444</v>
      </c>
      <c r="H233" s="75">
        <v>50</v>
      </c>
      <c r="I233" s="90">
        <v>60</v>
      </c>
      <c r="J233" s="91">
        <f>ROUND(I233*H233,2)</f>
        <v>3000</v>
      </c>
      <c r="K233" s="92"/>
      <c r="L233" s="12"/>
      <c r="M233" s="93" t="s">
        <v>1</v>
      </c>
      <c r="N233" s="94" t="s">
        <v>43</v>
      </c>
      <c r="P233" s="95">
        <f>O233*H233</f>
        <v>0</v>
      </c>
      <c r="Q233" s="95">
        <v>0</v>
      </c>
      <c r="R233" s="95">
        <f>Q233*H233</f>
        <v>0</v>
      </c>
      <c r="S233" s="95">
        <v>0</v>
      </c>
      <c r="T233" s="99">
        <f>S233*H233</f>
        <v>0</v>
      </c>
      <c r="AR233" s="101" t="s">
        <v>446</v>
      </c>
      <c r="AT233" s="101" t="s">
        <v>214</v>
      </c>
      <c r="AU233" s="101" t="s">
        <v>87</v>
      </c>
      <c r="AY233" s="23" t="s">
        <v>211</v>
      </c>
      <c r="BE233" s="104">
        <f>IF(N233="základní",J233,0)</f>
        <v>0</v>
      </c>
      <c r="BF233" s="104">
        <f>IF(N233="snížená",J233,0)</f>
        <v>3000</v>
      </c>
      <c r="BG233" s="104">
        <f>IF(N233="zákl. přenesená",J233,0)</f>
        <v>0</v>
      </c>
      <c r="BH233" s="104">
        <f>IF(N233="sníž. přenesená",J233,0)</f>
        <v>0</v>
      </c>
      <c r="BI233" s="104">
        <f>IF(N233="nulová",J233,0)</f>
        <v>0</v>
      </c>
      <c r="BJ233" s="23" t="s">
        <v>87</v>
      </c>
      <c r="BK233" s="104">
        <f>ROUND(I233*H233,2)</f>
        <v>3000</v>
      </c>
      <c r="BL233" s="23" t="s">
        <v>446</v>
      </c>
      <c r="BM233" s="101" t="s">
        <v>5205</v>
      </c>
    </row>
    <row r="234" spans="2:65" s="1" customFormat="1" ht="21.75" customHeight="1">
      <c r="B234" s="12"/>
      <c r="C234" s="114" t="s">
        <v>993</v>
      </c>
      <c r="D234" s="114" t="s">
        <v>438</v>
      </c>
      <c r="E234" s="115" t="s">
        <v>5206</v>
      </c>
      <c r="F234" s="116" t="s">
        <v>5207</v>
      </c>
      <c r="G234" s="117" t="s">
        <v>444</v>
      </c>
      <c r="H234" s="118">
        <v>60</v>
      </c>
      <c r="I234" s="122">
        <v>500</v>
      </c>
      <c r="J234" s="123">
        <f>ROUND(I234*H234,2)</f>
        <v>30000</v>
      </c>
      <c r="K234" s="124"/>
      <c r="L234" s="125"/>
      <c r="M234" s="126" t="s">
        <v>1</v>
      </c>
      <c r="N234" s="127" t="s">
        <v>43</v>
      </c>
      <c r="P234" s="95">
        <f>O234*H234</f>
        <v>0</v>
      </c>
      <c r="Q234" s="95">
        <v>1.9400000000000001E-3</v>
      </c>
      <c r="R234" s="95">
        <f>Q234*H234</f>
        <v>0.1164</v>
      </c>
      <c r="S234" s="95">
        <v>0</v>
      </c>
      <c r="T234" s="99">
        <f>S234*H234</f>
        <v>0</v>
      </c>
      <c r="AR234" s="101" t="s">
        <v>527</v>
      </c>
      <c r="AT234" s="101" t="s">
        <v>438</v>
      </c>
      <c r="AU234" s="101" t="s">
        <v>87</v>
      </c>
      <c r="AY234" s="23" t="s">
        <v>211</v>
      </c>
      <c r="BE234" s="104">
        <f>IF(N234="základní",J234,0)</f>
        <v>0</v>
      </c>
      <c r="BF234" s="104">
        <f>IF(N234="snížená",J234,0)</f>
        <v>30000</v>
      </c>
      <c r="BG234" s="104">
        <f>IF(N234="zákl. přenesená",J234,0)</f>
        <v>0</v>
      </c>
      <c r="BH234" s="104">
        <f>IF(N234="sníž. přenesená",J234,0)</f>
        <v>0</v>
      </c>
      <c r="BI234" s="104">
        <f>IF(N234="nulová",J234,0)</f>
        <v>0</v>
      </c>
      <c r="BJ234" s="23" t="s">
        <v>87</v>
      </c>
      <c r="BK234" s="104">
        <f>ROUND(I234*H234,2)</f>
        <v>30000</v>
      </c>
      <c r="BL234" s="23" t="s">
        <v>446</v>
      </c>
      <c r="BM234" s="101" t="s">
        <v>5208</v>
      </c>
    </row>
    <row r="235" spans="2:65" s="113" customFormat="1">
      <c r="B235" s="119"/>
      <c r="D235" s="105" t="s">
        <v>365</v>
      </c>
      <c r="F235" s="120" t="s">
        <v>5209</v>
      </c>
      <c r="H235" s="121">
        <v>60</v>
      </c>
      <c r="I235" s="128"/>
      <c r="L235" s="119"/>
      <c r="M235" s="129"/>
      <c r="T235" s="133"/>
      <c r="AT235" s="135" t="s">
        <v>365</v>
      </c>
      <c r="AU235" s="135" t="s">
        <v>87</v>
      </c>
      <c r="AV235" s="113" t="s">
        <v>87</v>
      </c>
      <c r="AW235" s="113" t="s">
        <v>4</v>
      </c>
      <c r="AX235" s="113" t="s">
        <v>85</v>
      </c>
      <c r="AY235" s="135" t="s">
        <v>211</v>
      </c>
    </row>
    <row r="236" spans="2:65" s="1" customFormat="1" ht="24.15" customHeight="1">
      <c r="B236" s="12"/>
      <c r="C236" s="71" t="s">
        <v>997</v>
      </c>
      <c r="D236" s="71" t="s">
        <v>214</v>
      </c>
      <c r="E236" s="72" t="s">
        <v>5210</v>
      </c>
      <c r="F236" s="73" t="s">
        <v>5211</v>
      </c>
      <c r="G236" s="74" t="s">
        <v>444</v>
      </c>
      <c r="H236" s="75">
        <v>300</v>
      </c>
      <c r="I236" s="90">
        <v>60</v>
      </c>
      <c r="J236" s="91">
        <f>ROUND(I236*H236,2)</f>
        <v>18000</v>
      </c>
      <c r="K236" s="92"/>
      <c r="L236" s="12"/>
      <c r="M236" s="93" t="s">
        <v>1</v>
      </c>
      <c r="N236" s="94" t="s">
        <v>43</v>
      </c>
      <c r="P236" s="95">
        <f>O236*H236</f>
        <v>0</v>
      </c>
      <c r="Q236" s="95">
        <v>0</v>
      </c>
      <c r="R236" s="95">
        <f>Q236*H236</f>
        <v>0</v>
      </c>
      <c r="S236" s="95">
        <v>0</v>
      </c>
      <c r="T236" s="99">
        <f>S236*H236</f>
        <v>0</v>
      </c>
      <c r="AR236" s="101" t="s">
        <v>446</v>
      </c>
      <c r="AT236" s="101" t="s">
        <v>214</v>
      </c>
      <c r="AU236" s="101" t="s">
        <v>87</v>
      </c>
      <c r="AY236" s="23" t="s">
        <v>211</v>
      </c>
      <c r="BE236" s="104">
        <f>IF(N236="základní",J236,0)</f>
        <v>0</v>
      </c>
      <c r="BF236" s="104">
        <f>IF(N236="snížená",J236,0)</f>
        <v>18000</v>
      </c>
      <c r="BG236" s="104">
        <f>IF(N236="zákl. přenesená",J236,0)</f>
        <v>0</v>
      </c>
      <c r="BH236" s="104">
        <f>IF(N236="sníž. přenesená",J236,0)</f>
        <v>0</v>
      </c>
      <c r="BI236" s="104">
        <f>IF(N236="nulová",J236,0)</f>
        <v>0</v>
      </c>
      <c r="BJ236" s="23" t="s">
        <v>87</v>
      </c>
      <c r="BK236" s="104">
        <f>ROUND(I236*H236,2)</f>
        <v>18000</v>
      </c>
      <c r="BL236" s="23" t="s">
        <v>446</v>
      </c>
      <c r="BM236" s="101" t="s">
        <v>5212</v>
      </c>
    </row>
    <row r="237" spans="2:65" s="1" customFormat="1" ht="21.75" customHeight="1">
      <c r="B237" s="12"/>
      <c r="C237" s="114" t="s">
        <v>1001</v>
      </c>
      <c r="D237" s="114" t="s">
        <v>438</v>
      </c>
      <c r="E237" s="115" t="s">
        <v>5213</v>
      </c>
      <c r="F237" s="116" t="s">
        <v>5214</v>
      </c>
      <c r="G237" s="117" t="s">
        <v>444</v>
      </c>
      <c r="H237" s="118">
        <v>360</v>
      </c>
      <c r="I237" s="122">
        <v>250</v>
      </c>
      <c r="J237" s="123">
        <f>ROUND(I237*H237,2)</f>
        <v>90000</v>
      </c>
      <c r="K237" s="124"/>
      <c r="L237" s="125"/>
      <c r="M237" s="126" t="s">
        <v>1</v>
      </c>
      <c r="N237" s="127" t="s">
        <v>43</v>
      </c>
      <c r="P237" s="95">
        <f>O237*H237</f>
        <v>0</v>
      </c>
      <c r="Q237" s="95">
        <v>1.9400000000000001E-3</v>
      </c>
      <c r="R237" s="95">
        <f>Q237*H237</f>
        <v>0.69840000000000002</v>
      </c>
      <c r="S237" s="95">
        <v>0</v>
      </c>
      <c r="T237" s="99">
        <f>S237*H237</f>
        <v>0</v>
      </c>
      <c r="AR237" s="101" t="s">
        <v>527</v>
      </c>
      <c r="AT237" s="101" t="s">
        <v>438</v>
      </c>
      <c r="AU237" s="101" t="s">
        <v>87</v>
      </c>
      <c r="AY237" s="23" t="s">
        <v>211</v>
      </c>
      <c r="BE237" s="104">
        <f>IF(N237="základní",J237,0)</f>
        <v>0</v>
      </c>
      <c r="BF237" s="104">
        <f>IF(N237="snížená",J237,0)</f>
        <v>90000</v>
      </c>
      <c r="BG237" s="104">
        <f>IF(N237="zákl. přenesená",J237,0)</f>
        <v>0</v>
      </c>
      <c r="BH237" s="104">
        <f>IF(N237="sníž. přenesená",J237,0)</f>
        <v>0</v>
      </c>
      <c r="BI237" s="104">
        <f>IF(N237="nulová",J237,0)</f>
        <v>0</v>
      </c>
      <c r="BJ237" s="23" t="s">
        <v>87</v>
      </c>
      <c r="BK237" s="104">
        <f>ROUND(I237*H237,2)</f>
        <v>90000</v>
      </c>
      <c r="BL237" s="23" t="s">
        <v>446</v>
      </c>
      <c r="BM237" s="101" t="s">
        <v>5215</v>
      </c>
    </row>
    <row r="238" spans="2:65" s="113" customFormat="1">
      <c r="B238" s="119"/>
      <c r="D238" s="105" t="s">
        <v>365</v>
      </c>
      <c r="F238" s="120" t="s">
        <v>5216</v>
      </c>
      <c r="H238" s="121">
        <v>360</v>
      </c>
      <c r="I238" s="128"/>
      <c r="L238" s="119"/>
      <c r="M238" s="129"/>
      <c r="T238" s="133"/>
      <c r="AT238" s="135" t="s">
        <v>365</v>
      </c>
      <c r="AU238" s="135" t="s">
        <v>87</v>
      </c>
      <c r="AV238" s="113" t="s">
        <v>87</v>
      </c>
      <c r="AW238" s="113" t="s">
        <v>4</v>
      </c>
      <c r="AX238" s="113" t="s">
        <v>85</v>
      </c>
      <c r="AY238" s="135" t="s">
        <v>211</v>
      </c>
    </row>
    <row r="239" spans="2:65" s="1" customFormat="1" ht="24.15" customHeight="1">
      <c r="B239" s="12"/>
      <c r="C239" s="71" t="s">
        <v>1005</v>
      </c>
      <c r="D239" s="71" t="s">
        <v>214</v>
      </c>
      <c r="E239" s="72" t="s">
        <v>5217</v>
      </c>
      <c r="F239" s="73" t="s">
        <v>5218</v>
      </c>
      <c r="G239" s="74" t="s">
        <v>444</v>
      </c>
      <c r="H239" s="75">
        <v>50</v>
      </c>
      <c r="I239" s="90">
        <v>60</v>
      </c>
      <c r="J239" s="91">
        <f>ROUND(I239*H239,2)</f>
        <v>3000</v>
      </c>
      <c r="K239" s="92"/>
      <c r="L239" s="12"/>
      <c r="M239" s="93" t="s">
        <v>1</v>
      </c>
      <c r="N239" s="94" t="s">
        <v>43</v>
      </c>
      <c r="P239" s="95">
        <f>O239*H239</f>
        <v>0</v>
      </c>
      <c r="Q239" s="95">
        <v>0</v>
      </c>
      <c r="R239" s="95">
        <f>Q239*H239</f>
        <v>0</v>
      </c>
      <c r="S239" s="95">
        <v>0</v>
      </c>
      <c r="T239" s="99">
        <f>S239*H239</f>
        <v>0</v>
      </c>
      <c r="AR239" s="101" t="s">
        <v>446</v>
      </c>
      <c r="AT239" s="101" t="s">
        <v>214</v>
      </c>
      <c r="AU239" s="101" t="s">
        <v>87</v>
      </c>
      <c r="AY239" s="23" t="s">
        <v>211</v>
      </c>
      <c r="BE239" s="104">
        <f>IF(N239="základní",J239,0)</f>
        <v>0</v>
      </c>
      <c r="BF239" s="104">
        <f>IF(N239="snížená",J239,0)</f>
        <v>3000</v>
      </c>
      <c r="BG239" s="104">
        <f>IF(N239="zákl. přenesená",J239,0)</f>
        <v>0</v>
      </c>
      <c r="BH239" s="104">
        <f>IF(N239="sníž. přenesená",J239,0)</f>
        <v>0</v>
      </c>
      <c r="BI239" s="104">
        <f>IF(N239="nulová",J239,0)</f>
        <v>0</v>
      </c>
      <c r="BJ239" s="23" t="s">
        <v>87</v>
      </c>
      <c r="BK239" s="104">
        <f>ROUND(I239*H239,2)</f>
        <v>3000</v>
      </c>
      <c r="BL239" s="23" t="s">
        <v>446</v>
      </c>
      <c r="BM239" s="101" t="s">
        <v>5219</v>
      </c>
    </row>
    <row r="240" spans="2:65" s="1" customFormat="1" ht="21.75" customHeight="1">
      <c r="B240" s="12"/>
      <c r="C240" s="114" t="s">
        <v>1028</v>
      </c>
      <c r="D240" s="114" t="s">
        <v>438</v>
      </c>
      <c r="E240" s="115" t="s">
        <v>5220</v>
      </c>
      <c r="F240" s="116" t="s">
        <v>5221</v>
      </c>
      <c r="G240" s="117" t="s">
        <v>444</v>
      </c>
      <c r="H240" s="118">
        <v>60</v>
      </c>
      <c r="I240" s="122">
        <v>400</v>
      </c>
      <c r="J240" s="123">
        <f>ROUND(I240*H240,2)</f>
        <v>24000</v>
      </c>
      <c r="K240" s="124"/>
      <c r="L240" s="125"/>
      <c r="M240" s="126" t="s">
        <v>1</v>
      </c>
      <c r="N240" s="127" t="s">
        <v>43</v>
      </c>
      <c r="P240" s="95">
        <f>O240*H240</f>
        <v>0</v>
      </c>
      <c r="Q240" s="95">
        <v>1.57E-3</v>
      </c>
      <c r="R240" s="95">
        <f>Q240*H240</f>
        <v>9.4200000000000006E-2</v>
      </c>
      <c r="S240" s="95">
        <v>0</v>
      </c>
      <c r="T240" s="99">
        <f>S240*H240</f>
        <v>0</v>
      </c>
      <c r="AR240" s="101" t="s">
        <v>527</v>
      </c>
      <c r="AT240" s="101" t="s">
        <v>438</v>
      </c>
      <c r="AU240" s="101" t="s">
        <v>87</v>
      </c>
      <c r="AY240" s="23" t="s">
        <v>211</v>
      </c>
      <c r="BE240" s="104">
        <f>IF(N240="základní",J240,0)</f>
        <v>0</v>
      </c>
      <c r="BF240" s="104">
        <f>IF(N240="snížená",J240,0)</f>
        <v>24000</v>
      </c>
      <c r="BG240" s="104">
        <f>IF(N240="zákl. přenesená",J240,0)</f>
        <v>0</v>
      </c>
      <c r="BH240" s="104">
        <f>IF(N240="sníž. přenesená",J240,0)</f>
        <v>0</v>
      </c>
      <c r="BI240" s="104">
        <f>IF(N240="nulová",J240,0)</f>
        <v>0</v>
      </c>
      <c r="BJ240" s="23" t="s">
        <v>87</v>
      </c>
      <c r="BK240" s="104">
        <f>ROUND(I240*H240,2)</f>
        <v>24000</v>
      </c>
      <c r="BL240" s="23" t="s">
        <v>446</v>
      </c>
      <c r="BM240" s="101" t="s">
        <v>5222</v>
      </c>
    </row>
    <row r="241" spans="2:65" s="113" customFormat="1">
      <c r="B241" s="119"/>
      <c r="D241" s="105" t="s">
        <v>365</v>
      </c>
      <c r="F241" s="120" t="s">
        <v>5209</v>
      </c>
      <c r="H241" s="121">
        <v>60</v>
      </c>
      <c r="I241" s="128"/>
      <c r="L241" s="119"/>
      <c r="M241" s="129"/>
      <c r="T241" s="133"/>
      <c r="AT241" s="135" t="s">
        <v>365</v>
      </c>
      <c r="AU241" s="135" t="s">
        <v>87</v>
      </c>
      <c r="AV241" s="113" t="s">
        <v>87</v>
      </c>
      <c r="AW241" s="113" t="s">
        <v>4</v>
      </c>
      <c r="AX241" s="113" t="s">
        <v>85</v>
      </c>
      <c r="AY241" s="135" t="s">
        <v>211</v>
      </c>
    </row>
    <row r="242" spans="2:65" s="1" customFormat="1" ht="24.15" customHeight="1">
      <c r="B242" s="12"/>
      <c r="C242" s="71" t="s">
        <v>1036</v>
      </c>
      <c r="D242" s="71" t="s">
        <v>214</v>
      </c>
      <c r="E242" s="72" t="s">
        <v>5223</v>
      </c>
      <c r="F242" s="73" t="s">
        <v>5224</v>
      </c>
      <c r="G242" s="74" t="s">
        <v>444</v>
      </c>
      <c r="H242" s="75">
        <v>338</v>
      </c>
      <c r="I242" s="90">
        <v>40</v>
      </c>
      <c r="J242" s="91">
        <f>ROUND(I242*H242,2)</f>
        <v>13520</v>
      </c>
      <c r="K242" s="92"/>
      <c r="L242" s="12"/>
      <c r="M242" s="93" t="s">
        <v>1</v>
      </c>
      <c r="N242" s="94" t="s">
        <v>43</v>
      </c>
      <c r="P242" s="95">
        <f>O242*H242</f>
        <v>0</v>
      </c>
      <c r="Q242" s="95">
        <v>0</v>
      </c>
      <c r="R242" s="95">
        <f>Q242*H242</f>
        <v>0</v>
      </c>
      <c r="S242" s="95">
        <v>0</v>
      </c>
      <c r="T242" s="99">
        <f>S242*H242</f>
        <v>0</v>
      </c>
      <c r="AR242" s="101" t="s">
        <v>446</v>
      </c>
      <c r="AT242" s="101" t="s">
        <v>214</v>
      </c>
      <c r="AU242" s="101" t="s">
        <v>87</v>
      </c>
      <c r="AY242" s="23" t="s">
        <v>211</v>
      </c>
      <c r="BE242" s="104">
        <f>IF(N242="základní",J242,0)</f>
        <v>0</v>
      </c>
      <c r="BF242" s="104">
        <f>IF(N242="snížená",J242,0)</f>
        <v>13520</v>
      </c>
      <c r="BG242" s="104">
        <f>IF(N242="zákl. přenesená",J242,0)</f>
        <v>0</v>
      </c>
      <c r="BH242" s="104">
        <f>IF(N242="sníž. přenesená",J242,0)</f>
        <v>0</v>
      </c>
      <c r="BI242" s="104">
        <f>IF(N242="nulová",J242,0)</f>
        <v>0</v>
      </c>
      <c r="BJ242" s="23" t="s">
        <v>87</v>
      </c>
      <c r="BK242" s="104">
        <f>ROUND(I242*H242,2)</f>
        <v>13520</v>
      </c>
      <c r="BL242" s="23" t="s">
        <v>446</v>
      </c>
      <c r="BM242" s="101" t="s">
        <v>5225</v>
      </c>
    </row>
    <row r="243" spans="2:65" s="113" customFormat="1">
      <c r="B243" s="119"/>
      <c r="D243" s="105" t="s">
        <v>365</v>
      </c>
      <c r="F243" s="120" t="s">
        <v>5226</v>
      </c>
      <c r="H243" s="121">
        <v>338</v>
      </c>
      <c r="I243" s="128"/>
      <c r="L243" s="119"/>
      <c r="M243" s="129"/>
      <c r="T243" s="133"/>
      <c r="AT243" s="135" t="s">
        <v>365</v>
      </c>
      <c r="AU243" s="135" t="s">
        <v>87</v>
      </c>
      <c r="AV243" s="113" t="s">
        <v>87</v>
      </c>
      <c r="AW243" s="113" t="s">
        <v>4</v>
      </c>
      <c r="AX243" s="113" t="s">
        <v>85</v>
      </c>
      <c r="AY243" s="135" t="s">
        <v>211</v>
      </c>
    </row>
    <row r="244" spans="2:65" s="1" customFormat="1" ht="16.5" customHeight="1">
      <c r="B244" s="12"/>
      <c r="C244" s="114" t="s">
        <v>92</v>
      </c>
      <c r="D244" s="114" t="s">
        <v>438</v>
      </c>
      <c r="E244" s="115" t="s">
        <v>5227</v>
      </c>
      <c r="F244" s="116" t="s">
        <v>5228</v>
      </c>
      <c r="G244" s="117" t="s">
        <v>444</v>
      </c>
      <c r="H244" s="118">
        <v>338</v>
      </c>
      <c r="I244" s="122">
        <v>220</v>
      </c>
      <c r="J244" s="123">
        <f>ROUND(I244*H244,2)</f>
        <v>74360</v>
      </c>
      <c r="K244" s="124"/>
      <c r="L244" s="125"/>
      <c r="M244" s="126" t="s">
        <v>1</v>
      </c>
      <c r="N244" s="127" t="s">
        <v>43</v>
      </c>
      <c r="P244" s="95">
        <f>O244*H244</f>
        <v>0</v>
      </c>
      <c r="Q244" s="95">
        <v>8.9999999999999998E-4</v>
      </c>
      <c r="R244" s="95">
        <f>Q244*H244</f>
        <v>0.30420000000000003</v>
      </c>
      <c r="S244" s="95">
        <v>0</v>
      </c>
      <c r="T244" s="99">
        <f>S244*H244</f>
        <v>0</v>
      </c>
      <c r="AR244" s="101" t="s">
        <v>527</v>
      </c>
      <c r="AT244" s="101" t="s">
        <v>438</v>
      </c>
      <c r="AU244" s="101" t="s">
        <v>87</v>
      </c>
      <c r="AY244" s="23" t="s">
        <v>211</v>
      </c>
      <c r="BE244" s="104">
        <f>IF(N244="základní",J244,0)</f>
        <v>0</v>
      </c>
      <c r="BF244" s="104">
        <f>IF(N244="snížená",J244,0)</f>
        <v>74360</v>
      </c>
      <c r="BG244" s="104">
        <f>IF(N244="zákl. přenesená",J244,0)</f>
        <v>0</v>
      </c>
      <c r="BH244" s="104">
        <f>IF(N244="sníž. přenesená",J244,0)</f>
        <v>0</v>
      </c>
      <c r="BI244" s="104">
        <f>IF(N244="nulová",J244,0)</f>
        <v>0</v>
      </c>
      <c r="BJ244" s="23" t="s">
        <v>87</v>
      </c>
      <c r="BK244" s="104">
        <f>ROUND(I244*H244,2)</f>
        <v>74360</v>
      </c>
      <c r="BL244" s="23" t="s">
        <v>446</v>
      </c>
      <c r="BM244" s="101" t="s">
        <v>5229</v>
      </c>
    </row>
    <row r="245" spans="2:65" s="113" customFormat="1">
      <c r="B245" s="119"/>
      <c r="D245" s="105" t="s">
        <v>365</v>
      </c>
      <c r="F245" s="120" t="s">
        <v>5226</v>
      </c>
      <c r="H245" s="121">
        <v>338</v>
      </c>
      <c r="I245" s="128"/>
      <c r="L245" s="119"/>
      <c r="M245" s="129"/>
      <c r="T245" s="133"/>
      <c r="AT245" s="135" t="s">
        <v>365</v>
      </c>
      <c r="AU245" s="135" t="s">
        <v>87</v>
      </c>
      <c r="AV245" s="113" t="s">
        <v>87</v>
      </c>
      <c r="AW245" s="113" t="s">
        <v>4</v>
      </c>
      <c r="AX245" s="113" t="s">
        <v>85</v>
      </c>
      <c r="AY245" s="135" t="s">
        <v>211</v>
      </c>
    </row>
    <row r="246" spans="2:65" s="1" customFormat="1" ht="24.15" customHeight="1">
      <c r="B246" s="12"/>
      <c r="C246" s="71" t="s">
        <v>1044</v>
      </c>
      <c r="D246" s="71" t="s">
        <v>214</v>
      </c>
      <c r="E246" s="72" t="s">
        <v>5230</v>
      </c>
      <c r="F246" s="73" t="s">
        <v>5231</v>
      </c>
      <c r="G246" s="74" t="s">
        <v>444</v>
      </c>
      <c r="H246" s="75">
        <v>120</v>
      </c>
      <c r="I246" s="90">
        <v>60</v>
      </c>
      <c r="J246" s="91">
        <f>ROUND(I246*H246,2)</f>
        <v>7200</v>
      </c>
      <c r="K246" s="92"/>
      <c r="L246" s="12"/>
      <c r="M246" s="93" t="s">
        <v>1</v>
      </c>
      <c r="N246" s="94" t="s">
        <v>43</v>
      </c>
      <c r="P246" s="95">
        <f>O246*H246</f>
        <v>0</v>
      </c>
      <c r="Q246" s="95">
        <v>0</v>
      </c>
      <c r="R246" s="95">
        <f>Q246*H246</f>
        <v>0</v>
      </c>
      <c r="S246" s="95">
        <v>0</v>
      </c>
      <c r="T246" s="99">
        <f>S246*H246</f>
        <v>0</v>
      </c>
      <c r="AR246" s="101" t="s">
        <v>446</v>
      </c>
      <c r="AT246" s="101" t="s">
        <v>214</v>
      </c>
      <c r="AU246" s="101" t="s">
        <v>87</v>
      </c>
      <c r="AY246" s="23" t="s">
        <v>211</v>
      </c>
      <c r="BE246" s="104">
        <f>IF(N246="základní",J246,0)</f>
        <v>0</v>
      </c>
      <c r="BF246" s="104">
        <f>IF(N246="snížená",J246,0)</f>
        <v>7200</v>
      </c>
      <c r="BG246" s="104">
        <f>IF(N246="zákl. přenesená",J246,0)</f>
        <v>0</v>
      </c>
      <c r="BH246" s="104">
        <f>IF(N246="sníž. přenesená",J246,0)</f>
        <v>0</v>
      </c>
      <c r="BI246" s="104">
        <f>IF(N246="nulová",J246,0)</f>
        <v>0</v>
      </c>
      <c r="BJ246" s="23" t="s">
        <v>87</v>
      </c>
      <c r="BK246" s="104">
        <f>ROUND(I246*H246,2)</f>
        <v>7200</v>
      </c>
      <c r="BL246" s="23" t="s">
        <v>446</v>
      </c>
      <c r="BM246" s="101" t="s">
        <v>5232</v>
      </c>
    </row>
    <row r="247" spans="2:65" s="1" customFormat="1" ht="16.5" customHeight="1">
      <c r="B247" s="12"/>
      <c r="C247" s="114" t="s">
        <v>1049</v>
      </c>
      <c r="D247" s="114" t="s">
        <v>438</v>
      </c>
      <c r="E247" s="115" t="s">
        <v>5233</v>
      </c>
      <c r="F247" s="116" t="s">
        <v>5234</v>
      </c>
      <c r="G247" s="117" t="s">
        <v>444</v>
      </c>
      <c r="H247" s="118">
        <v>1440</v>
      </c>
      <c r="I247" s="122">
        <v>50</v>
      </c>
      <c r="J247" s="123">
        <f>ROUND(I247*H247,2)</f>
        <v>72000</v>
      </c>
      <c r="K247" s="124"/>
      <c r="L247" s="125"/>
      <c r="M247" s="126" t="s">
        <v>1</v>
      </c>
      <c r="N247" s="127" t="s">
        <v>43</v>
      </c>
      <c r="P247" s="95">
        <f>O247*H247</f>
        <v>0</v>
      </c>
      <c r="Q247" s="95">
        <v>0</v>
      </c>
      <c r="R247" s="95">
        <f>Q247*H247</f>
        <v>0</v>
      </c>
      <c r="S247" s="95">
        <v>0</v>
      </c>
      <c r="T247" s="99">
        <f>S247*H247</f>
        <v>0</v>
      </c>
      <c r="AR247" s="101" t="s">
        <v>527</v>
      </c>
      <c r="AT247" s="101" t="s">
        <v>438</v>
      </c>
      <c r="AU247" s="101" t="s">
        <v>87</v>
      </c>
      <c r="AY247" s="23" t="s">
        <v>211</v>
      </c>
      <c r="BE247" s="104">
        <f>IF(N247="základní",J247,0)</f>
        <v>0</v>
      </c>
      <c r="BF247" s="104">
        <f>IF(N247="snížená",J247,0)</f>
        <v>72000</v>
      </c>
      <c r="BG247" s="104">
        <f>IF(N247="zákl. přenesená",J247,0)</f>
        <v>0</v>
      </c>
      <c r="BH247" s="104">
        <f>IF(N247="sníž. přenesená",J247,0)</f>
        <v>0</v>
      </c>
      <c r="BI247" s="104">
        <f>IF(N247="nulová",J247,0)</f>
        <v>0</v>
      </c>
      <c r="BJ247" s="23" t="s">
        <v>87</v>
      </c>
      <c r="BK247" s="104">
        <f>ROUND(I247*H247,2)</f>
        <v>72000</v>
      </c>
      <c r="BL247" s="23" t="s">
        <v>446</v>
      </c>
      <c r="BM247" s="101" t="s">
        <v>5235</v>
      </c>
    </row>
    <row r="248" spans="2:65" s="113" customFormat="1">
      <c r="B248" s="119"/>
      <c r="D248" s="105" t="s">
        <v>365</v>
      </c>
      <c r="F248" s="120" t="s">
        <v>5236</v>
      </c>
      <c r="H248" s="121">
        <v>1440</v>
      </c>
      <c r="I248" s="128"/>
      <c r="L248" s="119"/>
      <c r="M248" s="129"/>
      <c r="T248" s="133"/>
      <c r="AT248" s="135" t="s">
        <v>365</v>
      </c>
      <c r="AU248" s="135" t="s">
        <v>87</v>
      </c>
      <c r="AV248" s="113" t="s">
        <v>87</v>
      </c>
      <c r="AW248" s="113" t="s">
        <v>4</v>
      </c>
      <c r="AX248" s="113" t="s">
        <v>85</v>
      </c>
      <c r="AY248" s="135" t="s">
        <v>211</v>
      </c>
    </row>
    <row r="249" spans="2:65" s="1" customFormat="1" ht="16.5" customHeight="1">
      <c r="B249" s="12"/>
      <c r="C249" s="114" t="s">
        <v>1053</v>
      </c>
      <c r="D249" s="114" t="s">
        <v>438</v>
      </c>
      <c r="E249" s="115" t="s">
        <v>5237</v>
      </c>
      <c r="F249" s="116" t="s">
        <v>5238</v>
      </c>
      <c r="G249" s="117" t="s">
        <v>234</v>
      </c>
      <c r="H249" s="118">
        <v>1</v>
      </c>
      <c r="I249" s="122">
        <v>25000</v>
      </c>
      <c r="J249" s="123">
        <f>ROUND(I249*H249,2)</f>
        <v>25000</v>
      </c>
      <c r="K249" s="124"/>
      <c r="L249" s="125"/>
      <c r="M249" s="126" t="s">
        <v>1</v>
      </c>
      <c r="N249" s="127" t="s">
        <v>43</v>
      </c>
      <c r="P249" s="95">
        <f>O249*H249</f>
        <v>0</v>
      </c>
      <c r="Q249" s="95">
        <v>0</v>
      </c>
      <c r="R249" s="95">
        <f>Q249*H249</f>
        <v>0</v>
      </c>
      <c r="S249" s="95">
        <v>0</v>
      </c>
      <c r="T249" s="99">
        <f>S249*H249</f>
        <v>0</v>
      </c>
      <c r="AR249" s="101" t="s">
        <v>527</v>
      </c>
      <c r="AT249" s="101" t="s">
        <v>438</v>
      </c>
      <c r="AU249" s="101" t="s">
        <v>87</v>
      </c>
      <c r="AY249" s="23" t="s">
        <v>211</v>
      </c>
      <c r="BE249" s="104">
        <f>IF(N249="základní",J249,0)</f>
        <v>0</v>
      </c>
      <c r="BF249" s="104">
        <f>IF(N249="snížená",J249,0)</f>
        <v>25000</v>
      </c>
      <c r="BG249" s="104">
        <f>IF(N249="zákl. přenesená",J249,0)</f>
        <v>0</v>
      </c>
      <c r="BH249" s="104">
        <f>IF(N249="sníž. přenesená",J249,0)</f>
        <v>0</v>
      </c>
      <c r="BI249" s="104">
        <f>IF(N249="nulová",J249,0)</f>
        <v>0</v>
      </c>
      <c r="BJ249" s="23" t="s">
        <v>87</v>
      </c>
      <c r="BK249" s="104">
        <f>ROUND(I249*H249,2)</f>
        <v>25000</v>
      </c>
      <c r="BL249" s="23" t="s">
        <v>446</v>
      </c>
      <c r="BM249" s="101" t="s">
        <v>5239</v>
      </c>
    </row>
    <row r="250" spans="2:65" s="1" customFormat="1" ht="24.15" customHeight="1">
      <c r="B250" s="12"/>
      <c r="C250" s="71" t="s">
        <v>1058</v>
      </c>
      <c r="D250" s="71" t="s">
        <v>214</v>
      </c>
      <c r="E250" s="72" t="s">
        <v>5240</v>
      </c>
      <c r="F250" s="73" t="s">
        <v>5241</v>
      </c>
      <c r="G250" s="74" t="s">
        <v>444</v>
      </c>
      <c r="H250" s="75">
        <v>120</v>
      </c>
      <c r="I250" s="90">
        <v>55</v>
      </c>
      <c r="J250" s="91">
        <f>ROUND(I250*H250,2)</f>
        <v>6600</v>
      </c>
      <c r="K250" s="92"/>
      <c r="L250" s="12"/>
      <c r="M250" s="93" t="s">
        <v>1</v>
      </c>
      <c r="N250" s="94" t="s">
        <v>43</v>
      </c>
      <c r="P250" s="95">
        <f>O250*H250</f>
        <v>0</v>
      </c>
      <c r="Q250" s="95">
        <v>0</v>
      </c>
      <c r="R250" s="95">
        <f>Q250*H250</f>
        <v>0</v>
      </c>
      <c r="S250" s="95">
        <v>0</v>
      </c>
      <c r="T250" s="99">
        <f>S250*H250</f>
        <v>0</v>
      </c>
      <c r="AR250" s="101" t="s">
        <v>446</v>
      </c>
      <c r="AT250" s="101" t="s">
        <v>214</v>
      </c>
      <c r="AU250" s="101" t="s">
        <v>87</v>
      </c>
      <c r="AY250" s="23" t="s">
        <v>211</v>
      </c>
      <c r="BE250" s="104">
        <f>IF(N250="základní",J250,0)</f>
        <v>0</v>
      </c>
      <c r="BF250" s="104">
        <f>IF(N250="snížená",J250,0)</f>
        <v>6600</v>
      </c>
      <c r="BG250" s="104">
        <f>IF(N250="zákl. přenesená",J250,0)</f>
        <v>0</v>
      </c>
      <c r="BH250" s="104">
        <f>IF(N250="sníž. přenesená",J250,0)</f>
        <v>0</v>
      </c>
      <c r="BI250" s="104">
        <f>IF(N250="nulová",J250,0)</f>
        <v>0</v>
      </c>
      <c r="BJ250" s="23" t="s">
        <v>87</v>
      </c>
      <c r="BK250" s="104">
        <f>ROUND(I250*H250,2)</f>
        <v>6600</v>
      </c>
      <c r="BL250" s="23" t="s">
        <v>446</v>
      </c>
      <c r="BM250" s="101" t="s">
        <v>5242</v>
      </c>
    </row>
    <row r="251" spans="2:65" s="1" customFormat="1" ht="21.75" customHeight="1">
      <c r="B251" s="12"/>
      <c r="C251" s="114" t="s">
        <v>1062</v>
      </c>
      <c r="D251" s="114" t="s">
        <v>438</v>
      </c>
      <c r="E251" s="115" t="s">
        <v>5243</v>
      </c>
      <c r="F251" s="116" t="s">
        <v>5244</v>
      </c>
      <c r="G251" s="117" t="s">
        <v>444</v>
      </c>
      <c r="H251" s="118">
        <v>120</v>
      </c>
      <c r="I251" s="122">
        <v>250</v>
      </c>
      <c r="J251" s="123">
        <f>ROUND(I251*H251,2)</f>
        <v>30000</v>
      </c>
      <c r="K251" s="124"/>
      <c r="L251" s="125"/>
      <c r="M251" s="126" t="s">
        <v>1</v>
      </c>
      <c r="N251" s="127" t="s">
        <v>43</v>
      </c>
      <c r="P251" s="95">
        <f>O251*H251</f>
        <v>0</v>
      </c>
      <c r="Q251" s="95">
        <v>0</v>
      </c>
      <c r="R251" s="95">
        <f>Q251*H251</f>
        <v>0</v>
      </c>
      <c r="S251" s="95">
        <v>0</v>
      </c>
      <c r="T251" s="99">
        <f>S251*H251</f>
        <v>0</v>
      </c>
      <c r="AR251" s="101" t="s">
        <v>527</v>
      </c>
      <c r="AT251" s="101" t="s">
        <v>438</v>
      </c>
      <c r="AU251" s="101" t="s">
        <v>87</v>
      </c>
      <c r="AY251" s="23" t="s">
        <v>211</v>
      </c>
      <c r="BE251" s="104">
        <f>IF(N251="základní",J251,0)</f>
        <v>0</v>
      </c>
      <c r="BF251" s="104">
        <f>IF(N251="snížená",J251,0)</f>
        <v>30000</v>
      </c>
      <c r="BG251" s="104">
        <f>IF(N251="zákl. přenesená",J251,0)</f>
        <v>0</v>
      </c>
      <c r="BH251" s="104">
        <f>IF(N251="sníž. přenesená",J251,0)</f>
        <v>0</v>
      </c>
      <c r="BI251" s="104">
        <f>IF(N251="nulová",J251,0)</f>
        <v>0</v>
      </c>
      <c r="BJ251" s="23" t="s">
        <v>87</v>
      </c>
      <c r="BK251" s="104">
        <f>ROUND(I251*H251,2)</f>
        <v>30000</v>
      </c>
      <c r="BL251" s="23" t="s">
        <v>446</v>
      </c>
      <c r="BM251" s="101" t="s">
        <v>5245</v>
      </c>
    </row>
    <row r="252" spans="2:65" s="1" customFormat="1" ht="24.15" customHeight="1">
      <c r="B252" s="12"/>
      <c r="C252" s="71" t="s">
        <v>1067</v>
      </c>
      <c r="D252" s="71" t="s">
        <v>214</v>
      </c>
      <c r="E252" s="72" t="s">
        <v>5246</v>
      </c>
      <c r="F252" s="73" t="s">
        <v>5247</v>
      </c>
      <c r="G252" s="74" t="s">
        <v>444</v>
      </c>
      <c r="H252" s="75">
        <v>4200</v>
      </c>
      <c r="I252" s="90">
        <v>35</v>
      </c>
      <c r="J252" s="91">
        <f>ROUND(I252*H252,2)</f>
        <v>147000</v>
      </c>
      <c r="K252" s="92"/>
      <c r="L252" s="12"/>
      <c r="M252" s="93" t="s">
        <v>1</v>
      </c>
      <c r="N252" s="94" t="s">
        <v>43</v>
      </c>
      <c r="P252" s="95">
        <f>O252*H252</f>
        <v>0</v>
      </c>
      <c r="Q252" s="95">
        <v>0</v>
      </c>
      <c r="R252" s="95">
        <f>Q252*H252</f>
        <v>0</v>
      </c>
      <c r="S252" s="95">
        <v>0</v>
      </c>
      <c r="T252" s="99">
        <f>S252*H252</f>
        <v>0</v>
      </c>
      <c r="AR252" s="101" t="s">
        <v>446</v>
      </c>
      <c r="AT252" s="101" t="s">
        <v>214</v>
      </c>
      <c r="AU252" s="101" t="s">
        <v>87</v>
      </c>
      <c r="AY252" s="23" t="s">
        <v>211</v>
      </c>
      <c r="BE252" s="104">
        <f>IF(N252="základní",J252,0)</f>
        <v>0</v>
      </c>
      <c r="BF252" s="104">
        <f>IF(N252="snížená",J252,0)</f>
        <v>147000</v>
      </c>
      <c r="BG252" s="104">
        <f>IF(N252="zákl. přenesená",J252,0)</f>
        <v>0</v>
      </c>
      <c r="BH252" s="104">
        <f>IF(N252="sníž. přenesená",J252,0)</f>
        <v>0</v>
      </c>
      <c r="BI252" s="104">
        <f>IF(N252="nulová",J252,0)</f>
        <v>0</v>
      </c>
      <c r="BJ252" s="23" t="s">
        <v>87</v>
      </c>
      <c r="BK252" s="104">
        <f>ROUND(I252*H252,2)</f>
        <v>147000</v>
      </c>
      <c r="BL252" s="23" t="s">
        <v>446</v>
      </c>
      <c r="BM252" s="101" t="s">
        <v>5248</v>
      </c>
    </row>
    <row r="253" spans="2:65" s="1" customFormat="1" ht="16.5" customHeight="1">
      <c r="B253" s="12"/>
      <c r="C253" s="114" t="s">
        <v>1072</v>
      </c>
      <c r="D253" s="114" t="s">
        <v>438</v>
      </c>
      <c r="E253" s="115" t="s">
        <v>5249</v>
      </c>
      <c r="F253" s="116" t="s">
        <v>5250</v>
      </c>
      <c r="G253" s="117" t="s">
        <v>444</v>
      </c>
      <c r="H253" s="118">
        <v>5040</v>
      </c>
      <c r="I253" s="122">
        <v>25</v>
      </c>
      <c r="J253" s="123">
        <f>ROUND(I253*H253,2)</f>
        <v>126000</v>
      </c>
      <c r="K253" s="124"/>
      <c r="L253" s="125"/>
      <c r="M253" s="126" t="s">
        <v>1</v>
      </c>
      <c r="N253" s="127" t="s">
        <v>43</v>
      </c>
      <c r="P253" s="95">
        <f>O253*H253</f>
        <v>0</v>
      </c>
      <c r="Q253" s="95">
        <v>0</v>
      </c>
      <c r="R253" s="95">
        <f>Q253*H253</f>
        <v>0</v>
      </c>
      <c r="S253" s="95">
        <v>0</v>
      </c>
      <c r="T253" s="99">
        <f>S253*H253</f>
        <v>0</v>
      </c>
      <c r="AR253" s="101" t="s">
        <v>527</v>
      </c>
      <c r="AT253" s="101" t="s">
        <v>438</v>
      </c>
      <c r="AU253" s="101" t="s">
        <v>87</v>
      </c>
      <c r="AY253" s="23" t="s">
        <v>211</v>
      </c>
      <c r="BE253" s="104">
        <f>IF(N253="základní",J253,0)</f>
        <v>0</v>
      </c>
      <c r="BF253" s="104">
        <f>IF(N253="snížená",J253,0)</f>
        <v>126000</v>
      </c>
      <c r="BG253" s="104">
        <f>IF(N253="zákl. přenesená",J253,0)</f>
        <v>0</v>
      </c>
      <c r="BH253" s="104">
        <f>IF(N253="sníž. přenesená",J253,0)</f>
        <v>0</v>
      </c>
      <c r="BI253" s="104">
        <f>IF(N253="nulová",J253,0)</f>
        <v>0</v>
      </c>
      <c r="BJ253" s="23" t="s">
        <v>87</v>
      </c>
      <c r="BK253" s="104">
        <f>ROUND(I253*H253,2)</f>
        <v>126000</v>
      </c>
      <c r="BL253" s="23" t="s">
        <v>446</v>
      </c>
      <c r="BM253" s="101" t="s">
        <v>5251</v>
      </c>
    </row>
    <row r="254" spans="2:65" s="113" customFormat="1">
      <c r="B254" s="119"/>
      <c r="D254" s="105" t="s">
        <v>365</v>
      </c>
      <c r="F254" s="120" t="s">
        <v>5252</v>
      </c>
      <c r="H254" s="121">
        <v>5040</v>
      </c>
      <c r="I254" s="128"/>
      <c r="L254" s="119"/>
      <c r="M254" s="129"/>
      <c r="T254" s="133"/>
      <c r="AT254" s="135" t="s">
        <v>365</v>
      </c>
      <c r="AU254" s="135" t="s">
        <v>87</v>
      </c>
      <c r="AV254" s="113" t="s">
        <v>87</v>
      </c>
      <c r="AW254" s="113" t="s">
        <v>4</v>
      </c>
      <c r="AX254" s="113" t="s">
        <v>85</v>
      </c>
      <c r="AY254" s="135" t="s">
        <v>211</v>
      </c>
    </row>
    <row r="255" spans="2:65" s="31" customFormat="1" ht="23.1" customHeight="1">
      <c r="B255" s="67"/>
      <c r="D255" s="68" t="s">
        <v>76</v>
      </c>
      <c r="E255" s="70" t="s">
        <v>5253</v>
      </c>
      <c r="F255" s="70" t="s">
        <v>5254</v>
      </c>
      <c r="I255" s="85"/>
      <c r="J255" s="89">
        <f>BK255</f>
        <v>785000</v>
      </c>
      <c r="L255" s="67"/>
      <c r="M255" s="87"/>
      <c r="P255" s="88">
        <f>SUM(P256:P264)</f>
        <v>0</v>
      </c>
      <c r="R255" s="88">
        <f>SUM(R256:R264)</f>
        <v>2.5249999999999999</v>
      </c>
      <c r="T255" s="98">
        <f>SUM(T256:T264)</f>
        <v>0</v>
      </c>
      <c r="AR255" s="68" t="s">
        <v>85</v>
      </c>
      <c r="AT255" s="100" t="s">
        <v>76</v>
      </c>
      <c r="AU255" s="100" t="s">
        <v>85</v>
      </c>
      <c r="AY255" s="68" t="s">
        <v>211</v>
      </c>
      <c r="BK255" s="103">
        <f>SUM(BK256:BK264)</f>
        <v>785000</v>
      </c>
    </row>
    <row r="256" spans="2:65" s="1" customFormat="1" ht="16.5" customHeight="1">
      <c r="B256" s="12"/>
      <c r="C256" s="71" t="s">
        <v>1083</v>
      </c>
      <c r="D256" s="71" t="s">
        <v>214</v>
      </c>
      <c r="E256" s="72" t="s">
        <v>5255</v>
      </c>
      <c r="F256" s="73" t="s">
        <v>5256</v>
      </c>
      <c r="G256" s="74" t="s">
        <v>444</v>
      </c>
      <c r="H256" s="75">
        <v>350</v>
      </c>
      <c r="I256" s="90">
        <v>150</v>
      </c>
      <c r="J256" s="91">
        <f t="shared" ref="J256:J264" si="40">ROUND(I256*H256,2)</f>
        <v>52500</v>
      </c>
      <c r="K256" s="92"/>
      <c r="L256" s="12"/>
      <c r="M256" s="93" t="s">
        <v>1</v>
      </c>
      <c r="N256" s="94" t="s">
        <v>43</v>
      </c>
      <c r="P256" s="95">
        <f t="shared" ref="P256:P264" si="41">O256*H256</f>
        <v>0</v>
      </c>
      <c r="Q256" s="95">
        <v>0</v>
      </c>
      <c r="R256" s="95">
        <f t="shared" ref="R256:R264" si="42">Q256*H256</f>
        <v>0</v>
      </c>
      <c r="S256" s="95">
        <v>0</v>
      </c>
      <c r="T256" s="99">
        <f t="shared" ref="T256:T264" si="43">S256*H256</f>
        <v>0</v>
      </c>
      <c r="AR256" s="101" t="s">
        <v>446</v>
      </c>
      <c r="AT256" s="101" t="s">
        <v>214</v>
      </c>
      <c r="AU256" s="101" t="s">
        <v>87</v>
      </c>
      <c r="AY256" s="23" t="s">
        <v>211</v>
      </c>
      <c r="BE256" s="104">
        <f t="shared" ref="BE256:BE264" si="44">IF(N256="základní",J256,0)</f>
        <v>0</v>
      </c>
      <c r="BF256" s="104">
        <f t="shared" ref="BF256:BF264" si="45">IF(N256="snížená",J256,0)</f>
        <v>52500</v>
      </c>
      <c r="BG256" s="104">
        <f t="shared" ref="BG256:BG264" si="46">IF(N256="zákl. přenesená",J256,0)</f>
        <v>0</v>
      </c>
      <c r="BH256" s="104">
        <f t="shared" ref="BH256:BH264" si="47">IF(N256="sníž. přenesená",J256,0)</f>
        <v>0</v>
      </c>
      <c r="BI256" s="104">
        <f t="shared" ref="BI256:BI264" si="48">IF(N256="nulová",J256,0)</f>
        <v>0</v>
      </c>
      <c r="BJ256" s="23" t="s">
        <v>87</v>
      </c>
      <c r="BK256" s="104">
        <f t="shared" ref="BK256:BK264" si="49">ROUND(I256*H256,2)</f>
        <v>52500</v>
      </c>
      <c r="BL256" s="23" t="s">
        <v>446</v>
      </c>
      <c r="BM256" s="101" t="s">
        <v>5257</v>
      </c>
    </row>
    <row r="257" spans="2:65" s="1" customFormat="1" ht="16.5" customHeight="1">
      <c r="B257" s="12"/>
      <c r="C257" s="114" t="s">
        <v>1087</v>
      </c>
      <c r="D257" s="114" t="s">
        <v>438</v>
      </c>
      <c r="E257" s="115" t="s">
        <v>5258</v>
      </c>
      <c r="F257" s="116" t="s">
        <v>5259</v>
      </c>
      <c r="G257" s="117" t="s">
        <v>444</v>
      </c>
      <c r="H257" s="118">
        <v>350</v>
      </c>
      <c r="I257" s="122">
        <v>250</v>
      </c>
      <c r="J257" s="123">
        <f t="shared" si="40"/>
        <v>87500</v>
      </c>
      <c r="K257" s="124"/>
      <c r="L257" s="125"/>
      <c r="M257" s="126" t="s">
        <v>1</v>
      </c>
      <c r="N257" s="127" t="s">
        <v>43</v>
      </c>
      <c r="P257" s="95">
        <f t="shared" si="41"/>
        <v>0</v>
      </c>
      <c r="Q257" s="95">
        <v>4.4999999999999997E-3</v>
      </c>
      <c r="R257" s="95">
        <f t="shared" si="42"/>
        <v>1.575</v>
      </c>
      <c r="S257" s="95">
        <v>0</v>
      </c>
      <c r="T257" s="99">
        <f t="shared" si="43"/>
        <v>0</v>
      </c>
      <c r="AR257" s="101" t="s">
        <v>527</v>
      </c>
      <c r="AT257" s="101" t="s">
        <v>438</v>
      </c>
      <c r="AU257" s="101" t="s">
        <v>87</v>
      </c>
      <c r="AY257" s="23" t="s">
        <v>211</v>
      </c>
      <c r="BE257" s="104">
        <f t="shared" si="44"/>
        <v>0</v>
      </c>
      <c r="BF257" s="104">
        <f t="shared" si="45"/>
        <v>87500</v>
      </c>
      <c r="BG257" s="104">
        <f t="shared" si="46"/>
        <v>0</v>
      </c>
      <c r="BH257" s="104">
        <f t="shared" si="47"/>
        <v>0</v>
      </c>
      <c r="BI257" s="104">
        <f t="shared" si="48"/>
        <v>0</v>
      </c>
      <c r="BJ257" s="23" t="s">
        <v>87</v>
      </c>
      <c r="BK257" s="104">
        <f t="shared" si="49"/>
        <v>87500</v>
      </c>
      <c r="BL257" s="23" t="s">
        <v>446</v>
      </c>
      <c r="BM257" s="101" t="s">
        <v>5260</v>
      </c>
    </row>
    <row r="258" spans="2:65" s="1" customFormat="1" ht="24.15" customHeight="1">
      <c r="B258" s="12"/>
      <c r="C258" s="71" t="s">
        <v>1098</v>
      </c>
      <c r="D258" s="71" t="s">
        <v>214</v>
      </c>
      <c r="E258" s="72" t="s">
        <v>5261</v>
      </c>
      <c r="F258" s="73" t="s">
        <v>5262</v>
      </c>
      <c r="G258" s="74" t="s">
        <v>444</v>
      </c>
      <c r="H258" s="75">
        <v>100</v>
      </c>
      <c r="I258" s="90">
        <v>100</v>
      </c>
      <c r="J258" s="91">
        <f t="shared" si="40"/>
        <v>10000</v>
      </c>
      <c r="K258" s="92"/>
      <c r="L258" s="12"/>
      <c r="M258" s="93" t="s">
        <v>1</v>
      </c>
      <c r="N258" s="94" t="s">
        <v>43</v>
      </c>
      <c r="P258" s="95">
        <f t="shared" si="41"/>
        <v>0</v>
      </c>
      <c r="Q258" s="95">
        <v>0</v>
      </c>
      <c r="R258" s="95">
        <f t="shared" si="42"/>
        <v>0</v>
      </c>
      <c r="S258" s="95">
        <v>0</v>
      </c>
      <c r="T258" s="99">
        <f t="shared" si="43"/>
        <v>0</v>
      </c>
      <c r="AR258" s="101" t="s">
        <v>446</v>
      </c>
      <c r="AT258" s="101" t="s">
        <v>214</v>
      </c>
      <c r="AU258" s="101" t="s">
        <v>87</v>
      </c>
      <c r="AY258" s="23" t="s">
        <v>211</v>
      </c>
      <c r="BE258" s="104">
        <f t="shared" si="44"/>
        <v>0</v>
      </c>
      <c r="BF258" s="104">
        <f t="shared" si="45"/>
        <v>10000</v>
      </c>
      <c r="BG258" s="104">
        <f t="shared" si="46"/>
        <v>0</v>
      </c>
      <c r="BH258" s="104">
        <f t="shared" si="47"/>
        <v>0</v>
      </c>
      <c r="BI258" s="104">
        <f t="shared" si="48"/>
        <v>0</v>
      </c>
      <c r="BJ258" s="23" t="s">
        <v>87</v>
      </c>
      <c r="BK258" s="104">
        <f t="shared" si="49"/>
        <v>10000</v>
      </c>
      <c r="BL258" s="23" t="s">
        <v>446</v>
      </c>
      <c r="BM258" s="101" t="s">
        <v>5263</v>
      </c>
    </row>
    <row r="259" spans="2:65" s="1" customFormat="1" ht="16.5" customHeight="1">
      <c r="B259" s="12"/>
      <c r="C259" s="114" t="s">
        <v>1102</v>
      </c>
      <c r="D259" s="114" t="s">
        <v>438</v>
      </c>
      <c r="E259" s="115" t="s">
        <v>5264</v>
      </c>
      <c r="F259" s="116" t="s">
        <v>5265</v>
      </c>
      <c r="G259" s="117" t="s">
        <v>444</v>
      </c>
      <c r="H259" s="118">
        <v>100</v>
      </c>
      <c r="I259" s="122">
        <v>500</v>
      </c>
      <c r="J259" s="123">
        <f t="shared" si="40"/>
        <v>50000</v>
      </c>
      <c r="K259" s="124"/>
      <c r="L259" s="125"/>
      <c r="M259" s="126" t="s">
        <v>1</v>
      </c>
      <c r="N259" s="127" t="s">
        <v>43</v>
      </c>
      <c r="P259" s="95">
        <f t="shared" si="41"/>
        <v>0</v>
      </c>
      <c r="Q259" s="95">
        <v>0</v>
      </c>
      <c r="R259" s="95">
        <f t="shared" si="42"/>
        <v>0</v>
      </c>
      <c r="S259" s="95">
        <v>0</v>
      </c>
      <c r="T259" s="99">
        <f t="shared" si="43"/>
        <v>0</v>
      </c>
      <c r="AR259" s="101" t="s">
        <v>527</v>
      </c>
      <c r="AT259" s="101" t="s">
        <v>438</v>
      </c>
      <c r="AU259" s="101" t="s">
        <v>87</v>
      </c>
      <c r="AY259" s="23" t="s">
        <v>211</v>
      </c>
      <c r="BE259" s="104">
        <f t="shared" si="44"/>
        <v>0</v>
      </c>
      <c r="BF259" s="104">
        <f t="shared" si="45"/>
        <v>50000</v>
      </c>
      <c r="BG259" s="104">
        <f t="shared" si="46"/>
        <v>0</v>
      </c>
      <c r="BH259" s="104">
        <f t="shared" si="47"/>
        <v>0</v>
      </c>
      <c r="BI259" s="104">
        <f t="shared" si="48"/>
        <v>0</v>
      </c>
      <c r="BJ259" s="23" t="s">
        <v>87</v>
      </c>
      <c r="BK259" s="104">
        <f t="shared" si="49"/>
        <v>50000</v>
      </c>
      <c r="BL259" s="23" t="s">
        <v>446</v>
      </c>
      <c r="BM259" s="101" t="s">
        <v>5266</v>
      </c>
    </row>
    <row r="260" spans="2:65" s="1" customFormat="1" ht="24.15" customHeight="1">
      <c r="B260" s="12"/>
      <c r="C260" s="71" t="s">
        <v>1112</v>
      </c>
      <c r="D260" s="71" t="s">
        <v>214</v>
      </c>
      <c r="E260" s="72" t="s">
        <v>5267</v>
      </c>
      <c r="F260" s="73" t="s">
        <v>5268</v>
      </c>
      <c r="G260" s="74" t="s">
        <v>1599</v>
      </c>
      <c r="H260" s="75">
        <v>200</v>
      </c>
      <c r="I260" s="90">
        <v>10</v>
      </c>
      <c r="J260" s="91">
        <f t="shared" si="40"/>
        <v>2000</v>
      </c>
      <c r="K260" s="92"/>
      <c r="L260" s="12"/>
      <c r="M260" s="93" t="s">
        <v>1</v>
      </c>
      <c r="N260" s="94" t="s">
        <v>43</v>
      </c>
      <c r="P260" s="95">
        <f t="shared" si="41"/>
        <v>0</v>
      </c>
      <c r="Q260" s="95">
        <v>0</v>
      </c>
      <c r="R260" s="95">
        <f t="shared" si="42"/>
        <v>0</v>
      </c>
      <c r="S260" s="95">
        <v>0</v>
      </c>
      <c r="T260" s="99">
        <f t="shared" si="43"/>
        <v>0</v>
      </c>
      <c r="AR260" s="101" t="s">
        <v>446</v>
      </c>
      <c r="AT260" s="101" t="s">
        <v>214</v>
      </c>
      <c r="AU260" s="101" t="s">
        <v>87</v>
      </c>
      <c r="AY260" s="23" t="s">
        <v>211</v>
      </c>
      <c r="BE260" s="104">
        <f t="shared" si="44"/>
        <v>0</v>
      </c>
      <c r="BF260" s="104">
        <f t="shared" si="45"/>
        <v>2000</v>
      </c>
      <c r="BG260" s="104">
        <f t="shared" si="46"/>
        <v>0</v>
      </c>
      <c r="BH260" s="104">
        <f t="shared" si="47"/>
        <v>0</v>
      </c>
      <c r="BI260" s="104">
        <f t="shared" si="48"/>
        <v>0</v>
      </c>
      <c r="BJ260" s="23" t="s">
        <v>87</v>
      </c>
      <c r="BK260" s="104">
        <f t="shared" si="49"/>
        <v>2000</v>
      </c>
      <c r="BL260" s="23" t="s">
        <v>446</v>
      </c>
      <c r="BM260" s="101" t="s">
        <v>5269</v>
      </c>
    </row>
    <row r="261" spans="2:65" s="1" customFormat="1" ht="16.5" customHeight="1">
      <c r="B261" s="12"/>
      <c r="C261" s="114" t="s">
        <v>1121</v>
      </c>
      <c r="D261" s="114" t="s">
        <v>438</v>
      </c>
      <c r="E261" s="115" t="s">
        <v>5270</v>
      </c>
      <c r="F261" s="116" t="s">
        <v>5271</v>
      </c>
      <c r="G261" s="117" t="s">
        <v>808</v>
      </c>
      <c r="H261" s="118">
        <v>200</v>
      </c>
      <c r="I261" s="122">
        <v>40</v>
      </c>
      <c r="J261" s="123">
        <f t="shared" si="40"/>
        <v>8000</v>
      </c>
      <c r="K261" s="124"/>
      <c r="L261" s="125"/>
      <c r="M261" s="126" t="s">
        <v>1</v>
      </c>
      <c r="N261" s="127" t="s">
        <v>43</v>
      </c>
      <c r="P261" s="95">
        <f t="shared" si="41"/>
        <v>0</v>
      </c>
      <c r="Q261" s="95">
        <v>0</v>
      </c>
      <c r="R261" s="95">
        <f t="shared" si="42"/>
        <v>0</v>
      </c>
      <c r="S261" s="95">
        <v>0</v>
      </c>
      <c r="T261" s="99">
        <f t="shared" si="43"/>
        <v>0</v>
      </c>
      <c r="AR261" s="101" t="s">
        <v>527</v>
      </c>
      <c r="AT261" s="101" t="s">
        <v>438</v>
      </c>
      <c r="AU261" s="101" t="s">
        <v>87</v>
      </c>
      <c r="AY261" s="23" t="s">
        <v>211</v>
      </c>
      <c r="BE261" s="104">
        <f t="shared" si="44"/>
        <v>0</v>
      </c>
      <c r="BF261" s="104">
        <f t="shared" si="45"/>
        <v>8000</v>
      </c>
      <c r="BG261" s="104">
        <f t="shared" si="46"/>
        <v>0</v>
      </c>
      <c r="BH261" s="104">
        <f t="shared" si="47"/>
        <v>0</v>
      </c>
      <c r="BI261" s="104">
        <f t="shared" si="48"/>
        <v>0</v>
      </c>
      <c r="BJ261" s="23" t="s">
        <v>87</v>
      </c>
      <c r="BK261" s="104">
        <f t="shared" si="49"/>
        <v>8000</v>
      </c>
      <c r="BL261" s="23" t="s">
        <v>446</v>
      </c>
      <c r="BM261" s="101" t="s">
        <v>5272</v>
      </c>
    </row>
    <row r="262" spans="2:65" s="1" customFormat="1" ht="24.15" customHeight="1">
      <c r="B262" s="12"/>
      <c r="C262" s="71" t="s">
        <v>1129</v>
      </c>
      <c r="D262" s="71" t="s">
        <v>214</v>
      </c>
      <c r="E262" s="72" t="s">
        <v>5273</v>
      </c>
      <c r="F262" s="73" t="s">
        <v>5274</v>
      </c>
      <c r="G262" s="74" t="s">
        <v>444</v>
      </c>
      <c r="H262" s="75">
        <v>10000</v>
      </c>
      <c r="I262" s="90">
        <v>40</v>
      </c>
      <c r="J262" s="91">
        <f t="shared" si="40"/>
        <v>400000</v>
      </c>
      <c r="K262" s="92"/>
      <c r="L262" s="12"/>
      <c r="M262" s="93" t="s">
        <v>1</v>
      </c>
      <c r="N262" s="94" t="s">
        <v>43</v>
      </c>
      <c r="P262" s="95">
        <f t="shared" si="41"/>
        <v>0</v>
      </c>
      <c r="Q262" s="95">
        <v>0</v>
      </c>
      <c r="R262" s="95">
        <f t="shared" si="42"/>
        <v>0</v>
      </c>
      <c r="S262" s="95">
        <v>0</v>
      </c>
      <c r="T262" s="99">
        <f t="shared" si="43"/>
        <v>0</v>
      </c>
      <c r="AR262" s="101" t="s">
        <v>446</v>
      </c>
      <c r="AT262" s="101" t="s">
        <v>214</v>
      </c>
      <c r="AU262" s="101" t="s">
        <v>87</v>
      </c>
      <c r="AY262" s="23" t="s">
        <v>211</v>
      </c>
      <c r="BE262" s="104">
        <f t="shared" si="44"/>
        <v>0</v>
      </c>
      <c r="BF262" s="104">
        <f t="shared" si="45"/>
        <v>400000</v>
      </c>
      <c r="BG262" s="104">
        <f t="shared" si="46"/>
        <v>0</v>
      </c>
      <c r="BH262" s="104">
        <f t="shared" si="47"/>
        <v>0</v>
      </c>
      <c r="BI262" s="104">
        <f t="shared" si="48"/>
        <v>0</v>
      </c>
      <c r="BJ262" s="23" t="s">
        <v>87</v>
      </c>
      <c r="BK262" s="104">
        <f t="shared" si="49"/>
        <v>400000</v>
      </c>
      <c r="BL262" s="23" t="s">
        <v>446</v>
      </c>
      <c r="BM262" s="101" t="s">
        <v>5275</v>
      </c>
    </row>
    <row r="263" spans="2:65" s="1" customFormat="1" ht="21.75" customHeight="1">
      <c r="B263" s="12"/>
      <c r="C263" s="114" t="s">
        <v>1133</v>
      </c>
      <c r="D263" s="114" t="s">
        <v>438</v>
      </c>
      <c r="E263" s="115" t="s">
        <v>5276</v>
      </c>
      <c r="F263" s="116" t="s">
        <v>5277</v>
      </c>
      <c r="G263" s="117" t="s">
        <v>444</v>
      </c>
      <c r="H263" s="118">
        <v>5000</v>
      </c>
      <c r="I263" s="122">
        <v>25</v>
      </c>
      <c r="J263" s="123">
        <f t="shared" si="40"/>
        <v>125000</v>
      </c>
      <c r="K263" s="124"/>
      <c r="L263" s="125"/>
      <c r="M263" s="126" t="s">
        <v>1</v>
      </c>
      <c r="N263" s="127" t="s">
        <v>43</v>
      </c>
      <c r="P263" s="95">
        <f t="shared" si="41"/>
        <v>0</v>
      </c>
      <c r="Q263" s="95">
        <v>1.2E-4</v>
      </c>
      <c r="R263" s="95">
        <f t="shared" si="42"/>
        <v>0.6</v>
      </c>
      <c r="S263" s="95">
        <v>0</v>
      </c>
      <c r="T263" s="99">
        <f t="shared" si="43"/>
        <v>0</v>
      </c>
      <c r="AR263" s="101" t="s">
        <v>527</v>
      </c>
      <c r="AT263" s="101" t="s">
        <v>438</v>
      </c>
      <c r="AU263" s="101" t="s">
        <v>87</v>
      </c>
      <c r="AY263" s="23" t="s">
        <v>211</v>
      </c>
      <c r="BE263" s="104">
        <f t="shared" si="44"/>
        <v>0</v>
      </c>
      <c r="BF263" s="104">
        <f t="shared" si="45"/>
        <v>125000</v>
      </c>
      <c r="BG263" s="104">
        <f t="shared" si="46"/>
        <v>0</v>
      </c>
      <c r="BH263" s="104">
        <f t="shared" si="47"/>
        <v>0</v>
      </c>
      <c r="BI263" s="104">
        <f t="shared" si="48"/>
        <v>0</v>
      </c>
      <c r="BJ263" s="23" t="s">
        <v>87</v>
      </c>
      <c r="BK263" s="104">
        <f t="shared" si="49"/>
        <v>125000</v>
      </c>
      <c r="BL263" s="23" t="s">
        <v>446</v>
      </c>
      <c r="BM263" s="101" t="s">
        <v>5278</v>
      </c>
    </row>
    <row r="264" spans="2:65" s="1" customFormat="1" ht="21.75" customHeight="1">
      <c r="B264" s="12"/>
      <c r="C264" s="114" t="s">
        <v>1141</v>
      </c>
      <c r="D264" s="114" t="s">
        <v>438</v>
      </c>
      <c r="E264" s="115" t="s">
        <v>5279</v>
      </c>
      <c r="F264" s="116" t="s">
        <v>5280</v>
      </c>
      <c r="G264" s="117" t="s">
        <v>444</v>
      </c>
      <c r="H264" s="118">
        <v>5000</v>
      </c>
      <c r="I264" s="122">
        <v>10</v>
      </c>
      <c r="J264" s="123">
        <f t="shared" si="40"/>
        <v>50000</v>
      </c>
      <c r="K264" s="124"/>
      <c r="L264" s="125"/>
      <c r="M264" s="126" t="s">
        <v>1</v>
      </c>
      <c r="N264" s="127" t="s">
        <v>43</v>
      </c>
      <c r="P264" s="95">
        <f t="shared" si="41"/>
        <v>0</v>
      </c>
      <c r="Q264" s="95">
        <v>6.9999999999999994E-5</v>
      </c>
      <c r="R264" s="95">
        <f t="shared" si="42"/>
        <v>0.35</v>
      </c>
      <c r="S264" s="95">
        <v>0</v>
      </c>
      <c r="T264" s="99">
        <f t="shared" si="43"/>
        <v>0</v>
      </c>
      <c r="AR264" s="101" t="s">
        <v>527</v>
      </c>
      <c r="AT264" s="101" t="s">
        <v>438</v>
      </c>
      <c r="AU264" s="101" t="s">
        <v>87</v>
      </c>
      <c r="AY264" s="23" t="s">
        <v>211</v>
      </c>
      <c r="BE264" s="104">
        <f t="shared" si="44"/>
        <v>0</v>
      </c>
      <c r="BF264" s="104">
        <f t="shared" si="45"/>
        <v>50000</v>
      </c>
      <c r="BG264" s="104">
        <f t="shared" si="46"/>
        <v>0</v>
      </c>
      <c r="BH264" s="104">
        <f t="shared" si="47"/>
        <v>0</v>
      </c>
      <c r="BI264" s="104">
        <f t="shared" si="48"/>
        <v>0</v>
      </c>
      <c r="BJ264" s="23" t="s">
        <v>87</v>
      </c>
      <c r="BK264" s="104">
        <f t="shared" si="49"/>
        <v>50000</v>
      </c>
      <c r="BL264" s="23" t="s">
        <v>446</v>
      </c>
      <c r="BM264" s="101" t="s">
        <v>5281</v>
      </c>
    </row>
    <row r="265" spans="2:65" s="31" customFormat="1" ht="23.1" customHeight="1">
      <c r="B265" s="67"/>
      <c r="D265" s="68" t="s">
        <v>76</v>
      </c>
      <c r="E265" s="70" t="s">
        <v>5282</v>
      </c>
      <c r="F265" s="70" t="s">
        <v>3917</v>
      </c>
      <c r="I265" s="85"/>
      <c r="J265" s="89">
        <f>BK265</f>
        <v>474500</v>
      </c>
      <c r="L265" s="67"/>
      <c r="M265" s="87"/>
      <c r="P265" s="88">
        <f>SUM(P266:P275)</f>
        <v>0</v>
      </c>
      <c r="R265" s="88">
        <f>SUM(R266:R275)</f>
        <v>0</v>
      </c>
      <c r="T265" s="98">
        <f>SUM(T266:T275)</f>
        <v>0</v>
      </c>
      <c r="AR265" s="68" t="s">
        <v>218</v>
      </c>
      <c r="AT265" s="100" t="s">
        <v>76</v>
      </c>
      <c r="AU265" s="100" t="s">
        <v>85</v>
      </c>
      <c r="AY265" s="68" t="s">
        <v>211</v>
      </c>
      <c r="BK265" s="103">
        <f>SUM(BK266:BK275)</f>
        <v>474500</v>
      </c>
    </row>
    <row r="266" spans="2:65" s="1" customFormat="1" ht="16.5" customHeight="1">
      <c r="B266" s="12"/>
      <c r="C266" s="71" t="s">
        <v>1148</v>
      </c>
      <c r="D266" s="71" t="s">
        <v>214</v>
      </c>
      <c r="E266" s="72" t="s">
        <v>5283</v>
      </c>
      <c r="F266" s="73" t="s">
        <v>5284</v>
      </c>
      <c r="G266" s="74" t="s">
        <v>4204</v>
      </c>
      <c r="H266" s="75">
        <v>20</v>
      </c>
      <c r="I266" s="90">
        <v>450</v>
      </c>
      <c r="J266" s="91">
        <f t="shared" ref="J266:J275" si="50">ROUND(I266*H266,2)</f>
        <v>9000</v>
      </c>
      <c r="K266" s="92"/>
      <c r="L266" s="12"/>
      <c r="M266" s="93" t="s">
        <v>1</v>
      </c>
      <c r="N266" s="94" t="s">
        <v>43</v>
      </c>
      <c r="P266" s="95">
        <f t="shared" ref="P266:P275" si="51">O266*H266</f>
        <v>0</v>
      </c>
      <c r="Q266" s="95">
        <v>0</v>
      </c>
      <c r="R266" s="95">
        <f t="shared" ref="R266:R275" si="52">Q266*H266</f>
        <v>0</v>
      </c>
      <c r="S266" s="95">
        <v>0</v>
      </c>
      <c r="T266" s="99">
        <f t="shared" ref="T266:T275" si="53">S266*H266</f>
        <v>0</v>
      </c>
      <c r="AR266" s="101" t="s">
        <v>2681</v>
      </c>
      <c r="AT266" s="101" t="s">
        <v>214</v>
      </c>
      <c r="AU266" s="101" t="s">
        <v>87</v>
      </c>
      <c r="AY266" s="23" t="s">
        <v>211</v>
      </c>
      <c r="BE266" s="104">
        <f t="shared" ref="BE266:BE275" si="54">IF(N266="základní",J266,0)</f>
        <v>0</v>
      </c>
      <c r="BF266" s="104">
        <f t="shared" ref="BF266:BF275" si="55">IF(N266="snížená",J266,0)</f>
        <v>9000</v>
      </c>
      <c r="BG266" s="104">
        <f t="shared" ref="BG266:BG275" si="56">IF(N266="zákl. přenesená",J266,0)</f>
        <v>0</v>
      </c>
      <c r="BH266" s="104">
        <f t="shared" ref="BH266:BH275" si="57">IF(N266="sníž. přenesená",J266,0)</f>
        <v>0</v>
      </c>
      <c r="BI266" s="104">
        <f t="shared" ref="BI266:BI275" si="58">IF(N266="nulová",J266,0)</f>
        <v>0</v>
      </c>
      <c r="BJ266" s="23" t="s">
        <v>87</v>
      </c>
      <c r="BK266" s="104">
        <f t="shared" ref="BK266:BK275" si="59">ROUND(I266*H266,2)</f>
        <v>9000</v>
      </c>
      <c r="BL266" s="23" t="s">
        <v>2681</v>
      </c>
      <c r="BM266" s="101" t="s">
        <v>5285</v>
      </c>
    </row>
    <row r="267" spans="2:65" s="1" customFormat="1" ht="16.5" customHeight="1">
      <c r="B267" s="12"/>
      <c r="C267" s="71" t="s">
        <v>1153</v>
      </c>
      <c r="D267" s="71" t="s">
        <v>214</v>
      </c>
      <c r="E267" s="72" t="s">
        <v>5286</v>
      </c>
      <c r="F267" s="73" t="s">
        <v>5287</v>
      </c>
      <c r="G267" s="74" t="s">
        <v>4204</v>
      </c>
      <c r="H267" s="75">
        <v>50</v>
      </c>
      <c r="I267" s="90">
        <v>450</v>
      </c>
      <c r="J267" s="91">
        <f t="shared" si="50"/>
        <v>22500</v>
      </c>
      <c r="K267" s="92"/>
      <c r="L267" s="12"/>
      <c r="M267" s="93" t="s">
        <v>1</v>
      </c>
      <c r="N267" s="94" t="s">
        <v>43</v>
      </c>
      <c r="P267" s="95">
        <f t="shared" si="51"/>
        <v>0</v>
      </c>
      <c r="Q267" s="95">
        <v>0</v>
      </c>
      <c r="R267" s="95">
        <f t="shared" si="52"/>
        <v>0</v>
      </c>
      <c r="S267" s="95">
        <v>0</v>
      </c>
      <c r="T267" s="99">
        <f t="shared" si="53"/>
        <v>0</v>
      </c>
      <c r="AR267" s="101" t="s">
        <v>2681</v>
      </c>
      <c r="AT267" s="101" t="s">
        <v>214</v>
      </c>
      <c r="AU267" s="101" t="s">
        <v>87</v>
      </c>
      <c r="AY267" s="23" t="s">
        <v>211</v>
      </c>
      <c r="BE267" s="104">
        <f t="shared" si="54"/>
        <v>0</v>
      </c>
      <c r="BF267" s="104">
        <f t="shared" si="55"/>
        <v>22500</v>
      </c>
      <c r="BG267" s="104">
        <f t="shared" si="56"/>
        <v>0</v>
      </c>
      <c r="BH267" s="104">
        <f t="shared" si="57"/>
        <v>0</v>
      </c>
      <c r="BI267" s="104">
        <f t="shared" si="58"/>
        <v>0</v>
      </c>
      <c r="BJ267" s="23" t="s">
        <v>87</v>
      </c>
      <c r="BK267" s="104">
        <f t="shared" si="59"/>
        <v>22500</v>
      </c>
      <c r="BL267" s="23" t="s">
        <v>2681</v>
      </c>
      <c r="BM267" s="101" t="s">
        <v>5288</v>
      </c>
    </row>
    <row r="268" spans="2:65" s="1" customFormat="1" ht="24.15" customHeight="1">
      <c r="B268" s="12"/>
      <c r="C268" s="114" t="s">
        <v>1163</v>
      </c>
      <c r="D268" s="114" t="s">
        <v>438</v>
      </c>
      <c r="E268" s="115" t="s">
        <v>4800</v>
      </c>
      <c r="F268" s="116" t="s">
        <v>5289</v>
      </c>
      <c r="G268" s="117" t="s">
        <v>234</v>
      </c>
      <c r="H268" s="118">
        <v>1</v>
      </c>
      <c r="I268" s="122">
        <v>20000</v>
      </c>
      <c r="J268" s="123">
        <f t="shared" si="50"/>
        <v>20000</v>
      </c>
      <c r="K268" s="124"/>
      <c r="L268" s="125"/>
      <c r="M268" s="126" t="s">
        <v>1</v>
      </c>
      <c r="N268" s="127" t="s">
        <v>43</v>
      </c>
      <c r="P268" s="95">
        <f t="shared" si="51"/>
        <v>0</v>
      </c>
      <c r="Q268" s="95">
        <v>0</v>
      </c>
      <c r="R268" s="95">
        <f t="shared" si="52"/>
        <v>0</v>
      </c>
      <c r="S268" s="95">
        <v>0</v>
      </c>
      <c r="T268" s="99">
        <f t="shared" si="53"/>
        <v>0</v>
      </c>
      <c r="AR268" s="101" t="s">
        <v>250</v>
      </c>
      <c r="AT268" s="101" t="s">
        <v>438</v>
      </c>
      <c r="AU268" s="101" t="s">
        <v>87</v>
      </c>
      <c r="AY268" s="23" t="s">
        <v>211</v>
      </c>
      <c r="BE268" s="104">
        <f t="shared" si="54"/>
        <v>0</v>
      </c>
      <c r="BF268" s="104">
        <f t="shared" si="55"/>
        <v>20000</v>
      </c>
      <c r="BG268" s="104">
        <f t="shared" si="56"/>
        <v>0</v>
      </c>
      <c r="BH268" s="104">
        <f t="shared" si="57"/>
        <v>0</v>
      </c>
      <c r="BI268" s="104">
        <f t="shared" si="58"/>
        <v>0</v>
      </c>
      <c r="BJ268" s="23" t="s">
        <v>87</v>
      </c>
      <c r="BK268" s="104">
        <f t="shared" si="59"/>
        <v>20000</v>
      </c>
      <c r="BL268" s="23" t="s">
        <v>218</v>
      </c>
      <c r="BM268" s="101" t="s">
        <v>5290</v>
      </c>
    </row>
    <row r="269" spans="2:65" s="1" customFormat="1" ht="16.5" customHeight="1">
      <c r="B269" s="12"/>
      <c r="C269" s="71" t="s">
        <v>1167</v>
      </c>
      <c r="D269" s="71" t="s">
        <v>214</v>
      </c>
      <c r="E269" s="72" t="s">
        <v>5291</v>
      </c>
      <c r="F269" s="73" t="s">
        <v>5292</v>
      </c>
      <c r="G269" s="74" t="s">
        <v>234</v>
      </c>
      <c r="H269" s="75">
        <v>1</v>
      </c>
      <c r="I269" s="90">
        <v>10000</v>
      </c>
      <c r="J269" s="91">
        <f t="shared" si="50"/>
        <v>10000</v>
      </c>
      <c r="K269" s="92"/>
      <c r="L269" s="12"/>
      <c r="M269" s="93" t="s">
        <v>1</v>
      </c>
      <c r="N269" s="94" t="s">
        <v>43</v>
      </c>
      <c r="P269" s="95">
        <f t="shared" si="51"/>
        <v>0</v>
      </c>
      <c r="Q269" s="95">
        <v>0</v>
      </c>
      <c r="R269" s="95">
        <f t="shared" si="52"/>
        <v>0</v>
      </c>
      <c r="S269" s="95">
        <v>0</v>
      </c>
      <c r="T269" s="99">
        <f t="shared" si="53"/>
        <v>0</v>
      </c>
      <c r="AR269" s="101" t="s">
        <v>218</v>
      </c>
      <c r="AT269" s="101" t="s">
        <v>214</v>
      </c>
      <c r="AU269" s="101" t="s">
        <v>87</v>
      </c>
      <c r="AY269" s="23" t="s">
        <v>211</v>
      </c>
      <c r="BE269" s="104">
        <f t="shared" si="54"/>
        <v>0</v>
      </c>
      <c r="BF269" s="104">
        <f t="shared" si="55"/>
        <v>10000</v>
      </c>
      <c r="BG269" s="104">
        <f t="shared" si="56"/>
        <v>0</v>
      </c>
      <c r="BH269" s="104">
        <f t="shared" si="57"/>
        <v>0</v>
      </c>
      <c r="BI269" s="104">
        <f t="shared" si="58"/>
        <v>0</v>
      </c>
      <c r="BJ269" s="23" t="s">
        <v>87</v>
      </c>
      <c r="BK269" s="104">
        <f t="shared" si="59"/>
        <v>10000</v>
      </c>
      <c r="BL269" s="23" t="s">
        <v>218</v>
      </c>
      <c r="BM269" s="101" t="s">
        <v>5293</v>
      </c>
    </row>
    <row r="270" spans="2:65" s="1" customFormat="1" ht="24.15" customHeight="1">
      <c r="B270" s="12"/>
      <c r="C270" s="71" t="s">
        <v>1187</v>
      </c>
      <c r="D270" s="71" t="s">
        <v>214</v>
      </c>
      <c r="E270" s="72" t="s">
        <v>5294</v>
      </c>
      <c r="F270" s="73" t="s">
        <v>5295</v>
      </c>
      <c r="G270" s="74" t="s">
        <v>1599</v>
      </c>
      <c r="H270" s="75">
        <v>1</v>
      </c>
      <c r="I270" s="90">
        <v>10000</v>
      </c>
      <c r="J270" s="91">
        <f t="shared" si="50"/>
        <v>10000</v>
      </c>
      <c r="K270" s="92"/>
      <c r="L270" s="12"/>
      <c r="M270" s="93" t="s">
        <v>1</v>
      </c>
      <c r="N270" s="94" t="s">
        <v>43</v>
      </c>
      <c r="P270" s="95">
        <f t="shared" si="51"/>
        <v>0</v>
      </c>
      <c r="Q270" s="95">
        <v>0</v>
      </c>
      <c r="R270" s="95">
        <f t="shared" si="52"/>
        <v>0</v>
      </c>
      <c r="S270" s="95">
        <v>0</v>
      </c>
      <c r="T270" s="99">
        <f t="shared" si="53"/>
        <v>0</v>
      </c>
      <c r="AR270" s="101" t="s">
        <v>446</v>
      </c>
      <c r="AT270" s="101" t="s">
        <v>214</v>
      </c>
      <c r="AU270" s="101" t="s">
        <v>87</v>
      </c>
      <c r="AY270" s="23" t="s">
        <v>211</v>
      </c>
      <c r="BE270" s="104">
        <f t="shared" si="54"/>
        <v>0</v>
      </c>
      <c r="BF270" s="104">
        <f t="shared" si="55"/>
        <v>10000</v>
      </c>
      <c r="BG270" s="104">
        <f t="shared" si="56"/>
        <v>0</v>
      </c>
      <c r="BH270" s="104">
        <f t="shared" si="57"/>
        <v>0</v>
      </c>
      <c r="BI270" s="104">
        <f t="shared" si="58"/>
        <v>0</v>
      </c>
      <c r="BJ270" s="23" t="s">
        <v>87</v>
      </c>
      <c r="BK270" s="104">
        <f t="shared" si="59"/>
        <v>10000</v>
      </c>
      <c r="BL270" s="23" t="s">
        <v>446</v>
      </c>
      <c r="BM270" s="101" t="s">
        <v>5296</v>
      </c>
    </row>
    <row r="271" spans="2:65" s="1" customFormat="1" ht="24.15" customHeight="1">
      <c r="B271" s="12"/>
      <c r="C271" s="71" t="s">
        <v>1191</v>
      </c>
      <c r="D271" s="71" t="s">
        <v>214</v>
      </c>
      <c r="E271" s="72" t="s">
        <v>5297</v>
      </c>
      <c r="F271" s="73" t="s">
        <v>5298</v>
      </c>
      <c r="G271" s="74" t="s">
        <v>1599</v>
      </c>
      <c r="H271" s="75">
        <v>26</v>
      </c>
      <c r="I271" s="90">
        <v>3000</v>
      </c>
      <c r="J271" s="91">
        <f t="shared" si="50"/>
        <v>78000</v>
      </c>
      <c r="K271" s="92"/>
      <c r="L271" s="12"/>
      <c r="M271" s="93" t="s">
        <v>1</v>
      </c>
      <c r="N271" s="94" t="s">
        <v>43</v>
      </c>
      <c r="P271" s="95">
        <f t="shared" si="51"/>
        <v>0</v>
      </c>
      <c r="Q271" s="95">
        <v>0</v>
      </c>
      <c r="R271" s="95">
        <f t="shared" si="52"/>
        <v>0</v>
      </c>
      <c r="S271" s="95">
        <v>0</v>
      </c>
      <c r="T271" s="99">
        <f t="shared" si="53"/>
        <v>0</v>
      </c>
      <c r="AR271" s="101" t="s">
        <v>446</v>
      </c>
      <c r="AT271" s="101" t="s">
        <v>214</v>
      </c>
      <c r="AU271" s="101" t="s">
        <v>87</v>
      </c>
      <c r="AY271" s="23" t="s">
        <v>211</v>
      </c>
      <c r="BE271" s="104">
        <f t="shared" si="54"/>
        <v>0</v>
      </c>
      <c r="BF271" s="104">
        <f t="shared" si="55"/>
        <v>78000</v>
      </c>
      <c r="BG271" s="104">
        <f t="shared" si="56"/>
        <v>0</v>
      </c>
      <c r="BH271" s="104">
        <f t="shared" si="57"/>
        <v>0</v>
      </c>
      <c r="BI271" s="104">
        <f t="shared" si="58"/>
        <v>0</v>
      </c>
      <c r="BJ271" s="23" t="s">
        <v>87</v>
      </c>
      <c r="BK271" s="104">
        <f t="shared" si="59"/>
        <v>78000</v>
      </c>
      <c r="BL271" s="23" t="s">
        <v>446</v>
      </c>
      <c r="BM271" s="101" t="s">
        <v>5299</v>
      </c>
    </row>
    <row r="272" spans="2:65" s="1" customFormat="1" ht="16.5" customHeight="1">
      <c r="B272" s="12"/>
      <c r="C272" s="114" t="s">
        <v>1195</v>
      </c>
      <c r="D272" s="114" t="s">
        <v>438</v>
      </c>
      <c r="E272" s="115" t="s">
        <v>5300</v>
      </c>
      <c r="F272" s="116" t="s">
        <v>4550</v>
      </c>
      <c r="G272" s="117" t="s">
        <v>279</v>
      </c>
      <c r="H272" s="118">
        <v>20</v>
      </c>
      <c r="I272" s="122">
        <v>10000</v>
      </c>
      <c r="J272" s="123">
        <f t="shared" si="50"/>
        <v>200000</v>
      </c>
      <c r="K272" s="124"/>
      <c r="L272" s="125"/>
      <c r="M272" s="126" t="s">
        <v>1</v>
      </c>
      <c r="N272" s="127" t="s">
        <v>43</v>
      </c>
      <c r="P272" s="95">
        <f t="shared" si="51"/>
        <v>0</v>
      </c>
      <c r="Q272" s="95">
        <v>0</v>
      </c>
      <c r="R272" s="95">
        <f t="shared" si="52"/>
        <v>0</v>
      </c>
      <c r="S272" s="95">
        <v>0</v>
      </c>
      <c r="T272" s="99">
        <f t="shared" si="53"/>
        <v>0</v>
      </c>
      <c r="AR272" s="101" t="s">
        <v>2681</v>
      </c>
      <c r="AT272" s="101" t="s">
        <v>438</v>
      </c>
      <c r="AU272" s="101" t="s">
        <v>87</v>
      </c>
      <c r="AY272" s="23" t="s">
        <v>211</v>
      </c>
      <c r="BE272" s="104">
        <f t="shared" si="54"/>
        <v>0</v>
      </c>
      <c r="BF272" s="104">
        <f t="shared" si="55"/>
        <v>200000</v>
      </c>
      <c r="BG272" s="104">
        <f t="shared" si="56"/>
        <v>0</v>
      </c>
      <c r="BH272" s="104">
        <f t="shared" si="57"/>
        <v>0</v>
      </c>
      <c r="BI272" s="104">
        <f t="shared" si="58"/>
        <v>0</v>
      </c>
      <c r="BJ272" s="23" t="s">
        <v>87</v>
      </c>
      <c r="BK272" s="104">
        <f t="shared" si="59"/>
        <v>200000</v>
      </c>
      <c r="BL272" s="23" t="s">
        <v>2681</v>
      </c>
      <c r="BM272" s="101" t="s">
        <v>5301</v>
      </c>
    </row>
    <row r="273" spans="2:65" s="1" customFormat="1" ht="16.5" customHeight="1">
      <c r="B273" s="12"/>
      <c r="C273" s="71" t="s">
        <v>1206</v>
      </c>
      <c r="D273" s="71" t="s">
        <v>214</v>
      </c>
      <c r="E273" s="72" t="s">
        <v>5302</v>
      </c>
      <c r="F273" s="73" t="s">
        <v>5303</v>
      </c>
      <c r="G273" s="74" t="s">
        <v>4204</v>
      </c>
      <c r="H273" s="75">
        <v>10</v>
      </c>
      <c r="I273" s="90">
        <v>500</v>
      </c>
      <c r="J273" s="91">
        <f t="shared" si="50"/>
        <v>5000</v>
      </c>
      <c r="K273" s="92"/>
      <c r="L273" s="12"/>
      <c r="M273" s="93" t="s">
        <v>1</v>
      </c>
      <c r="N273" s="94" t="s">
        <v>43</v>
      </c>
      <c r="P273" s="95">
        <f t="shared" si="51"/>
        <v>0</v>
      </c>
      <c r="Q273" s="95">
        <v>0</v>
      </c>
      <c r="R273" s="95">
        <f t="shared" si="52"/>
        <v>0</v>
      </c>
      <c r="S273" s="95">
        <v>0</v>
      </c>
      <c r="T273" s="99">
        <f t="shared" si="53"/>
        <v>0</v>
      </c>
      <c r="AR273" s="101" t="s">
        <v>2681</v>
      </c>
      <c r="AT273" s="101" t="s">
        <v>214</v>
      </c>
      <c r="AU273" s="101" t="s">
        <v>87</v>
      </c>
      <c r="AY273" s="23" t="s">
        <v>211</v>
      </c>
      <c r="BE273" s="104">
        <f t="shared" si="54"/>
        <v>0</v>
      </c>
      <c r="BF273" s="104">
        <f t="shared" si="55"/>
        <v>5000</v>
      </c>
      <c r="BG273" s="104">
        <f t="shared" si="56"/>
        <v>0</v>
      </c>
      <c r="BH273" s="104">
        <f t="shared" si="57"/>
        <v>0</v>
      </c>
      <c r="BI273" s="104">
        <f t="shared" si="58"/>
        <v>0</v>
      </c>
      <c r="BJ273" s="23" t="s">
        <v>87</v>
      </c>
      <c r="BK273" s="104">
        <f t="shared" si="59"/>
        <v>5000</v>
      </c>
      <c r="BL273" s="23" t="s">
        <v>2681</v>
      </c>
      <c r="BM273" s="101" t="s">
        <v>5304</v>
      </c>
    </row>
    <row r="274" spans="2:65" s="1" customFormat="1" ht="16.5" customHeight="1">
      <c r="B274" s="12"/>
      <c r="C274" s="71" t="s">
        <v>1211</v>
      </c>
      <c r="D274" s="71" t="s">
        <v>214</v>
      </c>
      <c r="E274" s="72" t="s">
        <v>5305</v>
      </c>
      <c r="F274" s="73" t="s">
        <v>5306</v>
      </c>
      <c r="G274" s="74" t="s">
        <v>234</v>
      </c>
      <c r="H274" s="75">
        <v>1</v>
      </c>
      <c r="I274" s="90">
        <v>100000</v>
      </c>
      <c r="J274" s="91">
        <f t="shared" si="50"/>
        <v>100000</v>
      </c>
      <c r="K274" s="92"/>
      <c r="L274" s="12"/>
      <c r="M274" s="93" t="s">
        <v>1</v>
      </c>
      <c r="N274" s="94" t="s">
        <v>43</v>
      </c>
      <c r="P274" s="95">
        <f t="shared" si="51"/>
        <v>0</v>
      </c>
      <c r="Q274" s="95">
        <v>0</v>
      </c>
      <c r="R274" s="95">
        <f t="shared" si="52"/>
        <v>0</v>
      </c>
      <c r="S274" s="95">
        <v>0</v>
      </c>
      <c r="T274" s="99">
        <f t="shared" si="53"/>
        <v>0</v>
      </c>
      <c r="AR274" s="101" t="s">
        <v>2681</v>
      </c>
      <c r="AT274" s="101" t="s">
        <v>214</v>
      </c>
      <c r="AU274" s="101" t="s">
        <v>87</v>
      </c>
      <c r="AY274" s="23" t="s">
        <v>211</v>
      </c>
      <c r="BE274" s="104">
        <f t="shared" si="54"/>
        <v>0</v>
      </c>
      <c r="BF274" s="104">
        <f t="shared" si="55"/>
        <v>100000</v>
      </c>
      <c r="BG274" s="104">
        <f t="shared" si="56"/>
        <v>0</v>
      </c>
      <c r="BH274" s="104">
        <f t="shared" si="57"/>
        <v>0</v>
      </c>
      <c r="BI274" s="104">
        <f t="shared" si="58"/>
        <v>0</v>
      </c>
      <c r="BJ274" s="23" t="s">
        <v>87</v>
      </c>
      <c r="BK274" s="104">
        <f t="shared" si="59"/>
        <v>100000</v>
      </c>
      <c r="BL274" s="23" t="s">
        <v>2681</v>
      </c>
      <c r="BM274" s="101" t="s">
        <v>5307</v>
      </c>
    </row>
    <row r="275" spans="2:65" s="1" customFormat="1" ht="16.5" customHeight="1">
      <c r="B275" s="12"/>
      <c r="C275" s="71" t="s">
        <v>1220</v>
      </c>
      <c r="D275" s="71" t="s">
        <v>214</v>
      </c>
      <c r="E275" s="72" t="s">
        <v>5308</v>
      </c>
      <c r="F275" s="73" t="s">
        <v>5309</v>
      </c>
      <c r="G275" s="74" t="s">
        <v>234</v>
      </c>
      <c r="H275" s="75">
        <v>1</v>
      </c>
      <c r="I275" s="90">
        <v>20000</v>
      </c>
      <c r="J275" s="91">
        <f t="shared" si="50"/>
        <v>20000</v>
      </c>
      <c r="K275" s="92"/>
      <c r="L275" s="12"/>
      <c r="M275" s="130" t="s">
        <v>1</v>
      </c>
      <c r="N275" s="131" t="s">
        <v>43</v>
      </c>
      <c r="O275" s="110"/>
      <c r="P275" s="132">
        <f t="shared" si="51"/>
        <v>0</v>
      </c>
      <c r="Q275" s="132">
        <v>0</v>
      </c>
      <c r="R275" s="132">
        <f t="shared" si="52"/>
        <v>0</v>
      </c>
      <c r="S275" s="132">
        <v>0</v>
      </c>
      <c r="T275" s="134">
        <f t="shared" si="53"/>
        <v>0</v>
      </c>
      <c r="AR275" s="101" t="s">
        <v>2681</v>
      </c>
      <c r="AT275" s="101" t="s">
        <v>214</v>
      </c>
      <c r="AU275" s="101" t="s">
        <v>87</v>
      </c>
      <c r="AY275" s="23" t="s">
        <v>211</v>
      </c>
      <c r="BE275" s="104">
        <f t="shared" si="54"/>
        <v>0</v>
      </c>
      <c r="BF275" s="104">
        <f t="shared" si="55"/>
        <v>20000</v>
      </c>
      <c r="BG275" s="104">
        <f t="shared" si="56"/>
        <v>0</v>
      </c>
      <c r="BH275" s="104">
        <f t="shared" si="57"/>
        <v>0</v>
      </c>
      <c r="BI275" s="104">
        <f t="shared" si="58"/>
        <v>0</v>
      </c>
      <c r="BJ275" s="23" t="s">
        <v>87</v>
      </c>
      <c r="BK275" s="104">
        <f t="shared" si="59"/>
        <v>20000</v>
      </c>
      <c r="BL275" s="23" t="s">
        <v>2681</v>
      </c>
      <c r="BM275" s="101" t="s">
        <v>5310</v>
      </c>
    </row>
    <row r="276" spans="2:65" s="1" customFormat="1" ht="6.9" customHeight="1">
      <c r="B276" s="26"/>
      <c r="C276" s="27"/>
      <c r="D276" s="27"/>
      <c r="E276" s="27"/>
      <c r="F276" s="27"/>
      <c r="G276" s="27"/>
      <c r="H276" s="27"/>
      <c r="I276" s="27"/>
      <c r="J276" s="27"/>
      <c r="K276" s="27"/>
      <c r="L276" s="12"/>
    </row>
  </sheetData>
  <autoFilter ref="C126:K275" xr:uid="{00000000-0009-0000-0000-00000A000000}"/>
  <mergeCells count="12">
    <mergeCell ref="L2:V2"/>
    <mergeCell ref="E7:H7"/>
    <mergeCell ref="E9:H9"/>
    <mergeCell ref="E11:H11"/>
    <mergeCell ref="E20:H20"/>
    <mergeCell ref="E117:H117"/>
    <mergeCell ref="E119:H119"/>
    <mergeCell ref="E29:H29"/>
    <mergeCell ref="E85:H85"/>
    <mergeCell ref="E87:H87"/>
    <mergeCell ref="E89:H89"/>
    <mergeCell ref="E115:H115"/>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2:BM265"/>
  <sheetViews>
    <sheetView showGridLines="0" topLeftCell="A11" zoomScale="130" zoomScaleNormal="130" workbookViewId="0">
      <selection activeCell="I265" sqref="I265"/>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122</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2" customHeight="1">
      <c r="B8" s="5"/>
      <c r="D8" s="10" t="s">
        <v>182</v>
      </c>
      <c r="L8" s="5"/>
    </row>
    <row r="9" spans="2:46" s="1" customFormat="1" ht="16.5" customHeight="1">
      <c r="B9" s="12"/>
      <c r="E9" s="392" t="s">
        <v>293</v>
      </c>
      <c r="F9" s="394"/>
      <c r="G9" s="394"/>
      <c r="H9" s="394"/>
      <c r="L9" s="12"/>
    </row>
    <row r="10" spans="2:46" s="1" customFormat="1" ht="12" customHeight="1">
      <c r="B10" s="12"/>
      <c r="D10" s="10" t="s">
        <v>296</v>
      </c>
      <c r="L10" s="12"/>
    </row>
    <row r="11" spans="2:46" s="1" customFormat="1" ht="16.5" customHeight="1">
      <c r="B11" s="12"/>
      <c r="E11" s="381" t="s">
        <v>5311</v>
      </c>
      <c r="F11" s="394"/>
      <c r="G11" s="394"/>
      <c r="H11" s="394"/>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395" t="str">
        <f>'Rekapitulace stavby'!E14</f>
        <v>DMG Stav a.s.</v>
      </c>
      <c r="F20" s="384"/>
      <c r="G20" s="384"/>
      <c r="H20" s="384"/>
      <c r="I20" s="10" t="s">
        <v>26</v>
      </c>
      <c r="J20" s="33" t="str">
        <f>'Rekapitulace stavby'!AN14</f>
        <v>CZ 08004013</v>
      </c>
      <c r="L20" s="12"/>
    </row>
    <row r="21" spans="2:12" s="1" customFormat="1" ht="6.9"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 customHeight="1">
      <c r="B27" s="12"/>
      <c r="L27" s="12"/>
    </row>
    <row r="28" spans="2:12" s="1" customFormat="1" ht="12" customHeight="1">
      <c r="B28" s="12"/>
      <c r="D28" s="10" t="s">
        <v>36</v>
      </c>
      <c r="L28" s="12"/>
    </row>
    <row r="29" spans="2:12" s="28" customFormat="1" ht="16.5" customHeight="1">
      <c r="B29" s="34"/>
      <c r="E29" s="388" t="s">
        <v>1</v>
      </c>
      <c r="F29" s="388"/>
      <c r="G29" s="388"/>
      <c r="H29" s="388"/>
      <c r="L29" s="34"/>
    </row>
    <row r="30" spans="2:12" s="1" customFormat="1" ht="6.9" customHeight="1">
      <c r="B30" s="12"/>
      <c r="L30" s="12"/>
    </row>
    <row r="31" spans="2:12" s="1" customFormat="1" ht="6.9" customHeight="1">
      <c r="B31" s="12"/>
      <c r="D31" s="35"/>
      <c r="E31" s="35"/>
      <c r="F31" s="35"/>
      <c r="G31" s="35"/>
      <c r="H31" s="35"/>
      <c r="I31" s="35"/>
      <c r="J31" s="35"/>
      <c r="K31" s="35"/>
      <c r="L31" s="12"/>
    </row>
    <row r="32" spans="2:12" s="1" customFormat="1" ht="25.35" customHeight="1">
      <c r="B32" s="12"/>
      <c r="D32" s="36" t="s">
        <v>37</v>
      </c>
      <c r="J32" s="51">
        <f>ROUND(J147,2)</f>
        <v>3885503</v>
      </c>
      <c r="L32" s="12"/>
    </row>
    <row r="33" spans="2:12" s="1" customFormat="1" ht="6.9" customHeight="1">
      <c r="B33" s="12"/>
      <c r="D33" s="35"/>
      <c r="E33" s="35"/>
      <c r="F33" s="35"/>
      <c r="G33" s="35"/>
      <c r="H33" s="35"/>
      <c r="I33" s="35"/>
      <c r="J33" s="35"/>
      <c r="K33" s="35"/>
      <c r="L33" s="12"/>
    </row>
    <row r="34" spans="2:12" s="1" customFormat="1" ht="14.4" customHeight="1">
      <c r="B34" s="12"/>
      <c r="F34" s="37" t="s">
        <v>39</v>
      </c>
      <c r="I34" s="37" t="s">
        <v>38</v>
      </c>
      <c r="J34" s="37" t="s">
        <v>40</v>
      </c>
      <c r="L34" s="12"/>
    </row>
    <row r="35" spans="2:12" s="1" customFormat="1" ht="14.4" customHeight="1">
      <c r="B35" s="12"/>
      <c r="D35" s="38" t="s">
        <v>41</v>
      </c>
      <c r="E35" s="10" t="s">
        <v>42</v>
      </c>
      <c r="F35" s="39">
        <f>ROUND((SUM(BE147:BE264)),2)</f>
        <v>3885503</v>
      </c>
      <c r="I35" s="52">
        <v>0.21</v>
      </c>
      <c r="J35" s="39">
        <f>ROUND(((SUM(BE147:BE264))*I35),2)</f>
        <v>815955.63</v>
      </c>
      <c r="L35" s="12"/>
    </row>
    <row r="36" spans="2:12" s="1" customFormat="1" ht="14.4" customHeight="1">
      <c r="B36" s="12"/>
      <c r="E36" s="10" t="s">
        <v>43</v>
      </c>
      <c r="F36" s="39">
        <f>ROUND((SUM(BF147:BF264)),2)</f>
        <v>0</v>
      </c>
      <c r="I36" s="52">
        <v>0.15</v>
      </c>
      <c r="J36" s="39">
        <f>ROUND(((SUM(BF147:BF264))*I36),2)</f>
        <v>0</v>
      </c>
      <c r="L36" s="12"/>
    </row>
    <row r="37" spans="2:12" s="1" customFormat="1" ht="14.4" hidden="1" customHeight="1">
      <c r="B37" s="12"/>
      <c r="E37" s="10" t="s">
        <v>44</v>
      </c>
      <c r="F37" s="39">
        <f>ROUND((SUM(BG147:BG264)),2)</f>
        <v>0</v>
      </c>
      <c r="I37" s="52">
        <v>0.21</v>
      </c>
      <c r="J37" s="39">
        <f>0</f>
        <v>0</v>
      </c>
      <c r="L37" s="12"/>
    </row>
    <row r="38" spans="2:12" s="1" customFormat="1" ht="14.4" hidden="1" customHeight="1">
      <c r="B38" s="12"/>
      <c r="E38" s="10" t="s">
        <v>45</v>
      </c>
      <c r="F38" s="39">
        <f>ROUND((SUM(BH147:BH264)),2)</f>
        <v>0</v>
      </c>
      <c r="I38" s="52">
        <v>0.15</v>
      </c>
      <c r="J38" s="39">
        <f>0</f>
        <v>0</v>
      </c>
      <c r="L38" s="12"/>
    </row>
    <row r="39" spans="2:12" s="1" customFormat="1" ht="14.4" hidden="1" customHeight="1">
      <c r="B39" s="12"/>
      <c r="E39" s="10" t="s">
        <v>46</v>
      </c>
      <c r="F39" s="39">
        <f>ROUND((SUM(BI147:BI264)),2)</f>
        <v>0</v>
      </c>
      <c r="I39" s="52">
        <v>0</v>
      </c>
      <c r="J39" s="39">
        <f>0</f>
        <v>0</v>
      </c>
      <c r="L39" s="12"/>
    </row>
    <row r="40" spans="2:12" s="1" customFormat="1" ht="6.9" customHeight="1">
      <c r="B40" s="12"/>
      <c r="L40" s="12"/>
    </row>
    <row r="41" spans="2:12" s="1" customFormat="1" ht="25.35" customHeight="1">
      <c r="B41" s="12"/>
      <c r="C41" s="40"/>
      <c r="D41" s="41" t="s">
        <v>47</v>
      </c>
      <c r="E41" s="42"/>
      <c r="F41" s="42"/>
      <c r="G41" s="43" t="s">
        <v>48</v>
      </c>
      <c r="H41" s="44" t="s">
        <v>49</v>
      </c>
      <c r="I41" s="42"/>
      <c r="J41" s="53">
        <f>SUM(J32:J39)</f>
        <v>4701458.63</v>
      </c>
      <c r="K41" s="54"/>
      <c r="L41" s="12"/>
    </row>
    <row r="42" spans="2:12" s="1" customFormat="1" ht="14.4" customHeight="1">
      <c r="B42" s="12"/>
      <c r="L42" s="12"/>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s="1" customFormat="1" ht="16.5" customHeight="1">
      <c r="B87" s="12"/>
      <c r="E87" s="392" t="s">
        <v>293</v>
      </c>
      <c r="F87" s="394"/>
      <c r="G87" s="394"/>
      <c r="H87" s="394"/>
      <c r="L87" s="12"/>
    </row>
    <row r="88" spans="2:12" s="1" customFormat="1" ht="12" customHeight="1">
      <c r="B88" s="12"/>
      <c r="C88" s="10" t="s">
        <v>296</v>
      </c>
      <c r="L88" s="12"/>
    </row>
    <row r="89" spans="2:12" s="1" customFormat="1" ht="16.5" customHeight="1">
      <c r="B89" s="12"/>
      <c r="E89" s="381" t="str">
        <f>E11</f>
        <v>D1.700 - Slaboproudé elektroinstalace</v>
      </c>
      <c r="F89" s="394"/>
      <c r="G89" s="394"/>
      <c r="H89" s="394"/>
      <c r="L89" s="12"/>
    </row>
    <row r="90" spans="2:12" s="1" customFormat="1" ht="6.9" customHeight="1">
      <c r="B90" s="12"/>
      <c r="L90" s="12"/>
    </row>
    <row r="91" spans="2:12" s="1" customFormat="1" ht="12" customHeight="1">
      <c r="B91" s="12"/>
      <c r="C91" s="10" t="s">
        <v>20</v>
      </c>
      <c r="F91" s="32" t="str">
        <f>F14</f>
        <v>Praha</v>
      </c>
      <c r="I91" s="10" t="s">
        <v>22</v>
      </c>
      <c r="J91" s="11">
        <f>IF(J14="","",J14)</f>
        <v>45000</v>
      </c>
      <c r="L91" s="12"/>
    </row>
    <row r="92" spans="2:12" s="1" customFormat="1" ht="6.9" customHeight="1">
      <c r="B92" s="12"/>
      <c r="L92" s="12"/>
    </row>
    <row r="93" spans="2:12" s="1" customFormat="1" ht="15.15" customHeight="1">
      <c r="B93" s="12"/>
      <c r="C93" s="10" t="s">
        <v>23</v>
      </c>
      <c r="F93" s="32" t="str">
        <f>E17</f>
        <v>VELTON REAL ESTATE</v>
      </c>
      <c r="I93" s="10" t="s">
        <v>31</v>
      </c>
      <c r="J93" s="8" t="str">
        <f>E23</f>
        <v>ABMV World s.r.o</v>
      </c>
      <c r="L93" s="12"/>
    </row>
    <row r="94" spans="2:12" s="1" customFormat="1" ht="15.15"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J147</f>
        <v>3885503</v>
      </c>
      <c r="L98" s="12"/>
      <c r="AU98" s="23" t="s">
        <v>188</v>
      </c>
    </row>
    <row r="99" spans="2:47" s="29" customFormat="1" ht="24.9" customHeight="1">
      <c r="B99" s="60"/>
      <c r="D99" s="61" t="s">
        <v>5312</v>
      </c>
      <c r="E99" s="62"/>
      <c r="F99" s="62"/>
      <c r="G99" s="62"/>
      <c r="H99" s="62"/>
      <c r="I99" s="62"/>
      <c r="J99" s="77">
        <f>J148</f>
        <v>555470</v>
      </c>
      <c r="L99" s="60"/>
    </row>
    <row r="100" spans="2:47" s="30" customFormat="1" ht="20.100000000000001" customHeight="1">
      <c r="B100" s="63"/>
      <c r="D100" s="64" t="s">
        <v>5313</v>
      </c>
      <c r="E100" s="65"/>
      <c r="F100" s="65"/>
      <c r="G100" s="65"/>
      <c r="H100" s="65"/>
      <c r="I100" s="65"/>
      <c r="J100" s="78">
        <f>J149</f>
        <v>243120</v>
      </c>
      <c r="L100" s="63"/>
    </row>
    <row r="101" spans="2:47" s="30" customFormat="1" ht="20.100000000000001" customHeight="1">
      <c r="B101" s="63"/>
      <c r="D101" s="64" t="s">
        <v>5314</v>
      </c>
      <c r="E101" s="65"/>
      <c r="F101" s="65"/>
      <c r="G101" s="65"/>
      <c r="H101" s="65"/>
      <c r="I101" s="65"/>
      <c r="J101" s="78">
        <f>J155</f>
        <v>77400</v>
      </c>
      <c r="L101" s="63"/>
    </row>
    <row r="102" spans="2:47" s="30" customFormat="1" ht="20.100000000000001" customHeight="1">
      <c r="B102" s="63"/>
      <c r="D102" s="64" t="s">
        <v>5315</v>
      </c>
      <c r="E102" s="65"/>
      <c r="F102" s="65"/>
      <c r="G102" s="65"/>
      <c r="H102" s="65"/>
      <c r="I102" s="65"/>
      <c r="J102" s="78">
        <f>J157</f>
        <v>81450</v>
      </c>
      <c r="L102" s="63"/>
    </row>
    <row r="103" spans="2:47" s="30" customFormat="1" ht="20.100000000000001" customHeight="1">
      <c r="B103" s="63"/>
      <c r="D103" s="64" t="s">
        <v>5316</v>
      </c>
      <c r="E103" s="65"/>
      <c r="F103" s="65"/>
      <c r="G103" s="65"/>
      <c r="H103" s="65"/>
      <c r="I103" s="65"/>
      <c r="J103" s="78">
        <f>J161</f>
        <v>153500</v>
      </c>
      <c r="L103" s="63"/>
    </row>
    <row r="104" spans="2:47" s="29" customFormat="1" ht="24.9" customHeight="1">
      <c r="B104" s="60"/>
      <c r="D104" s="61" t="s">
        <v>5317</v>
      </c>
      <c r="E104" s="62"/>
      <c r="F104" s="62"/>
      <c r="G104" s="62"/>
      <c r="H104" s="62"/>
      <c r="I104" s="62"/>
      <c r="J104" s="77">
        <f>J164</f>
        <v>398760</v>
      </c>
      <c r="L104" s="60"/>
    </row>
    <row r="105" spans="2:47" s="30" customFormat="1" ht="20.100000000000001" customHeight="1">
      <c r="B105" s="63"/>
      <c r="D105" s="64" t="s">
        <v>5313</v>
      </c>
      <c r="E105" s="65"/>
      <c r="F105" s="65"/>
      <c r="G105" s="65"/>
      <c r="H105" s="65"/>
      <c r="I105" s="65"/>
      <c r="J105" s="78">
        <f>J165</f>
        <v>42200</v>
      </c>
      <c r="L105" s="63"/>
    </row>
    <row r="106" spans="2:47" s="30" customFormat="1" ht="20.100000000000001" customHeight="1">
      <c r="B106" s="63"/>
      <c r="D106" s="64" t="s">
        <v>5314</v>
      </c>
      <c r="E106" s="65"/>
      <c r="F106" s="65"/>
      <c r="G106" s="65"/>
      <c r="H106" s="65"/>
      <c r="I106" s="65"/>
      <c r="J106" s="78">
        <f>J170</f>
        <v>47760</v>
      </c>
      <c r="L106" s="63"/>
    </row>
    <row r="107" spans="2:47" s="30" customFormat="1" ht="20.100000000000001" customHeight="1">
      <c r="B107" s="63"/>
      <c r="D107" s="64" t="s">
        <v>5318</v>
      </c>
      <c r="E107" s="65"/>
      <c r="F107" s="65"/>
      <c r="G107" s="65"/>
      <c r="H107" s="65"/>
      <c r="I107" s="65"/>
      <c r="J107" s="78">
        <f>J174</f>
        <v>200800</v>
      </c>
      <c r="L107" s="63"/>
    </row>
    <row r="108" spans="2:47" s="30" customFormat="1" ht="20.100000000000001" customHeight="1">
      <c r="B108" s="63"/>
      <c r="D108" s="64" t="s">
        <v>5316</v>
      </c>
      <c r="E108" s="65"/>
      <c r="F108" s="65"/>
      <c r="G108" s="65"/>
      <c r="H108" s="65"/>
      <c r="I108" s="65"/>
      <c r="J108" s="78">
        <f>J184</f>
        <v>108000</v>
      </c>
      <c r="L108" s="63"/>
    </row>
    <row r="109" spans="2:47" s="29" customFormat="1" ht="24.9" customHeight="1">
      <c r="B109" s="60"/>
      <c r="D109" s="61" t="s">
        <v>5319</v>
      </c>
      <c r="E109" s="62"/>
      <c r="F109" s="62"/>
      <c r="G109" s="62"/>
      <c r="H109" s="62"/>
      <c r="I109" s="62"/>
      <c r="J109" s="77">
        <f>J189</f>
        <v>742420</v>
      </c>
      <c r="L109" s="60"/>
    </row>
    <row r="110" spans="2:47" s="30" customFormat="1" ht="20.100000000000001" customHeight="1">
      <c r="B110" s="63"/>
      <c r="D110" s="64" t="s">
        <v>5313</v>
      </c>
      <c r="E110" s="65"/>
      <c r="F110" s="65"/>
      <c r="G110" s="65"/>
      <c r="H110" s="65"/>
      <c r="I110" s="65"/>
      <c r="J110" s="78">
        <f>J190</f>
        <v>216180</v>
      </c>
      <c r="L110" s="63"/>
    </row>
    <row r="111" spans="2:47" s="30" customFormat="1" ht="20.100000000000001" customHeight="1">
      <c r="B111" s="63"/>
      <c r="D111" s="64" t="s">
        <v>5314</v>
      </c>
      <c r="E111" s="65"/>
      <c r="F111" s="65"/>
      <c r="G111" s="65"/>
      <c r="H111" s="65"/>
      <c r="I111" s="65"/>
      <c r="J111" s="78">
        <f>J195</f>
        <v>93960</v>
      </c>
      <c r="L111" s="63"/>
    </row>
    <row r="112" spans="2:47" s="30" customFormat="1" ht="20.100000000000001" customHeight="1">
      <c r="B112" s="63"/>
      <c r="D112" s="64" t="s">
        <v>5320</v>
      </c>
      <c r="E112" s="65"/>
      <c r="F112" s="65"/>
      <c r="G112" s="65"/>
      <c r="H112" s="65"/>
      <c r="I112" s="65"/>
      <c r="J112" s="78">
        <f>J198</f>
        <v>11040</v>
      </c>
      <c r="L112" s="63"/>
    </row>
    <row r="113" spans="2:12" s="30" customFormat="1" ht="20.100000000000001" customHeight="1">
      <c r="B113" s="63"/>
      <c r="D113" s="64" t="s">
        <v>5321</v>
      </c>
      <c r="E113" s="65"/>
      <c r="F113" s="65"/>
      <c r="G113" s="65"/>
      <c r="H113" s="65"/>
      <c r="I113" s="65"/>
      <c r="J113" s="78">
        <f>J201</f>
        <v>237240</v>
      </c>
      <c r="L113" s="63"/>
    </row>
    <row r="114" spans="2:12" s="30" customFormat="1" ht="20.100000000000001" customHeight="1">
      <c r="B114" s="63"/>
      <c r="D114" s="64" t="s">
        <v>5316</v>
      </c>
      <c r="E114" s="65"/>
      <c r="F114" s="65"/>
      <c r="G114" s="65"/>
      <c r="H114" s="65"/>
      <c r="I114" s="65"/>
      <c r="J114" s="78">
        <f>J214</f>
        <v>184000</v>
      </c>
      <c r="L114" s="63"/>
    </row>
    <row r="115" spans="2:12" s="29" customFormat="1" ht="24.9" customHeight="1">
      <c r="B115" s="60"/>
      <c r="D115" s="61" t="s">
        <v>5322</v>
      </c>
      <c r="E115" s="62"/>
      <c r="F115" s="62"/>
      <c r="G115" s="62"/>
      <c r="H115" s="62"/>
      <c r="I115" s="62"/>
      <c r="J115" s="77">
        <f>J218</f>
        <v>835053</v>
      </c>
      <c r="L115" s="60"/>
    </row>
    <row r="116" spans="2:12" s="30" customFormat="1" ht="20.100000000000001" customHeight="1">
      <c r="B116" s="63"/>
      <c r="D116" s="64" t="s">
        <v>5313</v>
      </c>
      <c r="E116" s="65"/>
      <c r="F116" s="65"/>
      <c r="G116" s="65"/>
      <c r="H116" s="65"/>
      <c r="I116" s="65"/>
      <c r="J116" s="78">
        <f>J219</f>
        <v>294870</v>
      </c>
      <c r="L116" s="63"/>
    </row>
    <row r="117" spans="2:12" s="30" customFormat="1" ht="20.100000000000001" customHeight="1">
      <c r="B117" s="63"/>
      <c r="D117" s="64" t="s">
        <v>5323</v>
      </c>
      <c r="E117" s="65"/>
      <c r="F117" s="65"/>
      <c r="G117" s="65"/>
      <c r="H117" s="65"/>
      <c r="I117" s="65"/>
      <c r="J117" s="78">
        <f>J225</f>
        <v>138410</v>
      </c>
      <c r="L117" s="63"/>
    </row>
    <row r="118" spans="2:12" s="30" customFormat="1" ht="20.100000000000001" customHeight="1">
      <c r="B118" s="63"/>
      <c r="D118" s="64" t="s">
        <v>5324</v>
      </c>
      <c r="E118" s="65"/>
      <c r="F118" s="65"/>
      <c r="G118" s="65"/>
      <c r="H118" s="65"/>
      <c r="I118" s="65"/>
      <c r="J118" s="78">
        <f>J230</f>
        <v>169773</v>
      </c>
      <c r="L118" s="63"/>
    </row>
    <row r="119" spans="2:12" s="30" customFormat="1" ht="20.100000000000001" customHeight="1">
      <c r="B119" s="63"/>
      <c r="D119" s="64" t="s">
        <v>5316</v>
      </c>
      <c r="E119" s="65"/>
      <c r="F119" s="65"/>
      <c r="G119" s="65"/>
      <c r="H119" s="65"/>
      <c r="I119" s="65"/>
      <c r="J119" s="78">
        <f>J242</f>
        <v>232000</v>
      </c>
      <c r="L119" s="63"/>
    </row>
    <row r="120" spans="2:12" s="29" customFormat="1" ht="24.9" customHeight="1">
      <c r="B120" s="60"/>
      <c r="D120" s="61" t="s">
        <v>5325</v>
      </c>
      <c r="E120" s="62"/>
      <c r="F120" s="62"/>
      <c r="G120" s="62"/>
      <c r="H120" s="62"/>
      <c r="I120" s="62"/>
      <c r="J120" s="77">
        <f>J247</f>
        <v>66600</v>
      </c>
      <c r="L120" s="60"/>
    </row>
    <row r="121" spans="2:12" s="30" customFormat="1" ht="20.100000000000001" customHeight="1">
      <c r="B121" s="63"/>
      <c r="D121" s="64" t="s">
        <v>5326</v>
      </c>
      <c r="E121" s="65"/>
      <c r="F121" s="65"/>
      <c r="G121" s="65"/>
      <c r="H121" s="65"/>
      <c r="I121" s="65"/>
      <c r="J121" s="78">
        <f>J248</f>
        <v>54600</v>
      </c>
      <c r="L121" s="63"/>
    </row>
    <row r="122" spans="2:12" s="30" customFormat="1" ht="20.100000000000001" customHeight="1">
      <c r="B122" s="63"/>
      <c r="D122" s="64" t="s">
        <v>5316</v>
      </c>
      <c r="E122" s="65"/>
      <c r="F122" s="65"/>
      <c r="G122" s="65"/>
      <c r="H122" s="65"/>
      <c r="I122" s="65"/>
      <c r="J122" s="78">
        <f>J250</f>
        <v>12000</v>
      </c>
      <c r="L122" s="63"/>
    </row>
    <row r="123" spans="2:12" s="29" customFormat="1" ht="24.9" customHeight="1">
      <c r="B123" s="60"/>
      <c r="D123" s="61" t="s">
        <v>5327</v>
      </c>
      <c r="E123" s="62"/>
      <c r="F123" s="62"/>
      <c r="G123" s="62"/>
      <c r="H123" s="62"/>
      <c r="I123" s="62"/>
      <c r="J123" s="77">
        <f>J252</f>
        <v>1287200</v>
      </c>
      <c r="L123" s="60"/>
    </row>
    <row r="124" spans="2:12" s="30" customFormat="1" ht="20.100000000000001" customHeight="1">
      <c r="B124" s="63"/>
      <c r="D124" s="64" t="s">
        <v>5328</v>
      </c>
      <c r="E124" s="65"/>
      <c r="F124" s="65"/>
      <c r="G124" s="65"/>
      <c r="H124" s="65"/>
      <c r="I124" s="65"/>
      <c r="J124" s="78">
        <f>J253</f>
        <v>1257200</v>
      </c>
      <c r="L124" s="63"/>
    </row>
    <row r="125" spans="2:12" s="30" customFormat="1" ht="20.100000000000001" customHeight="1">
      <c r="B125" s="63"/>
      <c r="D125" s="64" t="s">
        <v>5316</v>
      </c>
      <c r="E125" s="65"/>
      <c r="F125" s="65"/>
      <c r="G125" s="65"/>
      <c r="H125" s="65"/>
      <c r="I125" s="65"/>
      <c r="J125" s="78">
        <f>J263</f>
        <v>30000</v>
      </c>
      <c r="L125" s="63"/>
    </row>
    <row r="126" spans="2:12" s="1" customFormat="1" ht="21.75" customHeight="1">
      <c r="B126" s="12"/>
      <c r="L126" s="12"/>
    </row>
    <row r="127" spans="2:12" s="1" customFormat="1" ht="6.9" customHeight="1">
      <c r="B127" s="26"/>
      <c r="C127" s="27"/>
      <c r="D127" s="27"/>
      <c r="E127" s="27"/>
      <c r="F127" s="27"/>
      <c r="G127" s="27"/>
      <c r="H127" s="27"/>
      <c r="I127" s="27"/>
      <c r="J127" s="27"/>
      <c r="K127" s="27"/>
      <c r="L127" s="12"/>
    </row>
    <row r="131" spans="2:12" s="1" customFormat="1" ht="6.9" customHeight="1">
      <c r="B131" s="56"/>
      <c r="C131" s="57"/>
      <c r="D131" s="57"/>
      <c r="E131" s="57"/>
      <c r="F131" s="57"/>
      <c r="G131" s="57"/>
      <c r="H131" s="57"/>
      <c r="I131" s="57"/>
      <c r="J131" s="57"/>
      <c r="K131" s="57"/>
      <c r="L131" s="12"/>
    </row>
    <row r="132" spans="2:12" s="1" customFormat="1" ht="24.9" customHeight="1">
      <c r="B132" s="12"/>
      <c r="C132" s="6" t="s">
        <v>195</v>
      </c>
      <c r="L132" s="12"/>
    </row>
    <row r="133" spans="2:12" s="1" customFormat="1" ht="6.9" customHeight="1">
      <c r="B133" s="12"/>
      <c r="L133" s="12"/>
    </row>
    <row r="134" spans="2:12" s="1" customFormat="1" ht="12" customHeight="1">
      <c r="B134" s="12"/>
      <c r="C134" s="10" t="s">
        <v>16</v>
      </c>
      <c r="L134" s="12"/>
    </row>
    <row r="135" spans="2:12" s="1" customFormat="1" ht="16.5" customHeight="1">
      <c r="B135" s="12"/>
      <c r="E135" s="392" t="str">
        <f>E7</f>
        <v>Bytový soubor Libuše</v>
      </c>
      <c r="F135" s="393"/>
      <c r="G135" s="393"/>
      <c r="H135" s="393"/>
      <c r="L135" s="12"/>
    </row>
    <row r="136" spans="2:12" ht="12" customHeight="1">
      <c r="B136" s="5"/>
      <c r="C136" s="10" t="s">
        <v>182</v>
      </c>
      <c r="L136" s="5"/>
    </row>
    <row r="137" spans="2:12" s="1" customFormat="1" ht="16.5" customHeight="1">
      <c r="B137" s="12"/>
      <c r="E137" s="392" t="s">
        <v>293</v>
      </c>
      <c r="F137" s="394"/>
      <c r="G137" s="394"/>
      <c r="H137" s="394"/>
      <c r="L137" s="12"/>
    </row>
    <row r="138" spans="2:12" s="1" customFormat="1" ht="12" customHeight="1">
      <c r="B138" s="12"/>
      <c r="C138" s="10" t="s">
        <v>296</v>
      </c>
      <c r="L138" s="12"/>
    </row>
    <row r="139" spans="2:12" s="1" customFormat="1" ht="16.5" customHeight="1">
      <c r="B139" s="12"/>
      <c r="E139" s="381" t="str">
        <f>E11</f>
        <v>D1.700 - Slaboproudé elektroinstalace</v>
      </c>
      <c r="F139" s="394"/>
      <c r="G139" s="394"/>
      <c r="H139" s="394"/>
      <c r="L139" s="12"/>
    </row>
    <row r="140" spans="2:12" s="1" customFormat="1" ht="6.9" customHeight="1">
      <c r="B140" s="12"/>
      <c r="L140" s="12"/>
    </row>
    <row r="141" spans="2:12" s="1" customFormat="1" ht="12" customHeight="1">
      <c r="B141" s="12"/>
      <c r="C141" s="10" t="s">
        <v>20</v>
      </c>
      <c r="F141" s="32" t="str">
        <f>F14</f>
        <v>Praha</v>
      </c>
      <c r="I141" s="10" t="s">
        <v>22</v>
      </c>
      <c r="J141" s="11">
        <f>IF(J14="","",J14)</f>
        <v>45000</v>
      </c>
      <c r="L141" s="12"/>
    </row>
    <row r="142" spans="2:12" s="1" customFormat="1" ht="6.9" customHeight="1">
      <c r="B142" s="12"/>
      <c r="L142" s="12"/>
    </row>
    <row r="143" spans="2:12" s="1" customFormat="1" ht="15.15" customHeight="1">
      <c r="B143" s="12"/>
      <c r="C143" s="10" t="s">
        <v>23</v>
      </c>
      <c r="F143" s="32" t="str">
        <f>E17</f>
        <v>VELTON REAL ESTATE</v>
      </c>
      <c r="I143" s="10" t="s">
        <v>31</v>
      </c>
      <c r="J143" s="8" t="str">
        <f>E23</f>
        <v>ABMV World s.r.o</v>
      </c>
      <c r="L143" s="12"/>
    </row>
    <row r="144" spans="2:12" s="1" customFormat="1" ht="15.15" customHeight="1">
      <c r="B144" s="12"/>
      <c r="C144" s="10" t="s">
        <v>27</v>
      </c>
      <c r="F144" s="32" t="str">
        <f>IF(E20="","",E20)</f>
        <v>DMG Stav a.s.</v>
      </c>
      <c r="I144" s="10" t="s">
        <v>34</v>
      </c>
      <c r="J144" s="8" t="str">
        <f>E26</f>
        <v>QSB s.r.o.</v>
      </c>
      <c r="L144" s="12"/>
    </row>
    <row r="145" spans="2:65" s="1" customFormat="1" ht="10.35" customHeight="1">
      <c r="B145" s="12"/>
      <c r="L145" s="12"/>
    </row>
    <row r="146" spans="2:65" s="2" customFormat="1" ht="29.25" customHeight="1">
      <c r="B146" s="13"/>
      <c r="C146" s="14" t="s">
        <v>196</v>
      </c>
      <c r="D146" s="15" t="s">
        <v>62</v>
      </c>
      <c r="E146" s="15" t="s">
        <v>58</v>
      </c>
      <c r="F146" s="15" t="s">
        <v>59</v>
      </c>
      <c r="G146" s="15" t="s">
        <v>197</v>
      </c>
      <c r="H146" s="15" t="s">
        <v>198</v>
      </c>
      <c r="I146" s="15" t="s">
        <v>199</v>
      </c>
      <c r="J146" s="16" t="s">
        <v>186</v>
      </c>
      <c r="K146" s="79" t="s">
        <v>200</v>
      </c>
      <c r="L146" s="13"/>
      <c r="M146" s="80" t="s">
        <v>1</v>
      </c>
      <c r="N146" s="81" t="s">
        <v>41</v>
      </c>
      <c r="O146" s="81" t="s">
        <v>201</v>
      </c>
      <c r="P146" s="81" t="s">
        <v>202</v>
      </c>
      <c r="Q146" s="81" t="s">
        <v>203</v>
      </c>
      <c r="R146" s="81" t="s">
        <v>204</v>
      </c>
      <c r="S146" s="81" t="s">
        <v>205</v>
      </c>
      <c r="T146" s="96" t="s">
        <v>206</v>
      </c>
    </row>
    <row r="147" spans="2:65" s="1" customFormat="1" ht="23.1" customHeight="1">
      <c r="B147" s="12"/>
      <c r="C147" s="66" t="s">
        <v>207</v>
      </c>
      <c r="J147" s="82">
        <f>BK147</f>
        <v>3885503</v>
      </c>
      <c r="L147" s="12"/>
      <c r="M147" s="83"/>
      <c r="N147" s="35"/>
      <c r="O147" s="35"/>
      <c r="P147" s="84">
        <f>P148+P164+P189+P218+P247+P252</f>
        <v>0</v>
      </c>
      <c r="Q147" s="35"/>
      <c r="R147" s="84">
        <f>R148+R164+R189+R218+R247+R252</f>
        <v>0</v>
      </c>
      <c r="S147" s="35"/>
      <c r="T147" s="97">
        <f>T148+T164+T189+T218+T247+T252</f>
        <v>0</v>
      </c>
      <c r="AT147" s="23" t="s">
        <v>76</v>
      </c>
      <c r="AU147" s="23" t="s">
        <v>188</v>
      </c>
      <c r="BK147" s="102">
        <f>BK148+BK164+BK189+BK218+BK247+BK252</f>
        <v>3885503</v>
      </c>
    </row>
    <row r="148" spans="2:65" s="31" customFormat="1" ht="26.1" customHeight="1">
      <c r="B148" s="67"/>
      <c r="D148" s="68" t="s">
        <v>76</v>
      </c>
      <c r="E148" s="69" t="s">
        <v>3830</v>
      </c>
      <c r="F148" s="69" t="s">
        <v>5329</v>
      </c>
      <c r="I148" s="85"/>
      <c r="J148" s="86">
        <f>BK148</f>
        <v>555470</v>
      </c>
      <c r="L148" s="67"/>
      <c r="M148" s="87"/>
      <c r="P148" s="88">
        <f>P149+P155+P157+P161</f>
        <v>0</v>
      </c>
      <c r="R148" s="88">
        <f>R149+R155+R157+R161</f>
        <v>0</v>
      </c>
      <c r="T148" s="98">
        <f>T149+T155+T157+T161</f>
        <v>0</v>
      </c>
      <c r="AR148" s="68" t="s">
        <v>85</v>
      </c>
      <c r="AT148" s="100" t="s">
        <v>76</v>
      </c>
      <c r="AU148" s="100" t="s">
        <v>77</v>
      </c>
      <c r="AY148" s="68" t="s">
        <v>211</v>
      </c>
      <c r="BK148" s="103">
        <f>BK149+BK155+BK157+BK161</f>
        <v>555470</v>
      </c>
    </row>
    <row r="149" spans="2:65" s="31" customFormat="1" ht="23.1" customHeight="1">
      <c r="B149" s="67"/>
      <c r="D149" s="68" t="s">
        <v>76</v>
      </c>
      <c r="E149" s="70" t="s">
        <v>3832</v>
      </c>
      <c r="F149" s="70" t="s">
        <v>5330</v>
      </c>
      <c r="I149" s="85"/>
      <c r="J149" s="89">
        <f>BK149</f>
        <v>243120</v>
      </c>
      <c r="L149" s="67"/>
      <c r="M149" s="87"/>
      <c r="P149" s="88">
        <f>SUM(P150:P154)</f>
        <v>0</v>
      </c>
      <c r="R149" s="88">
        <f>SUM(R150:R154)</f>
        <v>0</v>
      </c>
      <c r="T149" s="98">
        <f>SUM(T150:T154)</f>
        <v>0</v>
      </c>
      <c r="AR149" s="68" t="s">
        <v>85</v>
      </c>
      <c r="AT149" s="100" t="s">
        <v>76</v>
      </c>
      <c r="AU149" s="100" t="s">
        <v>85</v>
      </c>
      <c r="AY149" s="68" t="s">
        <v>211</v>
      </c>
      <c r="BK149" s="103">
        <f>SUM(BK150:BK154)</f>
        <v>243120</v>
      </c>
    </row>
    <row r="150" spans="2:65" s="1" customFormat="1" ht="24.15" customHeight="1">
      <c r="B150" s="12"/>
      <c r="C150" s="71" t="s">
        <v>85</v>
      </c>
      <c r="D150" s="71" t="s">
        <v>214</v>
      </c>
      <c r="E150" s="72" t="s">
        <v>3834</v>
      </c>
      <c r="F150" s="73" t="s">
        <v>5331</v>
      </c>
      <c r="G150" s="74" t="s">
        <v>444</v>
      </c>
      <c r="H150" s="75">
        <v>1200</v>
      </c>
      <c r="I150" s="90">
        <v>70</v>
      </c>
      <c r="J150" s="91">
        <f>ROUND(I150*H150,2)</f>
        <v>84000</v>
      </c>
      <c r="K150" s="92"/>
      <c r="L150" s="12"/>
      <c r="M150" s="93" t="s">
        <v>1</v>
      </c>
      <c r="N150" s="94" t="s">
        <v>42</v>
      </c>
      <c r="P150" s="95">
        <f>O150*H150</f>
        <v>0</v>
      </c>
      <c r="Q150" s="95">
        <v>0</v>
      </c>
      <c r="R150" s="95">
        <f>Q150*H150</f>
        <v>0</v>
      </c>
      <c r="S150" s="95">
        <v>0</v>
      </c>
      <c r="T150" s="99">
        <f>S150*H150</f>
        <v>0</v>
      </c>
      <c r="AR150" s="101" t="s">
        <v>446</v>
      </c>
      <c r="AT150" s="101" t="s">
        <v>214</v>
      </c>
      <c r="AU150" s="101" t="s">
        <v>87</v>
      </c>
      <c r="AY150" s="23" t="s">
        <v>211</v>
      </c>
      <c r="BE150" s="104">
        <f>IF(N150="základní",J150,0)</f>
        <v>84000</v>
      </c>
      <c r="BF150" s="104">
        <f>IF(N150="snížená",J150,0)</f>
        <v>0</v>
      </c>
      <c r="BG150" s="104">
        <f>IF(N150="zákl. přenesená",J150,0)</f>
        <v>0</v>
      </c>
      <c r="BH150" s="104">
        <f>IF(N150="sníž. přenesená",J150,0)</f>
        <v>0</v>
      </c>
      <c r="BI150" s="104">
        <f>IF(N150="nulová",J150,0)</f>
        <v>0</v>
      </c>
      <c r="BJ150" s="23" t="s">
        <v>85</v>
      </c>
      <c r="BK150" s="104">
        <f>ROUND(I150*H150,2)</f>
        <v>84000</v>
      </c>
      <c r="BL150" s="23" t="s">
        <v>446</v>
      </c>
      <c r="BM150" s="101" t="s">
        <v>87</v>
      </c>
    </row>
    <row r="151" spans="2:65" s="1" customFormat="1" ht="24.15" customHeight="1">
      <c r="B151" s="12"/>
      <c r="C151" s="71" t="s">
        <v>87</v>
      </c>
      <c r="D151" s="71" t="s">
        <v>214</v>
      </c>
      <c r="E151" s="72" t="s">
        <v>951</v>
      </c>
      <c r="F151" s="73" t="s">
        <v>5332</v>
      </c>
      <c r="G151" s="74" t="s">
        <v>444</v>
      </c>
      <c r="H151" s="75">
        <v>280</v>
      </c>
      <c r="I151" s="90">
        <v>90</v>
      </c>
      <c r="J151" s="91">
        <f>ROUND(I151*H151,2)</f>
        <v>25200</v>
      </c>
      <c r="K151" s="92"/>
      <c r="L151" s="12"/>
      <c r="M151" s="93" t="s">
        <v>1</v>
      </c>
      <c r="N151" s="94" t="s">
        <v>42</v>
      </c>
      <c r="P151" s="95">
        <f>O151*H151</f>
        <v>0</v>
      </c>
      <c r="Q151" s="95">
        <v>0</v>
      </c>
      <c r="R151" s="95">
        <f>Q151*H151</f>
        <v>0</v>
      </c>
      <c r="S151" s="95">
        <v>0</v>
      </c>
      <c r="T151" s="99">
        <f>S151*H151</f>
        <v>0</v>
      </c>
      <c r="AR151" s="101" t="s">
        <v>446</v>
      </c>
      <c r="AT151" s="101" t="s">
        <v>214</v>
      </c>
      <c r="AU151" s="101" t="s">
        <v>87</v>
      </c>
      <c r="AY151" s="23" t="s">
        <v>211</v>
      </c>
      <c r="BE151" s="104">
        <f>IF(N151="základní",J151,0)</f>
        <v>25200</v>
      </c>
      <c r="BF151" s="104">
        <f>IF(N151="snížená",J151,0)</f>
        <v>0</v>
      </c>
      <c r="BG151" s="104">
        <f>IF(N151="zákl. přenesená",J151,0)</f>
        <v>0</v>
      </c>
      <c r="BH151" s="104">
        <f>IF(N151="sníž. přenesená",J151,0)</f>
        <v>0</v>
      </c>
      <c r="BI151" s="104">
        <f>IF(N151="nulová",J151,0)</f>
        <v>0</v>
      </c>
      <c r="BJ151" s="23" t="s">
        <v>85</v>
      </c>
      <c r="BK151" s="104">
        <f>ROUND(I151*H151,2)</f>
        <v>25200</v>
      </c>
      <c r="BL151" s="23" t="s">
        <v>446</v>
      </c>
      <c r="BM151" s="101" t="s">
        <v>218</v>
      </c>
    </row>
    <row r="152" spans="2:65" s="1" customFormat="1" ht="24.15" customHeight="1">
      <c r="B152" s="12"/>
      <c r="C152" s="71" t="s">
        <v>137</v>
      </c>
      <c r="D152" s="71" t="s">
        <v>214</v>
      </c>
      <c r="E152" s="72" t="s">
        <v>920</v>
      </c>
      <c r="F152" s="73" t="s">
        <v>5333</v>
      </c>
      <c r="G152" s="74" t="s">
        <v>444</v>
      </c>
      <c r="H152" s="75">
        <v>2000</v>
      </c>
      <c r="I152" s="90">
        <v>50</v>
      </c>
      <c r="J152" s="91">
        <f>ROUND(I152*H152,2)</f>
        <v>100000</v>
      </c>
      <c r="K152" s="92"/>
      <c r="L152" s="12"/>
      <c r="M152" s="93" t="s">
        <v>1</v>
      </c>
      <c r="N152" s="94" t="s">
        <v>42</v>
      </c>
      <c r="P152" s="95">
        <f>O152*H152</f>
        <v>0</v>
      </c>
      <c r="Q152" s="95">
        <v>0</v>
      </c>
      <c r="R152" s="95">
        <f>Q152*H152</f>
        <v>0</v>
      </c>
      <c r="S152" s="95">
        <v>0</v>
      </c>
      <c r="T152" s="99">
        <f>S152*H152</f>
        <v>0</v>
      </c>
      <c r="AR152" s="101" t="s">
        <v>446</v>
      </c>
      <c r="AT152" s="101" t="s">
        <v>214</v>
      </c>
      <c r="AU152" s="101" t="s">
        <v>87</v>
      </c>
      <c r="AY152" s="23" t="s">
        <v>211</v>
      </c>
      <c r="BE152" s="104">
        <f>IF(N152="základní",J152,0)</f>
        <v>100000</v>
      </c>
      <c r="BF152" s="104">
        <f>IF(N152="snížená",J152,0)</f>
        <v>0</v>
      </c>
      <c r="BG152" s="104">
        <f>IF(N152="zákl. přenesená",J152,0)</f>
        <v>0</v>
      </c>
      <c r="BH152" s="104">
        <f>IF(N152="sníž. přenesená",J152,0)</f>
        <v>0</v>
      </c>
      <c r="BI152" s="104">
        <f>IF(N152="nulová",J152,0)</f>
        <v>0</v>
      </c>
      <c r="BJ152" s="23" t="s">
        <v>85</v>
      </c>
      <c r="BK152" s="104">
        <f>ROUND(I152*H152,2)</f>
        <v>100000</v>
      </c>
      <c r="BL152" s="23" t="s">
        <v>446</v>
      </c>
      <c r="BM152" s="101" t="s">
        <v>239</v>
      </c>
    </row>
    <row r="153" spans="2:65" s="1" customFormat="1" ht="24.15" customHeight="1">
      <c r="B153" s="12"/>
      <c r="C153" s="71" t="s">
        <v>218</v>
      </c>
      <c r="D153" s="71" t="s">
        <v>214</v>
      </c>
      <c r="E153" s="72" t="s">
        <v>928</v>
      </c>
      <c r="F153" s="73" t="s">
        <v>5334</v>
      </c>
      <c r="G153" s="74" t="s">
        <v>444</v>
      </c>
      <c r="H153" s="75">
        <v>320</v>
      </c>
      <c r="I153" s="90">
        <v>80</v>
      </c>
      <c r="J153" s="91">
        <f>ROUND(I153*H153,2)</f>
        <v>25600</v>
      </c>
      <c r="K153" s="92"/>
      <c r="L153" s="12"/>
      <c r="M153" s="93" t="s">
        <v>1</v>
      </c>
      <c r="N153" s="94" t="s">
        <v>42</v>
      </c>
      <c r="P153" s="95">
        <f>O153*H153</f>
        <v>0</v>
      </c>
      <c r="Q153" s="95">
        <v>0</v>
      </c>
      <c r="R153" s="95">
        <f>Q153*H153</f>
        <v>0</v>
      </c>
      <c r="S153" s="95">
        <v>0</v>
      </c>
      <c r="T153" s="99">
        <f>S153*H153</f>
        <v>0</v>
      </c>
      <c r="AR153" s="101" t="s">
        <v>446</v>
      </c>
      <c r="AT153" s="101" t="s">
        <v>214</v>
      </c>
      <c r="AU153" s="101" t="s">
        <v>87</v>
      </c>
      <c r="AY153" s="23" t="s">
        <v>211</v>
      </c>
      <c r="BE153" s="104">
        <f>IF(N153="základní",J153,0)</f>
        <v>25600</v>
      </c>
      <c r="BF153" s="104">
        <f>IF(N153="snížená",J153,0)</f>
        <v>0</v>
      </c>
      <c r="BG153" s="104">
        <f>IF(N153="zákl. přenesená",J153,0)</f>
        <v>0</v>
      </c>
      <c r="BH153" s="104">
        <f>IF(N153="sníž. přenesená",J153,0)</f>
        <v>0</v>
      </c>
      <c r="BI153" s="104">
        <f>IF(N153="nulová",J153,0)</f>
        <v>0</v>
      </c>
      <c r="BJ153" s="23" t="s">
        <v>85</v>
      </c>
      <c r="BK153" s="104">
        <f>ROUND(I153*H153,2)</f>
        <v>25600</v>
      </c>
      <c r="BL153" s="23" t="s">
        <v>446</v>
      </c>
      <c r="BM153" s="101" t="s">
        <v>250</v>
      </c>
    </row>
    <row r="154" spans="2:65" s="1" customFormat="1" ht="16.5" customHeight="1">
      <c r="B154" s="12"/>
      <c r="C154" s="71" t="s">
        <v>210</v>
      </c>
      <c r="D154" s="71" t="s">
        <v>214</v>
      </c>
      <c r="E154" s="72" t="s">
        <v>3841</v>
      </c>
      <c r="F154" s="73" t="s">
        <v>5335</v>
      </c>
      <c r="G154" s="74" t="s">
        <v>808</v>
      </c>
      <c r="H154" s="75">
        <v>64</v>
      </c>
      <c r="I154" s="90">
        <v>130</v>
      </c>
      <c r="J154" s="91">
        <f>ROUND(I154*H154,2)</f>
        <v>8320</v>
      </c>
      <c r="K154" s="92"/>
      <c r="L154" s="12"/>
      <c r="M154" s="93" t="s">
        <v>1</v>
      </c>
      <c r="N154" s="94" t="s">
        <v>42</v>
      </c>
      <c r="P154" s="95">
        <f>O154*H154</f>
        <v>0</v>
      </c>
      <c r="Q154" s="95">
        <v>0</v>
      </c>
      <c r="R154" s="95">
        <f>Q154*H154</f>
        <v>0</v>
      </c>
      <c r="S154" s="95">
        <v>0</v>
      </c>
      <c r="T154" s="99">
        <f>S154*H154</f>
        <v>0</v>
      </c>
      <c r="AR154" s="101" t="s">
        <v>446</v>
      </c>
      <c r="AT154" s="101" t="s">
        <v>214</v>
      </c>
      <c r="AU154" s="101" t="s">
        <v>87</v>
      </c>
      <c r="AY154" s="23" t="s">
        <v>211</v>
      </c>
      <c r="BE154" s="104">
        <f>IF(N154="základní",J154,0)</f>
        <v>8320</v>
      </c>
      <c r="BF154" s="104">
        <f>IF(N154="snížená",J154,0)</f>
        <v>0</v>
      </c>
      <c r="BG154" s="104">
        <f>IF(N154="zákl. přenesená",J154,0)</f>
        <v>0</v>
      </c>
      <c r="BH154" s="104">
        <f>IF(N154="sníž. přenesená",J154,0)</f>
        <v>0</v>
      </c>
      <c r="BI154" s="104">
        <f>IF(N154="nulová",J154,0)</f>
        <v>0</v>
      </c>
      <c r="BJ154" s="23" t="s">
        <v>85</v>
      </c>
      <c r="BK154" s="104">
        <f>ROUND(I154*H154,2)</f>
        <v>8320</v>
      </c>
      <c r="BL154" s="23" t="s">
        <v>446</v>
      </c>
      <c r="BM154" s="101" t="s">
        <v>259</v>
      </c>
    </row>
    <row r="155" spans="2:65" s="31" customFormat="1" ht="23.1" customHeight="1">
      <c r="B155" s="67"/>
      <c r="D155" s="68" t="s">
        <v>76</v>
      </c>
      <c r="E155" s="70" t="s">
        <v>3839</v>
      </c>
      <c r="F155" s="70" t="s">
        <v>5139</v>
      </c>
      <c r="I155" s="85"/>
      <c r="J155" s="89">
        <f>BK155</f>
        <v>77400</v>
      </c>
      <c r="L155" s="67"/>
      <c r="M155" s="87"/>
      <c r="P155" s="88">
        <f>P156</f>
        <v>0</v>
      </c>
      <c r="R155" s="88">
        <f>R156</f>
        <v>0</v>
      </c>
      <c r="T155" s="98">
        <f>T156</f>
        <v>0</v>
      </c>
      <c r="AR155" s="68" t="s">
        <v>85</v>
      </c>
      <c r="AT155" s="100" t="s">
        <v>76</v>
      </c>
      <c r="AU155" s="100" t="s">
        <v>85</v>
      </c>
      <c r="AY155" s="68" t="s">
        <v>211</v>
      </c>
      <c r="BK155" s="103">
        <f>BK156</f>
        <v>77400</v>
      </c>
    </row>
    <row r="156" spans="2:65" s="1" customFormat="1" ht="16.5" customHeight="1">
      <c r="B156" s="12"/>
      <c r="C156" s="71" t="s">
        <v>239</v>
      </c>
      <c r="D156" s="71" t="s">
        <v>214</v>
      </c>
      <c r="E156" s="72" t="s">
        <v>936</v>
      </c>
      <c r="F156" s="73" t="s">
        <v>5336</v>
      </c>
      <c r="G156" s="74" t="s">
        <v>444</v>
      </c>
      <c r="H156" s="75">
        <v>4300</v>
      </c>
      <c r="I156" s="90">
        <v>18</v>
      </c>
      <c r="J156" s="91">
        <f>ROUND(I156*H156,2)</f>
        <v>77400</v>
      </c>
      <c r="K156" s="92"/>
      <c r="L156" s="12"/>
      <c r="M156" s="93" t="s">
        <v>1</v>
      </c>
      <c r="N156" s="94" t="s">
        <v>42</v>
      </c>
      <c r="P156" s="95">
        <f>O156*H156</f>
        <v>0</v>
      </c>
      <c r="Q156" s="95">
        <v>0</v>
      </c>
      <c r="R156" s="95">
        <f>Q156*H156</f>
        <v>0</v>
      </c>
      <c r="S156" s="95">
        <v>0</v>
      </c>
      <c r="T156" s="99">
        <f>S156*H156</f>
        <v>0</v>
      </c>
      <c r="AR156" s="101" t="s">
        <v>446</v>
      </c>
      <c r="AT156" s="101" t="s">
        <v>214</v>
      </c>
      <c r="AU156" s="101" t="s">
        <v>87</v>
      </c>
      <c r="AY156" s="23" t="s">
        <v>211</v>
      </c>
      <c r="BE156" s="104">
        <f>IF(N156="základní",J156,0)</f>
        <v>77400</v>
      </c>
      <c r="BF156" s="104">
        <f>IF(N156="snížená",J156,0)</f>
        <v>0</v>
      </c>
      <c r="BG156" s="104">
        <f>IF(N156="zákl. přenesená",J156,0)</f>
        <v>0</v>
      </c>
      <c r="BH156" s="104">
        <f>IF(N156="sníž. přenesená",J156,0)</f>
        <v>0</v>
      </c>
      <c r="BI156" s="104">
        <f>IF(N156="nulová",J156,0)</f>
        <v>0</v>
      </c>
      <c r="BJ156" s="23" t="s">
        <v>85</v>
      </c>
      <c r="BK156" s="104">
        <f>ROUND(I156*H156,2)</f>
        <v>77400</v>
      </c>
      <c r="BL156" s="23" t="s">
        <v>446</v>
      </c>
      <c r="BM156" s="101" t="s">
        <v>273</v>
      </c>
    </row>
    <row r="157" spans="2:65" s="31" customFormat="1" ht="23.1" customHeight="1">
      <c r="B157" s="67"/>
      <c r="D157" s="68" t="s">
        <v>76</v>
      </c>
      <c r="E157" s="70" t="s">
        <v>3853</v>
      </c>
      <c r="F157" s="70" t="s">
        <v>5337</v>
      </c>
      <c r="I157" s="85"/>
      <c r="J157" s="89">
        <f>BK157</f>
        <v>81450</v>
      </c>
      <c r="L157" s="67"/>
      <c r="M157" s="87"/>
      <c r="P157" s="88">
        <f>SUM(P158:P160)</f>
        <v>0</v>
      </c>
      <c r="R157" s="88">
        <f>SUM(R158:R160)</f>
        <v>0</v>
      </c>
      <c r="T157" s="98">
        <f>SUM(T158:T160)</f>
        <v>0</v>
      </c>
      <c r="AR157" s="68" t="s">
        <v>85</v>
      </c>
      <c r="AT157" s="100" t="s">
        <v>76</v>
      </c>
      <c r="AU157" s="100" t="s">
        <v>85</v>
      </c>
      <c r="AY157" s="68" t="s">
        <v>211</v>
      </c>
      <c r="BK157" s="103">
        <f>SUM(BK158:BK160)</f>
        <v>81450</v>
      </c>
    </row>
    <row r="158" spans="2:65" s="1" customFormat="1" ht="33" customHeight="1">
      <c r="B158" s="12"/>
      <c r="C158" s="71" t="s">
        <v>245</v>
      </c>
      <c r="D158" s="71" t="s">
        <v>214</v>
      </c>
      <c r="E158" s="72" t="s">
        <v>943</v>
      </c>
      <c r="F158" s="73" t="s">
        <v>5338</v>
      </c>
      <c r="G158" s="74" t="s">
        <v>808</v>
      </c>
      <c r="H158" s="75">
        <v>39</v>
      </c>
      <c r="I158" s="90">
        <v>1550</v>
      </c>
      <c r="J158" s="91">
        <f>ROUND(I158*H158,2)</f>
        <v>60450</v>
      </c>
      <c r="K158" s="92"/>
      <c r="L158" s="12"/>
      <c r="M158" s="93" t="s">
        <v>1</v>
      </c>
      <c r="N158" s="94" t="s">
        <v>42</v>
      </c>
      <c r="P158" s="95">
        <f>O158*H158</f>
        <v>0</v>
      </c>
      <c r="Q158" s="95">
        <v>0</v>
      </c>
      <c r="R158" s="95">
        <f>Q158*H158</f>
        <v>0</v>
      </c>
      <c r="S158" s="95">
        <v>0</v>
      </c>
      <c r="T158" s="99">
        <f>S158*H158</f>
        <v>0</v>
      </c>
      <c r="AR158" s="101" t="s">
        <v>446</v>
      </c>
      <c r="AT158" s="101" t="s">
        <v>214</v>
      </c>
      <c r="AU158" s="101" t="s">
        <v>87</v>
      </c>
      <c r="AY158" s="23" t="s">
        <v>211</v>
      </c>
      <c r="BE158" s="104">
        <f>IF(N158="základní",J158,0)</f>
        <v>60450</v>
      </c>
      <c r="BF158" s="104">
        <f>IF(N158="snížená",J158,0)</f>
        <v>0</v>
      </c>
      <c r="BG158" s="104">
        <f>IF(N158="zákl. přenesená",J158,0)</f>
        <v>0</v>
      </c>
      <c r="BH158" s="104">
        <f>IF(N158="sníž. přenesená",J158,0)</f>
        <v>0</v>
      </c>
      <c r="BI158" s="104">
        <f>IF(N158="nulová",J158,0)</f>
        <v>0</v>
      </c>
      <c r="BJ158" s="23" t="s">
        <v>85</v>
      </c>
      <c r="BK158" s="104">
        <f>ROUND(I158*H158,2)</f>
        <v>60450</v>
      </c>
      <c r="BL158" s="23" t="s">
        <v>446</v>
      </c>
      <c r="BM158" s="101" t="s">
        <v>437</v>
      </c>
    </row>
    <row r="159" spans="2:65" s="1" customFormat="1" ht="38.1" customHeight="1">
      <c r="B159" s="12"/>
      <c r="C159" s="71" t="s">
        <v>250</v>
      </c>
      <c r="D159" s="71" t="s">
        <v>214</v>
      </c>
      <c r="E159" s="72" t="s">
        <v>1113</v>
      </c>
      <c r="F159" s="73" t="s">
        <v>5339</v>
      </c>
      <c r="G159" s="74" t="s">
        <v>808</v>
      </c>
      <c r="H159" s="75">
        <v>75</v>
      </c>
      <c r="I159" s="90">
        <v>200</v>
      </c>
      <c r="J159" s="91">
        <f>ROUND(I159*H159,2)</f>
        <v>15000</v>
      </c>
      <c r="K159" s="92"/>
      <c r="L159" s="12"/>
      <c r="M159" s="93" t="s">
        <v>1</v>
      </c>
      <c r="N159" s="94" t="s">
        <v>42</v>
      </c>
      <c r="P159" s="95">
        <f>O159*H159</f>
        <v>0</v>
      </c>
      <c r="Q159" s="95">
        <v>0</v>
      </c>
      <c r="R159" s="95">
        <f>Q159*H159</f>
        <v>0</v>
      </c>
      <c r="S159" s="95">
        <v>0</v>
      </c>
      <c r="T159" s="99">
        <f>S159*H159</f>
        <v>0</v>
      </c>
      <c r="AR159" s="101" t="s">
        <v>446</v>
      </c>
      <c r="AT159" s="101" t="s">
        <v>214</v>
      </c>
      <c r="AU159" s="101" t="s">
        <v>87</v>
      </c>
      <c r="AY159" s="23" t="s">
        <v>211</v>
      </c>
      <c r="BE159" s="104">
        <f>IF(N159="základní",J159,0)</f>
        <v>15000</v>
      </c>
      <c r="BF159" s="104">
        <f>IF(N159="snížená",J159,0)</f>
        <v>0</v>
      </c>
      <c r="BG159" s="104">
        <f>IF(N159="zákl. přenesená",J159,0)</f>
        <v>0</v>
      </c>
      <c r="BH159" s="104">
        <f>IF(N159="sníž. přenesená",J159,0)</f>
        <v>0</v>
      </c>
      <c r="BI159" s="104">
        <f>IF(N159="nulová",J159,0)</f>
        <v>0</v>
      </c>
      <c r="BJ159" s="23" t="s">
        <v>85</v>
      </c>
      <c r="BK159" s="104">
        <f>ROUND(I159*H159,2)</f>
        <v>15000</v>
      </c>
      <c r="BL159" s="23" t="s">
        <v>446</v>
      </c>
      <c r="BM159" s="101" t="s">
        <v>446</v>
      </c>
    </row>
    <row r="160" spans="2:65" s="1" customFormat="1" ht="21.75" customHeight="1">
      <c r="B160" s="12"/>
      <c r="C160" s="71" t="s">
        <v>255</v>
      </c>
      <c r="D160" s="71" t="s">
        <v>214</v>
      </c>
      <c r="E160" s="72" t="s">
        <v>594</v>
      </c>
      <c r="F160" s="73" t="s">
        <v>5340</v>
      </c>
      <c r="G160" s="74" t="s">
        <v>808</v>
      </c>
      <c r="H160" s="75">
        <v>75</v>
      </c>
      <c r="I160" s="90">
        <v>80</v>
      </c>
      <c r="J160" s="91">
        <f>ROUND(I160*H160,2)</f>
        <v>6000</v>
      </c>
      <c r="K160" s="92"/>
      <c r="L160" s="12"/>
      <c r="M160" s="93" t="s">
        <v>1</v>
      </c>
      <c r="N160" s="94" t="s">
        <v>42</v>
      </c>
      <c r="P160" s="95">
        <f>O160*H160</f>
        <v>0</v>
      </c>
      <c r="Q160" s="95">
        <v>0</v>
      </c>
      <c r="R160" s="95">
        <f>Q160*H160</f>
        <v>0</v>
      </c>
      <c r="S160" s="95">
        <v>0</v>
      </c>
      <c r="T160" s="99">
        <f>S160*H160</f>
        <v>0</v>
      </c>
      <c r="AR160" s="101" t="s">
        <v>446</v>
      </c>
      <c r="AT160" s="101" t="s">
        <v>214</v>
      </c>
      <c r="AU160" s="101" t="s">
        <v>87</v>
      </c>
      <c r="AY160" s="23" t="s">
        <v>211</v>
      </c>
      <c r="BE160" s="104">
        <f>IF(N160="základní",J160,0)</f>
        <v>6000</v>
      </c>
      <c r="BF160" s="104">
        <f>IF(N160="snížená",J160,0)</f>
        <v>0</v>
      </c>
      <c r="BG160" s="104">
        <f>IF(N160="zákl. přenesená",J160,0)</f>
        <v>0</v>
      </c>
      <c r="BH160" s="104">
        <f>IF(N160="sníž. přenesená",J160,0)</f>
        <v>0</v>
      </c>
      <c r="BI160" s="104">
        <f>IF(N160="nulová",J160,0)</f>
        <v>0</v>
      </c>
      <c r="BJ160" s="23" t="s">
        <v>85</v>
      </c>
      <c r="BK160" s="104">
        <f>ROUND(I160*H160,2)</f>
        <v>6000</v>
      </c>
      <c r="BL160" s="23" t="s">
        <v>446</v>
      </c>
      <c r="BM160" s="101" t="s">
        <v>454</v>
      </c>
    </row>
    <row r="161" spans="2:65" s="31" customFormat="1" ht="23.1" customHeight="1">
      <c r="B161" s="67"/>
      <c r="D161" s="68" t="s">
        <v>76</v>
      </c>
      <c r="E161" s="70" t="s">
        <v>3858</v>
      </c>
      <c r="F161" s="70" t="s">
        <v>3917</v>
      </c>
      <c r="I161" s="85"/>
      <c r="J161" s="89">
        <f>BK161</f>
        <v>153500</v>
      </c>
      <c r="L161" s="67"/>
      <c r="M161" s="87"/>
      <c r="P161" s="88">
        <f>SUM(P162:P163)</f>
        <v>0</v>
      </c>
      <c r="R161" s="88">
        <f>SUM(R162:R163)</f>
        <v>0</v>
      </c>
      <c r="T161" s="98">
        <f>SUM(T162:T163)</f>
        <v>0</v>
      </c>
      <c r="AR161" s="68" t="s">
        <v>85</v>
      </c>
      <c r="AT161" s="100" t="s">
        <v>76</v>
      </c>
      <c r="AU161" s="100" t="s">
        <v>85</v>
      </c>
      <c r="AY161" s="68" t="s">
        <v>211</v>
      </c>
      <c r="BK161" s="103">
        <f>SUM(BK162:BK163)</f>
        <v>153500</v>
      </c>
    </row>
    <row r="162" spans="2:65" s="1" customFormat="1" ht="16.5" customHeight="1">
      <c r="B162" s="12"/>
      <c r="C162" s="71" t="s">
        <v>259</v>
      </c>
      <c r="D162" s="71" t="s">
        <v>214</v>
      </c>
      <c r="E162" s="72" t="s">
        <v>3847</v>
      </c>
      <c r="F162" s="73" t="s">
        <v>5341</v>
      </c>
      <c r="G162" s="74" t="s">
        <v>4204</v>
      </c>
      <c r="H162" s="75">
        <v>400</v>
      </c>
      <c r="I162" s="90">
        <v>350</v>
      </c>
      <c r="J162" s="91">
        <f>ROUND(I162*H162,2)</f>
        <v>140000</v>
      </c>
      <c r="K162" s="92"/>
      <c r="L162" s="12"/>
      <c r="M162" s="93" t="s">
        <v>1</v>
      </c>
      <c r="N162" s="94" t="s">
        <v>42</v>
      </c>
      <c r="P162" s="95">
        <f>O162*H162</f>
        <v>0</v>
      </c>
      <c r="Q162" s="95">
        <v>0</v>
      </c>
      <c r="R162" s="95">
        <f>Q162*H162</f>
        <v>0</v>
      </c>
      <c r="S162" s="95">
        <v>0</v>
      </c>
      <c r="T162" s="99">
        <f>S162*H162</f>
        <v>0</v>
      </c>
      <c r="AR162" s="101" t="s">
        <v>446</v>
      </c>
      <c r="AT162" s="101" t="s">
        <v>214</v>
      </c>
      <c r="AU162" s="101" t="s">
        <v>87</v>
      </c>
      <c r="AY162" s="23" t="s">
        <v>211</v>
      </c>
      <c r="BE162" s="104">
        <f>IF(N162="základní",J162,0)</f>
        <v>140000</v>
      </c>
      <c r="BF162" s="104">
        <f>IF(N162="snížená",J162,0)</f>
        <v>0</v>
      </c>
      <c r="BG162" s="104">
        <f>IF(N162="zákl. přenesená",J162,0)</f>
        <v>0</v>
      </c>
      <c r="BH162" s="104">
        <f>IF(N162="sníž. přenesená",J162,0)</f>
        <v>0</v>
      </c>
      <c r="BI162" s="104">
        <f>IF(N162="nulová",J162,0)</f>
        <v>0</v>
      </c>
      <c r="BJ162" s="23" t="s">
        <v>85</v>
      </c>
      <c r="BK162" s="104">
        <f>ROUND(I162*H162,2)</f>
        <v>140000</v>
      </c>
      <c r="BL162" s="23" t="s">
        <v>446</v>
      </c>
      <c r="BM162" s="101" t="s">
        <v>465</v>
      </c>
    </row>
    <row r="163" spans="2:65" s="1" customFormat="1" ht="21.75" customHeight="1">
      <c r="B163" s="12"/>
      <c r="C163" s="71" t="s">
        <v>266</v>
      </c>
      <c r="D163" s="71" t="s">
        <v>214</v>
      </c>
      <c r="E163" s="72" t="s">
        <v>3849</v>
      </c>
      <c r="F163" s="73" t="s">
        <v>5342</v>
      </c>
      <c r="G163" s="74" t="s">
        <v>808</v>
      </c>
      <c r="H163" s="75">
        <v>75</v>
      </c>
      <c r="I163" s="90">
        <v>180</v>
      </c>
      <c r="J163" s="91">
        <f>ROUND(I163*H163,2)</f>
        <v>13500</v>
      </c>
      <c r="K163" s="92"/>
      <c r="L163" s="12"/>
      <c r="M163" s="93" t="s">
        <v>1</v>
      </c>
      <c r="N163" s="94" t="s">
        <v>42</v>
      </c>
      <c r="P163" s="95">
        <f>O163*H163</f>
        <v>0</v>
      </c>
      <c r="Q163" s="95">
        <v>0</v>
      </c>
      <c r="R163" s="95">
        <f>Q163*H163</f>
        <v>0</v>
      </c>
      <c r="S163" s="95">
        <v>0</v>
      </c>
      <c r="T163" s="99">
        <f>S163*H163</f>
        <v>0</v>
      </c>
      <c r="AR163" s="101" t="s">
        <v>446</v>
      </c>
      <c r="AT163" s="101" t="s">
        <v>214</v>
      </c>
      <c r="AU163" s="101" t="s">
        <v>87</v>
      </c>
      <c r="AY163" s="23" t="s">
        <v>211</v>
      </c>
      <c r="BE163" s="104">
        <f>IF(N163="základní",J163,0)</f>
        <v>13500</v>
      </c>
      <c r="BF163" s="104">
        <f>IF(N163="snížená",J163,0)</f>
        <v>0</v>
      </c>
      <c r="BG163" s="104">
        <f>IF(N163="zákl. přenesená",J163,0)</f>
        <v>0</v>
      </c>
      <c r="BH163" s="104">
        <f>IF(N163="sníž. přenesená",J163,0)</f>
        <v>0</v>
      </c>
      <c r="BI163" s="104">
        <f>IF(N163="nulová",J163,0)</f>
        <v>0</v>
      </c>
      <c r="BJ163" s="23" t="s">
        <v>85</v>
      </c>
      <c r="BK163" s="104">
        <f>ROUND(I163*H163,2)</f>
        <v>13500</v>
      </c>
      <c r="BL163" s="23" t="s">
        <v>446</v>
      </c>
      <c r="BM163" s="101" t="s">
        <v>475</v>
      </c>
    </row>
    <row r="164" spans="2:65" s="31" customFormat="1" ht="26.1" customHeight="1">
      <c r="B164" s="67"/>
      <c r="D164" s="68" t="s">
        <v>76</v>
      </c>
      <c r="E164" s="69" t="s">
        <v>3873</v>
      </c>
      <c r="F164" s="69" t="s">
        <v>5343</v>
      </c>
      <c r="I164" s="85"/>
      <c r="J164" s="86">
        <f>BK164</f>
        <v>398760</v>
      </c>
      <c r="L164" s="67"/>
      <c r="M164" s="87"/>
      <c r="P164" s="88">
        <f>P165+P170+P174+P184</f>
        <v>0</v>
      </c>
      <c r="R164" s="88">
        <f>R165+R170+R174+R184</f>
        <v>0</v>
      </c>
      <c r="T164" s="98">
        <f>T165+T170+T174+T184</f>
        <v>0</v>
      </c>
      <c r="AR164" s="68" t="s">
        <v>85</v>
      </c>
      <c r="AT164" s="100" t="s">
        <v>76</v>
      </c>
      <c r="AU164" s="100" t="s">
        <v>77</v>
      </c>
      <c r="AY164" s="68" t="s">
        <v>211</v>
      </c>
      <c r="BK164" s="103">
        <f>BK165+BK170+BK174+BK184</f>
        <v>398760</v>
      </c>
    </row>
    <row r="165" spans="2:65" s="31" customFormat="1" ht="23.1" customHeight="1">
      <c r="B165" s="67"/>
      <c r="D165" s="68" t="s">
        <v>76</v>
      </c>
      <c r="E165" s="70" t="s">
        <v>3832</v>
      </c>
      <c r="F165" s="70" t="s">
        <v>5330</v>
      </c>
      <c r="I165" s="85"/>
      <c r="J165" s="89">
        <f>BK165</f>
        <v>42200</v>
      </c>
      <c r="L165" s="67"/>
      <c r="M165" s="87"/>
      <c r="P165" s="88">
        <f>SUM(P166:P169)</f>
        <v>0</v>
      </c>
      <c r="R165" s="88">
        <f>SUM(R166:R169)</f>
        <v>0</v>
      </c>
      <c r="T165" s="98">
        <f>SUM(T166:T169)</f>
        <v>0</v>
      </c>
      <c r="AR165" s="68" t="s">
        <v>85</v>
      </c>
      <c r="AT165" s="100" t="s">
        <v>76</v>
      </c>
      <c r="AU165" s="100" t="s">
        <v>85</v>
      </c>
      <c r="AY165" s="68" t="s">
        <v>211</v>
      </c>
      <c r="BK165" s="103">
        <f>SUM(BK166:BK169)</f>
        <v>42200</v>
      </c>
    </row>
    <row r="166" spans="2:65" s="1" customFormat="1" ht="24.15" customHeight="1">
      <c r="B166" s="12"/>
      <c r="C166" s="71" t="s">
        <v>273</v>
      </c>
      <c r="D166" s="71" t="s">
        <v>214</v>
      </c>
      <c r="E166" s="72" t="s">
        <v>615</v>
      </c>
      <c r="F166" s="73" t="s">
        <v>5333</v>
      </c>
      <c r="G166" s="74" t="s">
        <v>444</v>
      </c>
      <c r="H166" s="75">
        <v>450</v>
      </c>
      <c r="I166" s="90">
        <v>50</v>
      </c>
      <c r="J166" s="91">
        <f>ROUND(I166*H166,2)</f>
        <v>22500</v>
      </c>
      <c r="K166" s="92"/>
      <c r="L166" s="12"/>
      <c r="M166" s="93" t="s">
        <v>1</v>
      </c>
      <c r="N166" s="94" t="s">
        <v>42</v>
      </c>
      <c r="P166" s="95">
        <f>O166*H166</f>
        <v>0</v>
      </c>
      <c r="Q166" s="95">
        <v>0</v>
      </c>
      <c r="R166" s="95">
        <f>Q166*H166</f>
        <v>0</v>
      </c>
      <c r="S166" s="95">
        <v>0</v>
      </c>
      <c r="T166" s="99">
        <f>S166*H166</f>
        <v>0</v>
      </c>
      <c r="AR166" s="101" t="s">
        <v>446</v>
      </c>
      <c r="AT166" s="101" t="s">
        <v>214</v>
      </c>
      <c r="AU166" s="101" t="s">
        <v>87</v>
      </c>
      <c r="AY166" s="23" t="s">
        <v>211</v>
      </c>
      <c r="BE166" s="104">
        <f>IF(N166="základní",J166,0)</f>
        <v>22500</v>
      </c>
      <c r="BF166" s="104">
        <f>IF(N166="snížená",J166,0)</f>
        <v>0</v>
      </c>
      <c r="BG166" s="104">
        <f>IF(N166="zákl. přenesená",J166,0)</f>
        <v>0</v>
      </c>
      <c r="BH166" s="104">
        <f>IF(N166="sníž. přenesená",J166,0)</f>
        <v>0</v>
      </c>
      <c r="BI166" s="104">
        <f>IF(N166="nulová",J166,0)</f>
        <v>0</v>
      </c>
      <c r="BJ166" s="23" t="s">
        <v>85</v>
      </c>
      <c r="BK166" s="104">
        <f>ROUND(I166*H166,2)</f>
        <v>22500</v>
      </c>
      <c r="BL166" s="23" t="s">
        <v>446</v>
      </c>
      <c r="BM166" s="101" t="s">
        <v>486</v>
      </c>
    </row>
    <row r="167" spans="2:65" s="1" customFormat="1" ht="24.15" customHeight="1">
      <c r="B167" s="12"/>
      <c r="C167" s="71" t="s">
        <v>433</v>
      </c>
      <c r="D167" s="71" t="s">
        <v>214</v>
      </c>
      <c r="E167" s="72" t="s">
        <v>620</v>
      </c>
      <c r="F167" s="73" t="s">
        <v>5332</v>
      </c>
      <c r="G167" s="74" t="s">
        <v>444</v>
      </c>
      <c r="H167" s="75">
        <v>80</v>
      </c>
      <c r="I167" s="90">
        <v>90</v>
      </c>
      <c r="J167" s="91">
        <f>ROUND(I167*H167,2)</f>
        <v>7200</v>
      </c>
      <c r="K167" s="92"/>
      <c r="L167" s="12"/>
      <c r="M167" s="93" t="s">
        <v>1</v>
      </c>
      <c r="N167" s="94" t="s">
        <v>42</v>
      </c>
      <c r="P167" s="95">
        <f>O167*H167</f>
        <v>0</v>
      </c>
      <c r="Q167" s="95">
        <v>0</v>
      </c>
      <c r="R167" s="95">
        <f>Q167*H167</f>
        <v>0</v>
      </c>
      <c r="S167" s="95">
        <v>0</v>
      </c>
      <c r="T167" s="99">
        <f>S167*H167</f>
        <v>0</v>
      </c>
      <c r="AR167" s="101" t="s">
        <v>446</v>
      </c>
      <c r="AT167" s="101" t="s">
        <v>214</v>
      </c>
      <c r="AU167" s="101" t="s">
        <v>87</v>
      </c>
      <c r="AY167" s="23" t="s">
        <v>211</v>
      </c>
      <c r="BE167" s="104">
        <f>IF(N167="základní",J167,0)</f>
        <v>7200</v>
      </c>
      <c r="BF167" s="104">
        <f>IF(N167="snížená",J167,0)</f>
        <v>0</v>
      </c>
      <c r="BG167" s="104">
        <f>IF(N167="zákl. přenesená",J167,0)</f>
        <v>0</v>
      </c>
      <c r="BH167" s="104">
        <f>IF(N167="sníž. přenesená",J167,0)</f>
        <v>0</v>
      </c>
      <c r="BI167" s="104">
        <f>IF(N167="nulová",J167,0)</f>
        <v>0</v>
      </c>
      <c r="BJ167" s="23" t="s">
        <v>85</v>
      </c>
      <c r="BK167" s="104">
        <f>ROUND(I167*H167,2)</f>
        <v>7200</v>
      </c>
      <c r="BL167" s="23" t="s">
        <v>446</v>
      </c>
      <c r="BM167" s="101" t="s">
        <v>496</v>
      </c>
    </row>
    <row r="168" spans="2:65" s="1" customFormat="1" ht="24.15" customHeight="1">
      <c r="B168" s="12"/>
      <c r="C168" s="71" t="s">
        <v>437</v>
      </c>
      <c r="D168" s="71" t="s">
        <v>214</v>
      </c>
      <c r="E168" s="72" t="s">
        <v>625</v>
      </c>
      <c r="F168" s="73" t="s">
        <v>5334</v>
      </c>
      <c r="G168" s="74" t="s">
        <v>444</v>
      </c>
      <c r="H168" s="75">
        <v>140</v>
      </c>
      <c r="I168" s="90">
        <v>80</v>
      </c>
      <c r="J168" s="91">
        <f>ROUND(I168*H168,2)</f>
        <v>11200</v>
      </c>
      <c r="K168" s="92"/>
      <c r="L168" s="12"/>
      <c r="M168" s="93" t="s">
        <v>1</v>
      </c>
      <c r="N168" s="94" t="s">
        <v>42</v>
      </c>
      <c r="P168" s="95">
        <f>O168*H168</f>
        <v>0</v>
      </c>
      <c r="Q168" s="95">
        <v>0</v>
      </c>
      <c r="R168" s="95">
        <f>Q168*H168</f>
        <v>0</v>
      </c>
      <c r="S168" s="95">
        <v>0</v>
      </c>
      <c r="T168" s="99">
        <f>S168*H168</f>
        <v>0</v>
      </c>
      <c r="AR168" s="101" t="s">
        <v>446</v>
      </c>
      <c r="AT168" s="101" t="s">
        <v>214</v>
      </c>
      <c r="AU168" s="101" t="s">
        <v>87</v>
      </c>
      <c r="AY168" s="23" t="s">
        <v>211</v>
      </c>
      <c r="BE168" s="104">
        <f>IF(N168="základní",J168,0)</f>
        <v>11200</v>
      </c>
      <c r="BF168" s="104">
        <f>IF(N168="snížená",J168,0)</f>
        <v>0</v>
      </c>
      <c r="BG168" s="104">
        <f>IF(N168="zákl. přenesená",J168,0)</f>
        <v>0</v>
      </c>
      <c r="BH168" s="104">
        <f>IF(N168="sníž. přenesená",J168,0)</f>
        <v>0</v>
      </c>
      <c r="BI168" s="104">
        <f>IF(N168="nulová",J168,0)</f>
        <v>0</v>
      </c>
      <c r="BJ168" s="23" t="s">
        <v>85</v>
      </c>
      <c r="BK168" s="104">
        <f>ROUND(I168*H168,2)</f>
        <v>11200</v>
      </c>
      <c r="BL168" s="23" t="s">
        <v>446</v>
      </c>
      <c r="BM168" s="101" t="s">
        <v>507</v>
      </c>
    </row>
    <row r="169" spans="2:65" s="1" customFormat="1" ht="16.5" customHeight="1">
      <c r="B169" s="12"/>
      <c r="C169" s="71" t="s">
        <v>8</v>
      </c>
      <c r="D169" s="71" t="s">
        <v>214</v>
      </c>
      <c r="E169" s="72" t="s">
        <v>635</v>
      </c>
      <c r="F169" s="73" t="s">
        <v>5335</v>
      </c>
      <c r="G169" s="74" t="s">
        <v>808</v>
      </c>
      <c r="H169" s="75">
        <v>10</v>
      </c>
      <c r="I169" s="90">
        <v>130</v>
      </c>
      <c r="J169" s="91">
        <f>ROUND(I169*H169,2)</f>
        <v>1300</v>
      </c>
      <c r="K169" s="92"/>
      <c r="L169" s="12"/>
      <c r="M169" s="93" t="s">
        <v>1</v>
      </c>
      <c r="N169" s="94" t="s">
        <v>42</v>
      </c>
      <c r="P169" s="95">
        <f>O169*H169</f>
        <v>0</v>
      </c>
      <c r="Q169" s="95">
        <v>0</v>
      </c>
      <c r="R169" s="95">
        <f>Q169*H169</f>
        <v>0</v>
      </c>
      <c r="S169" s="95">
        <v>0</v>
      </c>
      <c r="T169" s="99">
        <f>S169*H169</f>
        <v>0</v>
      </c>
      <c r="AR169" s="101" t="s">
        <v>446</v>
      </c>
      <c r="AT169" s="101" t="s">
        <v>214</v>
      </c>
      <c r="AU169" s="101" t="s">
        <v>87</v>
      </c>
      <c r="AY169" s="23" t="s">
        <v>211</v>
      </c>
      <c r="BE169" s="104">
        <f>IF(N169="základní",J169,0)</f>
        <v>1300</v>
      </c>
      <c r="BF169" s="104">
        <f>IF(N169="snížená",J169,0)</f>
        <v>0</v>
      </c>
      <c r="BG169" s="104">
        <f>IF(N169="zákl. přenesená",J169,0)</f>
        <v>0</v>
      </c>
      <c r="BH169" s="104">
        <f>IF(N169="sníž. přenesená",J169,0)</f>
        <v>0</v>
      </c>
      <c r="BI169" s="104">
        <f>IF(N169="nulová",J169,0)</f>
        <v>0</v>
      </c>
      <c r="BJ169" s="23" t="s">
        <v>85</v>
      </c>
      <c r="BK169" s="104">
        <f>ROUND(I169*H169,2)</f>
        <v>1300</v>
      </c>
      <c r="BL169" s="23" t="s">
        <v>446</v>
      </c>
      <c r="BM169" s="101" t="s">
        <v>517</v>
      </c>
    </row>
    <row r="170" spans="2:65" s="31" customFormat="1" ht="23.1" customHeight="1">
      <c r="B170" s="67"/>
      <c r="D170" s="68" t="s">
        <v>76</v>
      </c>
      <c r="E170" s="70" t="s">
        <v>3839</v>
      </c>
      <c r="F170" s="70" t="s">
        <v>5139</v>
      </c>
      <c r="I170" s="85"/>
      <c r="J170" s="89">
        <f>BK170</f>
        <v>47760</v>
      </c>
      <c r="L170" s="67"/>
      <c r="M170" s="87"/>
      <c r="P170" s="88">
        <f>SUM(P171:P173)</f>
        <v>0</v>
      </c>
      <c r="R170" s="88">
        <f>SUM(R171:R173)</f>
        <v>0</v>
      </c>
      <c r="T170" s="98">
        <f>SUM(T171:T173)</f>
        <v>0</v>
      </c>
      <c r="AR170" s="68" t="s">
        <v>85</v>
      </c>
      <c r="AT170" s="100" t="s">
        <v>76</v>
      </c>
      <c r="AU170" s="100" t="s">
        <v>85</v>
      </c>
      <c r="AY170" s="68" t="s">
        <v>211</v>
      </c>
      <c r="BK170" s="103">
        <f>SUM(BK171:BK173)</f>
        <v>47760</v>
      </c>
    </row>
    <row r="171" spans="2:65" s="1" customFormat="1" ht="16.5" customHeight="1">
      <c r="B171" s="12"/>
      <c r="C171" s="71" t="s">
        <v>446</v>
      </c>
      <c r="D171" s="71" t="s">
        <v>214</v>
      </c>
      <c r="E171" s="72" t="s">
        <v>640</v>
      </c>
      <c r="F171" s="73" t="s">
        <v>5344</v>
      </c>
      <c r="G171" s="74" t="s">
        <v>444</v>
      </c>
      <c r="H171" s="75">
        <v>640</v>
      </c>
      <c r="I171" s="90">
        <v>35</v>
      </c>
      <c r="J171" s="91">
        <f>ROUND(I171*H171,2)</f>
        <v>22400</v>
      </c>
      <c r="K171" s="92"/>
      <c r="L171" s="12"/>
      <c r="M171" s="93" t="s">
        <v>1</v>
      </c>
      <c r="N171" s="94" t="s">
        <v>42</v>
      </c>
      <c r="P171" s="95">
        <f>O171*H171</f>
        <v>0</v>
      </c>
      <c r="Q171" s="95">
        <v>0</v>
      </c>
      <c r="R171" s="95">
        <f>Q171*H171</f>
        <v>0</v>
      </c>
      <c r="S171" s="95">
        <v>0</v>
      </c>
      <c r="T171" s="99">
        <f>S171*H171</f>
        <v>0</v>
      </c>
      <c r="AR171" s="101" t="s">
        <v>446</v>
      </c>
      <c r="AT171" s="101" t="s">
        <v>214</v>
      </c>
      <c r="AU171" s="101" t="s">
        <v>87</v>
      </c>
      <c r="AY171" s="23" t="s">
        <v>211</v>
      </c>
      <c r="BE171" s="104">
        <f>IF(N171="základní",J171,0)</f>
        <v>22400</v>
      </c>
      <c r="BF171" s="104">
        <f>IF(N171="snížená",J171,0)</f>
        <v>0</v>
      </c>
      <c r="BG171" s="104">
        <f>IF(N171="zákl. přenesená",J171,0)</f>
        <v>0</v>
      </c>
      <c r="BH171" s="104">
        <f>IF(N171="sníž. přenesená",J171,0)</f>
        <v>0</v>
      </c>
      <c r="BI171" s="104">
        <f>IF(N171="nulová",J171,0)</f>
        <v>0</v>
      </c>
      <c r="BJ171" s="23" t="s">
        <v>85</v>
      </c>
      <c r="BK171" s="104">
        <f>ROUND(I171*H171,2)</f>
        <v>22400</v>
      </c>
      <c r="BL171" s="23" t="s">
        <v>446</v>
      </c>
      <c r="BM171" s="101" t="s">
        <v>527</v>
      </c>
    </row>
    <row r="172" spans="2:65" s="1" customFormat="1" ht="16.5" customHeight="1">
      <c r="B172" s="12"/>
      <c r="C172" s="71" t="s">
        <v>450</v>
      </c>
      <c r="D172" s="71" t="s">
        <v>214</v>
      </c>
      <c r="E172" s="72" t="s">
        <v>645</v>
      </c>
      <c r="F172" s="73" t="s">
        <v>5345</v>
      </c>
      <c r="G172" s="74" t="s">
        <v>444</v>
      </c>
      <c r="H172" s="75">
        <v>640</v>
      </c>
      <c r="I172" s="90">
        <v>35</v>
      </c>
      <c r="J172" s="91">
        <f>ROUND(I172*H172,2)</f>
        <v>22400</v>
      </c>
      <c r="K172" s="92"/>
      <c r="L172" s="12"/>
      <c r="M172" s="93" t="s">
        <v>1</v>
      </c>
      <c r="N172" s="94" t="s">
        <v>42</v>
      </c>
      <c r="P172" s="95">
        <f>O172*H172</f>
        <v>0</v>
      </c>
      <c r="Q172" s="95">
        <v>0</v>
      </c>
      <c r="R172" s="95">
        <f>Q172*H172</f>
        <v>0</v>
      </c>
      <c r="S172" s="95">
        <v>0</v>
      </c>
      <c r="T172" s="99">
        <f>S172*H172</f>
        <v>0</v>
      </c>
      <c r="AR172" s="101" t="s">
        <v>446</v>
      </c>
      <c r="AT172" s="101" t="s">
        <v>214</v>
      </c>
      <c r="AU172" s="101" t="s">
        <v>87</v>
      </c>
      <c r="AY172" s="23" t="s">
        <v>211</v>
      </c>
      <c r="BE172" s="104">
        <f>IF(N172="základní",J172,0)</f>
        <v>22400</v>
      </c>
      <c r="BF172" s="104">
        <f>IF(N172="snížená",J172,0)</f>
        <v>0</v>
      </c>
      <c r="BG172" s="104">
        <f>IF(N172="zákl. přenesená",J172,0)</f>
        <v>0</v>
      </c>
      <c r="BH172" s="104">
        <f>IF(N172="sníž. přenesená",J172,0)</f>
        <v>0</v>
      </c>
      <c r="BI172" s="104">
        <f>IF(N172="nulová",J172,0)</f>
        <v>0</v>
      </c>
      <c r="BJ172" s="23" t="s">
        <v>85</v>
      </c>
      <c r="BK172" s="104">
        <f>ROUND(I172*H172,2)</f>
        <v>22400</v>
      </c>
      <c r="BL172" s="23" t="s">
        <v>446</v>
      </c>
      <c r="BM172" s="101" t="s">
        <v>537</v>
      </c>
    </row>
    <row r="173" spans="2:65" s="1" customFormat="1" ht="16.5" customHeight="1">
      <c r="B173" s="12"/>
      <c r="C173" s="71" t="s">
        <v>454</v>
      </c>
      <c r="D173" s="71" t="s">
        <v>214</v>
      </c>
      <c r="E173" s="72" t="s">
        <v>650</v>
      </c>
      <c r="F173" s="73" t="s">
        <v>5346</v>
      </c>
      <c r="G173" s="74" t="s">
        <v>444</v>
      </c>
      <c r="H173" s="75">
        <v>80</v>
      </c>
      <c r="I173" s="90">
        <v>37</v>
      </c>
      <c r="J173" s="91">
        <f>ROUND(I173*H173,2)</f>
        <v>2960</v>
      </c>
      <c r="K173" s="92"/>
      <c r="L173" s="12"/>
      <c r="M173" s="93" t="s">
        <v>1</v>
      </c>
      <c r="N173" s="94" t="s">
        <v>42</v>
      </c>
      <c r="P173" s="95">
        <f>O173*H173</f>
        <v>0</v>
      </c>
      <c r="Q173" s="95">
        <v>0</v>
      </c>
      <c r="R173" s="95">
        <f>Q173*H173</f>
        <v>0</v>
      </c>
      <c r="S173" s="95">
        <v>0</v>
      </c>
      <c r="T173" s="99">
        <f>S173*H173</f>
        <v>0</v>
      </c>
      <c r="AR173" s="101" t="s">
        <v>446</v>
      </c>
      <c r="AT173" s="101" t="s">
        <v>214</v>
      </c>
      <c r="AU173" s="101" t="s">
        <v>87</v>
      </c>
      <c r="AY173" s="23" t="s">
        <v>211</v>
      </c>
      <c r="BE173" s="104">
        <f>IF(N173="základní",J173,0)</f>
        <v>2960</v>
      </c>
      <c r="BF173" s="104">
        <f>IF(N173="snížená",J173,0)</f>
        <v>0</v>
      </c>
      <c r="BG173" s="104">
        <f>IF(N173="zákl. přenesená",J173,0)</f>
        <v>0</v>
      </c>
      <c r="BH173" s="104">
        <f>IF(N173="sníž. přenesená",J173,0)</f>
        <v>0</v>
      </c>
      <c r="BI173" s="104">
        <f>IF(N173="nulová",J173,0)</f>
        <v>0</v>
      </c>
      <c r="BJ173" s="23" t="s">
        <v>85</v>
      </c>
      <c r="BK173" s="104">
        <f>ROUND(I173*H173,2)</f>
        <v>2960</v>
      </c>
      <c r="BL173" s="23" t="s">
        <v>446</v>
      </c>
      <c r="BM173" s="101" t="s">
        <v>551</v>
      </c>
    </row>
    <row r="174" spans="2:65" s="31" customFormat="1" ht="23.1" customHeight="1">
      <c r="B174" s="67"/>
      <c r="D174" s="68" t="s">
        <v>76</v>
      </c>
      <c r="E174" s="70" t="s">
        <v>3879</v>
      </c>
      <c r="F174" s="70" t="s">
        <v>5347</v>
      </c>
      <c r="I174" s="85"/>
      <c r="J174" s="89">
        <f>BK174</f>
        <v>200800</v>
      </c>
      <c r="L174" s="67"/>
      <c r="M174" s="87"/>
      <c r="P174" s="88">
        <f>SUM(P175:P183)</f>
        <v>0</v>
      </c>
      <c r="R174" s="88">
        <f>SUM(R175:R183)</f>
        <v>0</v>
      </c>
      <c r="T174" s="98">
        <f>SUM(T175:T183)</f>
        <v>0</v>
      </c>
      <c r="AR174" s="68" t="s">
        <v>85</v>
      </c>
      <c r="AT174" s="100" t="s">
        <v>76</v>
      </c>
      <c r="AU174" s="100" t="s">
        <v>85</v>
      </c>
      <c r="AY174" s="68" t="s">
        <v>211</v>
      </c>
      <c r="BK174" s="103">
        <f>SUM(BK175:BK183)</f>
        <v>200800</v>
      </c>
    </row>
    <row r="175" spans="2:65" s="1" customFormat="1" ht="76.349999999999994" customHeight="1">
      <c r="B175" s="12"/>
      <c r="C175" s="71" t="s">
        <v>459</v>
      </c>
      <c r="D175" s="71" t="s">
        <v>214</v>
      </c>
      <c r="E175" s="72" t="s">
        <v>655</v>
      </c>
      <c r="F175" s="73" t="s">
        <v>5348</v>
      </c>
      <c r="G175" s="74" t="s">
        <v>234</v>
      </c>
      <c r="H175" s="75">
        <v>4</v>
      </c>
      <c r="I175" s="90">
        <v>10000</v>
      </c>
      <c r="J175" s="91">
        <f t="shared" ref="J175:J183" si="0">ROUND(I175*H175,2)</f>
        <v>40000</v>
      </c>
      <c r="K175" s="92"/>
      <c r="L175" s="12"/>
      <c r="M175" s="93" t="s">
        <v>1</v>
      </c>
      <c r="N175" s="94" t="s">
        <v>42</v>
      </c>
      <c r="P175" s="95">
        <f t="shared" ref="P175:P183" si="1">O175*H175</f>
        <v>0</v>
      </c>
      <c r="Q175" s="95">
        <v>0</v>
      </c>
      <c r="R175" s="95">
        <f t="shared" ref="R175:R183" si="2">Q175*H175</f>
        <v>0</v>
      </c>
      <c r="S175" s="95">
        <v>0</v>
      </c>
      <c r="T175" s="99">
        <f t="shared" ref="T175:T183" si="3">S175*H175</f>
        <v>0</v>
      </c>
      <c r="AR175" s="101" t="s">
        <v>446</v>
      </c>
      <c r="AT175" s="101" t="s">
        <v>214</v>
      </c>
      <c r="AU175" s="101" t="s">
        <v>87</v>
      </c>
      <c r="AY175" s="23" t="s">
        <v>211</v>
      </c>
      <c r="BE175" s="104">
        <f t="shared" ref="BE175:BE183" si="4">IF(N175="základní",J175,0)</f>
        <v>40000</v>
      </c>
      <c r="BF175" s="104">
        <f t="shared" ref="BF175:BF183" si="5">IF(N175="snížená",J175,0)</f>
        <v>0</v>
      </c>
      <c r="BG175" s="104">
        <f t="shared" ref="BG175:BG183" si="6">IF(N175="zákl. přenesená",J175,0)</f>
        <v>0</v>
      </c>
      <c r="BH175" s="104">
        <f t="shared" ref="BH175:BH183" si="7">IF(N175="sníž. přenesená",J175,0)</f>
        <v>0</v>
      </c>
      <c r="BI175" s="104">
        <f t="shared" ref="BI175:BI183" si="8">IF(N175="nulová",J175,0)</f>
        <v>0</v>
      </c>
      <c r="BJ175" s="23" t="s">
        <v>85</v>
      </c>
      <c r="BK175" s="104">
        <f t="shared" ref="BK175:BK183" si="9">ROUND(I175*H175,2)</f>
        <v>40000</v>
      </c>
      <c r="BL175" s="23" t="s">
        <v>446</v>
      </c>
      <c r="BM175" s="101" t="s">
        <v>566</v>
      </c>
    </row>
    <row r="176" spans="2:65" s="1" customFormat="1" ht="66.75" customHeight="1">
      <c r="B176" s="12"/>
      <c r="C176" s="71" t="s">
        <v>465</v>
      </c>
      <c r="D176" s="71" t="s">
        <v>214</v>
      </c>
      <c r="E176" s="72" t="s">
        <v>661</v>
      </c>
      <c r="F176" s="73" t="s">
        <v>5349</v>
      </c>
      <c r="G176" s="74" t="s">
        <v>808</v>
      </c>
      <c r="H176" s="75">
        <v>9</v>
      </c>
      <c r="I176" s="90">
        <v>2500</v>
      </c>
      <c r="J176" s="91">
        <f t="shared" si="0"/>
        <v>22500</v>
      </c>
      <c r="K176" s="92"/>
      <c r="L176" s="12"/>
      <c r="M176" s="93" t="s">
        <v>1</v>
      </c>
      <c r="N176" s="94" t="s">
        <v>42</v>
      </c>
      <c r="P176" s="95">
        <f t="shared" si="1"/>
        <v>0</v>
      </c>
      <c r="Q176" s="95">
        <v>0</v>
      </c>
      <c r="R176" s="95">
        <f t="shared" si="2"/>
        <v>0</v>
      </c>
      <c r="S176" s="95">
        <v>0</v>
      </c>
      <c r="T176" s="99">
        <f t="shared" si="3"/>
        <v>0</v>
      </c>
      <c r="AR176" s="101" t="s">
        <v>446</v>
      </c>
      <c r="AT176" s="101" t="s">
        <v>214</v>
      </c>
      <c r="AU176" s="101" t="s">
        <v>87</v>
      </c>
      <c r="AY176" s="23" t="s">
        <v>211</v>
      </c>
      <c r="BE176" s="104">
        <f t="shared" si="4"/>
        <v>22500</v>
      </c>
      <c r="BF176" s="104">
        <f t="shared" si="5"/>
        <v>0</v>
      </c>
      <c r="BG176" s="104">
        <f t="shared" si="6"/>
        <v>0</v>
      </c>
      <c r="BH176" s="104">
        <f t="shared" si="7"/>
        <v>0</v>
      </c>
      <c r="BI176" s="104">
        <f t="shared" si="8"/>
        <v>0</v>
      </c>
      <c r="BJ176" s="23" t="s">
        <v>85</v>
      </c>
      <c r="BK176" s="104">
        <f t="shared" si="9"/>
        <v>22500</v>
      </c>
      <c r="BL176" s="23" t="s">
        <v>446</v>
      </c>
      <c r="BM176" s="101" t="s">
        <v>578</v>
      </c>
    </row>
    <row r="177" spans="2:65" s="1" customFormat="1" ht="24.15" customHeight="1">
      <c r="B177" s="12"/>
      <c r="C177" s="71" t="s">
        <v>7</v>
      </c>
      <c r="D177" s="71" t="s">
        <v>214</v>
      </c>
      <c r="E177" s="72" t="s">
        <v>666</v>
      </c>
      <c r="F177" s="73" t="s">
        <v>5350</v>
      </c>
      <c r="G177" s="74" t="s">
        <v>808</v>
      </c>
      <c r="H177" s="75">
        <v>4</v>
      </c>
      <c r="I177" s="90">
        <v>1000</v>
      </c>
      <c r="J177" s="91">
        <f t="shared" si="0"/>
        <v>4000</v>
      </c>
      <c r="K177" s="92"/>
      <c r="L177" s="12"/>
      <c r="M177" s="93" t="s">
        <v>1</v>
      </c>
      <c r="N177" s="94" t="s">
        <v>42</v>
      </c>
      <c r="P177" s="95">
        <f t="shared" si="1"/>
        <v>0</v>
      </c>
      <c r="Q177" s="95">
        <v>0</v>
      </c>
      <c r="R177" s="95">
        <f t="shared" si="2"/>
        <v>0</v>
      </c>
      <c r="S177" s="95">
        <v>0</v>
      </c>
      <c r="T177" s="99">
        <f t="shared" si="3"/>
        <v>0</v>
      </c>
      <c r="AR177" s="101" t="s">
        <v>446</v>
      </c>
      <c r="AT177" s="101" t="s">
        <v>214</v>
      </c>
      <c r="AU177" s="101" t="s">
        <v>87</v>
      </c>
      <c r="AY177" s="23" t="s">
        <v>211</v>
      </c>
      <c r="BE177" s="104">
        <f t="shared" si="4"/>
        <v>4000</v>
      </c>
      <c r="BF177" s="104">
        <f t="shared" si="5"/>
        <v>0</v>
      </c>
      <c r="BG177" s="104">
        <f t="shared" si="6"/>
        <v>0</v>
      </c>
      <c r="BH177" s="104">
        <f t="shared" si="7"/>
        <v>0</v>
      </c>
      <c r="BI177" s="104">
        <f t="shared" si="8"/>
        <v>0</v>
      </c>
      <c r="BJ177" s="23" t="s">
        <v>85</v>
      </c>
      <c r="BK177" s="104">
        <f t="shared" si="9"/>
        <v>4000</v>
      </c>
      <c r="BL177" s="23" t="s">
        <v>446</v>
      </c>
      <c r="BM177" s="101" t="s">
        <v>588</v>
      </c>
    </row>
    <row r="178" spans="2:65" s="1" customFormat="1" ht="16.5" customHeight="1">
      <c r="B178" s="12"/>
      <c r="C178" s="71" t="s">
        <v>475</v>
      </c>
      <c r="D178" s="71" t="s">
        <v>214</v>
      </c>
      <c r="E178" s="72" t="s">
        <v>680</v>
      </c>
      <c r="F178" s="73" t="s">
        <v>5351</v>
      </c>
      <c r="G178" s="74" t="s">
        <v>808</v>
      </c>
      <c r="H178" s="75">
        <v>400</v>
      </c>
      <c r="I178" s="90">
        <v>60</v>
      </c>
      <c r="J178" s="91">
        <f t="shared" si="0"/>
        <v>24000</v>
      </c>
      <c r="K178" s="92"/>
      <c r="L178" s="12"/>
      <c r="M178" s="93" t="s">
        <v>1</v>
      </c>
      <c r="N178" s="94" t="s">
        <v>42</v>
      </c>
      <c r="P178" s="95">
        <f t="shared" si="1"/>
        <v>0</v>
      </c>
      <c r="Q178" s="95">
        <v>0</v>
      </c>
      <c r="R178" s="95">
        <f t="shared" si="2"/>
        <v>0</v>
      </c>
      <c r="S178" s="95">
        <v>0</v>
      </c>
      <c r="T178" s="99">
        <f t="shared" si="3"/>
        <v>0</v>
      </c>
      <c r="AR178" s="101" t="s">
        <v>446</v>
      </c>
      <c r="AT178" s="101" t="s">
        <v>214</v>
      </c>
      <c r="AU178" s="101" t="s">
        <v>87</v>
      </c>
      <c r="AY178" s="23" t="s">
        <v>211</v>
      </c>
      <c r="BE178" s="104">
        <f t="shared" si="4"/>
        <v>24000</v>
      </c>
      <c r="BF178" s="104">
        <f t="shared" si="5"/>
        <v>0</v>
      </c>
      <c r="BG178" s="104">
        <f t="shared" si="6"/>
        <v>0</v>
      </c>
      <c r="BH178" s="104">
        <f t="shared" si="7"/>
        <v>0</v>
      </c>
      <c r="BI178" s="104">
        <f t="shared" si="8"/>
        <v>0</v>
      </c>
      <c r="BJ178" s="23" t="s">
        <v>85</v>
      </c>
      <c r="BK178" s="104">
        <f t="shared" si="9"/>
        <v>24000</v>
      </c>
      <c r="BL178" s="23" t="s">
        <v>446</v>
      </c>
      <c r="BM178" s="101" t="s">
        <v>598</v>
      </c>
    </row>
    <row r="179" spans="2:65" s="1" customFormat="1" ht="24.15" customHeight="1">
      <c r="B179" s="12"/>
      <c r="C179" s="71" t="s">
        <v>481</v>
      </c>
      <c r="D179" s="71" t="s">
        <v>214</v>
      </c>
      <c r="E179" s="72" t="s">
        <v>695</v>
      </c>
      <c r="F179" s="73" t="s">
        <v>5352</v>
      </c>
      <c r="G179" s="74" t="s">
        <v>808</v>
      </c>
      <c r="H179" s="75">
        <v>4</v>
      </c>
      <c r="I179" s="90">
        <v>1500</v>
      </c>
      <c r="J179" s="91">
        <f t="shared" si="0"/>
        <v>6000</v>
      </c>
      <c r="K179" s="92"/>
      <c r="L179" s="12"/>
      <c r="M179" s="93" t="s">
        <v>1</v>
      </c>
      <c r="N179" s="94" t="s">
        <v>42</v>
      </c>
      <c r="P179" s="95">
        <f t="shared" si="1"/>
        <v>0</v>
      </c>
      <c r="Q179" s="95">
        <v>0</v>
      </c>
      <c r="R179" s="95">
        <f t="shared" si="2"/>
        <v>0</v>
      </c>
      <c r="S179" s="95">
        <v>0</v>
      </c>
      <c r="T179" s="99">
        <f t="shared" si="3"/>
        <v>0</v>
      </c>
      <c r="AR179" s="101" t="s">
        <v>446</v>
      </c>
      <c r="AT179" s="101" t="s">
        <v>214</v>
      </c>
      <c r="AU179" s="101" t="s">
        <v>87</v>
      </c>
      <c r="AY179" s="23" t="s">
        <v>211</v>
      </c>
      <c r="BE179" s="104">
        <f t="shared" si="4"/>
        <v>6000</v>
      </c>
      <c r="BF179" s="104">
        <f t="shared" si="5"/>
        <v>0</v>
      </c>
      <c r="BG179" s="104">
        <f t="shared" si="6"/>
        <v>0</v>
      </c>
      <c r="BH179" s="104">
        <f t="shared" si="7"/>
        <v>0</v>
      </c>
      <c r="BI179" s="104">
        <f t="shared" si="8"/>
        <v>0</v>
      </c>
      <c r="BJ179" s="23" t="s">
        <v>85</v>
      </c>
      <c r="BK179" s="104">
        <f t="shared" si="9"/>
        <v>6000</v>
      </c>
      <c r="BL179" s="23" t="s">
        <v>446</v>
      </c>
      <c r="BM179" s="101" t="s">
        <v>608</v>
      </c>
    </row>
    <row r="180" spans="2:65" s="1" customFormat="1" ht="16.5" customHeight="1">
      <c r="B180" s="12"/>
      <c r="C180" s="71" t="s">
        <v>486</v>
      </c>
      <c r="D180" s="71" t="s">
        <v>214</v>
      </c>
      <c r="E180" s="72" t="s">
        <v>706</v>
      </c>
      <c r="F180" s="73" t="s">
        <v>5353</v>
      </c>
      <c r="G180" s="74" t="s">
        <v>808</v>
      </c>
      <c r="H180" s="75">
        <v>5</v>
      </c>
      <c r="I180" s="90">
        <v>16000</v>
      </c>
      <c r="J180" s="91">
        <f t="shared" si="0"/>
        <v>80000</v>
      </c>
      <c r="K180" s="92"/>
      <c r="L180" s="12"/>
      <c r="M180" s="93" t="s">
        <v>1</v>
      </c>
      <c r="N180" s="94" t="s">
        <v>42</v>
      </c>
      <c r="P180" s="95">
        <f t="shared" si="1"/>
        <v>0</v>
      </c>
      <c r="Q180" s="95">
        <v>0</v>
      </c>
      <c r="R180" s="95">
        <f t="shared" si="2"/>
        <v>0</v>
      </c>
      <c r="S180" s="95">
        <v>0</v>
      </c>
      <c r="T180" s="99">
        <f t="shared" si="3"/>
        <v>0</v>
      </c>
      <c r="AR180" s="101" t="s">
        <v>446</v>
      </c>
      <c r="AT180" s="101" t="s">
        <v>214</v>
      </c>
      <c r="AU180" s="101" t="s">
        <v>87</v>
      </c>
      <c r="AY180" s="23" t="s">
        <v>211</v>
      </c>
      <c r="BE180" s="104">
        <f t="shared" si="4"/>
        <v>80000</v>
      </c>
      <c r="BF180" s="104">
        <f t="shared" si="5"/>
        <v>0</v>
      </c>
      <c r="BG180" s="104">
        <f t="shared" si="6"/>
        <v>0</v>
      </c>
      <c r="BH180" s="104">
        <f t="shared" si="7"/>
        <v>0</v>
      </c>
      <c r="BI180" s="104">
        <f t="shared" si="8"/>
        <v>0</v>
      </c>
      <c r="BJ180" s="23" t="s">
        <v>85</v>
      </c>
      <c r="BK180" s="104">
        <f t="shared" si="9"/>
        <v>80000</v>
      </c>
      <c r="BL180" s="23" t="s">
        <v>446</v>
      </c>
      <c r="BM180" s="101" t="s">
        <v>619</v>
      </c>
    </row>
    <row r="181" spans="2:65" s="1" customFormat="1" ht="16.5" customHeight="1">
      <c r="B181" s="12"/>
      <c r="C181" s="71" t="s">
        <v>490</v>
      </c>
      <c r="D181" s="71" t="s">
        <v>214</v>
      </c>
      <c r="E181" s="72" t="s">
        <v>714</v>
      </c>
      <c r="F181" s="73" t="s">
        <v>5354</v>
      </c>
      <c r="G181" s="74" t="s">
        <v>808</v>
      </c>
      <c r="H181" s="75">
        <v>9</v>
      </c>
      <c r="I181" s="90">
        <v>1100</v>
      </c>
      <c r="J181" s="91">
        <f t="shared" si="0"/>
        <v>9900</v>
      </c>
      <c r="K181" s="92"/>
      <c r="L181" s="12"/>
      <c r="M181" s="93" t="s">
        <v>1</v>
      </c>
      <c r="N181" s="94" t="s">
        <v>42</v>
      </c>
      <c r="P181" s="95">
        <f t="shared" si="1"/>
        <v>0</v>
      </c>
      <c r="Q181" s="95">
        <v>0</v>
      </c>
      <c r="R181" s="95">
        <f t="shared" si="2"/>
        <v>0</v>
      </c>
      <c r="S181" s="95">
        <v>0</v>
      </c>
      <c r="T181" s="99">
        <f t="shared" si="3"/>
        <v>0</v>
      </c>
      <c r="AR181" s="101" t="s">
        <v>446</v>
      </c>
      <c r="AT181" s="101" t="s">
        <v>214</v>
      </c>
      <c r="AU181" s="101" t="s">
        <v>87</v>
      </c>
      <c r="AY181" s="23" t="s">
        <v>211</v>
      </c>
      <c r="BE181" s="104">
        <f t="shared" si="4"/>
        <v>9900</v>
      </c>
      <c r="BF181" s="104">
        <f t="shared" si="5"/>
        <v>0</v>
      </c>
      <c r="BG181" s="104">
        <f t="shared" si="6"/>
        <v>0</v>
      </c>
      <c r="BH181" s="104">
        <f t="shared" si="7"/>
        <v>0</v>
      </c>
      <c r="BI181" s="104">
        <f t="shared" si="8"/>
        <v>0</v>
      </c>
      <c r="BJ181" s="23" t="s">
        <v>85</v>
      </c>
      <c r="BK181" s="104">
        <f t="shared" si="9"/>
        <v>9900</v>
      </c>
      <c r="BL181" s="23" t="s">
        <v>446</v>
      </c>
      <c r="BM181" s="101" t="s">
        <v>629</v>
      </c>
    </row>
    <row r="182" spans="2:65" s="1" customFormat="1" ht="16.5" customHeight="1">
      <c r="B182" s="12"/>
      <c r="C182" s="71" t="s">
        <v>496</v>
      </c>
      <c r="D182" s="71" t="s">
        <v>214</v>
      </c>
      <c r="E182" s="72" t="s">
        <v>959</v>
      </c>
      <c r="F182" s="73" t="s">
        <v>5355</v>
      </c>
      <c r="G182" s="74" t="s">
        <v>808</v>
      </c>
      <c r="H182" s="75">
        <v>9</v>
      </c>
      <c r="I182" s="90">
        <v>950</v>
      </c>
      <c r="J182" s="91">
        <f t="shared" si="0"/>
        <v>8550</v>
      </c>
      <c r="K182" s="92"/>
      <c r="L182" s="12"/>
      <c r="M182" s="93" t="s">
        <v>1</v>
      </c>
      <c r="N182" s="94" t="s">
        <v>42</v>
      </c>
      <c r="P182" s="95">
        <f t="shared" si="1"/>
        <v>0</v>
      </c>
      <c r="Q182" s="95">
        <v>0</v>
      </c>
      <c r="R182" s="95">
        <f t="shared" si="2"/>
        <v>0</v>
      </c>
      <c r="S182" s="95">
        <v>0</v>
      </c>
      <c r="T182" s="99">
        <f t="shared" si="3"/>
        <v>0</v>
      </c>
      <c r="AR182" s="101" t="s">
        <v>446</v>
      </c>
      <c r="AT182" s="101" t="s">
        <v>214</v>
      </c>
      <c r="AU182" s="101" t="s">
        <v>87</v>
      </c>
      <c r="AY182" s="23" t="s">
        <v>211</v>
      </c>
      <c r="BE182" s="104">
        <f t="shared" si="4"/>
        <v>8550</v>
      </c>
      <c r="BF182" s="104">
        <f t="shared" si="5"/>
        <v>0</v>
      </c>
      <c r="BG182" s="104">
        <f t="shared" si="6"/>
        <v>0</v>
      </c>
      <c r="BH182" s="104">
        <f t="shared" si="7"/>
        <v>0</v>
      </c>
      <c r="BI182" s="104">
        <f t="shared" si="8"/>
        <v>0</v>
      </c>
      <c r="BJ182" s="23" t="s">
        <v>85</v>
      </c>
      <c r="BK182" s="104">
        <f t="shared" si="9"/>
        <v>8550</v>
      </c>
      <c r="BL182" s="23" t="s">
        <v>446</v>
      </c>
      <c r="BM182" s="101" t="s">
        <v>639</v>
      </c>
    </row>
    <row r="183" spans="2:65" s="1" customFormat="1" ht="16.5" customHeight="1">
      <c r="B183" s="12"/>
      <c r="C183" s="71" t="s">
        <v>502</v>
      </c>
      <c r="D183" s="71" t="s">
        <v>214</v>
      </c>
      <c r="E183" s="72" t="s">
        <v>476</v>
      </c>
      <c r="F183" s="73" t="s">
        <v>5356</v>
      </c>
      <c r="G183" s="74" t="s">
        <v>808</v>
      </c>
      <c r="H183" s="75">
        <v>9</v>
      </c>
      <c r="I183" s="90">
        <v>650</v>
      </c>
      <c r="J183" s="91">
        <f t="shared" si="0"/>
        <v>5850</v>
      </c>
      <c r="K183" s="92"/>
      <c r="L183" s="12"/>
      <c r="M183" s="93" t="s">
        <v>1</v>
      </c>
      <c r="N183" s="94" t="s">
        <v>42</v>
      </c>
      <c r="P183" s="95">
        <f t="shared" si="1"/>
        <v>0</v>
      </c>
      <c r="Q183" s="95">
        <v>0</v>
      </c>
      <c r="R183" s="95">
        <f t="shared" si="2"/>
        <v>0</v>
      </c>
      <c r="S183" s="95">
        <v>0</v>
      </c>
      <c r="T183" s="99">
        <f t="shared" si="3"/>
        <v>0</v>
      </c>
      <c r="AR183" s="101" t="s">
        <v>446</v>
      </c>
      <c r="AT183" s="101" t="s">
        <v>214</v>
      </c>
      <c r="AU183" s="101" t="s">
        <v>87</v>
      </c>
      <c r="AY183" s="23" t="s">
        <v>211</v>
      </c>
      <c r="BE183" s="104">
        <f t="shared" si="4"/>
        <v>5850</v>
      </c>
      <c r="BF183" s="104">
        <f t="shared" si="5"/>
        <v>0</v>
      </c>
      <c r="BG183" s="104">
        <f t="shared" si="6"/>
        <v>0</v>
      </c>
      <c r="BH183" s="104">
        <f t="shared" si="7"/>
        <v>0</v>
      </c>
      <c r="BI183" s="104">
        <f t="shared" si="8"/>
        <v>0</v>
      </c>
      <c r="BJ183" s="23" t="s">
        <v>85</v>
      </c>
      <c r="BK183" s="104">
        <f t="shared" si="9"/>
        <v>5850</v>
      </c>
      <c r="BL183" s="23" t="s">
        <v>446</v>
      </c>
      <c r="BM183" s="101" t="s">
        <v>649</v>
      </c>
    </row>
    <row r="184" spans="2:65" s="31" customFormat="1" ht="23.1" customHeight="1">
      <c r="B184" s="67"/>
      <c r="D184" s="68" t="s">
        <v>76</v>
      </c>
      <c r="E184" s="70" t="s">
        <v>3858</v>
      </c>
      <c r="F184" s="70" t="s">
        <v>3917</v>
      </c>
      <c r="I184" s="85"/>
      <c r="J184" s="89">
        <f>BK184</f>
        <v>108000</v>
      </c>
      <c r="L184" s="67"/>
      <c r="M184" s="87"/>
      <c r="P184" s="88">
        <f>SUM(P185:P188)</f>
        <v>0</v>
      </c>
      <c r="R184" s="88">
        <f>SUM(R185:R188)</f>
        <v>0</v>
      </c>
      <c r="T184" s="98">
        <f>SUM(T185:T188)</f>
        <v>0</v>
      </c>
      <c r="AR184" s="68" t="s">
        <v>85</v>
      </c>
      <c r="AT184" s="100" t="s">
        <v>76</v>
      </c>
      <c r="AU184" s="100" t="s">
        <v>85</v>
      </c>
      <c r="AY184" s="68" t="s">
        <v>211</v>
      </c>
      <c r="BK184" s="103">
        <f>SUM(BK185:BK188)</f>
        <v>108000</v>
      </c>
    </row>
    <row r="185" spans="2:65" s="1" customFormat="1" ht="16.5" customHeight="1">
      <c r="B185" s="12"/>
      <c r="C185" s="71" t="s">
        <v>507</v>
      </c>
      <c r="D185" s="71" t="s">
        <v>214</v>
      </c>
      <c r="E185" s="72" t="s">
        <v>1040</v>
      </c>
      <c r="F185" s="73" t="s">
        <v>5341</v>
      </c>
      <c r="G185" s="74" t="s">
        <v>4204</v>
      </c>
      <c r="H185" s="75">
        <v>200</v>
      </c>
      <c r="I185" s="90">
        <v>300</v>
      </c>
      <c r="J185" s="91">
        <f>ROUND(I185*H185,2)</f>
        <v>60000</v>
      </c>
      <c r="K185" s="92"/>
      <c r="L185" s="12"/>
      <c r="M185" s="93" t="s">
        <v>1</v>
      </c>
      <c r="N185" s="94" t="s">
        <v>42</v>
      </c>
      <c r="P185" s="95">
        <f>O185*H185</f>
        <v>0</v>
      </c>
      <c r="Q185" s="95">
        <v>0</v>
      </c>
      <c r="R185" s="95">
        <f>Q185*H185</f>
        <v>0</v>
      </c>
      <c r="S185" s="95">
        <v>0</v>
      </c>
      <c r="T185" s="99">
        <f>S185*H185</f>
        <v>0</v>
      </c>
      <c r="AR185" s="101" t="s">
        <v>446</v>
      </c>
      <c r="AT185" s="101" t="s">
        <v>214</v>
      </c>
      <c r="AU185" s="101" t="s">
        <v>87</v>
      </c>
      <c r="AY185" s="23" t="s">
        <v>211</v>
      </c>
      <c r="BE185" s="104">
        <f>IF(N185="základní",J185,0)</f>
        <v>60000</v>
      </c>
      <c r="BF185" s="104">
        <f>IF(N185="snížená",J185,0)</f>
        <v>0</v>
      </c>
      <c r="BG185" s="104">
        <f>IF(N185="zákl. přenesená",J185,0)</f>
        <v>0</v>
      </c>
      <c r="BH185" s="104">
        <f>IF(N185="sníž. přenesená",J185,0)</f>
        <v>0</v>
      </c>
      <c r="BI185" s="104">
        <f>IF(N185="nulová",J185,0)</f>
        <v>0</v>
      </c>
      <c r="BJ185" s="23" t="s">
        <v>85</v>
      </c>
      <c r="BK185" s="104">
        <f>ROUND(I185*H185,2)</f>
        <v>60000</v>
      </c>
      <c r="BL185" s="23" t="s">
        <v>446</v>
      </c>
      <c r="BM185" s="101" t="s">
        <v>660</v>
      </c>
    </row>
    <row r="186" spans="2:65" s="1" customFormat="1" ht="16.5" customHeight="1">
      <c r="B186" s="12"/>
      <c r="C186" s="71" t="s">
        <v>511</v>
      </c>
      <c r="D186" s="71" t="s">
        <v>214</v>
      </c>
      <c r="E186" s="72" t="s">
        <v>1063</v>
      </c>
      <c r="F186" s="73" t="s">
        <v>5357</v>
      </c>
      <c r="G186" s="74" t="s">
        <v>4204</v>
      </c>
      <c r="H186" s="75">
        <v>32</v>
      </c>
      <c r="I186" s="90">
        <v>500</v>
      </c>
      <c r="J186" s="91">
        <f>ROUND(I186*H186,2)</f>
        <v>16000</v>
      </c>
      <c r="K186" s="92"/>
      <c r="L186" s="12"/>
      <c r="M186" s="93" t="s">
        <v>1</v>
      </c>
      <c r="N186" s="94" t="s">
        <v>42</v>
      </c>
      <c r="P186" s="95">
        <f>O186*H186</f>
        <v>0</v>
      </c>
      <c r="Q186" s="95">
        <v>0</v>
      </c>
      <c r="R186" s="95">
        <f>Q186*H186</f>
        <v>0</v>
      </c>
      <c r="S186" s="95">
        <v>0</v>
      </c>
      <c r="T186" s="99">
        <f>S186*H186</f>
        <v>0</v>
      </c>
      <c r="AR186" s="101" t="s">
        <v>446</v>
      </c>
      <c r="AT186" s="101" t="s">
        <v>214</v>
      </c>
      <c r="AU186" s="101" t="s">
        <v>87</v>
      </c>
      <c r="AY186" s="23" t="s">
        <v>211</v>
      </c>
      <c r="BE186" s="104">
        <f>IF(N186="základní",J186,0)</f>
        <v>16000</v>
      </c>
      <c r="BF186" s="104">
        <f>IF(N186="snížená",J186,0)</f>
        <v>0</v>
      </c>
      <c r="BG186" s="104">
        <f>IF(N186="zákl. přenesená",J186,0)</f>
        <v>0</v>
      </c>
      <c r="BH186" s="104">
        <f>IF(N186="sníž. přenesená",J186,0)</f>
        <v>0</v>
      </c>
      <c r="BI186" s="104">
        <f>IF(N186="nulová",J186,0)</f>
        <v>0</v>
      </c>
      <c r="BJ186" s="23" t="s">
        <v>85</v>
      </c>
      <c r="BK186" s="104">
        <f>ROUND(I186*H186,2)</f>
        <v>16000</v>
      </c>
      <c r="BL186" s="23" t="s">
        <v>446</v>
      </c>
      <c r="BM186" s="101" t="s">
        <v>679</v>
      </c>
    </row>
    <row r="187" spans="2:65" s="1" customFormat="1" ht="16.5" customHeight="1">
      <c r="B187" s="12"/>
      <c r="C187" s="71" t="s">
        <v>517</v>
      </c>
      <c r="D187" s="71" t="s">
        <v>214</v>
      </c>
      <c r="E187" s="72" t="s">
        <v>460</v>
      </c>
      <c r="F187" s="73" t="s">
        <v>5358</v>
      </c>
      <c r="G187" s="74" t="s">
        <v>4204</v>
      </c>
      <c r="H187" s="75">
        <v>32</v>
      </c>
      <c r="I187" s="90">
        <v>500</v>
      </c>
      <c r="J187" s="91">
        <f>ROUND(I187*H187,2)</f>
        <v>16000</v>
      </c>
      <c r="K187" s="92"/>
      <c r="L187" s="12"/>
      <c r="M187" s="93" t="s">
        <v>1</v>
      </c>
      <c r="N187" s="94" t="s">
        <v>42</v>
      </c>
      <c r="P187" s="95">
        <f>O187*H187</f>
        <v>0</v>
      </c>
      <c r="Q187" s="95">
        <v>0</v>
      </c>
      <c r="R187" s="95">
        <f>Q187*H187</f>
        <v>0</v>
      </c>
      <c r="S187" s="95">
        <v>0</v>
      </c>
      <c r="T187" s="99">
        <f>S187*H187</f>
        <v>0</v>
      </c>
      <c r="AR187" s="101" t="s">
        <v>446</v>
      </c>
      <c r="AT187" s="101" t="s">
        <v>214</v>
      </c>
      <c r="AU187" s="101" t="s">
        <v>87</v>
      </c>
      <c r="AY187" s="23" t="s">
        <v>211</v>
      </c>
      <c r="BE187" s="104">
        <f>IF(N187="základní",J187,0)</f>
        <v>16000</v>
      </c>
      <c r="BF187" s="104">
        <f>IF(N187="snížená",J187,0)</f>
        <v>0</v>
      </c>
      <c r="BG187" s="104">
        <f>IF(N187="zákl. přenesená",J187,0)</f>
        <v>0</v>
      </c>
      <c r="BH187" s="104">
        <f>IF(N187="sníž. přenesená",J187,0)</f>
        <v>0</v>
      </c>
      <c r="BI187" s="104">
        <f>IF(N187="nulová",J187,0)</f>
        <v>0</v>
      </c>
      <c r="BJ187" s="23" t="s">
        <v>85</v>
      </c>
      <c r="BK187" s="104">
        <f>ROUND(I187*H187,2)</f>
        <v>16000</v>
      </c>
      <c r="BL187" s="23" t="s">
        <v>446</v>
      </c>
      <c r="BM187" s="101" t="s">
        <v>705</v>
      </c>
    </row>
    <row r="188" spans="2:65" s="1" customFormat="1" ht="24.15" customHeight="1">
      <c r="B188" s="12"/>
      <c r="C188" s="71" t="s">
        <v>522</v>
      </c>
      <c r="D188" s="71" t="s">
        <v>214</v>
      </c>
      <c r="E188" s="72" t="s">
        <v>466</v>
      </c>
      <c r="F188" s="73" t="s">
        <v>5359</v>
      </c>
      <c r="G188" s="74" t="s">
        <v>4204</v>
      </c>
      <c r="H188" s="75">
        <v>32</v>
      </c>
      <c r="I188" s="90">
        <v>500</v>
      </c>
      <c r="J188" s="91">
        <f>ROUND(I188*H188,2)</f>
        <v>16000</v>
      </c>
      <c r="K188" s="92"/>
      <c r="L188" s="12"/>
      <c r="M188" s="93" t="s">
        <v>1</v>
      </c>
      <c r="N188" s="94" t="s">
        <v>42</v>
      </c>
      <c r="P188" s="95">
        <f>O188*H188</f>
        <v>0</v>
      </c>
      <c r="Q188" s="95">
        <v>0</v>
      </c>
      <c r="R188" s="95">
        <f>Q188*H188</f>
        <v>0</v>
      </c>
      <c r="S188" s="95">
        <v>0</v>
      </c>
      <c r="T188" s="99">
        <f>S188*H188</f>
        <v>0</v>
      </c>
      <c r="AR188" s="101" t="s">
        <v>446</v>
      </c>
      <c r="AT188" s="101" t="s">
        <v>214</v>
      </c>
      <c r="AU188" s="101" t="s">
        <v>87</v>
      </c>
      <c r="AY188" s="23" t="s">
        <v>211</v>
      </c>
      <c r="BE188" s="104">
        <f>IF(N188="základní",J188,0)</f>
        <v>16000</v>
      </c>
      <c r="BF188" s="104">
        <f>IF(N188="snížená",J188,0)</f>
        <v>0</v>
      </c>
      <c r="BG188" s="104">
        <f>IF(N188="zákl. přenesená",J188,0)</f>
        <v>0</v>
      </c>
      <c r="BH188" s="104">
        <f>IF(N188="sníž. přenesená",J188,0)</f>
        <v>0</v>
      </c>
      <c r="BI188" s="104">
        <f>IF(N188="nulová",J188,0)</f>
        <v>0</v>
      </c>
      <c r="BJ188" s="23" t="s">
        <v>85</v>
      </c>
      <c r="BK188" s="104">
        <f>ROUND(I188*H188,2)</f>
        <v>16000</v>
      </c>
      <c r="BL188" s="23" t="s">
        <v>446</v>
      </c>
      <c r="BM188" s="101" t="s">
        <v>722</v>
      </c>
    </row>
    <row r="189" spans="2:65" s="31" customFormat="1" ht="26.1" customHeight="1">
      <c r="B189" s="67"/>
      <c r="D189" s="68" t="s">
        <v>76</v>
      </c>
      <c r="E189" s="69" t="s">
        <v>3886</v>
      </c>
      <c r="F189" s="69" t="s">
        <v>5360</v>
      </c>
      <c r="I189" s="85"/>
      <c r="J189" s="86">
        <f>BK189</f>
        <v>742420</v>
      </c>
      <c r="L189" s="67"/>
      <c r="M189" s="87"/>
      <c r="P189" s="88">
        <f>P190+P195+P198+P201+P214</f>
        <v>0</v>
      </c>
      <c r="R189" s="88">
        <f>R190+R195+R198+R201+R214</f>
        <v>0</v>
      </c>
      <c r="T189" s="98">
        <f>T190+T195+T198+T201+T214</f>
        <v>0</v>
      </c>
      <c r="AR189" s="68" t="s">
        <v>85</v>
      </c>
      <c r="AT189" s="100" t="s">
        <v>76</v>
      </c>
      <c r="AU189" s="100" t="s">
        <v>77</v>
      </c>
      <c r="AY189" s="68" t="s">
        <v>211</v>
      </c>
      <c r="BK189" s="103">
        <f>BK190+BK195+BK198+BK201+BK214</f>
        <v>742420</v>
      </c>
    </row>
    <row r="190" spans="2:65" s="31" customFormat="1" ht="23.1" customHeight="1">
      <c r="B190" s="67"/>
      <c r="D190" s="68" t="s">
        <v>76</v>
      </c>
      <c r="E190" s="70" t="s">
        <v>3832</v>
      </c>
      <c r="F190" s="70" t="s">
        <v>5330</v>
      </c>
      <c r="I190" s="85"/>
      <c r="J190" s="89">
        <f>BK190</f>
        <v>216180</v>
      </c>
      <c r="L190" s="67"/>
      <c r="M190" s="87"/>
      <c r="P190" s="88">
        <f>SUM(P191:P194)</f>
        <v>0</v>
      </c>
      <c r="R190" s="88">
        <f>SUM(R191:R194)</f>
        <v>0</v>
      </c>
      <c r="T190" s="98">
        <f>SUM(T191:T194)</f>
        <v>0</v>
      </c>
      <c r="AR190" s="68" t="s">
        <v>85</v>
      </c>
      <c r="AT190" s="100" t="s">
        <v>76</v>
      </c>
      <c r="AU190" s="100" t="s">
        <v>85</v>
      </c>
      <c r="AY190" s="68" t="s">
        <v>211</v>
      </c>
      <c r="BK190" s="103">
        <f>SUM(BK191:BK194)</f>
        <v>216180</v>
      </c>
    </row>
    <row r="191" spans="2:65" s="1" customFormat="1" ht="24.15" customHeight="1">
      <c r="B191" s="12"/>
      <c r="C191" s="71" t="s">
        <v>527</v>
      </c>
      <c r="D191" s="71" t="s">
        <v>214</v>
      </c>
      <c r="E191" s="72" t="s">
        <v>512</v>
      </c>
      <c r="F191" s="73" t="s">
        <v>5331</v>
      </c>
      <c r="G191" s="74" t="s">
        <v>444</v>
      </c>
      <c r="H191" s="75">
        <v>1200</v>
      </c>
      <c r="I191" s="90">
        <v>70</v>
      </c>
      <c r="J191" s="91">
        <f>ROUND(I191*H191,2)</f>
        <v>84000</v>
      </c>
      <c r="K191" s="92"/>
      <c r="L191" s="12"/>
      <c r="M191" s="93" t="s">
        <v>1</v>
      </c>
      <c r="N191" s="94" t="s">
        <v>42</v>
      </c>
      <c r="P191" s="95">
        <f>O191*H191</f>
        <v>0</v>
      </c>
      <c r="Q191" s="95">
        <v>0</v>
      </c>
      <c r="R191" s="95">
        <f>Q191*H191</f>
        <v>0</v>
      </c>
      <c r="S191" s="95">
        <v>0</v>
      </c>
      <c r="T191" s="99">
        <f>S191*H191</f>
        <v>0</v>
      </c>
      <c r="AR191" s="101" t="s">
        <v>446</v>
      </c>
      <c r="AT191" s="101" t="s">
        <v>214</v>
      </c>
      <c r="AU191" s="101" t="s">
        <v>87</v>
      </c>
      <c r="AY191" s="23" t="s">
        <v>211</v>
      </c>
      <c r="BE191" s="104">
        <f>IF(N191="základní",J191,0)</f>
        <v>84000</v>
      </c>
      <c r="BF191" s="104">
        <f>IF(N191="snížená",J191,0)</f>
        <v>0</v>
      </c>
      <c r="BG191" s="104">
        <f>IF(N191="zákl. přenesená",J191,0)</f>
        <v>0</v>
      </c>
      <c r="BH191" s="104">
        <f>IF(N191="sníž. přenesená",J191,0)</f>
        <v>0</v>
      </c>
      <c r="BI191" s="104">
        <f>IF(N191="nulová",J191,0)</f>
        <v>0</v>
      </c>
      <c r="BJ191" s="23" t="s">
        <v>85</v>
      </c>
      <c r="BK191" s="104">
        <f>ROUND(I191*H191,2)</f>
        <v>84000</v>
      </c>
      <c r="BL191" s="23" t="s">
        <v>446</v>
      </c>
      <c r="BM191" s="101" t="s">
        <v>756</v>
      </c>
    </row>
    <row r="192" spans="2:65" s="1" customFormat="1" ht="24.15" customHeight="1">
      <c r="B192" s="12"/>
      <c r="C192" s="71" t="s">
        <v>532</v>
      </c>
      <c r="D192" s="71" t="s">
        <v>214</v>
      </c>
      <c r="E192" s="72" t="s">
        <v>518</v>
      </c>
      <c r="F192" s="73" t="s">
        <v>5333</v>
      </c>
      <c r="G192" s="74" t="s">
        <v>444</v>
      </c>
      <c r="H192" s="75">
        <v>310</v>
      </c>
      <c r="I192" s="90">
        <v>50</v>
      </c>
      <c r="J192" s="91">
        <f>ROUND(I192*H192,2)</f>
        <v>15500</v>
      </c>
      <c r="K192" s="92"/>
      <c r="L192" s="12"/>
      <c r="M192" s="93" t="s">
        <v>1</v>
      </c>
      <c r="N192" s="94" t="s">
        <v>42</v>
      </c>
      <c r="P192" s="95">
        <f>O192*H192</f>
        <v>0</v>
      </c>
      <c r="Q192" s="95">
        <v>0</v>
      </c>
      <c r="R192" s="95">
        <f>Q192*H192</f>
        <v>0</v>
      </c>
      <c r="S192" s="95">
        <v>0</v>
      </c>
      <c r="T192" s="99">
        <f>S192*H192</f>
        <v>0</v>
      </c>
      <c r="AR192" s="101" t="s">
        <v>446</v>
      </c>
      <c r="AT192" s="101" t="s">
        <v>214</v>
      </c>
      <c r="AU192" s="101" t="s">
        <v>87</v>
      </c>
      <c r="AY192" s="23" t="s">
        <v>211</v>
      </c>
      <c r="BE192" s="104">
        <f>IF(N192="základní",J192,0)</f>
        <v>15500</v>
      </c>
      <c r="BF192" s="104">
        <f>IF(N192="snížená",J192,0)</f>
        <v>0</v>
      </c>
      <c r="BG192" s="104">
        <f>IF(N192="zákl. přenesená",J192,0)</f>
        <v>0</v>
      </c>
      <c r="BH192" s="104">
        <f>IF(N192="sníž. přenesená",J192,0)</f>
        <v>0</v>
      </c>
      <c r="BI192" s="104">
        <f>IF(N192="nulová",J192,0)</f>
        <v>0</v>
      </c>
      <c r="BJ192" s="23" t="s">
        <v>85</v>
      </c>
      <c r="BK192" s="104">
        <f>ROUND(I192*H192,2)</f>
        <v>15500</v>
      </c>
      <c r="BL192" s="23" t="s">
        <v>446</v>
      </c>
      <c r="BM192" s="101" t="s">
        <v>805</v>
      </c>
    </row>
    <row r="193" spans="2:65" s="1" customFormat="1" ht="24.15" customHeight="1">
      <c r="B193" s="12"/>
      <c r="C193" s="71" t="s">
        <v>537</v>
      </c>
      <c r="D193" s="71" t="s">
        <v>214</v>
      </c>
      <c r="E193" s="72" t="s">
        <v>523</v>
      </c>
      <c r="F193" s="73" t="s">
        <v>5334</v>
      </c>
      <c r="G193" s="74" t="s">
        <v>444</v>
      </c>
      <c r="H193" s="75">
        <v>1400</v>
      </c>
      <c r="I193" s="90">
        <v>80</v>
      </c>
      <c r="J193" s="91">
        <f>ROUND(I193*H193,2)</f>
        <v>112000</v>
      </c>
      <c r="K193" s="92"/>
      <c r="L193" s="12"/>
      <c r="M193" s="93" t="s">
        <v>1</v>
      </c>
      <c r="N193" s="94" t="s">
        <v>42</v>
      </c>
      <c r="P193" s="95">
        <f>O193*H193</f>
        <v>0</v>
      </c>
      <c r="Q193" s="95">
        <v>0</v>
      </c>
      <c r="R193" s="95">
        <f>Q193*H193</f>
        <v>0</v>
      </c>
      <c r="S193" s="95">
        <v>0</v>
      </c>
      <c r="T193" s="99">
        <f>S193*H193</f>
        <v>0</v>
      </c>
      <c r="AR193" s="101" t="s">
        <v>446</v>
      </c>
      <c r="AT193" s="101" t="s">
        <v>214</v>
      </c>
      <c r="AU193" s="101" t="s">
        <v>87</v>
      </c>
      <c r="AY193" s="23" t="s">
        <v>211</v>
      </c>
      <c r="BE193" s="104">
        <f>IF(N193="základní",J193,0)</f>
        <v>112000</v>
      </c>
      <c r="BF193" s="104">
        <f>IF(N193="snížená",J193,0)</f>
        <v>0</v>
      </c>
      <c r="BG193" s="104">
        <f>IF(N193="zákl. přenesená",J193,0)</f>
        <v>0</v>
      </c>
      <c r="BH193" s="104">
        <f>IF(N193="sníž. přenesená",J193,0)</f>
        <v>0</v>
      </c>
      <c r="BI193" s="104">
        <f>IF(N193="nulová",J193,0)</f>
        <v>0</v>
      </c>
      <c r="BJ193" s="23" t="s">
        <v>85</v>
      </c>
      <c r="BK193" s="104">
        <f>ROUND(I193*H193,2)</f>
        <v>112000</v>
      </c>
      <c r="BL193" s="23" t="s">
        <v>446</v>
      </c>
      <c r="BM193" s="101" t="s">
        <v>814</v>
      </c>
    </row>
    <row r="194" spans="2:65" s="1" customFormat="1" ht="16.5" customHeight="1">
      <c r="B194" s="12"/>
      <c r="C194" s="71" t="s">
        <v>542</v>
      </c>
      <c r="D194" s="71" t="s">
        <v>214</v>
      </c>
      <c r="E194" s="72" t="s">
        <v>533</v>
      </c>
      <c r="F194" s="73" t="s">
        <v>5335</v>
      </c>
      <c r="G194" s="74" t="s">
        <v>808</v>
      </c>
      <c r="H194" s="75">
        <v>36</v>
      </c>
      <c r="I194" s="90">
        <v>130</v>
      </c>
      <c r="J194" s="91">
        <f>ROUND(I194*H194,2)</f>
        <v>4680</v>
      </c>
      <c r="K194" s="92"/>
      <c r="L194" s="12"/>
      <c r="M194" s="93" t="s">
        <v>1</v>
      </c>
      <c r="N194" s="94" t="s">
        <v>42</v>
      </c>
      <c r="P194" s="95">
        <f>O194*H194</f>
        <v>0</v>
      </c>
      <c r="Q194" s="95">
        <v>0</v>
      </c>
      <c r="R194" s="95">
        <f>Q194*H194</f>
        <v>0</v>
      </c>
      <c r="S194" s="95">
        <v>0</v>
      </c>
      <c r="T194" s="99">
        <f>S194*H194</f>
        <v>0</v>
      </c>
      <c r="AR194" s="101" t="s">
        <v>446</v>
      </c>
      <c r="AT194" s="101" t="s">
        <v>214</v>
      </c>
      <c r="AU194" s="101" t="s">
        <v>87</v>
      </c>
      <c r="AY194" s="23" t="s">
        <v>211</v>
      </c>
      <c r="BE194" s="104">
        <f>IF(N194="základní",J194,0)</f>
        <v>4680</v>
      </c>
      <c r="BF194" s="104">
        <f>IF(N194="snížená",J194,0)</f>
        <v>0</v>
      </c>
      <c r="BG194" s="104">
        <f>IF(N194="zákl. přenesená",J194,0)</f>
        <v>0</v>
      </c>
      <c r="BH194" s="104">
        <f>IF(N194="sníž. přenesená",J194,0)</f>
        <v>0</v>
      </c>
      <c r="BI194" s="104">
        <f>IF(N194="nulová",J194,0)</f>
        <v>0</v>
      </c>
      <c r="BJ194" s="23" t="s">
        <v>85</v>
      </c>
      <c r="BK194" s="104">
        <f>ROUND(I194*H194,2)</f>
        <v>4680</v>
      </c>
      <c r="BL194" s="23" t="s">
        <v>446</v>
      </c>
      <c r="BM194" s="101" t="s">
        <v>822</v>
      </c>
    </row>
    <row r="195" spans="2:65" s="31" customFormat="1" ht="23.1" customHeight="1">
      <c r="B195" s="67"/>
      <c r="D195" s="68" t="s">
        <v>76</v>
      </c>
      <c r="E195" s="70" t="s">
        <v>3839</v>
      </c>
      <c r="F195" s="70" t="s">
        <v>5139</v>
      </c>
      <c r="I195" s="85"/>
      <c r="J195" s="89">
        <f>BK195</f>
        <v>93960</v>
      </c>
      <c r="L195" s="67"/>
      <c r="M195" s="87"/>
      <c r="P195" s="88">
        <f>SUM(P196:P197)</f>
        <v>0</v>
      </c>
      <c r="R195" s="88">
        <f>SUM(R196:R197)</f>
        <v>0</v>
      </c>
      <c r="T195" s="98">
        <f>SUM(T196:T197)</f>
        <v>0</v>
      </c>
      <c r="AR195" s="68" t="s">
        <v>85</v>
      </c>
      <c r="AT195" s="100" t="s">
        <v>76</v>
      </c>
      <c r="AU195" s="100" t="s">
        <v>85</v>
      </c>
      <c r="AY195" s="68" t="s">
        <v>211</v>
      </c>
      <c r="BK195" s="103">
        <f>SUM(BK196:BK197)</f>
        <v>93960</v>
      </c>
    </row>
    <row r="196" spans="2:65" s="1" customFormat="1" ht="16.5" customHeight="1">
      <c r="B196" s="12"/>
      <c r="C196" s="71" t="s">
        <v>551</v>
      </c>
      <c r="D196" s="71" t="s">
        <v>214</v>
      </c>
      <c r="E196" s="72" t="s">
        <v>538</v>
      </c>
      <c r="F196" s="73" t="s">
        <v>5336</v>
      </c>
      <c r="G196" s="74" t="s">
        <v>444</v>
      </c>
      <c r="H196" s="75">
        <v>7000</v>
      </c>
      <c r="I196" s="90">
        <v>13</v>
      </c>
      <c r="J196" s="91">
        <f>ROUND(I196*H196,2)</f>
        <v>91000</v>
      </c>
      <c r="K196" s="92"/>
      <c r="L196" s="12"/>
      <c r="M196" s="93" t="s">
        <v>1</v>
      </c>
      <c r="N196" s="94" t="s">
        <v>42</v>
      </c>
      <c r="P196" s="95">
        <f>O196*H196</f>
        <v>0</v>
      </c>
      <c r="Q196" s="95">
        <v>0</v>
      </c>
      <c r="R196" s="95">
        <f>Q196*H196</f>
        <v>0</v>
      </c>
      <c r="S196" s="95">
        <v>0</v>
      </c>
      <c r="T196" s="99">
        <f>S196*H196</f>
        <v>0</v>
      </c>
      <c r="AR196" s="101" t="s">
        <v>446</v>
      </c>
      <c r="AT196" s="101" t="s">
        <v>214</v>
      </c>
      <c r="AU196" s="101" t="s">
        <v>87</v>
      </c>
      <c r="AY196" s="23" t="s">
        <v>211</v>
      </c>
      <c r="BE196" s="104">
        <f>IF(N196="základní",J196,0)</f>
        <v>91000</v>
      </c>
      <c r="BF196" s="104">
        <f>IF(N196="snížená",J196,0)</f>
        <v>0</v>
      </c>
      <c r="BG196" s="104">
        <f>IF(N196="zákl. přenesená",J196,0)</f>
        <v>0</v>
      </c>
      <c r="BH196" s="104">
        <f>IF(N196="sníž. přenesená",J196,0)</f>
        <v>0</v>
      </c>
      <c r="BI196" s="104">
        <f>IF(N196="nulová",J196,0)</f>
        <v>0</v>
      </c>
      <c r="BJ196" s="23" t="s">
        <v>85</v>
      </c>
      <c r="BK196" s="104">
        <f>ROUND(I196*H196,2)</f>
        <v>91000</v>
      </c>
      <c r="BL196" s="23" t="s">
        <v>446</v>
      </c>
      <c r="BM196" s="101" t="s">
        <v>830</v>
      </c>
    </row>
    <row r="197" spans="2:65" s="1" customFormat="1" ht="16.5" customHeight="1">
      <c r="B197" s="12"/>
      <c r="C197" s="71" t="s">
        <v>555</v>
      </c>
      <c r="D197" s="71" t="s">
        <v>214</v>
      </c>
      <c r="E197" s="72" t="s">
        <v>3884</v>
      </c>
      <c r="F197" s="73" t="s">
        <v>5346</v>
      </c>
      <c r="G197" s="74" t="s">
        <v>444</v>
      </c>
      <c r="H197" s="75">
        <v>80</v>
      </c>
      <c r="I197" s="90">
        <v>37</v>
      </c>
      <c r="J197" s="91">
        <f>ROUND(I197*H197,2)</f>
        <v>2960</v>
      </c>
      <c r="K197" s="92"/>
      <c r="L197" s="12"/>
      <c r="M197" s="93" t="s">
        <v>1</v>
      </c>
      <c r="N197" s="94" t="s">
        <v>42</v>
      </c>
      <c r="P197" s="95">
        <f>O197*H197</f>
        <v>0</v>
      </c>
      <c r="Q197" s="95">
        <v>0</v>
      </c>
      <c r="R197" s="95">
        <f>Q197*H197</f>
        <v>0</v>
      </c>
      <c r="S197" s="95">
        <v>0</v>
      </c>
      <c r="T197" s="99">
        <f>S197*H197</f>
        <v>0</v>
      </c>
      <c r="AR197" s="101" t="s">
        <v>446</v>
      </c>
      <c r="AT197" s="101" t="s">
        <v>214</v>
      </c>
      <c r="AU197" s="101" t="s">
        <v>87</v>
      </c>
      <c r="AY197" s="23" t="s">
        <v>211</v>
      </c>
      <c r="BE197" s="104">
        <f>IF(N197="základní",J197,0)</f>
        <v>2960</v>
      </c>
      <c r="BF197" s="104">
        <f>IF(N197="snížená",J197,0)</f>
        <v>0</v>
      </c>
      <c r="BG197" s="104">
        <f>IF(N197="zákl. přenesená",J197,0)</f>
        <v>0</v>
      </c>
      <c r="BH197" s="104">
        <f>IF(N197="sníž. přenesená",J197,0)</f>
        <v>0</v>
      </c>
      <c r="BI197" s="104">
        <f>IF(N197="nulová",J197,0)</f>
        <v>0</v>
      </c>
      <c r="BJ197" s="23" t="s">
        <v>85</v>
      </c>
      <c r="BK197" s="104">
        <f>ROUND(I197*H197,2)</f>
        <v>2960</v>
      </c>
      <c r="BL197" s="23" t="s">
        <v>446</v>
      </c>
      <c r="BM197" s="101" t="s">
        <v>838</v>
      </c>
    </row>
    <row r="198" spans="2:65" s="31" customFormat="1" ht="23.1" customHeight="1">
      <c r="B198" s="67"/>
      <c r="D198" s="68" t="s">
        <v>76</v>
      </c>
      <c r="E198" s="70" t="s">
        <v>3896</v>
      </c>
      <c r="F198" s="70" t="s">
        <v>5361</v>
      </c>
      <c r="I198" s="85"/>
      <c r="J198" s="89">
        <f>BK198</f>
        <v>11040</v>
      </c>
      <c r="L198" s="67"/>
      <c r="M198" s="87"/>
      <c r="P198" s="88">
        <f>SUM(P199:P200)</f>
        <v>0</v>
      </c>
      <c r="R198" s="88">
        <f>SUM(R199:R200)</f>
        <v>0</v>
      </c>
      <c r="T198" s="98">
        <f>SUM(T199:T200)</f>
        <v>0</v>
      </c>
      <c r="AR198" s="68" t="s">
        <v>85</v>
      </c>
      <c r="AT198" s="100" t="s">
        <v>76</v>
      </c>
      <c r="AU198" s="100" t="s">
        <v>85</v>
      </c>
      <c r="AY198" s="68" t="s">
        <v>211</v>
      </c>
      <c r="BK198" s="103">
        <f>SUM(BK199:BK200)</f>
        <v>11040</v>
      </c>
    </row>
    <row r="199" spans="2:65" s="1" customFormat="1" ht="33" customHeight="1">
      <c r="B199" s="12"/>
      <c r="C199" s="71" t="s">
        <v>566</v>
      </c>
      <c r="D199" s="71" t="s">
        <v>214</v>
      </c>
      <c r="E199" s="72" t="s">
        <v>3888</v>
      </c>
      <c r="F199" s="73" t="s">
        <v>5362</v>
      </c>
      <c r="G199" s="74" t="s">
        <v>808</v>
      </c>
      <c r="H199" s="75">
        <v>4</v>
      </c>
      <c r="I199" s="90">
        <v>2600</v>
      </c>
      <c r="J199" s="91">
        <f>ROUND(I199*H199,2)</f>
        <v>10400</v>
      </c>
      <c r="K199" s="92"/>
      <c r="L199" s="12"/>
      <c r="M199" s="93" t="s">
        <v>1</v>
      </c>
      <c r="N199" s="94" t="s">
        <v>42</v>
      </c>
      <c r="P199" s="95">
        <f>O199*H199</f>
        <v>0</v>
      </c>
      <c r="Q199" s="95">
        <v>0</v>
      </c>
      <c r="R199" s="95">
        <f>Q199*H199</f>
        <v>0</v>
      </c>
      <c r="S199" s="95">
        <v>0</v>
      </c>
      <c r="T199" s="99">
        <f>S199*H199</f>
        <v>0</v>
      </c>
      <c r="AR199" s="101" t="s">
        <v>446</v>
      </c>
      <c r="AT199" s="101" t="s">
        <v>214</v>
      </c>
      <c r="AU199" s="101" t="s">
        <v>87</v>
      </c>
      <c r="AY199" s="23" t="s">
        <v>211</v>
      </c>
      <c r="BE199" s="104">
        <f>IF(N199="základní",J199,0)</f>
        <v>10400</v>
      </c>
      <c r="BF199" s="104">
        <f>IF(N199="snížená",J199,0)</f>
        <v>0</v>
      </c>
      <c r="BG199" s="104">
        <f>IF(N199="zákl. přenesená",J199,0)</f>
        <v>0</v>
      </c>
      <c r="BH199" s="104">
        <f>IF(N199="sníž. přenesená",J199,0)</f>
        <v>0</v>
      </c>
      <c r="BI199" s="104">
        <f>IF(N199="nulová",J199,0)</f>
        <v>0</v>
      </c>
      <c r="BJ199" s="23" t="s">
        <v>85</v>
      </c>
      <c r="BK199" s="104">
        <f>ROUND(I199*H199,2)</f>
        <v>10400</v>
      </c>
      <c r="BL199" s="23" t="s">
        <v>446</v>
      </c>
      <c r="BM199" s="101" t="s">
        <v>846</v>
      </c>
    </row>
    <row r="200" spans="2:65" s="1" customFormat="1" ht="16.5" customHeight="1">
      <c r="B200" s="12"/>
      <c r="C200" s="71" t="s">
        <v>570</v>
      </c>
      <c r="D200" s="71" t="s">
        <v>214</v>
      </c>
      <c r="E200" s="72" t="s">
        <v>3890</v>
      </c>
      <c r="F200" s="73" t="s">
        <v>5363</v>
      </c>
      <c r="G200" s="74" t="s">
        <v>808</v>
      </c>
      <c r="H200" s="75">
        <v>4</v>
      </c>
      <c r="I200" s="90">
        <v>160</v>
      </c>
      <c r="J200" s="91">
        <f>ROUND(I200*H200,2)</f>
        <v>640</v>
      </c>
      <c r="K200" s="92"/>
      <c r="L200" s="12"/>
      <c r="M200" s="93" t="s">
        <v>1</v>
      </c>
      <c r="N200" s="94" t="s">
        <v>42</v>
      </c>
      <c r="P200" s="95">
        <f>O200*H200</f>
        <v>0</v>
      </c>
      <c r="Q200" s="95">
        <v>0</v>
      </c>
      <c r="R200" s="95">
        <f>Q200*H200</f>
        <v>0</v>
      </c>
      <c r="S200" s="95">
        <v>0</v>
      </c>
      <c r="T200" s="99">
        <f>S200*H200</f>
        <v>0</v>
      </c>
      <c r="AR200" s="101" t="s">
        <v>446</v>
      </c>
      <c r="AT200" s="101" t="s">
        <v>214</v>
      </c>
      <c r="AU200" s="101" t="s">
        <v>87</v>
      </c>
      <c r="AY200" s="23" t="s">
        <v>211</v>
      </c>
      <c r="BE200" s="104">
        <f>IF(N200="základní",J200,0)</f>
        <v>640</v>
      </c>
      <c r="BF200" s="104">
        <f>IF(N200="snížená",J200,0)</f>
        <v>0</v>
      </c>
      <c r="BG200" s="104">
        <f>IF(N200="zákl. přenesená",J200,0)</f>
        <v>0</v>
      </c>
      <c r="BH200" s="104">
        <f>IF(N200="sníž. přenesená",J200,0)</f>
        <v>0</v>
      </c>
      <c r="BI200" s="104">
        <f>IF(N200="nulová",J200,0)</f>
        <v>0</v>
      </c>
      <c r="BJ200" s="23" t="s">
        <v>85</v>
      </c>
      <c r="BK200" s="104">
        <f>ROUND(I200*H200,2)</f>
        <v>640</v>
      </c>
      <c r="BL200" s="23" t="s">
        <v>446</v>
      </c>
      <c r="BM200" s="101" t="s">
        <v>854</v>
      </c>
    </row>
    <row r="201" spans="2:65" s="31" customFormat="1" ht="23.1" customHeight="1">
      <c r="B201" s="67"/>
      <c r="D201" s="68" t="s">
        <v>76</v>
      </c>
      <c r="E201" s="70" t="s">
        <v>3916</v>
      </c>
      <c r="F201" s="70" t="s">
        <v>5364</v>
      </c>
      <c r="I201" s="85"/>
      <c r="J201" s="89">
        <f>BK201</f>
        <v>237240</v>
      </c>
      <c r="L201" s="67"/>
      <c r="M201" s="87"/>
      <c r="P201" s="88">
        <f>SUM(P202:P213)</f>
        <v>0</v>
      </c>
      <c r="R201" s="88">
        <f>SUM(R202:R213)</f>
        <v>0</v>
      </c>
      <c r="T201" s="98">
        <f>SUM(T202:T213)</f>
        <v>0</v>
      </c>
      <c r="AR201" s="68" t="s">
        <v>85</v>
      </c>
      <c r="AT201" s="100" t="s">
        <v>76</v>
      </c>
      <c r="AU201" s="100" t="s">
        <v>85</v>
      </c>
      <c r="AY201" s="68" t="s">
        <v>211</v>
      </c>
      <c r="BK201" s="103">
        <f>SUM(BK202:BK213)</f>
        <v>237240</v>
      </c>
    </row>
    <row r="202" spans="2:65" s="1" customFormat="1" ht="16.5" customHeight="1">
      <c r="B202" s="12"/>
      <c r="C202" s="71" t="s">
        <v>578</v>
      </c>
      <c r="D202" s="71" t="s">
        <v>214</v>
      </c>
      <c r="E202" s="72" t="s">
        <v>3892</v>
      </c>
      <c r="F202" s="73" t="s">
        <v>5365</v>
      </c>
      <c r="G202" s="74" t="s">
        <v>808</v>
      </c>
      <c r="H202" s="75">
        <v>36</v>
      </c>
      <c r="I202" s="90">
        <v>2500</v>
      </c>
      <c r="J202" s="91">
        <f t="shared" ref="J202:J213" si="10">ROUND(I202*H202,2)</f>
        <v>90000</v>
      </c>
      <c r="K202" s="92"/>
      <c r="L202" s="12"/>
      <c r="M202" s="93" t="s">
        <v>1</v>
      </c>
      <c r="N202" s="94" t="s">
        <v>42</v>
      </c>
      <c r="P202" s="95">
        <f t="shared" ref="P202:P213" si="11">O202*H202</f>
        <v>0</v>
      </c>
      <c r="Q202" s="95">
        <v>0</v>
      </c>
      <c r="R202" s="95">
        <f t="shared" ref="R202:R213" si="12">Q202*H202</f>
        <v>0</v>
      </c>
      <c r="S202" s="95">
        <v>0</v>
      </c>
      <c r="T202" s="99">
        <f t="shared" ref="T202:T213" si="13">S202*H202</f>
        <v>0</v>
      </c>
      <c r="AR202" s="101" t="s">
        <v>446</v>
      </c>
      <c r="AT202" s="101" t="s">
        <v>214</v>
      </c>
      <c r="AU202" s="101" t="s">
        <v>87</v>
      </c>
      <c r="AY202" s="23" t="s">
        <v>211</v>
      </c>
      <c r="BE202" s="104">
        <f t="shared" ref="BE202:BE213" si="14">IF(N202="základní",J202,0)</f>
        <v>90000</v>
      </c>
      <c r="BF202" s="104">
        <f t="shared" ref="BF202:BF213" si="15">IF(N202="snížená",J202,0)</f>
        <v>0</v>
      </c>
      <c r="BG202" s="104">
        <f t="shared" ref="BG202:BG213" si="16">IF(N202="zákl. přenesená",J202,0)</f>
        <v>0</v>
      </c>
      <c r="BH202" s="104">
        <f t="shared" ref="BH202:BH213" si="17">IF(N202="sníž. přenesená",J202,0)</f>
        <v>0</v>
      </c>
      <c r="BI202" s="104">
        <f t="shared" ref="BI202:BI213" si="18">IF(N202="nulová",J202,0)</f>
        <v>0</v>
      </c>
      <c r="BJ202" s="23" t="s">
        <v>85</v>
      </c>
      <c r="BK202" s="104">
        <f t="shared" ref="BK202:BK213" si="19">ROUND(I202*H202,2)</f>
        <v>90000</v>
      </c>
      <c r="BL202" s="23" t="s">
        <v>446</v>
      </c>
      <c r="BM202" s="101" t="s">
        <v>862</v>
      </c>
    </row>
    <row r="203" spans="2:65" s="1" customFormat="1" ht="21.75" customHeight="1">
      <c r="B203" s="12"/>
      <c r="C203" s="71" t="s">
        <v>582</v>
      </c>
      <c r="D203" s="71" t="s">
        <v>214</v>
      </c>
      <c r="E203" s="72" t="s">
        <v>3894</v>
      </c>
      <c r="F203" s="73" t="s">
        <v>5366</v>
      </c>
      <c r="G203" s="74" t="s">
        <v>808</v>
      </c>
      <c r="H203" s="75">
        <v>36</v>
      </c>
      <c r="I203" s="90">
        <v>400</v>
      </c>
      <c r="J203" s="91">
        <f t="shared" si="10"/>
        <v>14400</v>
      </c>
      <c r="K203" s="92"/>
      <c r="L203" s="12"/>
      <c r="M203" s="93" t="s">
        <v>1</v>
      </c>
      <c r="N203" s="94" t="s">
        <v>42</v>
      </c>
      <c r="P203" s="95">
        <f t="shared" si="11"/>
        <v>0</v>
      </c>
      <c r="Q203" s="95">
        <v>0</v>
      </c>
      <c r="R203" s="95">
        <f t="shared" si="12"/>
        <v>0</v>
      </c>
      <c r="S203" s="95">
        <v>0</v>
      </c>
      <c r="T203" s="99">
        <f t="shared" si="13"/>
        <v>0</v>
      </c>
      <c r="AR203" s="101" t="s">
        <v>446</v>
      </c>
      <c r="AT203" s="101" t="s">
        <v>214</v>
      </c>
      <c r="AU203" s="101" t="s">
        <v>87</v>
      </c>
      <c r="AY203" s="23" t="s">
        <v>211</v>
      </c>
      <c r="BE203" s="104">
        <f t="shared" si="14"/>
        <v>14400</v>
      </c>
      <c r="BF203" s="104">
        <f t="shared" si="15"/>
        <v>0</v>
      </c>
      <c r="BG203" s="104">
        <f t="shared" si="16"/>
        <v>0</v>
      </c>
      <c r="BH203" s="104">
        <f t="shared" si="17"/>
        <v>0</v>
      </c>
      <c r="BI203" s="104">
        <f t="shared" si="18"/>
        <v>0</v>
      </c>
      <c r="BJ203" s="23" t="s">
        <v>85</v>
      </c>
      <c r="BK203" s="104">
        <f t="shared" si="19"/>
        <v>14400</v>
      </c>
      <c r="BL203" s="23" t="s">
        <v>446</v>
      </c>
      <c r="BM203" s="101" t="s">
        <v>883</v>
      </c>
    </row>
    <row r="204" spans="2:65" s="1" customFormat="1" ht="16.5" customHeight="1">
      <c r="B204" s="12"/>
      <c r="C204" s="71" t="s">
        <v>588</v>
      </c>
      <c r="D204" s="71" t="s">
        <v>214</v>
      </c>
      <c r="E204" s="72" t="s">
        <v>3898</v>
      </c>
      <c r="F204" s="73" t="s">
        <v>5367</v>
      </c>
      <c r="G204" s="74" t="s">
        <v>808</v>
      </c>
      <c r="H204" s="75">
        <v>4</v>
      </c>
      <c r="I204" s="90">
        <v>3000</v>
      </c>
      <c r="J204" s="91">
        <f t="shared" si="10"/>
        <v>12000</v>
      </c>
      <c r="K204" s="92"/>
      <c r="L204" s="12"/>
      <c r="M204" s="93" t="s">
        <v>1</v>
      </c>
      <c r="N204" s="94" t="s">
        <v>42</v>
      </c>
      <c r="P204" s="95">
        <f t="shared" si="11"/>
        <v>0</v>
      </c>
      <c r="Q204" s="95">
        <v>0</v>
      </c>
      <c r="R204" s="95">
        <f t="shared" si="12"/>
        <v>0</v>
      </c>
      <c r="S204" s="95">
        <v>0</v>
      </c>
      <c r="T204" s="99">
        <f t="shared" si="13"/>
        <v>0</v>
      </c>
      <c r="AR204" s="101" t="s">
        <v>446</v>
      </c>
      <c r="AT204" s="101" t="s">
        <v>214</v>
      </c>
      <c r="AU204" s="101" t="s">
        <v>87</v>
      </c>
      <c r="AY204" s="23" t="s">
        <v>211</v>
      </c>
      <c r="BE204" s="104">
        <f t="shared" si="14"/>
        <v>12000</v>
      </c>
      <c r="BF204" s="104">
        <f t="shared" si="15"/>
        <v>0</v>
      </c>
      <c r="BG204" s="104">
        <f t="shared" si="16"/>
        <v>0</v>
      </c>
      <c r="BH204" s="104">
        <f t="shared" si="17"/>
        <v>0</v>
      </c>
      <c r="BI204" s="104">
        <f t="shared" si="18"/>
        <v>0</v>
      </c>
      <c r="BJ204" s="23" t="s">
        <v>85</v>
      </c>
      <c r="BK204" s="104">
        <f t="shared" si="19"/>
        <v>12000</v>
      </c>
      <c r="BL204" s="23" t="s">
        <v>446</v>
      </c>
      <c r="BM204" s="101" t="s">
        <v>905</v>
      </c>
    </row>
    <row r="205" spans="2:65" s="1" customFormat="1" ht="16.5" customHeight="1">
      <c r="B205" s="12"/>
      <c r="C205" s="71" t="s">
        <v>593</v>
      </c>
      <c r="D205" s="71" t="s">
        <v>214</v>
      </c>
      <c r="E205" s="72" t="s">
        <v>3900</v>
      </c>
      <c r="F205" s="73" t="s">
        <v>5368</v>
      </c>
      <c r="G205" s="74" t="s">
        <v>808</v>
      </c>
      <c r="H205" s="75">
        <v>11</v>
      </c>
      <c r="I205" s="90">
        <v>1300</v>
      </c>
      <c r="J205" s="91">
        <f t="shared" si="10"/>
        <v>14300</v>
      </c>
      <c r="K205" s="92"/>
      <c r="L205" s="12"/>
      <c r="M205" s="93" t="s">
        <v>1</v>
      </c>
      <c r="N205" s="94" t="s">
        <v>42</v>
      </c>
      <c r="P205" s="95">
        <f t="shared" si="11"/>
        <v>0</v>
      </c>
      <c r="Q205" s="95">
        <v>0</v>
      </c>
      <c r="R205" s="95">
        <f t="shared" si="12"/>
        <v>0</v>
      </c>
      <c r="S205" s="95">
        <v>0</v>
      </c>
      <c r="T205" s="99">
        <f t="shared" si="13"/>
        <v>0</v>
      </c>
      <c r="AR205" s="101" t="s">
        <v>446</v>
      </c>
      <c r="AT205" s="101" t="s">
        <v>214</v>
      </c>
      <c r="AU205" s="101" t="s">
        <v>87</v>
      </c>
      <c r="AY205" s="23" t="s">
        <v>211</v>
      </c>
      <c r="BE205" s="104">
        <f t="shared" si="14"/>
        <v>14300</v>
      </c>
      <c r="BF205" s="104">
        <f t="shared" si="15"/>
        <v>0</v>
      </c>
      <c r="BG205" s="104">
        <f t="shared" si="16"/>
        <v>0</v>
      </c>
      <c r="BH205" s="104">
        <f t="shared" si="17"/>
        <v>0</v>
      </c>
      <c r="BI205" s="104">
        <f t="shared" si="18"/>
        <v>0</v>
      </c>
      <c r="BJ205" s="23" t="s">
        <v>85</v>
      </c>
      <c r="BK205" s="104">
        <f t="shared" si="19"/>
        <v>14300</v>
      </c>
      <c r="BL205" s="23" t="s">
        <v>446</v>
      </c>
      <c r="BM205" s="101" t="s">
        <v>919</v>
      </c>
    </row>
    <row r="206" spans="2:65" s="1" customFormat="1" ht="16.5" customHeight="1">
      <c r="B206" s="12"/>
      <c r="C206" s="71" t="s">
        <v>598</v>
      </c>
      <c r="D206" s="71" t="s">
        <v>214</v>
      </c>
      <c r="E206" s="72" t="s">
        <v>3902</v>
      </c>
      <c r="F206" s="73" t="s">
        <v>5369</v>
      </c>
      <c r="G206" s="74" t="s">
        <v>808</v>
      </c>
      <c r="H206" s="75">
        <v>11</v>
      </c>
      <c r="I206" s="90">
        <v>200</v>
      </c>
      <c r="J206" s="91">
        <f t="shared" si="10"/>
        <v>2200</v>
      </c>
      <c r="K206" s="92"/>
      <c r="L206" s="12"/>
      <c r="M206" s="93" t="s">
        <v>1</v>
      </c>
      <c r="N206" s="94" t="s">
        <v>42</v>
      </c>
      <c r="P206" s="95">
        <f t="shared" si="11"/>
        <v>0</v>
      </c>
      <c r="Q206" s="95">
        <v>0</v>
      </c>
      <c r="R206" s="95">
        <f t="shared" si="12"/>
        <v>0</v>
      </c>
      <c r="S206" s="95">
        <v>0</v>
      </c>
      <c r="T206" s="99">
        <f t="shared" si="13"/>
        <v>0</v>
      </c>
      <c r="AR206" s="101" t="s">
        <v>446</v>
      </c>
      <c r="AT206" s="101" t="s">
        <v>214</v>
      </c>
      <c r="AU206" s="101" t="s">
        <v>87</v>
      </c>
      <c r="AY206" s="23" t="s">
        <v>211</v>
      </c>
      <c r="BE206" s="104">
        <f t="shared" si="14"/>
        <v>2200</v>
      </c>
      <c r="BF206" s="104">
        <f t="shared" si="15"/>
        <v>0</v>
      </c>
      <c r="BG206" s="104">
        <f t="shared" si="16"/>
        <v>0</v>
      </c>
      <c r="BH206" s="104">
        <f t="shared" si="17"/>
        <v>0</v>
      </c>
      <c r="BI206" s="104">
        <f t="shared" si="18"/>
        <v>0</v>
      </c>
      <c r="BJ206" s="23" t="s">
        <v>85</v>
      </c>
      <c r="BK206" s="104">
        <f t="shared" si="19"/>
        <v>2200</v>
      </c>
      <c r="BL206" s="23" t="s">
        <v>446</v>
      </c>
      <c r="BM206" s="101" t="s">
        <v>935</v>
      </c>
    </row>
    <row r="207" spans="2:65" s="1" customFormat="1" ht="16.5" customHeight="1">
      <c r="B207" s="12"/>
      <c r="C207" s="71" t="s">
        <v>604</v>
      </c>
      <c r="D207" s="71" t="s">
        <v>214</v>
      </c>
      <c r="E207" s="72" t="s">
        <v>3904</v>
      </c>
      <c r="F207" s="73" t="s">
        <v>5370</v>
      </c>
      <c r="G207" s="74" t="s">
        <v>808</v>
      </c>
      <c r="H207" s="75">
        <v>8</v>
      </c>
      <c r="I207" s="90">
        <v>400</v>
      </c>
      <c r="J207" s="91">
        <f t="shared" si="10"/>
        <v>3200</v>
      </c>
      <c r="K207" s="92"/>
      <c r="L207" s="12"/>
      <c r="M207" s="93" t="s">
        <v>1</v>
      </c>
      <c r="N207" s="94" t="s">
        <v>42</v>
      </c>
      <c r="P207" s="95">
        <f t="shared" si="11"/>
        <v>0</v>
      </c>
      <c r="Q207" s="95">
        <v>0</v>
      </c>
      <c r="R207" s="95">
        <f t="shared" si="12"/>
        <v>0</v>
      </c>
      <c r="S207" s="95">
        <v>0</v>
      </c>
      <c r="T207" s="99">
        <f t="shared" si="13"/>
        <v>0</v>
      </c>
      <c r="AR207" s="101" t="s">
        <v>446</v>
      </c>
      <c r="AT207" s="101" t="s">
        <v>214</v>
      </c>
      <c r="AU207" s="101" t="s">
        <v>87</v>
      </c>
      <c r="AY207" s="23" t="s">
        <v>211</v>
      </c>
      <c r="BE207" s="104">
        <f t="shared" si="14"/>
        <v>3200</v>
      </c>
      <c r="BF207" s="104">
        <f t="shared" si="15"/>
        <v>0</v>
      </c>
      <c r="BG207" s="104">
        <f t="shared" si="16"/>
        <v>0</v>
      </c>
      <c r="BH207" s="104">
        <f t="shared" si="17"/>
        <v>0</v>
      </c>
      <c r="BI207" s="104">
        <f t="shared" si="18"/>
        <v>0</v>
      </c>
      <c r="BJ207" s="23" t="s">
        <v>85</v>
      </c>
      <c r="BK207" s="104">
        <f t="shared" si="19"/>
        <v>3200</v>
      </c>
      <c r="BL207" s="23" t="s">
        <v>446</v>
      </c>
      <c r="BM207" s="101" t="s">
        <v>950</v>
      </c>
    </row>
    <row r="208" spans="2:65" s="1" customFormat="1" ht="16.5" customHeight="1">
      <c r="B208" s="12"/>
      <c r="C208" s="71" t="s">
        <v>608</v>
      </c>
      <c r="D208" s="71" t="s">
        <v>214</v>
      </c>
      <c r="E208" s="72" t="s">
        <v>3906</v>
      </c>
      <c r="F208" s="73" t="s">
        <v>5371</v>
      </c>
      <c r="G208" s="74" t="s">
        <v>808</v>
      </c>
      <c r="H208" s="75">
        <v>7</v>
      </c>
      <c r="I208" s="90">
        <v>120</v>
      </c>
      <c r="J208" s="91">
        <f t="shared" si="10"/>
        <v>840</v>
      </c>
      <c r="K208" s="92"/>
      <c r="L208" s="12"/>
      <c r="M208" s="93" t="s">
        <v>1</v>
      </c>
      <c r="N208" s="94" t="s">
        <v>42</v>
      </c>
      <c r="P208" s="95">
        <f t="shared" si="11"/>
        <v>0</v>
      </c>
      <c r="Q208" s="95">
        <v>0</v>
      </c>
      <c r="R208" s="95">
        <f t="shared" si="12"/>
        <v>0</v>
      </c>
      <c r="S208" s="95">
        <v>0</v>
      </c>
      <c r="T208" s="99">
        <f t="shared" si="13"/>
        <v>0</v>
      </c>
      <c r="AR208" s="101" t="s">
        <v>446</v>
      </c>
      <c r="AT208" s="101" t="s">
        <v>214</v>
      </c>
      <c r="AU208" s="101" t="s">
        <v>87</v>
      </c>
      <c r="AY208" s="23" t="s">
        <v>211</v>
      </c>
      <c r="BE208" s="104">
        <f t="shared" si="14"/>
        <v>840</v>
      </c>
      <c r="BF208" s="104">
        <f t="shared" si="15"/>
        <v>0</v>
      </c>
      <c r="BG208" s="104">
        <f t="shared" si="16"/>
        <v>0</v>
      </c>
      <c r="BH208" s="104">
        <f t="shared" si="17"/>
        <v>0</v>
      </c>
      <c r="BI208" s="104">
        <f t="shared" si="18"/>
        <v>0</v>
      </c>
      <c r="BJ208" s="23" t="s">
        <v>85</v>
      </c>
      <c r="BK208" s="104">
        <f t="shared" si="19"/>
        <v>840</v>
      </c>
      <c r="BL208" s="23" t="s">
        <v>446</v>
      </c>
      <c r="BM208" s="101" t="s">
        <v>963</v>
      </c>
    </row>
    <row r="209" spans="2:65" s="1" customFormat="1" ht="16.5" customHeight="1">
      <c r="B209" s="12"/>
      <c r="C209" s="71" t="s">
        <v>614</v>
      </c>
      <c r="D209" s="71" t="s">
        <v>214</v>
      </c>
      <c r="E209" s="72" t="s">
        <v>3908</v>
      </c>
      <c r="F209" s="73" t="s">
        <v>5372</v>
      </c>
      <c r="G209" s="74" t="s">
        <v>808</v>
      </c>
      <c r="H209" s="75">
        <v>8</v>
      </c>
      <c r="I209" s="90">
        <v>2000</v>
      </c>
      <c r="J209" s="91">
        <f t="shared" si="10"/>
        <v>16000</v>
      </c>
      <c r="K209" s="92"/>
      <c r="L209" s="12"/>
      <c r="M209" s="93" t="s">
        <v>1</v>
      </c>
      <c r="N209" s="94" t="s">
        <v>42</v>
      </c>
      <c r="P209" s="95">
        <f t="shared" si="11"/>
        <v>0</v>
      </c>
      <c r="Q209" s="95">
        <v>0</v>
      </c>
      <c r="R209" s="95">
        <f t="shared" si="12"/>
        <v>0</v>
      </c>
      <c r="S209" s="95">
        <v>0</v>
      </c>
      <c r="T209" s="99">
        <f t="shared" si="13"/>
        <v>0</v>
      </c>
      <c r="AR209" s="101" t="s">
        <v>446</v>
      </c>
      <c r="AT209" s="101" t="s">
        <v>214</v>
      </c>
      <c r="AU209" s="101" t="s">
        <v>87</v>
      </c>
      <c r="AY209" s="23" t="s">
        <v>211</v>
      </c>
      <c r="BE209" s="104">
        <f t="shared" si="14"/>
        <v>16000</v>
      </c>
      <c r="BF209" s="104">
        <f t="shared" si="15"/>
        <v>0</v>
      </c>
      <c r="BG209" s="104">
        <f t="shared" si="16"/>
        <v>0</v>
      </c>
      <c r="BH209" s="104">
        <f t="shared" si="17"/>
        <v>0</v>
      </c>
      <c r="BI209" s="104">
        <f t="shared" si="18"/>
        <v>0</v>
      </c>
      <c r="BJ209" s="23" t="s">
        <v>85</v>
      </c>
      <c r="BK209" s="104">
        <f t="shared" si="19"/>
        <v>16000</v>
      </c>
      <c r="BL209" s="23" t="s">
        <v>446</v>
      </c>
      <c r="BM209" s="101" t="s">
        <v>993</v>
      </c>
    </row>
    <row r="210" spans="2:65" s="1" customFormat="1" ht="16.5" customHeight="1">
      <c r="B210" s="12"/>
      <c r="C210" s="71" t="s">
        <v>619</v>
      </c>
      <c r="D210" s="71" t="s">
        <v>214</v>
      </c>
      <c r="E210" s="72" t="s">
        <v>3910</v>
      </c>
      <c r="F210" s="73" t="s">
        <v>5373</v>
      </c>
      <c r="G210" s="74" t="s">
        <v>808</v>
      </c>
      <c r="H210" s="75">
        <v>7</v>
      </c>
      <c r="I210" s="90">
        <v>7300</v>
      </c>
      <c r="J210" s="91">
        <f t="shared" si="10"/>
        <v>51100</v>
      </c>
      <c r="K210" s="92"/>
      <c r="L210" s="12"/>
      <c r="M210" s="93" t="s">
        <v>1</v>
      </c>
      <c r="N210" s="94" t="s">
        <v>42</v>
      </c>
      <c r="P210" s="95">
        <f t="shared" si="11"/>
        <v>0</v>
      </c>
      <c r="Q210" s="95">
        <v>0</v>
      </c>
      <c r="R210" s="95">
        <f t="shared" si="12"/>
        <v>0</v>
      </c>
      <c r="S210" s="95">
        <v>0</v>
      </c>
      <c r="T210" s="99">
        <f t="shared" si="13"/>
        <v>0</v>
      </c>
      <c r="AR210" s="101" t="s">
        <v>446</v>
      </c>
      <c r="AT210" s="101" t="s">
        <v>214</v>
      </c>
      <c r="AU210" s="101" t="s">
        <v>87</v>
      </c>
      <c r="AY210" s="23" t="s">
        <v>211</v>
      </c>
      <c r="BE210" s="104">
        <f t="shared" si="14"/>
        <v>51100</v>
      </c>
      <c r="BF210" s="104">
        <f t="shared" si="15"/>
        <v>0</v>
      </c>
      <c r="BG210" s="104">
        <f t="shared" si="16"/>
        <v>0</v>
      </c>
      <c r="BH210" s="104">
        <f t="shared" si="17"/>
        <v>0</v>
      </c>
      <c r="BI210" s="104">
        <f t="shared" si="18"/>
        <v>0</v>
      </c>
      <c r="BJ210" s="23" t="s">
        <v>85</v>
      </c>
      <c r="BK210" s="104">
        <f t="shared" si="19"/>
        <v>51100</v>
      </c>
      <c r="BL210" s="23" t="s">
        <v>446</v>
      </c>
      <c r="BM210" s="101" t="s">
        <v>1001</v>
      </c>
    </row>
    <row r="211" spans="2:65" s="1" customFormat="1" ht="16.5" customHeight="1">
      <c r="B211" s="12"/>
      <c r="C211" s="71" t="s">
        <v>624</v>
      </c>
      <c r="D211" s="71" t="s">
        <v>214</v>
      </c>
      <c r="E211" s="72" t="s">
        <v>3912</v>
      </c>
      <c r="F211" s="73" t="s">
        <v>5374</v>
      </c>
      <c r="G211" s="74" t="s">
        <v>808</v>
      </c>
      <c r="H211" s="75">
        <v>7</v>
      </c>
      <c r="I211" s="90">
        <v>1500</v>
      </c>
      <c r="J211" s="91">
        <f t="shared" si="10"/>
        <v>10500</v>
      </c>
      <c r="K211" s="92"/>
      <c r="L211" s="12"/>
      <c r="M211" s="93" t="s">
        <v>1</v>
      </c>
      <c r="N211" s="94" t="s">
        <v>42</v>
      </c>
      <c r="P211" s="95">
        <f t="shared" si="11"/>
        <v>0</v>
      </c>
      <c r="Q211" s="95">
        <v>0</v>
      </c>
      <c r="R211" s="95">
        <f t="shared" si="12"/>
        <v>0</v>
      </c>
      <c r="S211" s="95">
        <v>0</v>
      </c>
      <c r="T211" s="99">
        <f t="shared" si="13"/>
        <v>0</v>
      </c>
      <c r="AR211" s="101" t="s">
        <v>446</v>
      </c>
      <c r="AT211" s="101" t="s">
        <v>214</v>
      </c>
      <c r="AU211" s="101" t="s">
        <v>87</v>
      </c>
      <c r="AY211" s="23" t="s">
        <v>211</v>
      </c>
      <c r="BE211" s="104">
        <f t="shared" si="14"/>
        <v>10500</v>
      </c>
      <c r="BF211" s="104">
        <f t="shared" si="15"/>
        <v>0</v>
      </c>
      <c r="BG211" s="104">
        <f t="shared" si="16"/>
        <v>0</v>
      </c>
      <c r="BH211" s="104">
        <f t="shared" si="17"/>
        <v>0</v>
      </c>
      <c r="BI211" s="104">
        <f t="shared" si="18"/>
        <v>0</v>
      </c>
      <c r="BJ211" s="23" t="s">
        <v>85</v>
      </c>
      <c r="BK211" s="104">
        <f t="shared" si="19"/>
        <v>10500</v>
      </c>
      <c r="BL211" s="23" t="s">
        <v>446</v>
      </c>
      <c r="BM211" s="101" t="s">
        <v>1028</v>
      </c>
    </row>
    <row r="212" spans="2:65" s="1" customFormat="1" ht="16.5" customHeight="1">
      <c r="B212" s="12"/>
      <c r="C212" s="71" t="s">
        <v>629</v>
      </c>
      <c r="D212" s="71" t="s">
        <v>214</v>
      </c>
      <c r="E212" s="72" t="s">
        <v>3914</v>
      </c>
      <c r="F212" s="73" t="s">
        <v>5375</v>
      </c>
      <c r="G212" s="74" t="s">
        <v>808</v>
      </c>
      <c r="H212" s="75">
        <v>7</v>
      </c>
      <c r="I212" s="90">
        <v>500</v>
      </c>
      <c r="J212" s="91">
        <f t="shared" si="10"/>
        <v>3500</v>
      </c>
      <c r="K212" s="92"/>
      <c r="L212" s="12"/>
      <c r="M212" s="93" t="s">
        <v>1</v>
      </c>
      <c r="N212" s="94" t="s">
        <v>42</v>
      </c>
      <c r="P212" s="95">
        <f t="shared" si="11"/>
        <v>0</v>
      </c>
      <c r="Q212" s="95">
        <v>0</v>
      </c>
      <c r="R212" s="95">
        <f t="shared" si="12"/>
        <v>0</v>
      </c>
      <c r="S212" s="95">
        <v>0</v>
      </c>
      <c r="T212" s="99">
        <f t="shared" si="13"/>
        <v>0</v>
      </c>
      <c r="AR212" s="101" t="s">
        <v>446</v>
      </c>
      <c r="AT212" s="101" t="s">
        <v>214</v>
      </c>
      <c r="AU212" s="101" t="s">
        <v>87</v>
      </c>
      <c r="AY212" s="23" t="s">
        <v>211</v>
      </c>
      <c r="BE212" s="104">
        <f t="shared" si="14"/>
        <v>3500</v>
      </c>
      <c r="BF212" s="104">
        <f t="shared" si="15"/>
        <v>0</v>
      </c>
      <c r="BG212" s="104">
        <f t="shared" si="16"/>
        <v>0</v>
      </c>
      <c r="BH212" s="104">
        <f t="shared" si="17"/>
        <v>0</v>
      </c>
      <c r="BI212" s="104">
        <f t="shared" si="18"/>
        <v>0</v>
      </c>
      <c r="BJ212" s="23" t="s">
        <v>85</v>
      </c>
      <c r="BK212" s="104">
        <f t="shared" si="19"/>
        <v>3500</v>
      </c>
      <c r="BL212" s="23" t="s">
        <v>446</v>
      </c>
      <c r="BM212" s="101" t="s">
        <v>92</v>
      </c>
    </row>
    <row r="213" spans="2:65" s="1" customFormat="1" ht="16.5" customHeight="1">
      <c r="B213" s="12"/>
      <c r="C213" s="71" t="s">
        <v>634</v>
      </c>
      <c r="D213" s="71" t="s">
        <v>214</v>
      </c>
      <c r="E213" s="72" t="s">
        <v>3918</v>
      </c>
      <c r="F213" s="73" t="s">
        <v>5376</v>
      </c>
      <c r="G213" s="74" t="s">
        <v>808</v>
      </c>
      <c r="H213" s="75">
        <v>16</v>
      </c>
      <c r="I213" s="90">
        <v>1200</v>
      </c>
      <c r="J213" s="91">
        <f t="shared" si="10"/>
        <v>19200</v>
      </c>
      <c r="K213" s="92"/>
      <c r="L213" s="12"/>
      <c r="M213" s="93" t="s">
        <v>1</v>
      </c>
      <c r="N213" s="94" t="s">
        <v>42</v>
      </c>
      <c r="P213" s="95">
        <f t="shared" si="11"/>
        <v>0</v>
      </c>
      <c r="Q213" s="95">
        <v>0</v>
      </c>
      <c r="R213" s="95">
        <f t="shared" si="12"/>
        <v>0</v>
      </c>
      <c r="S213" s="95">
        <v>0</v>
      </c>
      <c r="T213" s="99">
        <f t="shared" si="13"/>
        <v>0</v>
      </c>
      <c r="AR213" s="101" t="s">
        <v>446</v>
      </c>
      <c r="AT213" s="101" t="s">
        <v>214</v>
      </c>
      <c r="AU213" s="101" t="s">
        <v>87</v>
      </c>
      <c r="AY213" s="23" t="s">
        <v>211</v>
      </c>
      <c r="BE213" s="104">
        <f t="shared" si="14"/>
        <v>19200</v>
      </c>
      <c r="BF213" s="104">
        <f t="shared" si="15"/>
        <v>0</v>
      </c>
      <c r="BG213" s="104">
        <f t="shared" si="16"/>
        <v>0</v>
      </c>
      <c r="BH213" s="104">
        <f t="shared" si="17"/>
        <v>0</v>
      </c>
      <c r="BI213" s="104">
        <f t="shared" si="18"/>
        <v>0</v>
      </c>
      <c r="BJ213" s="23" t="s">
        <v>85</v>
      </c>
      <c r="BK213" s="104">
        <f t="shared" si="19"/>
        <v>19200</v>
      </c>
      <c r="BL213" s="23" t="s">
        <v>446</v>
      </c>
      <c r="BM213" s="101" t="s">
        <v>1049</v>
      </c>
    </row>
    <row r="214" spans="2:65" s="31" customFormat="1" ht="23.1" customHeight="1">
      <c r="B214" s="67"/>
      <c r="D214" s="68" t="s">
        <v>76</v>
      </c>
      <c r="E214" s="70" t="s">
        <v>3858</v>
      </c>
      <c r="F214" s="70" t="s">
        <v>3917</v>
      </c>
      <c r="I214" s="85"/>
      <c r="J214" s="89">
        <f>BK214</f>
        <v>184000</v>
      </c>
      <c r="L214" s="67"/>
      <c r="M214" s="87"/>
      <c r="P214" s="88">
        <f>SUM(P215:P217)</f>
        <v>0</v>
      </c>
      <c r="R214" s="88">
        <f>SUM(R215:R217)</f>
        <v>0</v>
      </c>
      <c r="T214" s="98">
        <f>SUM(T215:T217)</f>
        <v>0</v>
      </c>
      <c r="AR214" s="68" t="s">
        <v>85</v>
      </c>
      <c r="AT214" s="100" t="s">
        <v>76</v>
      </c>
      <c r="AU214" s="100" t="s">
        <v>85</v>
      </c>
      <c r="AY214" s="68" t="s">
        <v>211</v>
      </c>
      <c r="BK214" s="103">
        <f>SUM(BK215:BK217)</f>
        <v>184000</v>
      </c>
    </row>
    <row r="215" spans="2:65" s="1" customFormat="1" ht="16.5" customHeight="1">
      <c r="B215" s="12"/>
      <c r="C215" s="71" t="s">
        <v>639</v>
      </c>
      <c r="D215" s="71" t="s">
        <v>214</v>
      </c>
      <c r="E215" s="72" t="s">
        <v>5377</v>
      </c>
      <c r="F215" s="73" t="s">
        <v>5341</v>
      </c>
      <c r="G215" s="74" t="s">
        <v>4204</v>
      </c>
      <c r="H215" s="75">
        <v>400</v>
      </c>
      <c r="I215" s="90">
        <v>300</v>
      </c>
      <c r="J215" s="91">
        <f>ROUND(I215*H215,2)</f>
        <v>120000</v>
      </c>
      <c r="K215" s="92"/>
      <c r="L215" s="12"/>
      <c r="M215" s="93" t="s">
        <v>1</v>
      </c>
      <c r="N215" s="94" t="s">
        <v>42</v>
      </c>
      <c r="P215" s="95">
        <f>O215*H215</f>
        <v>0</v>
      </c>
      <c r="Q215" s="95">
        <v>0</v>
      </c>
      <c r="R215" s="95">
        <f>Q215*H215</f>
        <v>0</v>
      </c>
      <c r="S215" s="95">
        <v>0</v>
      </c>
      <c r="T215" s="99">
        <f>S215*H215</f>
        <v>0</v>
      </c>
      <c r="AR215" s="101" t="s">
        <v>446</v>
      </c>
      <c r="AT215" s="101" t="s">
        <v>214</v>
      </c>
      <c r="AU215" s="101" t="s">
        <v>87</v>
      </c>
      <c r="AY215" s="23" t="s">
        <v>211</v>
      </c>
      <c r="BE215" s="104">
        <f>IF(N215="základní",J215,0)</f>
        <v>120000</v>
      </c>
      <c r="BF215" s="104">
        <f>IF(N215="snížená",J215,0)</f>
        <v>0</v>
      </c>
      <c r="BG215" s="104">
        <f>IF(N215="zákl. přenesená",J215,0)</f>
        <v>0</v>
      </c>
      <c r="BH215" s="104">
        <f>IF(N215="sníž. přenesená",J215,0)</f>
        <v>0</v>
      </c>
      <c r="BI215" s="104">
        <f>IF(N215="nulová",J215,0)</f>
        <v>0</v>
      </c>
      <c r="BJ215" s="23" t="s">
        <v>85</v>
      </c>
      <c r="BK215" s="104">
        <f>ROUND(I215*H215,2)</f>
        <v>120000</v>
      </c>
      <c r="BL215" s="23" t="s">
        <v>446</v>
      </c>
      <c r="BM215" s="101" t="s">
        <v>1058</v>
      </c>
    </row>
    <row r="216" spans="2:65" s="1" customFormat="1" ht="16.5" customHeight="1">
      <c r="B216" s="12"/>
      <c r="C216" s="71" t="s">
        <v>644</v>
      </c>
      <c r="D216" s="71" t="s">
        <v>214</v>
      </c>
      <c r="E216" s="72" t="s">
        <v>5378</v>
      </c>
      <c r="F216" s="73" t="s">
        <v>5358</v>
      </c>
      <c r="G216" s="74" t="s">
        <v>4204</v>
      </c>
      <c r="H216" s="75">
        <v>64</v>
      </c>
      <c r="I216" s="90">
        <v>500</v>
      </c>
      <c r="J216" s="91">
        <f>ROUND(I216*H216,2)</f>
        <v>32000</v>
      </c>
      <c r="K216" s="92"/>
      <c r="L216" s="12"/>
      <c r="M216" s="93" t="s">
        <v>1</v>
      </c>
      <c r="N216" s="94" t="s">
        <v>42</v>
      </c>
      <c r="P216" s="95">
        <f>O216*H216</f>
        <v>0</v>
      </c>
      <c r="Q216" s="95">
        <v>0</v>
      </c>
      <c r="R216" s="95">
        <f>Q216*H216</f>
        <v>0</v>
      </c>
      <c r="S216" s="95">
        <v>0</v>
      </c>
      <c r="T216" s="99">
        <f>S216*H216</f>
        <v>0</v>
      </c>
      <c r="AR216" s="101" t="s">
        <v>446</v>
      </c>
      <c r="AT216" s="101" t="s">
        <v>214</v>
      </c>
      <c r="AU216" s="101" t="s">
        <v>87</v>
      </c>
      <c r="AY216" s="23" t="s">
        <v>211</v>
      </c>
      <c r="BE216" s="104">
        <f>IF(N216="základní",J216,0)</f>
        <v>32000</v>
      </c>
      <c r="BF216" s="104">
        <f>IF(N216="snížená",J216,0)</f>
        <v>0</v>
      </c>
      <c r="BG216" s="104">
        <f>IF(N216="zákl. přenesená",J216,0)</f>
        <v>0</v>
      </c>
      <c r="BH216" s="104">
        <f>IF(N216="sníž. přenesená",J216,0)</f>
        <v>0</v>
      </c>
      <c r="BI216" s="104">
        <f>IF(N216="nulová",J216,0)</f>
        <v>0</v>
      </c>
      <c r="BJ216" s="23" t="s">
        <v>85</v>
      </c>
      <c r="BK216" s="104">
        <f>ROUND(I216*H216,2)</f>
        <v>32000</v>
      </c>
      <c r="BL216" s="23" t="s">
        <v>446</v>
      </c>
      <c r="BM216" s="101" t="s">
        <v>1067</v>
      </c>
    </row>
    <row r="217" spans="2:65" s="1" customFormat="1" ht="16.5" customHeight="1">
      <c r="B217" s="12"/>
      <c r="C217" s="71" t="s">
        <v>649</v>
      </c>
      <c r="D217" s="71" t="s">
        <v>214</v>
      </c>
      <c r="E217" s="72" t="s">
        <v>4005</v>
      </c>
      <c r="F217" s="73" t="s">
        <v>5379</v>
      </c>
      <c r="G217" s="74" t="s">
        <v>4204</v>
      </c>
      <c r="H217" s="75">
        <v>64</v>
      </c>
      <c r="I217" s="90">
        <v>500</v>
      </c>
      <c r="J217" s="91">
        <f>ROUND(I217*H217,2)</f>
        <v>32000</v>
      </c>
      <c r="K217" s="92"/>
      <c r="L217" s="12"/>
      <c r="M217" s="93" t="s">
        <v>1</v>
      </c>
      <c r="N217" s="94" t="s">
        <v>42</v>
      </c>
      <c r="P217" s="95">
        <f>O217*H217</f>
        <v>0</v>
      </c>
      <c r="Q217" s="95">
        <v>0</v>
      </c>
      <c r="R217" s="95">
        <f>Q217*H217</f>
        <v>0</v>
      </c>
      <c r="S217" s="95">
        <v>0</v>
      </c>
      <c r="T217" s="99">
        <f>S217*H217</f>
        <v>0</v>
      </c>
      <c r="AR217" s="101" t="s">
        <v>446</v>
      </c>
      <c r="AT217" s="101" t="s">
        <v>214</v>
      </c>
      <c r="AU217" s="101" t="s">
        <v>87</v>
      </c>
      <c r="AY217" s="23" t="s">
        <v>211</v>
      </c>
      <c r="BE217" s="104">
        <f>IF(N217="základní",J217,0)</f>
        <v>32000</v>
      </c>
      <c r="BF217" s="104">
        <f>IF(N217="snížená",J217,0)</f>
        <v>0</v>
      </c>
      <c r="BG217" s="104">
        <f>IF(N217="zákl. přenesená",J217,0)</f>
        <v>0</v>
      </c>
      <c r="BH217" s="104">
        <f>IF(N217="sníž. přenesená",J217,0)</f>
        <v>0</v>
      </c>
      <c r="BI217" s="104">
        <f>IF(N217="nulová",J217,0)</f>
        <v>0</v>
      </c>
      <c r="BJ217" s="23" t="s">
        <v>85</v>
      </c>
      <c r="BK217" s="104">
        <f>ROUND(I217*H217,2)</f>
        <v>32000</v>
      </c>
      <c r="BL217" s="23" t="s">
        <v>446</v>
      </c>
      <c r="BM217" s="101" t="s">
        <v>1083</v>
      </c>
    </row>
    <row r="218" spans="2:65" s="31" customFormat="1" ht="26.1" customHeight="1">
      <c r="B218" s="67"/>
      <c r="D218" s="68" t="s">
        <v>76</v>
      </c>
      <c r="E218" s="69" t="s">
        <v>4359</v>
      </c>
      <c r="F218" s="69" t="s">
        <v>5380</v>
      </c>
      <c r="I218" s="85"/>
      <c r="J218" s="86">
        <f>BK218</f>
        <v>835053</v>
      </c>
      <c r="L218" s="67"/>
      <c r="M218" s="87"/>
      <c r="P218" s="88">
        <f>P219+P225+P230+P242</f>
        <v>0</v>
      </c>
      <c r="R218" s="88">
        <f>R219+R225+R230+R242</f>
        <v>0</v>
      </c>
      <c r="T218" s="98">
        <f>T219+T225+T230+T242</f>
        <v>0</v>
      </c>
      <c r="AR218" s="68" t="s">
        <v>85</v>
      </c>
      <c r="AT218" s="100" t="s">
        <v>76</v>
      </c>
      <c r="AU218" s="100" t="s">
        <v>77</v>
      </c>
      <c r="AY218" s="68" t="s">
        <v>211</v>
      </c>
      <c r="BK218" s="103">
        <f>BK219+BK225+BK230+BK242</f>
        <v>835053</v>
      </c>
    </row>
    <row r="219" spans="2:65" s="31" customFormat="1" ht="23.1" customHeight="1">
      <c r="B219" s="67"/>
      <c r="D219" s="68" t="s">
        <v>76</v>
      </c>
      <c r="E219" s="70" t="s">
        <v>3832</v>
      </c>
      <c r="F219" s="70" t="s">
        <v>5330</v>
      </c>
      <c r="I219" s="85"/>
      <c r="J219" s="89">
        <f>BK219</f>
        <v>294870</v>
      </c>
      <c r="L219" s="67"/>
      <c r="M219" s="87"/>
      <c r="P219" s="88">
        <f>SUM(P220:P224)</f>
        <v>0</v>
      </c>
      <c r="R219" s="88">
        <f>SUM(R220:R224)</f>
        <v>0</v>
      </c>
      <c r="T219" s="98">
        <f>SUM(T220:T224)</f>
        <v>0</v>
      </c>
      <c r="AR219" s="68" t="s">
        <v>85</v>
      </c>
      <c r="AT219" s="100" t="s">
        <v>76</v>
      </c>
      <c r="AU219" s="100" t="s">
        <v>85</v>
      </c>
      <c r="AY219" s="68" t="s">
        <v>211</v>
      </c>
      <c r="BK219" s="103">
        <f>SUM(BK220:BK224)</f>
        <v>294870</v>
      </c>
    </row>
    <row r="220" spans="2:65" s="1" customFormat="1" ht="24.15" customHeight="1">
      <c r="B220" s="12"/>
      <c r="C220" s="71" t="s">
        <v>654</v>
      </c>
      <c r="D220" s="71" t="s">
        <v>214</v>
      </c>
      <c r="E220" s="72" t="s">
        <v>4007</v>
      </c>
      <c r="F220" s="73" t="s">
        <v>5331</v>
      </c>
      <c r="G220" s="74" t="s">
        <v>444</v>
      </c>
      <c r="H220" s="75">
        <v>2200</v>
      </c>
      <c r="I220" s="90">
        <v>70</v>
      </c>
      <c r="J220" s="91">
        <f>ROUND(I220*H220,2)</f>
        <v>154000</v>
      </c>
      <c r="K220" s="92"/>
      <c r="L220" s="12"/>
      <c r="M220" s="93" t="s">
        <v>1</v>
      </c>
      <c r="N220" s="94" t="s">
        <v>42</v>
      </c>
      <c r="P220" s="95">
        <f>O220*H220</f>
        <v>0</v>
      </c>
      <c r="Q220" s="95">
        <v>0</v>
      </c>
      <c r="R220" s="95">
        <f>Q220*H220</f>
        <v>0</v>
      </c>
      <c r="S220" s="95">
        <v>0</v>
      </c>
      <c r="T220" s="99">
        <f>S220*H220</f>
        <v>0</v>
      </c>
      <c r="AR220" s="101" t="s">
        <v>446</v>
      </c>
      <c r="AT220" s="101" t="s">
        <v>214</v>
      </c>
      <c r="AU220" s="101" t="s">
        <v>87</v>
      </c>
      <c r="AY220" s="23" t="s">
        <v>211</v>
      </c>
      <c r="BE220" s="104">
        <f>IF(N220="základní",J220,0)</f>
        <v>154000</v>
      </c>
      <c r="BF220" s="104">
        <f>IF(N220="snížená",J220,0)</f>
        <v>0</v>
      </c>
      <c r="BG220" s="104">
        <f>IF(N220="zákl. přenesená",J220,0)</f>
        <v>0</v>
      </c>
      <c r="BH220" s="104">
        <f>IF(N220="sníž. přenesená",J220,0)</f>
        <v>0</v>
      </c>
      <c r="BI220" s="104">
        <f>IF(N220="nulová",J220,0)</f>
        <v>0</v>
      </c>
      <c r="BJ220" s="23" t="s">
        <v>85</v>
      </c>
      <c r="BK220" s="104">
        <f>ROUND(I220*H220,2)</f>
        <v>154000</v>
      </c>
      <c r="BL220" s="23" t="s">
        <v>446</v>
      </c>
      <c r="BM220" s="101" t="s">
        <v>1098</v>
      </c>
    </row>
    <row r="221" spans="2:65" s="1" customFormat="1" ht="24.15" customHeight="1">
      <c r="B221" s="12"/>
      <c r="C221" s="71" t="s">
        <v>660</v>
      </c>
      <c r="D221" s="71" t="s">
        <v>214</v>
      </c>
      <c r="E221" s="72" t="s">
        <v>4009</v>
      </c>
      <c r="F221" s="73" t="s">
        <v>5332</v>
      </c>
      <c r="G221" s="74" t="s">
        <v>444</v>
      </c>
      <c r="H221" s="75">
        <v>360</v>
      </c>
      <c r="I221" s="90">
        <v>90</v>
      </c>
      <c r="J221" s="91">
        <f>ROUND(I221*H221,2)</f>
        <v>32400</v>
      </c>
      <c r="K221" s="92"/>
      <c r="L221" s="12"/>
      <c r="M221" s="93" t="s">
        <v>1</v>
      </c>
      <c r="N221" s="94" t="s">
        <v>42</v>
      </c>
      <c r="P221" s="95">
        <f>O221*H221</f>
        <v>0</v>
      </c>
      <c r="Q221" s="95">
        <v>0</v>
      </c>
      <c r="R221" s="95">
        <f>Q221*H221</f>
        <v>0</v>
      </c>
      <c r="S221" s="95">
        <v>0</v>
      </c>
      <c r="T221" s="99">
        <f>S221*H221</f>
        <v>0</v>
      </c>
      <c r="AR221" s="101" t="s">
        <v>446</v>
      </c>
      <c r="AT221" s="101" t="s">
        <v>214</v>
      </c>
      <c r="AU221" s="101" t="s">
        <v>87</v>
      </c>
      <c r="AY221" s="23" t="s">
        <v>211</v>
      </c>
      <c r="BE221" s="104">
        <f>IF(N221="základní",J221,0)</f>
        <v>32400</v>
      </c>
      <c r="BF221" s="104">
        <f>IF(N221="snížená",J221,0)</f>
        <v>0</v>
      </c>
      <c r="BG221" s="104">
        <f>IF(N221="zákl. přenesená",J221,0)</f>
        <v>0</v>
      </c>
      <c r="BH221" s="104">
        <f>IF(N221="sníž. přenesená",J221,0)</f>
        <v>0</v>
      </c>
      <c r="BI221" s="104">
        <f>IF(N221="nulová",J221,0)</f>
        <v>0</v>
      </c>
      <c r="BJ221" s="23" t="s">
        <v>85</v>
      </c>
      <c r="BK221" s="104">
        <f>ROUND(I221*H221,2)</f>
        <v>32400</v>
      </c>
      <c r="BL221" s="23" t="s">
        <v>446</v>
      </c>
      <c r="BM221" s="101" t="s">
        <v>1112</v>
      </c>
    </row>
    <row r="222" spans="2:65" s="1" customFormat="1" ht="24.15" customHeight="1">
      <c r="B222" s="12"/>
      <c r="C222" s="71" t="s">
        <v>665</v>
      </c>
      <c r="D222" s="71" t="s">
        <v>214</v>
      </c>
      <c r="E222" s="72" t="s">
        <v>4011</v>
      </c>
      <c r="F222" s="73" t="s">
        <v>5333</v>
      </c>
      <c r="G222" s="74" t="s">
        <v>444</v>
      </c>
      <c r="H222" s="75">
        <v>1300</v>
      </c>
      <c r="I222" s="90">
        <v>50</v>
      </c>
      <c r="J222" s="91">
        <f>ROUND(I222*H222,2)</f>
        <v>65000</v>
      </c>
      <c r="K222" s="92"/>
      <c r="L222" s="12"/>
      <c r="M222" s="93" t="s">
        <v>1</v>
      </c>
      <c r="N222" s="94" t="s">
        <v>42</v>
      </c>
      <c r="P222" s="95">
        <f>O222*H222</f>
        <v>0</v>
      </c>
      <c r="Q222" s="95">
        <v>0</v>
      </c>
      <c r="R222" s="95">
        <f>Q222*H222</f>
        <v>0</v>
      </c>
      <c r="S222" s="95">
        <v>0</v>
      </c>
      <c r="T222" s="99">
        <f>S222*H222</f>
        <v>0</v>
      </c>
      <c r="AR222" s="101" t="s">
        <v>446</v>
      </c>
      <c r="AT222" s="101" t="s">
        <v>214</v>
      </c>
      <c r="AU222" s="101" t="s">
        <v>87</v>
      </c>
      <c r="AY222" s="23" t="s">
        <v>211</v>
      </c>
      <c r="BE222" s="104">
        <f>IF(N222="základní",J222,0)</f>
        <v>65000</v>
      </c>
      <c r="BF222" s="104">
        <f>IF(N222="snížená",J222,0)</f>
        <v>0</v>
      </c>
      <c r="BG222" s="104">
        <f>IF(N222="zákl. přenesená",J222,0)</f>
        <v>0</v>
      </c>
      <c r="BH222" s="104">
        <f>IF(N222="sníž. přenesená",J222,0)</f>
        <v>0</v>
      </c>
      <c r="BI222" s="104">
        <f>IF(N222="nulová",J222,0)</f>
        <v>0</v>
      </c>
      <c r="BJ222" s="23" t="s">
        <v>85</v>
      </c>
      <c r="BK222" s="104">
        <f>ROUND(I222*H222,2)</f>
        <v>65000</v>
      </c>
      <c r="BL222" s="23" t="s">
        <v>446</v>
      </c>
      <c r="BM222" s="101" t="s">
        <v>1129</v>
      </c>
    </row>
    <row r="223" spans="2:65" s="1" customFormat="1" ht="24.15" customHeight="1">
      <c r="B223" s="12"/>
      <c r="C223" s="71" t="s">
        <v>679</v>
      </c>
      <c r="D223" s="71" t="s">
        <v>214</v>
      </c>
      <c r="E223" s="72" t="s">
        <v>4013</v>
      </c>
      <c r="F223" s="73" t="s">
        <v>5334</v>
      </c>
      <c r="G223" s="74" t="s">
        <v>444</v>
      </c>
      <c r="H223" s="75">
        <v>480</v>
      </c>
      <c r="I223" s="90">
        <v>80</v>
      </c>
      <c r="J223" s="91">
        <f>ROUND(I223*H223,2)</f>
        <v>38400</v>
      </c>
      <c r="K223" s="92"/>
      <c r="L223" s="12"/>
      <c r="M223" s="93" t="s">
        <v>1</v>
      </c>
      <c r="N223" s="94" t="s">
        <v>42</v>
      </c>
      <c r="P223" s="95">
        <f>O223*H223</f>
        <v>0</v>
      </c>
      <c r="Q223" s="95">
        <v>0</v>
      </c>
      <c r="R223" s="95">
        <f>Q223*H223</f>
        <v>0</v>
      </c>
      <c r="S223" s="95">
        <v>0</v>
      </c>
      <c r="T223" s="99">
        <f>S223*H223</f>
        <v>0</v>
      </c>
      <c r="AR223" s="101" t="s">
        <v>446</v>
      </c>
      <c r="AT223" s="101" t="s">
        <v>214</v>
      </c>
      <c r="AU223" s="101" t="s">
        <v>87</v>
      </c>
      <c r="AY223" s="23" t="s">
        <v>211</v>
      </c>
      <c r="BE223" s="104">
        <f>IF(N223="základní",J223,0)</f>
        <v>38400</v>
      </c>
      <c r="BF223" s="104">
        <f>IF(N223="snížená",J223,0)</f>
        <v>0</v>
      </c>
      <c r="BG223" s="104">
        <f>IF(N223="zákl. přenesená",J223,0)</f>
        <v>0</v>
      </c>
      <c r="BH223" s="104">
        <f>IF(N223="sníž. přenesená",J223,0)</f>
        <v>0</v>
      </c>
      <c r="BI223" s="104">
        <f>IF(N223="nulová",J223,0)</f>
        <v>0</v>
      </c>
      <c r="BJ223" s="23" t="s">
        <v>85</v>
      </c>
      <c r="BK223" s="104">
        <f>ROUND(I223*H223,2)</f>
        <v>38400</v>
      </c>
      <c r="BL223" s="23" t="s">
        <v>446</v>
      </c>
      <c r="BM223" s="101" t="s">
        <v>1141</v>
      </c>
    </row>
    <row r="224" spans="2:65" s="1" customFormat="1" ht="16.5" customHeight="1">
      <c r="B224" s="12"/>
      <c r="C224" s="71" t="s">
        <v>694</v>
      </c>
      <c r="D224" s="71" t="s">
        <v>214</v>
      </c>
      <c r="E224" s="72" t="s">
        <v>4015</v>
      </c>
      <c r="F224" s="73" t="s">
        <v>5335</v>
      </c>
      <c r="G224" s="74" t="s">
        <v>808</v>
      </c>
      <c r="H224" s="75">
        <v>39</v>
      </c>
      <c r="I224" s="90">
        <v>130</v>
      </c>
      <c r="J224" s="91">
        <f>ROUND(I224*H224,2)</f>
        <v>5070</v>
      </c>
      <c r="K224" s="92"/>
      <c r="L224" s="12"/>
      <c r="M224" s="93" t="s">
        <v>1</v>
      </c>
      <c r="N224" s="94" t="s">
        <v>42</v>
      </c>
      <c r="P224" s="95">
        <f>O224*H224</f>
        <v>0</v>
      </c>
      <c r="Q224" s="95">
        <v>0</v>
      </c>
      <c r="R224" s="95">
        <f>Q224*H224</f>
        <v>0</v>
      </c>
      <c r="S224" s="95">
        <v>0</v>
      </c>
      <c r="T224" s="99">
        <f>S224*H224</f>
        <v>0</v>
      </c>
      <c r="AR224" s="101" t="s">
        <v>446</v>
      </c>
      <c r="AT224" s="101" t="s">
        <v>214</v>
      </c>
      <c r="AU224" s="101" t="s">
        <v>87</v>
      </c>
      <c r="AY224" s="23" t="s">
        <v>211</v>
      </c>
      <c r="BE224" s="104">
        <f>IF(N224="základní",J224,0)</f>
        <v>5070</v>
      </c>
      <c r="BF224" s="104">
        <f>IF(N224="snížená",J224,0)</f>
        <v>0</v>
      </c>
      <c r="BG224" s="104">
        <f>IF(N224="zákl. přenesená",J224,0)</f>
        <v>0</v>
      </c>
      <c r="BH224" s="104">
        <f>IF(N224="sníž. přenesená",J224,0)</f>
        <v>0</v>
      </c>
      <c r="BI224" s="104">
        <f>IF(N224="nulová",J224,0)</f>
        <v>0</v>
      </c>
      <c r="BJ224" s="23" t="s">
        <v>85</v>
      </c>
      <c r="BK224" s="104">
        <f>ROUND(I224*H224,2)</f>
        <v>5070</v>
      </c>
      <c r="BL224" s="23" t="s">
        <v>446</v>
      </c>
      <c r="BM224" s="101" t="s">
        <v>1153</v>
      </c>
    </row>
    <row r="225" spans="2:65" s="31" customFormat="1" ht="23.1" customHeight="1">
      <c r="B225" s="67"/>
      <c r="D225" s="68" t="s">
        <v>76</v>
      </c>
      <c r="E225" s="70" t="s">
        <v>4363</v>
      </c>
      <c r="F225" s="70" t="s">
        <v>5381</v>
      </c>
      <c r="I225" s="85"/>
      <c r="J225" s="89">
        <f>BK225</f>
        <v>138410</v>
      </c>
      <c r="L225" s="67"/>
      <c r="M225" s="87"/>
      <c r="P225" s="88">
        <f>SUM(P226:P229)</f>
        <v>0</v>
      </c>
      <c r="R225" s="88">
        <f>SUM(R226:R229)</f>
        <v>0</v>
      </c>
      <c r="T225" s="98">
        <f>SUM(T226:T229)</f>
        <v>0</v>
      </c>
      <c r="AR225" s="68" t="s">
        <v>85</v>
      </c>
      <c r="AT225" s="100" t="s">
        <v>76</v>
      </c>
      <c r="AU225" s="100" t="s">
        <v>85</v>
      </c>
      <c r="AY225" s="68" t="s">
        <v>211</v>
      </c>
      <c r="BK225" s="103">
        <f>SUM(BK226:BK229)</f>
        <v>138410</v>
      </c>
    </row>
    <row r="226" spans="2:65" s="1" customFormat="1" ht="16.5" customHeight="1">
      <c r="B226" s="12"/>
      <c r="C226" s="71" t="s">
        <v>705</v>
      </c>
      <c r="D226" s="71" t="s">
        <v>214</v>
      </c>
      <c r="E226" s="72" t="s">
        <v>4017</v>
      </c>
      <c r="F226" s="73" t="s">
        <v>5382</v>
      </c>
      <c r="G226" s="74" t="s">
        <v>444</v>
      </c>
      <c r="H226" s="75">
        <v>200</v>
      </c>
      <c r="I226" s="90">
        <v>45</v>
      </c>
      <c r="J226" s="91">
        <f>ROUND(I226*H226,2)</f>
        <v>9000</v>
      </c>
      <c r="K226" s="92"/>
      <c r="L226" s="12"/>
      <c r="M226" s="93" t="s">
        <v>1</v>
      </c>
      <c r="N226" s="94" t="s">
        <v>42</v>
      </c>
      <c r="P226" s="95">
        <f>O226*H226</f>
        <v>0</v>
      </c>
      <c r="Q226" s="95">
        <v>0</v>
      </c>
      <c r="R226" s="95">
        <f>Q226*H226</f>
        <v>0</v>
      </c>
      <c r="S226" s="95">
        <v>0</v>
      </c>
      <c r="T226" s="99">
        <f>S226*H226</f>
        <v>0</v>
      </c>
      <c r="AR226" s="101" t="s">
        <v>446</v>
      </c>
      <c r="AT226" s="101" t="s">
        <v>214</v>
      </c>
      <c r="AU226" s="101" t="s">
        <v>87</v>
      </c>
      <c r="AY226" s="23" t="s">
        <v>211</v>
      </c>
      <c r="BE226" s="104">
        <f>IF(N226="základní",J226,0)</f>
        <v>9000</v>
      </c>
      <c r="BF226" s="104">
        <f>IF(N226="snížená",J226,0)</f>
        <v>0</v>
      </c>
      <c r="BG226" s="104">
        <f>IF(N226="zákl. přenesená",J226,0)</f>
        <v>0</v>
      </c>
      <c r="BH226" s="104">
        <f>IF(N226="sníž. přenesená",J226,0)</f>
        <v>0</v>
      </c>
      <c r="BI226" s="104">
        <f>IF(N226="nulová",J226,0)</f>
        <v>0</v>
      </c>
      <c r="BJ226" s="23" t="s">
        <v>85</v>
      </c>
      <c r="BK226" s="104">
        <f>ROUND(I226*H226,2)</f>
        <v>9000</v>
      </c>
      <c r="BL226" s="23" t="s">
        <v>446</v>
      </c>
      <c r="BM226" s="101" t="s">
        <v>1167</v>
      </c>
    </row>
    <row r="227" spans="2:65" s="1" customFormat="1" ht="16.5" customHeight="1">
      <c r="B227" s="12"/>
      <c r="C227" s="71" t="s">
        <v>713</v>
      </c>
      <c r="D227" s="71" t="s">
        <v>214</v>
      </c>
      <c r="E227" s="72" t="s">
        <v>4019</v>
      </c>
      <c r="F227" s="73" t="s">
        <v>5383</v>
      </c>
      <c r="G227" s="74" t="s">
        <v>444</v>
      </c>
      <c r="H227" s="75">
        <v>3000</v>
      </c>
      <c r="I227" s="90">
        <v>35</v>
      </c>
      <c r="J227" s="91">
        <f>ROUND(I227*H227,2)</f>
        <v>105000</v>
      </c>
      <c r="K227" s="92"/>
      <c r="L227" s="12"/>
      <c r="M227" s="93" t="s">
        <v>1</v>
      </c>
      <c r="N227" s="94" t="s">
        <v>42</v>
      </c>
      <c r="P227" s="95">
        <f>O227*H227</f>
        <v>0</v>
      </c>
      <c r="Q227" s="95">
        <v>0</v>
      </c>
      <c r="R227" s="95">
        <f>Q227*H227</f>
        <v>0</v>
      </c>
      <c r="S227" s="95">
        <v>0</v>
      </c>
      <c r="T227" s="99">
        <f>S227*H227</f>
        <v>0</v>
      </c>
      <c r="AR227" s="101" t="s">
        <v>446</v>
      </c>
      <c r="AT227" s="101" t="s">
        <v>214</v>
      </c>
      <c r="AU227" s="101" t="s">
        <v>87</v>
      </c>
      <c r="AY227" s="23" t="s">
        <v>211</v>
      </c>
      <c r="BE227" s="104">
        <f>IF(N227="základní",J227,0)</f>
        <v>105000</v>
      </c>
      <c r="BF227" s="104">
        <f>IF(N227="snížená",J227,0)</f>
        <v>0</v>
      </c>
      <c r="BG227" s="104">
        <f>IF(N227="zákl. přenesená",J227,0)</f>
        <v>0</v>
      </c>
      <c r="BH227" s="104">
        <f>IF(N227="sníž. přenesená",J227,0)</f>
        <v>0</v>
      </c>
      <c r="BI227" s="104">
        <f>IF(N227="nulová",J227,0)</f>
        <v>0</v>
      </c>
      <c r="BJ227" s="23" t="s">
        <v>85</v>
      </c>
      <c r="BK227" s="104">
        <f>ROUND(I227*H227,2)</f>
        <v>105000</v>
      </c>
      <c r="BL227" s="23" t="s">
        <v>446</v>
      </c>
      <c r="BM227" s="101" t="s">
        <v>1179</v>
      </c>
    </row>
    <row r="228" spans="2:65" s="1" customFormat="1" ht="16.5" customHeight="1">
      <c r="B228" s="12"/>
      <c r="C228" s="71" t="s">
        <v>722</v>
      </c>
      <c r="D228" s="71" t="s">
        <v>214</v>
      </c>
      <c r="E228" s="72" t="s">
        <v>4021</v>
      </c>
      <c r="F228" s="73" t="s">
        <v>5384</v>
      </c>
      <c r="G228" s="74" t="s">
        <v>808</v>
      </c>
      <c r="H228" s="75">
        <v>39</v>
      </c>
      <c r="I228" s="90">
        <v>550</v>
      </c>
      <c r="J228" s="91">
        <f>ROUND(I228*H228,2)</f>
        <v>21450</v>
      </c>
      <c r="K228" s="92"/>
      <c r="L228" s="12"/>
      <c r="M228" s="93" t="s">
        <v>1</v>
      </c>
      <c r="N228" s="94" t="s">
        <v>42</v>
      </c>
      <c r="P228" s="95">
        <f>O228*H228</f>
        <v>0</v>
      </c>
      <c r="Q228" s="95">
        <v>0</v>
      </c>
      <c r="R228" s="95">
        <f>Q228*H228</f>
        <v>0</v>
      </c>
      <c r="S228" s="95">
        <v>0</v>
      </c>
      <c r="T228" s="99">
        <f>S228*H228</f>
        <v>0</v>
      </c>
      <c r="AR228" s="101" t="s">
        <v>446</v>
      </c>
      <c r="AT228" s="101" t="s">
        <v>214</v>
      </c>
      <c r="AU228" s="101" t="s">
        <v>87</v>
      </c>
      <c r="AY228" s="23" t="s">
        <v>211</v>
      </c>
      <c r="BE228" s="104">
        <f>IF(N228="základní",J228,0)</f>
        <v>21450</v>
      </c>
      <c r="BF228" s="104">
        <f>IF(N228="snížená",J228,0)</f>
        <v>0</v>
      </c>
      <c r="BG228" s="104">
        <f>IF(N228="zákl. přenesená",J228,0)</f>
        <v>0</v>
      </c>
      <c r="BH228" s="104">
        <f>IF(N228="sníž. přenesená",J228,0)</f>
        <v>0</v>
      </c>
      <c r="BI228" s="104">
        <f>IF(N228="nulová",J228,0)</f>
        <v>0</v>
      </c>
      <c r="BJ228" s="23" t="s">
        <v>85</v>
      </c>
      <c r="BK228" s="104">
        <f>ROUND(I228*H228,2)</f>
        <v>21450</v>
      </c>
      <c r="BL228" s="23" t="s">
        <v>446</v>
      </c>
      <c r="BM228" s="101" t="s">
        <v>1187</v>
      </c>
    </row>
    <row r="229" spans="2:65" s="1" customFormat="1" ht="16.5" customHeight="1">
      <c r="B229" s="12"/>
      <c r="C229" s="71" t="s">
        <v>727</v>
      </c>
      <c r="D229" s="71" t="s">
        <v>214</v>
      </c>
      <c r="E229" s="72" t="s">
        <v>4023</v>
      </c>
      <c r="F229" s="73" t="s">
        <v>5385</v>
      </c>
      <c r="G229" s="74" t="s">
        <v>444</v>
      </c>
      <c r="H229" s="75">
        <v>80</v>
      </c>
      <c r="I229" s="90">
        <v>37</v>
      </c>
      <c r="J229" s="91">
        <f>ROUND(I229*H229,2)</f>
        <v>2960</v>
      </c>
      <c r="K229" s="92"/>
      <c r="L229" s="12"/>
      <c r="M229" s="93" t="s">
        <v>1</v>
      </c>
      <c r="N229" s="94" t="s">
        <v>42</v>
      </c>
      <c r="P229" s="95">
        <f>O229*H229</f>
        <v>0</v>
      </c>
      <c r="Q229" s="95">
        <v>0</v>
      </c>
      <c r="R229" s="95">
        <f>Q229*H229</f>
        <v>0</v>
      </c>
      <c r="S229" s="95">
        <v>0</v>
      </c>
      <c r="T229" s="99">
        <f>S229*H229</f>
        <v>0</v>
      </c>
      <c r="AR229" s="101" t="s">
        <v>446</v>
      </c>
      <c r="AT229" s="101" t="s">
        <v>214</v>
      </c>
      <c r="AU229" s="101" t="s">
        <v>87</v>
      </c>
      <c r="AY229" s="23" t="s">
        <v>211</v>
      </c>
      <c r="BE229" s="104">
        <f>IF(N229="základní",J229,0)</f>
        <v>2960</v>
      </c>
      <c r="BF229" s="104">
        <f>IF(N229="snížená",J229,0)</f>
        <v>0</v>
      </c>
      <c r="BG229" s="104">
        <f>IF(N229="zákl. přenesená",J229,0)</f>
        <v>0</v>
      </c>
      <c r="BH229" s="104">
        <f>IF(N229="sníž. přenesená",J229,0)</f>
        <v>0</v>
      </c>
      <c r="BI229" s="104">
        <f>IF(N229="nulová",J229,0)</f>
        <v>0</v>
      </c>
      <c r="BJ229" s="23" t="s">
        <v>85</v>
      </c>
      <c r="BK229" s="104">
        <f>ROUND(I229*H229,2)</f>
        <v>2960</v>
      </c>
      <c r="BL229" s="23" t="s">
        <v>446</v>
      </c>
      <c r="BM229" s="101" t="s">
        <v>1195</v>
      </c>
    </row>
    <row r="230" spans="2:65" s="31" customFormat="1" ht="23.1" customHeight="1">
      <c r="B230" s="67"/>
      <c r="D230" s="68" t="s">
        <v>76</v>
      </c>
      <c r="E230" s="70" t="s">
        <v>4365</v>
      </c>
      <c r="F230" s="70" t="s">
        <v>5386</v>
      </c>
      <c r="I230" s="85"/>
      <c r="J230" s="89">
        <f>BK230</f>
        <v>169773</v>
      </c>
      <c r="L230" s="67"/>
      <c r="M230" s="87"/>
      <c r="P230" s="88">
        <f>SUM(P231:P241)</f>
        <v>0</v>
      </c>
      <c r="R230" s="88">
        <f>SUM(R231:R241)</f>
        <v>0</v>
      </c>
      <c r="T230" s="98">
        <f>SUM(T231:T241)</f>
        <v>0</v>
      </c>
      <c r="AR230" s="68" t="s">
        <v>85</v>
      </c>
      <c r="AT230" s="100" t="s">
        <v>76</v>
      </c>
      <c r="AU230" s="100" t="s">
        <v>85</v>
      </c>
      <c r="AY230" s="68" t="s">
        <v>211</v>
      </c>
      <c r="BK230" s="103">
        <f>SUM(BK231:BK241)</f>
        <v>169773</v>
      </c>
    </row>
    <row r="231" spans="2:65" s="1" customFormat="1" ht="33" customHeight="1">
      <c r="B231" s="12"/>
      <c r="C231" s="71" t="s">
        <v>756</v>
      </c>
      <c r="D231" s="71" t="s">
        <v>214</v>
      </c>
      <c r="E231" s="72" t="s">
        <v>4025</v>
      </c>
      <c r="F231" s="73" t="s">
        <v>5362</v>
      </c>
      <c r="G231" s="74" t="s">
        <v>808</v>
      </c>
      <c r="H231" s="75">
        <v>4</v>
      </c>
      <c r="I231" s="90">
        <v>2600</v>
      </c>
      <c r="J231" s="91">
        <f t="shared" ref="J231:J241" si="20">ROUND(I231*H231,2)</f>
        <v>10400</v>
      </c>
      <c r="K231" s="92"/>
      <c r="L231" s="12"/>
      <c r="M231" s="93" t="s">
        <v>1</v>
      </c>
      <c r="N231" s="94" t="s">
        <v>42</v>
      </c>
      <c r="P231" s="95">
        <f t="shared" ref="P231:P241" si="21">O231*H231</f>
        <v>0</v>
      </c>
      <c r="Q231" s="95">
        <v>0</v>
      </c>
      <c r="R231" s="95">
        <f t="shared" ref="R231:R241" si="22">Q231*H231</f>
        <v>0</v>
      </c>
      <c r="S231" s="95">
        <v>0</v>
      </c>
      <c r="T231" s="99">
        <f t="shared" ref="T231:T241" si="23">S231*H231</f>
        <v>0</v>
      </c>
      <c r="AR231" s="101" t="s">
        <v>446</v>
      </c>
      <c r="AT231" s="101" t="s">
        <v>214</v>
      </c>
      <c r="AU231" s="101" t="s">
        <v>87</v>
      </c>
      <c r="AY231" s="23" t="s">
        <v>211</v>
      </c>
      <c r="BE231" s="104">
        <f t="shared" ref="BE231:BE241" si="24">IF(N231="základní",J231,0)</f>
        <v>10400</v>
      </c>
      <c r="BF231" s="104">
        <f t="shared" ref="BF231:BF241" si="25">IF(N231="snížená",J231,0)</f>
        <v>0</v>
      </c>
      <c r="BG231" s="104">
        <f t="shared" ref="BG231:BG241" si="26">IF(N231="zákl. přenesená",J231,0)</f>
        <v>0</v>
      </c>
      <c r="BH231" s="104">
        <f t="shared" ref="BH231:BH241" si="27">IF(N231="sníž. přenesená",J231,0)</f>
        <v>0</v>
      </c>
      <c r="BI231" s="104">
        <f t="shared" ref="BI231:BI241" si="28">IF(N231="nulová",J231,0)</f>
        <v>0</v>
      </c>
      <c r="BJ231" s="23" t="s">
        <v>85</v>
      </c>
      <c r="BK231" s="104">
        <f t="shared" ref="BK231:BK241" si="29">ROUND(I231*H231,2)</f>
        <v>10400</v>
      </c>
      <c r="BL231" s="23" t="s">
        <v>446</v>
      </c>
      <c r="BM231" s="101" t="s">
        <v>1211</v>
      </c>
    </row>
    <row r="232" spans="2:65" s="1" customFormat="1" ht="44.25" customHeight="1">
      <c r="B232" s="12"/>
      <c r="C232" s="71" t="s">
        <v>760</v>
      </c>
      <c r="D232" s="71" t="s">
        <v>214</v>
      </c>
      <c r="E232" s="72" t="s">
        <v>4027</v>
      </c>
      <c r="F232" s="73" t="s">
        <v>5387</v>
      </c>
      <c r="G232" s="74" t="s">
        <v>5388</v>
      </c>
      <c r="H232" s="75">
        <v>4</v>
      </c>
      <c r="I232" s="90">
        <v>12500</v>
      </c>
      <c r="J232" s="91">
        <f t="shared" si="20"/>
        <v>50000</v>
      </c>
      <c r="K232" s="92"/>
      <c r="L232" s="12"/>
      <c r="M232" s="93" t="s">
        <v>1</v>
      </c>
      <c r="N232" s="94" t="s">
        <v>42</v>
      </c>
      <c r="P232" s="95">
        <f t="shared" si="21"/>
        <v>0</v>
      </c>
      <c r="Q232" s="95">
        <v>0</v>
      </c>
      <c r="R232" s="95">
        <f t="shared" si="22"/>
        <v>0</v>
      </c>
      <c r="S232" s="95">
        <v>0</v>
      </c>
      <c r="T232" s="99">
        <f t="shared" si="23"/>
        <v>0</v>
      </c>
      <c r="AR232" s="101" t="s">
        <v>446</v>
      </c>
      <c r="AT232" s="101" t="s">
        <v>214</v>
      </c>
      <c r="AU232" s="101" t="s">
        <v>87</v>
      </c>
      <c r="AY232" s="23" t="s">
        <v>211</v>
      </c>
      <c r="BE232" s="104">
        <f t="shared" si="24"/>
        <v>50000</v>
      </c>
      <c r="BF232" s="104">
        <f t="shared" si="25"/>
        <v>0</v>
      </c>
      <c r="BG232" s="104">
        <f t="shared" si="26"/>
        <v>0</v>
      </c>
      <c r="BH232" s="104">
        <f t="shared" si="27"/>
        <v>0</v>
      </c>
      <c r="BI232" s="104">
        <f t="shared" si="28"/>
        <v>0</v>
      </c>
      <c r="BJ232" s="23" t="s">
        <v>85</v>
      </c>
      <c r="BK232" s="104">
        <f t="shared" si="29"/>
        <v>50000</v>
      </c>
      <c r="BL232" s="23" t="s">
        <v>446</v>
      </c>
      <c r="BM232" s="101" t="s">
        <v>1224</v>
      </c>
    </row>
    <row r="233" spans="2:65" s="1" customFormat="1" ht="38.1" customHeight="1">
      <c r="B233" s="12"/>
      <c r="C233" s="71" t="s">
        <v>805</v>
      </c>
      <c r="D233" s="71" t="s">
        <v>214</v>
      </c>
      <c r="E233" s="72" t="s">
        <v>4029</v>
      </c>
      <c r="F233" s="73" t="s">
        <v>5389</v>
      </c>
      <c r="G233" s="74" t="s">
        <v>808</v>
      </c>
      <c r="H233" s="75">
        <v>4</v>
      </c>
      <c r="I233" s="90">
        <v>2000</v>
      </c>
      <c r="J233" s="91">
        <f t="shared" si="20"/>
        <v>8000</v>
      </c>
      <c r="K233" s="92"/>
      <c r="L233" s="12"/>
      <c r="M233" s="93" t="s">
        <v>1</v>
      </c>
      <c r="N233" s="94" t="s">
        <v>42</v>
      </c>
      <c r="P233" s="95">
        <f t="shared" si="21"/>
        <v>0</v>
      </c>
      <c r="Q233" s="95">
        <v>0</v>
      </c>
      <c r="R233" s="95">
        <f t="shared" si="22"/>
        <v>0</v>
      </c>
      <c r="S233" s="95">
        <v>0</v>
      </c>
      <c r="T233" s="99">
        <f t="shared" si="23"/>
        <v>0</v>
      </c>
      <c r="AR233" s="101" t="s">
        <v>446</v>
      </c>
      <c r="AT233" s="101" t="s">
        <v>214</v>
      </c>
      <c r="AU233" s="101" t="s">
        <v>87</v>
      </c>
      <c r="AY233" s="23" t="s">
        <v>211</v>
      </c>
      <c r="BE233" s="104">
        <f t="shared" si="24"/>
        <v>8000</v>
      </c>
      <c r="BF233" s="104">
        <f t="shared" si="25"/>
        <v>0</v>
      </c>
      <c r="BG233" s="104">
        <f t="shared" si="26"/>
        <v>0</v>
      </c>
      <c r="BH233" s="104">
        <f t="shared" si="27"/>
        <v>0</v>
      </c>
      <c r="BI233" s="104">
        <f t="shared" si="28"/>
        <v>0</v>
      </c>
      <c r="BJ233" s="23" t="s">
        <v>85</v>
      </c>
      <c r="BK233" s="104">
        <f t="shared" si="29"/>
        <v>8000</v>
      </c>
      <c r="BL233" s="23" t="s">
        <v>446</v>
      </c>
      <c r="BM233" s="101" t="s">
        <v>1239</v>
      </c>
    </row>
    <row r="234" spans="2:65" s="1" customFormat="1" ht="55.5" customHeight="1">
      <c r="B234" s="12"/>
      <c r="C234" s="71" t="s">
        <v>810</v>
      </c>
      <c r="D234" s="71" t="s">
        <v>214</v>
      </c>
      <c r="E234" s="72" t="s">
        <v>4031</v>
      </c>
      <c r="F234" s="73" t="s">
        <v>5390</v>
      </c>
      <c r="G234" s="74" t="s">
        <v>808</v>
      </c>
      <c r="H234" s="75">
        <v>4</v>
      </c>
      <c r="I234" s="90">
        <v>1100</v>
      </c>
      <c r="J234" s="91">
        <f t="shared" si="20"/>
        <v>4400</v>
      </c>
      <c r="K234" s="92"/>
      <c r="L234" s="12"/>
      <c r="M234" s="93" t="s">
        <v>1</v>
      </c>
      <c r="N234" s="94" t="s">
        <v>42</v>
      </c>
      <c r="P234" s="95">
        <f t="shared" si="21"/>
        <v>0</v>
      </c>
      <c r="Q234" s="95">
        <v>0</v>
      </c>
      <c r="R234" s="95">
        <f t="shared" si="22"/>
        <v>0</v>
      </c>
      <c r="S234" s="95">
        <v>0</v>
      </c>
      <c r="T234" s="99">
        <f t="shared" si="23"/>
        <v>0</v>
      </c>
      <c r="AR234" s="101" t="s">
        <v>446</v>
      </c>
      <c r="AT234" s="101" t="s">
        <v>214</v>
      </c>
      <c r="AU234" s="101" t="s">
        <v>87</v>
      </c>
      <c r="AY234" s="23" t="s">
        <v>211</v>
      </c>
      <c r="BE234" s="104">
        <f t="shared" si="24"/>
        <v>4400</v>
      </c>
      <c r="BF234" s="104">
        <f t="shared" si="25"/>
        <v>0</v>
      </c>
      <c r="BG234" s="104">
        <f t="shared" si="26"/>
        <v>0</v>
      </c>
      <c r="BH234" s="104">
        <f t="shared" si="27"/>
        <v>0</v>
      </c>
      <c r="BI234" s="104">
        <f t="shared" si="28"/>
        <v>0</v>
      </c>
      <c r="BJ234" s="23" t="s">
        <v>85</v>
      </c>
      <c r="BK234" s="104">
        <f t="shared" si="29"/>
        <v>4400</v>
      </c>
      <c r="BL234" s="23" t="s">
        <v>446</v>
      </c>
      <c r="BM234" s="101" t="s">
        <v>1260</v>
      </c>
    </row>
    <row r="235" spans="2:65" s="1" customFormat="1" ht="16.5" customHeight="1">
      <c r="B235" s="12"/>
      <c r="C235" s="71" t="s">
        <v>814</v>
      </c>
      <c r="D235" s="71" t="s">
        <v>214</v>
      </c>
      <c r="E235" s="72" t="s">
        <v>4033</v>
      </c>
      <c r="F235" s="73" t="s">
        <v>5391</v>
      </c>
      <c r="G235" s="74" t="s">
        <v>808</v>
      </c>
      <c r="H235" s="75">
        <v>71</v>
      </c>
      <c r="I235" s="90">
        <v>13</v>
      </c>
      <c r="J235" s="91">
        <f t="shared" si="20"/>
        <v>923</v>
      </c>
      <c r="K235" s="92"/>
      <c r="L235" s="12"/>
      <c r="M235" s="93" t="s">
        <v>1</v>
      </c>
      <c r="N235" s="94" t="s">
        <v>42</v>
      </c>
      <c r="P235" s="95">
        <f t="shared" si="21"/>
        <v>0</v>
      </c>
      <c r="Q235" s="95">
        <v>0</v>
      </c>
      <c r="R235" s="95">
        <f t="shared" si="22"/>
        <v>0</v>
      </c>
      <c r="S235" s="95">
        <v>0</v>
      </c>
      <c r="T235" s="99">
        <f t="shared" si="23"/>
        <v>0</v>
      </c>
      <c r="AR235" s="101" t="s">
        <v>446</v>
      </c>
      <c r="AT235" s="101" t="s">
        <v>214</v>
      </c>
      <c r="AU235" s="101" t="s">
        <v>87</v>
      </c>
      <c r="AY235" s="23" t="s">
        <v>211</v>
      </c>
      <c r="BE235" s="104">
        <f t="shared" si="24"/>
        <v>923</v>
      </c>
      <c r="BF235" s="104">
        <f t="shared" si="25"/>
        <v>0</v>
      </c>
      <c r="BG235" s="104">
        <f t="shared" si="26"/>
        <v>0</v>
      </c>
      <c r="BH235" s="104">
        <f t="shared" si="27"/>
        <v>0</v>
      </c>
      <c r="BI235" s="104">
        <f t="shared" si="28"/>
        <v>0</v>
      </c>
      <c r="BJ235" s="23" t="s">
        <v>85</v>
      </c>
      <c r="BK235" s="104">
        <f t="shared" si="29"/>
        <v>923</v>
      </c>
      <c r="BL235" s="23" t="s">
        <v>446</v>
      </c>
      <c r="BM235" s="101" t="s">
        <v>1269</v>
      </c>
    </row>
    <row r="236" spans="2:65" s="1" customFormat="1" ht="24.15" customHeight="1">
      <c r="B236" s="12"/>
      <c r="C236" s="71" t="s">
        <v>818</v>
      </c>
      <c r="D236" s="71" t="s">
        <v>214</v>
      </c>
      <c r="E236" s="72" t="s">
        <v>4035</v>
      </c>
      <c r="F236" s="73" t="s">
        <v>5392</v>
      </c>
      <c r="G236" s="74" t="s">
        <v>808</v>
      </c>
      <c r="H236" s="75">
        <v>4</v>
      </c>
      <c r="I236" s="90">
        <v>1000</v>
      </c>
      <c r="J236" s="91">
        <f t="shared" si="20"/>
        <v>4000</v>
      </c>
      <c r="K236" s="92"/>
      <c r="L236" s="12"/>
      <c r="M236" s="93" t="s">
        <v>1</v>
      </c>
      <c r="N236" s="94" t="s">
        <v>42</v>
      </c>
      <c r="P236" s="95">
        <f t="shared" si="21"/>
        <v>0</v>
      </c>
      <c r="Q236" s="95">
        <v>0</v>
      </c>
      <c r="R236" s="95">
        <f t="shared" si="22"/>
        <v>0</v>
      </c>
      <c r="S236" s="95">
        <v>0</v>
      </c>
      <c r="T236" s="99">
        <f t="shared" si="23"/>
        <v>0</v>
      </c>
      <c r="AR236" s="101" t="s">
        <v>446</v>
      </c>
      <c r="AT236" s="101" t="s">
        <v>214</v>
      </c>
      <c r="AU236" s="101" t="s">
        <v>87</v>
      </c>
      <c r="AY236" s="23" t="s">
        <v>211</v>
      </c>
      <c r="BE236" s="104">
        <f t="shared" si="24"/>
        <v>4000</v>
      </c>
      <c r="BF236" s="104">
        <f t="shared" si="25"/>
        <v>0</v>
      </c>
      <c r="BG236" s="104">
        <f t="shared" si="26"/>
        <v>0</v>
      </c>
      <c r="BH236" s="104">
        <f t="shared" si="27"/>
        <v>0</v>
      </c>
      <c r="BI236" s="104">
        <f t="shared" si="28"/>
        <v>0</v>
      </c>
      <c r="BJ236" s="23" t="s">
        <v>85</v>
      </c>
      <c r="BK236" s="104">
        <f t="shared" si="29"/>
        <v>4000</v>
      </c>
      <c r="BL236" s="23" t="s">
        <v>446</v>
      </c>
      <c r="BM236" s="101" t="s">
        <v>1277</v>
      </c>
    </row>
    <row r="237" spans="2:65" s="1" customFormat="1" ht="16.5" customHeight="1">
      <c r="B237" s="12"/>
      <c r="C237" s="71" t="s">
        <v>822</v>
      </c>
      <c r="D237" s="71" t="s">
        <v>214</v>
      </c>
      <c r="E237" s="72" t="s">
        <v>4037</v>
      </c>
      <c r="F237" s="73" t="s">
        <v>5393</v>
      </c>
      <c r="G237" s="74" t="s">
        <v>808</v>
      </c>
      <c r="H237" s="75">
        <v>8</v>
      </c>
      <c r="I237" s="90">
        <v>3000</v>
      </c>
      <c r="J237" s="91">
        <f t="shared" si="20"/>
        <v>24000</v>
      </c>
      <c r="K237" s="92"/>
      <c r="L237" s="12"/>
      <c r="M237" s="93" t="s">
        <v>1</v>
      </c>
      <c r="N237" s="94" t="s">
        <v>42</v>
      </c>
      <c r="P237" s="95">
        <f t="shared" si="21"/>
        <v>0</v>
      </c>
      <c r="Q237" s="95">
        <v>0</v>
      </c>
      <c r="R237" s="95">
        <f t="shared" si="22"/>
        <v>0</v>
      </c>
      <c r="S237" s="95">
        <v>0</v>
      </c>
      <c r="T237" s="99">
        <f t="shared" si="23"/>
        <v>0</v>
      </c>
      <c r="AR237" s="101" t="s">
        <v>446</v>
      </c>
      <c r="AT237" s="101" t="s">
        <v>214</v>
      </c>
      <c r="AU237" s="101" t="s">
        <v>87</v>
      </c>
      <c r="AY237" s="23" t="s">
        <v>211</v>
      </c>
      <c r="BE237" s="104">
        <f t="shared" si="24"/>
        <v>24000</v>
      </c>
      <c r="BF237" s="104">
        <f t="shared" si="25"/>
        <v>0</v>
      </c>
      <c r="BG237" s="104">
        <f t="shared" si="26"/>
        <v>0</v>
      </c>
      <c r="BH237" s="104">
        <f t="shared" si="27"/>
        <v>0</v>
      </c>
      <c r="BI237" s="104">
        <f t="shared" si="28"/>
        <v>0</v>
      </c>
      <c r="BJ237" s="23" t="s">
        <v>85</v>
      </c>
      <c r="BK237" s="104">
        <f t="shared" si="29"/>
        <v>24000</v>
      </c>
      <c r="BL237" s="23" t="s">
        <v>446</v>
      </c>
      <c r="BM237" s="101" t="s">
        <v>1296</v>
      </c>
    </row>
    <row r="238" spans="2:65" s="1" customFormat="1" ht="33" customHeight="1">
      <c r="B238" s="12"/>
      <c r="C238" s="71" t="s">
        <v>826</v>
      </c>
      <c r="D238" s="71" t="s">
        <v>214</v>
      </c>
      <c r="E238" s="72" t="s">
        <v>4039</v>
      </c>
      <c r="F238" s="73" t="s">
        <v>5394</v>
      </c>
      <c r="G238" s="74" t="s">
        <v>808</v>
      </c>
      <c r="H238" s="75">
        <v>39</v>
      </c>
      <c r="I238" s="90">
        <v>350</v>
      </c>
      <c r="J238" s="91">
        <f t="shared" si="20"/>
        <v>13650</v>
      </c>
      <c r="K238" s="92"/>
      <c r="L238" s="12"/>
      <c r="M238" s="93" t="s">
        <v>1</v>
      </c>
      <c r="N238" s="94" t="s">
        <v>42</v>
      </c>
      <c r="P238" s="95">
        <f t="shared" si="21"/>
        <v>0</v>
      </c>
      <c r="Q238" s="95">
        <v>0</v>
      </c>
      <c r="R238" s="95">
        <f t="shared" si="22"/>
        <v>0</v>
      </c>
      <c r="S238" s="95">
        <v>0</v>
      </c>
      <c r="T238" s="99">
        <f t="shared" si="23"/>
        <v>0</v>
      </c>
      <c r="AR238" s="101" t="s">
        <v>446</v>
      </c>
      <c r="AT238" s="101" t="s">
        <v>214</v>
      </c>
      <c r="AU238" s="101" t="s">
        <v>87</v>
      </c>
      <c r="AY238" s="23" t="s">
        <v>211</v>
      </c>
      <c r="BE238" s="104">
        <f t="shared" si="24"/>
        <v>13650</v>
      </c>
      <c r="BF238" s="104">
        <f t="shared" si="25"/>
        <v>0</v>
      </c>
      <c r="BG238" s="104">
        <f t="shared" si="26"/>
        <v>0</v>
      </c>
      <c r="BH238" s="104">
        <f t="shared" si="27"/>
        <v>0</v>
      </c>
      <c r="BI238" s="104">
        <f t="shared" si="28"/>
        <v>0</v>
      </c>
      <c r="BJ238" s="23" t="s">
        <v>85</v>
      </c>
      <c r="BK238" s="104">
        <f t="shared" si="29"/>
        <v>13650</v>
      </c>
      <c r="BL238" s="23" t="s">
        <v>446</v>
      </c>
      <c r="BM238" s="101" t="s">
        <v>1312</v>
      </c>
    </row>
    <row r="239" spans="2:65" s="1" customFormat="1" ht="16.5" customHeight="1">
      <c r="B239" s="12"/>
      <c r="C239" s="71" t="s">
        <v>830</v>
      </c>
      <c r="D239" s="71" t="s">
        <v>214</v>
      </c>
      <c r="E239" s="72" t="s">
        <v>4041</v>
      </c>
      <c r="F239" s="73" t="s">
        <v>5395</v>
      </c>
      <c r="G239" s="74" t="s">
        <v>5396</v>
      </c>
      <c r="H239" s="75">
        <v>5</v>
      </c>
      <c r="I239" s="90">
        <v>400</v>
      </c>
      <c r="J239" s="91">
        <f t="shared" si="20"/>
        <v>2000</v>
      </c>
      <c r="K239" s="92"/>
      <c r="L239" s="12"/>
      <c r="M239" s="93" t="s">
        <v>1</v>
      </c>
      <c r="N239" s="94" t="s">
        <v>42</v>
      </c>
      <c r="P239" s="95">
        <f t="shared" si="21"/>
        <v>0</v>
      </c>
      <c r="Q239" s="95">
        <v>0</v>
      </c>
      <c r="R239" s="95">
        <f t="shared" si="22"/>
        <v>0</v>
      </c>
      <c r="S239" s="95">
        <v>0</v>
      </c>
      <c r="T239" s="99">
        <f t="shared" si="23"/>
        <v>0</v>
      </c>
      <c r="AR239" s="101" t="s">
        <v>446</v>
      </c>
      <c r="AT239" s="101" t="s">
        <v>214</v>
      </c>
      <c r="AU239" s="101" t="s">
        <v>87</v>
      </c>
      <c r="AY239" s="23" t="s">
        <v>211</v>
      </c>
      <c r="BE239" s="104">
        <f t="shared" si="24"/>
        <v>2000</v>
      </c>
      <c r="BF239" s="104">
        <f t="shared" si="25"/>
        <v>0</v>
      </c>
      <c r="BG239" s="104">
        <f t="shared" si="26"/>
        <v>0</v>
      </c>
      <c r="BH239" s="104">
        <f t="shared" si="27"/>
        <v>0</v>
      </c>
      <c r="BI239" s="104">
        <f t="shared" si="28"/>
        <v>0</v>
      </c>
      <c r="BJ239" s="23" t="s">
        <v>85</v>
      </c>
      <c r="BK239" s="104">
        <f t="shared" si="29"/>
        <v>2000</v>
      </c>
      <c r="BL239" s="23" t="s">
        <v>446</v>
      </c>
      <c r="BM239" s="101" t="s">
        <v>1323</v>
      </c>
    </row>
    <row r="240" spans="2:65" s="1" customFormat="1" ht="24.15" customHeight="1">
      <c r="B240" s="12"/>
      <c r="C240" s="71" t="s">
        <v>834</v>
      </c>
      <c r="D240" s="71" t="s">
        <v>214</v>
      </c>
      <c r="E240" s="72" t="s">
        <v>4043</v>
      </c>
      <c r="F240" s="73" t="s">
        <v>5397</v>
      </c>
      <c r="G240" s="74" t="s">
        <v>808</v>
      </c>
      <c r="H240" s="75">
        <v>4</v>
      </c>
      <c r="I240" s="90">
        <v>4900</v>
      </c>
      <c r="J240" s="91">
        <f t="shared" si="20"/>
        <v>19600</v>
      </c>
      <c r="K240" s="92"/>
      <c r="L240" s="12"/>
      <c r="M240" s="93" t="s">
        <v>1</v>
      </c>
      <c r="N240" s="94" t="s">
        <v>42</v>
      </c>
      <c r="P240" s="95">
        <f t="shared" si="21"/>
        <v>0</v>
      </c>
      <c r="Q240" s="95">
        <v>0</v>
      </c>
      <c r="R240" s="95">
        <f t="shared" si="22"/>
        <v>0</v>
      </c>
      <c r="S240" s="95">
        <v>0</v>
      </c>
      <c r="T240" s="99">
        <f t="shared" si="23"/>
        <v>0</v>
      </c>
      <c r="AR240" s="101" t="s">
        <v>446</v>
      </c>
      <c r="AT240" s="101" t="s">
        <v>214</v>
      </c>
      <c r="AU240" s="101" t="s">
        <v>87</v>
      </c>
      <c r="AY240" s="23" t="s">
        <v>211</v>
      </c>
      <c r="BE240" s="104">
        <f t="shared" si="24"/>
        <v>19600</v>
      </c>
      <c r="BF240" s="104">
        <f t="shared" si="25"/>
        <v>0</v>
      </c>
      <c r="BG240" s="104">
        <f t="shared" si="26"/>
        <v>0</v>
      </c>
      <c r="BH240" s="104">
        <f t="shared" si="27"/>
        <v>0</v>
      </c>
      <c r="BI240" s="104">
        <f t="shared" si="28"/>
        <v>0</v>
      </c>
      <c r="BJ240" s="23" t="s">
        <v>85</v>
      </c>
      <c r="BK240" s="104">
        <f t="shared" si="29"/>
        <v>19600</v>
      </c>
      <c r="BL240" s="23" t="s">
        <v>446</v>
      </c>
      <c r="BM240" s="101" t="s">
        <v>1332</v>
      </c>
    </row>
    <row r="241" spans="2:65" s="1" customFormat="1" ht="55.5" customHeight="1">
      <c r="B241" s="12"/>
      <c r="C241" s="71" t="s">
        <v>838</v>
      </c>
      <c r="D241" s="71" t="s">
        <v>214</v>
      </c>
      <c r="E241" s="72" t="s">
        <v>4045</v>
      </c>
      <c r="F241" s="73" t="s">
        <v>5398</v>
      </c>
      <c r="G241" s="74" t="s">
        <v>808</v>
      </c>
      <c r="H241" s="75">
        <v>4</v>
      </c>
      <c r="I241" s="90">
        <v>8200</v>
      </c>
      <c r="J241" s="91">
        <f t="shared" si="20"/>
        <v>32800</v>
      </c>
      <c r="K241" s="92"/>
      <c r="L241" s="12"/>
      <c r="M241" s="93" t="s">
        <v>1</v>
      </c>
      <c r="N241" s="94" t="s">
        <v>42</v>
      </c>
      <c r="P241" s="95">
        <f t="shared" si="21"/>
        <v>0</v>
      </c>
      <c r="Q241" s="95">
        <v>0</v>
      </c>
      <c r="R241" s="95">
        <f t="shared" si="22"/>
        <v>0</v>
      </c>
      <c r="S241" s="95">
        <v>0</v>
      </c>
      <c r="T241" s="99">
        <f t="shared" si="23"/>
        <v>0</v>
      </c>
      <c r="AR241" s="101" t="s">
        <v>446</v>
      </c>
      <c r="AT241" s="101" t="s">
        <v>214</v>
      </c>
      <c r="AU241" s="101" t="s">
        <v>87</v>
      </c>
      <c r="AY241" s="23" t="s">
        <v>211</v>
      </c>
      <c r="BE241" s="104">
        <f t="shared" si="24"/>
        <v>32800</v>
      </c>
      <c r="BF241" s="104">
        <f t="shared" si="25"/>
        <v>0</v>
      </c>
      <c r="BG241" s="104">
        <f t="shared" si="26"/>
        <v>0</v>
      </c>
      <c r="BH241" s="104">
        <f t="shared" si="27"/>
        <v>0</v>
      </c>
      <c r="BI241" s="104">
        <f t="shared" si="28"/>
        <v>0</v>
      </c>
      <c r="BJ241" s="23" t="s">
        <v>85</v>
      </c>
      <c r="BK241" s="104">
        <f t="shared" si="29"/>
        <v>32800</v>
      </c>
      <c r="BL241" s="23" t="s">
        <v>446</v>
      </c>
      <c r="BM241" s="101" t="s">
        <v>1342</v>
      </c>
    </row>
    <row r="242" spans="2:65" s="31" customFormat="1" ht="23.1" customHeight="1">
      <c r="B242" s="67"/>
      <c r="D242" s="68" t="s">
        <v>76</v>
      </c>
      <c r="E242" s="70" t="s">
        <v>3858</v>
      </c>
      <c r="F242" s="70" t="s">
        <v>3917</v>
      </c>
      <c r="I242" s="85"/>
      <c r="J242" s="89">
        <f>BK242</f>
        <v>232000</v>
      </c>
      <c r="L242" s="67"/>
      <c r="M242" s="87"/>
      <c r="P242" s="88">
        <f>SUM(P243:P246)</f>
        <v>0</v>
      </c>
      <c r="R242" s="88">
        <f>SUM(R243:R246)</f>
        <v>0</v>
      </c>
      <c r="T242" s="98">
        <f>SUM(T243:T246)</f>
        <v>0</v>
      </c>
      <c r="AR242" s="68" t="s">
        <v>85</v>
      </c>
      <c r="AT242" s="100" t="s">
        <v>76</v>
      </c>
      <c r="AU242" s="100" t="s">
        <v>85</v>
      </c>
      <c r="AY242" s="68" t="s">
        <v>211</v>
      </c>
      <c r="BK242" s="103">
        <f>SUM(BK243:BK246)</f>
        <v>232000</v>
      </c>
    </row>
    <row r="243" spans="2:65" s="1" customFormat="1" ht="16.5" customHeight="1">
      <c r="B243" s="12"/>
      <c r="C243" s="71" t="s">
        <v>842</v>
      </c>
      <c r="D243" s="71" t="s">
        <v>214</v>
      </c>
      <c r="E243" s="72" t="s">
        <v>4047</v>
      </c>
      <c r="F243" s="73" t="s">
        <v>5341</v>
      </c>
      <c r="G243" s="74" t="s">
        <v>4204</v>
      </c>
      <c r="H243" s="75">
        <v>400</v>
      </c>
      <c r="I243" s="90">
        <v>300</v>
      </c>
      <c r="J243" s="91">
        <f>ROUND(I243*H243,2)</f>
        <v>120000</v>
      </c>
      <c r="K243" s="92"/>
      <c r="L243" s="12"/>
      <c r="M243" s="93" t="s">
        <v>1</v>
      </c>
      <c r="N243" s="94" t="s">
        <v>42</v>
      </c>
      <c r="P243" s="95">
        <f>O243*H243</f>
        <v>0</v>
      </c>
      <c r="Q243" s="95">
        <v>0</v>
      </c>
      <c r="R243" s="95">
        <f>Q243*H243</f>
        <v>0</v>
      </c>
      <c r="S243" s="95">
        <v>0</v>
      </c>
      <c r="T243" s="99">
        <f>S243*H243</f>
        <v>0</v>
      </c>
      <c r="AR243" s="101" t="s">
        <v>446</v>
      </c>
      <c r="AT243" s="101" t="s">
        <v>214</v>
      </c>
      <c r="AU243" s="101" t="s">
        <v>87</v>
      </c>
      <c r="AY243" s="23" t="s">
        <v>211</v>
      </c>
      <c r="BE243" s="104">
        <f>IF(N243="základní",J243,0)</f>
        <v>120000</v>
      </c>
      <c r="BF243" s="104">
        <f>IF(N243="snížená",J243,0)</f>
        <v>0</v>
      </c>
      <c r="BG243" s="104">
        <f>IF(N243="zákl. přenesená",J243,0)</f>
        <v>0</v>
      </c>
      <c r="BH243" s="104">
        <f>IF(N243="sníž. přenesená",J243,0)</f>
        <v>0</v>
      </c>
      <c r="BI243" s="104">
        <f>IF(N243="nulová",J243,0)</f>
        <v>0</v>
      </c>
      <c r="BJ243" s="23" t="s">
        <v>85</v>
      </c>
      <c r="BK243" s="104">
        <f>ROUND(I243*H243,2)</f>
        <v>120000</v>
      </c>
      <c r="BL243" s="23" t="s">
        <v>446</v>
      </c>
      <c r="BM243" s="101" t="s">
        <v>1352</v>
      </c>
    </row>
    <row r="244" spans="2:65" s="1" customFormat="1" ht="16.5" customHeight="1">
      <c r="B244" s="12"/>
      <c r="C244" s="71" t="s">
        <v>846</v>
      </c>
      <c r="D244" s="71" t="s">
        <v>214</v>
      </c>
      <c r="E244" s="72" t="s">
        <v>4049</v>
      </c>
      <c r="F244" s="73" t="s">
        <v>5399</v>
      </c>
      <c r="G244" s="74" t="s">
        <v>4204</v>
      </c>
      <c r="H244" s="75">
        <v>64</v>
      </c>
      <c r="I244" s="90">
        <v>500</v>
      </c>
      <c r="J244" s="91">
        <f>ROUND(I244*H244,2)</f>
        <v>32000</v>
      </c>
      <c r="K244" s="92"/>
      <c r="L244" s="12"/>
      <c r="M244" s="93" t="s">
        <v>1</v>
      </c>
      <c r="N244" s="94" t="s">
        <v>42</v>
      </c>
      <c r="P244" s="95">
        <f>O244*H244</f>
        <v>0</v>
      </c>
      <c r="Q244" s="95">
        <v>0</v>
      </c>
      <c r="R244" s="95">
        <f>Q244*H244</f>
        <v>0</v>
      </c>
      <c r="S244" s="95">
        <v>0</v>
      </c>
      <c r="T244" s="99">
        <f>S244*H244</f>
        <v>0</v>
      </c>
      <c r="AR244" s="101" t="s">
        <v>446</v>
      </c>
      <c r="AT244" s="101" t="s">
        <v>214</v>
      </c>
      <c r="AU244" s="101" t="s">
        <v>87</v>
      </c>
      <c r="AY244" s="23" t="s">
        <v>211</v>
      </c>
      <c r="BE244" s="104">
        <f>IF(N244="základní",J244,0)</f>
        <v>32000</v>
      </c>
      <c r="BF244" s="104">
        <f>IF(N244="snížená",J244,0)</f>
        <v>0</v>
      </c>
      <c r="BG244" s="104">
        <f>IF(N244="zákl. přenesená",J244,0)</f>
        <v>0</v>
      </c>
      <c r="BH244" s="104">
        <f>IF(N244="sníž. přenesená",J244,0)</f>
        <v>0</v>
      </c>
      <c r="BI244" s="104">
        <f>IF(N244="nulová",J244,0)</f>
        <v>0</v>
      </c>
      <c r="BJ244" s="23" t="s">
        <v>85</v>
      </c>
      <c r="BK244" s="104">
        <f>ROUND(I244*H244,2)</f>
        <v>32000</v>
      </c>
      <c r="BL244" s="23" t="s">
        <v>446</v>
      </c>
      <c r="BM244" s="101" t="s">
        <v>1361</v>
      </c>
    </row>
    <row r="245" spans="2:65" s="1" customFormat="1" ht="16.5" customHeight="1">
      <c r="B245" s="12"/>
      <c r="C245" s="71" t="s">
        <v>850</v>
      </c>
      <c r="D245" s="71" t="s">
        <v>214</v>
      </c>
      <c r="E245" s="72" t="s">
        <v>4051</v>
      </c>
      <c r="F245" s="73" t="s">
        <v>5400</v>
      </c>
      <c r="G245" s="74" t="s">
        <v>4204</v>
      </c>
      <c r="H245" s="75">
        <v>64</v>
      </c>
      <c r="I245" s="90">
        <v>500</v>
      </c>
      <c r="J245" s="91">
        <f>ROUND(I245*H245,2)</f>
        <v>32000</v>
      </c>
      <c r="K245" s="92"/>
      <c r="L245" s="12"/>
      <c r="M245" s="93" t="s">
        <v>1</v>
      </c>
      <c r="N245" s="94" t="s">
        <v>42</v>
      </c>
      <c r="P245" s="95">
        <f>O245*H245</f>
        <v>0</v>
      </c>
      <c r="Q245" s="95">
        <v>0</v>
      </c>
      <c r="R245" s="95">
        <f>Q245*H245</f>
        <v>0</v>
      </c>
      <c r="S245" s="95">
        <v>0</v>
      </c>
      <c r="T245" s="99">
        <f>S245*H245</f>
        <v>0</v>
      </c>
      <c r="AR245" s="101" t="s">
        <v>446</v>
      </c>
      <c r="AT245" s="101" t="s">
        <v>214</v>
      </c>
      <c r="AU245" s="101" t="s">
        <v>87</v>
      </c>
      <c r="AY245" s="23" t="s">
        <v>211</v>
      </c>
      <c r="BE245" s="104">
        <f>IF(N245="základní",J245,0)</f>
        <v>32000</v>
      </c>
      <c r="BF245" s="104">
        <f>IF(N245="snížená",J245,0)</f>
        <v>0</v>
      </c>
      <c r="BG245" s="104">
        <f>IF(N245="zákl. přenesená",J245,0)</f>
        <v>0</v>
      </c>
      <c r="BH245" s="104">
        <f>IF(N245="sníž. přenesená",J245,0)</f>
        <v>0</v>
      </c>
      <c r="BI245" s="104">
        <f>IF(N245="nulová",J245,0)</f>
        <v>0</v>
      </c>
      <c r="BJ245" s="23" t="s">
        <v>85</v>
      </c>
      <c r="BK245" s="104">
        <f>ROUND(I245*H245,2)</f>
        <v>32000</v>
      </c>
      <c r="BL245" s="23" t="s">
        <v>446</v>
      </c>
      <c r="BM245" s="101" t="s">
        <v>1370</v>
      </c>
    </row>
    <row r="246" spans="2:65" s="1" customFormat="1" ht="24.15" customHeight="1">
      <c r="B246" s="12"/>
      <c r="C246" s="71" t="s">
        <v>854</v>
      </c>
      <c r="D246" s="71" t="s">
        <v>214</v>
      </c>
      <c r="E246" s="72" t="s">
        <v>4053</v>
      </c>
      <c r="F246" s="73" t="s">
        <v>5401</v>
      </c>
      <c r="G246" s="74" t="s">
        <v>4204</v>
      </c>
      <c r="H246" s="75">
        <v>96</v>
      </c>
      <c r="I246" s="90">
        <v>500</v>
      </c>
      <c r="J246" s="91">
        <f>ROUND(I246*H246,2)</f>
        <v>48000</v>
      </c>
      <c r="K246" s="92"/>
      <c r="L246" s="12"/>
      <c r="M246" s="93" t="s">
        <v>1</v>
      </c>
      <c r="N246" s="94" t="s">
        <v>42</v>
      </c>
      <c r="P246" s="95">
        <f>O246*H246</f>
        <v>0</v>
      </c>
      <c r="Q246" s="95">
        <v>0</v>
      </c>
      <c r="R246" s="95">
        <f>Q246*H246</f>
        <v>0</v>
      </c>
      <c r="S246" s="95">
        <v>0</v>
      </c>
      <c r="T246" s="99">
        <f>S246*H246</f>
        <v>0</v>
      </c>
      <c r="AR246" s="101" t="s">
        <v>446</v>
      </c>
      <c r="AT246" s="101" t="s">
        <v>214</v>
      </c>
      <c r="AU246" s="101" t="s">
        <v>87</v>
      </c>
      <c r="AY246" s="23" t="s">
        <v>211</v>
      </c>
      <c r="BE246" s="104">
        <f>IF(N246="základní",J246,0)</f>
        <v>48000</v>
      </c>
      <c r="BF246" s="104">
        <f>IF(N246="snížená",J246,0)</f>
        <v>0</v>
      </c>
      <c r="BG246" s="104">
        <f>IF(N246="zákl. přenesená",J246,0)</f>
        <v>0</v>
      </c>
      <c r="BH246" s="104">
        <f>IF(N246="sníž. přenesená",J246,0)</f>
        <v>0</v>
      </c>
      <c r="BI246" s="104">
        <f>IF(N246="nulová",J246,0)</f>
        <v>0</v>
      </c>
      <c r="BJ246" s="23" t="s">
        <v>85</v>
      </c>
      <c r="BK246" s="104">
        <f>ROUND(I246*H246,2)</f>
        <v>48000</v>
      </c>
      <c r="BL246" s="23" t="s">
        <v>446</v>
      </c>
      <c r="BM246" s="101" t="s">
        <v>1378</v>
      </c>
    </row>
    <row r="247" spans="2:65" s="31" customFormat="1" ht="26.1" customHeight="1">
      <c r="B247" s="67"/>
      <c r="D247" s="68" t="s">
        <v>76</v>
      </c>
      <c r="E247" s="69" t="s">
        <v>4383</v>
      </c>
      <c r="F247" s="69" t="s">
        <v>5402</v>
      </c>
      <c r="I247" s="85"/>
      <c r="J247" s="86">
        <f>BK247</f>
        <v>66600</v>
      </c>
      <c r="L247" s="67"/>
      <c r="M247" s="87"/>
      <c r="P247" s="88">
        <f>P248+P250</f>
        <v>0</v>
      </c>
      <c r="R247" s="88">
        <f>R248+R250</f>
        <v>0</v>
      </c>
      <c r="T247" s="98">
        <f>T248+T250</f>
        <v>0</v>
      </c>
      <c r="AR247" s="68" t="s">
        <v>85</v>
      </c>
      <c r="AT247" s="100" t="s">
        <v>76</v>
      </c>
      <c r="AU247" s="100" t="s">
        <v>77</v>
      </c>
      <c r="AY247" s="68" t="s">
        <v>211</v>
      </c>
      <c r="BK247" s="103">
        <f>BK248+BK250</f>
        <v>66600</v>
      </c>
    </row>
    <row r="248" spans="2:65" s="31" customFormat="1" ht="23.1" customHeight="1">
      <c r="B248" s="67"/>
      <c r="D248" s="68" t="s">
        <v>76</v>
      </c>
      <c r="E248" s="70" t="s">
        <v>4389</v>
      </c>
      <c r="F248" s="70" t="s">
        <v>5403</v>
      </c>
      <c r="I248" s="85"/>
      <c r="J248" s="89">
        <f>BK248</f>
        <v>54600</v>
      </c>
      <c r="L248" s="67"/>
      <c r="M248" s="87"/>
      <c r="P248" s="88">
        <f>P249</f>
        <v>0</v>
      </c>
      <c r="R248" s="88">
        <f>R249</f>
        <v>0</v>
      </c>
      <c r="T248" s="98">
        <f>T249</f>
        <v>0</v>
      </c>
      <c r="AR248" s="68" t="s">
        <v>85</v>
      </c>
      <c r="AT248" s="100" t="s">
        <v>76</v>
      </c>
      <c r="AU248" s="100" t="s">
        <v>85</v>
      </c>
      <c r="AY248" s="68" t="s">
        <v>211</v>
      </c>
      <c r="BK248" s="103">
        <f>BK249</f>
        <v>54600</v>
      </c>
    </row>
    <row r="249" spans="2:65" s="1" customFormat="1" ht="49.35" customHeight="1">
      <c r="B249" s="12"/>
      <c r="C249" s="71" t="s">
        <v>858</v>
      </c>
      <c r="D249" s="71" t="s">
        <v>214</v>
      </c>
      <c r="E249" s="72" t="s">
        <v>4055</v>
      </c>
      <c r="F249" s="73" t="s">
        <v>5404</v>
      </c>
      <c r="G249" s="74" t="s">
        <v>808</v>
      </c>
      <c r="H249" s="75">
        <v>39</v>
      </c>
      <c r="I249" s="90">
        <v>1400</v>
      </c>
      <c r="J249" s="91">
        <f>ROUND(I249*H249,2)</f>
        <v>54600</v>
      </c>
      <c r="K249" s="92"/>
      <c r="L249" s="12"/>
      <c r="M249" s="93" t="s">
        <v>1</v>
      </c>
      <c r="N249" s="94" t="s">
        <v>42</v>
      </c>
      <c r="P249" s="95">
        <f>O249*H249</f>
        <v>0</v>
      </c>
      <c r="Q249" s="95">
        <v>0</v>
      </c>
      <c r="R249" s="95">
        <f>Q249*H249</f>
        <v>0</v>
      </c>
      <c r="S249" s="95">
        <v>0</v>
      </c>
      <c r="T249" s="99">
        <f>S249*H249</f>
        <v>0</v>
      </c>
      <c r="AR249" s="101" t="s">
        <v>446</v>
      </c>
      <c r="AT249" s="101" t="s">
        <v>214</v>
      </c>
      <c r="AU249" s="101" t="s">
        <v>87</v>
      </c>
      <c r="AY249" s="23" t="s">
        <v>211</v>
      </c>
      <c r="BE249" s="104">
        <f>IF(N249="základní",J249,0)</f>
        <v>54600</v>
      </c>
      <c r="BF249" s="104">
        <f>IF(N249="snížená",J249,0)</f>
        <v>0</v>
      </c>
      <c r="BG249" s="104">
        <f>IF(N249="zákl. přenesená",J249,0)</f>
        <v>0</v>
      </c>
      <c r="BH249" s="104">
        <f>IF(N249="sníž. přenesená",J249,0)</f>
        <v>0</v>
      </c>
      <c r="BI249" s="104">
        <f>IF(N249="nulová",J249,0)</f>
        <v>0</v>
      </c>
      <c r="BJ249" s="23" t="s">
        <v>85</v>
      </c>
      <c r="BK249" s="104">
        <f>ROUND(I249*H249,2)</f>
        <v>54600</v>
      </c>
      <c r="BL249" s="23" t="s">
        <v>446</v>
      </c>
      <c r="BM249" s="101" t="s">
        <v>1387</v>
      </c>
    </row>
    <row r="250" spans="2:65" s="31" customFormat="1" ht="23.1" customHeight="1">
      <c r="B250" s="67"/>
      <c r="D250" s="68" t="s">
        <v>76</v>
      </c>
      <c r="E250" s="70" t="s">
        <v>3858</v>
      </c>
      <c r="F250" s="70" t="s">
        <v>3917</v>
      </c>
      <c r="I250" s="85"/>
      <c r="J250" s="89">
        <f>BK250</f>
        <v>12000</v>
      </c>
      <c r="L250" s="67"/>
      <c r="M250" s="87"/>
      <c r="P250" s="88">
        <f>P251</f>
        <v>0</v>
      </c>
      <c r="R250" s="88">
        <f>R251</f>
        <v>0</v>
      </c>
      <c r="T250" s="98">
        <f>T251</f>
        <v>0</v>
      </c>
      <c r="AR250" s="68" t="s">
        <v>85</v>
      </c>
      <c r="AT250" s="100" t="s">
        <v>76</v>
      </c>
      <c r="AU250" s="100" t="s">
        <v>85</v>
      </c>
      <c r="AY250" s="68" t="s">
        <v>211</v>
      </c>
      <c r="BK250" s="103">
        <f>BK251</f>
        <v>12000</v>
      </c>
    </row>
    <row r="251" spans="2:65" s="1" customFormat="1" ht="16.5" customHeight="1">
      <c r="B251" s="12"/>
      <c r="C251" s="71" t="s">
        <v>862</v>
      </c>
      <c r="D251" s="71" t="s">
        <v>214</v>
      </c>
      <c r="E251" s="72" t="s">
        <v>4057</v>
      </c>
      <c r="F251" s="73" t="s">
        <v>5379</v>
      </c>
      <c r="G251" s="74" t="s">
        <v>4204</v>
      </c>
      <c r="H251" s="75">
        <v>40</v>
      </c>
      <c r="I251" s="90">
        <v>300</v>
      </c>
      <c r="J251" s="91">
        <f>ROUND(I251*H251,2)</f>
        <v>12000</v>
      </c>
      <c r="K251" s="92"/>
      <c r="L251" s="12"/>
      <c r="M251" s="93" t="s">
        <v>1</v>
      </c>
      <c r="N251" s="94" t="s">
        <v>42</v>
      </c>
      <c r="P251" s="95">
        <f>O251*H251</f>
        <v>0</v>
      </c>
      <c r="Q251" s="95">
        <v>0</v>
      </c>
      <c r="R251" s="95">
        <f>Q251*H251</f>
        <v>0</v>
      </c>
      <c r="S251" s="95">
        <v>0</v>
      </c>
      <c r="T251" s="99">
        <f>S251*H251</f>
        <v>0</v>
      </c>
      <c r="AR251" s="101" t="s">
        <v>446</v>
      </c>
      <c r="AT251" s="101" t="s">
        <v>214</v>
      </c>
      <c r="AU251" s="101" t="s">
        <v>87</v>
      </c>
      <c r="AY251" s="23" t="s">
        <v>211</v>
      </c>
      <c r="BE251" s="104">
        <f>IF(N251="základní",J251,0)</f>
        <v>12000</v>
      </c>
      <c r="BF251" s="104">
        <f>IF(N251="snížená",J251,0)</f>
        <v>0</v>
      </c>
      <c r="BG251" s="104">
        <f>IF(N251="zákl. přenesená",J251,0)</f>
        <v>0</v>
      </c>
      <c r="BH251" s="104">
        <f>IF(N251="sníž. přenesená",J251,0)</f>
        <v>0</v>
      </c>
      <c r="BI251" s="104">
        <f>IF(N251="nulová",J251,0)</f>
        <v>0</v>
      </c>
      <c r="BJ251" s="23" t="s">
        <v>85</v>
      </c>
      <c r="BK251" s="104">
        <f>ROUND(I251*H251,2)</f>
        <v>12000</v>
      </c>
      <c r="BL251" s="23" t="s">
        <v>446</v>
      </c>
      <c r="BM251" s="101" t="s">
        <v>1394</v>
      </c>
    </row>
    <row r="252" spans="2:65" s="31" customFormat="1" ht="26.1" customHeight="1">
      <c r="B252" s="67"/>
      <c r="D252" s="68" t="s">
        <v>76</v>
      </c>
      <c r="E252" s="69" t="s">
        <v>4391</v>
      </c>
      <c r="F252" s="69" t="s">
        <v>5405</v>
      </c>
      <c r="I252" s="85"/>
      <c r="J252" s="86">
        <f>BK252</f>
        <v>1287200</v>
      </c>
      <c r="L252" s="67"/>
      <c r="M252" s="87"/>
      <c r="P252" s="88">
        <f>P253+P263</f>
        <v>0</v>
      </c>
      <c r="R252" s="88">
        <f>R253+R263</f>
        <v>0</v>
      </c>
      <c r="T252" s="98">
        <f>T253+T263</f>
        <v>0</v>
      </c>
      <c r="AR252" s="68" t="s">
        <v>85</v>
      </c>
      <c r="AT252" s="100" t="s">
        <v>76</v>
      </c>
      <c r="AU252" s="100" t="s">
        <v>77</v>
      </c>
      <c r="AY252" s="68" t="s">
        <v>211</v>
      </c>
      <c r="BK252" s="103">
        <f>BK253+BK263</f>
        <v>1287200</v>
      </c>
    </row>
    <row r="253" spans="2:65" s="31" customFormat="1" ht="23.1" customHeight="1">
      <c r="B253" s="67"/>
      <c r="D253" s="68" t="s">
        <v>76</v>
      </c>
      <c r="E253" s="70" t="s">
        <v>4396</v>
      </c>
      <c r="F253" s="70" t="s">
        <v>5406</v>
      </c>
      <c r="I253" s="85"/>
      <c r="J253" s="89">
        <f>BK253</f>
        <v>1257200</v>
      </c>
      <c r="L253" s="67"/>
      <c r="M253" s="87"/>
      <c r="P253" s="88">
        <f>SUM(P254:P262)</f>
        <v>0</v>
      </c>
      <c r="R253" s="88">
        <f>SUM(R254:R262)</f>
        <v>0</v>
      </c>
      <c r="T253" s="98">
        <f>SUM(T254:T262)</f>
        <v>0</v>
      </c>
      <c r="AR253" s="68" t="s">
        <v>85</v>
      </c>
      <c r="AT253" s="100" t="s">
        <v>76</v>
      </c>
      <c r="AU253" s="100" t="s">
        <v>85</v>
      </c>
      <c r="AY253" s="68" t="s">
        <v>211</v>
      </c>
      <c r="BK253" s="103">
        <f>SUM(BK254:BK262)</f>
        <v>1257200</v>
      </c>
    </row>
    <row r="254" spans="2:65" s="1" customFormat="1" ht="21.75" customHeight="1">
      <c r="B254" s="12"/>
      <c r="C254" s="71" t="s">
        <v>874</v>
      </c>
      <c r="D254" s="71" t="s">
        <v>214</v>
      </c>
      <c r="E254" s="72" t="s">
        <v>4059</v>
      </c>
      <c r="F254" s="73" t="s">
        <v>5407</v>
      </c>
      <c r="G254" s="74" t="s">
        <v>808</v>
      </c>
      <c r="H254" s="75">
        <v>80</v>
      </c>
      <c r="I254" s="90">
        <v>1000</v>
      </c>
      <c r="J254" s="91">
        <f t="shared" ref="J254:J262" si="30">ROUND(I254*H254,2)</f>
        <v>80000</v>
      </c>
      <c r="K254" s="92"/>
      <c r="L254" s="12"/>
      <c r="M254" s="93" t="s">
        <v>1</v>
      </c>
      <c r="N254" s="94" t="s">
        <v>42</v>
      </c>
      <c r="P254" s="95">
        <f t="shared" ref="P254:P262" si="31">O254*H254</f>
        <v>0</v>
      </c>
      <c r="Q254" s="95">
        <v>0</v>
      </c>
      <c r="R254" s="95">
        <f t="shared" ref="R254:R262" si="32">Q254*H254</f>
        <v>0</v>
      </c>
      <c r="S254" s="95">
        <v>0</v>
      </c>
      <c r="T254" s="99">
        <f t="shared" ref="T254:T262" si="33">S254*H254</f>
        <v>0</v>
      </c>
      <c r="AR254" s="101" t="s">
        <v>446</v>
      </c>
      <c r="AT254" s="101" t="s">
        <v>214</v>
      </c>
      <c r="AU254" s="101" t="s">
        <v>87</v>
      </c>
      <c r="AY254" s="23" t="s">
        <v>211</v>
      </c>
      <c r="BE254" s="104">
        <f t="shared" ref="BE254:BE262" si="34">IF(N254="základní",J254,0)</f>
        <v>80000</v>
      </c>
      <c r="BF254" s="104">
        <f t="shared" ref="BF254:BF262" si="35">IF(N254="snížená",J254,0)</f>
        <v>0</v>
      </c>
      <c r="BG254" s="104">
        <f t="shared" ref="BG254:BG262" si="36">IF(N254="zákl. přenesená",J254,0)</f>
        <v>0</v>
      </c>
      <c r="BH254" s="104">
        <f t="shared" ref="BH254:BH262" si="37">IF(N254="sníž. přenesená",J254,0)</f>
        <v>0</v>
      </c>
      <c r="BI254" s="104">
        <f t="shared" ref="BI254:BI262" si="38">IF(N254="nulová",J254,0)</f>
        <v>0</v>
      </c>
      <c r="BJ254" s="23" t="s">
        <v>85</v>
      </c>
      <c r="BK254" s="104">
        <f t="shared" ref="BK254:BK262" si="39">ROUND(I254*H254,2)</f>
        <v>80000</v>
      </c>
      <c r="BL254" s="23" t="s">
        <v>446</v>
      </c>
      <c r="BM254" s="101" t="s">
        <v>1401</v>
      </c>
    </row>
    <row r="255" spans="2:65" s="1" customFormat="1" ht="24.15" customHeight="1">
      <c r="B255" s="12"/>
      <c r="C255" s="71" t="s">
        <v>883</v>
      </c>
      <c r="D255" s="71" t="s">
        <v>214</v>
      </c>
      <c r="E255" s="72" t="s">
        <v>4061</v>
      </c>
      <c r="F255" s="73" t="s">
        <v>5408</v>
      </c>
      <c r="G255" s="74" t="s">
        <v>808</v>
      </c>
      <c r="H255" s="75">
        <v>16</v>
      </c>
      <c r="I255" s="90">
        <v>600</v>
      </c>
      <c r="J255" s="91">
        <f t="shared" si="30"/>
        <v>9600</v>
      </c>
      <c r="K255" s="92"/>
      <c r="L255" s="12"/>
      <c r="M255" s="93" t="s">
        <v>1</v>
      </c>
      <c r="N255" s="94" t="s">
        <v>42</v>
      </c>
      <c r="P255" s="95">
        <f t="shared" si="31"/>
        <v>0</v>
      </c>
      <c r="Q255" s="95">
        <v>0</v>
      </c>
      <c r="R255" s="95">
        <f t="shared" si="32"/>
        <v>0</v>
      </c>
      <c r="S255" s="95">
        <v>0</v>
      </c>
      <c r="T255" s="99">
        <f t="shared" si="33"/>
        <v>0</v>
      </c>
      <c r="AR255" s="101" t="s">
        <v>446</v>
      </c>
      <c r="AT255" s="101" t="s">
        <v>214</v>
      </c>
      <c r="AU255" s="101" t="s">
        <v>87</v>
      </c>
      <c r="AY255" s="23" t="s">
        <v>211</v>
      </c>
      <c r="BE255" s="104">
        <f t="shared" si="34"/>
        <v>9600</v>
      </c>
      <c r="BF255" s="104">
        <f t="shared" si="35"/>
        <v>0</v>
      </c>
      <c r="BG255" s="104">
        <f t="shared" si="36"/>
        <v>0</v>
      </c>
      <c r="BH255" s="104">
        <f t="shared" si="37"/>
        <v>0</v>
      </c>
      <c r="BI255" s="104">
        <f t="shared" si="38"/>
        <v>0</v>
      </c>
      <c r="BJ255" s="23" t="s">
        <v>85</v>
      </c>
      <c r="BK255" s="104">
        <f t="shared" si="39"/>
        <v>9600</v>
      </c>
      <c r="BL255" s="23" t="s">
        <v>446</v>
      </c>
      <c r="BM255" s="101" t="s">
        <v>1408</v>
      </c>
    </row>
    <row r="256" spans="2:65" s="1" customFormat="1" ht="24.15" customHeight="1">
      <c r="B256" s="12"/>
      <c r="C256" s="71" t="s">
        <v>895</v>
      </c>
      <c r="D256" s="71" t="s">
        <v>214</v>
      </c>
      <c r="E256" s="72" t="s">
        <v>4063</v>
      </c>
      <c r="F256" s="73" t="s">
        <v>5409</v>
      </c>
      <c r="G256" s="74" t="s">
        <v>808</v>
      </c>
      <c r="H256" s="75">
        <v>160</v>
      </c>
      <c r="I256" s="90">
        <v>500</v>
      </c>
      <c r="J256" s="91">
        <f t="shared" si="30"/>
        <v>80000</v>
      </c>
      <c r="K256" s="92"/>
      <c r="L256" s="12"/>
      <c r="M256" s="93" t="s">
        <v>1</v>
      </c>
      <c r="N256" s="94" t="s">
        <v>42</v>
      </c>
      <c r="P256" s="95">
        <f t="shared" si="31"/>
        <v>0</v>
      </c>
      <c r="Q256" s="95">
        <v>0</v>
      </c>
      <c r="R256" s="95">
        <f t="shared" si="32"/>
        <v>0</v>
      </c>
      <c r="S256" s="95">
        <v>0</v>
      </c>
      <c r="T256" s="99">
        <f t="shared" si="33"/>
        <v>0</v>
      </c>
      <c r="AR256" s="101" t="s">
        <v>446</v>
      </c>
      <c r="AT256" s="101" t="s">
        <v>214</v>
      </c>
      <c r="AU256" s="101" t="s">
        <v>87</v>
      </c>
      <c r="AY256" s="23" t="s">
        <v>211</v>
      </c>
      <c r="BE256" s="104">
        <f t="shared" si="34"/>
        <v>80000</v>
      </c>
      <c r="BF256" s="104">
        <f t="shared" si="35"/>
        <v>0</v>
      </c>
      <c r="BG256" s="104">
        <f t="shared" si="36"/>
        <v>0</v>
      </c>
      <c r="BH256" s="104">
        <f t="shared" si="37"/>
        <v>0</v>
      </c>
      <c r="BI256" s="104">
        <f t="shared" si="38"/>
        <v>0</v>
      </c>
      <c r="BJ256" s="23" t="s">
        <v>85</v>
      </c>
      <c r="BK256" s="104">
        <f t="shared" si="39"/>
        <v>80000</v>
      </c>
      <c r="BL256" s="23" t="s">
        <v>446</v>
      </c>
      <c r="BM256" s="101" t="s">
        <v>1415</v>
      </c>
    </row>
    <row r="257" spans="2:65" s="1" customFormat="1" ht="24.15" customHeight="1">
      <c r="B257" s="12"/>
      <c r="C257" s="71" t="s">
        <v>905</v>
      </c>
      <c r="D257" s="71" t="s">
        <v>214</v>
      </c>
      <c r="E257" s="72" t="s">
        <v>4065</v>
      </c>
      <c r="F257" s="73" t="s">
        <v>5410</v>
      </c>
      <c r="G257" s="74" t="s">
        <v>444</v>
      </c>
      <c r="H257" s="75">
        <v>160</v>
      </c>
      <c r="I257" s="90">
        <v>400</v>
      </c>
      <c r="J257" s="91">
        <f t="shared" si="30"/>
        <v>64000</v>
      </c>
      <c r="K257" s="92"/>
      <c r="L257" s="12"/>
      <c r="M257" s="93" t="s">
        <v>1</v>
      </c>
      <c r="N257" s="94" t="s">
        <v>42</v>
      </c>
      <c r="P257" s="95">
        <f t="shared" si="31"/>
        <v>0</v>
      </c>
      <c r="Q257" s="95">
        <v>0</v>
      </c>
      <c r="R257" s="95">
        <f t="shared" si="32"/>
        <v>0</v>
      </c>
      <c r="S257" s="95">
        <v>0</v>
      </c>
      <c r="T257" s="99">
        <f t="shared" si="33"/>
        <v>0</v>
      </c>
      <c r="AR257" s="101" t="s">
        <v>446</v>
      </c>
      <c r="AT257" s="101" t="s">
        <v>214</v>
      </c>
      <c r="AU257" s="101" t="s">
        <v>87</v>
      </c>
      <c r="AY257" s="23" t="s">
        <v>211</v>
      </c>
      <c r="BE257" s="104">
        <f t="shared" si="34"/>
        <v>64000</v>
      </c>
      <c r="BF257" s="104">
        <f t="shared" si="35"/>
        <v>0</v>
      </c>
      <c r="BG257" s="104">
        <f t="shared" si="36"/>
        <v>0</v>
      </c>
      <c r="BH257" s="104">
        <f t="shared" si="37"/>
        <v>0</v>
      </c>
      <c r="BI257" s="104">
        <f t="shared" si="38"/>
        <v>0</v>
      </c>
      <c r="BJ257" s="23" t="s">
        <v>85</v>
      </c>
      <c r="BK257" s="104">
        <f t="shared" si="39"/>
        <v>64000</v>
      </c>
      <c r="BL257" s="23" t="s">
        <v>446</v>
      </c>
      <c r="BM257" s="101" t="s">
        <v>1423</v>
      </c>
    </row>
    <row r="258" spans="2:65" s="1" customFormat="1" ht="21.75" customHeight="1">
      <c r="B258" s="12"/>
      <c r="C258" s="71" t="s">
        <v>913</v>
      </c>
      <c r="D258" s="71" t="s">
        <v>214</v>
      </c>
      <c r="E258" s="72" t="s">
        <v>5411</v>
      </c>
      <c r="F258" s="73" t="s">
        <v>5412</v>
      </c>
      <c r="G258" s="74" t="s">
        <v>808</v>
      </c>
      <c r="H258" s="75">
        <v>380</v>
      </c>
      <c r="I258" s="90">
        <v>900</v>
      </c>
      <c r="J258" s="91">
        <f t="shared" si="30"/>
        <v>342000</v>
      </c>
      <c r="K258" s="92"/>
      <c r="L258" s="12"/>
      <c r="M258" s="93" t="s">
        <v>1</v>
      </c>
      <c r="N258" s="94" t="s">
        <v>42</v>
      </c>
      <c r="P258" s="95">
        <f t="shared" si="31"/>
        <v>0</v>
      </c>
      <c r="Q258" s="95">
        <v>0</v>
      </c>
      <c r="R258" s="95">
        <f t="shared" si="32"/>
        <v>0</v>
      </c>
      <c r="S258" s="95">
        <v>0</v>
      </c>
      <c r="T258" s="99">
        <f t="shared" si="33"/>
        <v>0</v>
      </c>
      <c r="AR258" s="101" t="s">
        <v>446</v>
      </c>
      <c r="AT258" s="101" t="s">
        <v>214</v>
      </c>
      <c r="AU258" s="101" t="s">
        <v>87</v>
      </c>
      <c r="AY258" s="23" t="s">
        <v>211</v>
      </c>
      <c r="BE258" s="104">
        <f t="shared" si="34"/>
        <v>342000</v>
      </c>
      <c r="BF258" s="104">
        <f t="shared" si="35"/>
        <v>0</v>
      </c>
      <c r="BG258" s="104">
        <f t="shared" si="36"/>
        <v>0</v>
      </c>
      <c r="BH258" s="104">
        <f t="shared" si="37"/>
        <v>0</v>
      </c>
      <c r="BI258" s="104">
        <f t="shared" si="38"/>
        <v>0</v>
      </c>
      <c r="BJ258" s="23" t="s">
        <v>85</v>
      </c>
      <c r="BK258" s="104">
        <f t="shared" si="39"/>
        <v>342000</v>
      </c>
      <c r="BL258" s="23" t="s">
        <v>446</v>
      </c>
      <c r="BM258" s="101" t="s">
        <v>1433</v>
      </c>
    </row>
    <row r="259" spans="2:65" s="1" customFormat="1" ht="24.15" customHeight="1">
      <c r="B259" s="12"/>
      <c r="C259" s="71" t="s">
        <v>919</v>
      </c>
      <c r="D259" s="71" t="s">
        <v>214</v>
      </c>
      <c r="E259" s="72" t="s">
        <v>4067</v>
      </c>
      <c r="F259" s="73" t="s">
        <v>5413</v>
      </c>
      <c r="G259" s="74" t="s">
        <v>808</v>
      </c>
      <c r="H259" s="75">
        <v>24</v>
      </c>
      <c r="I259" s="90">
        <v>400</v>
      </c>
      <c r="J259" s="91">
        <f t="shared" si="30"/>
        <v>9600</v>
      </c>
      <c r="K259" s="92"/>
      <c r="L259" s="12"/>
      <c r="M259" s="93" t="s">
        <v>1</v>
      </c>
      <c r="N259" s="94" t="s">
        <v>42</v>
      </c>
      <c r="P259" s="95">
        <f t="shared" si="31"/>
        <v>0</v>
      </c>
      <c r="Q259" s="95">
        <v>0</v>
      </c>
      <c r="R259" s="95">
        <f t="shared" si="32"/>
        <v>0</v>
      </c>
      <c r="S259" s="95">
        <v>0</v>
      </c>
      <c r="T259" s="99">
        <f t="shared" si="33"/>
        <v>0</v>
      </c>
      <c r="AR259" s="101" t="s">
        <v>446</v>
      </c>
      <c r="AT259" s="101" t="s">
        <v>214</v>
      </c>
      <c r="AU259" s="101" t="s">
        <v>87</v>
      </c>
      <c r="AY259" s="23" t="s">
        <v>211</v>
      </c>
      <c r="BE259" s="104">
        <f t="shared" si="34"/>
        <v>9600</v>
      </c>
      <c r="BF259" s="104">
        <f t="shared" si="35"/>
        <v>0</v>
      </c>
      <c r="BG259" s="104">
        <f t="shared" si="36"/>
        <v>0</v>
      </c>
      <c r="BH259" s="104">
        <f t="shared" si="37"/>
        <v>0</v>
      </c>
      <c r="BI259" s="104">
        <f t="shared" si="38"/>
        <v>0</v>
      </c>
      <c r="BJ259" s="23" t="s">
        <v>85</v>
      </c>
      <c r="BK259" s="104">
        <f t="shared" si="39"/>
        <v>9600</v>
      </c>
      <c r="BL259" s="23" t="s">
        <v>446</v>
      </c>
      <c r="BM259" s="101" t="s">
        <v>1441</v>
      </c>
    </row>
    <row r="260" spans="2:65" s="1" customFormat="1" ht="24.15" customHeight="1">
      <c r="B260" s="12"/>
      <c r="C260" s="71" t="s">
        <v>927</v>
      </c>
      <c r="D260" s="71" t="s">
        <v>214</v>
      </c>
      <c r="E260" s="72" t="s">
        <v>4069</v>
      </c>
      <c r="F260" s="73" t="s">
        <v>5414</v>
      </c>
      <c r="G260" s="74" t="s">
        <v>808</v>
      </c>
      <c r="H260" s="75">
        <v>760</v>
      </c>
      <c r="I260" s="90">
        <v>400</v>
      </c>
      <c r="J260" s="91">
        <f t="shared" si="30"/>
        <v>304000</v>
      </c>
      <c r="K260" s="92"/>
      <c r="L260" s="12"/>
      <c r="M260" s="93" t="s">
        <v>1</v>
      </c>
      <c r="N260" s="94" t="s">
        <v>42</v>
      </c>
      <c r="P260" s="95">
        <f t="shared" si="31"/>
        <v>0</v>
      </c>
      <c r="Q260" s="95">
        <v>0</v>
      </c>
      <c r="R260" s="95">
        <f t="shared" si="32"/>
        <v>0</v>
      </c>
      <c r="S260" s="95">
        <v>0</v>
      </c>
      <c r="T260" s="99">
        <f t="shared" si="33"/>
        <v>0</v>
      </c>
      <c r="AR260" s="101" t="s">
        <v>446</v>
      </c>
      <c r="AT260" s="101" t="s">
        <v>214</v>
      </c>
      <c r="AU260" s="101" t="s">
        <v>87</v>
      </c>
      <c r="AY260" s="23" t="s">
        <v>211</v>
      </c>
      <c r="BE260" s="104">
        <f t="shared" si="34"/>
        <v>304000</v>
      </c>
      <c r="BF260" s="104">
        <f t="shared" si="35"/>
        <v>0</v>
      </c>
      <c r="BG260" s="104">
        <f t="shared" si="36"/>
        <v>0</v>
      </c>
      <c r="BH260" s="104">
        <f t="shared" si="37"/>
        <v>0</v>
      </c>
      <c r="BI260" s="104">
        <f t="shared" si="38"/>
        <v>0</v>
      </c>
      <c r="BJ260" s="23" t="s">
        <v>85</v>
      </c>
      <c r="BK260" s="104">
        <f t="shared" si="39"/>
        <v>304000</v>
      </c>
      <c r="BL260" s="23" t="s">
        <v>446</v>
      </c>
      <c r="BM260" s="101" t="s">
        <v>1449</v>
      </c>
    </row>
    <row r="261" spans="2:65" s="1" customFormat="1" ht="24.15" customHeight="1">
      <c r="B261" s="12"/>
      <c r="C261" s="71" t="s">
        <v>935</v>
      </c>
      <c r="D261" s="71" t="s">
        <v>214</v>
      </c>
      <c r="E261" s="72" t="s">
        <v>4071</v>
      </c>
      <c r="F261" s="73" t="s">
        <v>5415</v>
      </c>
      <c r="G261" s="74" t="s">
        <v>444</v>
      </c>
      <c r="H261" s="75">
        <v>760</v>
      </c>
      <c r="I261" s="90">
        <v>400</v>
      </c>
      <c r="J261" s="91">
        <f t="shared" si="30"/>
        <v>304000</v>
      </c>
      <c r="K261" s="92"/>
      <c r="L261" s="12"/>
      <c r="M261" s="93" t="s">
        <v>1</v>
      </c>
      <c r="N261" s="94" t="s">
        <v>42</v>
      </c>
      <c r="P261" s="95">
        <f t="shared" si="31"/>
        <v>0</v>
      </c>
      <c r="Q261" s="95">
        <v>0</v>
      </c>
      <c r="R261" s="95">
        <f t="shared" si="32"/>
        <v>0</v>
      </c>
      <c r="S261" s="95">
        <v>0</v>
      </c>
      <c r="T261" s="99">
        <f t="shared" si="33"/>
        <v>0</v>
      </c>
      <c r="AR261" s="101" t="s">
        <v>446</v>
      </c>
      <c r="AT261" s="101" t="s">
        <v>214</v>
      </c>
      <c r="AU261" s="101" t="s">
        <v>87</v>
      </c>
      <c r="AY261" s="23" t="s">
        <v>211</v>
      </c>
      <c r="BE261" s="104">
        <f t="shared" si="34"/>
        <v>304000</v>
      </c>
      <c r="BF261" s="104">
        <f t="shared" si="35"/>
        <v>0</v>
      </c>
      <c r="BG261" s="104">
        <f t="shared" si="36"/>
        <v>0</v>
      </c>
      <c r="BH261" s="104">
        <f t="shared" si="37"/>
        <v>0</v>
      </c>
      <c r="BI261" s="104">
        <f t="shared" si="38"/>
        <v>0</v>
      </c>
      <c r="BJ261" s="23" t="s">
        <v>85</v>
      </c>
      <c r="BK261" s="104">
        <f t="shared" si="39"/>
        <v>304000</v>
      </c>
      <c r="BL261" s="23" t="s">
        <v>446</v>
      </c>
      <c r="BM261" s="101" t="s">
        <v>1457</v>
      </c>
    </row>
    <row r="262" spans="2:65" s="1" customFormat="1" ht="24.15" customHeight="1">
      <c r="B262" s="12"/>
      <c r="C262" s="71" t="s">
        <v>942</v>
      </c>
      <c r="D262" s="71" t="s">
        <v>214</v>
      </c>
      <c r="E262" s="72" t="s">
        <v>4073</v>
      </c>
      <c r="F262" s="73" t="s">
        <v>5416</v>
      </c>
      <c r="G262" s="74" t="s">
        <v>808</v>
      </c>
      <c r="H262" s="75">
        <v>32</v>
      </c>
      <c r="I262" s="90">
        <v>2000</v>
      </c>
      <c r="J262" s="91">
        <f t="shared" si="30"/>
        <v>64000</v>
      </c>
      <c r="K262" s="92"/>
      <c r="L262" s="12"/>
      <c r="M262" s="93" t="s">
        <v>1</v>
      </c>
      <c r="N262" s="94" t="s">
        <v>42</v>
      </c>
      <c r="P262" s="95">
        <f t="shared" si="31"/>
        <v>0</v>
      </c>
      <c r="Q262" s="95">
        <v>0</v>
      </c>
      <c r="R262" s="95">
        <f t="shared" si="32"/>
        <v>0</v>
      </c>
      <c r="S262" s="95">
        <v>0</v>
      </c>
      <c r="T262" s="99">
        <f t="shared" si="33"/>
        <v>0</v>
      </c>
      <c r="AR262" s="101" t="s">
        <v>446</v>
      </c>
      <c r="AT262" s="101" t="s">
        <v>214</v>
      </c>
      <c r="AU262" s="101" t="s">
        <v>87</v>
      </c>
      <c r="AY262" s="23" t="s">
        <v>211</v>
      </c>
      <c r="BE262" s="104">
        <f t="shared" si="34"/>
        <v>64000</v>
      </c>
      <c r="BF262" s="104">
        <f t="shared" si="35"/>
        <v>0</v>
      </c>
      <c r="BG262" s="104">
        <f t="shared" si="36"/>
        <v>0</v>
      </c>
      <c r="BH262" s="104">
        <f t="shared" si="37"/>
        <v>0</v>
      </c>
      <c r="BI262" s="104">
        <f t="shared" si="38"/>
        <v>0</v>
      </c>
      <c r="BJ262" s="23" t="s">
        <v>85</v>
      </c>
      <c r="BK262" s="104">
        <f t="shared" si="39"/>
        <v>64000</v>
      </c>
      <c r="BL262" s="23" t="s">
        <v>446</v>
      </c>
      <c r="BM262" s="101" t="s">
        <v>1466</v>
      </c>
    </row>
    <row r="263" spans="2:65" s="31" customFormat="1" ht="23.1" customHeight="1">
      <c r="B263" s="67"/>
      <c r="D263" s="68" t="s">
        <v>76</v>
      </c>
      <c r="E263" s="70" t="s">
        <v>3858</v>
      </c>
      <c r="F263" s="70" t="s">
        <v>3917</v>
      </c>
      <c r="I263" s="85"/>
      <c r="J263" s="89">
        <f>BK263</f>
        <v>30000</v>
      </c>
      <c r="L263" s="67"/>
      <c r="M263" s="87"/>
      <c r="P263" s="88">
        <f>P264</f>
        <v>0</v>
      </c>
      <c r="R263" s="88">
        <f>R264</f>
        <v>0</v>
      </c>
      <c r="T263" s="98">
        <f>T264</f>
        <v>0</v>
      </c>
      <c r="AR263" s="68" t="s">
        <v>85</v>
      </c>
      <c r="AT263" s="100" t="s">
        <v>76</v>
      </c>
      <c r="AU263" s="100" t="s">
        <v>85</v>
      </c>
      <c r="AY263" s="68" t="s">
        <v>211</v>
      </c>
      <c r="BK263" s="103">
        <f>BK264</f>
        <v>30000</v>
      </c>
    </row>
    <row r="264" spans="2:65" s="1" customFormat="1" ht="16.5" customHeight="1">
      <c r="B264" s="12"/>
      <c r="C264" s="71" t="s">
        <v>950</v>
      </c>
      <c r="D264" s="71" t="s">
        <v>214</v>
      </c>
      <c r="E264" s="72" t="s">
        <v>4075</v>
      </c>
      <c r="F264" s="73" t="s">
        <v>5341</v>
      </c>
      <c r="G264" s="74" t="s">
        <v>4204</v>
      </c>
      <c r="H264" s="75">
        <v>100</v>
      </c>
      <c r="I264" s="90">
        <v>300</v>
      </c>
      <c r="J264" s="91">
        <f>ROUND(I264*H264,2)</f>
        <v>30000</v>
      </c>
      <c r="K264" s="92"/>
      <c r="L264" s="12"/>
      <c r="M264" s="130" t="s">
        <v>1</v>
      </c>
      <c r="N264" s="131" t="s">
        <v>42</v>
      </c>
      <c r="O264" s="110"/>
      <c r="P264" s="132">
        <f>O264*H264</f>
        <v>0</v>
      </c>
      <c r="Q264" s="132">
        <v>0</v>
      </c>
      <c r="R264" s="132">
        <f>Q264*H264</f>
        <v>0</v>
      </c>
      <c r="S264" s="132">
        <v>0</v>
      </c>
      <c r="T264" s="134">
        <f>S264*H264</f>
        <v>0</v>
      </c>
      <c r="AR264" s="101" t="s">
        <v>446</v>
      </c>
      <c r="AT264" s="101" t="s">
        <v>214</v>
      </c>
      <c r="AU264" s="101" t="s">
        <v>87</v>
      </c>
      <c r="AY264" s="23" t="s">
        <v>211</v>
      </c>
      <c r="BE264" s="104">
        <f>IF(N264="základní",J264,0)</f>
        <v>30000</v>
      </c>
      <c r="BF264" s="104">
        <f>IF(N264="snížená",J264,0)</f>
        <v>0</v>
      </c>
      <c r="BG264" s="104">
        <f>IF(N264="zákl. přenesená",J264,0)</f>
        <v>0</v>
      </c>
      <c r="BH264" s="104">
        <f>IF(N264="sníž. přenesená",J264,0)</f>
        <v>0</v>
      </c>
      <c r="BI264" s="104">
        <f>IF(N264="nulová",J264,0)</f>
        <v>0</v>
      </c>
      <c r="BJ264" s="23" t="s">
        <v>85</v>
      </c>
      <c r="BK264" s="104">
        <f>ROUND(I264*H264,2)</f>
        <v>30000</v>
      </c>
      <c r="BL264" s="23" t="s">
        <v>446</v>
      </c>
      <c r="BM264" s="101" t="s">
        <v>1475</v>
      </c>
    </row>
    <row r="265" spans="2:65" s="1" customFormat="1" ht="6.9" customHeight="1">
      <c r="B265" s="26"/>
      <c r="C265" s="27"/>
      <c r="D265" s="27"/>
      <c r="E265" s="27"/>
      <c r="F265" s="27"/>
      <c r="G265" s="27"/>
      <c r="H265" s="27"/>
      <c r="I265" s="27"/>
      <c r="J265" s="27"/>
      <c r="K265" s="27"/>
      <c r="L265" s="12"/>
    </row>
  </sheetData>
  <autoFilter ref="C146:K264" xr:uid="{00000000-0009-0000-0000-00000B000000}"/>
  <mergeCells count="12">
    <mergeCell ref="L2:V2"/>
    <mergeCell ref="E7:H7"/>
    <mergeCell ref="E9:H9"/>
    <mergeCell ref="E11:H11"/>
    <mergeCell ref="E20:H20"/>
    <mergeCell ref="E137:H137"/>
    <mergeCell ref="E139:H139"/>
    <mergeCell ref="E29:H29"/>
    <mergeCell ref="E85:H85"/>
    <mergeCell ref="E87:H87"/>
    <mergeCell ref="E89:H89"/>
    <mergeCell ref="E135:H135"/>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2:BM129"/>
  <sheetViews>
    <sheetView showGridLines="0" topLeftCell="A115" workbookViewId="0">
      <selection activeCell="I129" sqref="I129"/>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125</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2" customHeight="1">
      <c r="B8" s="5"/>
      <c r="D8" s="10" t="s">
        <v>182</v>
      </c>
      <c r="L8" s="5"/>
    </row>
    <row r="9" spans="2:46" s="1" customFormat="1" ht="16.5" customHeight="1">
      <c r="B9" s="12"/>
      <c r="E9" s="392" t="s">
        <v>293</v>
      </c>
      <c r="F9" s="394"/>
      <c r="G9" s="394"/>
      <c r="H9" s="394"/>
      <c r="L9" s="12"/>
    </row>
    <row r="10" spans="2:46" s="1" customFormat="1" ht="12" customHeight="1">
      <c r="B10" s="12"/>
      <c r="D10" s="10" t="s">
        <v>296</v>
      </c>
      <c r="L10" s="12"/>
    </row>
    <row r="11" spans="2:46" s="1" customFormat="1" ht="16.5" customHeight="1">
      <c r="B11" s="12"/>
      <c r="E11" s="381" t="s">
        <v>5417</v>
      </c>
      <c r="F11" s="394"/>
      <c r="G11" s="394"/>
      <c r="H11" s="394"/>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395" t="str">
        <f>'Rekapitulace stavby'!E14</f>
        <v>DMG Stav a.s.</v>
      </c>
      <c r="F20" s="384"/>
      <c r="G20" s="384"/>
      <c r="H20" s="384"/>
      <c r="I20" s="10" t="s">
        <v>26</v>
      </c>
      <c r="J20" s="33" t="str">
        <f>'Rekapitulace stavby'!AN14</f>
        <v>CZ 08004013</v>
      </c>
      <c r="L20" s="12"/>
    </row>
    <row r="21" spans="2:12" s="1" customFormat="1" ht="6.9"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 customHeight="1">
      <c r="B27" s="12"/>
      <c r="L27" s="12"/>
    </row>
    <row r="28" spans="2:12" s="1" customFormat="1" ht="12" customHeight="1">
      <c r="B28" s="12"/>
      <c r="D28" s="10" t="s">
        <v>36</v>
      </c>
      <c r="L28" s="12"/>
    </row>
    <row r="29" spans="2:12" s="28" customFormat="1" ht="16.5" customHeight="1">
      <c r="B29" s="34"/>
      <c r="E29" s="388" t="s">
        <v>1</v>
      </c>
      <c r="F29" s="388"/>
      <c r="G29" s="388"/>
      <c r="H29" s="388"/>
      <c r="L29" s="34"/>
    </row>
    <row r="30" spans="2:12" s="1" customFormat="1" ht="6.9" customHeight="1">
      <c r="B30" s="12"/>
      <c r="L30" s="12"/>
    </row>
    <row r="31" spans="2:12" s="1" customFormat="1" ht="6.9" customHeight="1">
      <c r="B31" s="12"/>
      <c r="D31" s="35"/>
      <c r="E31" s="35"/>
      <c r="F31" s="35"/>
      <c r="G31" s="35"/>
      <c r="H31" s="35"/>
      <c r="I31" s="35"/>
      <c r="J31" s="35"/>
      <c r="K31" s="35"/>
      <c r="L31" s="12"/>
    </row>
    <row r="32" spans="2:12" s="1" customFormat="1" ht="25.35" customHeight="1">
      <c r="B32" s="12"/>
      <c r="D32" s="36" t="s">
        <v>37</v>
      </c>
      <c r="J32" s="51">
        <f>ROUND(J122,2)</f>
        <v>4200000</v>
      </c>
      <c r="L32" s="12"/>
    </row>
    <row r="33" spans="2:12" s="1" customFormat="1" ht="6.9" customHeight="1">
      <c r="B33" s="12"/>
      <c r="D33" s="35"/>
      <c r="E33" s="35"/>
      <c r="F33" s="35"/>
      <c r="G33" s="35"/>
      <c r="H33" s="35"/>
      <c r="I33" s="35"/>
      <c r="J33" s="35"/>
      <c r="K33" s="35"/>
      <c r="L33" s="12"/>
    </row>
    <row r="34" spans="2:12" s="1" customFormat="1" ht="14.4" customHeight="1">
      <c r="B34" s="12"/>
      <c r="F34" s="37" t="s">
        <v>39</v>
      </c>
      <c r="I34" s="37" t="s">
        <v>38</v>
      </c>
      <c r="J34" s="37" t="s">
        <v>40</v>
      </c>
      <c r="L34" s="12"/>
    </row>
    <row r="35" spans="2:12" s="1" customFormat="1" ht="14.4" customHeight="1">
      <c r="B35" s="12"/>
      <c r="D35" s="38" t="s">
        <v>41</v>
      </c>
      <c r="E35" s="10" t="s">
        <v>42</v>
      </c>
      <c r="F35" s="39">
        <f>ROUND((SUM(BE122:BE128)),2)</f>
        <v>4200000</v>
      </c>
      <c r="I35" s="52">
        <v>0.21</v>
      </c>
      <c r="J35" s="39">
        <f>ROUND(((SUM(BE122:BE128))*I35),2)</f>
        <v>882000</v>
      </c>
      <c r="L35" s="12"/>
    </row>
    <row r="36" spans="2:12" s="1" customFormat="1" ht="14.4" customHeight="1">
      <c r="B36" s="12"/>
      <c r="E36" s="10" t="s">
        <v>43</v>
      </c>
      <c r="F36" s="39">
        <f>ROUND((SUM(BF122:BF128)),2)</f>
        <v>0</v>
      </c>
      <c r="I36" s="52">
        <v>0.15</v>
      </c>
      <c r="J36" s="39">
        <f>ROUND(((SUM(BF122:BF128))*I36),2)</f>
        <v>0</v>
      </c>
      <c r="L36" s="12"/>
    </row>
    <row r="37" spans="2:12" s="1" customFormat="1" ht="14.4" hidden="1" customHeight="1">
      <c r="B37" s="12"/>
      <c r="E37" s="10" t="s">
        <v>44</v>
      </c>
      <c r="F37" s="39">
        <f>ROUND((SUM(BG122:BG128)),2)</f>
        <v>0</v>
      </c>
      <c r="I37" s="52">
        <v>0.21</v>
      </c>
      <c r="J37" s="39">
        <f>0</f>
        <v>0</v>
      </c>
      <c r="L37" s="12"/>
    </row>
    <row r="38" spans="2:12" s="1" customFormat="1" ht="14.4" hidden="1" customHeight="1">
      <c r="B38" s="12"/>
      <c r="E38" s="10" t="s">
        <v>45</v>
      </c>
      <c r="F38" s="39">
        <f>ROUND((SUM(BH122:BH128)),2)</f>
        <v>0</v>
      </c>
      <c r="I38" s="52">
        <v>0.15</v>
      </c>
      <c r="J38" s="39">
        <f>0</f>
        <v>0</v>
      </c>
      <c r="L38" s="12"/>
    </row>
    <row r="39" spans="2:12" s="1" customFormat="1" ht="14.4" hidden="1" customHeight="1">
      <c r="B39" s="12"/>
      <c r="E39" s="10" t="s">
        <v>46</v>
      </c>
      <c r="F39" s="39">
        <f>ROUND((SUM(BI122:BI128)),2)</f>
        <v>0</v>
      </c>
      <c r="I39" s="52">
        <v>0</v>
      </c>
      <c r="J39" s="39">
        <f>0</f>
        <v>0</v>
      </c>
      <c r="L39" s="12"/>
    </row>
    <row r="40" spans="2:12" s="1" customFormat="1" ht="6.9" customHeight="1">
      <c r="B40" s="12"/>
      <c r="L40" s="12"/>
    </row>
    <row r="41" spans="2:12" s="1" customFormat="1" ht="25.35" customHeight="1">
      <c r="B41" s="12"/>
      <c r="C41" s="40"/>
      <c r="D41" s="41" t="s">
        <v>47</v>
      </c>
      <c r="E41" s="42"/>
      <c r="F41" s="42"/>
      <c r="G41" s="43" t="s">
        <v>48</v>
      </c>
      <c r="H41" s="44" t="s">
        <v>49</v>
      </c>
      <c r="I41" s="42"/>
      <c r="J41" s="53">
        <f>SUM(J32:J39)</f>
        <v>5082000</v>
      </c>
      <c r="K41" s="54"/>
      <c r="L41" s="12"/>
    </row>
    <row r="42" spans="2:12" s="1" customFormat="1" ht="14.4" customHeight="1">
      <c r="B42" s="12"/>
      <c r="L42" s="12"/>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s="1" customFormat="1" ht="16.5" customHeight="1">
      <c r="B87" s="12"/>
      <c r="E87" s="392" t="s">
        <v>293</v>
      </c>
      <c r="F87" s="394"/>
      <c r="G87" s="394"/>
      <c r="H87" s="394"/>
      <c r="L87" s="12"/>
    </row>
    <row r="88" spans="2:12" s="1" customFormat="1" ht="12" customHeight="1">
      <c r="B88" s="12"/>
      <c r="C88" s="10" t="s">
        <v>296</v>
      </c>
      <c r="L88" s="12"/>
    </row>
    <row r="89" spans="2:12" s="1" customFormat="1" ht="16.5" customHeight="1">
      <c r="B89" s="12"/>
      <c r="E89" s="381" t="str">
        <f>E11</f>
        <v>D1.901 - Osobní výtahy</v>
      </c>
      <c r="F89" s="394"/>
      <c r="G89" s="394"/>
      <c r="H89" s="394"/>
      <c r="L89" s="12"/>
    </row>
    <row r="90" spans="2:12" s="1" customFormat="1" ht="6.9" customHeight="1">
      <c r="B90" s="12"/>
      <c r="L90" s="12"/>
    </row>
    <row r="91" spans="2:12" s="1" customFormat="1" ht="12" customHeight="1">
      <c r="B91" s="12"/>
      <c r="C91" s="10" t="s">
        <v>20</v>
      </c>
      <c r="F91" s="32" t="str">
        <f>F14</f>
        <v>Praha</v>
      </c>
      <c r="I91" s="10" t="s">
        <v>22</v>
      </c>
      <c r="J91" s="11">
        <f>IF(J14="","",J14)</f>
        <v>45000</v>
      </c>
      <c r="L91" s="12"/>
    </row>
    <row r="92" spans="2:12" s="1" customFormat="1" ht="6.9" customHeight="1">
      <c r="B92" s="12"/>
      <c r="L92" s="12"/>
    </row>
    <row r="93" spans="2:12" s="1" customFormat="1" ht="15.15" customHeight="1">
      <c r="B93" s="12"/>
      <c r="C93" s="10" t="s">
        <v>23</v>
      </c>
      <c r="F93" s="32" t="str">
        <f>E17</f>
        <v>VELTON REAL ESTATE</v>
      </c>
      <c r="I93" s="10" t="s">
        <v>31</v>
      </c>
      <c r="J93" s="8" t="str">
        <f>E23</f>
        <v>ABMV World s.r.o</v>
      </c>
      <c r="L93" s="12"/>
    </row>
    <row r="94" spans="2:12" s="1" customFormat="1" ht="15.15"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J122</f>
        <v>4200000</v>
      </c>
      <c r="L98" s="12"/>
      <c r="AU98" s="23" t="s">
        <v>188</v>
      </c>
    </row>
    <row r="99" spans="2:47" s="29" customFormat="1" ht="24.9" customHeight="1">
      <c r="B99" s="60"/>
      <c r="D99" s="61" t="s">
        <v>5418</v>
      </c>
      <c r="E99" s="62"/>
      <c r="F99" s="62"/>
      <c r="G99" s="62"/>
      <c r="H99" s="62"/>
      <c r="I99" s="62"/>
      <c r="J99" s="77">
        <f>J123</f>
        <v>4200000</v>
      </c>
      <c r="L99" s="60"/>
    </row>
    <row r="100" spans="2:47" s="30" customFormat="1" ht="20.100000000000001" customHeight="1">
      <c r="B100" s="63"/>
      <c r="D100" s="64" t="s">
        <v>5419</v>
      </c>
      <c r="E100" s="65"/>
      <c r="F100" s="65"/>
      <c r="G100" s="65"/>
      <c r="H100" s="65"/>
      <c r="I100" s="65"/>
      <c r="J100" s="78">
        <f>J124</f>
        <v>4200000</v>
      </c>
      <c r="L100" s="63"/>
    </row>
    <row r="101" spans="2:47" s="1" customFormat="1" ht="21.75" customHeight="1">
      <c r="B101" s="12"/>
      <c r="L101" s="12"/>
    </row>
    <row r="102" spans="2:47" s="1" customFormat="1" ht="6.9" customHeight="1">
      <c r="B102" s="26"/>
      <c r="C102" s="27"/>
      <c r="D102" s="27"/>
      <c r="E102" s="27"/>
      <c r="F102" s="27"/>
      <c r="G102" s="27"/>
      <c r="H102" s="27"/>
      <c r="I102" s="27"/>
      <c r="J102" s="27"/>
      <c r="K102" s="27"/>
      <c r="L102" s="12"/>
    </row>
    <row r="106" spans="2:47" s="1" customFormat="1" ht="6.9" customHeight="1">
      <c r="B106" s="56"/>
      <c r="C106" s="57"/>
      <c r="D106" s="57"/>
      <c r="E106" s="57"/>
      <c r="F106" s="57"/>
      <c r="G106" s="57"/>
      <c r="H106" s="57"/>
      <c r="I106" s="57"/>
      <c r="J106" s="57"/>
      <c r="K106" s="57"/>
      <c r="L106" s="12"/>
    </row>
    <row r="107" spans="2:47" s="1" customFormat="1" ht="24.9" customHeight="1">
      <c r="B107" s="12"/>
      <c r="C107" s="6" t="s">
        <v>195</v>
      </c>
      <c r="L107" s="12"/>
    </row>
    <row r="108" spans="2:47" s="1" customFormat="1" ht="6.9" customHeight="1">
      <c r="B108" s="12"/>
      <c r="L108" s="12"/>
    </row>
    <row r="109" spans="2:47" s="1" customFormat="1" ht="12" customHeight="1">
      <c r="B109" s="12"/>
      <c r="C109" s="10" t="s">
        <v>16</v>
      </c>
      <c r="L109" s="12"/>
    </row>
    <row r="110" spans="2:47" s="1" customFormat="1" ht="16.5" customHeight="1">
      <c r="B110" s="12"/>
      <c r="E110" s="392" t="str">
        <f>E7</f>
        <v>Bytový soubor Libuše</v>
      </c>
      <c r="F110" s="393"/>
      <c r="G110" s="393"/>
      <c r="H110" s="393"/>
      <c r="L110" s="12"/>
    </row>
    <row r="111" spans="2:47" ht="12" customHeight="1">
      <c r="B111" s="5"/>
      <c r="C111" s="10" t="s">
        <v>182</v>
      </c>
      <c r="L111" s="5"/>
    </row>
    <row r="112" spans="2:47" s="1" customFormat="1" ht="16.5" customHeight="1">
      <c r="B112" s="12"/>
      <c r="E112" s="392" t="s">
        <v>293</v>
      </c>
      <c r="F112" s="394"/>
      <c r="G112" s="394"/>
      <c r="H112" s="394"/>
      <c r="L112" s="12"/>
    </row>
    <row r="113" spans="2:65" s="1" customFormat="1" ht="12" customHeight="1">
      <c r="B113" s="12"/>
      <c r="C113" s="10" t="s">
        <v>296</v>
      </c>
      <c r="L113" s="12"/>
    </row>
    <row r="114" spans="2:65" s="1" customFormat="1" ht="16.5" customHeight="1">
      <c r="B114" s="12"/>
      <c r="E114" s="381" t="str">
        <f>E11</f>
        <v>D1.901 - Osobní výtahy</v>
      </c>
      <c r="F114" s="394"/>
      <c r="G114" s="394"/>
      <c r="H114" s="394"/>
      <c r="L114" s="12"/>
    </row>
    <row r="115" spans="2:65" s="1" customFormat="1" ht="6.9" customHeight="1">
      <c r="B115" s="12"/>
      <c r="L115" s="12"/>
    </row>
    <row r="116" spans="2:65" s="1" customFormat="1" ht="12" customHeight="1">
      <c r="B116" s="12"/>
      <c r="C116" s="10" t="s">
        <v>20</v>
      </c>
      <c r="F116" s="32" t="str">
        <f>F14</f>
        <v>Praha</v>
      </c>
      <c r="I116" s="10" t="s">
        <v>22</v>
      </c>
      <c r="J116" s="11">
        <f>IF(J14="","",J14)</f>
        <v>45000</v>
      </c>
      <c r="L116" s="12"/>
    </row>
    <row r="117" spans="2:65" s="1" customFormat="1" ht="6.9" customHeight="1">
      <c r="B117" s="12"/>
      <c r="L117" s="12"/>
    </row>
    <row r="118" spans="2:65" s="1" customFormat="1" ht="15.15" customHeight="1">
      <c r="B118" s="12"/>
      <c r="C118" s="10" t="s">
        <v>23</v>
      </c>
      <c r="F118" s="32" t="str">
        <f>E17</f>
        <v>VELTON REAL ESTATE</v>
      </c>
      <c r="I118" s="10" t="s">
        <v>31</v>
      </c>
      <c r="J118" s="8" t="str">
        <f>E23</f>
        <v>ABMV World s.r.o</v>
      </c>
      <c r="L118" s="12"/>
    </row>
    <row r="119" spans="2:65" s="1" customFormat="1" ht="15.15" customHeight="1">
      <c r="B119" s="12"/>
      <c r="C119" s="10" t="s">
        <v>27</v>
      </c>
      <c r="F119" s="32" t="str">
        <f>IF(E20="","",E20)</f>
        <v>DMG Stav a.s.</v>
      </c>
      <c r="I119" s="10" t="s">
        <v>34</v>
      </c>
      <c r="J119" s="8" t="str">
        <f>E26</f>
        <v>QSB s.r.o.</v>
      </c>
      <c r="L119" s="12"/>
    </row>
    <row r="120" spans="2:65" s="1" customFormat="1" ht="10.35" customHeight="1">
      <c r="B120" s="12"/>
      <c r="L120" s="12"/>
    </row>
    <row r="121" spans="2:65" s="2" customFormat="1" ht="29.25" customHeight="1">
      <c r="B121" s="13"/>
      <c r="C121" s="14" t="s">
        <v>196</v>
      </c>
      <c r="D121" s="15" t="s">
        <v>62</v>
      </c>
      <c r="E121" s="15" t="s">
        <v>58</v>
      </c>
      <c r="F121" s="15" t="s">
        <v>59</v>
      </c>
      <c r="G121" s="15" t="s">
        <v>197</v>
      </c>
      <c r="H121" s="15" t="s">
        <v>198</v>
      </c>
      <c r="I121" s="15" t="s">
        <v>199</v>
      </c>
      <c r="J121" s="16" t="s">
        <v>186</v>
      </c>
      <c r="K121" s="79" t="s">
        <v>200</v>
      </c>
      <c r="L121" s="13"/>
      <c r="M121" s="80" t="s">
        <v>1</v>
      </c>
      <c r="N121" s="81" t="s">
        <v>41</v>
      </c>
      <c r="O121" s="81" t="s">
        <v>201</v>
      </c>
      <c r="P121" s="81" t="s">
        <v>202</v>
      </c>
      <c r="Q121" s="81" t="s">
        <v>203</v>
      </c>
      <c r="R121" s="81" t="s">
        <v>204</v>
      </c>
      <c r="S121" s="81" t="s">
        <v>205</v>
      </c>
      <c r="T121" s="96" t="s">
        <v>206</v>
      </c>
    </row>
    <row r="122" spans="2:65" s="1" customFormat="1" ht="23.1" customHeight="1">
      <c r="B122" s="12"/>
      <c r="C122" s="66" t="s">
        <v>207</v>
      </c>
      <c r="J122" s="82">
        <f>BK122</f>
        <v>4200000</v>
      </c>
      <c r="L122" s="12"/>
      <c r="M122" s="83"/>
      <c r="N122" s="35"/>
      <c r="O122" s="35"/>
      <c r="P122" s="84">
        <f>P123</f>
        <v>0</v>
      </c>
      <c r="Q122" s="35"/>
      <c r="R122" s="84">
        <f>R123</f>
        <v>0</v>
      </c>
      <c r="S122" s="35"/>
      <c r="T122" s="97">
        <f>T123</f>
        <v>0</v>
      </c>
      <c r="AT122" s="23" t="s">
        <v>76</v>
      </c>
      <c r="AU122" s="23" t="s">
        <v>188</v>
      </c>
      <c r="BK122" s="102">
        <f>BK123</f>
        <v>4200000</v>
      </c>
    </row>
    <row r="123" spans="2:65" s="31" customFormat="1" ht="26.1" customHeight="1">
      <c r="B123" s="67"/>
      <c r="D123" s="68" t="s">
        <v>76</v>
      </c>
      <c r="E123" s="69" t="s">
        <v>352</v>
      </c>
      <c r="F123" s="69" t="s">
        <v>5420</v>
      </c>
      <c r="I123" s="85"/>
      <c r="J123" s="86">
        <f>BK123</f>
        <v>4200000</v>
      </c>
      <c r="L123" s="67"/>
      <c r="M123" s="87"/>
      <c r="P123" s="88">
        <f>P124</f>
        <v>0</v>
      </c>
      <c r="R123" s="88">
        <f>R124</f>
        <v>0</v>
      </c>
      <c r="T123" s="98">
        <f>T124</f>
        <v>0</v>
      </c>
      <c r="AR123" s="68" t="s">
        <v>85</v>
      </c>
      <c r="AT123" s="100" t="s">
        <v>76</v>
      </c>
      <c r="AU123" s="100" t="s">
        <v>77</v>
      </c>
      <c r="AY123" s="68" t="s">
        <v>211</v>
      </c>
      <c r="BK123" s="103">
        <f>BK124</f>
        <v>4200000</v>
      </c>
    </row>
    <row r="124" spans="2:65" s="31" customFormat="1" ht="23.1" customHeight="1">
      <c r="B124" s="67"/>
      <c r="D124" s="68" t="s">
        <v>76</v>
      </c>
      <c r="E124" s="70" t="s">
        <v>255</v>
      </c>
      <c r="F124" s="70" t="s">
        <v>124</v>
      </c>
      <c r="I124" s="85"/>
      <c r="J124" s="89">
        <f>BK124</f>
        <v>4200000</v>
      </c>
      <c r="L124" s="67"/>
      <c r="M124" s="87"/>
      <c r="P124" s="88">
        <f>SUM(P125:P128)</f>
        <v>0</v>
      </c>
      <c r="R124" s="88">
        <f>SUM(R125:R128)</f>
        <v>0</v>
      </c>
      <c r="T124" s="98">
        <f>SUM(T125:T128)</f>
        <v>0</v>
      </c>
      <c r="AR124" s="68" t="s">
        <v>85</v>
      </c>
      <c r="AT124" s="100" t="s">
        <v>76</v>
      </c>
      <c r="AU124" s="100" t="s">
        <v>85</v>
      </c>
      <c r="AY124" s="68" t="s">
        <v>211</v>
      </c>
      <c r="BK124" s="103">
        <f>SUM(BK125:BK128)</f>
        <v>4200000</v>
      </c>
    </row>
    <row r="125" spans="2:65" s="1" customFormat="1" ht="16.5" customHeight="1">
      <c r="B125" s="12"/>
      <c r="C125" s="71" t="s">
        <v>85</v>
      </c>
      <c r="D125" s="71" t="s">
        <v>214</v>
      </c>
      <c r="E125" s="72" t="s">
        <v>1647</v>
      </c>
      <c r="F125" s="73" t="s">
        <v>5421</v>
      </c>
      <c r="G125" s="74" t="s">
        <v>808</v>
      </c>
      <c r="H125" s="75">
        <v>1</v>
      </c>
      <c r="I125" s="90">
        <v>1000000</v>
      </c>
      <c r="J125" s="91">
        <f>ROUND(I125*H125,2)</f>
        <v>1000000</v>
      </c>
      <c r="K125" s="92"/>
      <c r="L125" s="12"/>
      <c r="M125" s="93" t="s">
        <v>1</v>
      </c>
      <c r="N125" s="94" t="s">
        <v>42</v>
      </c>
      <c r="P125" s="95">
        <f>O125*H125</f>
        <v>0</v>
      </c>
      <c r="Q125" s="95">
        <v>0</v>
      </c>
      <c r="R125" s="95">
        <f>Q125*H125</f>
        <v>0</v>
      </c>
      <c r="S125" s="95">
        <v>0</v>
      </c>
      <c r="T125" s="99">
        <f>S125*H125</f>
        <v>0</v>
      </c>
      <c r="AR125" s="101" t="s">
        <v>446</v>
      </c>
      <c r="AT125" s="101" t="s">
        <v>214</v>
      </c>
      <c r="AU125" s="101" t="s">
        <v>87</v>
      </c>
      <c r="AY125" s="23" t="s">
        <v>211</v>
      </c>
      <c r="BE125" s="104">
        <f>IF(N125="základní",J125,0)</f>
        <v>1000000</v>
      </c>
      <c r="BF125" s="104">
        <f>IF(N125="snížená",J125,0)</f>
        <v>0</v>
      </c>
      <c r="BG125" s="104">
        <f>IF(N125="zákl. přenesená",J125,0)</f>
        <v>0</v>
      </c>
      <c r="BH125" s="104">
        <f>IF(N125="sníž. přenesená",J125,0)</f>
        <v>0</v>
      </c>
      <c r="BI125" s="104">
        <f>IF(N125="nulová",J125,0)</f>
        <v>0</v>
      </c>
      <c r="BJ125" s="23" t="s">
        <v>85</v>
      </c>
      <c r="BK125" s="104">
        <f>ROUND(I125*H125,2)</f>
        <v>1000000</v>
      </c>
      <c r="BL125" s="23" t="s">
        <v>446</v>
      </c>
      <c r="BM125" s="101" t="s">
        <v>5422</v>
      </c>
    </row>
    <row r="126" spans="2:65" s="1" customFormat="1" ht="16.5" customHeight="1">
      <c r="B126" s="12"/>
      <c r="C126" s="71" t="s">
        <v>87</v>
      </c>
      <c r="D126" s="71" t="s">
        <v>214</v>
      </c>
      <c r="E126" s="72" t="s">
        <v>2654</v>
      </c>
      <c r="F126" s="73" t="s">
        <v>5423</v>
      </c>
      <c r="G126" s="74" t="s">
        <v>808</v>
      </c>
      <c r="H126" s="75">
        <v>1</v>
      </c>
      <c r="I126" s="90">
        <v>1000000</v>
      </c>
      <c r="J126" s="91">
        <f>ROUND(I126*H126,2)</f>
        <v>1000000</v>
      </c>
      <c r="K126" s="92"/>
      <c r="L126" s="12"/>
      <c r="M126" s="93" t="s">
        <v>1</v>
      </c>
      <c r="N126" s="94" t="s">
        <v>42</v>
      </c>
      <c r="P126" s="95">
        <f>O126*H126</f>
        <v>0</v>
      </c>
      <c r="Q126" s="95">
        <v>0</v>
      </c>
      <c r="R126" s="95">
        <f>Q126*H126</f>
        <v>0</v>
      </c>
      <c r="S126" s="95">
        <v>0</v>
      </c>
      <c r="T126" s="99">
        <f>S126*H126</f>
        <v>0</v>
      </c>
      <c r="AR126" s="101" t="s">
        <v>446</v>
      </c>
      <c r="AT126" s="101" t="s">
        <v>214</v>
      </c>
      <c r="AU126" s="101" t="s">
        <v>87</v>
      </c>
      <c r="AY126" s="23" t="s">
        <v>211</v>
      </c>
      <c r="BE126" s="104">
        <f>IF(N126="základní",J126,0)</f>
        <v>1000000</v>
      </c>
      <c r="BF126" s="104">
        <f>IF(N126="snížená",J126,0)</f>
        <v>0</v>
      </c>
      <c r="BG126" s="104">
        <f>IF(N126="zákl. přenesená",J126,0)</f>
        <v>0</v>
      </c>
      <c r="BH126" s="104">
        <f>IF(N126="sníž. přenesená",J126,0)</f>
        <v>0</v>
      </c>
      <c r="BI126" s="104">
        <f>IF(N126="nulová",J126,0)</f>
        <v>0</v>
      </c>
      <c r="BJ126" s="23" t="s">
        <v>85</v>
      </c>
      <c r="BK126" s="104">
        <f>ROUND(I126*H126,2)</f>
        <v>1000000</v>
      </c>
      <c r="BL126" s="23" t="s">
        <v>446</v>
      </c>
      <c r="BM126" s="101" t="s">
        <v>5424</v>
      </c>
    </row>
    <row r="127" spans="2:65" s="1" customFormat="1" ht="16.5" customHeight="1">
      <c r="B127" s="12"/>
      <c r="C127" s="71" t="s">
        <v>137</v>
      </c>
      <c r="D127" s="71" t="s">
        <v>214</v>
      </c>
      <c r="E127" s="72" t="s">
        <v>2728</v>
      </c>
      <c r="F127" s="73" t="s">
        <v>5425</v>
      </c>
      <c r="G127" s="74" t="s">
        <v>808</v>
      </c>
      <c r="H127" s="75">
        <v>1</v>
      </c>
      <c r="I127" s="90">
        <v>1000000</v>
      </c>
      <c r="J127" s="91">
        <f>ROUND(I127*H127,2)</f>
        <v>1000000</v>
      </c>
      <c r="K127" s="92"/>
      <c r="L127" s="12"/>
      <c r="M127" s="93" t="s">
        <v>1</v>
      </c>
      <c r="N127" s="94" t="s">
        <v>42</v>
      </c>
      <c r="P127" s="95">
        <f>O127*H127</f>
        <v>0</v>
      </c>
      <c r="Q127" s="95">
        <v>0</v>
      </c>
      <c r="R127" s="95">
        <f>Q127*H127</f>
        <v>0</v>
      </c>
      <c r="S127" s="95">
        <v>0</v>
      </c>
      <c r="T127" s="99">
        <f>S127*H127</f>
        <v>0</v>
      </c>
      <c r="AR127" s="101" t="s">
        <v>446</v>
      </c>
      <c r="AT127" s="101" t="s">
        <v>214</v>
      </c>
      <c r="AU127" s="101" t="s">
        <v>87</v>
      </c>
      <c r="AY127" s="23" t="s">
        <v>211</v>
      </c>
      <c r="BE127" s="104">
        <f>IF(N127="základní",J127,0)</f>
        <v>1000000</v>
      </c>
      <c r="BF127" s="104">
        <f>IF(N127="snížená",J127,0)</f>
        <v>0</v>
      </c>
      <c r="BG127" s="104">
        <f>IF(N127="zákl. přenesená",J127,0)</f>
        <v>0</v>
      </c>
      <c r="BH127" s="104">
        <f>IF(N127="sníž. přenesená",J127,0)</f>
        <v>0</v>
      </c>
      <c r="BI127" s="104">
        <f>IF(N127="nulová",J127,0)</f>
        <v>0</v>
      </c>
      <c r="BJ127" s="23" t="s">
        <v>85</v>
      </c>
      <c r="BK127" s="104">
        <f>ROUND(I127*H127,2)</f>
        <v>1000000</v>
      </c>
      <c r="BL127" s="23" t="s">
        <v>446</v>
      </c>
      <c r="BM127" s="101" t="s">
        <v>5426</v>
      </c>
    </row>
    <row r="128" spans="2:65" s="1" customFormat="1" ht="16.5" customHeight="1">
      <c r="B128" s="12"/>
      <c r="C128" s="71" t="s">
        <v>218</v>
      </c>
      <c r="D128" s="71" t="s">
        <v>214</v>
      </c>
      <c r="E128" s="72" t="s">
        <v>5427</v>
      </c>
      <c r="F128" s="73" t="s">
        <v>5428</v>
      </c>
      <c r="G128" s="74" t="s">
        <v>808</v>
      </c>
      <c r="H128" s="75">
        <v>1</v>
      </c>
      <c r="I128" s="90">
        <v>1200000</v>
      </c>
      <c r="J128" s="91">
        <f>ROUND(I128*H128,2)</f>
        <v>1200000</v>
      </c>
      <c r="K128" s="92"/>
      <c r="L128" s="12"/>
      <c r="M128" s="130" t="s">
        <v>1</v>
      </c>
      <c r="N128" s="131" t="s">
        <v>42</v>
      </c>
      <c r="O128" s="110"/>
      <c r="P128" s="132">
        <f>O128*H128</f>
        <v>0</v>
      </c>
      <c r="Q128" s="132">
        <v>0</v>
      </c>
      <c r="R128" s="132">
        <f>Q128*H128</f>
        <v>0</v>
      </c>
      <c r="S128" s="132">
        <v>0</v>
      </c>
      <c r="T128" s="134">
        <f>S128*H128</f>
        <v>0</v>
      </c>
      <c r="AR128" s="101" t="s">
        <v>446</v>
      </c>
      <c r="AT128" s="101" t="s">
        <v>214</v>
      </c>
      <c r="AU128" s="101" t="s">
        <v>87</v>
      </c>
      <c r="AY128" s="23" t="s">
        <v>211</v>
      </c>
      <c r="BE128" s="104">
        <f>IF(N128="základní",J128,0)</f>
        <v>1200000</v>
      </c>
      <c r="BF128" s="104">
        <f>IF(N128="snížená",J128,0)</f>
        <v>0</v>
      </c>
      <c r="BG128" s="104">
        <f>IF(N128="zákl. přenesená",J128,0)</f>
        <v>0</v>
      </c>
      <c r="BH128" s="104">
        <f>IF(N128="sníž. přenesená",J128,0)</f>
        <v>0</v>
      </c>
      <c r="BI128" s="104">
        <f>IF(N128="nulová",J128,0)</f>
        <v>0</v>
      </c>
      <c r="BJ128" s="23" t="s">
        <v>85</v>
      </c>
      <c r="BK128" s="104">
        <f>ROUND(I128*H128,2)</f>
        <v>1200000</v>
      </c>
      <c r="BL128" s="23" t="s">
        <v>446</v>
      </c>
      <c r="BM128" s="101" t="s">
        <v>5429</v>
      </c>
    </row>
    <row r="129" spans="2:12" s="1" customFormat="1" ht="6.9" customHeight="1">
      <c r="B129" s="26"/>
      <c r="C129" s="27"/>
      <c r="D129" s="27"/>
      <c r="E129" s="27"/>
      <c r="F129" s="27"/>
      <c r="G129" s="27"/>
      <c r="H129" s="27"/>
      <c r="I129" s="27"/>
      <c r="J129" s="27"/>
      <c r="K129" s="27"/>
      <c r="L129" s="12"/>
    </row>
  </sheetData>
  <autoFilter ref="C121:K128" xr:uid="{00000000-0009-0000-0000-00000C000000}"/>
  <mergeCells count="12">
    <mergeCell ref="L2:V2"/>
    <mergeCell ref="E7:H7"/>
    <mergeCell ref="E9:H9"/>
    <mergeCell ref="E11:H11"/>
    <mergeCell ref="E20:H20"/>
    <mergeCell ref="E112:H112"/>
    <mergeCell ref="E114:H114"/>
    <mergeCell ref="E29:H29"/>
    <mergeCell ref="E85:H85"/>
    <mergeCell ref="E87:H87"/>
    <mergeCell ref="E89:H89"/>
    <mergeCell ref="E110:H11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2:BM165"/>
  <sheetViews>
    <sheetView showGridLines="0" topLeftCell="A101" workbookViewId="0">
      <selection activeCell="V60" sqref="V60"/>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1:46" ht="36.9" customHeight="1">
      <c r="A2" s="217"/>
      <c r="B2" s="217"/>
      <c r="C2" s="217"/>
      <c r="D2" s="217"/>
      <c r="E2" s="217"/>
      <c r="F2" s="217"/>
      <c r="G2" s="217"/>
      <c r="H2" s="217"/>
      <c r="I2" s="217"/>
      <c r="J2" s="217"/>
      <c r="K2" s="217"/>
      <c r="L2" s="401"/>
      <c r="M2" s="401"/>
      <c r="N2" s="401"/>
      <c r="O2" s="401"/>
      <c r="P2" s="401"/>
      <c r="Q2" s="401"/>
      <c r="R2" s="401"/>
      <c r="S2" s="401"/>
      <c r="T2" s="401"/>
      <c r="U2" s="401"/>
      <c r="V2" s="401"/>
      <c r="AT2" s="23" t="s">
        <v>128</v>
      </c>
    </row>
    <row r="3" spans="1:46" ht="6.9" customHeight="1">
      <c r="A3" s="217"/>
      <c r="B3" s="218"/>
      <c r="C3" s="219"/>
      <c r="D3" s="219"/>
      <c r="E3" s="219"/>
      <c r="F3" s="219"/>
      <c r="G3" s="219"/>
      <c r="H3" s="219"/>
      <c r="I3" s="219"/>
      <c r="J3" s="219"/>
      <c r="K3" s="219"/>
      <c r="L3" s="220"/>
      <c r="M3" s="217"/>
      <c r="N3" s="217"/>
      <c r="O3" s="217"/>
      <c r="P3" s="217"/>
      <c r="Q3" s="217"/>
      <c r="R3" s="217"/>
      <c r="S3" s="217"/>
      <c r="T3" s="217"/>
      <c r="U3" s="217"/>
      <c r="V3" s="217"/>
      <c r="AT3" s="23" t="s">
        <v>87</v>
      </c>
    </row>
    <row r="4" spans="1:46" ht="24.9" customHeight="1">
      <c r="A4" s="217"/>
      <c r="B4" s="220"/>
      <c r="C4" s="217"/>
      <c r="D4" s="221" t="s">
        <v>181</v>
      </c>
      <c r="E4" s="217"/>
      <c r="F4" s="217"/>
      <c r="G4" s="217"/>
      <c r="H4" s="217"/>
      <c r="I4" s="217"/>
      <c r="J4" s="217"/>
      <c r="K4" s="217"/>
      <c r="L4" s="220"/>
      <c r="M4" s="222" t="s">
        <v>10</v>
      </c>
      <c r="N4" s="217"/>
      <c r="O4" s="217"/>
      <c r="P4" s="217"/>
      <c r="Q4" s="217"/>
      <c r="R4" s="217"/>
      <c r="S4" s="217"/>
      <c r="T4" s="217"/>
      <c r="U4" s="217"/>
      <c r="V4" s="217"/>
      <c r="AT4" s="23" t="s">
        <v>4</v>
      </c>
    </row>
    <row r="5" spans="1:46" ht="6.9" customHeight="1">
      <c r="A5" s="217"/>
      <c r="B5" s="220"/>
      <c r="C5" s="217"/>
      <c r="D5" s="217"/>
      <c r="E5" s="217"/>
      <c r="F5" s="217"/>
      <c r="G5" s="217"/>
      <c r="H5" s="217"/>
      <c r="I5" s="217"/>
      <c r="J5" s="217"/>
      <c r="K5" s="217"/>
      <c r="L5" s="220"/>
      <c r="M5" s="217"/>
      <c r="N5" s="217"/>
      <c r="O5" s="217"/>
      <c r="P5" s="217"/>
      <c r="Q5" s="217"/>
      <c r="R5" s="217"/>
      <c r="S5" s="217"/>
      <c r="T5" s="217"/>
      <c r="U5" s="217"/>
      <c r="V5" s="217"/>
    </row>
    <row r="6" spans="1:46" ht="12" customHeight="1">
      <c r="A6" s="217"/>
      <c r="B6" s="220"/>
      <c r="C6" s="217"/>
      <c r="D6" s="223" t="s">
        <v>16</v>
      </c>
      <c r="E6" s="217"/>
      <c r="F6" s="217"/>
      <c r="G6" s="217"/>
      <c r="H6" s="217"/>
      <c r="I6" s="217"/>
      <c r="J6" s="217"/>
      <c r="K6" s="217"/>
      <c r="L6" s="220"/>
      <c r="M6" s="217"/>
      <c r="N6" s="217"/>
      <c r="O6" s="217"/>
      <c r="P6" s="217"/>
      <c r="Q6" s="217"/>
      <c r="R6" s="217"/>
      <c r="S6" s="217"/>
      <c r="T6" s="217"/>
      <c r="U6" s="217"/>
      <c r="V6" s="217"/>
    </row>
    <row r="7" spans="1:46" ht="16.5" customHeight="1">
      <c r="A7" s="217"/>
      <c r="B7" s="220"/>
      <c r="C7" s="217"/>
      <c r="D7" s="217"/>
      <c r="E7" s="396" t="str">
        <f>'Rekapitulace stavby'!K6</f>
        <v>Bytový soubor Libuše</v>
      </c>
      <c r="F7" s="400"/>
      <c r="G7" s="400"/>
      <c r="H7" s="400"/>
      <c r="I7" s="217"/>
      <c r="J7" s="217"/>
      <c r="K7" s="217"/>
      <c r="L7" s="220"/>
      <c r="M7" s="217"/>
      <c r="N7" s="217"/>
      <c r="O7" s="217"/>
      <c r="P7" s="217"/>
      <c r="Q7" s="217"/>
      <c r="R7" s="217"/>
      <c r="S7" s="217"/>
      <c r="T7" s="217"/>
      <c r="U7" s="217"/>
      <c r="V7" s="217"/>
    </row>
    <row r="8" spans="1:46" ht="12" customHeight="1">
      <c r="A8" s="217"/>
      <c r="B8" s="220"/>
      <c r="C8" s="217"/>
      <c r="D8" s="223" t="s">
        <v>182</v>
      </c>
      <c r="E8" s="217"/>
      <c r="F8" s="217"/>
      <c r="G8" s="217"/>
      <c r="H8" s="217"/>
      <c r="I8" s="217"/>
      <c r="J8" s="217"/>
      <c r="K8" s="217"/>
      <c r="L8" s="220"/>
      <c r="M8" s="217"/>
      <c r="N8" s="217"/>
      <c r="O8" s="217"/>
      <c r="P8" s="217"/>
      <c r="Q8" s="217"/>
      <c r="R8" s="217"/>
      <c r="S8" s="217"/>
      <c r="T8" s="217"/>
      <c r="U8" s="217"/>
      <c r="V8" s="217"/>
    </row>
    <row r="9" spans="1:46" s="1" customFormat="1" ht="16.5" customHeight="1">
      <c r="A9" s="224"/>
      <c r="B9" s="225"/>
      <c r="C9" s="224"/>
      <c r="D9" s="224"/>
      <c r="E9" s="396" t="s">
        <v>293</v>
      </c>
      <c r="F9" s="397"/>
      <c r="G9" s="397"/>
      <c r="H9" s="397"/>
      <c r="I9" s="224"/>
      <c r="J9" s="224"/>
      <c r="K9" s="224"/>
      <c r="L9" s="225"/>
      <c r="M9" s="224"/>
      <c r="N9" s="224"/>
      <c r="O9" s="224"/>
      <c r="P9" s="224"/>
      <c r="Q9" s="224"/>
      <c r="R9" s="224"/>
      <c r="S9" s="224"/>
      <c r="T9" s="224"/>
      <c r="U9" s="224"/>
      <c r="V9" s="224"/>
    </row>
    <row r="10" spans="1:46" s="1" customFormat="1" ht="12" customHeight="1">
      <c r="A10" s="224"/>
      <c r="B10" s="225"/>
      <c r="C10" s="224"/>
      <c r="D10" s="223" t="s">
        <v>296</v>
      </c>
      <c r="E10" s="224"/>
      <c r="F10" s="224"/>
      <c r="G10" s="224"/>
      <c r="H10" s="224"/>
      <c r="I10" s="224"/>
      <c r="J10" s="224"/>
      <c r="K10" s="224"/>
      <c r="L10" s="225"/>
      <c r="M10" s="224"/>
      <c r="N10" s="224"/>
      <c r="O10" s="224"/>
      <c r="P10" s="224"/>
      <c r="Q10" s="224"/>
      <c r="R10" s="224"/>
      <c r="S10" s="224"/>
      <c r="T10" s="224"/>
      <c r="U10" s="224"/>
      <c r="V10" s="224"/>
    </row>
    <row r="11" spans="1:46" s="1" customFormat="1" ht="16.5" customHeight="1">
      <c r="A11" s="224"/>
      <c r="B11" s="225"/>
      <c r="C11" s="224"/>
      <c r="D11" s="224"/>
      <c r="E11" s="398" t="s">
        <v>5430</v>
      </c>
      <c r="F11" s="397"/>
      <c r="G11" s="397"/>
      <c r="H11" s="397"/>
      <c r="I11" s="224"/>
      <c r="J11" s="224"/>
      <c r="K11" s="224"/>
      <c r="L11" s="225"/>
      <c r="M11" s="224"/>
      <c r="N11" s="224"/>
      <c r="O11" s="224"/>
      <c r="P11" s="224"/>
      <c r="Q11" s="224"/>
      <c r="R11" s="224"/>
      <c r="S11" s="224"/>
      <c r="T11" s="224"/>
      <c r="U11" s="224"/>
      <c r="V11" s="224"/>
    </row>
    <row r="12" spans="1:46" s="1" customFormat="1">
      <c r="A12" s="224"/>
      <c r="B12" s="225"/>
      <c r="C12" s="224"/>
      <c r="D12" s="224"/>
      <c r="E12" s="224"/>
      <c r="F12" s="224"/>
      <c r="G12" s="224"/>
      <c r="H12" s="224"/>
      <c r="I12" s="224"/>
      <c r="J12" s="224"/>
      <c r="K12" s="224"/>
      <c r="L12" s="225"/>
      <c r="M12" s="224"/>
      <c r="N12" s="224"/>
      <c r="O12" s="224"/>
      <c r="P12" s="224"/>
      <c r="Q12" s="224"/>
      <c r="R12" s="224"/>
      <c r="S12" s="224"/>
      <c r="T12" s="224"/>
      <c r="U12" s="224"/>
      <c r="V12" s="224"/>
    </row>
    <row r="13" spans="1:46" s="1" customFormat="1" ht="12" customHeight="1">
      <c r="A13" s="224"/>
      <c r="B13" s="225"/>
      <c r="C13" s="224"/>
      <c r="D13" s="223" t="s">
        <v>18</v>
      </c>
      <c r="E13" s="224"/>
      <c r="F13" s="226" t="s">
        <v>1</v>
      </c>
      <c r="G13" s="224"/>
      <c r="H13" s="224"/>
      <c r="I13" s="223" t="s">
        <v>19</v>
      </c>
      <c r="J13" s="226" t="s">
        <v>1</v>
      </c>
      <c r="K13" s="224"/>
      <c r="L13" s="225"/>
      <c r="M13" s="224"/>
      <c r="N13" s="224"/>
      <c r="O13" s="224"/>
      <c r="P13" s="224"/>
      <c r="Q13" s="224"/>
      <c r="R13" s="224"/>
      <c r="S13" s="224"/>
      <c r="T13" s="224"/>
      <c r="U13" s="224"/>
      <c r="V13" s="224"/>
    </row>
    <row r="14" spans="1:46" s="1" customFormat="1" ht="12" customHeight="1">
      <c r="A14" s="224"/>
      <c r="B14" s="225"/>
      <c r="C14" s="224"/>
      <c r="D14" s="223" t="s">
        <v>20</v>
      </c>
      <c r="E14" s="224"/>
      <c r="F14" s="226" t="s">
        <v>21</v>
      </c>
      <c r="G14" s="224"/>
      <c r="H14" s="224"/>
      <c r="I14" s="223" t="s">
        <v>22</v>
      </c>
      <c r="J14" s="227">
        <f>'Rekapitulace stavby'!AN8</f>
        <v>45000</v>
      </c>
      <c r="K14" s="224"/>
      <c r="L14" s="225"/>
      <c r="M14" s="224"/>
      <c r="N14" s="224"/>
      <c r="O14" s="224"/>
      <c r="P14" s="224"/>
      <c r="Q14" s="224"/>
      <c r="R14" s="224"/>
      <c r="S14" s="224"/>
      <c r="T14" s="224"/>
      <c r="U14" s="224"/>
      <c r="V14" s="224"/>
    </row>
    <row r="15" spans="1:46" s="1" customFormat="1" ht="11.1" customHeight="1">
      <c r="A15" s="224"/>
      <c r="B15" s="225"/>
      <c r="C15" s="224"/>
      <c r="D15" s="224"/>
      <c r="E15" s="224"/>
      <c r="F15" s="224"/>
      <c r="G15" s="224"/>
      <c r="H15" s="224"/>
      <c r="I15" s="224"/>
      <c r="J15" s="224"/>
      <c r="K15" s="224"/>
      <c r="L15" s="225"/>
      <c r="M15" s="224"/>
      <c r="N15" s="224"/>
      <c r="O15" s="224"/>
      <c r="P15" s="224"/>
      <c r="Q15" s="224"/>
      <c r="R15" s="224"/>
      <c r="S15" s="224"/>
      <c r="T15" s="224"/>
      <c r="U15" s="224"/>
      <c r="V15" s="224"/>
    </row>
    <row r="16" spans="1:46" s="1" customFormat="1" ht="12" customHeight="1">
      <c r="A16" s="224"/>
      <c r="B16" s="225"/>
      <c r="C16" s="224"/>
      <c r="D16" s="223" t="s">
        <v>23</v>
      </c>
      <c r="E16" s="224"/>
      <c r="F16" s="224"/>
      <c r="G16" s="224"/>
      <c r="H16" s="224"/>
      <c r="I16" s="223" t="s">
        <v>24</v>
      </c>
      <c r="J16" s="226" t="s">
        <v>1</v>
      </c>
      <c r="K16" s="224"/>
      <c r="L16" s="225"/>
      <c r="M16" s="224"/>
      <c r="N16" s="224"/>
      <c r="O16" s="224"/>
      <c r="P16" s="224"/>
      <c r="Q16" s="224"/>
      <c r="R16" s="224"/>
      <c r="S16" s="224"/>
      <c r="T16" s="224"/>
      <c r="U16" s="224"/>
      <c r="V16" s="224"/>
    </row>
    <row r="17" spans="1:22" s="1" customFormat="1" ht="18" customHeight="1">
      <c r="A17" s="224"/>
      <c r="B17" s="225"/>
      <c r="C17" s="224"/>
      <c r="D17" s="224"/>
      <c r="E17" s="226" t="s">
        <v>25</v>
      </c>
      <c r="F17" s="224"/>
      <c r="G17" s="224"/>
      <c r="H17" s="224"/>
      <c r="I17" s="223" t="s">
        <v>26</v>
      </c>
      <c r="J17" s="226" t="s">
        <v>1</v>
      </c>
      <c r="K17" s="224"/>
      <c r="L17" s="225"/>
      <c r="M17" s="224"/>
      <c r="N17" s="224"/>
      <c r="O17" s="224"/>
      <c r="P17" s="224"/>
      <c r="Q17" s="224"/>
      <c r="R17" s="224"/>
      <c r="S17" s="224"/>
      <c r="T17" s="224"/>
      <c r="U17" s="224"/>
      <c r="V17" s="224"/>
    </row>
    <row r="18" spans="1:22" s="1" customFormat="1" ht="6.9" customHeight="1">
      <c r="A18" s="224"/>
      <c r="B18" s="225"/>
      <c r="C18" s="224"/>
      <c r="D18" s="224"/>
      <c r="E18" s="224"/>
      <c r="F18" s="224"/>
      <c r="G18" s="224"/>
      <c r="H18" s="224"/>
      <c r="I18" s="224"/>
      <c r="J18" s="224"/>
      <c r="K18" s="224"/>
      <c r="L18" s="225"/>
      <c r="M18" s="224"/>
      <c r="N18" s="224"/>
      <c r="O18" s="224"/>
      <c r="P18" s="224"/>
      <c r="Q18" s="224"/>
      <c r="R18" s="224"/>
      <c r="S18" s="224"/>
      <c r="T18" s="224"/>
      <c r="U18" s="224"/>
      <c r="V18" s="224"/>
    </row>
    <row r="19" spans="1:22" s="1" customFormat="1" ht="12" customHeight="1">
      <c r="A19" s="224"/>
      <c r="B19" s="225"/>
      <c r="C19" s="224"/>
      <c r="D19" s="223" t="s">
        <v>27</v>
      </c>
      <c r="E19" s="224"/>
      <c r="F19" s="224"/>
      <c r="G19" s="224"/>
      <c r="H19" s="224"/>
      <c r="I19" s="223" t="s">
        <v>24</v>
      </c>
      <c r="J19" s="228" t="str">
        <f>'Rekapitulace stavby'!AN13</f>
        <v>08004013</v>
      </c>
      <c r="K19" s="224"/>
      <c r="L19" s="225"/>
      <c r="M19" s="224"/>
      <c r="N19" s="224"/>
      <c r="O19" s="224"/>
      <c r="P19" s="224"/>
      <c r="Q19" s="224"/>
      <c r="R19" s="224"/>
      <c r="S19" s="224"/>
      <c r="T19" s="224"/>
      <c r="U19" s="224"/>
      <c r="V19" s="224"/>
    </row>
    <row r="20" spans="1:22" s="1" customFormat="1" ht="18" customHeight="1">
      <c r="A20" s="224"/>
      <c r="B20" s="225"/>
      <c r="C20" s="224"/>
      <c r="D20" s="224"/>
      <c r="E20" s="402" t="str">
        <f>'Rekapitulace stavby'!E14</f>
        <v>DMG Stav a.s.</v>
      </c>
      <c r="F20" s="403"/>
      <c r="G20" s="403"/>
      <c r="H20" s="403"/>
      <c r="I20" s="223" t="s">
        <v>26</v>
      </c>
      <c r="J20" s="228" t="str">
        <f>'Rekapitulace stavby'!AN14</f>
        <v>CZ 08004013</v>
      </c>
      <c r="K20" s="224"/>
      <c r="L20" s="225"/>
      <c r="M20" s="224"/>
      <c r="N20" s="224"/>
      <c r="O20" s="224"/>
      <c r="P20" s="224"/>
      <c r="Q20" s="224"/>
      <c r="R20" s="224"/>
      <c r="S20" s="224"/>
      <c r="T20" s="224"/>
      <c r="U20" s="224"/>
      <c r="V20" s="224"/>
    </row>
    <row r="21" spans="1:22" s="1" customFormat="1" ht="6.9" customHeight="1">
      <c r="A21" s="224"/>
      <c r="B21" s="225"/>
      <c r="C21" s="224"/>
      <c r="D21" s="224"/>
      <c r="E21" s="224"/>
      <c r="F21" s="224"/>
      <c r="G21" s="224"/>
      <c r="H21" s="224"/>
      <c r="I21" s="224"/>
      <c r="J21" s="224"/>
      <c r="K21" s="224"/>
      <c r="L21" s="225"/>
      <c r="M21" s="224"/>
      <c r="N21" s="224"/>
      <c r="O21" s="224"/>
      <c r="P21" s="224"/>
      <c r="Q21" s="224"/>
      <c r="R21" s="224"/>
      <c r="S21" s="224"/>
      <c r="T21" s="224"/>
      <c r="U21" s="224"/>
      <c r="V21" s="224"/>
    </row>
    <row r="22" spans="1:22" s="1" customFormat="1" ht="12" customHeight="1">
      <c r="A22" s="224"/>
      <c r="B22" s="225"/>
      <c r="C22" s="224"/>
      <c r="D22" s="223" t="s">
        <v>31</v>
      </c>
      <c r="E22" s="224"/>
      <c r="F22" s="224"/>
      <c r="G22" s="224"/>
      <c r="H22" s="224"/>
      <c r="I22" s="223" t="s">
        <v>24</v>
      </c>
      <c r="J22" s="226" t="s">
        <v>1</v>
      </c>
      <c r="K22" s="224"/>
      <c r="L22" s="225"/>
      <c r="M22" s="224"/>
      <c r="N22" s="224"/>
      <c r="O22" s="224"/>
      <c r="P22" s="224"/>
      <c r="Q22" s="224"/>
      <c r="R22" s="224"/>
      <c r="S22" s="224"/>
      <c r="T22" s="224"/>
      <c r="U22" s="224"/>
      <c r="V22" s="224"/>
    </row>
    <row r="23" spans="1:22" s="1" customFormat="1" ht="18" customHeight="1">
      <c r="A23" s="224"/>
      <c r="B23" s="225"/>
      <c r="C23" s="224"/>
      <c r="D23" s="224"/>
      <c r="E23" s="226" t="s">
        <v>32</v>
      </c>
      <c r="F23" s="224"/>
      <c r="G23" s="224"/>
      <c r="H23" s="224"/>
      <c r="I23" s="223" t="s">
        <v>26</v>
      </c>
      <c r="J23" s="226" t="s">
        <v>1</v>
      </c>
      <c r="K23" s="224"/>
      <c r="L23" s="225"/>
      <c r="M23" s="224"/>
      <c r="N23" s="224"/>
      <c r="O23" s="224"/>
      <c r="P23" s="224"/>
      <c r="Q23" s="224"/>
      <c r="R23" s="224"/>
      <c r="S23" s="224"/>
      <c r="T23" s="224"/>
      <c r="U23" s="224"/>
      <c r="V23" s="224"/>
    </row>
    <row r="24" spans="1:22" s="1" customFormat="1" ht="6.9" customHeight="1">
      <c r="A24" s="224"/>
      <c r="B24" s="225"/>
      <c r="C24" s="224"/>
      <c r="D24" s="224"/>
      <c r="E24" s="224"/>
      <c r="F24" s="224"/>
      <c r="G24" s="224"/>
      <c r="H24" s="224"/>
      <c r="I24" s="224"/>
      <c r="J24" s="224"/>
      <c r="K24" s="224"/>
      <c r="L24" s="225"/>
      <c r="M24" s="224"/>
      <c r="N24" s="224"/>
      <c r="O24" s="224"/>
      <c r="P24" s="224"/>
      <c r="Q24" s="224"/>
      <c r="R24" s="224"/>
      <c r="S24" s="224"/>
      <c r="T24" s="224"/>
      <c r="U24" s="224"/>
      <c r="V24" s="224"/>
    </row>
    <row r="25" spans="1:22" s="1" customFormat="1" ht="12" customHeight="1">
      <c r="A25" s="224"/>
      <c r="B25" s="225"/>
      <c r="C25" s="224"/>
      <c r="D25" s="223" t="s">
        <v>34</v>
      </c>
      <c r="E25" s="224"/>
      <c r="F25" s="224"/>
      <c r="G25" s="224"/>
      <c r="H25" s="224"/>
      <c r="I25" s="223" t="s">
        <v>24</v>
      </c>
      <c r="J25" s="226" t="s">
        <v>1</v>
      </c>
      <c r="K25" s="224"/>
      <c r="L25" s="225"/>
      <c r="M25" s="224"/>
      <c r="N25" s="224"/>
      <c r="O25" s="224"/>
      <c r="P25" s="224"/>
      <c r="Q25" s="224"/>
      <c r="R25" s="224"/>
      <c r="S25" s="224"/>
      <c r="T25" s="224"/>
      <c r="U25" s="224"/>
      <c r="V25" s="224"/>
    </row>
    <row r="26" spans="1:22" s="1" customFormat="1" ht="18" customHeight="1">
      <c r="A26" s="224"/>
      <c r="B26" s="225"/>
      <c r="C26" s="224"/>
      <c r="D26" s="224"/>
      <c r="E26" s="226" t="s">
        <v>35</v>
      </c>
      <c r="F26" s="224"/>
      <c r="G26" s="224"/>
      <c r="H26" s="224"/>
      <c r="I26" s="223" t="s">
        <v>26</v>
      </c>
      <c r="J26" s="226" t="s">
        <v>1</v>
      </c>
      <c r="K26" s="224"/>
      <c r="L26" s="225"/>
      <c r="M26" s="224"/>
      <c r="N26" s="224"/>
      <c r="O26" s="224"/>
      <c r="P26" s="224"/>
      <c r="Q26" s="224"/>
      <c r="R26" s="224"/>
      <c r="S26" s="224"/>
      <c r="T26" s="224"/>
      <c r="U26" s="224"/>
      <c r="V26" s="224"/>
    </row>
    <row r="27" spans="1:22" s="1" customFormat="1" ht="6.9" customHeight="1">
      <c r="A27" s="224"/>
      <c r="B27" s="225"/>
      <c r="C27" s="224"/>
      <c r="D27" s="224"/>
      <c r="E27" s="224"/>
      <c r="F27" s="224"/>
      <c r="G27" s="224"/>
      <c r="H27" s="224"/>
      <c r="I27" s="224"/>
      <c r="J27" s="224"/>
      <c r="K27" s="224"/>
      <c r="L27" s="225"/>
      <c r="M27" s="224"/>
      <c r="N27" s="224"/>
      <c r="O27" s="224"/>
      <c r="P27" s="224"/>
      <c r="Q27" s="224"/>
      <c r="R27" s="224"/>
      <c r="S27" s="224"/>
      <c r="T27" s="224"/>
      <c r="U27" s="224"/>
      <c r="V27" s="224"/>
    </row>
    <row r="28" spans="1:22" s="1" customFormat="1" ht="12" customHeight="1">
      <c r="A28" s="224"/>
      <c r="B28" s="225"/>
      <c r="C28" s="224"/>
      <c r="D28" s="223" t="s">
        <v>36</v>
      </c>
      <c r="E28" s="224"/>
      <c r="F28" s="224"/>
      <c r="G28" s="224"/>
      <c r="H28" s="224"/>
      <c r="I28" s="224"/>
      <c r="J28" s="224"/>
      <c r="K28" s="224"/>
      <c r="L28" s="225"/>
      <c r="M28" s="224"/>
      <c r="N28" s="224"/>
      <c r="O28" s="224"/>
      <c r="P28" s="224"/>
      <c r="Q28" s="224"/>
      <c r="R28" s="224"/>
      <c r="S28" s="224"/>
      <c r="T28" s="224"/>
      <c r="U28" s="224"/>
      <c r="V28" s="224"/>
    </row>
    <row r="29" spans="1:22" s="28" customFormat="1" ht="16.5" customHeight="1">
      <c r="A29" s="229"/>
      <c r="B29" s="230"/>
      <c r="C29" s="229"/>
      <c r="D29" s="229"/>
      <c r="E29" s="399" t="s">
        <v>1</v>
      </c>
      <c r="F29" s="399"/>
      <c r="G29" s="399"/>
      <c r="H29" s="399"/>
      <c r="I29" s="229"/>
      <c r="J29" s="229"/>
      <c r="K29" s="229"/>
      <c r="L29" s="230"/>
      <c r="M29" s="229"/>
      <c r="N29" s="229"/>
      <c r="O29" s="229"/>
      <c r="P29" s="229"/>
      <c r="Q29" s="229"/>
      <c r="R29" s="229"/>
      <c r="S29" s="229"/>
      <c r="T29" s="229"/>
      <c r="U29" s="229"/>
      <c r="V29" s="229"/>
    </row>
    <row r="30" spans="1:22" s="1" customFormat="1" ht="6.9" customHeight="1">
      <c r="A30" s="224"/>
      <c r="B30" s="225"/>
      <c r="C30" s="224"/>
      <c r="D30" s="224"/>
      <c r="E30" s="224"/>
      <c r="F30" s="224"/>
      <c r="G30" s="224"/>
      <c r="H30" s="224"/>
      <c r="I30" s="224"/>
      <c r="J30" s="224"/>
      <c r="K30" s="224"/>
      <c r="L30" s="225"/>
      <c r="M30" s="224"/>
      <c r="N30" s="224"/>
      <c r="O30" s="224"/>
      <c r="P30" s="224"/>
      <c r="Q30" s="224"/>
      <c r="R30" s="224"/>
      <c r="S30" s="224"/>
      <c r="T30" s="224"/>
      <c r="U30" s="224"/>
      <c r="V30" s="224"/>
    </row>
    <row r="31" spans="1:22" s="1" customFormat="1" ht="6.9" customHeight="1">
      <c r="A31" s="224"/>
      <c r="B31" s="225"/>
      <c r="C31" s="224"/>
      <c r="D31" s="232"/>
      <c r="E31" s="232"/>
      <c r="F31" s="232"/>
      <c r="G31" s="232"/>
      <c r="H31" s="232"/>
      <c r="I31" s="232"/>
      <c r="J31" s="232"/>
      <c r="K31" s="232"/>
      <c r="L31" s="225"/>
      <c r="M31" s="224"/>
      <c r="N31" s="224"/>
      <c r="O31" s="224"/>
      <c r="P31" s="224"/>
      <c r="Q31" s="224"/>
      <c r="R31" s="224"/>
      <c r="S31" s="224"/>
      <c r="T31" s="224"/>
      <c r="U31" s="224"/>
      <c r="V31" s="224"/>
    </row>
    <row r="32" spans="1:22" s="1" customFormat="1" ht="25.35" customHeight="1">
      <c r="A32" s="224"/>
      <c r="B32" s="225"/>
      <c r="C32" s="224"/>
      <c r="D32" s="233" t="s">
        <v>37</v>
      </c>
      <c r="E32" s="224"/>
      <c r="F32" s="224"/>
      <c r="G32" s="224"/>
      <c r="H32" s="224"/>
      <c r="I32" s="224"/>
      <c r="J32" s="234">
        <f>ROUND(J123,2)</f>
        <v>187492.73</v>
      </c>
      <c r="K32" s="224"/>
      <c r="L32" s="225"/>
      <c r="M32" s="224"/>
      <c r="N32" s="224"/>
      <c r="O32" s="224"/>
      <c r="P32" s="224"/>
      <c r="Q32" s="224"/>
      <c r="R32" s="224"/>
      <c r="S32" s="224"/>
      <c r="T32" s="224"/>
      <c r="U32" s="224"/>
      <c r="V32" s="224"/>
    </row>
    <row r="33" spans="1:22" s="1" customFormat="1" ht="6.9" customHeight="1">
      <c r="A33" s="224"/>
      <c r="B33" s="225"/>
      <c r="C33" s="224"/>
      <c r="D33" s="232"/>
      <c r="E33" s="232"/>
      <c r="F33" s="232"/>
      <c r="G33" s="232"/>
      <c r="H33" s="232"/>
      <c r="I33" s="232"/>
      <c r="J33" s="232"/>
      <c r="K33" s="232"/>
      <c r="L33" s="225"/>
      <c r="M33" s="224"/>
      <c r="N33" s="224"/>
      <c r="O33" s="224"/>
      <c r="P33" s="224"/>
      <c r="Q33" s="224"/>
      <c r="R33" s="224"/>
      <c r="S33" s="224"/>
      <c r="T33" s="224"/>
      <c r="U33" s="224"/>
      <c r="V33" s="224"/>
    </row>
    <row r="34" spans="1:22" s="1" customFormat="1" ht="14.4" customHeight="1">
      <c r="A34" s="224"/>
      <c r="B34" s="225"/>
      <c r="C34" s="224"/>
      <c r="D34" s="224"/>
      <c r="E34" s="224"/>
      <c r="F34" s="235" t="s">
        <v>39</v>
      </c>
      <c r="G34" s="224"/>
      <c r="H34" s="224"/>
      <c r="I34" s="235" t="s">
        <v>38</v>
      </c>
      <c r="J34" s="235" t="s">
        <v>40</v>
      </c>
      <c r="K34" s="224"/>
      <c r="L34" s="225"/>
      <c r="M34" s="224"/>
      <c r="N34" s="224"/>
      <c r="O34" s="224"/>
      <c r="P34" s="224"/>
      <c r="Q34" s="224"/>
      <c r="R34" s="224"/>
      <c r="S34" s="224"/>
      <c r="T34" s="224"/>
      <c r="U34" s="224"/>
      <c r="V34" s="224"/>
    </row>
    <row r="35" spans="1:22" s="1" customFormat="1" ht="14.4" customHeight="1">
      <c r="A35" s="224"/>
      <c r="B35" s="225"/>
      <c r="C35" s="224"/>
      <c r="D35" s="236" t="s">
        <v>41</v>
      </c>
      <c r="E35" s="223" t="s">
        <v>42</v>
      </c>
      <c r="F35" s="237">
        <f>ROUND((SUM(BE123:BE161)),2)</f>
        <v>187492.73</v>
      </c>
      <c r="G35" s="224"/>
      <c r="H35" s="224"/>
      <c r="I35" s="238">
        <v>0.21</v>
      </c>
      <c r="J35" s="237">
        <f>ROUND(((SUM(BE123:BE161))*I35),2)</f>
        <v>39373.47</v>
      </c>
      <c r="K35" s="224"/>
      <c r="L35" s="225"/>
      <c r="M35" s="224"/>
      <c r="N35" s="224"/>
      <c r="O35" s="224"/>
      <c r="P35" s="224"/>
      <c r="Q35" s="224"/>
      <c r="R35" s="224"/>
      <c r="S35" s="224"/>
      <c r="T35" s="224"/>
      <c r="U35" s="224"/>
      <c r="V35" s="224"/>
    </row>
    <row r="36" spans="1:22" s="1" customFormat="1" ht="14.4" customHeight="1">
      <c r="A36" s="224"/>
      <c r="B36" s="225"/>
      <c r="C36" s="224"/>
      <c r="D36" s="224"/>
      <c r="E36" s="223" t="s">
        <v>43</v>
      </c>
      <c r="F36" s="237">
        <f>ROUND((SUM(BF123:BF161)),2)</f>
        <v>0</v>
      </c>
      <c r="G36" s="224"/>
      <c r="H36" s="224"/>
      <c r="I36" s="238">
        <v>0.15</v>
      </c>
      <c r="J36" s="237">
        <f>ROUND(((SUM(BF123:BF161))*I36),2)</f>
        <v>0</v>
      </c>
      <c r="K36" s="224"/>
      <c r="L36" s="225"/>
      <c r="M36" s="224"/>
      <c r="N36" s="224"/>
      <c r="O36" s="224"/>
      <c r="P36" s="224"/>
      <c r="Q36" s="224"/>
      <c r="R36" s="224"/>
      <c r="S36" s="224"/>
      <c r="T36" s="224"/>
      <c r="U36" s="224"/>
      <c r="V36" s="224"/>
    </row>
    <row r="37" spans="1:22" s="1" customFormat="1" ht="14.4" hidden="1" customHeight="1">
      <c r="A37" s="224"/>
      <c r="B37" s="225"/>
      <c r="C37" s="224"/>
      <c r="D37" s="224"/>
      <c r="E37" s="223" t="s">
        <v>44</v>
      </c>
      <c r="F37" s="237">
        <f>ROUND((SUM(BG123:BG161)),2)</f>
        <v>0</v>
      </c>
      <c r="G37" s="224"/>
      <c r="H37" s="224"/>
      <c r="I37" s="238">
        <v>0.21</v>
      </c>
      <c r="J37" s="237">
        <f>0</f>
        <v>0</v>
      </c>
      <c r="K37" s="224"/>
      <c r="L37" s="225"/>
      <c r="M37" s="224"/>
      <c r="N37" s="224"/>
      <c r="O37" s="224"/>
      <c r="P37" s="224"/>
      <c r="Q37" s="224"/>
      <c r="R37" s="224"/>
      <c r="S37" s="224"/>
      <c r="T37" s="224"/>
      <c r="U37" s="224"/>
      <c r="V37" s="224"/>
    </row>
    <row r="38" spans="1:22" s="1" customFormat="1" ht="14.4" hidden="1" customHeight="1">
      <c r="A38" s="224"/>
      <c r="B38" s="225"/>
      <c r="C38" s="224"/>
      <c r="D38" s="224"/>
      <c r="E38" s="223" t="s">
        <v>45</v>
      </c>
      <c r="F38" s="237">
        <f>ROUND((SUM(BH123:BH161)),2)</f>
        <v>0</v>
      </c>
      <c r="G38" s="224"/>
      <c r="H38" s="224"/>
      <c r="I38" s="238">
        <v>0.15</v>
      </c>
      <c r="J38" s="237">
        <f>0</f>
        <v>0</v>
      </c>
      <c r="K38" s="224"/>
      <c r="L38" s="225"/>
      <c r="M38" s="224"/>
      <c r="N38" s="224"/>
      <c r="O38" s="224"/>
      <c r="P38" s="224"/>
      <c r="Q38" s="224"/>
      <c r="R38" s="224"/>
      <c r="S38" s="224"/>
      <c r="T38" s="224"/>
      <c r="U38" s="224"/>
      <c r="V38" s="224"/>
    </row>
    <row r="39" spans="1:22" s="1" customFormat="1" ht="14.4" hidden="1" customHeight="1">
      <c r="A39" s="224"/>
      <c r="B39" s="225"/>
      <c r="C39" s="224"/>
      <c r="D39" s="224"/>
      <c r="E39" s="223" t="s">
        <v>46</v>
      </c>
      <c r="F39" s="237">
        <f>ROUND((SUM(BI123:BI161)),2)</f>
        <v>0</v>
      </c>
      <c r="G39" s="224"/>
      <c r="H39" s="224"/>
      <c r="I39" s="238">
        <v>0</v>
      </c>
      <c r="J39" s="237">
        <f>0</f>
        <v>0</v>
      </c>
      <c r="K39" s="224"/>
      <c r="L39" s="225"/>
      <c r="M39" s="224"/>
      <c r="N39" s="224"/>
      <c r="O39" s="224"/>
      <c r="P39" s="224"/>
      <c r="Q39" s="224"/>
      <c r="R39" s="224"/>
      <c r="S39" s="224"/>
      <c r="T39" s="224"/>
      <c r="U39" s="224"/>
      <c r="V39" s="224"/>
    </row>
    <row r="40" spans="1:22" s="1" customFormat="1" ht="6.9" customHeight="1">
      <c r="A40" s="224"/>
      <c r="B40" s="225"/>
      <c r="C40" s="224"/>
      <c r="D40" s="224"/>
      <c r="E40" s="224"/>
      <c r="F40" s="224"/>
      <c r="G40" s="224"/>
      <c r="H40" s="224"/>
      <c r="I40" s="224"/>
      <c r="J40" s="224"/>
      <c r="K40" s="224"/>
      <c r="L40" s="225"/>
      <c r="M40" s="224"/>
      <c r="N40" s="224"/>
      <c r="O40" s="224"/>
      <c r="P40" s="224"/>
      <c r="Q40" s="224"/>
      <c r="R40" s="224"/>
      <c r="S40" s="224"/>
      <c r="T40" s="224"/>
      <c r="U40" s="224"/>
      <c r="V40" s="224"/>
    </row>
    <row r="41" spans="1:22" s="1" customFormat="1" ht="25.35" customHeight="1">
      <c r="A41" s="224"/>
      <c r="B41" s="225"/>
      <c r="C41" s="224"/>
      <c r="D41" s="239" t="s">
        <v>47</v>
      </c>
      <c r="E41" s="240"/>
      <c r="F41" s="240"/>
      <c r="G41" s="241" t="s">
        <v>48</v>
      </c>
      <c r="H41" s="242" t="s">
        <v>49</v>
      </c>
      <c r="I41" s="240"/>
      <c r="J41" s="243">
        <f>SUM(J32:J39)</f>
        <v>226866.2</v>
      </c>
      <c r="K41" s="244"/>
      <c r="L41" s="225"/>
      <c r="M41" s="224"/>
      <c r="N41" s="224"/>
      <c r="O41" s="224"/>
      <c r="P41" s="224"/>
      <c r="Q41" s="224"/>
      <c r="R41" s="224"/>
      <c r="S41" s="224"/>
      <c r="T41" s="224"/>
      <c r="U41" s="224"/>
      <c r="V41" s="224"/>
    </row>
    <row r="42" spans="1:22" s="1" customFormat="1" ht="14.4" customHeight="1">
      <c r="A42" s="224"/>
      <c r="B42" s="225"/>
      <c r="C42" s="224"/>
      <c r="D42" s="224"/>
      <c r="E42" s="224"/>
      <c r="F42" s="224"/>
      <c r="G42" s="224"/>
      <c r="H42" s="224"/>
      <c r="I42" s="224"/>
      <c r="J42" s="224"/>
      <c r="K42" s="224"/>
      <c r="L42" s="225"/>
      <c r="M42" s="224"/>
      <c r="N42" s="224"/>
      <c r="O42" s="224"/>
      <c r="P42" s="224"/>
      <c r="Q42" s="224"/>
      <c r="R42" s="224"/>
      <c r="S42" s="224"/>
      <c r="T42" s="224"/>
      <c r="U42" s="224"/>
      <c r="V42" s="224"/>
    </row>
    <row r="43" spans="1:22" ht="14.4" customHeight="1">
      <c r="A43" s="217"/>
      <c r="B43" s="220"/>
      <c r="C43" s="217"/>
      <c r="D43" s="217"/>
      <c r="E43" s="217"/>
      <c r="F43" s="217"/>
      <c r="G43" s="217"/>
      <c r="H43" s="217"/>
      <c r="I43" s="217"/>
      <c r="J43" s="217"/>
      <c r="K43" s="217"/>
      <c r="L43" s="220"/>
      <c r="M43" s="217"/>
      <c r="N43" s="217"/>
      <c r="O43" s="217"/>
      <c r="P43" s="217"/>
      <c r="Q43" s="217"/>
      <c r="R43" s="217"/>
      <c r="S43" s="217"/>
      <c r="T43" s="217"/>
      <c r="U43" s="217"/>
      <c r="V43" s="217"/>
    </row>
    <row r="44" spans="1:22" ht="14.4" customHeight="1">
      <c r="A44" s="217"/>
      <c r="B44" s="220"/>
      <c r="C44" s="217"/>
      <c r="D44" s="217"/>
      <c r="E44" s="217"/>
      <c r="F44" s="217"/>
      <c r="G44" s="217"/>
      <c r="H44" s="217"/>
      <c r="I44" s="217"/>
      <c r="J44" s="217"/>
      <c r="K44" s="217"/>
      <c r="L44" s="220"/>
      <c r="M44" s="217"/>
      <c r="N44" s="217"/>
      <c r="O44" s="217"/>
      <c r="P44" s="217"/>
      <c r="Q44" s="217"/>
      <c r="R44" s="217"/>
      <c r="S44" s="217"/>
      <c r="T44" s="217"/>
      <c r="U44" s="217"/>
      <c r="V44" s="217"/>
    </row>
    <row r="45" spans="1:22" ht="14.4" customHeight="1">
      <c r="A45" s="217"/>
      <c r="B45" s="220"/>
      <c r="C45" s="217"/>
      <c r="D45" s="217"/>
      <c r="E45" s="217"/>
      <c r="F45" s="217"/>
      <c r="G45" s="217"/>
      <c r="H45" s="217"/>
      <c r="I45" s="217"/>
      <c r="J45" s="217"/>
      <c r="K45" s="217"/>
      <c r="L45" s="220"/>
      <c r="M45" s="217"/>
      <c r="N45" s="217"/>
      <c r="O45" s="217"/>
      <c r="P45" s="217"/>
      <c r="Q45" s="217"/>
      <c r="R45" s="217"/>
      <c r="S45" s="217"/>
      <c r="T45" s="217"/>
      <c r="U45" s="217"/>
      <c r="V45" s="217"/>
    </row>
    <row r="46" spans="1:22" ht="14.4" customHeight="1">
      <c r="A46" s="217"/>
      <c r="B46" s="220"/>
      <c r="C46" s="217"/>
      <c r="D46" s="217"/>
      <c r="E46" s="217"/>
      <c r="F46" s="217"/>
      <c r="G46" s="217"/>
      <c r="H46" s="217"/>
      <c r="I46" s="217"/>
      <c r="J46" s="217"/>
      <c r="K46" s="217"/>
      <c r="L46" s="220"/>
      <c r="M46" s="217"/>
      <c r="N46" s="217"/>
      <c r="O46" s="217"/>
      <c r="P46" s="217"/>
      <c r="Q46" s="217"/>
      <c r="R46" s="217"/>
      <c r="S46" s="217"/>
      <c r="T46" s="217"/>
      <c r="U46" s="217"/>
      <c r="V46" s="217"/>
    </row>
    <row r="47" spans="1:22" ht="14.4" customHeight="1">
      <c r="A47" s="217"/>
      <c r="B47" s="220"/>
      <c r="C47" s="217"/>
      <c r="D47" s="217"/>
      <c r="E47" s="217"/>
      <c r="F47" s="217"/>
      <c r="G47" s="217"/>
      <c r="H47" s="217"/>
      <c r="I47" s="217"/>
      <c r="J47" s="217"/>
      <c r="K47" s="217"/>
      <c r="L47" s="220"/>
      <c r="M47" s="217"/>
      <c r="N47" s="217"/>
      <c r="O47" s="217"/>
      <c r="P47" s="217"/>
      <c r="Q47" s="217"/>
      <c r="R47" s="217"/>
      <c r="S47" s="217"/>
      <c r="T47" s="217"/>
      <c r="U47" s="217"/>
      <c r="V47" s="217"/>
    </row>
    <row r="48" spans="1:22" ht="14.4" customHeight="1">
      <c r="A48" s="217"/>
      <c r="B48" s="220"/>
      <c r="C48" s="217"/>
      <c r="D48" s="217"/>
      <c r="E48" s="217"/>
      <c r="F48" s="217"/>
      <c r="G48" s="217"/>
      <c r="H48" s="217"/>
      <c r="I48" s="217"/>
      <c r="J48" s="217"/>
      <c r="K48" s="217"/>
      <c r="L48" s="220"/>
      <c r="M48" s="217"/>
      <c r="N48" s="217"/>
      <c r="O48" s="217"/>
      <c r="P48" s="217"/>
      <c r="Q48" s="217"/>
      <c r="R48" s="217"/>
      <c r="S48" s="217"/>
      <c r="T48" s="217"/>
      <c r="U48" s="217"/>
      <c r="V48" s="217"/>
    </row>
    <row r="49" spans="1:22" ht="14.4" customHeight="1">
      <c r="A49" s="217"/>
      <c r="B49" s="220"/>
      <c r="C49" s="217"/>
      <c r="D49" s="217"/>
      <c r="E49" s="217"/>
      <c r="F49" s="217"/>
      <c r="G49" s="217"/>
      <c r="H49" s="217"/>
      <c r="I49" s="217"/>
      <c r="J49" s="217"/>
      <c r="K49" s="217"/>
      <c r="L49" s="220"/>
      <c r="M49" s="217"/>
      <c r="N49" s="217"/>
      <c r="O49" s="217"/>
      <c r="P49" s="217"/>
      <c r="Q49" s="217"/>
      <c r="R49" s="217"/>
      <c r="S49" s="217"/>
      <c r="T49" s="217"/>
      <c r="U49" s="217"/>
      <c r="V49" s="217"/>
    </row>
    <row r="50" spans="1:22" s="1" customFormat="1" ht="14.4" customHeight="1">
      <c r="A50" s="224"/>
      <c r="B50" s="225"/>
      <c r="C50" s="224"/>
      <c r="D50" s="245" t="s">
        <v>50</v>
      </c>
      <c r="E50" s="246"/>
      <c r="F50" s="246"/>
      <c r="G50" s="245" t="s">
        <v>51</v>
      </c>
      <c r="H50" s="246"/>
      <c r="I50" s="246"/>
      <c r="J50" s="246"/>
      <c r="K50" s="246"/>
      <c r="L50" s="225"/>
      <c r="M50" s="224"/>
      <c r="N50" s="224"/>
      <c r="O50" s="224"/>
      <c r="P50" s="224"/>
      <c r="Q50" s="224"/>
      <c r="R50" s="224"/>
      <c r="S50" s="224"/>
      <c r="T50" s="224"/>
      <c r="U50" s="224"/>
      <c r="V50" s="224"/>
    </row>
    <row r="51" spans="1:22">
      <c r="A51" s="217"/>
      <c r="B51" s="220"/>
      <c r="C51" s="217"/>
      <c r="D51" s="217"/>
      <c r="E51" s="217"/>
      <c r="F51" s="217"/>
      <c r="G51" s="217"/>
      <c r="H51" s="217"/>
      <c r="I51" s="217"/>
      <c r="J51" s="217"/>
      <c r="K51" s="217"/>
      <c r="L51" s="220"/>
      <c r="M51" s="217"/>
      <c r="N51" s="217"/>
      <c r="O51" s="217"/>
      <c r="P51" s="217"/>
      <c r="Q51" s="217"/>
      <c r="R51" s="217"/>
      <c r="S51" s="217"/>
      <c r="T51" s="217"/>
      <c r="U51" s="217"/>
      <c r="V51" s="217"/>
    </row>
    <row r="52" spans="1:22">
      <c r="A52" s="217"/>
      <c r="B52" s="220"/>
      <c r="C52" s="217"/>
      <c r="D52" s="217"/>
      <c r="E52" s="217"/>
      <c r="F52" s="217"/>
      <c r="G52" s="217"/>
      <c r="H52" s="217"/>
      <c r="I52" s="217"/>
      <c r="J52" s="217"/>
      <c r="K52" s="217"/>
      <c r="L52" s="220"/>
      <c r="M52" s="217"/>
      <c r="N52" s="217"/>
      <c r="O52" s="217"/>
      <c r="P52" s="217"/>
      <c r="Q52" s="217"/>
      <c r="R52" s="217"/>
      <c r="S52" s="217"/>
      <c r="T52" s="217"/>
      <c r="U52" s="217"/>
      <c r="V52" s="217"/>
    </row>
    <row r="53" spans="1:22">
      <c r="A53" s="217"/>
      <c r="B53" s="220"/>
      <c r="C53" s="217"/>
      <c r="D53" s="217"/>
      <c r="E53" s="217"/>
      <c r="F53" s="217"/>
      <c r="G53" s="217"/>
      <c r="H53" s="217"/>
      <c r="I53" s="217"/>
      <c r="J53" s="217"/>
      <c r="K53" s="217"/>
      <c r="L53" s="220"/>
      <c r="M53" s="217"/>
      <c r="N53" s="217"/>
      <c r="O53" s="217"/>
      <c r="P53" s="217"/>
      <c r="Q53" s="217"/>
      <c r="R53" s="217"/>
      <c r="S53" s="217"/>
      <c r="T53" s="217"/>
      <c r="U53" s="217"/>
      <c r="V53" s="217"/>
    </row>
    <row r="54" spans="1:22">
      <c r="A54" s="217"/>
      <c r="B54" s="220"/>
      <c r="C54" s="217"/>
      <c r="D54" s="217"/>
      <c r="E54" s="217"/>
      <c r="F54" s="217"/>
      <c r="G54" s="217"/>
      <c r="H54" s="217"/>
      <c r="I54" s="217"/>
      <c r="J54" s="217"/>
      <c r="K54" s="217"/>
      <c r="L54" s="220"/>
      <c r="M54" s="217"/>
      <c r="N54" s="217"/>
      <c r="O54" s="217"/>
      <c r="P54" s="217"/>
      <c r="Q54" s="217"/>
      <c r="R54" s="217"/>
      <c r="S54" s="217"/>
      <c r="T54" s="217"/>
      <c r="U54" s="217"/>
      <c r="V54" s="217"/>
    </row>
    <row r="55" spans="1:22">
      <c r="A55" s="217"/>
      <c r="B55" s="220"/>
      <c r="C55" s="217"/>
      <c r="D55" s="217"/>
      <c r="E55" s="217"/>
      <c r="F55" s="217"/>
      <c r="G55" s="217"/>
      <c r="H55" s="217"/>
      <c r="I55" s="217"/>
      <c r="J55" s="217"/>
      <c r="K55" s="217"/>
      <c r="L55" s="220"/>
      <c r="M55" s="217"/>
      <c r="N55" s="217"/>
      <c r="O55" s="217"/>
      <c r="P55" s="217"/>
      <c r="Q55" s="217"/>
      <c r="R55" s="217"/>
      <c r="S55" s="217"/>
      <c r="T55" s="217"/>
      <c r="U55" s="217"/>
      <c r="V55" s="217"/>
    </row>
    <row r="56" spans="1:22">
      <c r="A56" s="217"/>
      <c r="B56" s="220"/>
      <c r="C56" s="217"/>
      <c r="D56" s="217"/>
      <c r="E56" s="217"/>
      <c r="F56" s="217"/>
      <c r="G56" s="217"/>
      <c r="H56" s="217"/>
      <c r="I56" s="217"/>
      <c r="J56" s="217"/>
      <c r="K56" s="217"/>
      <c r="L56" s="220"/>
      <c r="M56" s="217"/>
      <c r="N56" s="217"/>
      <c r="O56" s="217"/>
      <c r="P56" s="217"/>
      <c r="Q56" s="217"/>
      <c r="R56" s="217"/>
      <c r="S56" s="217"/>
      <c r="T56" s="217"/>
      <c r="U56" s="217"/>
      <c r="V56" s="217"/>
    </row>
    <row r="57" spans="1:22">
      <c r="A57" s="217"/>
      <c r="B57" s="220"/>
      <c r="C57" s="217"/>
      <c r="D57" s="217"/>
      <c r="E57" s="217"/>
      <c r="F57" s="217"/>
      <c r="G57" s="217"/>
      <c r="H57" s="217"/>
      <c r="I57" s="217"/>
      <c r="J57" s="217"/>
      <c r="K57" s="217"/>
      <c r="L57" s="220"/>
      <c r="M57" s="217"/>
      <c r="N57" s="217"/>
      <c r="O57" s="217"/>
      <c r="P57" s="217"/>
      <c r="Q57" s="217"/>
      <c r="R57" s="217"/>
      <c r="S57" s="217"/>
      <c r="T57" s="217"/>
      <c r="U57" s="217"/>
      <c r="V57" s="217"/>
    </row>
    <row r="58" spans="1:22">
      <c r="A58" s="217"/>
      <c r="B58" s="220"/>
      <c r="C58" s="217"/>
      <c r="D58" s="217"/>
      <c r="E58" s="217"/>
      <c r="F58" s="217"/>
      <c r="G58" s="217"/>
      <c r="H58" s="217"/>
      <c r="I58" s="217"/>
      <c r="J58" s="217"/>
      <c r="K58" s="217"/>
      <c r="L58" s="220"/>
      <c r="M58" s="217"/>
      <c r="N58" s="217"/>
      <c r="O58" s="217"/>
      <c r="P58" s="217"/>
      <c r="Q58" s="217"/>
      <c r="R58" s="217"/>
      <c r="S58" s="217"/>
      <c r="T58" s="217"/>
      <c r="U58" s="217"/>
      <c r="V58" s="217"/>
    </row>
    <row r="59" spans="1:22">
      <c r="A59" s="217"/>
      <c r="B59" s="220"/>
      <c r="C59" s="217"/>
      <c r="D59" s="217"/>
      <c r="E59" s="217"/>
      <c r="F59" s="217"/>
      <c r="G59" s="217"/>
      <c r="H59" s="217"/>
      <c r="I59" s="217"/>
      <c r="J59" s="217"/>
      <c r="K59" s="217"/>
      <c r="L59" s="220"/>
      <c r="M59" s="217"/>
      <c r="N59" s="217"/>
      <c r="O59" s="217"/>
      <c r="P59" s="217"/>
      <c r="Q59" s="217"/>
      <c r="R59" s="217"/>
      <c r="S59" s="217"/>
      <c r="T59" s="217"/>
      <c r="U59" s="217"/>
      <c r="V59" s="217"/>
    </row>
    <row r="60" spans="1:22">
      <c r="A60" s="217"/>
      <c r="B60" s="220"/>
      <c r="C60" s="217"/>
      <c r="D60" s="217"/>
      <c r="E60" s="217"/>
      <c r="F60" s="217"/>
      <c r="G60" s="217"/>
      <c r="H60" s="217"/>
      <c r="I60" s="217"/>
      <c r="J60" s="217"/>
      <c r="K60" s="217"/>
      <c r="L60" s="220"/>
      <c r="M60" s="217"/>
      <c r="N60" s="217"/>
      <c r="O60" s="217"/>
      <c r="P60" s="217"/>
      <c r="Q60" s="217"/>
      <c r="R60" s="217"/>
      <c r="S60" s="217"/>
      <c r="T60" s="217"/>
      <c r="U60" s="217"/>
      <c r="V60" s="217"/>
    </row>
    <row r="61" spans="1:22" s="1" customFormat="1" ht="13.2">
      <c r="A61" s="224"/>
      <c r="B61" s="225"/>
      <c r="C61" s="224"/>
      <c r="D61" s="247" t="s">
        <v>52</v>
      </c>
      <c r="E61" s="248"/>
      <c r="F61" s="249" t="s">
        <v>53</v>
      </c>
      <c r="G61" s="247" t="s">
        <v>52</v>
      </c>
      <c r="H61" s="248"/>
      <c r="I61" s="248"/>
      <c r="J61" s="250" t="s">
        <v>53</v>
      </c>
      <c r="K61" s="248"/>
      <c r="L61" s="225"/>
      <c r="M61" s="224"/>
      <c r="N61" s="224"/>
      <c r="O61" s="224"/>
      <c r="P61" s="224"/>
      <c r="Q61" s="224"/>
      <c r="R61" s="224"/>
      <c r="S61" s="224"/>
      <c r="T61" s="224"/>
      <c r="U61" s="224"/>
      <c r="V61" s="224"/>
    </row>
    <row r="62" spans="1:22">
      <c r="A62" s="217"/>
      <c r="B62" s="220"/>
      <c r="C62" s="217"/>
      <c r="D62" s="217"/>
      <c r="E62" s="217"/>
      <c r="F62" s="217"/>
      <c r="G62" s="217"/>
      <c r="H62" s="217"/>
      <c r="I62" s="217"/>
      <c r="J62" s="217"/>
      <c r="K62" s="217"/>
      <c r="L62" s="220"/>
      <c r="M62" s="217"/>
      <c r="N62" s="217"/>
      <c r="O62" s="217"/>
      <c r="P62" s="217"/>
      <c r="Q62" s="217"/>
      <c r="R62" s="217"/>
      <c r="S62" s="217"/>
      <c r="T62" s="217"/>
      <c r="U62" s="217"/>
      <c r="V62" s="217"/>
    </row>
    <row r="63" spans="1:22">
      <c r="A63" s="217"/>
      <c r="B63" s="220"/>
      <c r="C63" s="217"/>
      <c r="D63" s="217"/>
      <c r="E63" s="217"/>
      <c r="F63" s="217"/>
      <c r="G63" s="217"/>
      <c r="H63" s="217"/>
      <c r="I63" s="217"/>
      <c r="J63" s="217"/>
      <c r="K63" s="217"/>
      <c r="L63" s="220"/>
      <c r="M63" s="217"/>
      <c r="N63" s="217"/>
      <c r="O63" s="217"/>
      <c r="P63" s="217"/>
      <c r="Q63" s="217"/>
      <c r="R63" s="217"/>
      <c r="S63" s="217"/>
      <c r="T63" s="217"/>
      <c r="U63" s="217"/>
      <c r="V63" s="217"/>
    </row>
    <row r="64" spans="1:22">
      <c r="A64" s="217"/>
      <c r="B64" s="220"/>
      <c r="C64" s="217"/>
      <c r="D64" s="217"/>
      <c r="E64" s="217"/>
      <c r="F64" s="217"/>
      <c r="G64" s="217"/>
      <c r="H64" s="217"/>
      <c r="I64" s="217"/>
      <c r="J64" s="217"/>
      <c r="K64" s="217"/>
      <c r="L64" s="220"/>
      <c r="M64" s="217"/>
      <c r="N64" s="217"/>
      <c r="O64" s="217"/>
      <c r="P64" s="217"/>
      <c r="Q64" s="217"/>
      <c r="R64" s="217"/>
      <c r="S64" s="217"/>
      <c r="T64" s="217"/>
      <c r="U64" s="217"/>
      <c r="V64" s="217"/>
    </row>
    <row r="65" spans="1:22" s="1" customFormat="1" ht="13.2">
      <c r="A65" s="224"/>
      <c r="B65" s="225"/>
      <c r="C65" s="224"/>
      <c r="D65" s="245" t="s">
        <v>54</v>
      </c>
      <c r="E65" s="246"/>
      <c r="F65" s="246"/>
      <c r="G65" s="245" t="s">
        <v>55</v>
      </c>
      <c r="H65" s="246"/>
      <c r="I65" s="246"/>
      <c r="J65" s="246"/>
      <c r="K65" s="246"/>
      <c r="L65" s="225"/>
      <c r="M65" s="224"/>
      <c r="N65" s="224"/>
      <c r="O65" s="224"/>
      <c r="P65" s="224"/>
      <c r="Q65" s="224"/>
      <c r="R65" s="224"/>
      <c r="S65" s="224"/>
      <c r="T65" s="224"/>
      <c r="U65" s="224"/>
      <c r="V65" s="224"/>
    </row>
    <row r="66" spans="1:22">
      <c r="A66" s="217"/>
      <c r="B66" s="220"/>
      <c r="C66" s="217"/>
      <c r="D66" s="217"/>
      <c r="E66" s="217"/>
      <c r="F66" s="217"/>
      <c r="G66" s="217"/>
      <c r="H66" s="217"/>
      <c r="I66" s="217"/>
      <c r="J66" s="217"/>
      <c r="K66" s="217"/>
      <c r="L66" s="220"/>
      <c r="M66" s="217"/>
      <c r="N66" s="217"/>
      <c r="O66" s="217"/>
      <c r="P66" s="217"/>
      <c r="Q66" s="217"/>
      <c r="R66" s="217"/>
      <c r="S66" s="217"/>
      <c r="T66" s="217"/>
      <c r="U66" s="217"/>
      <c r="V66" s="217"/>
    </row>
    <row r="67" spans="1:22">
      <c r="A67" s="217"/>
      <c r="B67" s="220"/>
      <c r="C67" s="217"/>
      <c r="D67" s="217"/>
      <c r="E67" s="217"/>
      <c r="F67" s="217"/>
      <c r="G67" s="217"/>
      <c r="H67" s="217"/>
      <c r="I67" s="217"/>
      <c r="J67" s="217"/>
      <c r="K67" s="217"/>
      <c r="L67" s="220"/>
      <c r="M67" s="217"/>
      <c r="N67" s="217"/>
      <c r="O67" s="217"/>
      <c r="P67" s="217"/>
      <c r="Q67" s="217"/>
      <c r="R67" s="217"/>
      <c r="S67" s="217"/>
      <c r="T67" s="217"/>
      <c r="U67" s="217"/>
      <c r="V67" s="217"/>
    </row>
    <row r="68" spans="1:22">
      <c r="A68" s="217"/>
      <c r="B68" s="220"/>
      <c r="C68" s="217"/>
      <c r="D68" s="217"/>
      <c r="E68" s="217"/>
      <c r="F68" s="217"/>
      <c r="G68" s="217"/>
      <c r="H68" s="217"/>
      <c r="I68" s="217"/>
      <c r="J68" s="217"/>
      <c r="K68" s="217"/>
      <c r="L68" s="220"/>
      <c r="M68" s="217"/>
      <c r="N68" s="217"/>
      <c r="O68" s="217"/>
      <c r="P68" s="217"/>
      <c r="Q68" s="217"/>
      <c r="R68" s="217"/>
      <c r="S68" s="217"/>
      <c r="T68" s="217"/>
      <c r="U68" s="217"/>
      <c r="V68" s="217"/>
    </row>
    <row r="69" spans="1:22">
      <c r="A69" s="217"/>
      <c r="B69" s="220"/>
      <c r="C69" s="217"/>
      <c r="D69" s="217"/>
      <c r="E69" s="217"/>
      <c r="F69" s="217"/>
      <c r="G69" s="217"/>
      <c r="H69" s="217"/>
      <c r="I69" s="217"/>
      <c r="J69" s="217"/>
      <c r="K69" s="217"/>
      <c r="L69" s="220"/>
      <c r="M69" s="217"/>
      <c r="N69" s="217"/>
      <c r="O69" s="217"/>
      <c r="P69" s="217"/>
      <c r="Q69" s="217"/>
      <c r="R69" s="217"/>
      <c r="S69" s="217"/>
      <c r="T69" s="217"/>
      <c r="U69" s="217"/>
      <c r="V69" s="217"/>
    </row>
    <row r="70" spans="1:22">
      <c r="A70" s="217"/>
      <c r="B70" s="220"/>
      <c r="C70" s="217"/>
      <c r="D70" s="217"/>
      <c r="E70" s="217"/>
      <c r="F70" s="217"/>
      <c r="G70" s="217"/>
      <c r="H70" s="217"/>
      <c r="I70" s="217"/>
      <c r="J70" s="217"/>
      <c r="K70" s="217"/>
      <c r="L70" s="220"/>
      <c r="M70" s="217"/>
      <c r="N70" s="217"/>
      <c r="O70" s="217"/>
      <c r="P70" s="217"/>
      <c r="Q70" s="217"/>
      <c r="R70" s="217"/>
      <c r="S70" s="217"/>
      <c r="T70" s="217"/>
      <c r="U70" s="217"/>
      <c r="V70" s="217"/>
    </row>
    <row r="71" spans="1:22">
      <c r="A71" s="217"/>
      <c r="B71" s="220"/>
      <c r="C71" s="217"/>
      <c r="D71" s="217"/>
      <c r="E71" s="217"/>
      <c r="F71" s="217"/>
      <c r="G71" s="217"/>
      <c r="H71" s="217"/>
      <c r="I71" s="217"/>
      <c r="J71" s="217"/>
      <c r="K71" s="217"/>
      <c r="L71" s="220"/>
      <c r="M71" s="217"/>
      <c r="N71" s="217"/>
      <c r="O71" s="217"/>
      <c r="P71" s="217"/>
      <c r="Q71" s="217"/>
      <c r="R71" s="217"/>
      <c r="S71" s="217"/>
      <c r="T71" s="217"/>
      <c r="U71" s="217"/>
      <c r="V71" s="217"/>
    </row>
    <row r="72" spans="1:22">
      <c r="A72" s="217"/>
      <c r="B72" s="220"/>
      <c r="C72" s="217"/>
      <c r="D72" s="217"/>
      <c r="E72" s="217"/>
      <c r="F72" s="217"/>
      <c r="G72" s="217"/>
      <c r="H72" s="217"/>
      <c r="I72" s="217"/>
      <c r="J72" s="217"/>
      <c r="K72" s="217"/>
      <c r="L72" s="220"/>
      <c r="M72" s="217"/>
      <c r="N72" s="217"/>
      <c r="O72" s="217"/>
      <c r="P72" s="217"/>
      <c r="Q72" s="217"/>
      <c r="R72" s="217"/>
      <c r="S72" s="217"/>
      <c r="T72" s="217"/>
      <c r="U72" s="217"/>
      <c r="V72" s="217"/>
    </row>
    <row r="73" spans="1:22">
      <c r="A73" s="217"/>
      <c r="B73" s="220"/>
      <c r="C73" s="217"/>
      <c r="D73" s="217"/>
      <c r="E73" s="217"/>
      <c r="F73" s="217"/>
      <c r="G73" s="217"/>
      <c r="H73" s="217"/>
      <c r="I73" s="217"/>
      <c r="J73" s="217"/>
      <c r="K73" s="217"/>
      <c r="L73" s="220"/>
      <c r="M73" s="217"/>
      <c r="N73" s="217"/>
      <c r="O73" s="217"/>
      <c r="P73" s="217"/>
      <c r="Q73" s="217"/>
      <c r="R73" s="217"/>
      <c r="S73" s="217"/>
      <c r="T73" s="217"/>
      <c r="U73" s="217"/>
      <c r="V73" s="217"/>
    </row>
    <row r="74" spans="1:22">
      <c r="A74" s="217"/>
      <c r="B74" s="220"/>
      <c r="C74" s="217"/>
      <c r="D74" s="217"/>
      <c r="E74" s="217"/>
      <c r="F74" s="217"/>
      <c r="G74" s="217"/>
      <c r="H74" s="217"/>
      <c r="I74" s="217"/>
      <c r="J74" s="217"/>
      <c r="K74" s="217"/>
      <c r="L74" s="220"/>
      <c r="M74" s="217"/>
      <c r="N74" s="217"/>
      <c r="O74" s="217"/>
      <c r="P74" s="217"/>
      <c r="Q74" s="217"/>
      <c r="R74" s="217"/>
      <c r="S74" s="217"/>
      <c r="T74" s="217"/>
      <c r="U74" s="217"/>
      <c r="V74" s="217"/>
    </row>
    <row r="75" spans="1:22">
      <c r="A75" s="217"/>
      <c r="B75" s="220"/>
      <c r="C75" s="217"/>
      <c r="D75" s="217"/>
      <c r="E75" s="217"/>
      <c r="F75" s="217"/>
      <c r="G75" s="217"/>
      <c r="H75" s="217"/>
      <c r="I75" s="217"/>
      <c r="J75" s="217"/>
      <c r="K75" s="217"/>
      <c r="L75" s="220"/>
      <c r="M75" s="217"/>
      <c r="N75" s="217"/>
      <c r="O75" s="217"/>
      <c r="P75" s="217"/>
      <c r="Q75" s="217"/>
      <c r="R75" s="217"/>
      <c r="S75" s="217"/>
      <c r="T75" s="217"/>
      <c r="U75" s="217"/>
      <c r="V75" s="217"/>
    </row>
    <row r="76" spans="1:22" s="1" customFormat="1" ht="13.2">
      <c r="A76" s="224"/>
      <c r="B76" s="225"/>
      <c r="C76" s="224"/>
      <c r="D76" s="247" t="s">
        <v>52</v>
      </c>
      <c r="E76" s="248"/>
      <c r="F76" s="249" t="s">
        <v>53</v>
      </c>
      <c r="G76" s="247" t="s">
        <v>52</v>
      </c>
      <c r="H76" s="248"/>
      <c r="I76" s="248"/>
      <c r="J76" s="250" t="s">
        <v>53</v>
      </c>
      <c r="K76" s="248"/>
      <c r="L76" s="225"/>
      <c r="M76" s="224"/>
      <c r="N76" s="224"/>
      <c r="O76" s="224"/>
      <c r="P76" s="224"/>
      <c r="Q76" s="224"/>
      <c r="R76" s="224"/>
      <c r="S76" s="224"/>
      <c r="T76" s="224"/>
      <c r="U76" s="224"/>
      <c r="V76" s="224"/>
    </row>
    <row r="77" spans="1:22" s="1" customFormat="1" ht="14.4" customHeight="1">
      <c r="A77" s="224"/>
      <c r="B77" s="251"/>
      <c r="C77" s="252"/>
      <c r="D77" s="252"/>
      <c r="E77" s="252"/>
      <c r="F77" s="252"/>
      <c r="G77" s="252"/>
      <c r="H77" s="252"/>
      <c r="I77" s="252"/>
      <c r="J77" s="252"/>
      <c r="K77" s="252"/>
      <c r="L77" s="225"/>
      <c r="M77" s="224"/>
      <c r="N77" s="224"/>
      <c r="O77" s="224"/>
      <c r="P77" s="224"/>
      <c r="Q77" s="224"/>
      <c r="R77" s="224"/>
      <c r="S77" s="224"/>
      <c r="T77" s="224"/>
      <c r="U77" s="224"/>
      <c r="V77" s="224"/>
    </row>
    <row r="78" spans="1:22">
      <c r="A78" s="217"/>
      <c r="B78" s="217"/>
      <c r="C78" s="217"/>
      <c r="D78" s="217"/>
      <c r="E78" s="217"/>
      <c r="F78" s="217"/>
      <c r="G78" s="217"/>
      <c r="H78" s="217"/>
      <c r="I78" s="217"/>
      <c r="J78" s="217"/>
      <c r="K78" s="217"/>
      <c r="L78" s="217"/>
      <c r="M78" s="217"/>
      <c r="N78" s="217"/>
      <c r="O78" s="217"/>
      <c r="P78" s="217"/>
      <c r="Q78" s="217"/>
      <c r="R78" s="217"/>
      <c r="S78" s="217"/>
      <c r="T78" s="217"/>
      <c r="U78" s="217"/>
      <c r="V78" s="217"/>
    </row>
    <row r="79" spans="1:22">
      <c r="A79" s="217"/>
      <c r="B79" s="217"/>
      <c r="C79" s="217"/>
      <c r="D79" s="217"/>
      <c r="E79" s="217"/>
      <c r="F79" s="217"/>
      <c r="G79" s="217"/>
      <c r="H79" s="217"/>
      <c r="I79" s="217"/>
      <c r="J79" s="217"/>
      <c r="K79" s="217"/>
      <c r="L79" s="217"/>
      <c r="M79" s="217"/>
      <c r="N79" s="217"/>
      <c r="O79" s="217"/>
      <c r="P79" s="217"/>
      <c r="Q79" s="217"/>
      <c r="R79" s="217"/>
      <c r="S79" s="217"/>
      <c r="T79" s="217"/>
      <c r="U79" s="217"/>
      <c r="V79" s="217"/>
    </row>
    <row r="80" spans="1:22">
      <c r="A80" s="217"/>
      <c r="B80" s="217"/>
      <c r="C80" s="217"/>
      <c r="D80" s="217"/>
      <c r="E80" s="217"/>
      <c r="F80" s="217"/>
      <c r="G80" s="217"/>
      <c r="H80" s="217"/>
      <c r="I80" s="217"/>
      <c r="J80" s="217"/>
      <c r="K80" s="217"/>
      <c r="L80" s="217"/>
      <c r="M80" s="217"/>
      <c r="N80" s="217"/>
      <c r="O80" s="217"/>
      <c r="P80" s="217"/>
      <c r="Q80" s="217"/>
      <c r="R80" s="217"/>
      <c r="S80" s="217"/>
      <c r="T80" s="217"/>
      <c r="U80" s="217"/>
      <c r="V80" s="217"/>
    </row>
    <row r="81" spans="1:22" s="1" customFormat="1" ht="6.9" customHeight="1">
      <c r="A81" s="224"/>
      <c r="B81" s="253"/>
      <c r="C81" s="254"/>
      <c r="D81" s="254"/>
      <c r="E81" s="254"/>
      <c r="F81" s="254"/>
      <c r="G81" s="254"/>
      <c r="H81" s="254"/>
      <c r="I81" s="254"/>
      <c r="J81" s="254"/>
      <c r="K81" s="254"/>
      <c r="L81" s="225"/>
      <c r="M81" s="224"/>
      <c r="N81" s="224"/>
      <c r="O81" s="224"/>
      <c r="P81" s="224"/>
      <c r="Q81" s="224"/>
      <c r="R81" s="224"/>
      <c r="S81" s="224"/>
      <c r="T81" s="224"/>
      <c r="U81" s="224"/>
      <c r="V81" s="224"/>
    </row>
    <row r="82" spans="1:22" s="1" customFormat="1" ht="24.9" customHeight="1">
      <c r="A82" s="224"/>
      <c r="B82" s="225"/>
      <c r="C82" s="221" t="s">
        <v>184</v>
      </c>
      <c r="D82" s="224"/>
      <c r="E82" s="224"/>
      <c r="F82" s="224"/>
      <c r="G82" s="224"/>
      <c r="H82" s="224"/>
      <c r="I82" s="224"/>
      <c r="J82" s="224"/>
      <c r="K82" s="224"/>
      <c r="L82" s="225"/>
      <c r="M82" s="224"/>
      <c r="N82" s="224"/>
      <c r="O82" s="224"/>
      <c r="P82" s="224"/>
      <c r="Q82" s="224"/>
      <c r="R82" s="224"/>
      <c r="S82" s="224"/>
      <c r="T82" s="224"/>
      <c r="U82" s="224"/>
      <c r="V82" s="224"/>
    </row>
    <row r="83" spans="1:22" s="1" customFormat="1" ht="6.9" customHeight="1">
      <c r="A83" s="224"/>
      <c r="B83" s="225"/>
      <c r="C83" s="224"/>
      <c r="D83" s="224"/>
      <c r="E83" s="224"/>
      <c r="F83" s="224"/>
      <c r="G83" s="224"/>
      <c r="H83" s="224"/>
      <c r="I83" s="224"/>
      <c r="J83" s="224"/>
      <c r="K83" s="224"/>
      <c r="L83" s="225"/>
      <c r="M83" s="224"/>
      <c r="N83" s="224"/>
      <c r="O83" s="224"/>
      <c r="P83" s="224"/>
      <c r="Q83" s="224"/>
      <c r="R83" s="224"/>
      <c r="S83" s="224"/>
      <c r="T83" s="224"/>
      <c r="U83" s="224"/>
      <c r="V83" s="224"/>
    </row>
    <row r="84" spans="1:22" s="1" customFormat="1" ht="12" customHeight="1">
      <c r="A84" s="224"/>
      <c r="B84" s="225"/>
      <c r="C84" s="223" t="s">
        <v>16</v>
      </c>
      <c r="D84" s="224"/>
      <c r="E84" s="224"/>
      <c r="F84" s="224"/>
      <c r="G84" s="224"/>
      <c r="H84" s="224"/>
      <c r="I84" s="224"/>
      <c r="J84" s="224"/>
      <c r="K84" s="224"/>
      <c r="L84" s="225"/>
      <c r="M84" s="224"/>
      <c r="N84" s="224"/>
      <c r="O84" s="224"/>
      <c r="P84" s="224"/>
      <c r="Q84" s="224"/>
      <c r="R84" s="224"/>
      <c r="S84" s="224"/>
      <c r="T84" s="224"/>
      <c r="U84" s="224"/>
      <c r="V84" s="224"/>
    </row>
    <row r="85" spans="1:22" s="1" customFormat="1" ht="16.5" customHeight="1">
      <c r="A85" s="224"/>
      <c r="B85" s="225"/>
      <c r="C85" s="224"/>
      <c r="D85" s="224"/>
      <c r="E85" s="396" t="str">
        <f>E7</f>
        <v>Bytový soubor Libuše</v>
      </c>
      <c r="F85" s="400"/>
      <c r="G85" s="400"/>
      <c r="H85" s="400"/>
      <c r="I85" s="224"/>
      <c r="J85" s="224"/>
      <c r="K85" s="224"/>
      <c r="L85" s="225"/>
      <c r="M85" s="224"/>
      <c r="N85" s="224"/>
      <c r="O85" s="224"/>
      <c r="P85" s="224"/>
      <c r="Q85" s="224"/>
      <c r="R85" s="224"/>
      <c r="S85" s="224"/>
      <c r="T85" s="224"/>
      <c r="U85" s="224"/>
      <c r="V85" s="224"/>
    </row>
    <row r="86" spans="1:22" ht="12" customHeight="1">
      <c r="A86" s="217"/>
      <c r="B86" s="220"/>
      <c r="C86" s="223" t="s">
        <v>182</v>
      </c>
      <c r="D86" s="217"/>
      <c r="E86" s="217"/>
      <c r="F86" s="217"/>
      <c r="G86" s="217"/>
      <c r="H86" s="217"/>
      <c r="I86" s="217"/>
      <c r="J86" s="217"/>
      <c r="K86" s="217"/>
      <c r="L86" s="220"/>
      <c r="M86" s="217"/>
      <c r="N86" s="217"/>
      <c r="O86" s="217"/>
      <c r="P86" s="217"/>
      <c r="Q86" s="217"/>
      <c r="R86" s="217"/>
      <c r="S86" s="217"/>
      <c r="T86" s="217"/>
      <c r="U86" s="217"/>
      <c r="V86" s="217"/>
    </row>
    <row r="87" spans="1:22" s="1" customFormat="1" ht="16.5" customHeight="1">
      <c r="A87" s="224"/>
      <c r="B87" s="225"/>
      <c r="C87" s="224"/>
      <c r="D87" s="224"/>
      <c r="E87" s="396" t="s">
        <v>293</v>
      </c>
      <c r="F87" s="397"/>
      <c r="G87" s="397"/>
      <c r="H87" s="397"/>
      <c r="I87" s="224"/>
      <c r="J87" s="224"/>
      <c r="K87" s="224"/>
      <c r="L87" s="225"/>
      <c r="M87" s="224"/>
      <c r="N87" s="224"/>
      <c r="O87" s="224"/>
      <c r="P87" s="224"/>
      <c r="Q87" s="224"/>
      <c r="R87" s="224"/>
      <c r="S87" s="224"/>
      <c r="T87" s="224"/>
      <c r="U87" s="224"/>
      <c r="V87" s="224"/>
    </row>
    <row r="88" spans="1:22" s="1" customFormat="1" ht="12" customHeight="1">
      <c r="A88" s="224"/>
      <c r="B88" s="225"/>
      <c r="C88" s="223" t="s">
        <v>296</v>
      </c>
      <c r="D88" s="224"/>
      <c r="E88" s="224"/>
      <c r="F88" s="224"/>
      <c r="G88" s="224"/>
      <c r="H88" s="224"/>
      <c r="I88" s="224"/>
      <c r="J88" s="224"/>
      <c r="K88" s="224"/>
      <c r="L88" s="225"/>
      <c r="M88" s="224"/>
      <c r="N88" s="224"/>
      <c r="O88" s="224"/>
      <c r="P88" s="224"/>
      <c r="Q88" s="224"/>
      <c r="R88" s="224"/>
      <c r="S88" s="224"/>
      <c r="T88" s="224"/>
      <c r="U88" s="224"/>
      <c r="V88" s="224"/>
    </row>
    <row r="89" spans="1:22" s="1" customFormat="1" ht="16.5" customHeight="1">
      <c r="A89" s="224"/>
      <c r="B89" s="225"/>
      <c r="C89" s="224"/>
      <c r="D89" s="224"/>
      <c r="E89" s="398" t="str">
        <f>E11</f>
        <v>D1.902 - Vnitřní dopravní značení</v>
      </c>
      <c r="F89" s="397"/>
      <c r="G89" s="397"/>
      <c r="H89" s="397"/>
      <c r="I89" s="224"/>
      <c r="J89" s="224"/>
      <c r="K89" s="224"/>
      <c r="L89" s="225"/>
      <c r="M89" s="224"/>
      <c r="N89" s="224"/>
      <c r="O89" s="224"/>
      <c r="P89" s="224"/>
      <c r="Q89" s="224"/>
      <c r="R89" s="224"/>
      <c r="S89" s="224"/>
      <c r="T89" s="224"/>
      <c r="U89" s="224"/>
      <c r="V89" s="224"/>
    </row>
    <row r="90" spans="1:22" s="1" customFormat="1" ht="6.9" customHeight="1">
      <c r="A90" s="224"/>
      <c r="B90" s="225"/>
      <c r="C90" s="224"/>
      <c r="D90" s="224"/>
      <c r="E90" s="224"/>
      <c r="F90" s="224"/>
      <c r="G90" s="224"/>
      <c r="H90" s="224"/>
      <c r="I90" s="224"/>
      <c r="J90" s="224"/>
      <c r="K90" s="224"/>
      <c r="L90" s="225"/>
      <c r="M90" s="224"/>
      <c r="N90" s="224"/>
      <c r="O90" s="224"/>
      <c r="P90" s="224"/>
      <c r="Q90" s="224"/>
      <c r="R90" s="224"/>
      <c r="S90" s="224"/>
      <c r="T90" s="224"/>
      <c r="U90" s="224"/>
      <c r="V90" s="224"/>
    </row>
    <row r="91" spans="1:22" s="1" customFormat="1" ht="12" customHeight="1">
      <c r="A91" s="224"/>
      <c r="B91" s="225"/>
      <c r="C91" s="223" t="s">
        <v>20</v>
      </c>
      <c r="D91" s="224"/>
      <c r="E91" s="224"/>
      <c r="F91" s="226" t="str">
        <f>F14</f>
        <v>Praha</v>
      </c>
      <c r="G91" s="224"/>
      <c r="H91" s="224"/>
      <c r="I91" s="223" t="s">
        <v>22</v>
      </c>
      <c r="J91" s="227">
        <f>IF(J14="","",J14)</f>
        <v>45000</v>
      </c>
      <c r="K91" s="224"/>
      <c r="L91" s="225"/>
      <c r="M91" s="224"/>
      <c r="N91" s="224"/>
      <c r="O91" s="224"/>
      <c r="P91" s="224"/>
      <c r="Q91" s="224"/>
      <c r="R91" s="224"/>
      <c r="S91" s="224"/>
      <c r="T91" s="224"/>
      <c r="U91" s="224"/>
      <c r="V91" s="224"/>
    </row>
    <row r="92" spans="1:22" s="1" customFormat="1" ht="6.9" customHeight="1">
      <c r="A92" s="224"/>
      <c r="B92" s="225"/>
      <c r="C92" s="224"/>
      <c r="D92" s="224"/>
      <c r="E92" s="224"/>
      <c r="F92" s="224"/>
      <c r="G92" s="224"/>
      <c r="H92" s="224"/>
      <c r="I92" s="224"/>
      <c r="J92" s="224"/>
      <c r="K92" s="224"/>
      <c r="L92" s="225"/>
      <c r="M92" s="224"/>
      <c r="N92" s="224"/>
      <c r="O92" s="224"/>
      <c r="P92" s="224"/>
      <c r="Q92" s="224"/>
      <c r="R92" s="224"/>
      <c r="S92" s="224"/>
      <c r="T92" s="224"/>
      <c r="U92" s="224"/>
      <c r="V92" s="224"/>
    </row>
    <row r="93" spans="1:22" s="1" customFormat="1" ht="15.15" customHeight="1">
      <c r="A93" s="224"/>
      <c r="B93" s="225"/>
      <c r="C93" s="223" t="s">
        <v>23</v>
      </c>
      <c r="D93" s="224"/>
      <c r="E93" s="224"/>
      <c r="F93" s="226" t="str">
        <f>E17</f>
        <v>VELTON REAL ESTATE</v>
      </c>
      <c r="G93" s="224"/>
      <c r="H93" s="224"/>
      <c r="I93" s="223" t="s">
        <v>31</v>
      </c>
      <c r="J93" s="231" t="str">
        <f>E23</f>
        <v>ABMV World s.r.o</v>
      </c>
      <c r="K93" s="224"/>
      <c r="L93" s="225"/>
      <c r="M93" s="224"/>
      <c r="N93" s="224"/>
      <c r="O93" s="224"/>
      <c r="P93" s="224"/>
      <c r="Q93" s="224"/>
      <c r="R93" s="224"/>
      <c r="S93" s="224"/>
      <c r="T93" s="224"/>
      <c r="U93" s="224"/>
      <c r="V93" s="224"/>
    </row>
    <row r="94" spans="1:22" s="1" customFormat="1" ht="15.15" customHeight="1">
      <c r="A94" s="224"/>
      <c r="B94" s="225"/>
      <c r="C94" s="223" t="s">
        <v>27</v>
      </c>
      <c r="D94" s="224"/>
      <c r="E94" s="224"/>
      <c r="F94" s="226" t="str">
        <f>IF(E20="","",E20)</f>
        <v>DMG Stav a.s.</v>
      </c>
      <c r="G94" s="224"/>
      <c r="H94" s="224"/>
      <c r="I94" s="223" t="s">
        <v>34</v>
      </c>
      <c r="J94" s="231" t="str">
        <f>E26</f>
        <v>QSB s.r.o.</v>
      </c>
      <c r="K94" s="224"/>
      <c r="L94" s="225"/>
      <c r="M94" s="224"/>
      <c r="N94" s="224"/>
      <c r="O94" s="224"/>
      <c r="P94" s="224"/>
      <c r="Q94" s="224"/>
      <c r="R94" s="224"/>
      <c r="S94" s="224"/>
      <c r="T94" s="224"/>
      <c r="U94" s="224"/>
      <c r="V94" s="224"/>
    </row>
    <row r="95" spans="1:22" s="1" customFormat="1" ht="10.35" customHeight="1">
      <c r="A95" s="224"/>
      <c r="B95" s="225"/>
      <c r="C95" s="224"/>
      <c r="D95" s="224"/>
      <c r="E95" s="224"/>
      <c r="F95" s="224"/>
      <c r="G95" s="224"/>
      <c r="H95" s="224"/>
      <c r="I95" s="224"/>
      <c r="J95" s="224"/>
      <c r="K95" s="224"/>
      <c r="L95" s="225"/>
      <c r="M95" s="224"/>
      <c r="N95" s="224"/>
      <c r="O95" s="224"/>
      <c r="P95" s="224"/>
      <c r="Q95" s="224"/>
      <c r="R95" s="224"/>
      <c r="S95" s="224"/>
      <c r="T95" s="224"/>
      <c r="U95" s="224"/>
      <c r="V95" s="224"/>
    </row>
    <row r="96" spans="1:22" s="1" customFormat="1" ht="29.25" customHeight="1">
      <c r="A96" s="224"/>
      <c r="B96" s="225"/>
      <c r="C96" s="255" t="s">
        <v>185</v>
      </c>
      <c r="D96" s="224"/>
      <c r="E96" s="224"/>
      <c r="F96" s="224"/>
      <c r="G96" s="224"/>
      <c r="H96" s="224"/>
      <c r="I96" s="224"/>
      <c r="J96" s="256" t="s">
        <v>186</v>
      </c>
      <c r="K96" s="224"/>
      <c r="L96" s="225"/>
      <c r="M96" s="224"/>
      <c r="N96" s="224"/>
      <c r="O96" s="224"/>
      <c r="P96" s="224"/>
      <c r="Q96" s="224"/>
      <c r="R96" s="224"/>
      <c r="S96" s="224"/>
      <c r="T96" s="224"/>
      <c r="U96" s="224"/>
      <c r="V96" s="224"/>
    </row>
    <row r="97" spans="1:47" s="1" customFormat="1" ht="10.35" customHeight="1">
      <c r="A97" s="224"/>
      <c r="B97" s="225"/>
      <c r="C97" s="224"/>
      <c r="D97" s="224"/>
      <c r="E97" s="224"/>
      <c r="F97" s="224"/>
      <c r="G97" s="224"/>
      <c r="H97" s="224"/>
      <c r="I97" s="224"/>
      <c r="J97" s="224"/>
      <c r="K97" s="224"/>
      <c r="L97" s="225"/>
      <c r="M97" s="224"/>
      <c r="N97" s="224"/>
      <c r="O97" s="224"/>
      <c r="P97" s="224"/>
      <c r="Q97" s="224"/>
      <c r="R97" s="224"/>
      <c r="S97" s="224"/>
      <c r="T97" s="224"/>
      <c r="U97" s="224"/>
      <c r="V97" s="224"/>
    </row>
    <row r="98" spans="1:47" s="1" customFormat="1" ht="23.1" customHeight="1">
      <c r="A98" s="224"/>
      <c r="B98" s="225"/>
      <c r="C98" s="257" t="s">
        <v>187</v>
      </c>
      <c r="D98" s="224"/>
      <c r="E98" s="224"/>
      <c r="F98" s="224"/>
      <c r="G98" s="224"/>
      <c r="H98" s="224"/>
      <c r="I98" s="224"/>
      <c r="J98" s="234">
        <f>J123</f>
        <v>187492.73</v>
      </c>
      <c r="K98" s="224"/>
      <c r="L98" s="225"/>
      <c r="M98" s="224"/>
      <c r="N98" s="224"/>
      <c r="O98" s="224"/>
      <c r="P98" s="224"/>
      <c r="Q98" s="224"/>
      <c r="R98" s="224"/>
      <c r="S98" s="224"/>
      <c r="T98" s="224"/>
      <c r="U98" s="224"/>
      <c r="V98" s="224"/>
      <c r="AU98" s="23" t="s">
        <v>188</v>
      </c>
    </row>
    <row r="99" spans="1:47" s="29" customFormat="1" ht="24.9" customHeight="1">
      <c r="A99" s="258"/>
      <c r="B99" s="259"/>
      <c r="C99" s="258"/>
      <c r="D99" s="260" t="s">
        <v>324</v>
      </c>
      <c r="E99" s="261"/>
      <c r="F99" s="261"/>
      <c r="G99" s="261"/>
      <c r="H99" s="261"/>
      <c r="I99" s="261"/>
      <c r="J99" s="262">
        <f>J124</f>
        <v>187492.73</v>
      </c>
      <c r="K99" s="258"/>
      <c r="L99" s="259"/>
      <c r="M99" s="258"/>
      <c r="N99" s="258"/>
      <c r="O99" s="258"/>
      <c r="P99" s="258"/>
      <c r="Q99" s="258"/>
      <c r="R99" s="258"/>
      <c r="S99" s="258"/>
      <c r="T99" s="258"/>
      <c r="U99" s="258"/>
      <c r="V99" s="258"/>
    </row>
    <row r="100" spans="1:47" s="30" customFormat="1" ht="20.100000000000001" customHeight="1">
      <c r="A100" s="263"/>
      <c r="B100" s="264"/>
      <c r="C100" s="263"/>
      <c r="D100" s="265" t="s">
        <v>330</v>
      </c>
      <c r="E100" s="266"/>
      <c r="F100" s="266"/>
      <c r="G100" s="266"/>
      <c r="H100" s="266"/>
      <c r="I100" s="266"/>
      <c r="J100" s="267">
        <f>J125</f>
        <v>186265.4</v>
      </c>
      <c r="K100" s="263"/>
      <c r="L100" s="264"/>
      <c r="M100" s="263"/>
      <c r="N100" s="263"/>
      <c r="O100" s="263"/>
      <c r="P100" s="263"/>
      <c r="Q100" s="263"/>
      <c r="R100" s="263"/>
      <c r="S100" s="263"/>
      <c r="T100" s="263"/>
      <c r="U100" s="263"/>
      <c r="V100" s="263"/>
    </row>
    <row r="101" spans="1:47" s="30" customFormat="1" ht="20.100000000000001" customHeight="1">
      <c r="A101" s="263"/>
      <c r="B101" s="264"/>
      <c r="C101" s="263"/>
      <c r="D101" s="265" t="s">
        <v>331</v>
      </c>
      <c r="E101" s="266"/>
      <c r="F101" s="266"/>
      <c r="G101" s="266"/>
      <c r="H101" s="266"/>
      <c r="I101" s="266"/>
      <c r="J101" s="267">
        <f>J160</f>
        <v>1227.33</v>
      </c>
      <c r="K101" s="263"/>
      <c r="L101" s="264"/>
      <c r="M101" s="263"/>
      <c r="N101" s="263"/>
      <c r="O101" s="263"/>
      <c r="P101" s="263"/>
      <c r="Q101" s="263"/>
      <c r="R101" s="263"/>
      <c r="S101" s="263"/>
      <c r="T101" s="263"/>
      <c r="U101" s="263"/>
      <c r="V101" s="263"/>
    </row>
    <row r="102" spans="1:47" s="1" customFormat="1" ht="21.75" customHeight="1">
      <c r="A102" s="224"/>
      <c r="B102" s="225"/>
      <c r="C102" s="224"/>
      <c r="D102" s="224"/>
      <c r="E102" s="224"/>
      <c r="F102" s="224"/>
      <c r="G102" s="224"/>
      <c r="H102" s="224"/>
      <c r="I102" s="224"/>
      <c r="J102" s="224"/>
      <c r="K102" s="224"/>
      <c r="L102" s="225"/>
      <c r="M102" s="224"/>
      <c r="N102" s="224"/>
      <c r="O102" s="224"/>
      <c r="P102" s="224"/>
      <c r="Q102" s="224"/>
      <c r="R102" s="224"/>
      <c r="S102" s="224"/>
      <c r="T102" s="224"/>
      <c r="U102" s="224"/>
      <c r="V102" s="224"/>
    </row>
    <row r="103" spans="1:47" s="1" customFormat="1" ht="6.9" customHeight="1">
      <c r="A103" s="224"/>
      <c r="B103" s="251"/>
      <c r="C103" s="252"/>
      <c r="D103" s="252"/>
      <c r="E103" s="252"/>
      <c r="F103" s="252"/>
      <c r="G103" s="252"/>
      <c r="H103" s="252"/>
      <c r="I103" s="252"/>
      <c r="J103" s="252"/>
      <c r="K103" s="252"/>
      <c r="L103" s="225"/>
      <c r="M103" s="224"/>
      <c r="N103" s="224"/>
      <c r="O103" s="224"/>
      <c r="P103" s="224"/>
      <c r="Q103" s="224"/>
      <c r="R103" s="224"/>
      <c r="S103" s="224"/>
      <c r="T103" s="224"/>
      <c r="U103" s="224"/>
      <c r="V103" s="224"/>
    </row>
    <row r="104" spans="1:47">
      <c r="A104" s="217"/>
      <c r="B104" s="217"/>
      <c r="C104" s="217"/>
      <c r="D104" s="217"/>
      <c r="E104" s="217"/>
      <c r="F104" s="217"/>
      <c r="G104" s="217"/>
      <c r="H104" s="217"/>
      <c r="I104" s="217"/>
      <c r="J104" s="217"/>
      <c r="K104" s="217"/>
      <c r="L104" s="217"/>
      <c r="M104" s="217"/>
      <c r="N104" s="217"/>
      <c r="O104" s="217"/>
      <c r="P104" s="217"/>
      <c r="Q104" s="217"/>
      <c r="R104" s="217"/>
      <c r="S104" s="217"/>
      <c r="T104" s="217"/>
      <c r="U104" s="217"/>
      <c r="V104" s="217"/>
    </row>
    <row r="105" spans="1:47">
      <c r="A105" s="217"/>
      <c r="B105" s="217"/>
      <c r="C105" s="217"/>
      <c r="D105" s="217"/>
      <c r="E105" s="217"/>
      <c r="F105" s="217"/>
      <c r="G105" s="217"/>
      <c r="H105" s="217"/>
      <c r="I105" s="217"/>
      <c r="J105" s="217"/>
      <c r="K105" s="217"/>
      <c r="L105" s="217"/>
      <c r="M105" s="217"/>
      <c r="N105" s="217"/>
      <c r="O105" s="217"/>
      <c r="P105" s="217"/>
      <c r="Q105" s="217"/>
      <c r="R105" s="217"/>
      <c r="S105" s="217"/>
      <c r="T105" s="217"/>
      <c r="U105" s="217"/>
      <c r="V105" s="217"/>
    </row>
    <row r="106" spans="1:47">
      <c r="A106" s="217"/>
      <c r="B106" s="217"/>
      <c r="C106" s="217"/>
      <c r="D106" s="217"/>
      <c r="E106" s="217"/>
      <c r="F106" s="217"/>
      <c r="G106" s="217"/>
      <c r="H106" s="217"/>
      <c r="I106" s="217"/>
      <c r="J106" s="217"/>
      <c r="K106" s="217"/>
      <c r="L106" s="217"/>
      <c r="M106" s="217"/>
      <c r="N106" s="217"/>
      <c r="O106" s="217"/>
      <c r="P106" s="217"/>
      <c r="Q106" s="217"/>
      <c r="R106" s="217"/>
      <c r="S106" s="217"/>
      <c r="T106" s="217"/>
      <c r="U106" s="217"/>
      <c r="V106" s="217"/>
    </row>
    <row r="107" spans="1:47" s="1" customFormat="1" ht="6.9" customHeight="1">
      <c r="A107" s="224"/>
      <c r="B107" s="253"/>
      <c r="C107" s="254"/>
      <c r="D107" s="254"/>
      <c r="E107" s="254"/>
      <c r="F107" s="254"/>
      <c r="G107" s="254"/>
      <c r="H107" s="254"/>
      <c r="I107" s="254"/>
      <c r="J107" s="254"/>
      <c r="K107" s="254"/>
      <c r="L107" s="225"/>
      <c r="M107" s="224"/>
      <c r="N107" s="224"/>
      <c r="O107" s="224"/>
      <c r="P107" s="224"/>
      <c r="Q107" s="224"/>
      <c r="R107" s="224"/>
      <c r="S107" s="224"/>
      <c r="T107" s="224"/>
      <c r="U107" s="224"/>
      <c r="V107" s="224"/>
    </row>
    <row r="108" spans="1:47" s="1" customFormat="1" ht="24.9" customHeight="1">
      <c r="A108" s="224"/>
      <c r="B108" s="225"/>
      <c r="C108" s="221" t="s">
        <v>195</v>
      </c>
      <c r="D108" s="224"/>
      <c r="E108" s="224"/>
      <c r="F108" s="224"/>
      <c r="G108" s="224"/>
      <c r="H108" s="224"/>
      <c r="I108" s="224"/>
      <c r="J108" s="224"/>
      <c r="K108" s="224"/>
      <c r="L108" s="225"/>
      <c r="M108" s="224"/>
      <c r="N108" s="224"/>
      <c r="O108" s="224"/>
      <c r="P108" s="224"/>
      <c r="Q108" s="224"/>
      <c r="R108" s="224"/>
      <c r="S108" s="224"/>
      <c r="T108" s="224"/>
      <c r="U108" s="224"/>
      <c r="V108" s="224"/>
    </row>
    <row r="109" spans="1:47" s="1" customFormat="1" ht="6.9" customHeight="1">
      <c r="A109" s="224"/>
      <c r="B109" s="225"/>
      <c r="C109" s="224"/>
      <c r="D109" s="224"/>
      <c r="E109" s="224"/>
      <c r="F109" s="224"/>
      <c r="G109" s="224"/>
      <c r="H109" s="224"/>
      <c r="I109" s="224"/>
      <c r="J109" s="224"/>
      <c r="K109" s="224"/>
      <c r="L109" s="225"/>
      <c r="M109" s="224"/>
      <c r="N109" s="224"/>
      <c r="O109" s="224"/>
      <c r="P109" s="224"/>
      <c r="Q109" s="224"/>
      <c r="R109" s="224"/>
      <c r="S109" s="224"/>
      <c r="T109" s="224"/>
      <c r="U109" s="224"/>
      <c r="V109" s="224"/>
    </row>
    <row r="110" spans="1:47" s="1" customFormat="1" ht="12" customHeight="1">
      <c r="A110" s="224"/>
      <c r="B110" s="225"/>
      <c r="C110" s="223" t="s">
        <v>16</v>
      </c>
      <c r="D110" s="224"/>
      <c r="E110" s="224"/>
      <c r="F110" s="224"/>
      <c r="G110" s="224"/>
      <c r="H110" s="224"/>
      <c r="I110" s="224"/>
      <c r="J110" s="224"/>
      <c r="K110" s="224"/>
      <c r="L110" s="225"/>
      <c r="M110" s="224"/>
      <c r="N110" s="224"/>
      <c r="O110" s="224"/>
      <c r="P110" s="224"/>
      <c r="Q110" s="224"/>
      <c r="R110" s="224"/>
      <c r="S110" s="224"/>
      <c r="T110" s="224"/>
      <c r="U110" s="224"/>
      <c r="V110" s="224"/>
    </row>
    <row r="111" spans="1:47" s="1" customFormat="1" ht="16.5" customHeight="1">
      <c r="A111" s="224"/>
      <c r="B111" s="225"/>
      <c r="C111" s="224"/>
      <c r="D111" s="224"/>
      <c r="E111" s="396" t="str">
        <f>E7</f>
        <v>Bytový soubor Libuše</v>
      </c>
      <c r="F111" s="400"/>
      <c r="G111" s="400"/>
      <c r="H111" s="400"/>
      <c r="I111" s="224"/>
      <c r="J111" s="224"/>
      <c r="K111" s="224"/>
      <c r="L111" s="225"/>
      <c r="M111" s="224"/>
      <c r="N111" s="224"/>
      <c r="O111" s="224"/>
      <c r="P111" s="224"/>
      <c r="Q111" s="224"/>
      <c r="R111" s="224"/>
      <c r="S111" s="224"/>
      <c r="T111" s="224"/>
      <c r="U111" s="224"/>
      <c r="V111" s="224"/>
    </row>
    <row r="112" spans="1:47" ht="12" customHeight="1">
      <c r="A112" s="217"/>
      <c r="B112" s="220"/>
      <c r="C112" s="223" t="s">
        <v>182</v>
      </c>
      <c r="D112" s="217"/>
      <c r="E112" s="217"/>
      <c r="F112" s="217"/>
      <c r="G112" s="217"/>
      <c r="H112" s="217"/>
      <c r="I112" s="217"/>
      <c r="J112" s="217"/>
      <c r="K112" s="217"/>
      <c r="L112" s="220"/>
      <c r="M112" s="217"/>
      <c r="N112" s="217"/>
      <c r="O112" s="217"/>
      <c r="P112" s="217"/>
      <c r="Q112" s="217"/>
      <c r="R112" s="217"/>
      <c r="S112" s="217"/>
      <c r="T112" s="217"/>
      <c r="U112" s="217"/>
      <c r="V112" s="217"/>
    </row>
    <row r="113" spans="1:65" s="1" customFormat="1" ht="16.5" customHeight="1">
      <c r="A113" s="224"/>
      <c r="B113" s="225"/>
      <c r="C113" s="224"/>
      <c r="D113" s="224"/>
      <c r="E113" s="396" t="s">
        <v>293</v>
      </c>
      <c r="F113" s="397"/>
      <c r="G113" s="397"/>
      <c r="H113" s="397"/>
      <c r="I113" s="224"/>
      <c r="J113" s="224"/>
      <c r="K113" s="224"/>
      <c r="L113" s="225"/>
      <c r="M113" s="224"/>
      <c r="N113" s="224"/>
      <c r="O113" s="224"/>
      <c r="P113" s="224"/>
      <c r="Q113" s="224"/>
      <c r="R113" s="224"/>
      <c r="S113" s="224"/>
      <c r="T113" s="224"/>
      <c r="U113" s="224"/>
      <c r="V113" s="224"/>
    </row>
    <row r="114" spans="1:65" s="1" customFormat="1" ht="12" customHeight="1">
      <c r="A114" s="224"/>
      <c r="B114" s="225"/>
      <c r="C114" s="223" t="s">
        <v>296</v>
      </c>
      <c r="D114" s="224"/>
      <c r="E114" s="224"/>
      <c r="F114" s="224"/>
      <c r="G114" s="224"/>
      <c r="H114" s="224"/>
      <c r="I114" s="224"/>
      <c r="J114" s="224"/>
      <c r="K114" s="224"/>
      <c r="L114" s="225"/>
      <c r="M114" s="224"/>
      <c r="N114" s="224"/>
      <c r="O114" s="224"/>
      <c r="P114" s="224"/>
      <c r="Q114" s="224"/>
      <c r="R114" s="224"/>
      <c r="S114" s="224"/>
      <c r="T114" s="224"/>
      <c r="U114" s="224"/>
      <c r="V114" s="224"/>
    </row>
    <row r="115" spans="1:65" s="1" customFormat="1" ht="16.5" customHeight="1">
      <c r="A115" s="224"/>
      <c r="B115" s="225"/>
      <c r="C115" s="224"/>
      <c r="D115" s="224"/>
      <c r="E115" s="398" t="str">
        <f>E11</f>
        <v>D1.902 - Vnitřní dopravní značení</v>
      </c>
      <c r="F115" s="397"/>
      <c r="G115" s="397"/>
      <c r="H115" s="397"/>
      <c r="I115" s="224"/>
      <c r="J115" s="224"/>
      <c r="K115" s="224"/>
      <c r="L115" s="225"/>
      <c r="M115" s="224"/>
      <c r="N115" s="224"/>
      <c r="O115" s="224"/>
      <c r="P115" s="224"/>
      <c r="Q115" s="224"/>
      <c r="R115" s="224"/>
      <c r="S115" s="224"/>
      <c r="T115" s="224"/>
      <c r="U115" s="224"/>
      <c r="V115" s="224"/>
    </row>
    <row r="116" spans="1:65" s="1" customFormat="1" ht="6.9" customHeight="1">
      <c r="A116" s="224"/>
      <c r="B116" s="225"/>
      <c r="C116" s="224"/>
      <c r="D116" s="224"/>
      <c r="E116" s="224"/>
      <c r="F116" s="224"/>
      <c r="G116" s="224"/>
      <c r="H116" s="224"/>
      <c r="I116" s="224"/>
      <c r="J116" s="224"/>
      <c r="K116" s="224"/>
      <c r="L116" s="225"/>
      <c r="M116" s="224"/>
      <c r="N116" s="224"/>
      <c r="O116" s="224"/>
      <c r="P116" s="224"/>
      <c r="Q116" s="224"/>
      <c r="R116" s="224"/>
      <c r="S116" s="224"/>
      <c r="T116" s="224"/>
      <c r="U116" s="224"/>
      <c r="V116" s="224"/>
    </row>
    <row r="117" spans="1:65" s="1" customFormat="1" ht="12" customHeight="1">
      <c r="A117" s="224"/>
      <c r="B117" s="225"/>
      <c r="C117" s="223" t="s">
        <v>20</v>
      </c>
      <c r="D117" s="224"/>
      <c r="E117" s="224"/>
      <c r="F117" s="226" t="str">
        <f>F14</f>
        <v>Praha</v>
      </c>
      <c r="G117" s="224"/>
      <c r="H117" s="224"/>
      <c r="I117" s="223" t="s">
        <v>22</v>
      </c>
      <c r="J117" s="227">
        <f>IF(J14="","",J14)</f>
        <v>45000</v>
      </c>
      <c r="K117" s="224"/>
      <c r="L117" s="225"/>
      <c r="M117" s="224"/>
      <c r="N117" s="224"/>
      <c r="O117" s="224"/>
      <c r="P117" s="224"/>
      <c r="Q117" s="224"/>
      <c r="R117" s="224"/>
      <c r="S117" s="224"/>
      <c r="T117" s="224"/>
      <c r="U117" s="224"/>
      <c r="V117" s="224"/>
    </row>
    <row r="118" spans="1:65" s="1" customFormat="1" ht="6.9" customHeight="1">
      <c r="A118" s="224"/>
      <c r="B118" s="225"/>
      <c r="C118" s="224"/>
      <c r="D118" s="224"/>
      <c r="E118" s="224"/>
      <c r="F118" s="224"/>
      <c r="G118" s="224"/>
      <c r="H118" s="224"/>
      <c r="I118" s="224"/>
      <c r="J118" s="224"/>
      <c r="K118" s="224"/>
      <c r="L118" s="225"/>
      <c r="M118" s="224"/>
      <c r="N118" s="224"/>
      <c r="O118" s="224"/>
      <c r="P118" s="224"/>
      <c r="Q118" s="224"/>
      <c r="R118" s="224"/>
      <c r="S118" s="224"/>
      <c r="T118" s="224"/>
      <c r="U118" s="224"/>
      <c r="V118" s="224"/>
    </row>
    <row r="119" spans="1:65" s="1" customFormat="1" ht="15.15" customHeight="1">
      <c r="A119" s="224"/>
      <c r="B119" s="225"/>
      <c r="C119" s="223" t="s">
        <v>23</v>
      </c>
      <c r="D119" s="224"/>
      <c r="E119" s="224"/>
      <c r="F119" s="226" t="str">
        <f>E17</f>
        <v>VELTON REAL ESTATE</v>
      </c>
      <c r="G119" s="224"/>
      <c r="H119" s="224"/>
      <c r="I119" s="223" t="s">
        <v>31</v>
      </c>
      <c r="J119" s="231" t="str">
        <f>E23</f>
        <v>ABMV World s.r.o</v>
      </c>
      <c r="K119" s="224"/>
      <c r="L119" s="225"/>
      <c r="M119" s="224"/>
      <c r="N119" s="224"/>
      <c r="O119" s="224"/>
      <c r="P119" s="224"/>
      <c r="Q119" s="224"/>
      <c r="R119" s="224"/>
      <c r="S119" s="224"/>
      <c r="T119" s="224"/>
      <c r="U119" s="224"/>
      <c r="V119" s="224"/>
    </row>
    <row r="120" spans="1:65" s="1" customFormat="1" ht="15.15" customHeight="1">
      <c r="A120" s="224"/>
      <c r="B120" s="225"/>
      <c r="C120" s="223" t="s">
        <v>27</v>
      </c>
      <c r="D120" s="224"/>
      <c r="E120" s="224"/>
      <c r="F120" s="226" t="str">
        <f>IF(E20="","",E20)</f>
        <v>DMG Stav a.s.</v>
      </c>
      <c r="G120" s="224"/>
      <c r="H120" s="224"/>
      <c r="I120" s="223" t="s">
        <v>34</v>
      </c>
      <c r="J120" s="231" t="str">
        <f>E26</f>
        <v>QSB s.r.o.</v>
      </c>
      <c r="K120" s="224"/>
      <c r="L120" s="225"/>
      <c r="M120" s="224"/>
      <c r="N120" s="224"/>
      <c r="O120" s="224"/>
      <c r="P120" s="224"/>
      <c r="Q120" s="224"/>
      <c r="R120" s="224"/>
      <c r="S120" s="224"/>
      <c r="T120" s="224"/>
      <c r="U120" s="224"/>
      <c r="V120" s="224"/>
    </row>
    <row r="121" spans="1:65" s="1" customFormat="1" ht="10.35" customHeight="1">
      <c r="A121" s="224"/>
      <c r="B121" s="225"/>
      <c r="C121" s="224"/>
      <c r="D121" s="224"/>
      <c r="E121" s="224"/>
      <c r="F121" s="224"/>
      <c r="G121" s="224"/>
      <c r="H121" s="224"/>
      <c r="I121" s="224"/>
      <c r="J121" s="224"/>
      <c r="K121" s="224"/>
      <c r="L121" s="225"/>
      <c r="M121" s="224"/>
      <c r="N121" s="224"/>
      <c r="O121" s="224"/>
      <c r="P121" s="224"/>
      <c r="Q121" s="224"/>
      <c r="R121" s="224"/>
      <c r="S121" s="224"/>
      <c r="T121" s="224"/>
      <c r="U121" s="224"/>
      <c r="V121" s="224"/>
    </row>
    <row r="122" spans="1:65" s="2" customFormat="1" ht="29.25" customHeight="1">
      <c r="A122" s="268"/>
      <c r="B122" s="269"/>
      <c r="C122" s="270" t="s">
        <v>196</v>
      </c>
      <c r="D122" s="271" t="s">
        <v>62</v>
      </c>
      <c r="E122" s="271" t="s">
        <v>58</v>
      </c>
      <c r="F122" s="271" t="s">
        <v>59</v>
      </c>
      <c r="G122" s="271" t="s">
        <v>197</v>
      </c>
      <c r="H122" s="271" t="s">
        <v>198</v>
      </c>
      <c r="I122" s="271" t="s">
        <v>199</v>
      </c>
      <c r="J122" s="272" t="s">
        <v>186</v>
      </c>
      <c r="K122" s="273" t="s">
        <v>200</v>
      </c>
      <c r="L122" s="269"/>
      <c r="M122" s="274" t="s">
        <v>1</v>
      </c>
      <c r="N122" s="275" t="s">
        <v>41</v>
      </c>
      <c r="O122" s="275" t="s">
        <v>201</v>
      </c>
      <c r="P122" s="275" t="s">
        <v>202</v>
      </c>
      <c r="Q122" s="275" t="s">
        <v>203</v>
      </c>
      <c r="R122" s="275" t="s">
        <v>204</v>
      </c>
      <c r="S122" s="275" t="s">
        <v>205</v>
      </c>
      <c r="T122" s="276" t="s">
        <v>206</v>
      </c>
      <c r="U122" s="268"/>
      <c r="V122" s="268"/>
    </row>
    <row r="123" spans="1:65" s="1" customFormat="1" ht="23.1" customHeight="1">
      <c r="A123" s="224"/>
      <c r="B123" s="225"/>
      <c r="C123" s="277" t="s">
        <v>207</v>
      </c>
      <c r="D123" s="224"/>
      <c r="E123" s="224"/>
      <c r="F123" s="224"/>
      <c r="G123" s="224"/>
      <c r="H123" s="224"/>
      <c r="I123" s="224"/>
      <c r="J123" s="278">
        <f>BK123</f>
        <v>187492.73</v>
      </c>
      <c r="K123" s="224"/>
      <c r="L123" s="225"/>
      <c r="M123" s="279"/>
      <c r="N123" s="232"/>
      <c r="O123" s="232"/>
      <c r="P123" s="280">
        <f>P124</f>
        <v>0</v>
      </c>
      <c r="Q123" s="232"/>
      <c r="R123" s="280">
        <f>R124</f>
        <v>0</v>
      </c>
      <c r="S123" s="232"/>
      <c r="T123" s="281">
        <f>T124</f>
        <v>0</v>
      </c>
      <c r="U123" s="224"/>
      <c r="V123" s="224"/>
      <c r="AT123" s="23" t="s">
        <v>76</v>
      </c>
      <c r="AU123" s="23" t="s">
        <v>188</v>
      </c>
      <c r="BK123" s="102">
        <f>BK124</f>
        <v>187492.73</v>
      </c>
    </row>
    <row r="124" spans="1:65" s="31" customFormat="1" ht="26.1" customHeight="1">
      <c r="A124" s="282"/>
      <c r="B124" s="283"/>
      <c r="C124" s="282"/>
      <c r="D124" s="284" t="s">
        <v>76</v>
      </c>
      <c r="E124" s="285" t="s">
        <v>352</v>
      </c>
      <c r="F124" s="285" t="s">
        <v>353</v>
      </c>
      <c r="G124" s="282"/>
      <c r="H124" s="282"/>
      <c r="I124" s="286"/>
      <c r="J124" s="287">
        <f>BK124</f>
        <v>187492.73</v>
      </c>
      <c r="K124" s="282"/>
      <c r="L124" s="283"/>
      <c r="M124" s="288"/>
      <c r="N124" s="282"/>
      <c r="O124" s="282"/>
      <c r="P124" s="289">
        <f>P125+P160</f>
        <v>0</v>
      </c>
      <c r="Q124" s="282"/>
      <c r="R124" s="289">
        <f>R125+R160</f>
        <v>0</v>
      </c>
      <c r="S124" s="282"/>
      <c r="T124" s="290">
        <f>T125+T160</f>
        <v>0</v>
      </c>
      <c r="U124" s="282"/>
      <c r="V124" s="282"/>
      <c r="AR124" s="68" t="s">
        <v>85</v>
      </c>
      <c r="AT124" s="100" t="s">
        <v>76</v>
      </c>
      <c r="AU124" s="100" t="s">
        <v>77</v>
      </c>
      <c r="AY124" s="68" t="s">
        <v>211</v>
      </c>
      <c r="BK124" s="103">
        <f>BK125+BK160</f>
        <v>187492.73</v>
      </c>
    </row>
    <row r="125" spans="1:65" s="31" customFormat="1" ht="23.1" customHeight="1">
      <c r="A125" s="282"/>
      <c r="B125" s="283"/>
      <c r="C125" s="282"/>
      <c r="D125" s="284" t="s">
        <v>76</v>
      </c>
      <c r="E125" s="291" t="s">
        <v>255</v>
      </c>
      <c r="F125" s="291" t="s">
        <v>1311</v>
      </c>
      <c r="G125" s="282"/>
      <c r="H125" s="282"/>
      <c r="I125" s="286"/>
      <c r="J125" s="292">
        <f>BK125</f>
        <v>186265.4</v>
      </c>
      <c r="K125" s="282"/>
      <c r="L125" s="283"/>
      <c r="M125" s="288"/>
      <c r="N125" s="282"/>
      <c r="O125" s="282"/>
      <c r="P125" s="289">
        <f>SUM(P126:P159)</f>
        <v>0</v>
      </c>
      <c r="Q125" s="282"/>
      <c r="R125" s="289">
        <f>SUM(R126:R159)</f>
        <v>0</v>
      </c>
      <c r="S125" s="282"/>
      <c r="T125" s="290">
        <f>SUM(T126:T159)</f>
        <v>0</v>
      </c>
      <c r="U125" s="282"/>
      <c r="V125" s="282"/>
      <c r="AR125" s="68" t="s">
        <v>85</v>
      </c>
      <c r="AT125" s="100" t="s">
        <v>76</v>
      </c>
      <c r="AU125" s="100" t="s">
        <v>85</v>
      </c>
      <c r="AY125" s="68" t="s">
        <v>211</v>
      </c>
      <c r="BK125" s="103">
        <f>SUM(BK126:BK159)</f>
        <v>186265.4</v>
      </c>
    </row>
    <row r="126" spans="1:65" s="1" customFormat="1" ht="24.15" customHeight="1">
      <c r="A126" s="224"/>
      <c r="B126" s="225"/>
      <c r="C126" s="293" t="s">
        <v>85</v>
      </c>
      <c r="D126" s="293" t="s">
        <v>214</v>
      </c>
      <c r="E126" s="294" t="s">
        <v>5431</v>
      </c>
      <c r="F126" s="295" t="s">
        <v>5432</v>
      </c>
      <c r="G126" s="296" t="s">
        <v>1599</v>
      </c>
      <c r="H126" s="297">
        <v>2</v>
      </c>
      <c r="I126" s="298">
        <v>200</v>
      </c>
      <c r="J126" s="299">
        <f>ROUND(I126*H126,2)</f>
        <v>400</v>
      </c>
      <c r="K126" s="300"/>
      <c r="L126" s="225"/>
      <c r="M126" s="301" t="s">
        <v>1</v>
      </c>
      <c r="N126" s="302" t="s">
        <v>42</v>
      </c>
      <c r="O126" s="224"/>
      <c r="P126" s="303">
        <f>O126*H126</f>
        <v>0</v>
      </c>
      <c r="Q126" s="303">
        <v>0</v>
      </c>
      <c r="R126" s="303">
        <f>Q126*H126</f>
        <v>0</v>
      </c>
      <c r="S126" s="303">
        <v>0</v>
      </c>
      <c r="T126" s="304">
        <f>S126*H126</f>
        <v>0</v>
      </c>
      <c r="U126" s="224"/>
      <c r="V126" s="224"/>
      <c r="AR126" s="101" t="s">
        <v>218</v>
      </c>
      <c r="AT126" s="101" t="s">
        <v>214</v>
      </c>
      <c r="AU126" s="101" t="s">
        <v>87</v>
      </c>
      <c r="AY126" s="23" t="s">
        <v>211</v>
      </c>
      <c r="BE126" s="104">
        <f>IF(N126="základní",J126,0)</f>
        <v>400</v>
      </c>
      <c r="BF126" s="104">
        <f>IF(N126="snížená",J126,0)</f>
        <v>0</v>
      </c>
      <c r="BG126" s="104">
        <f>IF(N126="zákl. přenesená",J126,0)</f>
        <v>0</v>
      </c>
      <c r="BH126" s="104">
        <f>IF(N126="sníž. přenesená",J126,0)</f>
        <v>0</v>
      </c>
      <c r="BI126" s="104">
        <f>IF(N126="nulová",J126,0)</f>
        <v>0</v>
      </c>
      <c r="BJ126" s="23" t="s">
        <v>85</v>
      </c>
      <c r="BK126" s="104">
        <f>ROUND(I126*H126,2)</f>
        <v>400</v>
      </c>
      <c r="BL126" s="23" t="s">
        <v>218</v>
      </c>
      <c r="BM126" s="101" t="s">
        <v>87</v>
      </c>
    </row>
    <row r="127" spans="1:65" s="1" customFormat="1" ht="24.15" customHeight="1">
      <c r="A127" s="224"/>
      <c r="B127" s="225"/>
      <c r="C127" s="305" t="s">
        <v>87</v>
      </c>
      <c r="D127" s="305" t="s">
        <v>438</v>
      </c>
      <c r="E127" s="306" t="s">
        <v>5433</v>
      </c>
      <c r="F127" s="307" t="s">
        <v>5434</v>
      </c>
      <c r="G127" s="308" t="s">
        <v>1599</v>
      </c>
      <c r="H127" s="309">
        <v>2</v>
      </c>
      <c r="I127" s="310">
        <v>900</v>
      </c>
      <c r="J127" s="311">
        <f>ROUND(I127*H127,2)</f>
        <v>1800</v>
      </c>
      <c r="K127" s="312"/>
      <c r="L127" s="313"/>
      <c r="M127" s="314" t="s">
        <v>1</v>
      </c>
      <c r="N127" s="315" t="s">
        <v>42</v>
      </c>
      <c r="O127" s="224"/>
      <c r="P127" s="303">
        <f>O127*H127</f>
        <v>0</v>
      </c>
      <c r="Q127" s="303">
        <v>0</v>
      </c>
      <c r="R127" s="303">
        <f>Q127*H127</f>
        <v>0</v>
      </c>
      <c r="S127" s="303">
        <v>0</v>
      </c>
      <c r="T127" s="304">
        <f>S127*H127</f>
        <v>0</v>
      </c>
      <c r="U127" s="224"/>
      <c r="V127" s="224"/>
      <c r="AR127" s="101" t="s">
        <v>250</v>
      </c>
      <c r="AT127" s="101" t="s">
        <v>438</v>
      </c>
      <c r="AU127" s="101" t="s">
        <v>87</v>
      </c>
      <c r="AY127" s="23" t="s">
        <v>211</v>
      </c>
      <c r="BE127" s="104">
        <f>IF(N127="základní",J127,0)</f>
        <v>1800</v>
      </c>
      <c r="BF127" s="104">
        <f>IF(N127="snížená",J127,0)</f>
        <v>0</v>
      </c>
      <c r="BG127" s="104">
        <f>IF(N127="zákl. přenesená",J127,0)</f>
        <v>0</v>
      </c>
      <c r="BH127" s="104">
        <f>IF(N127="sníž. přenesená",J127,0)</f>
        <v>0</v>
      </c>
      <c r="BI127" s="104">
        <f>IF(N127="nulová",J127,0)</f>
        <v>0</v>
      </c>
      <c r="BJ127" s="23" t="s">
        <v>85</v>
      </c>
      <c r="BK127" s="104">
        <f>ROUND(I127*H127,2)</f>
        <v>1800</v>
      </c>
      <c r="BL127" s="23" t="s">
        <v>218</v>
      </c>
      <c r="BM127" s="101" t="s">
        <v>218</v>
      </c>
    </row>
    <row r="128" spans="1:65" s="136" customFormat="1">
      <c r="A128" s="316"/>
      <c r="B128" s="317"/>
      <c r="C128" s="316"/>
      <c r="D128" s="318" t="s">
        <v>365</v>
      </c>
      <c r="E128" s="319" t="s">
        <v>1</v>
      </c>
      <c r="F128" s="320" t="s">
        <v>5435</v>
      </c>
      <c r="G128" s="316"/>
      <c r="H128" s="319" t="s">
        <v>1</v>
      </c>
      <c r="I128" s="321"/>
      <c r="J128" s="316"/>
      <c r="K128" s="316"/>
      <c r="L128" s="317"/>
      <c r="M128" s="322"/>
      <c r="N128" s="316"/>
      <c r="O128" s="316"/>
      <c r="P128" s="316"/>
      <c r="Q128" s="316"/>
      <c r="R128" s="316"/>
      <c r="S128" s="316"/>
      <c r="T128" s="323"/>
      <c r="U128" s="316"/>
      <c r="V128" s="316"/>
      <c r="AT128" s="139" t="s">
        <v>365</v>
      </c>
      <c r="AU128" s="139" t="s">
        <v>87</v>
      </c>
      <c r="AV128" s="136" t="s">
        <v>85</v>
      </c>
      <c r="AW128" s="136" t="s">
        <v>33</v>
      </c>
      <c r="AX128" s="136" t="s">
        <v>77</v>
      </c>
      <c r="AY128" s="139" t="s">
        <v>211</v>
      </c>
    </row>
    <row r="129" spans="1:65" s="113" customFormat="1">
      <c r="A129" s="324"/>
      <c r="B129" s="325"/>
      <c r="C129" s="324"/>
      <c r="D129" s="318" t="s">
        <v>365</v>
      </c>
      <c r="E129" s="326" t="s">
        <v>1</v>
      </c>
      <c r="F129" s="327" t="s">
        <v>87</v>
      </c>
      <c r="G129" s="324"/>
      <c r="H129" s="328">
        <v>2</v>
      </c>
      <c r="I129" s="329"/>
      <c r="J129" s="324"/>
      <c r="K129" s="324"/>
      <c r="L129" s="325"/>
      <c r="M129" s="330"/>
      <c r="N129" s="324"/>
      <c r="O129" s="324"/>
      <c r="P129" s="324"/>
      <c r="Q129" s="324"/>
      <c r="R129" s="324"/>
      <c r="S129" s="324"/>
      <c r="T129" s="331"/>
      <c r="U129" s="324"/>
      <c r="V129" s="324"/>
      <c r="AT129" s="135" t="s">
        <v>365</v>
      </c>
      <c r="AU129" s="135" t="s">
        <v>87</v>
      </c>
      <c r="AV129" s="113" t="s">
        <v>87</v>
      </c>
      <c r="AW129" s="113" t="s">
        <v>33</v>
      </c>
      <c r="AX129" s="113" t="s">
        <v>77</v>
      </c>
      <c r="AY129" s="135" t="s">
        <v>211</v>
      </c>
    </row>
    <row r="130" spans="1:65" s="137" customFormat="1">
      <c r="A130" s="332"/>
      <c r="B130" s="333"/>
      <c r="C130" s="332"/>
      <c r="D130" s="318" t="s">
        <v>365</v>
      </c>
      <c r="E130" s="334" t="s">
        <v>1</v>
      </c>
      <c r="F130" s="335" t="s">
        <v>368</v>
      </c>
      <c r="G130" s="332"/>
      <c r="H130" s="336">
        <v>2</v>
      </c>
      <c r="I130" s="337"/>
      <c r="J130" s="332"/>
      <c r="K130" s="332"/>
      <c r="L130" s="333"/>
      <c r="M130" s="338"/>
      <c r="N130" s="332"/>
      <c r="O130" s="332"/>
      <c r="P130" s="332"/>
      <c r="Q130" s="332"/>
      <c r="R130" s="332"/>
      <c r="S130" s="332"/>
      <c r="T130" s="339"/>
      <c r="U130" s="332"/>
      <c r="V130" s="332"/>
      <c r="AT130" s="142" t="s">
        <v>365</v>
      </c>
      <c r="AU130" s="142" t="s">
        <v>87</v>
      </c>
      <c r="AV130" s="137" t="s">
        <v>218</v>
      </c>
      <c r="AW130" s="137" t="s">
        <v>33</v>
      </c>
      <c r="AX130" s="137" t="s">
        <v>85</v>
      </c>
      <c r="AY130" s="142" t="s">
        <v>211</v>
      </c>
    </row>
    <row r="131" spans="1:65" s="1" customFormat="1" ht="24.15" customHeight="1">
      <c r="A131" s="224"/>
      <c r="B131" s="225"/>
      <c r="C131" s="293" t="s">
        <v>137</v>
      </c>
      <c r="D131" s="293" t="s">
        <v>214</v>
      </c>
      <c r="E131" s="294" t="s">
        <v>5436</v>
      </c>
      <c r="F131" s="295" t="s">
        <v>5437</v>
      </c>
      <c r="G131" s="296" t="s">
        <v>1599</v>
      </c>
      <c r="H131" s="297">
        <v>2</v>
      </c>
      <c r="I131" s="298">
        <v>300</v>
      </c>
      <c r="J131" s="299">
        <f>ROUND(I131*H131,2)</f>
        <v>600</v>
      </c>
      <c r="K131" s="300"/>
      <c r="L131" s="225"/>
      <c r="M131" s="301" t="s">
        <v>1</v>
      </c>
      <c r="N131" s="302" t="s">
        <v>42</v>
      </c>
      <c r="O131" s="224"/>
      <c r="P131" s="303">
        <f>O131*H131</f>
        <v>0</v>
      </c>
      <c r="Q131" s="303">
        <v>0</v>
      </c>
      <c r="R131" s="303">
        <f>Q131*H131</f>
        <v>0</v>
      </c>
      <c r="S131" s="303">
        <v>0</v>
      </c>
      <c r="T131" s="304">
        <f>S131*H131</f>
        <v>0</v>
      </c>
      <c r="U131" s="224"/>
      <c r="V131" s="224"/>
      <c r="AR131" s="101" t="s">
        <v>218</v>
      </c>
      <c r="AT131" s="101" t="s">
        <v>214</v>
      </c>
      <c r="AU131" s="101" t="s">
        <v>87</v>
      </c>
      <c r="AY131" s="23" t="s">
        <v>211</v>
      </c>
      <c r="BE131" s="104">
        <f>IF(N131="základní",J131,0)</f>
        <v>600</v>
      </c>
      <c r="BF131" s="104">
        <f>IF(N131="snížená",J131,0)</f>
        <v>0</v>
      </c>
      <c r="BG131" s="104">
        <f>IF(N131="zákl. přenesená",J131,0)</f>
        <v>0</v>
      </c>
      <c r="BH131" s="104">
        <f>IF(N131="sníž. přenesená",J131,0)</f>
        <v>0</v>
      </c>
      <c r="BI131" s="104">
        <f>IF(N131="nulová",J131,0)</f>
        <v>0</v>
      </c>
      <c r="BJ131" s="23" t="s">
        <v>85</v>
      </c>
      <c r="BK131" s="104">
        <f>ROUND(I131*H131,2)</f>
        <v>600</v>
      </c>
      <c r="BL131" s="23" t="s">
        <v>218</v>
      </c>
      <c r="BM131" s="101" t="s">
        <v>239</v>
      </c>
    </row>
    <row r="132" spans="1:65" s="1" customFormat="1" ht="21.75" customHeight="1">
      <c r="A132" s="224"/>
      <c r="B132" s="225"/>
      <c r="C132" s="305" t="s">
        <v>218</v>
      </c>
      <c r="D132" s="305" t="s">
        <v>438</v>
      </c>
      <c r="E132" s="306" t="s">
        <v>5438</v>
      </c>
      <c r="F132" s="307" t="s">
        <v>5439</v>
      </c>
      <c r="G132" s="308" t="s">
        <v>1599</v>
      </c>
      <c r="H132" s="309">
        <v>2</v>
      </c>
      <c r="I132" s="310">
        <v>600</v>
      </c>
      <c r="J132" s="311">
        <f>ROUND(I132*H132,2)</f>
        <v>1200</v>
      </c>
      <c r="K132" s="312"/>
      <c r="L132" s="313"/>
      <c r="M132" s="314" t="s">
        <v>1</v>
      </c>
      <c r="N132" s="315" t="s">
        <v>42</v>
      </c>
      <c r="O132" s="224"/>
      <c r="P132" s="303">
        <f>O132*H132</f>
        <v>0</v>
      </c>
      <c r="Q132" s="303">
        <v>0</v>
      </c>
      <c r="R132" s="303">
        <f>Q132*H132</f>
        <v>0</v>
      </c>
      <c r="S132" s="303">
        <v>0</v>
      </c>
      <c r="T132" s="304">
        <f>S132*H132</f>
        <v>0</v>
      </c>
      <c r="U132" s="224"/>
      <c r="V132" s="224"/>
      <c r="AR132" s="101" t="s">
        <v>250</v>
      </c>
      <c r="AT132" s="101" t="s">
        <v>438</v>
      </c>
      <c r="AU132" s="101" t="s">
        <v>87</v>
      </c>
      <c r="AY132" s="23" t="s">
        <v>211</v>
      </c>
      <c r="BE132" s="104">
        <f>IF(N132="základní",J132,0)</f>
        <v>1200</v>
      </c>
      <c r="BF132" s="104">
        <f>IF(N132="snížená",J132,0)</f>
        <v>0</v>
      </c>
      <c r="BG132" s="104">
        <f>IF(N132="zákl. přenesená",J132,0)</f>
        <v>0</v>
      </c>
      <c r="BH132" s="104">
        <f>IF(N132="sníž. přenesená",J132,0)</f>
        <v>0</v>
      </c>
      <c r="BI132" s="104">
        <f>IF(N132="nulová",J132,0)</f>
        <v>0</v>
      </c>
      <c r="BJ132" s="23" t="s">
        <v>85</v>
      </c>
      <c r="BK132" s="104">
        <f>ROUND(I132*H132,2)</f>
        <v>1200</v>
      </c>
      <c r="BL132" s="23" t="s">
        <v>218</v>
      </c>
      <c r="BM132" s="101" t="s">
        <v>250</v>
      </c>
    </row>
    <row r="133" spans="1:65" s="1" customFormat="1" ht="33" customHeight="1">
      <c r="A133" s="224"/>
      <c r="B133" s="225"/>
      <c r="C133" s="293" t="s">
        <v>210</v>
      </c>
      <c r="D133" s="293" t="s">
        <v>214</v>
      </c>
      <c r="E133" s="294" t="s">
        <v>5440</v>
      </c>
      <c r="F133" s="295" t="s">
        <v>5441</v>
      </c>
      <c r="G133" s="296" t="s">
        <v>444</v>
      </c>
      <c r="H133" s="297">
        <v>263</v>
      </c>
      <c r="I133" s="298">
        <v>33</v>
      </c>
      <c r="J133" s="299">
        <f>ROUND(I133*H133,2)</f>
        <v>8679</v>
      </c>
      <c r="K133" s="300"/>
      <c r="L133" s="225"/>
      <c r="M133" s="301" t="s">
        <v>1</v>
      </c>
      <c r="N133" s="302" t="s">
        <v>42</v>
      </c>
      <c r="O133" s="224"/>
      <c r="P133" s="303">
        <f>O133*H133</f>
        <v>0</v>
      </c>
      <c r="Q133" s="303">
        <v>0</v>
      </c>
      <c r="R133" s="303">
        <f>Q133*H133</f>
        <v>0</v>
      </c>
      <c r="S133" s="303">
        <v>0</v>
      </c>
      <c r="T133" s="304">
        <f>S133*H133</f>
        <v>0</v>
      </c>
      <c r="U133" s="224"/>
      <c r="V133" s="224"/>
      <c r="AR133" s="101" t="s">
        <v>218</v>
      </c>
      <c r="AT133" s="101" t="s">
        <v>214</v>
      </c>
      <c r="AU133" s="101" t="s">
        <v>87</v>
      </c>
      <c r="AY133" s="23" t="s">
        <v>211</v>
      </c>
      <c r="BE133" s="104">
        <f>IF(N133="základní",J133,0)</f>
        <v>8679</v>
      </c>
      <c r="BF133" s="104">
        <f>IF(N133="snížená",J133,0)</f>
        <v>0</v>
      </c>
      <c r="BG133" s="104">
        <f>IF(N133="zákl. přenesená",J133,0)</f>
        <v>0</v>
      </c>
      <c r="BH133" s="104">
        <f>IF(N133="sníž. přenesená",J133,0)</f>
        <v>0</v>
      </c>
      <c r="BI133" s="104">
        <f>IF(N133="nulová",J133,0)</f>
        <v>0</v>
      </c>
      <c r="BJ133" s="23" t="s">
        <v>85</v>
      </c>
      <c r="BK133" s="104">
        <f>ROUND(I133*H133,2)</f>
        <v>8679</v>
      </c>
      <c r="BL133" s="23" t="s">
        <v>218</v>
      </c>
      <c r="BM133" s="101" t="s">
        <v>259</v>
      </c>
    </row>
    <row r="134" spans="1:65" s="136" customFormat="1">
      <c r="A134" s="316"/>
      <c r="B134" s="317"/>
      <c r="C134" s="316"/>
      <c r="D134" s="318" t="s">
        <v>365</v>
      </c>
      <c r="E134" s="319" t="s">
        <v>1</v>
      </c>
      <c r="F134" s="320" t="s">
        <v>5442</v>
      </c>
      <c r="G134" s="316"/>
      <c r="H134" s="319" t="s">
        <v>1</v>
      </c>
      <c r="I134" s="321"/>
      <c r="J134" s="316"/>
      <c r="K134" s="316"/>
      <c r="L134" s="317"/>
      <c r="M134" s="322"/>
      <c r="N134" s="316"/>
      <c r="O134" s="316"/>
      <c r="P134" s="316"/>
      <c r="Q134" s="316"/>
      <c r="R134" s="316"/>
      <c r="S134" s="316"/>
      <c r="T134" s="323"/>
      <c r="U134" s="316"/>
      <c r="V134" s="316"/>
      <c r="AT134" s="139" t="s">
        <v>365</v>
      </c>
      <c r="AU134" s="139" t="s">
        <v>87</v>
      </c>
      <c r="AV134" s="136" t="s">
        <v>85</v>
      </c>
      <c r="AW134" s="136" t="s">
        <v>33</v>
      </c>
      <c r="AX134" s="136" t="s">
        <v>77</v>
      </c>
      <c r="AY134" s="139" t="s">
        <v>211</v>
      </c>
    </row>
    <row r="135" spans="1:65" s="113" customFormat="1">
      <c r="A135" s="324"/>
      <c r="B135" s="325"/>
      <c r="C135" s="324"/>
      <c r="D135" s="318" t="s">
        <v>365</v>
      </c>
      <c r="E135" s="326" t="s">
        <v>1</v>
      </c>
      <c r="F135" s="327" t="s">
        <v>5443</v>
      </c>
      <c r="G135" s="324"/>
      <c r="H135" s="328">
        <v>263</v>
      </c>
      <c r="I135" s="329"/>
      <c r="J135" s="324"/>
      <c r="K135" s="324"/>
      <c r="L135" s="325"/>
      <c r="M135" s="330"/>
      <c r="N135" s="324"/>
      <c r="O135" s="324"/>
      <c r="P135" s="324"/>
      <c r="Q135" s="324"/>
      <c r="R135" s="324"/>
      <c r="S135" s="324"/>
      <c r="T135" s="331"/>
      <c r="U135" s="324"/>
      <c r="V135" s="324"/>
      <c r="AT135" s="135" t="s">
        <v>365</v>
      </c>
      <c r="AU135" s="135" t="s">
        <v>87</v>
      </c>
      <c r="AV135" s="113" t="s">
        <v>87</v>
      </c>
      <c r="AW135" s="113" t="s">
        <v>33</v>
      </c>
      <c r="AX135" s="113" t="s">
        <v>77</v>
      </c>
      <c r="AY135" s="135" t="s">
        <v>211</v>
      </c>
    </row>
    <row r="136" spans="1:65" s="137" customFormat="1">
      <c r="A136" s="332"/>
      <c r="B136" s="333"/>
      <c r="C136" s="332"/>
      <c r="D136" s="318" t="s">
        <v>365</v>
      </c>
      <c r="E136" s="334" t="s">
        <v>1</v>
      </c>
      <c r="F136" s="335" t="s">
        <v>368</v>
      </c>
      <c r="G136" s="332"/>
      <c r="H136" s="336">
        <v>263</v>
      </c>
      <c r="I136" s="337"/>
      <c r="J136" s="332"/>
      <c r="K136" s="332"/>
      <c r="L136" s="333"/>
      <c r="M136" s="338"/>
      <c r="N136" s="332"/>
      <c r="O136" s="332"/>
      <c r="P136" s="332"/>
      <c r="Q136" s="332"/>
      <c r="R136" s="332"/>
      <c r="S136" s="332"/>
      <c r="T136" s="339"/>
      <c r="U136" s="332"/>
      <c r="V136" s="332"/>
      <c r="AT136" s="142" t="s">
        <v>365</v>
      </c>
      <c r="AU136" s="142" t="s">
        <v>87</v>
      </c>
      <c r="AV136" s="137" t="s">
        <v>218</v>
      </c>
      <c r="AW136" s="137" t="s">
        <v>33</v>
      </c>
      <c r="AX136" s="137" t="s">
        <v>85</v>
      </c>
      <c r="AY136" s="142" t="s">
        <v>211</v>
      </c>
    </row>
    <row r="137" spans="1:65" s="1" customFormat="1" ht="38.1" customHeight="1">
      <c r="A137" s="224"/>
      <c r="B137" s="225"/>
      <c r="C137" s="293" t="s">
        <v>239</v>
      </c>
      <c r="D137" s="293" t="s">
        <v>214</v>
      </c>
      <c r="E137" s="294" t="s">
        <v>5444</v>
      </c>
      <c r="F137" s="295" t="s">
        <v>5445</v>
      </c>
      <c r="G137" s="296" t="s">
        <v>279</v>
      </c>
      <c r="H137" s="297">
        <v>7.2</v>
      </c>
      <c r="I137" s="298">
        <v>300</v>
      </c>
      <c r="J137" s="299">
        <f>ROUND(I137*H137,2)</f>
        <v>2160</v>
      </c>
      <c r="K137" s="300"/>
      <c r="L137" s="225"/>
      <c r="M137" s="301" t="s">
        <v>1</v>
      </c>
      <c r="N137" s="302" t="s">
        <v>42</v>
      </c>
      <c r="O137" s="224"/>
      <c r="P137" s="303">
        <f>O137*H137</f>
        <v>0</v>
      </c>
      <c r="Q137" s="303">
        <v>0</v>
      </c>
      <c r="R137" s="303">
        <f>Q137*H137</f>
        <v>0</v>
      </c>
      <c r="S137" s="303">
        <v>0</v>
      </c>
      <c r="T137" s="304">
        <f>S137*H137</f>
        <v>0</v>
      </c>
      <c r="U137" s="224"/>
      <c r="V137" s="224"/>
      <c r="AR137" s="101" t="s">
        <v>218</v>
      </c>
      <c r="AT137" s="101" t="s">
        <v>214</v>
      </c>
      <c r="AU137" s="101" t="s">
        <v>87</v>
      </c>
      <c r="AY137" s="23" t="s">
        <v>211</v>
      </c>
      <c r="BE137" s="104">
        <f>IF(N137="základní",J137,0)</f>
        <v>2160</v>
      </c>
      <c r="BF137" s="104">
        <f>IF(N137="snížená",J137,0)</f>
        <v>0</v>
      </c>
      <c r="BG137" s="104">
        <f>IF(N137="zákl. přenesená",J137,0)</f>
        <v>0</v>
      </c>
      <c r="BH137" s="104">
        <f>IF(N137="sníž. přenesená",J137,0)</f>
        <v>0</v>
      </c>
      <c r="BI137" s="104">
        <f>IF(N137="nulová",J137,0)</f>
        <v>0</v>
      </c>
      <c r="BJ137" s="23" t="s">
        <v>85</v>
      </c>
      <c r="BK137" s="104">
        <f>ROUND(I137*H137,2)</f>
        <v>2160</v>
      </c>
      <c r="BL137" s="23" t="s">
        <v>218</v>
      </c>
      <c r="BM137" s="101" t="s">
        <v>273</v>
      </c>
    </row>
    <row r="138" spans="1:65" s="136" customFormat="1">
      <c r="A138" s="316"/>
      <c r="B138" s="317"/>
      <c r="C138" s="316"/>
      <c r="D138" s="318" t="s">
        <v>365</v>
      </c>
      <c r="E138" s="319" t="s">
        <v>1</v>
      </c>
      <c r="F138" s="320" t="s">
        <v>5446</v>
      </c>
      <c r="G138" s="316"/>
      <c r="H138" s="319" t="s">
        <v>1</v>
      </c>
      <c r="I138" s="321"/>
      <c r="J138" s="316"/>
      <c r="K138" s="316"/>
      <c r="L138" s="317"/>
      <c r="M138" s="322"/>
      <c r="N138" s="316"/>
      <c r="O138" s="316"/>
      <c r="P138" s="316"/>
      <c r="Q138" s="316"/>
      <c r="R138" s="316"/>
      <c r="S138" s="316"/>
      <c r="T138" s="323"/>
      <c r="U138" s="316"/>
      <c r="V138" s="316"/>
      <c r="AT138" s="139" t="s">
        <v>365</v>
      </c>
      <c r="AU138" s="139" t="s">
        <v>87</v>
      </c>
      <c r="AV138" s="136" t="s">
        <v>85</v>
      </c>
      <c r="AW138" s="136" t="s">
        <v>33</v>
      </c>
      <c r="AX138" s="136" t="s">
        <v>77</v>
      </c>
      <c r="AY138" s="139" t="s">
        <v>211</v>
      </c>
    </row>
    <row r="139" spans="1:65" s="113" customFormat="1">
      <c r="A139" s="324"/>
      <c r="B139" s="325"/>
      <c r="C139" s="324"/>
      <c r="D139" s="318" t="s">
        <v>365</v>
      </c>
      <c r="E139" s="326" t="s">
        <v>1</v>
      </c>
      <c r="F139" s="327" t="s">
        <v>5447</v>
      </c>
      <c r="G139" s="324"/>
      <c r="H139" s="328">
        <v>7.2</v>
      </c>
      <c r="I139" s="329"/>
      <c r="J139" s="324"/>
      <c r="K139" s="324"/>
      <c r="L139" s="325"/>
      <c r="M139" s="330"/>
      <c r="N139" s="324"/>
      <c r="O139" s="324"/>
      <c r="P139" s="324"/>
      <c r="Q139" s="324"/>
      <c r="R139" s="324"/>
      <c r="S139" s="324"/>
      <c r="T139" s="331"/>
      <c r="U139" s="324"/>
      <c r="V139" s="324"/>
      <c r="AT139" s="135" t="s">
        <v>365</v>
      </c>
      <c r="AU139" s="135" t="s">
        <v>87</v>
      </c>
      <c r="AV139" s="113" t="s">
        <v>87</v>
      </c>
      <c r="AW139" s="113" t="s">
        <v>33</v>
      </c>
      <c r="AX139" s="113" t="s">
        <v>77</v>
      </c>
      <c r="AY139" s="135" t="s">
        <v>211</v>
      </c>
    </row>
    <row r="140" spans="1:65" s="137" customFormat="1">
      <c r="A140" s="332"/>
      <c r="B140" s="333"/>
      <c r="C140" s="332"/>
      <c r="D140" s="318" t="s">
        <v>365</v>
      </c>
      <c r="E140" s="334" t="s">
        <v>1</v>
      </c>
      <c r="F140" s="335" t="s">
        <v>368</v>
      </c>
      <c r="G140" s="332"/>
      <c r="H140" s="336">
        <v>7.2</v>
      </c>
      <c r="I140" s="337"/>
      <c r="J140" s="332"/>
      <c r="K140" s="332"/>
      <c r="L140" s="333"/>
      <c r="M140" s="338"/>
      <c r="N140" s="332"/>
      <c r="O140" s="332"/>
      <c r="P140" s="332"/>
      <c r="Q140" s="332"/>
      <c r="R140" s="332"/>
      <c r="S140" s="332"/>
      <c r="T140" s="339"/>
      <c r="U140" s="332"/>
      <c r="V140" s="332"/>
      <c r="AT140" s="142" t="s">
        <v>365</v>
      </c>
      <c r="AU140" s="142" t="s">
        <v>87</v>
      </c>
      <c r="AV140" s="137" t="s">
        <v>218</v>
      </c>
      <c r="AW140" s="137" t="s">
        <v>33</v>
      </c>
      <c r="AX140" s="137" t="s">
        <v>85</v>
      </c>
      <c r="AY140" s="142" t="s">
        <v>211</v>
      </c>
    </row>
    <row r="141" spans="1:65" s="1" customFormat="1" ht="24.15" customHeight="1">
      <c r="A141" s="224"/>
      <c r="B141" s="225"/>
      <c r="C141" s="293" t="s">
        <v>245</v>
      </c>
      <c r="D141" s="293" t="s">
        <v>214</v>
      </c>
      <c r="E141" s="294" t="s">
        <v>5448</v>
      </c>
      <c r="F141" s="295" t="s">
        <v>5449</v>
      </c>
      <c r="G141" s="296" t="s">
        <v>1599</v>
      </c>
      <c r="H141" s="297">
        <v>2</v>
      </c>
      <c r="I141" s="298">
        <v>550</v>
      </c>
      <c r="J141" s="299">
        <f>ROUND(I141*H141,2)</f>
        <v>1100</v>
      </c>
      <c r="K141" s="300"/>
      <c r="L141" s="225"/>
      <c r="M141" s="301" t="s">
        <v>1</v>
      </c>
      <c r="N141" s="302" t="s">
        <v>42</v>
      </c>
      <c r="O141" s="224"/>
      <c r="P141" s="303">
        <f>O141*H141</f>
        <v>0</v>
      </c>
      <c r="Q141" s="303">
        <v>0</v>
      </c>
      <c r="R141" s="303">
        <f>Q141*H141</f>
        <v>0</v>
      </c>
      <c r="S141" s="303">
        <v>0</v>
      </c>
      <c r="T141" s="304">
        <f>S141*H141</f>
        <v>0</v>
      </c>
      <c r="U141" s="224"/>
      <c r="V141" s="224"/>
      <c r="AR141" s="101" t="s">
        <v>218</v>
      </c>
      <c r="AT141" s="101" t="s">
        <v>214</v>
      </c>
      <c r="AU141" s="101" t="s">
        <v>87</v>
      </c>
      <c r="AY141" s="23" t="s">
        <v>211</v>
      </c>
      <c r="BE141" s="104">
        <f>IF(N141="základní",J141,0)</f>
        <v>1100</v>
      </c>
      <c r="BF141" s="104">
        <f>IF(N141="snížená",J141,0)</f>
        <v>0</v>
      </c>
      <c r="BG141" s="104">
        <f>IF(N141="zákl. přenesená",J141,0)</f>
        <v>0</v>
      </c>
      <c r="BH141" s="104">
        <f>IF(N141="sníž. přenesená",J141,0)</f>
        <v>0</v>
      </c>
      <c r="BI141" s="104">
        <f>IF(N141="nulová",J141,0)</f>
        <v>0</v>
      </c>
      <c r="BJ141" s="23" t="s">
        <v>85</v>
      </c>
      <c r="BK141" s="104">
        <f>ROUND(I141*H141,2)</f>
        <v>1100</v>
      </c>
      <c r="BL141" s="23" t="s">
        <v>218</v>
      </c>
      <c r="BM141" s="101" t="s">
        <v>437</v>
      </c>
    </row>
    <row r="142" spans="1:65" s="136" customFormat="1">
      <c r="A142" s="316"/>
      <c r="B142" s="317"/>
      <c r="C142" s="316"/>
      <c r="D142" s="318" t="s">
        <v>365</v>
      </c>
      <c r="E142" s="319" t="s">
        <v>1</v>
      </c>
      <c r="F142" s="320" t="s">
        <v>5450</v>
      </c>
      <c r="G142" s="316"/>
      <c r="H142" s="319" t="s">
        <v>1</v>
      </c>
      <c r="I142" s="321"/>
      <c r="J142" s="316"/>
      <c r="K142" s="316"/>
      <c r="L142" s="317"/>
      <c r="M142" s="322"/>
      <c r="N142" s="316"/>
      <c r="O142" s="316"/>
      <c r="P142" s="316"/>
      <c r="Q142" s="316"/>
      <c r="R142" s="316"/>
      <c r="S142" s="316"/>
      <c r="T142" s="323"/>
      <c r="U142" s="316"/>
      <c r="V142" s="316"/>
      <c r="AT142" s="139" t="s">
        <v>365</v>
      </c>
      <c r="AU142" s="139" t="s">
        <v>87</v>
      </c>
      <c r="AV142" s="136" t="s">
        <v>85</v>
      </c>
      <c r="AW142" s="136" t="s">
        <v>33</v>
      </c>
      <c r="AX142" s="136" t="s">
        <v>77</v>
      </c>
      <c r="AY142" s="139" t="s">
        <v>211</v>
      </c>
    </row>
    <row r="143" spans="1:65" s="113" customFormat="1">
      <c r="A143" s="324"/>
      <c r="B143" s="325"/>
      <c r="C143" s="324"/>
      <c r="D143" s="318" t="s">
        <v>365</v>
      </c>
      <c r="E143" s="326" t="s">
        <v>1</v>
      </c>
      <c r="F143" s="327" t="s">
        <v>87</v>
      </c>
      <c r="G143" s="324"/>
      <c r="H143" s="328">
        <v>2</v>
      </c>
      <c r="I143" s="329"/>
      <c r="J143" s="324"/>
      <c r="K143" s="324"/>
      <c r="L143" s="325"/>
      <c r="M143" s="330"/>
      <c r="N143" s="324"/>
      <c r="O143" s="324"/>
      <c r="P143" s="324"/>
      <c r="Q143" s="324"/>
      <c r="R143" s="324"/>
      <c r="S143" s="324"/>
      <c r="T143" s="331"/>
      <c r="U143" s="324"/>
      <c r="V143" s="324"/>
      <c r="AT143" s="135" t="s">
        <v>365</v>
      </c>
      <c r="AU143" s="135" t="s">
        <v>87</v>
      </c>
      <c r="AV143" s="113" t="s">
        <v>87</v>
      </c>
      <c r="AW143" s="113" t="s">
        <v>33</v>
      </c>
      <c r="AX143" s="113" t="s">
        <v>77</v>
      </c>
      <c r="AY143" s="135" t="s">
        <v>211</v>
      </c>
    </row>
    <row r="144" spans="1:65" s="137" customFormat="1">
      <c r="A144" s="332"/>
      <c r="B144" s="333"/>
      <c r="C144" s="332"/>
      <c r="D144" s="318" t="s">
        <v>365</v>
      </c>
      <c r="E144" s="334" t="s">
        <v>1</v>
      </c>
      <c r="F144" s="335" t="s">
        <v>368</v>
      </c>
      <c r="G144" s="332"/>
      <c r="H144" s="336">
        <v>2</v>
      </c>
      <c r="I144" s="337"/>
      <c r="J144" s="332"/>
      <c r="K144" s="332"/>
      <c r="L144" s="333"/>
      <c r="M144" s="338"/>
      <c r="N144" s="332"/>
      <c r="O144" s="332"/>
      <c r="P144" s="332"/>
      <c r="Q144" s="332"/>
      <c r="R144" s="332"/>
      <c r="S144" s="332"/>
      <c r="T144" s="339"/>
      <c r="U144" s="332"/>
      <c r="V144" s="332"/>
      <c r="AT144" s="142" t="s">
        <v>365</v>
      </c>
      <c r="AU144" s="142" t="s">
        <v>87</v>
      </c>
      <c r="AV144" s="137" t="s">
        <v>218</v>
      </c>
      <c r="AW144" s="137" t="s">
        <v>33</v>
      </c>
      <c r="AX144" s="137" t="s">
        <v>85</v>
      </c>
      <c r="AY144" s="142" t="s">
        <v>211</v>
      </c>
    </row>
    <row r="145" spans="1:65" s="1" customFormat="1" ht="38.1" customHeight="1">
      <c r="A145" s="224"/>
      <c r="B145" s="225"/>
      <c r="C145" s="293" t="s">
        <v>250</v>
      </c>
      <c r="D145" s="293" t="s">
        <v>214</v>
      </c>
      <c r="E145" s="294" t="s">
        <v>5451</v>
      </c>
      <c r="F145" s="295" t="s">
        <v>5452</v>
      </c>
      <c r="G145" s="296" t="s">
        <v>444</v>
      </c>
      <c r="H145" s="297">
        <v>263</v>
      </c>
      <c r="I145" s="298">
        <v>10</v>
      </c>
      <c r="J145" s="299">
        <f>ROUND(I145*H145,2)</f>
        <v>2630</v>
      </c>
      <c r="K145" s="300"/>
      <c r="L145" s="225"/>
      <c r="M145" s="301" t="s">
        <v>1</v>
      </c>
      <c r="N145" s="302" t="s">
        <v>42</v>
      </c>
      <c r="O145" s="224"/>
      <c r="P145" s="303">
        <f>O145*H145</f>
        <v>0</v>
      </c>
      <c r="Q145" s="303">
        <v>0</v>
      </c>
      <c r="R145" s="303">
        <f>Q145*H145</f>
        <v>0</v>
      </c>
      <c r="S145" s="303">
        <v>0</v>
      </c>
      <c r="T145" s="304">
        <f>S145*H145</f>
        <v>0</v>
      </c>
      <c r="U145" s="224"/>
      <c r="V145" s="224"/>
      <c r="AR145" s="101" t="s">
        <v>218</v>
      </c>
      <c r="AT145" s="101" t="s">
        <v>214</v>
      </c>
      <c r="AU145" s="101" t="s">
        <v>87</v>
      </c>
      <c r="AY145" s="23" t="s">
        <v>211</v>
      </c>
      <c r="BE145" s="104">
        <f>IF(N145="základní",J145,0)</f>
        <v>2630</v>
      </c>
      <c r="BF145" s="104">
        <f>IF(N145="snížená",J145,0)</f>
        <v>0</v>
      </c>
      <c r="BG145" s="104">
        <f>IF(N145="zákl. přenesená",J145,0)</f>
        <v>0</v>
      </c>
      <c r="BH145" s="104">
        <f>IF(N145="sníž. přenesená",J145,0)</f>
        <v>0</v>
      </c>
      <c r="BI145" s="104">
        <f>IF(N145="nulová",J145,0)</f>
        <v>0</v>
      </c>
      <c r="BJ145" s="23" t="s">
        <v>85</v>
      </c>
      <c r="BK145" s="104">
        <f>ROUND(I145*H145,2)</f>
        <v>2630</v>
      </c>
      <c r="BL145" s="23" t="s">
        <v>218</v>
      </c>
      <c r="BM145" s="101" t="s">
        <v>446</v>
      </c>
    </row>
    <row r="146" spans="1:65" s="1" customFormat="1" ht="38.1" customHeight="1">
      <c r="A146" s="224"/>
      <c r="B146" s="225"/>
      <c r="C146" s="293" t="s">
        <v>255</v>
      </c>
      <c r="D146" s="293" t="s">
        <v>214</v>
      </c>
      <c r="E146" s="294" t="s">
        <v>5453</v>
      </c>
      <c r="F146" s="295" t="s">
        <v>5454</v>
      </c>
      <c r="G146" s="296" t="s">
        <v>279</v>
      </c>
      <c r="H146" s="297">
        <v>9.1999999999999993</v>
      </c>
      <c r="I146" s="298">
        <v>30</v>
      </c>
      <c r="J146" s="299">
        <f>ROUND(I146*H146,2)</f>
        <v>276</v>
      </c>
      <c r="K146" s="300"/>
      <c r="L146" s="225"/>
      <c r="M146" s="301" t="s">
        <v>1</v>
      </c>
      <c r="N146" s="302" t="s">
        <v>42</v>
      </c>
      <c r="O146" s="224"/>
      <c r="P146" s="303">
        <f>O146*H146</f>
        <v>0</v>
      </c>
      <c r="Q146" s="303">
        <v>0</v>
      </c>
      <c r="R146" s="303">
        <f>Q146*H146</f>
        <v>0</v>
      </c>
      <c r="S146" s="303">
        <v>0</v>
      </c>
      <c r="T146" s="304">
        <f>S146*H146</f>
        <v>0</v>
      </c>
      <c r="U146" s="224"/>
      <c r="V146" s="224"/>
      <c r="AR146" s="101" t="s">
        <v>218</v>
      </c>
      <c r="AT146" s="101" t="s">
        <v>214</v>
      </c>
      <c r="AU146" s="101" t="s">
        <v>87</v>
      </c>
      <c r="AY146" s="23" t="s">
        <v>211</v>
      </c>
      <c r="BE146" s="104">
        <f>IF(N146="základní",J146,0)</f>
        <v>276</v>
      </c>
      <c r="BF146" s="104">
        <f>IF(N146="snížená",J146,0)</f>
        <v>0</v>
      </c>
      <c r="BG146" s="104">
        <f>IF(N146="zákl. přenesená",J146,0)</f>
        <v>0</v>
      </c>
      <c r="BH146" s="104">
        <f>IF(N146="sníž. přenesená",J146,0)</f>
        <v>0</v>
      </c>
      <c r="BI146" s="104">
        <f>IF(N146="nulová",J146,0)</f>
        <v>0</v>
      </c>
      <c r="BJ146" s="23" t="s">
        <v>85</v>
      </c>
      <c r="BK146" s="104">
        <f>ROUND(I146*H146,2)</f>
        <v>276</v>
      </c>
      <c r="BL146" s="23" t="s">
        <v>218</v>
      </c>
      <c r="BM146" s="101" t="s">
        <v>454</v>
      </c>
    </row>
    <row r="147" spans="1:65" s="136" customFormat="1">
      <c r="A147" s="316"/>
      <c r="B147" s="317"/>
      <c r="C147" s="316"/>
      <c r="D147" s="318" t="s">
        <v>365</v>
      </c>
      <c r="E147" s="319" t="s">
        <v>1</v>
      </c>
      <c r="F147" s="320" t="s">
        <v>5446</v>
      </c>
      <c r="G147" s="316"/>
      <c r="H147" s="319" t="s">
        <v>1</v>
      </c>
      <c r="I147" s="321"/>
      <c r="J147" s="316"/>
      <c r="K147" s="316"/>
      <c r="L147" s="317"/>
      <c r="M147" s="322"/>
      <c r="N147" s="316"/>
      <c r="O147" s="316"/>
      <c r="P147" s="316"/>
      <c r="Q147" s="316"/>
      <c r="R147" s="316"/>
      <c r="S147" s="316"/>
      <c r="T147" s="323"/>
      <c r="U147" s="316"/>
      <c r="V147" s="316"/>
      <c r="AT147" s="139" t="s">
        <v>365</v>
      </c>
      <c r="AU147" s="139" t="s">
        <v>87</v>
      </c>
      <c r="AV147" s="136" t="s">
        <v>85</v>
      </c>
      <c r="AW147" s="136" t="s">
        <v>33</v>
      </c>
      <c r="AX147" s="136" t="s">
        <v>77</v>
      </c>
      <c r="AY147" s="139" t="s">
        <v>211</v>
      </c>
    </row>
    <row r="148" spans="1:65" s="113" customFormat="1">
      <c r="A148" s="324"/>
      <c r="B148" s="325"/>
      <c r="C148" s="324"/>
      <c r="D148" s="318" t="s">
        <v>365</v>
      </c>
      <c r="E148" s="326" t="s">
        <v>1</v>
      </c>
      <c r="F148" s="327" t="s">
        <v>5447</v>
      </c>
      <c r="G148" s="324"/>
      <c r="H148" s="328">
        <v>7.2</v>
      </c>
      <c r="I148" s="329"/>
      <c r="J148" s="324"/>
      <c r="K148" s="324"/>
      <c r="L148" s="325"/>
      <c r="M148" s="330"/>
      <c r="N148" s="324"/>
      <c r="O148" s="324"/>
      <c r="P148" s="324"/>
      <c r="Q148" s="324"/>
      <c r="R148" s="324"/>
      <c r="S148" s="324"/>
      <c r="T148" s="331"/>
      <c r="U148" s="324"/>
      <c r="V148" s="324"/>
      <c r="AT148" s="135" t="s">
        <v>365</v>
      </c>
      <c r="AU148" s="135" t="s">
        <v>87</v>
      </c>
      <c r="AV148" s="113" t="s">
        <v>87</v>
      </c>
      <c r="AW148" s="113" t="s">
        <v>33</v>
      </c>
      <c r="AX148" s="113" t="s">
        <v>77</v>
      </c>
      <c r="AY148" s="135" t="s">
        <v>211</v>
      </c>
    </row>
    <row r="149" spans="1:65" s="136" customFormat="1">
      <c r="A149" s="316"/>
      <c r="B149" s="317"/>
      <c r="C149" s="316"/>
      <c r="D149" s="318" t="s">
        <v>365</v>
      </c>
      <c r="E149" s="319" t="s">
        <v>1</v>
      </c>
      <c r="F149" s="320" t="s">
        <v>5450</v>
      </c>
      <c r="G149" s="316"/>
      <c r="H149" s="319" t="s">
        <v>1</v>
      </c>
      <c r="I149" s="321"/>
      <c r="J149" s="316"/>
      <c r="K149" s="316"/>
      <c r="L149" s="317"/>
      <c r="M149" s="322"/>
      <c r="N149" s="316"/>
      <c r="O149" s="316"/>
      <c r="P149" s="316"/>
      <c r="Q149" s="316"/>
      <c r="R149" s="316"/>
      <c r="S149" s="316"/>
      <c r="T149" s="323"/>
      <c r="U149" s="316"/>
      <c r="V149" s="316"/>
      <c r="AT149" s="139" t="s">
        <v>365</v>
      </c>
      <c r="AU149" s="139" t="s">
        <v>87</v>
      </c>
      <c r="AV149" s="136" t="s">
        <v>85</v>
      </c>
      <c r="AW149" s="136" t="s">
        <v>33</v>
      </c>
      <c r="AX149" s="136" t="s">
        <v>77</v>
      </c>
      <c r="AY149" s="139" t="s">
        <v>211</v>
      </c>
    </row>
    <row r="150" spans="1:65" s="113" customFormat="1">
      <c r="A150" s="324"/>
      <c r="B150" s="325"/>
      <c r="C150" s="324"/>
      <c r="D150" s="318" t="s">
        <v>365</v>
      </c>
      <c r="E150" s="326" t="s">
        <v>1</v>
      </c>
      <c r="F150" s="327" t="s">
        <v>87</v>
      </c>
      <c r="G150" s="324"/>
      <c r="H150" s="328">
        <v>2</v>
      </c>
      <c r="I150" s="329"/>
      <c r="J150" s="324"/>
      <c r="K150" s="324"/>
      <c r="L150" s="325"/>
      <c r="M150" s="330"/>
      <c r="N150" s="324"/>
      <c r="O150" s="324"/>
      <c r="P150" s="324"/>
      <c r="Q150" s="324"/>
      <c r="R150" s="324"/>
      <c r="S150" s="324"/>
      <c r="T150" s="331"/>
      <c r="U150" s="324"/>
      <c r="V150" s="324"/>
      <c r="AT150" s="135" t="s">
        <v>365</v>
      </c>
      <c r="AU150" s="135" t="s">
        <v>87</v>
      </c>
      <c r="AV150" s="113" t="s">
        <v>87</v>
      </c>
      <c r="AW150" s="113" t="s">
        <v>33</v>
      </c>
      <c r="AX150" s="113" t="s">
        <v>77</v>
      </c>
      <c r="AY150" s="135" t="s">
        <v>211</v>
      </c>
    </row>
    <row r="151" spans="1:65" s="137" customFormat="1">
      <c r="A151" s="332"/>
      <c r="B151" s="333"/>
      <c r="C151" s="332"/>
      <c r="D151" s="318" t="s">
        <v>365</v>
      </c>
      <c r="E151" s="334" t="s">
        <v>1</v>
      </c>
      <c r="F151" s="335" t="s">
        <v>368</v>
      </c>
      <c r="G151" s="332"/>
      <c r="H151" s="336">
        <v>9.1999999999999993</v>
      </c>
      <c r="I151" s="337"/>
      <c r="J151" s="332"/>
      <c r="K151" s="332"/>
      <c r="L151" s="333"/>
      <c r="M151" s="338"/>
      <c r="N151" s="332"/>
      <c r="O151" s="332"/>
      <c r="P151" s="332"/>
      <c r="Q151" s="332"/>
      <c r="R151" s="332"/>
      <c r="S151" s="332"/>
      <c r="T151" s="339"/>
      <c r="U151" s="332"/>
      <c r="V151" s="332"/>
      <c r="AT151" s="142" t="s">
        <v>365</v>
      </c>
      <c r="AU151" s="142" t="s">
        <v>87</v>
      </c>
      <c r="AV151" s="137" t="s">
        <v>218</v>
      </c>
      <c r="AW151" s="137" t="s">
        <v>33</v>
      </c>
      <c r="AX151" s="137" t="s">
        <v>85</v>
      </c>
      <c r="AY151" s="142" t="s">
        <v>211</v>
      </c>
    </row>
    <row r="152" spans="1:65" s="1" customFormat="1" ht="16.5" customHeight="1">
      <c r="A152" s="224"/>
      <c r="B152" s="225"/>
      <c r="C152" s="293" t="s">
        <v>259</v>
      </c>
      <c r="D152" s="293" t="s">
        <v>214</v>
      </c>
      <c r="E152" s="294" t="s">
        <v>5455</v>
      </c>
      <c r="F152" s="295" t="s">
        <v>5456</v>
      </c>
      <c r="G152" s="296" t="s">
        <v>444</v>
      </c>
      <c r="H152" s="297">
        <v>131.76</v>
      </c>
      <c r="I152" s="298">
        <v>1190</v>
      </c>
      <c r="J152" s="299">
        <f>ROUND(I152*H152,2)</f>
        <v>156794.4</v>
      </c>
      <c r="K152" s="300"/>
      <c r="L152" s="225"/>
      <c r="M152" s="301" t="s">
        <v>1</v>
      </c>
      <c r="N152" s="302" t="s">
        <v>42</v>
      </c>
      <c r="O152" s="224"/>
      <c r="P152" s="303">
        <f>O152*H152</f>
        <v>0</v>
      </c>
      <c r="Q152" s="303">
        <v>0</v>
      </c>
      <c r="R152" s="303">
        <f>Q152*H152</f>
        <v>0</v>
      </c>
      <c r="S152" s="303">
        <v>0</v>
      </c>
      <c r="T152" s="304">
        <f>S152*H152</f>
        <v>0</v>
      </c>
      <c r="U152" s="224"/>
      <c r="V152" s="224"/>
      <c r="AR152" s="101" t="s">
        <v>218</v>
      </c>
      <c r="AT152" s="101" t="s">
        <v>214</v>
      </c>
      <c r="AU152" s="101" t="s">
        <v>87</v>
      </c>
      <c r="AY152" s="23" t="s">
        <v>211</v>
      </c>
      <c r="BE152" s="104">
        <f>IF(N152="základní",J152,0)</f>
        <v>156794.4</v>
      </c>
      <c r="BF152" s="104">
        <f>IF(N152="snížená",J152,0)</f>
        <v>0</v>
      </c>
      <c r="BG152" s="104">
        <f>IF(N152="zákl. přenesená",J152,0)</f>
        <v>0</v>
      </c>
      <c r="BH152" s="104">
        <f>IF(N152="sníž. přenesená",J152,0)</f>
        <v>0</v>
      </c>
      <c r="BI152" s="104">
        <f>IF(N152="nulová",J152,0)</f>
        <v>0</v>
      </c>
      <c r="BJ152" s="23" t="s">
        <v>85</v>
      </c>
      <c r="BK152" s="104">
        <f>ROUND(I152*H152,2)</f>
        <v>156794.4</v>
      </c>
      <c r="BL152" s="23" t="s">
        <v>218</v>
      </c>
      <c r="BM152" s="101" t="s">
        <v>465</v>
      </c>
    </row>
    <row r="153" spans="1:65" s="1" customFormat="1" ht="19.2">
      <c r="A153" s="224"/>
      <c r="B153" s="225"/>
      <c r="C153" s="224"/>
      <c r="D153" s="318" t="s">
        <v>227</v>
      </c>
      <c r="E153" s="224"/>
      <c r="F153" s="340" t="s">
        <v>5457</v>
      </c>
      <c r="G153" s="224"/>
      <c r="H153" s="224"/>
      <c r="I153" s="341"/>
      <c r="J153" s="224"/>
      <c r="K153" s="224"/>
      <c r="L153" s="225"/>
      <c r="M153" s="342"/>
      <c r="N153" s="224"/>
      <c r="O153" s="224"/>
      <c r="P153" s="224"/>
      <c r="Q153" s="224"/>
      <c r="R153" s="224"/>
      <c r="S153" s="224"/>
      <c r="T153" s="343"/>
      <c r="U153" s="224"/>
      <c r="V153" s="224"/>
      <c r="AT153" s="23" t="s">
        <v>227</v>
      </c>
      <c r="AU153" s="23" t="s">
        <v>87</v>
      </c>
    </row>
    <row r="154" spans="1:65" s="113" customFormat="1">
      <c r="A154" s="324"/>
      <c r="B154" s="325"/>
      <c r="C154" s="324"/>
      <c r="D154" s="318" t="s">
        <v>365</v>
      </c>
      <c r="E154" s="326" t="s">
        <v>1</v>
      </c>
      <c r="F154" s="327" t="s">
        <v>5458</v>
      </c>
      <c r="G154" s="324"/>
      <c r="H154" s="328">
        <v>131.76</v>
      </c>
      <c r="I154" s="329"/>
      <c r="J154" s="324"/>
      <c r="K154" s="324"/>
      <c r="L154" s="325"/>
      <c r="M154" s="330"/>
      <c r="N154" s="324"/>
      <c r="O154" s="324"/>
      <c r="P154" s="324"/>
      <c r="Q154" s="324"/>
      <c r="R154" s="324"/>
      <c r="S154" s="324"/>
      <c r="T154" s="331"/>
      <c r="U154" s="324"/>
      <c r="V154" s="324"/>
      <c r="AT154" s="135" t="s">
        <v>365</v>
      </c>
      <c r="AU154" s="135" t="s">
        <v>87</v>
      </c>
      <c r="AV154" s="113" t="s">
        <v>87</v>
      </c>
      <c r="AW154" s="113" t="s">
        <v>33</v>
      </c>
      <c r="AX154" s="113" t="s">
        <v>77</v>
      </c>
      <c r="AY154" s="135" t="s">
        <v>211</v>
      </c>
    </row>
    <row r="155" spans="1:65" s="137" customFormat="1">
      <c r="A155" s="332"/>
      <c r="B155" s="333"/>
      <c r="C155" s="332"/>
      <c r="D155" s="318" t="s">
        <v>365</v>
      </c>
      <c r="E155" s="334" t="s">
        <v>1</v>
      </c>
      <c r="F155" s="335" t="s">
        <v>368</v>
      </c>
      <c r="G155" s="332"/>
      <c r="H155" s="336">
        <v>131.76</v>
      </c>
      <c r="I155" s="337"/>
      <c r="J155" s="332"/>
      <c r="K155" s="332"/>
      <c r="L155" s="333"/>
      <c r="M155" s="338"/>
      <c r="N155" s="332"/>
      <c r="O155" s="332"/>
      <c r="P155" s="332"/>
      <c r="Q155" s="332"/>
      <c r="R155" s="332"/>
      <c r="S155" s="332"/>
      <c r="T155" s="339"/>
      <c r="U155" s="332"/>
      <c r="V155" s="332"/>
      <c r="AT155" s="142" t="s">
        <v>365</v>
      </c>
      <c r="AU155" s="142" t="s">
        <v>87</v>
      </c>
      <c r="AV155" s="137" t="s">
        <v>218</v>
      </c>
      <c r="AW155" s="137" t="s">
        <v>33</v>
      </c>
      <c r="AX155" s="137" t="s">
        <v>85</v>
      </c>
      <c r="AY155" s="142" t="s">
        <v>211</v>
      </c>
    </row>
    <row r="156" spans="1:65" s="1" customFormat="1" ht="16.5" customHeight="1">
      <c r="A156" s="224"/>
      <c r="B156" s="225"/>
      <c r="C156" s="293" t="s">
        <v>266</v>
      </c>
      <c r="D156" s="293" t="s">
        <v>214</v>
      </c>
      <c r="E156" s="294" t="s">
        <v>1313</v>
      </c>
      <c r="F156" s="295" t="s">
        <v>1314</v>
      </c>
      <c r="G156" s="296" t="s">
        <v>279</v>
      </c>
      <c r="H156" s="297">
        <v>19.32</v>
      </c>
      <c r="I156" s="298">
        <v>550</v>
      </c>
      <c r="J156" s="299">
        <f>ROUND(I156*H156,2)</f>
        <v>10626</v>
      </c>
      <c r="K156" s="300"/>
      <c r="L156" s="225"/>
      <c r="M156" s="301" t="s">
        <v>1</v>
      </c>
      <c r="N156" s="302" t="s">
        <v>42</v>
      </c>
      <c r="O156" s="224"/>
      <c r="P156" s="303">
        <f>O156*H156</f>
        <v>0</v>
      </c>
      <c r="Q156" s="303">
        <v>0</v>
      </c>
      <c r="R156" s="303">
        <f>Q156*H156</f>
        <v>0</v>
      </c>
      <c r="S156" s="303">
        <v>0</v>
      </c>
      <c r="T156" s="304">
        <f>S156*H156</f>
        <v>0</v>
      </c>
      <c r="U156" s="224"/>
      <c r="V156" s="224"/>
      <c r="AR156" s="101" t="s">
        <v>218</v>
      </c>
      <c r="AT156" s="101" t="s">
        <v>214</v>
      </c>
      <c r="AU156" s="101" t="s">
        <v>87</v>
      </c>
      <c r="AY156" s="23" t="s">
        <v>211</v>
      </c>
      <c r="BE156" s="104">
        <f>IF(N156="základní",J156,0)</f>
        <v>10626</v>
      </c>
      <c r="BF156" s="104">
        <f>IF(N156="snížená",J156,0)</f>
        <v>0</v>
      </c>
      <c r="BG156" s="104">
        <f>IF(N156="zákl. přenesená",J156,0)</f>
        <v>0</v>
      </c>
      <c r="BH156" s="104">
        <f>IF(N156="sníž. přenesená",J156,0)</f>
        <v>0</v>
      </c>
      <c r="BI156" s="104">
        <f>IF(N156="nulová",J156,0)</f>
        <v>0</v>
      </c>
      <c r="BJ156" s="23" t="s">
        <v>85</v>
      </c>
      <c r="BK156" s="104">
        <f>ROUND(I156*H156,2)</f>
        <v>10626</v>
      </c>
      <c r="BL156" s="23" t="s">
        <v>218</v>
      </c>
      <c r="BM156" s="101" t="s">
        <v>475</v>
      </c>
    </row>
    <row r="157" spans="1:65" s="1" customFormat="1" ht="28.8">
      <c r="A157" s="224"/>
      <c r="B157" s="225"/>
      <c r="C157" s="224"/>
      <c r="D157" s="318" t="s">
        <v>227</v>
      </c>
      <c r="E157" s="224"/>
      <c r="F157" s="340" t="s">
        <v>5459</v>
      </c>
      <c r="G157" s="224"/>
      <c r="H157" s="224"/>
      <c r="I157" s="341"/>
      <c r="J157" s="224"/>
      <c r="K157" s="224"/>
      <c r="L157" s="225"/>
      <c r="M157" s="342"/>
      <c r="N157" s="224"/>
      <c r="O157" s="224"/>
      <c r="P157" s="224"/>
      <c r="Q157" s="224"/>
      <c r="R157" s="224"/>
      <c r="S157" s="224"/>
      <c r="T157" s="343"/>
      <c r="U157" s="224"/>
      <c r="V157" s="224"/>
      <c r="AT157" s="23" t="s">
        <v>227</v>
      </c>
      <c r="AU157" s="23" t="s">
        <v>87</v>
      </c>
    </row>
    <row r="158" spans="1:65" s="113" customFormat="1">
      <c r="A158" s="324"/>
      <c r="B158" s="325"/>
      <c r="C158" s="324"/>
      <c r="D158" s="318" t="s">
        <v>365</v>
      </c>
      <c r="E158" s="326" t="s">
        <v>1</v>
      </c>
      <c r="F158" s="327" t="s">
        <v>1317</v>
      </c>
      <c r="G158" s="324"/>
      <c r="H158" s="328">
        <v>19.32</v>
      </c>
      <c r="I158" s="329"/>
      <c r="J158" s="324"/>
      <c r="K158" s="324"/>
      <c r="L158" s="325"/>
      <c r="M158" s="330"/>
      <c r="N158" s="324"/>
      <c r="O158" s="324"/>
      <c r="P158" s="324"/>
      <c r="Q158" s="324"/>
      <c r="R158" s="324"/>
      <c r="S158" s="324"/>
      <c r="T158" s="331"/>
      <c r="U158" s="324"/>
      <c r="V158" s="324"/>
      <c r="AT158" s="135" t="s">
        <v>365</v>
      </c>
      <c r="AU158" s="135" t="s">
        <v>87</v>
      </c>
      <c r="AV158" s="113" t="s">
        <v>87</v>
      </c>
      <c r="AW158" s="113" t="s">
        <v>33</v>
      </c>
      <c r="AX158" s="113" t="s">
        <v>77</v>
      </c>
      <c r="AY158" s="135" t="s">
        <v>211</v>
      </c>
    </row>
    <row r="159" spans="1:65" s="137" customFormat="1">
      <c r="A159" s="332"/>
      <c r="B159" s="333"/>
      <c r="C159" s="332"/>
      <c r="D159" s="318" t="s">
        <v>365</v>
      </c>
      <c r="E159" s="334" t="s">
        <v>1</v>
      </c>
      <c r="F159" s="335" t="s">
        <v>368</v>
      </c>
      <c r="G159" s="332"/>
      <c r="H159" s="336">
        <v>19.32</v>
      </c>
      <c r="I159" s="337"/>
      <c r="J159" s="332"/>
      <c r="K159" s="332"/>
      <c r="L159" s="333"/>
      <c r="M159" s="338"/>
      <c r="N159" s="332"/>
      <c r="O159" s="332"/>
      <c r="P159" s="332"/>
      <c r="Q159" s="332"/>
      <c r="R159" s="332"/>
      <c r="S159" s="332"/>
      <c r="T159" s="339"/>
      <c r="U159" s="332"/>
      <c r="V159" s="332"/>
      <c r="AT159" s="142" t="s">
        <v>365</v>
      </c>
      <c r="AU159" s="142" t="s">
        <v>87</v>
      </c>
      <c r="AV159" s="137" t="s">
        <v>218</v>
      </c>
      <c r="AW159" s="137" t="s">
        <v>33</v>
      </c>
      <c r="AX159" s="137" t="s">
        <v>85</v>
      </c>
      <c r="AY159" s="142" t="s">
        <v>211</v>
      </c>
    </row>
    <row r="160" spans="1:65" s="31" customFormat="1" ht="23.1" customHeight="1">
      <c r="A160" s="282"/>
      <c r="B160" s="283"/>
      <c r="C160" s="282"/>
      <c r="D160" s="284" t="s">
        <v>76</v>
      </c>
      <c r="E160" s="291" t="s">
        <v>1639</v>
      </c>
      <c r="F160" s="291" t="s">
        <v>1640</v>
      </c>
      <c r="G160" s="282"/>
      <c r="H160" s="282"/>
      <c r="I160" s="286"/>
      <c r="J160" s="292">
        <f>BK160</f>
        <v>1227.33</v>
      </c>
      <c r="K160" s="282"/>
      <c r="L160" s="283"/>
      <c r="M160" s="288"/>
      <c r="N160" s="282"/>
      <c r="O160" s="282"/>
      <c r="P160" s="289">
        <f>P161</f>
        <v>0</v>
      </c>
      <c r="Q160" s="282"/>
      <c r="R160" s="289">
        <f>R161</f>
        <v>0</v>
      </c>
      <c r="S160" s="282"/>
      <c r="T160" s="290">
        <f>T161</f>
        <v>0</v>
      </c>
      <c r="U160" s="282"/>
      <c r="V160" s="282"/>
      <c r="AR160" s="68" t="s">
        <v>85</v>
      </c>
      <c r="AT160" s="100" t="s">
        <v>76</v>
      </c>
      <c r="AU160" s="100" t="s">
        <v>85</v>
      </c>
      <c r="AY160" s="68" t="s">
        <v>211</v>
      </c>
      <c r="BK160" s="103">
        <f>BK161</f>
        <v>1227.33</v>
      </c>
    </row>
    <row r="161" spans="1:65" s="1" customFormat="1" ht="38.1" customHeight="1">
      <c r="A161" s="224"/>
      <c r="B161" s="225"/>
      <c r="C161" s="293" t="s">
        <v>273</v>
      </c>
      <c r="D161" s="293" t="s">
        <v>214</v>
      </c>
      <c r="E161" s="294" t="s">
        <v>5460</v>
      </c>
      <c r="F161" s="295" t="s">
        <v>5461</v>
      </c>
      <c r="G161" s="296" t="s">
        <v>394</v>
      </c>
      <c r="H161" s="297">
        <v>3.1469999999999998</v>
      </c>
      <c r="I161" s="298">
        <v>390</v>
      </c>
      <c r="J161" s="299">
        <f>ROUND(I161*H161,2)</f>
        <v>1227.33</v>
      </c>
      <c r="K161" s="300"/>
      <c r="L161" s="225"/>
      <c r="M161" s="344" t="s">
        <v>1</v>
      </c>
      <c r="N161" s="345" t="s">
        <v>42</v>
      </c>
      <c r="O161" s="346"/>
      <c r="P161" s="347">
        <f>O161*H161</f>
        <v>0</v>
      </c>
      <c r="Q161" s="347">
        <v>0</v>
      </c>
      <c r="R161" s="347">
        <f>Q161*H161</f>
        <v>0</v>
      </c>
      <c r="S161" s="347">
        <v>0</v>
      </c>
      <c r="T161" s="348">
        <f>S161*H161</f>
        <v>0</v>
      </c>
      <c r="U161" s="224"/>
      <c r="V161" s="224"/>
      <c r="AR161" s="101" t="s">
        <v>218</v>
      </c>
      <c r="AT161" s="101" t="s">
        <v>214</v>
      </c>
      <c r="AU161" s="101" t="s">
        <v>87</v>
      </c>
      <c r="AY161" s="23" t="s">
        <v>211</v>
      </c>
      <c r="BE161" s="104">
        <f>IF(N161="základní",J161,0)</f>
        <v>1227.33</v>
      </c>
      <c r="BF161" s="104">
        <f>IF(N161="snížená",J161,0)</f>
        <v>0</v>
      </c>
      <c r="BG161" s="104">
        <f>IF(N161="zákl. přenesená",J161,0)</f>
        <v>0</v>
      </c>
      <c r="BH161" s="104">
        <f>IF(N161="sníž. přenesená",J161,0)</f>
        <v>0</v>
      </c>
      <c r="BI161" s="104">
        <f>IF(N161="nulová",J161,0)</f>
        <v>0</v>
      </c>
      <c r="BJ161" s="23" t="s">
        <v>85</v>
      </c>
      <c r="BK161" s="104">
        <f>ROUND(I161*H161,2)</f>
        <v>1227.33</v>
      </c>
      <c r="BL161" s="23" t="s">
        <v>218</v>
      </c>
      <c r="BM161" s="101" t="s">
        <v>486</v>
      </c>
    </row>
    <row r="162" spans="1:65" s="1" customFormat="1" ht="6.9" customHeight="1">
      <c r="A162" s="224"/>
      <c r="B162" s="251"/>
      <c r="C162" s="252"/>
      <c r="D162" s="252"/>
      <c r="E162" s="252"/>
      <c r="F162" s="252"/>
      <c r="G162" s="252"/>
      <c r="H162" s="252"/>
      <c r="I162" s="252"/>
      <c r="J162" s="252"/>
      <c r="K162" s="252"/>
      <c r="L162" s="225"/>
      <c r="M162" s="224"/>
      <c r="N162" s="224"/>
      <c r="O162" s="224"/>
      <c r="P162" s="224"/>
      <c r="Q162" s="224"/>
      <c r="R162" s="224"/>
      <c r="S162" s="224"/>
      <c r="T162" s="224"/>
      <c r="U162" s="224"/>
      <c r="V162" s="224"/>
    </row>
    <row r="163" spans="1:65">
      <c r="A163" s="217"/>
      <c r="B163" s="217"/>
      <c r="C163" s="217"/>
      <c r="D163" s="217"/>
      <c r="E163" s="217"/>
      <c r="F163" s="217"/>
      <c r="G163" s="217"/>
      <c r="H163" s="217"/>
      <c r="I163" s="217"/>
      <c r="J163" s="217"/>
      <c r="K163" s="217"/>
      <c r="L163" s="217"/>
      <c r="M163" s="217"/>
      <c r="N163" s="217"/>
      <c r="O163" s="217"/>
      <c r="P163" s="217"/>
      <c r="Q163" s="217"/>
      <c r="R163" s="217"/>
      <c r="S163" s="217"/>
      <c r="T163" s="217"/>
      <c r="U163" s="217"/>
      <c r="V163" s="217"/>
    </row>
    <row r="164" spans="1:65">
      <c r="A164" s="217"/>
      <c r="B164" s="217"/>
      <c r="C164" s="217"/>
      <c r="D164" s="217"/>
      <c r="E164" s="217"/>
      <c r="F164" s="217"/>
      <c r="G164" s="217"/>
      <c r="H164" s="217"/>
      <c r="I164" s="217"/>
      <c r="J164" s="217"/>
      <c r="K164" s="217"/>
      <c r="L164" s="217"/>
      <c r="M164" s="217"/>
      <c r="N164" s="217"/>
      <c r="O164" s="217"/>
      <c r="P164" s="217"/>
      <c r="Q164" s="217"/>
      <c r="R164" s="217"/>
      <c r="S164" s="217"/>
      <c r="T164" s="217"/>
      <c r="U164" s="217"/>
      <c r="V164" s="217"/>
    </row>
    <row r="165" spans="1:65">
      <c r="A165" s="217"/>
      <c r="B165" s="217"/>
      <c r="C165" s="217"/>
      <c r="D165" s="217"/>
      <c r="E165" s="217"/>
      <c r="F165" s="217"/>
      <c r="G165" s="217"/>
      <c r="H165" s="217"/>
      <c r="I165" s="217"/>
      <c r="J165" s="217"/>
      <c r="K165" s="217"/>
      <c r="L165" s="217"/>
      <c r="M165" s="217"/>
      <c r="N165" s="217"/>
      <c r="O165" s="217"/>
      <c r="P165" s="217"/>
      <c r="Q165" s="217"/>
      <c r="R165" s="217"/>
      <c r="S165" s="217"/>
      <c r="T165" s="217"/>
      <c r="U165" s="217"/>
      <c r="V165" s="217"/>
    </row>
  </sheetData>
  <autoFilter ref="C122:K161" xr:uid="{00000000-0009-0000-0000-00000D000000}"/>
  <mergeCells count="12">
    <mergeCell ref="L2:V2"/>
    <mergeCell ref="E7:H7"/>
    <mergeCell ref="E9:H9"/>
    <mergeCell ref="E11:H11"/>
    <mergeCell ref="E20:H20"/>
    <mergeCell ref="E113:H113"/>
    <mergeCell ref="E115:H115"/>
    <mergeCell ref="E29:H29"/>
    <mergeCell ref="E85:H85"/>
    <mergeCell ref="E87:H87"/>
    <mergeCell ref="E89:H89"/>
    <mergeCell ref="E111:H111"/>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2:BM170"/>
  <sheetViews>
    <sheetView showGridLines="0" topLeftCell="A91" workbookViewId="0">
      <selection activeCell="I170" sqref="I170"/>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138</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3.2">
      <c r="B8" s="5"/>
      <c r="D8" s="10" t="s">
        <v>182</v>
      </c>
      <c r="L8" s="5"/>
    </row>
    <row r="9" spans="2:46" ht="16.5" customHeight="1">
      <c r="B9" s="5"/>
      <c r="E9" s="392" t="s">
        <v>5462</v>
      </c>
      <c r="F9" s="383"/>
      <c r="G9" s="383"/>
      <c r="H9" s="383"/>
      <c r="L9" s="5"/>
    </row>
    <row r="10" spans="2:46" ht="12" customHeight="1">
      <c r="B10" s="5"/>
      <c r="D10" s="10" t="s">
        <v>296</v>
      </c>
      <c r="L10" s="5"/>
    </row>
    <row r="11" spans="2:46" s="1" customFormat="1" ht="16.5" customHeight="1">
      <c r="B11" s="12"/>
      <c r="E11" s="358" t="s">
        <v>5463</v>
      </c>
      <c r="F11" s="394"/>
      <c r="G11" s="394"/>
      <c r="H11" s="394"/>
      <c r="L11" s="12"/>
    </row>
    <row r="12" spans="2:46" s="1" customFormat="1" ht="12" customHeight="1">
      <c r="B12" s="12"/>
      <c r="D12" s="10" t="s">
        <v>5464</v>
      </c>
      <c r="L12" s="12"/>
    </row>
    <row r="13" spans="2:46" s="1" customFormat="1" ht="16.5" customHeight="1">
      <c r="B13" s="12"/>
      <c r="E13" s="381" t="s">
        <v>5465</v>
      </c>
      <c r="F13" s="394"/>
      <c r="G13" s="394"/>
      <c r="H13" s="394"/>
      <c r="L13" s="12"/>
    </row>
    <row r="14" spans="2:46" s="1" customFormat="1">
      <c r="B14" s="12"/>
      <c r="L14" s="12"/>
    </row>
    <row r="15" spans="2:46" s="1" customFormat="1" ht="12" customHeight="1">
      <c r="B15" s="12"/>
      <c r="D15" s="10" t="s">
        <v>18</v>
      </c>
      <c r="F15" s="32" t="s">
        <v>1</v>
      </c>
      <c r="I15" s="10" t="s">
        <v>19</v>
      </c>
      <c r="J15" s="32" t="s">
        <v>1</v>
      </c>
      <c r="L15" s="12"/>
    </row>
    <row r="16" spans="2:46" s="1" customFormat="1" ht="12" customHeight="1">
      <c r="B16" s="12"/>
      <c r="D16" s="10" t="s">
        <v>20</v>
      </c>
      <c r="F16" s="32" t="s">
        <v>21</v>
      </c>
      <c r="I16" s="10" t="s">
        <v>22</v>
      </c>
      <c r="J16" s="11">
        <f>'Rekapitulace stavby'!AN8</f>
        <v>45000</v>
      </c>
      <c r="L16" s="12"/>
    </row>
    <row r="17" spans="2:12" s="1" customFormat="1" ht="11.1" customHeight="1">
      <c r="B17" s="12"/>
      <c r="L17" s="12"/>
    </row>
    <row r="18" spans="2:12" s="1" customFormat="1" ht="12" customHeight="1">
      <c r="B18" s="12"/>
      <c r="D18" s="10" t="s">
        <v>23</v>
      </c>
      <c r="I18" s="10" t="s">
        <v>24</v>
      </c>
      <c r="J18" s="32" t="s">
        <v>1</v>
      </c>
      <c r="L18" s="12"/>
    </row>
    <row r="19" spans="2:12" s="1" customFormat="1" ht="18" customHeight="1">
      <c r="B19" s="12"/>
      <c r="E19" s="32" t="s">
        <v>25</v>
      </c>
      <c r="I19" s="10" t="s">
        <v>26</v>
      </c>
      <c r="J19" s="32" t="s">
        <v>1</v>
      </c>
      <c r="L19" s="12"/>
    </row>
    <row r="20" spans="2:12" s="1" customFormat="1" ht="6.9" customHeight="1">
      <c r="B20" s="12"/>
      <c r="L20" s="12"/>
    </row>
    <row r="21" spans="2:12" s="1" customFormat="1" ht="12" customHeight="1">
      <c r="B21" s="12"/>
      <c r="D21" s="10" t="s">
        <v>27</v>
      </c>
      <c r="I21" s="10" t="s">
        <v>24</v>
      </c>
      <c r="J21" s="33" t="str">
        <f>'Rekapitulace stavby'!AN13</f>
        <v>08004013</v>
      </c>
      <c r="L21" s="12"/>
    </row>
    <row r="22" spans="2:12" s="1" customFormat="1" ht="18" customHeight="1">
      <c r="B22" s="12"/>
      <c r="E22" s="395" t="str">
        <f>'Rekapitulace stavby'!E14</f>
        <v>DMG Stav a.s.</v>
      </c>
      <c r="F22" s="384"/>
      <c r="G22" s="384"/>
      <c r="H22" s="384"/>
      <c r="I22" s="10" t="s">
        <v>26</v>
      </c>
      <c r="J22" s="33" t="str">
        <f>'Rekapitulace stavby'!AN14</f>
        <v>CZ 08004013</v>
      </c>
      <c r="L22" s="12"/>
    </row>
    <row r="23" spans="2:12" s="1" customFormat="1" ht="6.9" customHeight="1">
      <c r="B23" s="12"/>
      <c r="L23" s="12"/>
    </row>
    <row r="24" spans="2:12" s="1" customFormat="1" ht="12" customHeight="1">
      <c r="B24" s="12"/>
      <c r="D24" s="10" t="s">
        <v>31</v>
      </c>
      <c r="I24" s="10" t="s">
        <v>24</v>
      </c>
      <c r="J24" s="32" t="s">
        <v>1</v>
      </c>
      <c r="L24" s="12"/>
    </row>
    <row r="25" spans="2:12" s="1" customFormat="1" ht="18" customHeight="1">
      <c r="B25" s="12"/>
      <c r="E25" s="32" t="s">
        <v>32</v>
      </c>
      <c r="I25" s="10" t="s">
        <v>26</v>
      </c>
      <c r="J25" s="32" t="s">
        <v>1</v>
      </c>
      <c r="L25" s="12"/>
    </row>
    <row r="26" spans="2:12" s="1" customFormat="1" ht="6.9" customHeight="1">
      <c r="B26" s="12"/>
      <c r="L26" s="12"/>
    </row>
    <row r="27" spans="2:12" s="1" customFormat="1" ht="12" customHeight="1">
      <c r="B27" s="12"/>
      <c r="D27" s="10" t="s">
        <v>34</v>
      </c>
      <c r="I27" s="10" t="s">
        <v>24</v>
      </c>
      <c r="J27" s="32" t="s">
        <v>1</v>
      </c>
      <c r="L27" s="12"/>
    </row>
    <row r="28" spans="2:12" s="1" customFormat="1" ht="18" customHeight="1">
      <c r="B28" s="12"/>
      <c r="E28" s="32" t="s">
        <v>35</v>
      </c>
      <c r="I28" s="10" t="s">
        <v>26</v>
      </c>
      <c r="J28" s="32" t="s">
        <v>1</v>
      </c>
      <c r="L28" s="12"/>
    </row>
    <row r="29" spans="2:12" s="1" customFormat="1" ht="6.9" customHeight="1">
      <c r="B29" s="12"/>
      <c r="L29" s="12"/>
    </row>
    <row r="30" spans="2:12" s="1" customFormat="1" ht="12" customHeight="1">
      <c r="B30" s="12"/>
      <c r="D30" s="10" t="s">
        <v>36</v>
      </c>
      <c r="L30" s="12"/>
    </row>
    <row r="31" spans="2:12" s="28" customFormat="1" ht="16.5" customHeight="1">
      <c r="B31" s="34"/>
      <c r="E31" s="388" t="s">
        <v>1</v>
      </c>
      <c r="F31" s="388"/>
      <c r="G31" s="388"/>
      <c r="H31" s="388"/>
      <c r="L31" s="34"/>
    </row>
    <row r="32" spans="2:12" s="1" customFormat="1" ht="6.9" customHeight="1">
      <c r="B32" s="12"/>
      <c r="L32" s="12"/>
    </row>
    <row r="33" spans="2:12" s="1" customFormat="1" ht="6.9" customHeight="1">
      <c r="B33" s="12"/>
      <c r="D33" s="35"/>
      <c r="E33" s="35"/>
      <c r="F33" s="35"/>
      <c r="G33" s="35"/>
      <c r="H33" s="35"/>
      <c r="I33" s="35"/>
      <c r="J33" s="35"/>
      <c r="K33" s="35"/>
      <c r="L33" s="12"/>
    </row>
    <row r="34" spans="2:12" s="1" customFormat="1" ht="25.35" customHeight="1">
      <c r="B34" s="12"/>
      <c r="D34" s="36" t="s">
        <v>37</v>
      </c>
      <c r="J34" s="51">
        <f>ROUND(J132,2)</f>
        <v>78350</v>
      </c>
      <c r="L34" s="12"/>
    </row>
    <row r="35" spans="2:12" s="1" customFormat="1" ht="6.9" customHeight="1">
      <c r="B35" s="12"/>
      <c r="D35" s="35"/>
      <c r="E35" s="35"/>
      <c r="F35" s="35"/>
      <c r="G35" s="35"/>
      <c r="H35" s="35"/>
      <c r="I35" s="35"/>
      <c r="J35" s="35"/>
      <c r="K35" s="35"/>
      <c r="L35" s="12"/>
    </row>
    <row r="36" spans="2:12" s="1" customFormat="1" ht="14.4" customHeight="1">
      <c r="B36" s="12"/>
      <c r="F36" s="37" t="s">
        <v>39</v>
      </c>
      <c r="I36" s="37" t="s">
        <v>38</v>
      </c>
      <c r="J36" s="37" t="s">
        <v>40</v>
      </c>
      <c r="L36" s="12"/>
    </row>
    <row r="37" spans="2:12" s="1" customFormat="1" ht="14.4" customHeight="1">
      <c r="B37" s="12"/>
      <c r="D37" s="38" t="s">
        <v>41</v>
      </c>
      <c r="E37" s="10" t="s">
        <v>42</v>
      </c>
      <c r="F37" s="39">
        <f>ROUND((SUM(BE132:BE169)),2)</f>
        <v>78350</v>
      </c>
      <c r="I37" s="52">
        <v>0.21</v>
      </c>
      <c r="J37" s="39">
        <f>ROUND(((SUM(BE132:BE169))*I37),2)</f>
        <v>16453.5</v>
      </c>
      <c r="L37" s="12"/>
    </row>
    <row r="38" spans="2:12" s="1" customFormat="1" ht="14.4" customHeight="1">
      <c r="B38" s="12"/>
      <c r="E38" s="10" t="s">
        <v>43</v>
      </c>
      <c r="F38" s="39">
        <f>ROUND((SUM(BF132:BF169)),2)</f>
        <v>0</v>
      </c>
      <c r="I38" s="52">
        <v>0.15</v>
      </c>
      <c r="J38" s="39">
        <f>ROUND(((SUM(BF132:BF169))*I38),2)</f>
        <v>0</v>
      </c>
      <c r="L38" s="12"/>
    </row>
    <row r="39" spans="2:12" s="1" customFormat="1" ht="14.4" hidden="1" customHeight="1">
      <c r="B39" s="12"/>
      <c r="E39" s="10" t="s">
        <v>44</v>
      </c>
      <c r="F39" s="39">
        <f>ROUND((SUM(BG132:BG169)),2)</f>
        <v>0</v>
      </c>
      <c r="I39" s="52">
        <v>0.21</v>
      </c>
      <c r="J39" s="39">
        <f>0</f>
        <v>0</v>
      </c>
      <c r="L39" s="12"/>
    </row>
    <row r="40" spans="2:12" s="1" customFormat="1" ht="14.4" hidden="1" customHeight="1">
      <c r="B40" s="12"/>
      <c r="E40" s="10" t="s">
        <v>45</v>
      </c>
      <c r="F40" s="39">
        <f>ROUND((SUM(BH132:BH169)),2)</f>
        <v>0</v>
      </c>
      <c r="I40" s="52">
        <v>0.15</v>
      </c>
      <c r="J40" s="39">
        <f>0</f>
        <v>0</v>
      </c>
      <c r="L40" s="12"/>
    </row>
    <row r="41" spans="2:12" s="1" customFormat="1" ht="14.4" hidden="1" customHeight="1">
      <c r="B41" s="12"/>
      <c r="E41" s="10" t="s">
        <v>46</v>
      </c>
      <c r="F41" s="39">
        <f>ROUND((SUM(BI132:BI169)),2)</f>
        <v>0</v>
      </c>
      <c r="I41" s="52">
        <v>0</v>
      </c>
      <c r="J41" s="39">
        <f>0</f>
        <v>0</v>
      </c>
      <c r="L41" s="12"/>
    </row>
    <row r="42" spans="2:12" s="1" customFormat="1" ht="6.9" customHeight="1">
      <c r="B42" s="12"/>
      <c r="L42" s="12"/>
    </row>
    <row r="43" spans="2:12" s="1" customFormat="1" ht="25.35" customHeight="1">
      <c r="B43" s="12"/>
      <c r="C43" s="40"/>
      <c r="D43" s="41" t="s">
        <v>47</v>
      </c>
      <c r="E43" s="42"/>
      <c r="F43" s="42"/>
      <c r="G43" s="43" t="s">
        <v>48</v>
      </c>
      <c r="H43" s="44" t="s">
        <v>49</v>
      </c>
      <c r="I43" s="42"/>
      <c r="J43" s="53">
        <f>SUM(J34:J41)</f>
        <v>94803.5</v>
      </c>
      <c r="K43" s="54"/>
      <c r="L43" s="12"/>
    </row>
    <row r="44" spans="2:12" s="1" customFormat="1" ht="14.4" customHeight="1">
      <c r="B44" s="12"/>
      <c r="L44" s="12"/>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ht="16.5" customHeight="1">
      <c r="B87" s="5"/>
      <c r="E87" s="392" t="s">
        <v>5462</v>
      </c>
      <c r="F87" s="383"/>
      <c r="G87" s="383"/>
      <c r="H87" s="383"/>
      <c r="L87" s="5"/>
    </row>
    <row r="88" spans="2:12" ht="12" customHeight="1">
      <c r="B88" s="5"/>
      <c r="C88" s="10" t="s">
        <v>296</v>
      </c>
      <c r="L88" s="5"/>
    </row>
    <row r="89" spans="2:12" s="1" customFormat="1" ht="16.5" customHeight="1">
      <c r="B89" s="12"/>
      <c r="E89" s="358" t="s">
        <v>5463</v>
      </c>
      <c r="F89" s="394"/>
      <c r="G89" s="394"/>
      <c r="H89" s="394"/>
      <c r="L89" s="12"/>
    </row>
    <row r="90" spans="2:12" s="1" customFormat="1" ht="12" customHeight="1">
      <c r="B90" s="12"/>
      <c r="C90" s="10" t="s">
        <v>5464</v>
      </c>
      <c r="L90" s="12"/>
    </row>
    <row r="91" spans="2:12" s="1" customFormat="1" ht="16.5" customHeight="1">
      <c r="B91" s="12"/>
      <c r="E91" s="381" t="str">
        <f>E13</f>
        <v>IO01 - Přípojka vodovodu</v>
      </c>
      <c r="F91" s="394"/>
      <c r="G91" s="394"/>
      <c r="H91" s="394"/>
      <c r="L91" s="12"/>
    </row>
    <row r="92" spans="2:12" s="1" customFormat="1" ht="6.9" customHeight="1">
      <c r="B92" s="12"/>
      <c r="L92" s="12"/>
    </row>
    <row r="93" spans="2:12" s="1" customFormat="1" ht="12" customHeight="1">
      <c r="B93" s="12"/>
      <c r="C93" s="10" t="s">
        <v>20</v>
      </c>
      <c r="F93" s="32" t="str">
        <f>F16</f>
        <v>Praha</v>
      </c>
      <c r="I93" s="10" t="s">
        <v>22</v>
      </c>
      <c r="J93" s="11">
        <f>IF(J16="","",J16)</f>
        <v>45000</v>
      </c>
      <c r="L93" s="12"/>
    </row>
    <row r="94" spans="2:12" s="1" customFormat="1" ht="6.9" customHeight="1">
      <c r="B94" s="12"/>
      <c r="L94" s="12"/>
    </row>
    <row r="95" spans="2:12" s="1" customFormat="1" ht="15.15" customHeight="1">
      <c r="B95" s="12"/>
      <c r="C95" s="10" t="s">
        <v>23</v>
      </c>
      <c r="F95" s="32" t="str">
        <f>E19</f>
        <v>VELTON REAL ESTATE</v>
      </c>
      <c r="I95" s="10" t="s">
        <v>31</v>
      </c>
      <c r="J95" s="8" t="str">
        <f>E25</f>
        <v>ABMV World s.r.o</v>
      </c>
      <c r="L95" s="12"/>
    </row>
    <row r="96" spans="2:12" s="1" customFormat="1" ht="15.15" customHeight="1">
      <c r="B96" s="12"/>
      <c r="C96" s="10" t="s">
        <v>27</v>
      </c>
      <c r="F96" s="32" t="str">
        <f>IF(E22="","",E22)</f>
        <v>DMG Stav a.s.</v>
      </c>
      <c r="I96" s="10" t="s">
        <v>34</v>
      </c>
      <c r="J96" s="8" t="str">
        <f>E28</f>
        <v>QSB s.r.o.</v>
      </c>
      <c r="L96" s="12"/>
    </row>
    <row r="97" spans="2:47" s="1" customFormat="1" ht="10.35" customHeight="1">
      <c r="B97" s="12"/>
      <c r="L97" s="12"/>
    </row>
    <row r="98" spans="2:47" s="1" customFormat="1" ht="29.25" customHeight="1">
      <c r="B98" s="12"/>
      <c r="C98" s="58" t="s">
        <v>185</v>
      </c>
      <c r="D98" s="40"/>
      <c r="E98" s="40"/>
      <c r="F98" s="40"/>
      <c r="G98" s="40"/>
      <c r="H98" s="40"/>
      <c r="I98" s="40"/>
      <c r="J98" s="76" t="s">
        <v>186</v>
      </c>
      <c r="K98" s="40"/>
      <c r="L98" s="12"/>
    </row>
    <row r="99" spans="2:47" s="1" customFormat="1" ht="10.35" customHeight="1">
      <c r="B99" s="12"/>
      <c r="L99" s="12"/>
    </row>
    <row r="100" spans="2:47" s="1" customFormat="1" ht="23.1" customHeight="1">
      <c r="B100" s="12"/>
      <c r="C100" s="59" t="s">
        <v>187</v>
      </c>
      <c r="J100" s="51">
        <f>J132</f>
        <v>78350</v>
      </c>
      <c r="L100" s="12"/>
      <c r="AU100" s="23" t="s">
        <v>188</v>
      </c>
    </row>
    <row r="101" spans="2:47" s="29" customFormat="1" ht="24.9" customHeight="1">
      <c r="B101" s="60"/>
      <c r="D101" s="61" t="s">
        <v>5466</v>
      </c>
      <c r="E101" s="62"/>
      <c r="F101" s="62"/>
      <c r="G101" s="62"/>
      <c r="H101" s="62"/>
      <c r="I101" s="62"/>
      <c r="J101" s="77">
        <f>J133</f>
        <v>78350</v>
      </c>
      <c r="L101" s="60"/>
    </row>
    <row r="102" spans="2:47" s="30" customFormat="1" ht="20.100000000000001" customHeight="1">
      <c r="B102" s="63"/>
      <c r="D102" s="64" t="s">
        <v>5467</v>
      </c>
      <c r="E102" s="65"/>
      <c r="F102" s="65"/>
      <c r="G102" s="65"/>
      <c r="H102" s="65"/>
      <c r="I102" s="65"/>
      <c r="J102" s="78">
        <f>J134</f>
        <v>19100</v>
      </c>
      <c r="L102" s="63"/>
    </row>
    <row r="103" spans="2:47" s="30" customFormat="1" ht="20.100000000000001" customHeight="1">
      <c r="B103" s="63"/>
      <c r="D103" s="64" t="s">
        <v>5468</v>
      </c>
      <c r="E103" s="65"/>
      <c r="F103" s="65"/>
      <c r="G103" s="65"/>
      <c r="H103" s="65"/>
      <c r="I103" s="65"/>
      <c r="J103" s="78">
        <f>J142</f>
        <v>6750</v>
      </c>
      <c r="L103" s="63"/>
    </row>
    <row r="104" spans="2:47" s="30" customFormat="1" ht="20.100000000000001" customHeight="1">
      <c r="B104" s="63"/>
      <c r="D104" s="64" t="s">
        <v>5469</v>
      </c>
      <c r="E104" s="65"/>
      <c r="F104" s="65"/>
      <c r="G104" s="65"/>
      <c r="H104" s="65"/>
      <c r="I104" s="65"/>
      <c r="J104" s="78">
        <f>J147</f>
        <v>1900</v>
      </c>
      <c r="L104" s="63"/>
    </row>
    <row r="105" spans="2:47" s="30" customFormat="1" ht="20.100000000000001" customHeight="1">
      <c r="B105" s="63"/>
      <c r="D105" s="64" t="s">
        <v>5470</v>
      </c>
      <c r="E105" s="65"/>
      <c r="F105" s="65"/>
      <c r="G105" s="65"/>
      <c r="H105" s="65"/>
      <c r="I105" s="65"/>
      <c r="J105" s="78">
        <f>J149</f>
        <v>27300</v>
      </c>
      <c r="L105" s="63"/>
    </row>
    <row r="106" spans="2:47" s="30" customFormat="1" ht="20.100000000000001" customHeight="1">
      <c r="B106" s="63"/>
      <c r="D106" s="64" t="s">
        <v>5471</v>
      </c>
      <c r="E106" s="65"/>
      <c r="F106" s="65"/>
      <c r="G106" s="65"/>
      <c r="H106" s="65"/>
      <c r="I106" s="65"/>
      <c r="J106" s="78">
        <f>J161</f>
        <v>18300</v>
      </c>
      <c r="L106" s="63"/>
    </row>
    <row r="107" spans="2:47" s="30" customFormat="1" ht="20.100000000000001" customHeight="1">
      <c r="B107" s="63"/>
      <c r="D107" s="64" t="s">
        <v>5472</v>
      </c>
      <c r="E107" s="65"/>
      <c r="F107" s="65"/>
      <c r="G107" s="65"/>
      <c r="H107" s="65"/>
      <c r="I107" s="65"/>
      <c r="J107" s="78">
        <f>J166</f>
        <v>3000</v>
      </c>
      <c r="L107" s="63"/>
    </row>
    <row r="108" spans="2:47" s="30" customFormat="1" ht="20.100000000000001" customHeight="1">
      <c r="B108" s="63"/>
      <c r="D108" s="64" t="s">
        <v>5473</v>
      </c>
      <c r="E108" s="65"/>
      <c r="F108" s="65"/>
      <c r="G108" s="65"/>
      <c r="H108" s="65"/>
      <c r="I108" s="65"/>
      <c r="J108" s="78">
        <f>J168</f>
        <v>2000</v>
      </c>
      <c r="L108" s="63"/>
    </row>
    <row r="109" spans="2:47" s="1" customFormat="1" ht="21.75" customHeight="1">
      <c r="B109" s="12"/>
      <c r="L109" s="12"/>
    </row>
    <row r="110" spans="2:47" s="1" customFormat="1" ht="6.9" customHeight="1">
      <c r="B110" s="26"/>
      <c r="C110" s="27"/>
      <c r="D110" s="27"/>
      <c r="E110" s="27"/>
      <c r="F110" s="27"/>
      <c r="G110" s="27"/>
      <c r="H110" s="27"/>
      <c r="I110" s="27"/>
      <c r="J110" s="27"/>
      <c r="K110" s="27"/>
      <c r="L110" s="12"/>
    </row>
    <row r="114" spans="2:12" s="1" customFormat="1" ht="6.9" customHeight="1">
      <c r="B114" s="56"/>
      <c r="C114" s="57"/>
      <c r="D114" s="57"/>
      <c r="E114" s="57"/>
      <c r="F114" s="57"/>
      <c r="G114" s="57"/>
      <c r="H114" s="57"/>
      <c r="I114" s="57"/>
      <c r="J114" s="57"/>
      <c r="K114" s="57"/>
      <c r="L114" s="12"/>
    </row>
    <row r="115" spans="2:12" s="1" customFormat="1" ht="24.9" customHeight="1">
      <c r="B115" s="12"/>
      <c r="C115" s="6" t="s">
        <v>195</v>
      </c>
      <c r="L115" s="12"/>
    </row>
    <row r="116" spans="2:12" s="1" customFormat="1" ht="6.9" customHeight="1">
      <c r="B116" s="12"/>
      <c r="L116" s="12"/>
    </row>
    <row r="117" spans="2:12" s="1" customFormat="1" ht="12" customHeight="1">
      <c r="B117" s="12"/>
      <c r="C117" s="10" t="s">
        <v>16</v>
      </c>
      <c r="L117" s="12"/>
    </row>
    <row r="118" spans="2:12" s="1" customFormat="1" ht="16.5" customHeight="1">
      <c r="B118" s="12"/>
      <c r="E118" s="392" t="str">
        <f>E7</f>
        <v>Bytový soubor Libuše</v>
      </c>
      <c r="F118" s="393"/>
      <c r="G118" s="393"/>
      <c r="H118" s="393"/>
      <c r="L118" s="12"/>
    </row>
    <row r="119" spans="2:12" ht="12" customHeight="1">
      <c r="B119" s="5"/>
      <c r="C119" s="10" t="s">
        <v>182</v>
      </c>
      <c r="L119" s="5"/>
    </row>
    <row r="120" spans="2:12" ht="16.5" customHeight="1">
      <c r="B120" s="5"/>
      <c r="E120" s="392" t="s">
        <v>5462</v>
      </c>
      <c r="F120" s="383"/>
      <c r="G120" s="383"/>
      <c r="H120" s="383"/>
      <c r="L120" s="5"/>
    </row>
    <row r="121" spans="2:12" ht="12" customHeight="1">
      <c r="B121" s="5"/>
      <c r="C121" s="10" t="s">
        <v>296</v>
      </c>
      <c r="L121" s="5"/>
    </row>
    <row r="122" spans="2:12" s="1" customFormat="1" ht="16.5" customHeight="1">
      <c r="B122" s="12"/>
      <c r="E122" s="358" t="s">
        <v>5463</v>
      </c>
      <c r="F122" s="394"/>
      <c r="G122" s="394"/>
      <c r="H122" s="394"/>
      <c r="L122" s="12"/>
    </row>
    <row r="123" spans="2:12" s="1" customFormat="1" ht="12" customHeight="1">
      <c r="B123" s="12"/>
      <c r="C123" s="10" t="s">
        <v>5464</v>
      </c>
      <c r="L123" s="12"/>
    </row>
    <row r="124" spans="2:12" s="1" customFormat="1" ht="16.5" customHeight="1">
      <c r="B124" s="12"/>
      <c r="E124" s="381" t="str">
        <f>E13</f>
        <v>IO01 - Přípojka vodovodu</v>
      </c>
      <c r="F124" s="394"/>
      <c r="G124" s="394"/>
      <c r="H124" s="394"/>
      <c r="L124" s="12"/>
    </row>
    <row r="125" spans="2:12" s="1" customFormat="1" ht="6.9" customHeight="1">
      <c r="B125" s="12"/>
      <c r="L125" s="12"/>
    </row>
    <row r="126" spans="2:12" s="1" customFormat="1" ht="12" customHeight="1">
      <c r="B126" s="12"/>
      <c r="C126" s="10" t="s">
        <v>20</v>
      </c>
      <c r="F126" s="32" t="str">
        <f>F16</f>
        <v>Praha</v>
      </c>
      <c r="I126" s="10" t="s">
        <v>22</v>
      </c>
      <c r="J126" s="11">
        <f>IF(J16="","",J16)</f>
        <v>45000</v>
      </c>
      <c r="L126" s="12"/>
    </row>
    <row r="127" spans="2:12" s="1" customFormat="1" ht="6.9" customHeight="1">
      <c r="B127" s="12"/>
      <c r="L127" s="12"/>
    </row>
    <row r="128" spans="2:12" s="1" customFormat="1" ht="15.15" customHeight="1">
      <c r="B128" s="12"/>
      <c r="C128" s="10" t="s">
        <v>23</v>
      </c>
      <c r="F128" s="32" t="str">
        <f>E19</f>
        <v>VELTON REAL ESTATE</v>
      </c>
      <c r="I128" s="10" t="s">
        <v>31</v>
      </c>
      <c r="J128" s="8" t="str">
        <f>E25</f>
        <v>ABMV World s.r.o</v>
      </c>
      <c r="L128" s="12"/>
    </row>
    <row r="129" spans="2:65" s="1" customFormat="1" ht="15.15" customHeight="1">
      <c r="B129" s="12"/>
      <c r="C129" s="10" t="s">
        <v>27</v>
      </c>
      <c r="F129" s="32" t="str">
        <f>IF(E22="","",E22)</f>
        <v>DMG Stav a.s.</v>
      </c>
      <c r="I129" s="10" t="s">
        <v>34</v>
      </c>
      <c r="J129" s="8" t="str">
        <f>E28</f>
        <v>QSB s.r.o.</v>
      </c>
      <c r="L129" s="12"/>
    </row>
    <row r="130" spans="2:65" s="1" customFormat="1" ht="10.35" customHeight="1">
      <c r="B130" s="12"/>
      <c r="L130" s="12"/>
    </row>
    <row r="131" spans="2:65" s="2" customFormat="1" ht="29.25" customHeight="1">
      <c r="B131" s="13"/>
      <c r="C131" s="14" t="s">
        <v>196</v>
      </c>
      <c r="D131" s="15" t="s">
        <v>62</v>
      </c>
      <c r="E131" s="15" t="s">
        <v>58</v>
      </c>
      <c r="F131" s="15" t="s">
        <v>59</v>
      </c>
      <c r="G131" s="15" t="s">
        <v>197</v>
      </c>
      <c r="H131" s="15" t="s">
        <v>198</v>
      </c>
      <c r="I131" s="15" t="s">
        <v>199</v>
      </c>
      <c r="J131" s="16" t="s">
        <v>186</v>
      </c>
      <c r="K131" s="79" t="s">
        <v>200</v>
      </c>
      <c r="L131" s="13"/>
      <c r="M131" s="80" t="s">
        <v>1</v>
      </c>
      <c r="N131" s="81" t="s">
        <v>41</v>
      </c>
      <c r="O131" s="81" t="s">
        <v>201</v>
      </c>
      <c r="P131" s="81" t="s">
        <v>202</v>
      </c>
      <c r="Q131" s="81" t="s">
        <v>203</v>
      </c>
      <c r="R131" s="81" t="s">
        <v>204</v>
      </c>
      <c r="S131" s="81" t="s">
        <v>205</v>
      </c>
      <c r="T131" s="96" t="s">
        <v>206</v>
      </c>
    </row>
    <row r="132" spans="2:65" s="1" customFormat="1" ht="23.1" customHeight="1">
      <c r="B132" s="12"/>
      <c r="C132" s="66" t="s">
        <v>207</v>
      </c>
      <c r="J132" s="82">
        <f>BK132</f>
        <v>78350</v>
      </c>
      <c r="L132" s="12"/>
      <c r="M132" s="83"/>
      <c r="N132" s="35"/>
      <c r="O132" s="35"/>
      <c r="P132" s="84">
        <f>P133</f>
        <v>0</v>
      </c>
      <c r="Q132" s="35"/>
      <c r="R132" s="84">
        <f>R133</f>
        <v>0</v>
      </c>
      <c r="S132" s="35"/>
      <c r="T132" s="97">
        <f>T133</f>
        <v>0</v>
      </c>
      <c r="AT132" s="23" t="s">
        <v>76</v>
      </c>
      <c r="AU132" s="23" t="s">
        <v>188</v>
      </c>
      <c r="BK132" s="102">
        <f>BK133</f>
        <v>78350</v>
      </c>
    </row>
    <row r="133" spans="2:65" s="31" customFormat="1" ht="26.1" customHeight="1">
      <c r="B133" s="67"/>
      <c r="D133" s="68" t="s">
        <v>76</v>
      </c>
      <c r="E133" s="69" t="s">
        <v>3830</v>
      </c>
      <c r="F133" s="69" t="s">
        <v>5474</v>
      </c>
      <c r="I133" s="85"/>
      <c r="J133" s="86">
        <f>BK133</f>
        <v>78350</v>
      </c>
      <c r="L133" s="67"/>
      <c r="M133" s="87"/>
      <c r="P133" s="88">
        <f>P134+P142+P147+P149+P161+P166+P168</f>
        <v>0</v>
      </c>
      <c r="R133" s="88">
        <f>R134+R142+R147+R149+R161+R166+R168</f>
        <v>0</v>
      </c>
      <c r="T133" s="98">
        <f>T134+T142+T147+T149+T161+T166+T168</f>
        <v>0</v>
      </c>
      <c r="AR133" s="68" t="s">
        <v>85</v>
      </c>
      <c r="AT133" s="100" t="s">
        <v>76</v>
      </c>
      <c r="AU133" s="100" t="s">
        <v>77</v>
      </c>
      <c r="AY133" s="68" t="s">
        <v>211</v>
      </c>
      <c r="BK133" s="103">
        <f>BK134+BK142+BK147+BK149+BK161+BK166+BK168</f>
        <v>78350</v>
      </c>
    </row>
    <row r="134" spans="2:65" s="31" customFormat="1" ht="23.1" customHeight="1">
      <c r="B134" s="67"/>
      <c r="D134" s="68" t="s">
        <v>76</v>
      </c>
      <c r="E134" s="70" t="s">
        <v>3832</v>
      </c>
      <c r="F134" s="70" t="s">
        <v>5475</v>
      </c>
      <c r="I134" s="85"/>
      <c r="J134" s="89">
        <f>BK134</f>
        <v>19100</v>
      </c>
      <c r="L134" s="67"/>
      <c r="M134" s="87"/>
      <c r="P134" s="88">
        <f>SUM(P135:P141)</f>
        <v>0</v>
      </c>
      <c r="R134" s="88">
        <f>SUM(R135:R141)</f>
        <v>0</v>
      </c>
      <c r="T134" s="98">
        <f>SUM(T135:T141)</f>
        <v>0</v>
      </c>
      <c r="AR134" s="68" t="s">
        <v>85</v>
      </c>
      <c r="AT134" s="100" t="s">
        <v>76</v>
      </c>
      <c r="AU134" s="100" t="s">
        <v>85</v>
      </c>
      <c r="AY134" s="68" t="s">
        <v>211</v>
      </c>
      <c r="BK134" s="103">
        <f>SUM(BK135:BK141)</f>
        <v>19100</v>
      </c>
    </row>
    <row r="135" spans="2:65" s="1" customFormat="1" ht="24.15" customHeight="1">
      <c r="B135" s="12"/>
      <c r="C135" s="71" t="s">
        <v>85</v>
      </c>
      <c r="D135" s="71" t="s">
        <v>214</v>
      </c>
      <c r="E135" s="72" t="s">
        <v>5476</v>
      </c>
      <c r="F135" s="73" t="s">
        <v>5477</v>
      </c>
      <c r="G135" s="74" t="s">
        <v>357</v>
      </c>
      <c r="H135" s="75">
        <v>7</v>
      </c>
      <c r="I135" s="90">
        <v>400</v>
      </c>
      <c r="J135" s="91">
        <f t="shared" ref="J135:J141" si="0">ROUND(I135*H135,2)</f>
        <v>2800</v>
      </c>
      <c r="K135" s="92"/>
      <c r="L135" s="12"/>
      <c r="M135" s="93" t="s">
        <v>1</v>
      </c>
      <c r="N135" s="94" t="s">
        <v>42</v>
      </c>
      <c r="P135" s="95">
        <f t="shared" ref="P135:P141" si="1">O135*H135</f>
        <v>0</v>
      </c>
      <c r="Q135" s="95">
        <v>0</v>
      </c>
      <c r="R135" s="95">
        <f t="shared" ref="R135:R141" si="2">Q135*H135</f>
        <v>0</v>
      </c>
      <c r="S135" s="95">
        <v>0</v>
      </c>
      <c r="T135" s="99">
        <f t="shared" ref="T135:T141" si="3">S135*H135</f>
        <v>0</v>
      </c>
      <c r="AR135" s="101" t="s">
        <v>218</v>
      </c>
      <c r="AT135" s="101" t="s">
        <v>214</v>
      </c>
      <c r="AU135" s="101" t="s">
        <v>87</v>
      </c>
      <c r="AY135" s="23" t="s">
        <v>211</v>
      </c>
      <c r="BE135" s="104">
        <f t="shared" ref="BE135:BE141" si="4">IF(N135="základní",J135,0)</f>
        <v>2800</v>
      </c>
      <c r="BF135" s="104">
        <f t="shared" ref="BF135:BF141" si="5">IF(N135="snížená",J135,0)</f>
        <v>0</v>
      </c>
      <c r="BG135" s="104">
        <f t="shared" ref="BG135:BG141" si="6">IF(N135="zákl. přenesená",J135,0)</f>
        <v>0</v>
      </c>
      <c r="BH135" s="104">
        <f t="shared" ref="BH135:BH141" si="7">IF(N135="sníž. přenesená",J135,0)</f>
        <v>0</v>
      </c>
      <c r="BI135" s="104">
        <f t="shared" ref="BI135:BI141" si="8">IF(N135="nulová",J135,0)</f>
        <v>0</v>
      </c>
      <c r="BJ135" s="23" t="s">
        <v>85</v>
      </c>
      <c r="BK135" s="104">
        <f t="shared" ref="BK135:BK141" si="9">ROUND(I135*H135,2)</f>
        <v>2800</v>
      </c>
      <c r="BL135" s="23" t="s">
        <v>218</v>
      </c>
      <c r="BM135" s="101" t="s">
        <v>87</v>
      </c>
    </row>
    <row r="136" spans="2:65" s="1" customFormat="1" ht="16.5" customHeight="1">
      <c r="B136" s="12"/>
      <c r="C136" s="71" t="s">
        <v>87</v>
      </c>
      <c r="D136" s="71" t="s">
        <v>214</v>
      </c>
      <c r="E136" s="72" t="s">
        <v>5478</v>
      </c>
      <c r="F136" s="73" t="s">
        <v>5479</v>
      </c>
      <c r="G136" s="74" t="s">
        <v>357</v>
      </c>
      <c r="H136" s="75">
        <v>16</v>
      </c>
      <c r="I136" s="90">
        <v>400</v>
      </c>
      <c r="J136" s="91">
        <f t="shared" si="0"/>
        <v>6400</v>
      </c>
      <c r="K136" s="92"/>
      <c r="L136" s="12"/>
      <c r="M136" s="93" t="s">
        <v>1</v>
      </c>
      <c r="N136" s="94" t="s">
        <v>42</v>
      </c>
      <c r="P136" s="95">
        <f t="shared" si="1"/>
        <v>0</v>
      </c>
      <c r="Q136" s="95">
        <v>0</v>
      </c>
      <c r="R136" s="95">
        <f t="shared" si="2"/>
        <v>0</v>
      </c>
      <c r="S136" s="95">
        <v>0</v>
      </c>
      <c r="T136" s="99">
        <f t="shared" si="3"/>
        <v>0</v>
      </c>
      <c r="AR136" s="101" t="s">
        <v>218</v>
      </c>
      <c r="AT136" s="101" t="s">
        <v>214</v>
      </c>
      <c r="AU136" s="101" t="s">
        <v>87</v>
      </c>
      <c r="AY136" s="23" t="s">
        <v>211</v>
      </c>
      <c r="BE136" s="104">
        <f t="shared" si="4"/>
        <v>6400</v>
      </c>
      <c r="BF136" s="104">
        <f t="shared" si="5"/>
        <v>0</v>
      </c>
      <c r="BG136" s="104">
        <f t="shared" si="6"/>
        <v>0</v>
      </c>
      <c r="BH136" s="104">
        <f t="shared" si="7"/>
        <v>0</v>
      </c>
      <c r="BI136" s="104">
        <f t="shared" si="8"/>
        <v>0</v>
      </c>
      <c r="BJ136" s="23" t="s">
        <v>85</v>
      </c>
      <c r="BK136" s="104">
        <f t="shared" si="9"/>
        <v>6400</v>
      </c>
      <c r="BL136" s="23" t="s">
        <v>218</v>
      </c>
      <c r="BM136" s="101" t="s">
        <v>218</v>
      </c>
    </row>
    <row r="137" spans="2:65" s="1" customFormat="1" ht="16.5" customHeight="1">
      <c r="B137" s="12"/>
      <c r="C137" s="71" t="s">
        <v>137</v>
      </c>
      <c r="D137" s="71" t="s">
        <v>214</v>
      </c>
      <c r="E137" s="72" t="s">
        <v>5480</v>
      </c>
      <c r="F137" s="73" t="s">
        <v>5481</v>
      </c>
      <c r="G137" s="74" t="s">
        <v>357</v>
      </c>
      <c r="H137" s="75">
        <v>25</v>
      </c>
      <c r="I137" s="90">
        <v>200</v>
      </c>
      <c r="J137" s="91">
        <f t="shared" si="0"/>
        <v>5000</v>
      </c>
      <c r="K137" s="92"/>
      <c r="L137" s="12"/>
      <c r="M137" s="93" t="s">
        <v>1</v>
      </c>
      <c r="N137" s="94" t="s">
        <v>42</v>
      </c>
      <c r="P137" s="95">
        <f t="shared" si="1"/>
        <v>0</v>
      </c>
      <c r="Q137" s="95">
        <v>0</v>
      </c>
      <c r="R137" s="95">
        <f t="shared" si="2"/>
        <v>0</v>
      </c>
      <c r="S137" s="95">
        <v>0</v>
      </c>
      <c r="T137" s="99">
        <f t="shared" si="3"/>
        <v>0</v>
      </c>
      <c r="AR137" s="101" t="s">
        <v>218</v>
      </c>
      <c r="AT137" s="101" t="s">
        <v>214</v>
      </c>
      <c r="AU137" s="101" t="s">
        <v>87</v>
      </c>
      <c r="AY137" s="23" t="s">
        <v>211</v>
      </c>
      <c r="BE137" s="104">
        <f t="shared" si="4"/>
        <v>5000</v>
      </c>
      <c r="BF137" s="104">
        <f t="shared" si="5"/>
        <v>0</v>
      </c>
      <c r="BG137" s="104">
        <f t="shared" si="6"/>
        <v>0</v>
      </c>
      <c r="BH137" s="104">
        <f t="shared" si="7"/>
        <v>0</v>
      </c>
      <c r="BI137" s="104">
        <f t="shared" si="8"/>
        <v>0</v>
      </c>
      <c r="BJ137" s="23" t="s">
        <v>85</v>
      </c>
      <c r="BK137" s="104">
        <f t="shared" si="9"/>
        <v>5000</v>
      </c>
      <c r="BL137" s="23" t="s">
        <v>218</v>
      </c>
      <c r="BM137" s="101" t="s">
        <v>239</v>
      </c>
    </row>
    <row r="138" spans="2:65" s="1" customFormat="1" ht="16.5" customHeight="1">
      <c r="B138" s="12"/>
      <c r="C138" s="71" t="s">
        <v>218</v>
      </c>
      <c r="D138" s="71" t="s">
        <v>214</v>
      </c>
      <c r="E138" s="72" t="s">
        <v>5482</v>
      </c>
      <c r="F138" s="73" t="s">
        <v>5483</v>
      </c>
      <c r="G138" s="74" t="s">
        <v>357</v>
      </c>
      <c r="H138" s="75">
        <v>5</v>
      </c>
      <c r="I138" s="90">
        <v>300</v>
      </c>
      <c r="J138" s="91">
        <f t="shared" si="0"/>
        <v>1500</v>
      </c>
      <c r="K138" s="92"/>
      <c r="L138" s="12"/>
      <c r="M138" s="93" t="s">
        <v>1</v>
      </c>
      <c r="N138" s="94" t="s">
        <v>42</v>
      </c>
      <c r="P138" s="95">
        <f t="shared" si="1"/>
        <v>0</v>
      </c>
      <c r="Q138" s="95">
        <v>0</v>
      </c>
      <c r="R138" s="95">
        <f t="shared" si="2"/>
        <v>0</v>
      </c>
      <c r="S138" s="95">
        <v>0</v>
      </c>
      <c r="T138" s="99">
        <f t="shared" si="3"/>
        <v>0</v>
      </c>
      <c r="AR138" s="101" t="s">
        <v>218</v>
      </c>
      <c r="AT138" s="101" t="s">
        <v>214</v>
      </c>
      <c r="AU138" s="101" t="s">
        <v>87</v>
      </c>
      <c r="AY138" s="23" t="s">
        <v>211</v>
      </c>
      <c r="BE138" s="104">
        <f t="shared" si="4"/>
        <v>1500</v>
      </c>
      <c r="BF138" s="104">
        <f t="shared" si="5"/>
        <v>0</v>
      </c>
      <c r="BG138" s="104">
        <f t="shared" si="6"/>
        <v>0</v>
      </c>
      <c r="BH138" s="104">
        <f t="shared" si="7"/>
        <v>0</v>
      </c>
      <c r="BI138" s="104">
        <f t="shared" si="8"/>
        <v>0</v>
      </c>
      <c r="BJ138" s="23" t="s">
        <v>85</v>
      </c>
      <c r="BK138" s="104">
        <f t="shared" si="9"/>
        <v>1500</v>
      </c>
      <c r="BL138" s="23" t="s">
        <v>218</v>
      </c>
      <c r="BM138" s="101" t="s">
        <v>250</v>
      </c>
    </row>
    <row r="139" spans="2:65" s="1" customFormat="1" ht="16.5" customHeight="1">
      <c r="B139" s="12"/>
      <c r="C139" s="71" t="s">
        <v>210</v>
      </c>
      <c r="D139" s="71" t="s">
        <v>214</v>
      </c>
      <c r="E139" s="72" t="s">
        <v>5484</v>
      </c>
      <c r="F139" s="73" t="s">
        <v>5485</v>
      </c>
      <c r="G139" s="74" t="s">
        <v>357</v>
      </c>
      <c r="H139" s="75">
        <v>18</v>
      </c>
      <c r="I139" s="90">
        <v>100</v>
      </c>
      <c r="J139" s="91">
        <f t="shared" si="0"/>
        <v>1800</v>
      </c>
      <c r="K139" s="92"/>
      <c r="L139" s="12"/>
      <c r="M139" s="93" t="s">
        <v>1</v>
      </c>
      <c r="N139" s="94" t="s">
        <v>42</v>
      </c>
      <c r="P139" s="95">
        <f t="shared" si="1"/>
        <v>0</v>
      </c>
      <c r="Q139" s="95">
        <v>0</v>
      </c>
      <c r="R139" s="95">
        <f t="shared" si="2"/>
        <v>0</v>
      </c>
      <c r="S139" s="95">
        <v>0</v>
      </c>
      <c r="T139" s="99">
        <f t="shared" si="3"/>
        <v>0</v>
      </c>
      <c r="AR139" s="101" t="s">
        <v>218</v>
      </c>
      <c r="AT139" s="101" t="s">
        <v>214</v>
      </c>
      <c r="AU139" s="101" t="s">
        <v>87</v>
      </c>
      <c r="AY139" s="23" t="s">
        <v>211</v>
      </c>
      <c r="BE139" s="104">
        <f t="shared" si="4"/>
        <v>1800</v>
      </c>
      <c r="BF139" s="104">
        <f t="shared" si="5"/>
        <v>0</v>
      </c>
      <c r="BG139" s="104">
        <f t="shared" si="6"/>
        <v>0</v>
      </c>
      <c r="BH139" s="104">
        <f t="shared" si="7"/>
        <v>0</v>
      </c>
      <c r="BI139" s="104">
        <f t="shared" si="8"/>
        <v>0</v>
      </c>
      <c r="BJ139" s="23" t="s">
        <v>85</v>
      </c>
      <c r="BK139" s="104">
        <f t="shared" si="9"/>
        <v>1800</v>
      </c>
      <c r="BL139" s="23" t="s">
        <v>218</v>
      </c>
      <c r="BM139" s="101" t="s">
        <v>259</v>
      </c>
    </row>
    <row r="140" spans="2:65" s="1" customFormat="1" ht="21.75" customHeight="1">
      <c r="B140" s="12"/>
      <c r="C140" s="71" t="s">
        <v>239</v>
      </c>
      <c r="D140" s="71" t="s">
        <v>214</v>
      </c>
      <c r="E140" s="72" t="s">
        <v>5486</v>
      </c>
      <c r="F140" s="73" t="s">
        <v>5487</v>
      </c>
      <c r="G140" s="74" t="s">
        <v>279</v>
      </c>
      <c r="H140" s="75">
        <v>4</v>
      </c>
      <c r="I140" s="90">
        <v>150</v>
      </c>
      <c r="J140" s="91">
        <f t="shared" si="0"/>
        <v>600</v>
      </c>
      <c r="K140" s="92"/>
      <c r="L140" s="12"/>
      <c r="M140" s="93" t="s">
        <v>1</v>
      </c>
      <c r="N140" s="94" t="s">
        <v>42</v>
      </c>
      <c r="P140" s="95">
        <f t="shared" si="1"/>
        <v>0</v>
      </c>
      <c r="Q140" s="95">
        <v>0</v>
      </c>
      <c r="R140" s="95">
        <f t="shared" si="2"/>
        <v>0</v>
      </c>
      <c r="S140" s="95">
        <v>0</v>
      </c>
      <c r="T140" s="99">
        <f t="shared" si="3"/>
        <v>0</v>
      </c>
      <c r="AR140" s="101" t="s">
        <v>218</v>
      </c>
      <c r="AT140" s="101" t="s">
        <v>214</v>
      </c>
      <c r="AU140" s="101" t="s">
        <v>87</v>
      </c>
      <c r="AY140" s="23" t="s">
        <v>211</v>
      </c>
      <c r="BE140" s="104">
        <f t="shared" si="4"/>
        <v>600</v>
      </c>
      <c r="BF140" s="104">
        <f t="shared" si="5"/>
        <v>0</v>
      </c>
      <c r="BG140" s="104">
        <f t="shared" si="6"/>
        <v>0</v>
      </c>
      <c r="BH140" s="104">
        <f t="shared" si="7"/>
        <v>0</v>
      </c>
      <c r="BI140" s="104">
        <f t="shared" si="8"/>
        <v>0</v>
      </c>
      <c r="BJ140" s="23" t="s">
        <v>85</v>
      </c>
      <c r="BK140" s="104">
        <f t="shared" si="9"/>
        <v>600</v>
      </c>
      <c r="BL140" s="23" t="s">
        <v>218</v>
      </c>
      <c r="BM140" s="101" t="s">
        <v>273</v>
      </c>
    </row>
    <row r="141" spans="2:65" s="1" customFormat="1" ht="16.5" customHeight="1">
      <c r="B141" s="12"/>
      <c r="C141" s="71" t="s">
        <v>245</v>
      </c>
      <c r="D141" s="71" t="s">
        <v>214</v>
      </c>
      <c r="E141" s="72" t="s">
        <v>5488</v>
      </c>
      <c r="F141" s="73" t="s">
        <v>5489</v>
      </c>
      <c r="G141" s="74" t="s">
        <v>357</v>
      </c>
      <c r="H141" s="75">
        <v>1</v>
      </c>
      <c r="I141" s="90">
        <v>1000</v>
      </c>
      <c r="J141" s="91">
        <f t="shared" si="0"/>
        <v>1000</v>
      </c>
      <c r="K141" s="92"/>
      <c r="L141" s="12"/>
      <c r="M141" s="93" t="s">
        <v>1</v>
      </c>
      <c r="N141" s="94" t="s">
        <v>42</v>
      </c>
      <c r="P141" s="95">
        <f t="shared" si="1"/>
        <v>0</v>
      </c>
      <c r="Q141" s="95">
        <v>0</v>
      </c>
      <c r="R141" s="95">
        <f t="shared" si="2"/>
        <v>0</v>
      </c>
      <c r="S141" s="95">
        <v>0</v>
      </c>
      <c r="T141" s="99">
        <f t="shared" si="3"/>
        <v>0</v>
      </c>
      <c r="AR141" s="101" t="s">
        <v>218</v>
      </c>
      <c r="AT141" s="101" t="s">
        <v>214</v>
      </c>
      <c r="AU141" s="101" t="s">
        <v>87</v>
      </c>
      <c r="AY141" s="23" t="s">
        <v>211</v>
      </c>
      <c r="BE141" s="104">
        <f t="shared" si="4"/>
        <v>1000</v>
      </c>
      <c r="BF141" s="104">
        <f t="shared" si="5"/>
        <v>0</v>
      </c>
      <c r="BG141" s="104">
        <f t="shared" si="6"/>
        <v>0</v>
      </c>
      <c r="BH141" s="104">
        <f t="shared" si="7"/>
        <v>0</v>
      </c>
      <c r="BI141" s="104">
        <f t="shared" si="8"/>
        <v>0</v>
      </c>
      <c r="BJ141" s="23" t="s">
        <v>85</v>
      </c>
      <c r="BK141" s="104">
        <f t="shared" si="9"/>
        <v>1000</v>
      </c>
      <c r="BL141" s="23" t="s">
        <v>218</v>
      </c>
      <c r="BM141" s="101" t="s">
        <v>437</v>
      </c>
    </row>
    <row r="142" spans="2:65" s="31" customFormat="1" ht="23.1" customHeight="1">
      <c r="B142" s="67"/>
      <c r="D142" s="68" t="s">
        <v>76</v>
      </c>
      <c r="E142" s="70" t="s">
        <v>3839</v>
      </c>
      <c r="F142" s="70" t="s">
        <v>5490</v>
      </c>
      <c r="I142" s="85"/>
      <c r="J142" s="89">
        <f>BK142</f>
        <v>6750</v>
      </c>
      <c r="L142" s="67"/>
      <c r="M142" s="87"/>
      <c r="P142" s="88">
        <f>SUM(P143:P146)</f>
        <v>0</v>
      </c>
      <c r="R142" s="88">
        <f>SUM(R143:R146)</f>
        <v>0</v>
      </c>
      <c r="T142" s="98">
        <f>SUM(T143:T146)</f>
        <v>0</v>
      </c>
      <c r="AR142" s="68" t="s">
        <v>85</v>
      </c>
      <c r="AT142" s="100" t="s">
        <v>76</v>
      </c>
      <c r="AU142" s="100" t="s">
        <v>85</v>
      </c>
      <c r="AY142" s="68" t="s">
        <v>211</v>
      </c>
      <c r="BK142" s="103">
        <f>SUM(BK143:BK146)</f>
        <v>6750</v>
      </c>
    </row>
    <row r="143" spans="2:65" s="1" customFormat="1" ht="16.5" customHeight="1">
      <c r="B143" s="12"/>
      <c r="C143" s="71" t="s">
        <v>250</v>
      </c>
      <c r="D143" s="71" t="s">
        <v>214</v>
      </c>
      <c r="E143" s="72" t="s">
        <v>5491</v>
      </c>
      <c r="F143" s="73" t="s">
        <v>5492</v>
      </c>
      <c r="G143" s="74" t="s">
        <v>357</v>
      </c>
      <c r="H143" s="75">
        <v>1</v>
      </c>
      <c r="I143" s="90">
        <v>750</v>
      </c>
      <c r="J143" s="91">
        <f>ROUND(I143*H143,2)</f>
        <v>750</v>
      </c>
      <c r="K143" s="92"/>
      <c r="L143" s="12"/>
      <c r="M143" s="93" t="s">
        <v>1</v>
      </c>
      <c r="N143" s="94" t="s">
        <v>42</v>
      </c>
      <c r="P143" s="95">
        <f>O143*H143</f>
        <v>0</v>
      </c>
      <c r="Q143" s="95">
        <v>0</v>
      </c>
      <c r="R143" s="95">
        <f>Q143*H143</f>
        <v>0</v>
      </c>
      <c r="S143" s="95">
        <v>0</v>
      </c>
      <c r="T143" s="99">
        <f>S143*H143</f>
        <v>0</v>
      </c>
      <c r="AR143" s="101" t="s">
        <v>218</v>
      </c>
      <c r="AT143" s="101" t="s">
        <v>214</v>
      </c>
      <c r="AU143" s="101" t="s">
        <v>87</v>
      </c>
      <c r="AY143" s="23" t="s">
        <v>211</v>
      </c>
      <c r="BE143" s="104">
        <f>IF(N143="základní",J143,0)</f>
        <v>750</v>
      </c>
      <c r="BF143" s="104">
        <f>IF(N143="snížená",J143,0)</f>
        <v>0</v>
      </c>
      <c r="BG143" s="104">
        <f>IF(N143="zákl. přenesená",J143,0)</f>
        <v>0</v>
      </c>
      <c r="BH143" s="104">
        <f>IF(N143="sníž. přenesená",J143,0)</f>
        <v>0</v>
      </c>
      <c r="BI143" s="104">
        <f>IF(N143="nulová",J143,0)</f>
        <v>0</v>
      </c>
      <c r="BJ143" s="23" t="s">
        <v>85</v>
      </c>
      <c r="BK143" s="104">
        <f>ROUND(I143*H143,2)</f>
        <v>750</v>
      </c>
      <c r="BL143" s="23" t="s">
        <v>218</v>
      </c>
      <c r="BM143" s="101" t="s">
        <v>446</v>
      </c>
    </row>
    <row r="144" spans="2:65" s="1" customFormat="1" ht="16.5" customHeight="1">
      <c r="B144" s="12"/>
      <c r="C144" s="71" t="s">
        <v>255</v>
      </c>
      <c r="D144" s="71" t="s">
        <v>214</v>
      </c>
      <c r="E144" s="72" t="s">
        <v>5493</v>
      </c>
      <c r="F144" s="73" t="s">
        <v>5494</v>
      </c>
      <c r="G144" s="74" t="s">
        <v>357</v>
      </c>
      <c r="H144" s="75">
        <v>1</v>
      </c>
      <c r="I144" s="90">
        <v>2500</v>
      </c>
      <c r="J144" s="91">
        <f>ROUND(I144*H144,2)</f>
        <v>2500</v>
      </c>
      <c r="K144" s="92"/>
      <c r="L144" s="12"/>
      <c r="M144" s="93" t="s">
        <v>1</v>
      </c>
      <c r="N144" s="94" t="s">
        <v>42</v>
      </c>
      <c r="P144" s="95">
        <f>O144*H144</f>
        <v>0</v>
      </c>
      <c r="Q144" s="95">
        <v>0</v>
      </c>
      <c r="R144" s="95">
        <f>Q144*H144</f>
        <v>0</v>
      </c>
      <c r="S144" s="95">
        <v>0</v>
      </c>
      <c r="T144" s="99">
        <f>S144*H144</f>
        <v>0</v>
      </c>
      <c r="AR144" s="101" t="s">
        <v>218</v>
      </c>
      <c r="AT144" s="101" t="s">
        <v>214</v>
      </c>
      <c r="AU144" s="101" t="s">
        <v>87</v>
      </c>
      <c r="AY144" s="23" t="s">
        <v>211</v>
      </c>
      <c r="BE144" s="104">
        <f>IF(N144="základní",J144,0)</f>
        <v>2500</v>
      </c>
      <c r="BF144" s="104">
        <f>IF(N144="snížená",J144,0)</f>
        <v>0</v>
      </c>
      <c r="BG144" s="104">
        <f>IF(N144="zákl. přenesená",J144,0)</f>
        <v>0</v>
      </c>
      <c r="BH144" s="104">
        <f>IF(N144="sníž. přenesená",J144,0)</f>
        <v>0</v>
      </c>
      <c r="BI144" s="104">
        <f>IF(N144="nulová",J144,0)</f>
        <v>0</v>
      </c>
      <c r="BJ144" s="23" t="s">
        <v>85</v>
      </c>
      <c r="BK144" s="104">
        <f>ROUND(I144*H144,2)</f>
        <v>2500</v>
      </c>
      <c r="BL144" s="23" t="s">
        <v>218</v>
      </c>
      <c r="BM144" s="101" t="s">
        <v>454</v>
      </c>
    </row>
    <row r="145" spans="2:65" s="1" customFormat="1" ht="16.5" customHeight="1">
      <c r="B145" s="12"/>
      <c r="C145" s="71" t="s">
        <v>259</v>
      </c>
      <c r="D145" s="71" t="s">
        <v>214</v>
      </c>
      <c r="E145" s="72" t="s">
        <v>5495</v>
      </c>
      <c r="F145" s="73" t="s">
        <v>5496</v>
      </c>
      <c r="G145" s="74" t="s">
        <v>357</v>
      </c>
      <c r="H145" s="75">
        <v>1</v>
      </c>
      <c r="I145" s="90">
        <v>2500</v>
      </c>
      <c r="J145" s="91">
        <f>ROUND(I145*H145,2)</f>
        <v>2500</v>
      </c>
      <c r="K145" s="92"/>
      <c r="L145" s="12"/>
      <c r="M145" s="93" t="s">
        <v>1</v>
      </c>
      <c r="N145" s="94" t="s">
        <v>42</v>
      </c>
      <c r="P145" s="95">
        <f>O145*H145</f>
        <v>0</v>
      </c>
      <c r="Q145" s="95">
        <v>0</v>
      </c>
      <c r="R145" s="95">
        <f>Q145*H145</f>
        <v>0</v>
      </c>
      <c r="S145" s="95">
        <v>0</v>
      </c>
      <c r="T145" s="99">
        <f>S145*H145</f>
        <v>0</v>
      </c>
      <c r="AR145" s="101" t="s">
        <v>218</v>
      </c>
      <c r="AT145" s="101" t="s">
        <v>214</v>
      </c>
      <c r="AU145" s="101" t="s">
        <v>87</v>
      </c>
      <c r="AY145" s="23" t="s">
        <v>211</v>
      </c>
      <c r="BE145" s="104">
        <f>IF(N145="základní",J145,0)</f>
        <v>2500</v>
      </c>
      <c r="BF145" s="104">
        <f>IF(N145="snížená",J145,0)</f>
        <v>0</v>
      </c>
      <c r="BG145" s="104">
        <f>IF(N145="zákl. přenesená",J145,0)</f>
        <v>0</v>
      </c>
      <c r="BH145" s="104">
        <f>IF(N145="sníž. přenesená",J145,0)</f>
        <v>0</v>
      </c>
      <c r="BI145" s="104">
        <f>IF(N145="nulová",J145,0)</f>
        <v>0</v>
      </c>
      <c r="BJ145" s="23" t="s">
        <v>85</v>
      </c>
      <c r="BK145" s="104">
        <f>ROUND(I145*H145,2)</f>
        <v>2500</v>
      </c>
      <c r="BL145" s="23" t="s">
        <v>218</v>
      </c>
      <c r="BM145" s="101" t="s">
        <v>465</v>
      </c>
    </row>
    <row r="146" spans="2:65" s="1" customFormat="1" ht="16.5" customHeight="1">
      <c r="B146" s="12"/>
      <c r="C146" s="71" t="s">
        <v>266</v>
      </c>
      <c r="D146" s="71" t="s">
        <v>214</v>
      </c>
      <c r="E146" s="72" t="s">
        <v>5497</v>
      </c>
      <c r="F146" s="73" t="s">
        <v>5498</v>
      </c>
      <c r="G146" s="74" t="s">
        <v>357</v>
      </c>
      <c r="H146" s="75">
        <v>1</v>
      </c>
      <c r="I146" s="90">
        <v>1000</v>
      </c>
      <c r="J146" s="91">
        <f>ROUND(I146*H146,2)</f>
        <v>1000</v>
      </c>
      <c r="K146" s="92"/>
      <c r="L146" s="12"/>
      <c r="M146" s="93" t="s">
        <v>1</v>
      </c>
      <c r="N146" s="94" t="s">
        <v>42</v>
      </c>
      <c r="P146" s="95">
        <f>O146*H146</f>
        <v>0</v>
      </c>
      <c r="Q146" s="95">
        <v>0</v>
      </c>
      <c r="R146" s="95">
        <f>Q146*H146</f>
        <v>0</v>
      </c>
      <c r="S146" s="95">
        <v>0</v>
      </c>
      <c r="T146" s="99">
        <f>S146*H146</f>
        <v>0</v>
      </c>
      <c r="AR146" s="101" t="s">
        <v>218</v>
      </c>
      <c r="AT146" s="101" t="s">
        <v>214</v>
      </c>
      <c r="AU146" s="101" t="s">
        <v>87</v>
      </c>
      <c r="AY146" s="23" t="s">
        <v>211</v>
      </c>
      <c r="BE146" s="104">
        <f>IF(N146="základní",J146,0)</f>
        <v>1000</v>
      </c>
      <c r="BF146" s="104">
        <f>IF(N146="snížená",J146,0)</f>
        <v>0</v>
      </c>
      <c r="BG146" s="104">
        <f>IF(N146="zákl. přenesená",J146,0)</f>
        <v>0</v>
      </c>
      <c r="BH146" s="104">
        <f>IF(N146="sníž. přenesená",J146,0)</f>
        <v>0</v>
      </c>
      <c r="BI146" s="104">
        <f>IF(N146="nulová",J146,0)</f>
        <v>0</v>
      </c>
      <c r="BJ146" s="23" t="s">
        <v>85</v>
      </c>
      <c r="BK146" s="104">
        <f>ROUND(I146*H146,2)</f>
        <v>1000</v>
      </c>
      <c r="BL146" s="23" t="s">
        <v>218</v>
      </c>
      <c r="BM146" s="101" t="s">
        <v>475</v>
      </c>
    </row>
    <row r="147" spans="2:65" s="31" customFormat="1" ht="23.1" customHeight="1">
      <c r="B147" s="67"/>
      <c r="D147" s="68" t="s">
        <v>76</v>
      </c>
      <c r="E147" s="70" t="s">
        <v>3853</v>
      </c>
      <c r="F147" s="70" t="s">
        <v>5499</v>
      </c>
      <c r="I147" s="85"/>
      <c r="J147" s="89">
        <f>BK147</f>
        <v>1900</v>
      </c>
      <c r="L147" s="67"/>
      <c r="M147" s="87"/>
      <c r="P147" s="88">
        <f>P148</f>
        <v>0</v>
      </c>
      <c r="R147" s="88">
        <f>R148</f>
        <v>0</v>
      </c>
      <c r="T147" s="98">
        <f>T148</f>
        <v>0</v>
      </c>
      <c r="AR147" s="68" t="s">
        <v>85</v>
      </c>
      <c r="AT147" s="100" t="s">
        <v>76</v>
      </c>
      <c r="AU147" s="100" t="s">
        <v>85</v>
      </c>
      <c r="AY147" s="68" t="s">
        <v>211</v>
      </c>
      <c r="BK147" s="103">
        <f>BK148</f>
        <v>1900</v>
      </c>
    </row>
    <row r="148" spans="2:65" s="1" customFormat="1" ht="16.5" customHeight="1">
      <c r="B148" s="12"/>
      <c r="C148" s="71" t="s">
        <v>273</v>
      </c>
      <c r="D148" s="71" t="s">
        <v>214</v>
      </c>
      <c r="E148" s="72" t="s">
        <v>5500</v>
      </c>
      <c r="F148" s="73" t="s">
        <v>5501</v>
      </c>
      <c r="G148" s="74" t="s">
        <v>357</v>
      </c>
      <c r="H148" s="75">
        <v>2</v>
      </c>
      <c r="I148" s="90">
        <v>950</v>
      </c>
      <c r="J148" s="91">
        <f>ROUND(I148*H148,2)</f>
        <v>1900</v>
      </c>
      <c r="K148" s="92"/>
      <c r="L148" s="12"/>
      <c r="M148" s="93" t="s">
        <v>1</v>
      </c>
      <c r="N148" s="94" t="s">
        <v>42</v>
      </c>
      <c r="P148" s="95">
        <f>O148*H148</f>
        <v>0</v>
      </c>
      <c r="Q148" s="95">
        <v>0</v>
      </c>
      <c r="R148" s="95">
        <f>Q148*H148</f>
        <v>0</v>
      </c>
      <c r="S148" s="95">
        <v>0</v>
      </c>
      <c r="T148" s="99">
        <f>S148*H148</f>
        <v>0</v>
      </c>
      <c r="AR148" s="101" t="s">
        <v>218</v>
      </c>
      <c r="AT148" s="101" t="s">
        <v>214</v>
      </c>
      <c r="AU148" s="101" t="s">
        <v>87</v>
      </c>
      <c r="AY148" s="23" t="s">
        <v>211</v>
      </c>
      <c r="BE148" s="104">
        <f>IF(N148="základní",J148,0)</f>
        <v>1900</v>
      </c>
      <c r="BF148" s="104">
        <f>IF(N148="snížená",J148,0)</f>
        <v>0</v>
      </c>
      <c r="BG148" s="104">
        <f>IF(N148="zákl. přenesená",J148,0)</f>
        <v>0</v>
      </c>
      <c r="BH148" s="104">
        <f>IF(N148="sníž. přenesená",J148,0)</f>
        <v>0</v>
      </c>
      <c r="BI148" s="104">
        <f>IF(N148="nulová",J148,0)</f>
        <v>0</v>
      </c>
      <c r="BJ148" s="23" t="s">
        <v>85</v>
      </c>
      <c r="BK148" s="104">
        <f>ROUND(I148*H148,2)</f>
        <v>1900</v>
      </c>
      <c r="BL148" s="23" t="s">
        <v>218</v>
      </c>
      <c r="BM148" s="101" t="s">
        <v>486</v>
      </c>
    </row>
    <row r="149" spans="2:65" s="31" customFormat="1" ht="23.1" customHeight="1">
      <c r="B149" s="67"/>
      <c r="D149" s="68" t="s">
        <v>76</v>
      </c>
      <c r="E149" s="70" t="s">
        <v>3858</v>
      </c>
      <c r="F149" s="70" t="s">
        <v>5502</v>
      </c>
      <c r="I149" s="85"/>
      <c r="J149" s="89">
        <f>BK149</f>
        <v>27300</v>
      </c>
      <c r="L149" s="67"/>
      <c r="M149" s="87"/>
      <c r="P149" s="88">
        <f>SUM(P150:P160)</f>
        <v>0</v>
      </c>
      <c r="R149" s="88">
        <f>SUM(R150:R160)</f>
        <v>0</v>
      </c>
      <c r="T149" s="98">
        <f>SUM(T150:T160)</f>
        <v>0</v>
      </c>
      <c r="AR149" s="68" t="s">
        <v>85</v>
      </c>
      <c r="AT149" s="100" t="s">
        <v>76</v>
      </c>
      <c r="AU149" s="100" t="s">
        <v>85</v>
      </c>
      <c r="AY149" s="68" t="s">
        <v>211</v>
      </c>
      <c r="BK149" s="103">
        <f>SUM(BK150:BK160)</f>
        <v>27300</v>
      </c>
    </row>
    <row r="150" spans="2:65" s="1" customFormat="1" ht="16.5" customHeight="1">
      <c r="B150" s="12"/>
      <c r="C150" s="71" t="s">
        <v>433</v>
      </c>
      <c r="D150" s="71" t="s">
        <v>214</v>
      </c>
      <c r="E150" s="72" t="s">
        <v>5503</v>
      </c>
      <c r="F150" s="73" t="s">
        <v>5504</v>
      </c>
      <c r="G150" s="74" t="s">
        <v>431</v>
      </c>
      <c r="H150" s="75">
        <v>5</v>
      </c>
      <c r="I150" s="90">
        <v>400</v>
      </c>
      <c r="J150" s="91">
        <f t="shared" ref="J150:J160" si="10">ROUND(I150*H150,2)</f>
        <v>2000</v>
      </c>
      <c r="K150" s="92"/>
      <c r="L150" s="12"/>
      <c r="M150" s="93" t="s">
        <v>1</v>
      </c>
      <c r="N150" s="94" t="s">
        <v>42</v>
      </c>
      <c r="P150" s="95">
        <f t="shared" ref="P150:P160" si="11">O150*H150</f>
        <v>0</v>
      </c>
      <c r="Q150" s="95">
        <v>0</v>
      </c>
      <c r="R150" s="95">
        <f t="shared" ref="R150:R160" si="12">Q150*H150</f>
        <v>0</v>
      </c>
      <c r="S150" s="95">
        <v>0</v>
      </c>
      <c r="T150" s="99">
        <f t="shared" ref="T150:T160" si="13">S150*H150</f>
        <v>0</v>
      </c>
      <c r="AR150" s="101" t="s">
        <v>218</v>
      </c>
      <c r="AT150" s="101" t="s">
        <v>214</v>
      </c>
      <c r="AU150" s="101" t="s">
        <v>87</v>
      </c>
      <c r="AY150" s="23" t="s">
        <v>211</v>
      </c>
      <c r="BE150" s="104">
        <f t="shared" ref="BE150:BE160" si="14">IF(N150="základní",J150,0)</f>
        <v>2000</v>
      </c>
      <c r="BF150" s="104">
        <f t="shared" ref="BF150:BF160" si="15">IF(N150="snížená",J150,0)</f>
        <v>0</v>
      </c>
      <c r="BG150" s="104">
        <f t="shared" ref="BG150:BG160" si="16">IF(N150="zákl. přenesená",J150,0)</f>
        <v>0</v>
      </c>
      <c r="BH150" s="104">
        <f t="shared" ref="BH150:BH160" si="17">IF(N150="sníž. přenesená",J150,0)</f>
        <v>0</v>
      </c>
      <c r="BI150" s="104">
        <f t="shared" ref="BI150:BI160" si="18">IF(N150="nulová",J150,0)</f>
        <v>0</v>
      </c>
      <c r="BJ150" s="23" t="s">
        <v>85</v>
      </c>
      <c r="BK150" s="104">
        <f t="shared" ref="BK150:BK160" si="19">ROUND(I150*H150,2)</f>
        <v>2000</v>
      </c>
      <c r="BL150" s="23" t="s">
        <v>218</v>
      </c>
      <c r="BM150" s="101" t="s">
        <v>496</v>
      </c>
    </row>
    <row r="151" spans="2:65" s="1" customFormat="1" ht="16.5" customHeight="1">
      <c r="B151" s="12"/>
      <c r="C151" s="71" t="s">
        <v>437</v>
      </c>
      <c r="D151" s="71" t="s">
        <v>214</v>
      </c>
      <c r="E151" s="72" t="s">
        <v>5505</v>
      </c>
      <c r="F151" s="73" t="s">
        <v>5506</v>
      </c>
      <c r="G151" s="74" t="s">
        <v>431</v>
      </c>
      <c r="H151" s="75">
        <v>5</v>
      </c>
      <c r="I151" s="90">
        <v>100</v>
      </c>
      <c r="J151" s="91">
        <f t="shared" si="10"/>
        <v>500</v>
      </c>
      <c r="K151" s="92"/>
      <c r="L151" s="12"/>
      <c r="M151" s="93" t="s">
        <v>1</v>
      </c>
      <c r="N151" s="94" t="s">
        <v>42</v>
      </c>
      <c r="P151" s="95">
        <f t="shared" si="11"/>
        <v>0</v>
      </c>
      <c r="Q151" s="95">
        <v>0</v>
      </c>
      <c r="R151" s="95">
        <f t="shared" si="12"/>
        <v>0</v>
      </c>
      <c r="S151" s="95">
        <v>0</v>
      </c>
      <c r="T151" s="99">
        <f t="shared" si="13"/>
        <v>0</v>
      </c>
      <c r="AR151" s="101" t="s">
        <v>218</v>
      </c>
      <c r="AT151" s="101" t="s">
        <v>214</v>
      </c>
      <c r="AU151" s="101" t="s">
        <v>87</v>
      </c>
      <c r="AY151" s="23" t="s">
        <v>211</v>
      </c>
      <c r="BE151" s="104">
        <f t="shared" si="14"/>
        <v>500</v>
      </c>
      <c r="BF151" s="104">
        <f t="shared" si="15"/>
        <v>0</v>
      </c>
      <c r="BG151" s="104">
        <f t="shared" si="16"/>
        <v>0</v>
      </c>
      <c r="BH151" s="104">
        <f t="shared" si="17"/>
        <v>0</v>
      </c>
      <c r="BI151" s="104">
        <f t="shared" si="18"/>
        <v>0</v>
      </c>
      <c r="BJ151" s="23" t="s">
        <v>85</v>
      </c>
      <c r="BK151" s="104">
        <f t="shared" si="19"/>
        <v>500</v>
      </c>
      <c r="BL151" s="23" t="s">
        <v>218</v>
      </c>
      <c r="BM151" s="101" t="s">
        <v>507</v>
      </c>
    </row>
    <row r="152" spans="2:65" s="1" customFormat="1" ht="16.5" customHeight="1">
      <c r="B152" s="12"/>
      <c r="C152" s="71" t="s">
        <v>8</v>
      </c>
      <c r="D152" s="71" t="s">
        <v>214</v>
      </c>
      <c r="E152" s="72" t="s">
        <v>5507</v>
      </c>
      <c r="F152" s="73" t="s">
        <v>5508</v>
      </c>
      <c r="G152" s="74" t="s">
        <v>808</v>
      </c>
      <c r="H152" s="75">
        <v>1</v>
      </c>
      <c r="I152" s="90">
        <v>1400</v>
      </c>
      <c r="J152" s="91">
        <f t="shared" si="10"/>
        <v>1400</v>
      </c>
      <c r="K152" s="92"/>
      <c r="L152" s="12"/>
      <c r="M152" s="93" t="s">
        <v>1</v>
      </c>
      <c r="N152" s="94" t="s">
        <v>42</v>
      </c>
      <c r="P152" s="95">
        <f t="shared" si="11"/>
        <v>0</v>
      </c>
      <c r="Q152" s="95">
        <v>0</v>
      </c>
      <c r="R152" s="95">
        <f t="shared" si="12"/>
        <v>0</v>
      </c>
      <c r="S152" s="95">
        <v>0</v>
      </c>
      <c r="T152" s="99">
        <f t="shared" si="13"/>
        <v>0</v>
      </c>
      <c r="AR152" s="101" t="s">
        <v>218</v>
      </c>
      <c r="AT152" s="101" t="s">
        <v>214</v>
      </c>
      <c r="AU152" s="101" t="s">
        <v>87</v>
      </c>
      <c r="AY152" s="23" t="s">
        <v>211</v>
      </c>
      <c r="BE152" s="104">
        <f t="shared" si="14"/>
        <v>1400</v>
      </c>
      <c r="BF152" s="104">
        <f t="shared" si="15"/>
        <v>0</v>
      </c>
      <c r="BG152" s="104">
        <f t="shared" si="16"/>
        <v>0</v>
      </c>
      <c r="BH152" s="104">
        <f t="shared" si="17"/>
        <v>0</v>
      </c>
      <c r="BI152" s="104">
        <f t="shared" si="18"/>
        <v>0</v>
      </c>
      <c r="BJ152" s="23" t="s">
        <v>85</v>
      </c>
      <c r="BK152" s="104">
        <f t="shared" si="19"/>
        <v>1400</v>
      </c>
      <c r="BL152" s="23" t="s">
        <v>218</v>
      </c>
      <c r="BM152" s="101" t="s">
        <v>517</v>
      </c>
    </row>
    <row r="153" spans="2:65" s="1" customFormat="1" ht="16.5" customHeight="1">
      <c r="B153" s="12"/>
      <c r="C153" s="71" t="s">
        <v>446</v>
      </c>
      <c r="D153" s="71" t="s">
        <v>214</v>
      </c>
      <c r="E153" s="72" t="s">
        <v>5509</v>
      </c>
      <c r="F153" s="73" t="s">
        <v>5510</v>
      </c>
      <c r="G153" s="74" t="s">
        <v>808</v>
      </c>
      <c r="H153" s="75">
        <v>1</v>
      </c>
      <c r="I153" s="90">
        <v>5500</v>
      </c>
      <c r="J153" s="91">
        <f t="shared" si="10"/>
        <v>5500</v>
      </c>
      <c r="K153" s="92"/>
      <c r="L153" s="12"/>
      <c r="M153" s="93" t="s">
        <v>1</v>
      </c>
      <c r="N153" s="94" t="s">
        <v>42</v>
      </c>
      <c r="P153" s="95">
        <f t="shared" si="11"/>
        <v>0</v>
      </c>
      <c r="Q153" s="95">
        <v>0</v>
      </c>
      <c r="R153" s="95">
        <f t="shared" si="12"/>
        <v>0</v>
      </c>
      <c r="S153" s="95">
        <v>0</v>
      </c>
      <c r="T153" s="99">
        <f t="shared" si="13"/>
        <v>0</v>
      </c>
      <c r="AR153" s="101" t="s">
        <v>218</v>
      </c>
      <c r="AT153" s="101" t="s">
        <v>214</v>
      </c>
      <c r="AU153" s="101" t="s">
        <v>87</v>
      </c>
      <c r="AY153" s="23" t="s">
        <v>211</v>
      </c>
      <c r="BE153" s="104">
        <f t="shared" si="14"/>
        <v>5500</v>
      </c>
      <c r="BF153" s="104">
        <f t="shared" si="15"/>
        <v>0</v>
      </c>
      <c r="BG153" s="104">
        <f t="shared" si="16"/>
        <v>0</v>
      </c>
      <c r="BH153" s="104">
        <f t="shared" si="17"/>
        <v>0</v>
      </c>
      <c r="BI153" s="104">
        <f t="shared" si="18"/>
        <v>0</v>
      </c>
      <c r="BJ153" s="23" t="s">
        <v>85</v>
      </c>
      <c r="BK153" s="104">
        <f t="shared" si="19"/>
        <v>5500</v>
      </c>
      <c r="BL153" s="23" t="s">
        <v>218</v>
      </c>
      <c r="BM153" s="101" t="s">
        <v>527</v>
      </c>
    </row>
    <row r="154" spans="2:65" s="1" customFormat="1" ht="21.75" customHeight="1">
      <c r="B154" s="12"/>
      <c r="C154" s="71" t="s">
        <v>450</v>
      </c>
      <c r="D154" s="71" t="s">
        <v>214</v>
      </c>
      <c r="E154" s="72" t="s">
        <v>5511</v>
      </c>
      <c r="F154" s="73" t="s">
        <v>5512</v>
      </c>
      <c r="G154" s="74" t="s">
        <v>808</v>
      </c>
      <c r="H154" s="75">
        <v>2</v>
      </c>
      <c r="I154" s="90">
        <v>1000</v>
      </c>
      <c r="J154" s="91">
        <f t="shared" si="10"/>
        <v>2000</v>
      </c>
      <c r="K154" s="92"/>
      <c r="L154" s="12"/>
      <c r="M154" s="93" t="s">
        <v>1</v>
      </c>
      <c r="N154" s="94" t="s">
        <v>42</v>
      </c>
      <c r="P154" s="95">
        <f t="shared" si="11"/>
        <v>0</v>
      </c>
      <c r="Q154" s="95">
        <v>0</v>
      </c>
      <c r="R154" s="95">
        <f t="shared" si="12"/>
        <v>0</v>
      </c>
      <c r="S154" s="95">
        <v>0</v>
      </c>
      <c r="T154" s="99">
        <f t="shared" si="13"/>
        <v>0</v>
      </c>
      <c r="AR154" s="101" t="s">
        <v>218</v>
      </c>
      <c r="AT154" s="101" t="s">
        <v>214</v>
      </c>
      <c r="AU154" s="101" t="s">
        <v>87</v>
      </c>
      <c r="AY154" s="23" t="s">
        <v>211</v>
      </c>
      <c r="BE154" s="104">
        <f t="shared" si="14"/>
        <v>2000</v>
      </c>
      <c r="BF154" s="104">
        <f t="shared" si="15"/>
        <v>0</v>
      </c>
      <c r="BG154" s="104">
        <f t="shared" si="16"/>
        <v>0</v>
      </c>
      <c r="BH154" s="104">
        <f t="shared" si="17"/>
        <v>0</v>
      </c>
      <c r="BI154" s="104">
        <f t="shared" si="18"/>
        <v>0</v>
      </c>
      <c r="BJ154" s="23" t="s">
        <v>85</v>
      </c>
      <c r="BK154" s="104">
        <f t="shared" si="19"/>
        <v>2000</v>
      </c>
      <c r="BL154" s="23" t="s">
        <v>218</v>
      </c>
      <c r="BM154" s="101" t="s">
        <v>537</v>
      </c>
    </row>
    <row r="155" spans="2:65" s="1" customFormat="1" ht="16.5" customHeight="1">
      <c r="B155" s="12"/>
      <c r="C155" s="71" t="s">
        <v>454</v>
      </c>
      <c r="D155" s="71" t="s">
        <v>214</v>
      </c>
      <c r="E155" s="72" t="s">
        <v>5513</v>
      </c>
      <c r="F155" s="73" t="s">
        <v>5514</v>
      </c>
      <c r="G155" s="74" t="s">
        <v>808</v>
      </c>
      <c r="H155" s="75">
        <v>1</v>
      </c>
      <c r="I155" s="90">
        <v>2700</v>
      </c>
      <c r="J155" s="91">
        <f t="shared" si="10"/>
        <v>2700</v>
      </c>
      <c r="K155" s="92"/>
      <c r="L155" s="12"/>
      <c r="M155" s="93" t="s">
        <v>1</v>
      </c>
      <c r="N155" s="94" t="s">
        <v>42</v>
      </c>
      <c r="P155" s="95">
        <f t="shared" si="11"/>
        <v>0</v>
      </c>
      <c r="Q155" s="95">
        <v>0</v>
      </c>
      <c r="R155" s="95">
        <f t="shared" si="12"/>
        <v>0</v>
      </c>
      <c r="S155" s="95">
        <v>0</v>
      </c>
      <c r="T155" s="99">
        <f t="shared" si="13"/>
        <v>0</v>
      </c>
      <c r="AR155" s="101" t="s">
        <v>218</v>
      </c>
      <c r="AT155" s="101" t="s">
        <v>214</v>
      </c>
      <c r="AU155" s="101" t="s">
        <v>87</v>
      </c>
      <c r="AY155" s="23" t="s">
        <v>211</v>
      </c>
      <c r="BE155" s="104">
        <f t="shared" si="14"/>
        <v>2700</v>
      </c>
      <c r="BF155" s="104">
        <f t="shared" si="15"/>
        <v>0</v>
      </c>
      <c r="BG155" s="104">
        <f t="shared" si="16"/>
        <v>0</v>
      </c>
      <c r="BH155" s="104">
        <f t="shared" si="17"/>
        <v>0</v>
      </c>
      <c r="BI155" s="104">
        <f t="shared" si="18"/>
        <v>0</v>
      </c>
      <c r="BJ155" s="23" t="s">
        <v>85</v>
      </c>
      <c r="BK155" s="104">
        <f t="shared" si="19"/>
        <v>2700</v>
      </c>
      <c r="BL155" s="23" t="s">
        <v>218</v>
      </c>
      <c r="BM155" s="101" t="s">
        <v>551</v>
      </c>
    </row>
    <row r="156" spans="2:65" s="1" customFormat="1" ht="16.5" customHeight="1">
      <c r="B156" s="12"/>
      <c r="C156" s="71" t="s">
        <v>459</v>
      </c>
      <c r="D156" s="71" t="s">
        <v>214</v>
      </c>
      <c r="E156" s="72" t="s">
        <v>5515</v>
      </c>
      <c r="F156" s="73" t="s">
        <v>5516</v>
      </c>
      <c r="G156" s="74" t="s">
        <v>808</v>
      </c>
      <c r="H156" s="75">
        <v>1</v>
      </c>
      <c r="I156" s="90">
        <v>1000</v>
      </c>
      <c r="J156" s="91">
        <f t="shared" si="10"/>
        <v>1000</v>
      </c>
      <c r="K156" s="92"/>
      <c r="L156" s="12"/>
      <c r="M156" s="93" t="s">
        <v>1</v>
      </c>
      <c r="N156" s="94" t="s">
        <v>42</v>
      </c>
      <c r="P156" s="95">
        <f t="shared" si="11"/>
        <v>0</v>
      </c>
      <c r="Q156" s="95">
        <v>0</v>
      </c>
      <c r="R156" s="95">
        <f t="shared" si="12"/>
        <v>0</v>
      </c>
      <c r="S156" s="95">
        <v>0</v>
      </c>
      <c r="T156" s="99">
        <f t="shared" si="13"/>
        <v>0</v>
      </c>
      <c r="AR156" s="101" t="s">
        <v>218</v>
      </c>
      <c r="AT156" s="101" t="s">
        <v>214</v>
      </c>
      <c r="AU156" s="101" t="s">
        <v>87</v>
      </c>
      <c r="AY156" s="23" t="s">
        <v>211</v>
      </c>
      <c r="BE156" s="104">
        <f t="shared" si="14"/>
        <v>1000</v>
      </c>
      <c r="BF156" s="104">
        <f t="shared" si="15"/>
        <v>0</v>
      </c>
      <c r="BG156" s="104">
        <f t="shared" si="16"/>
        <v>0</v>
      </c>
      <c r="BH156" s="104">
        <f t="shared" si="17"/>
        <v>0</v>
      </c>
      <c r="BI156" s="104">
        <f t="shared" si="18"/>
        <v>0</v>
      </c>
      <c r="BJ156" s="23" t="s">
        <v>85</v>
      </c>
      <c r="BK156" s="104">
        <f t="shared" si="19"/>
        <v>1000</v>
      </c>
      <c r="BL156" s="23" t="s">
        <v>218</v>
      </c>
      <c r="BM156" s="101" t="s">
        <v>566</v>
      </c>
    </row>
    <row r="157" spans="2:65" s="1" customFormat="1" ht="16.5" customHeight="1">
      <c r="B157" s="12"/>
      <c r="C157" s="71" t="s">
        <v>465</v>
      </c>
      <c r="D157" s="71" t="s">
        <v>214</v>
      </c>
      <c r="E157" s="72" t="s">
        <v>5517</v>
      </c>
      <c r="F157" s="73" t="s">
        <v>5518</v>
      </c>
      <c r="G157" s="74" t="s">
        <v>808</v>
      </c>
      <c r="H157" s="75">
        <v>1</v>
      </c>
      <c r="I157" s="90">
        <v>1200</v>
      </c>
      <c r="J157" s="91">
        <f t="shared" si="10"/>
        <v>1200</v>
      </c>
      <c r="K157" s="92"/>
      <c r="L157" s="12"/>
      <c r="M157" s="93" t="s">
        <v>1</v>
      </c>
      <c r="N157" s="94" t="s">
        <v>42</v>
      </c>
      <c r="P157" s="95">
        <f t="shared" si="11"/>
        <v>0</v>
      </c>
      <c r="Q157" s="95">
        <v>0</v>
      </c>
      <c r="R157" s="95">
        <f t="shared" si="12"/>
        <v>0</v>
      </c>
      <c r="S157" s="95">
        <v>0</v>
      </c>
      <c r="T157" s="99">
        <f t="shared" si="13"/>
        <v>0</v>
      </c>
      <c r="AR157" s="101" t="s">
        <v>218</v>
      </c>
      <c r="AT157" s="101" t="s">
        <v>214</v>
      </c>
      <c r="AU157" s="101" t="s">
        <v>87</v>
      </c>
      <c r="AY157" s="23" t="s">
        <v>211</v>
      </c>
      <c r="BE157" s="104">
        <f t="shared" si="14"/>
        <v>1200</v>
      </c>
      <c r="BF157" s="104">
        <f t="shared" si="15"/>
        <v>0</v>
      </c>
      <c r="BG157" s="104">
        <f t="shared" si="16"/>
        <v>0</v>
      </c>
      <c r="BH157" s="104">
        <f t="shared" si="17"/>
        <v>0</v>
      </c>
      <c r="BI157" s="104">
        <f t="shared" si="18"/>
        <v>0</v>
      </c>
      <c r="BJ157" s="23" t="s">
        <v>85</v>
      </c>
      <c r="BK157" s="104">
        <f t="shared" si="19"/>
        <v>1200</v>
      </c>
      <c r="BL157" s="23" t="s">
        <v>218</v>
      </c>
      <c r="BM157" s="101" t="s">
        <v>578</v>
      </c>
    </row>
    <row r="158" spans="2:65" s="1" customFormat="1" ht="16.5" customHeight="1">
      <c r="B158" s="12"/>
      <c r="C158" s="71" t="s">
        <v>7</v>
      </c>
      <c r="D158" s="71" t="s">
        <v>214</v>
      </c>
      <c r="E158" s="72" t="s">
        <v>5519</v>
      </c>
      <c r="F158" s="73" t="s">
        <v>5520</v>
      </c>
      <c r="G158" s="74" t="s">
        <v>808</v>
      </c>
      <c r="H158" s="75">
        <v>1</v>
      </c>
      <c r="I158" s="90">
        <v>6500</v>
      </c>
      <c r="J158" s="91">
        <f t="shared" si="10"/>
        <v>6500</v>
      </c>
      <c r="K158" s="92"/>
      <c r="L158" s="12"/>
      <c r="M158" s="93" t="s">
        <v>1</v>
      </c>
      <c r="N158" s="94" t="s">
        <v>42</v>
      </c>
      <c r="P158" s="95">
        <f t="shared" si="11"/>
        <v>0</v>
      </c>
      <c r="Q158" s="95">
        <v>0</v>
      </c>
      <c r="R158" s="95">
        <f t="shared" si="12"/>
        <v>0</v>
      </c>
      <c r="S158" s="95">
        <v>0</v>
      </c>
      <c r="T158" s="99">
        <f t="shared" si="13"/>
        <v>0</v>
      </c>
      <c r="AR158" s="101" t="s">
        <v>218</v>
      </c>
      <c r="AT158" s="101" t="s">
        <v>214</v>
      </c>
      <c r="AU158" s="101" t="s">
        <v>87</v>
      </c>
      <c r="AY158" s="23" t="s">
        <v>211</v>
      </c>
      <c r="BE158" s="104">
        <f t="shared" si="14"/>
        <v>6500</v>
      </c>
      <c r="BF158" s="104">
        <f t="shared" si="15"/>
        <v>0</v>
      </c>
      <c r="BG158" s="104">
        <f t="shared" si="16"/>
        <v>0</v>
      </c>
      <c r="BH158" s="104">
        <f t="shared" si="17"/>
        <v>0</v>
      </c>
      <c r="BI158" s="104">
        <f t="shared" si="18"/>
        <v>0</v>
      </c>
      <c r="BJ158" s="23" t="s">
        <v>85</v>
      </c>
      <c r="BK158" s="104">
        <f t="shared" si="19"/>
        <v>6500</v>
      </c>
      <c r="BL158" s="23" t="s">
        <v>218</v>
      </c>
      <c r="BM158" s="101" t="s">
        <v>588</v>
      </c>
    </row>
    <row r="159" spans="2:65" s="1" customFormat="1" ht="16.5" customHeight="1">
      <c r="B159" s="12"/>
      <c r="C159" s="71" t="s">
        <v>475</v>
      </c>
      <c r="D159" s="71" t="s">
        <v>214</v>
      </c>
      <c r="E159" s="72" t="s">
        <v>5521</v>
      </c>
      <c r="F159" s="73" t="s">
        <v>5522</v>
      </c>
      <c r="G159" s="74" t="s">
        <v>808</v>
      </c>
      <c r="H159" s="75">
        <v>1</v>
      </c>
      <c r="I159" s="90">
        <v>4000</v>
      </c>
      <c r="J159" s="91">
        <f t="shared" si="10"/>
        <v>4000</v>
      </c>
      <c r="K159" s="92"/>
      <c r="L159" s="12"/>
      <c r="M159" s="93" t="s">
        <v>1</v>
      </c>
      <c r="N159" s="94" t="s">
        <v>42</v>
      </c>
      <c r="P159" s="95">
        <f t="shared" si="11"/>
        <v>0</v>
      </c>
      <c r="Q159" s="95">
        <v>0</v>
      </c>
      <c r="R159" s="95">
        <f t="shared" si="12"/>
        <v>0</v>
      </c>
      <c r="S159" s="95">
        <v>0</v>
      </c>
      <c r="T159" s="99">
        <f t="shared" si="13"/>
        <v>0</v>
      </c>
      <c r="AR159" s="101" t="s">
        <v>218</v>
      </c>
      <c r="AT159" s="101" t="s">
        <v>214</v>
      </c>
      <c r="AU159" s="101" t="s">
        <v>87</v>
      </c>
      <c r="AY159" s="23" t="s">
        <v>211</v>
      </c>
      <c r="BE159" s="104">
        <f t="shared" si="14"/>
        <v>4000</v>
      </c>
      <c r="BF159" s="104">
        <f t="shared" si="15"/>
        <v>0</v>
      </c>
      <c r="BG159" s="104">
        <f t="shared" si="16"/>
        <v>0</v>
      </c>
      <c r="BH159" s="104">
        <f t="shared" si="17"/>
        <v>0</v>
      </c>
      <c r="BI159" s="104">
        <f t="shared" si="18"/>
        <v>0</v>
      </c>
      <c r="BJ159" s="23" t="s">
        <v>85</v>
      </c>
      <c r="BK159" s="104">
        <f t="shared" si="19"/>
        <v>4000</v>
      </c>
      <c r="BL159" s="23" t="s">
        <v>218</v>
      </c>
      <c r="BM159" s="101" t="s">
        <v>598</v>
      </c>
    </row>
    <row r="160" spans="2:65" s="1" customFormat="1" ht="16.5" customHeight="1">
      <c r="B160" s="12"/>
      <c r="C160" s="71" t="s">
        <v>481</v>
      </c>
      <c r="D160" s="71" t="s">
        <v>214</v>
      </c>
      <c r="E160" s="72" t="s">
        <v>5523</v>
      </c>
      <c r="F160" s="73" t="s">
        <v>5524</v>
      </c>
      <c r="G160" s="74" t="s">
        <v>808</v>
      </c>
      <c r="H160" s="75">
        <v>1</v>
      </c>
      <c r="I160" s="90">
        <v>500</v>
      </c>
      <c r="J160" s="91">
        <f t="shared" si="10"/>
        <v>500</v>
      </c>
      <c r="K160" s="92"/>
      <c r="L160" s="12"/>
      <c r="M160" s="93" t="s">
        <v>1</v>
      </c>
      <c r="N160" s="94" t="s">
        <v>42</v>
      </c>
      <c r="P160" s="95">
        <f t="shared" si="11"/>
        <v>0</v>
      </c>
      <c r="Q160" s="95">
        <v>0</v>
      </c>
      <c r="R160" s="95">
        <f t="shared" si="12"/>
        <v>0</v>
      </c>
      <c r="S160" s="95">
        <v>0</v>
      </c>
      <c r="T160" s="99">
        <f t="shared" si="13"/>
        <v>0</v>
      </c>
      <c r="AR160" s="101" t="s">
        <v>218</v>
      </c>
      <c r="AT160" s="101" t="s">
        <v>214</v>
      </c>
      <c r="AU160" s="101" t="s">
        <v>87</v>
      </c>
      <c r="AY160" s="23" t="s">
        <v>211</v>
      </c>
      <c r="BE160" s="104">
        <f t="shared" si="14"/>
        <v>500</v>
      </c>
      <c r="BF160" s="104">
        <f t="shared" si="15"/>
        <v>0</v>
      </c>
      <c r="BG160" s="104">
        <f t="shared" si="16"/>
        <v>0</v>
      </c>
      <c r="BH160" s="104">
        <f t="shared" si="17"/>
        <v>0</v>
      </c>
      <c r="BI160" s="104">
        <f t="shared" si="18"/>
        <v>0</v>
      </c>
      <c r="BJ160" s="23" t="s">
        <v>85</v>
      </c>
      <c r="BK160" s="104">
        <f t="shared" si="19"/>
        <v>500</v>
      </c>
      <c r="BL160" s="23" t="s">
        <v>218</v>
      </c>
      <c r="BM160" s="101" t="s">
        <v>608</v>
      </c>
    </row>
    <row r="161" spans="2:65" s="31" customFormat="1" ht="23.1" customHeight="1">
      <c r="B161" s="67"/>
      <c r="D161" s="68" t="s">
        <v>76</v>
      </c>
      <c r="E161" s="70" t="s">
        <v>3873</v>
      </c>
      <c r="F161" s="70" t="s">
        <v>5525</v>
      </c>
      <c r="I161" s="85"/>
      <c r="J161" s="89">
        <f>BK161</f>
        <v>18300</v>
      </c>
      <c r="L161" s="67"/>
      <c r="M161" s="87"/>
      <c r="P161" s="88">
        <f>SUM(P162:P165)</f>
        <v>0</v>
      </c>
      <c r="R161" s="88">
        <f>SUM(R162:R165)</f>
        <v>0</v>
      </c>
      <c r="T161" s="98">
        <f>SUM(T162:T165)</f>
        <v>0</v>
      </c>
      <c r="AR161" s="68" t="s">
        <v>85</v>
      </c>
      <c r="AT161" s="100" t="s">
        <v>76</v>
      </c>
      <c r="AU161" s="100" t="s">
        <v>85</v>
      </c>
      <c r="AY161" s="68" t="s">
        <v>211</v>
      </c>
      <c r="BK161" s="103">
        <f>SUM(BK162:BK165)</f>
        <v>18300</v>
      </c>
    </row>
    <row r="162" spans="2:65" s="1" customFormat="1" ht="16.5" customHeight="1">
      <c r="B162" s="12"/>
      <c r="C162" s="71" t="s">
        <v>486</v>
      </c>
      <c r="D162" s="71" t="s">
        <v>214</v>
      </c>
      <c r="E162" s="72" t="s">
        <v>5526</v>
      </c>
      <c r="F162" s="73" t="s">
        <v>5527</v>
      </c>
      <c r="G162" s="74" t="s">
        <v>234</v>
      </c>
      <c r="H162" s="75">
        <v>1</v>
      </c>
      <c r="I162" s="90">
        <v>2000</v>
      </c>
      <c r="J162" s="91">
        <f>ROUND(I162*H162,2)</f>
        <v>2000</v>
      </c>
      <c r="K162" s="92"/>
      <c r="L162" s="12"/>
      <c r="M162" s="93" t="s">
        <v>1</v>
      </c>
      <c r="N162" s="94" t="s">
        <v>42</v>
      </c>
      <c r="P162" s="95">
        <f>O162*H162</f>
        <v>0</v>
      </c>
      <c r="Q162" s="95">
        <v>0</v>
      </c>
      <c r="R162" s="95">
        <f>Q162*H162</f>
        <v>0</v>
      </c>
      <c r="S162" s="95">
        <v>0</v>
      </c>
      <c r="T162" s="99">
        <f>S162*H162</f>
        <v>0</v>
      </c>
      <c r="AR162" s="101" t="s">
        <v>218</v>
      </c>
      <c r="AT162" s="101" t="s">
        <v>214</v>
      </c>
      <c r="AU162" s="101" t="s">
        <v>87</v>
      </c>
      <c r="AY162" s="23" t="s">
        <v>211</v>
      </c>
      <c r="BE162" s="104">
        <f>IF(N162="základní",J162,0)</f>
        <v>2000</v>
      </c>
      <c r="BF162" s="104">
        <f>IF(N162="snížená",J162,0)</f>
        <v>0</v>
      </c>
      <c r="BG162" s="104">
        <f>IF(N162="zákl. přenesená",J162,0)</f>
        <v>0</v>
      </c>
      <c r="BH162" s="104">
        <f>IF(N162="sníž. přenesená",J162,0)</f>
        <v>0</v>
      </c>
      <c r="BI162" s="104">
        <f>IF(N162="nulová",J162,0)</f>
        <v>0</v>
      </c>
      <c r="BJ162" s="23" t="s">
        <v>85</v>
      </c>
      <c r="BK162" s="104">
        <f>ROUND(I162*H162,2)</f>
        <v>2000</v>
      </c>
      <c r="BL162" s="23" t="s">
        <v>218</v>
      </c>
      <c r="BM162" s="101" t="s">
        <v>619</v>
      </c>
    </row>
    <row r="163" spans="2:65" s="1" customFormat="1" ht="21.75" customHeight="1">
      <c r="B163" s="12"/>
      <c r="C163" s="71" t="s">
        <v>490</v>
      </c>
      <c r="D163" s="71" t="s">
        <v>214</v>
      </c>
      <c r="E163" s="72" t="s">
        <v>5528</v>
      </c>
      <c r="F163" s="73" t="s">
        <v>5529</v>
      </c>
      <c r="G163" s="74" t="s">
        <v>234</v>
      </c>
      <c r="H163" s="75">
        <v>1</v>
      </c>
      <c r="I163" s="90">
        <v>1500</v>
      </c>
      <c r="J163" s="91">
        <f>ROUND(I163*H163,2)</f>
        <v>1500</v>
      </c>
      <c r="K163" s="92"/>
      <c r="L163" s="12"/>
      <c r="M163" s="93" t="s">
        <v>1</v>
      </c>
      <c r="N163" s="94" t="s">
        <v>42</v>
      </c>
      <c r="P163" s="95">
        <f>O163*H163</f>
        <v>0</v>
      </c>
      <c r="Q163" s="95">
        <v>0</v>
      </c>
      <c r="R163" s="95">
        <f>Q163*H163</f>
        <v>0</v>
      </c>
      <c r="S163" s="95">
        <v>0</v>
      </c>
      <c r="T163" s="99">
        <f>S163*H163</f>
        <v>0</v>
      </c>
      <c r="AR163" s="101" t="s">
        <v>218</v>
      </c>
      <c r="AT163" s="101" t="s">
        <v>214</v>
      </c>
      <c r="AU163" s="101" t="s">
        <v>87</v>
      </c>
      <c r="AY163" s="23" t="s">
        <v>211</v>
      </c>
      <c r="BE163" s="104">
        <f>IF(N163="základní",J163,0)</f>
        <v>1500</v>
      </c>
      <c r="BF163" s="104">
        <f>IF(N163="snížená",J163,0)</f>
        <v>0</v>
      </c>
      <c r="BG163" s="104">
        <f>IF(N163="zákl. přenesená",J163,0)</f>
        <v>0</v>
      </c>
      <c r="BH163" s="104">
        <f>IF(N163="sníž. přenesená",J163,0)</f>
        <v>0</v>
      </c>
      <c r="BI163" s="104">
        <f>IF(N163="nulová",J163,0)</f>
        <v>0</v>
      </c>
      <c r="BJ163" s="23" t="s">
        <v>85</v>
      </c>
      <c r="BK163" s="104">
        <f>ROUND(I163*H163,2)</f>
        <v>1500</v>
      </c>
      <c r="BL163" s="23" t="s">
        <v>218</v>
      </c>
      <c r="BM163" s="101" t="s">
        <v>629</v>
      </c>
    </row>
    <row r="164" spans="2:65" s="1" customFormat="1" ht="16.5" customHeight="1">
      <c r="B164" s="12"/>
      <c r="C164" s="71" t="s">
        <v>496</v>
      </c>
      <c r="D164" s="71" t="s">
        <v>214</v>
      </c>
      <c r="E164" s="72" t="s">
        <v>5530</v>
      </c>
      <c r="F164" s="73" t="s">
        <v>5531</v>
      </c>
      <c r="G164" s="74" t="s">
        <v>808</v>
      </c>
      <c r="H164" s="75">
        <v>1</v>
      </c>
      <c r="I164" s="90">
        <v>1800</v>
      </c>
      <c r="J164" s="91">
        <f>ROUND(I164*H164,2)</f>
        <v>1800</v>
      </c>
      <c r="K164" s="92"/>
      <c r="L164" s="12"/>
      <c r="M164" s="93" t="s">
        <v>1</v>
      </c>
      <c r="N164" s="94" t="s">
        <v>42</v>
      </c>
      <c r="P164" s="95">
        <f>O164*H164</f>
        <v>0</v>
      </c>
      <c r="Q164" s="95">
        <v>0</v>
      </c>
      <c r="R164" s="95">
        <f>Q164*H164</f>
        <v>0</v>
      </c>
      <c r="S164" s="95">
        <v>0</v>
      </c>
      <c r="T164" s="99">
        <f>S164*H164</f>
        <v>0</v>
      </c>
      <c r="AR164" s="101" t="s">
        <v>218</v>
      </c>
      <c r="AT164" s="101" t="s">
        <v>214</v>
      </c>
      <c r="AU164" s="101" t="s">
        <v>87</v>
      </c>
      <c r="AY164" s="23" t="s">
        <v>211</v>
      </c>
      <c r="BE164" s="104">
        <f>IF(N164="základní",J164,0)</f>
        <v>1800</v>
      </c>
      <c r="BF164" s="104">
        <f>IF(N164="snížená",J164,0)</f>
        <v>0</v>
      </c>
      <c r="BG164" s="104">
        <f>IF(N164="zákl. přenesená",J164,0)</f>
        <v>0</v>
      </c>
      <c r="BH164" s="104">
        <f>IF(N164="sníž. přenesená",J164,0)</f>
        <v>0</v>
      </c>
      <c r="BI164" s="104">
        <f>IF(N164="nulová",J164,0)</f>
        <v>0</v>
      </c>
      <c r="BJ164" s="23" t="s">
        <v>85</v>
      </c>
      <c r="BK164" s="104">
        <f>ROUND(I164*H164,2)</f>
        <v>1800</v>
      </c>
      <c r="BL164" s="23" t="s">
        <v>218</v>
      </c>
      <c r="BM164" s="101" t="s">
        <v>639</v>
      </c>
    </row>
    <row r="165" spans="2:65" s="1" customFormat="1" ht="16.5" customHeight="1">
      <c r="B165" s="12"/>
      <c r="C165" s="71" t="s">
        <v>502</v>
      </c>
      <c r="D165" s="71" t="s">
        <v>214</v>
      </c>
      <c r="E165" s="72" t="s">
        <v>5532</v>
      </c>
      <c r="F165" s="73" t="s">
        <v>5533</v>
      </c>
      <c r="G165" s="74" t="s">
        <v>808</v>
      </c>
      <c r="H165" s="75">
        <v>1</v>
      </c>
      <c r="I165" s="90">
        <v>13000</v>
      </c>
      <c r="J165" s="91">
        <f>ROUND(I165*H165,2)</f>
        <v>13000</v>
      </c>
      <c r="K165" s="92"/>
      <c r="L165" s="12"/>
      <c r="M165" s="93" t="s">
        <v>1</v>
      </c>
      <c r="N165" s="94" t="s">
        <v>42</v>
      </c>
      <c r="P165" s="95">
        <f>O165*H165</f>
        <v>0</v>
      </c>
      <c r="Q165" s="95">
        <v>0</v>
      </c>
      <c r="R165" s="95">
        <f>Q165*H165</f>
        <v>0</v>
      </c>
      <c r="S165" s="95">
        <v>0</v>
      </c>
      <c r="T165" s="99">
        <f>S165*H165</f>
        <v>0</v>
      </c>
      <c r="AR165" s="101" t="s">
        <v>218</v>
      </c>
      <c r="AT165" s="101" t="s">
        <v>214</v>
      </c>
      <c r="AU165" s="101" t="s">
        <v>87</v>
      </c>
      <c r="AY165" s="23" t="s">
        <v>211</v>
      </c>
      <c r="BE165" s="104">
        <f>IF(N165="základní",J165,0)</f>
        <v>13000</v>
      </c>
      <c r="BF165" s="104">
        <f>IF(N165="snížená",J165,0)</f>
        <v>0</v>
      </c>
      <c r="BG165" s="104">
        <f>IF(N165="zákl. přenesená",J165,0)</f>
        <v>0</v>
      </c>
      <c r="BH165" s="104">
        <f>IF(N165="sníž. přenesená",J165,0)</f>
        <v>0</v>
      </c>
      <c r="BI165" s="104">
        <f>IF(N165="nulová",J165,0)</f>
        <v>0</v>
      </c>
      <c r="BJ165" s="23" t="s">
        <v>85</v>
      </c>
      <c r="BK165" s="104">
        <f>ROUND(I165*H165,2)</f>
        <v>13000</v>
      </c>
      <c r="BL165" s="23" t="s">
        <v>218</v>
      </c>
      <c r="BM165" s="101" t="s">
        <v>649</v>
      </c>
    </row>
    <row r="166" spans="2:65" s="31" customFormat="1" ht="23.1" customHeight="1">
      <c r="B166" s="67"/>
      <c r="D166" s="68" t="s">
        <v>76</v>
      </c>
      <c r="E166" s="70" t="s">
        <v>3879</v>
      </c>
      <c r="F166" s="70" t="s">
        <v>5534</v>
      </c>
      <c r="I166" s="85"/>
      <c r="J166" s="89">
        <f>BK166</f>
        <v>3000</v>
      </c>
      <c r="L166" s="67"/>
      <c r="M166" s="87"/>
      <c r="P166" s="88">
        <f>P167</f>
        <v>0</v>
      </c>
      <c r="R166" s="88">
        <f>R167</f>
        <v>0</v>
      </c>
      <c r="T166" s="98">
        <f>T167</f>
        <v>0</v>
      </c>
      <c r="AR166" s="68" t="s">
        <v>85</v>
      </c>
      <c r="AT166" s="100" t="s">
        <v>76</v>
      </c>
      <c r="AU166" s="100" t="s">
        <v>85</v>
      </c>
      <c r="AY166" s="68" t="s">
        <v>211</v>
      </c>
      <c r="BK166" s="103">
        <f>BK167</f>
        <v>3000</v>
      </c>
    </row>
    <row r="167" spans="2:65" s="1" customFormat="1" ht="21.75" customHeight="1">
      <c r="B167" s="12"/>
      <c r="C167" s="71" t="s">
        <v>507</v>
      </c>
      <c r="D167" s="71" t="s">
        <v>214</v>
      </c>
      <c r="E167" s="72" t="s">
        <v>5535</v>
      </c>
      <c r="F167" s="73" t="s">
        <v>5536</v>
      </c>
      <c r="G167" s="74" t="s">
        <v>234</v>
      </c>
      <c r="H167" s="75">
        <v>1</v>
      </c>
      <c r="I167" s="90">
        <v>3000</v>
      </c>
      <c r="J167" s="91">
        <f>ROUND(I167*H167,2)</f>
        <v>3000</v>
      </c>
      <c r="K167" s="92"/>
      <c r="L167" s="12"/>
      <c r="M167" s="93" t="s">
        <v>1</v>
      </c>
      <c r="N167" s="94" t="s">
        <v>42</v>
      </c>
      <c r="P167" s="95">
        <f>O167*H167</f>
        <v>0</v>
      </c>
      <c r="Q167" s="95">
        <v>0</v>
      </c>
      <c r="R167" s="95">
        <f>Q167*H167</f>
        <v>0</v>
      </c>
      <c r="S167" s="95">
        <v>0</v>
      </c>
      <c r="T167" s="99">
        <f>S167*H167</f>
        <v>0</v>
      </c>
      <c r="AR167" s="101" t="s">
        <v>218</v>
      </c>
      <c r="AT167" s="101" t="s">
        <v>214</v>
      </c>
      <c r="AU167" s="101" t="s">
        <v>87</v>
      </c>
      <c r="AY167" s="23" t="s">
        <v>211</v>
      </c>
      <c r="BE167" s="104">
        <f>IF(N167="základní",J167,0)</f>
        <v>3000</v>
      </c>
      <c r="BF167" s="104">
        <f>IF(N167="snížená",J167,0)</f>
        <v>0</v>
      </c>
      <c r="BG167" s="104">
        <f>IF(N167="zákl. přenesená",J167,0)</f>
        <v>0</v>
      </c>
      <c r="BH167" s="104">
        <f>IF(N167="sníž. přenesená",J167,0)</f>
        <v>0</v>
      </c>
      <c r="BI167" s="104">
        <f>IF(N167="nulová",J167,0)</f>
        <v>0</v>
      </c>
      <c r="BJ167" s="23" t="s">
        <v>85</v>
      </c>
      <c r="BK167" s="104">
        <f>ROUND(I167*H167,2)</f>
        <v>3000</v>
      </c>
      <c r="BL167" s="23" t="s">
        <v>218</v>
      </c>
      <c r="BM167" s="101" t="s">
        <v>660</v>
      </c>
    </row>
    <row r="168" spans="2:65" s="31" customFormat="1" ht="23.1" customHeight="1">
      <c r="B168" s="67"/>
      <c r="D168" s="68" t="s">
        <v>76</v>
      </c>
      <c r="E168" s="70" t="s">
        <v>3886</v>
      </c>
      <c r="F168" s="70" t="s">
        <v>5537</v>
      </c>
      <c r="I168" s="85"/>
      <c r="J168" s="89">
        <f>BK168</f>
        <v>2000</v>
      </c>
      <c r="L168" s="67"/>
      <c r="M168" s="87"/>
      <c r="P168" s="88">
        <f>P169</f>
        <v>0</v>
      </c>
      <c r="R168" s="88">
        <f>R169</f>
        <v>0</v>
      </c>
      <c r="T168" s="98">
        <f>T169</f>
        <v>0</v>
      </c>
      <c r="AR168" s="68" t="s">
        <v>85</v>
      </c>
      <c r="AT168" s="100" t="s">
        <v>76</v>
      </c>
      <c r="AU168" s="100" t="s">
        <v>85</v>
      </c>
      <c r="AY168" s="68" t="s">
        <v>211</v>
      </c>
      <c r="BK168" s="103">
        <f>BK169</f>
        <v>2000</v>
      </c>
    </row>
    <row r="169" spans="2:65" s="1" customFormat="1" ht="24.15" customHeight="1">
      <c r="B169" s="12"/>
      <c r="C169" s="71" t="s">
        <v>511</v>
      </c>
      <c r="D169" s="71" t="s">
        <v>214</v>
      </c>
      <c r="E169" s="72" t="s">
        <v>5538</v>
      </c>
      <c r="F169" s="73" t="s">
        <v>5539</v>
      </c>
      <c r="G169" s="74" t="s">
        <v>234</v>
      </c>
      <c r="H169" s="75">
        <v>1</v>
      </c>
      <c r="I169" s="90">
        <v>2000</v>
      </c>
      <c r="J169" s="91">
        <f>ROUND(I169*H169,2)</f>
        <v>2000</v>
      </c>
      <c r="K169" s="92"/>
      <c r="L169" s="12"/>
      <c r="M169" s="130" t="s">
        <v>1</v>
      </c>
      <c r="N169" s="131" t="s">
        <v>42</v>
      </c>
      <c r="O169" s="110"/>
      <c r="P169" s="132">
        <f>O169*H169</f>
        <v>0</v>
      </c>
      <c r="Q169" s="132">
        <v>0</v>
      </c>
      <c r="R169" s="132">
        <f>Q169*H169</f>
        <v>0</v>
      </c>
      <c r="S169" s="132">
        <v>0</v>
      </c>
      <c r="T169" s="134">
        <f>S169*H169</f>
        <v>0</v>
      </c>
      <c r="AR169" s="101" t="s">
        <v>218</v>
      </c>
      <c r="AT169" s="101" t="s">
        <v>214</v>
      </c>
      <c r="AU169" s="101" t="s">
        <v>87</v>
      </c>
      <c r="AY169" s="23" t="s">
        <v>211</v>
      </c>
      <c r="BE169" s="104">
        <f>IF(N169="základní",J169,0)</f>
        <v>2000</v>
      </c>
      <c r="BF169" s="104">
        <f>IF(N169="snížená",J169,0)</f>
        <v>0</v>
      </c>
      <c r="BG169" s="104">
        <f>IF(N169="zákl. přenesená",J169,0)</f>
        <v>0</v>
      </c>
      <c r="BH169" s="104">
        <f>IF(N169="sníž. přenesená",J169,0)</f>
        <v>0</v>
      </c>
      <c r="BI169" s="104">
        <f>IF(N169="nulová",J169,0)</f>
        <v>0</v>
      </c>
      <c r="BJ169" s="23" t="s">
        <v>85</v>
      </c>
      <c r="BK169" s="104">
        <f>ROUND(I169*H169,2)</f>
        <v>2000</v>
      </c>
      <c r="BL169" s="23" t="s">
        <v>218</v>
      </c>
      <c r="BM169" s="101" t="s">
        <v>679</v>
      </c>
    </row>
    <row r="170" spans="2:65" s="1" customFormat="1" ht="6.9" customHeight="1">
      <c r="B170" s="26"/>
      <c r="C170" s="27"/>
      <c r="D170" s="27"/>
      <c r="E170" s="27"/>
      <c r="F170" s="27"/>
      <c r="G170" s="27"/>
      <c r="H170" s="27"/>
      <c r="I170" s="27"/>
      <c r="J170" s="27"/>
      <c r="K170" s="27"/>
      <c r="L170" s="12"/>
    </row>
  </sheetData>
  <autoFilter ref="C131:K169" xr:uid="{00000000-0009-0000-0000-00000E000000}"/>
  <mergeCells count="15">
    <mergeCell ref="L2:V2"/>
    <mergeCell ref="E7:H7"/>
    <mergeCell ref="E9:H9"/>
    <mergeCell ref="E11:H11"/>
    <mergeCell ref="E13:H13"/>
    <mergeCell ref="E22:H22"/>
    <mergeCell ref="E31:H31"/>
    <mergeCell ref="E85:H85"/>
    <mergeCell ref="E87:H87"/>
    <mergeCell ref="E89:H89"/>
    <mergeCell ref="E91:H91"/>
    <mergeCell ref="E118:H118"/>
    <mergeCell ref="E120:H120"/>
    <mergeCell ref="E122:H122"/>
    <mergeCell ref="E124:H124"/>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2:BM150"/>
  <sheetViews>
    <sheetView showGridLines="0" workbookViewId="0">
      <selection activeCell="I150" sqref="I150"/>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141</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3.2">
      <c r="B8" s="5"/>
      <c r="D8" s="10" t="s">
        <v>182</v>
      </c>
      <c r="L8" s="5"/>
    </row>
    <row r="9" spans="2:46" ht="16.5" customHeight="1">
      <c r="B9" s="5"/>
      <c r="E9" s="392" t="s">
        <v>5462</v>
      </c>
      <c r="F9" s="383"/>
      <c r="G9" s="383"/>
      <c r="H9" s="383"/>
      <c r="L9" s="5"/>
    </row>
    <row r="10" spans="2:46" ht="12" customHeight="1">
      <c r="B10" s="5"/>
      <c r="D10" s="10" t="s">
        <v>296</v>
      </c>
      <c r="L10" s="5"/>
    </row>
    <row r="11" spans="2:46" s="1" customFormat="1" ht="16.5" customHeight="1">
      <c r="B11" s="12"/>
      <c r="E11" s="358" t="s">
        <v>5463</v>
      </c>
      <c r="F11" s="394"/>
      <c r="G11" s="394"/>
      <c r="H11" s="394"/>
      <c r="L11" s="12"/>
    </row>
    <row r="12" spans="2:46" s="1" customFormat="1" ht="12" customHeight="1">
      <c r="B12" s="12"/>
      <c r="D12" s="10" t="s">
        <v>5464</v>
      </c>
      <c r="L12" s="12"/>
    </row>
    <row r="13" spans="2:46" s="1" customFormat="1" ht="16.5" customHeight="1">
      <c r="B13" s="12"/>
      <c r="E13" s="381" t="s">
        <v>5540</v>
      </c>
      <c r="F13" s="394"/>
      <c r="G13" s="394"/>
      <c r="H13" s="394"/>
      <c r="L13" s="12"/>
    </row>
    <row r="14" spans="2:46" s="1" customFormat="1">
      <c r="B14" s="12"/>
      <c r="L14" s="12"/>
    </row>
    <row r="15" spans="2:46" s="1" customFormat="1" ht="12" customHeight="1">
      <c r="B15" s="12"/>
      <c r="D15" s="10" t="s">
        <v>18</v>
      </c>
      <c r="F15" s="32" t="s">
        <v>1</v>
      </c>
      <c r="I15" s="10" t="s">
        <v>19</v>
      </c>
      <c r="J15" s="32" t="s">
        <v>1</v>
      </c>
      <c r="L15" s="12"/>
    </row>
    <row r="16" spans="2:46" s="1" customFormat="1" ht="12" customHeight="1">
      <c r="B16" s="12"/>
      <c r="D16" s="10" t="s">
        <v>20</v>
      </c>
      <c r="F16" s="32" t="s">
        <v>21</v>
      </c>
      <c r="I16" s="10" t="s">
        <v>22</v>
      </c>
      <c r="J16" s="11">
        <f>'Rekapitulace stavby'!AN8</f>
        <v>45000</v>
      </c>
      <c r="L16" s="12"/>
    </row>
    <row r="17" spans="2:12" s="1" customFormat="1" ht="11.1" customHeight="1">
      <c r="B17" s="12"/>
      <c r="L17" s="12"/>
    </row>
    <row r="18" spans="2:12" s="1" customFormat="1" ht="12" customHeight="1">
      <c r="B18" s="12"/>
      <c r="D18" s="10" t="s">
        <v>23</v>
      </c>
      <c r="I18" s="10" t="s">
        <v>24</v>
      </c>
      <c r="J18" s="32" t="s">
        <v>1</v>
      </c>
      <c r="L18" s="12"/>
    </row>
    <row r="19" spans="2:12" s="1" customFormat="1" ht="18" customHeight="1">
      <c r="B19" s="12"/>
      <c r="E19" s="32" t="s">
        <v>25</v>
      </c>
      <c r="I19" s="10" t="s">
        <v>26</v>
      </c>
      <c r="J19" s="32" t="s">
        <v>1</v>
      </c>
      <c r="L19" s="12"/>
    </row>
    <row r="20" spans="2:12" s="1" customFormat="1" ht="6.9" customHeight="1">
      <c r="B20" s="12"/>
      <c r="L20" s="12"/>
    </row>
    <row r="21" spans="2:12" s="1" customFormat="1" ht="12" customHeight="1">
      <c r="B21" s="12"/>
      <c r="D21" s="10" t="s">
        <v>27</v>
      </c>
      <c r="I21" s="10" t="s">
        <v>24</v>
      </c>
      <c r="J21" s="33" t="str">
        <f>'Rekapitulace stavby'!AN13</f>
        <v>08004013</v>
      </c>
      <c r="L21" s="12"/>
    </row>
    <row r="22" spans="2:12" s="1" customFormat="1" ht="18" customHeight="1">
      <c r="B22" s="12"/>
      <c r="E22" s="395" t="str">
        <f>'Rekapitulace stavby'!E14</f>
        <v>DMG Stav a.s.</v>
      </c>
      <c r="F22" s="384"/>
      <c r="G22" s="384"/>
      <c r="H22" s="384"/>
      <c r="I22" s="10" t="s">
        <v>26</v>
      </c>
      <c r="J22" s="33" t="str">
        <f>'Rekapitulace stavby'!AN14</f>
        <v>CZ 08004013</v>
      </c>
      <c r="L22" s="12"/>
    </row>
    <row r="23" spans="2:12" s="1" customFormat="1" ht="6.9" customHeight="1">
      <c r="B23" s="12"/>
      <c r="L23" s="12"/>
    </row>
    <row r="24" spans="2:12" s="1" customFormat="1" ht="12" customHeight="1">
      <c r="B24" s="12"/>
      <c r="D24" s="10" t="s">
        <v>31</v>
      </c>
      <c r="I24" s="10" t="s">
        <v>24</v>
      </c>
      <c r="J24" s="32" t="s">
        <v>1</v>
      </c>
      <c r="L24" s="12"/>
    </row>
    <row r="25" spans="2:12" s="1" customFormat="1" ht="18" customHeight="1">
      <c r="B25" s="12"/>
      <c r="E25" s="32" t="s">
        <v>32</v>
      </c>
      <c r="I25" s="10" t="s">
        <v>26</v>
      </c>
      <c r="J25" s="32" t="s">
        <v>1</v>
      </c>
      <c r="L25" s="12"/>
    </row>
    <row r="26" spans="2:12" s="1" customFormat="1" ht="6.9" customHeight="1">
      <c r="B26" s="12"/>
      <c r="L26" s="12"/>
    </row>
    <row r="27" spans="2:12" s="1" customFormat="1" ht="12" customHeight="1">
      <c r="B27" s="12"/>
      <c r="D27" s="10" t="s">
        <v>34</v>
      </c>
      <c r="I27" s="10" t="s">
        <v>24</v>
      </c>
      <c r="J27" s="32" t="s">
        <v>1</v>
      </c>
      <c r="L27" s="12"/>
    </row>
    <row r="28" spans="2:12" s="1" customFormat="1" ht="18" customHeight="1">
      <c r="B28" s="12"/>
      <c r="E28" s="32" t="s">
        <v>35</v>
      </c>
      <c r="I28" s="10" t="s">
        <v>26</v>
      </c>
      <c r="J28" s="32" t="s">
        <v>1</v>
      </c>
      <c r="L28" s="12"/>
    </row>
    <row r="29" spans="2:12" s="1" customFormat="1" ht="6.9" customHeight="1">
      <c r="B29" s="12"/>
      <c r="L29" s="12"/>
    </row>
    <row r="30" spans="2:12" s="1" customFormat="1" ht="12" customHeight="1">
      <c r="B30" s="12"/>
      <c r="D30" s="10" t="s">
        <v>36</v>
      </c>
      <c r="L30" s="12"/>
    </row>
    <row r="31" spans="2:12" s="28" customFormat="1" ht="16.5" customHeight="1">
      <c r="B31" s="34"/>
      <c r="E31" s="388" t="s">
        <v>1</v>
      </c>
      <c r="F31" s="388"/>
      <c r="G31" s="388"/>
      <c r="H31" s="388"/>
      <c r="L31" s="34"/>
    </row>
    <row r="32" spans="2:12" s="1" customFormat="1" ht="6.9" customHeight="1">
      <c r="B32" s="12"/>
      <c r="L32" s="12"/>
    </row>
    <row r="33" spans="2:12" s="1" customFormat="1" ht="6.9" customHeight="1">
      <c r="B33" s="12"/>
      <c r="D33" s="35"/>
      <c r="E33" s="35"/>
      <c r="F33" s="35"/>
      <c r="G33" s="35"/>
      <c r="H33" s="35"/>
      <c r="I33" s="35"/>
      <c r="J33" s="35"/>
      <c r="K33" s="35"/>
      <c r="L33" s="12"/>
    </row>
    <row r="34" spans="2:12" s="1" customFormat="1" ht="25.35" customHeight="1">
      <c r="B34" s="12"/>
      <c r="D34" s="36" t="s">
        <v>37</v>
      </c>
      <c r="J34" s="51">
        <f>ROUND(J125,2)</f>
        <v>40877</v>
      </c>
      <c r="L34" s="12"/>
    </row>
    <row r="35" spans="2:12" s="1" customFormat="1" ht="6.9" customHeight="1">
      <c r="B35" s="12"/>
      <c r="D35" s="35"/>
      <c r="E35" s="35"/>
      <c r="F35" s="35"/>
      <c r="G35" s="35"/>
      <c r="H35" s="35"/>
      <c r="I35" s="35"/>
      <c r="J35" s="35"/>
      <c r="K35" s="35"/>
      <c r="L35" s="12"/>
    </row>
    <row r="36" spans="2:12" s="1" customFormat="1" ht="14.4" customHeight="1">
      <c r="B36" s="12"/>
      <c r="F36" s="37" t="s">
        <v>39</v>
      </c>
      <c r="I36" s="37" t="s">
        <v>38</v>
      </c>
      <c r="J36" s="37" t="s">
        <v>40</v>
      </c>
      <c r="L36" s="12"/>
    </row>
    <row r="37" spans="2:12" s="1" customFormat="1" ht="14.4" customHeight="1">
      <c r="B37" s="12"/>
      <c r="D37" s="38" t="s">
        <v>41</v>
      </c>
      <c r="E37" s="10" t="s">
        <v>42</v>
      </c>
      <c r="F37" s="39">
        <f>ROUND((SUM(BE125:BE149)),2)</f>
        <v>40877</v>
      </c>
      <c r="I37" s="52">
        <v>0.21</v>
      </c>
      <c r="J37" s="39">
        <f>ROUND(((SUM(BE125:BE149))*I37),2)</f>
        <v>8584.17</v>
      </c>
      <c r="L37" s="12"/>
    </row>
    <row r="38" spans="2:12" s="1" customFormat="1" ht="14.4" customHeight="1">
      <c r="B38" s="12"/>
      <c r="E38" s="10" t="s">
        <v>43</v>
      </c>
      <c r="F38" s="39">
        <f>ROUND((SUM(BF125:BF149)),2)</f>
        <v>0</v>
      </c>
      <c r="I38" s="52">
        <v>0.15</v>
      </c>
      <c r="J38" s="39">
        <f>ROUND(((SUM(BF125:BF149))*I38),2)</f>
        <v>0</v>
      </c>
      <c r="L38" s="12"/>
    </row>
    <row r="39" spans="2:12" s="1" customFormat="1" ht="14.4" hidden="1" customHeight="1">
      <c r="B39" s="12"/>
      <c r="E39" s="10" t="s">
        <v>44</v>
      </c>
      <c r="F39" s="39">
        <f>ROUND((SUM(BG125:BG149)),2)</f>
        <v>0</v>
      </c>
      <c r="I39" s="52">
        <v>0.21</v>
      </c>
      <c r="J39" s="39">
        <f>0</f>
        <v>0</v>
      </c>
      <c r="L39" s="12"/>
    </row>
    <row r="40" spans="2:12" s="1" customFormat="1" ht="14.4" hidden="1" customHeight="1">
      <c r="B40" s="12"/>
      <c r="E40" s="10" t="s">
        <v>45</v>
      </c>
      <c r="F40" s="39">
        <f>ROUND((SUM(BH125:BH149)),2)</f>
        <v>0</v>
      </c>
      <c r="I40" s="52">
        <v>0.15</v>
      </c>
      <c r="J40" s="39">
        <f>0</f>
        <v>0</v>
      </c>
      <c r="L40" s="12"/>
    </row>
    <row r="41" spans="2:12" s="1" customFormat="1" ht="14.4" hidden="1" customHeight="1">
      <c r="B41" s="12"/>
      <c r="E41" s="10" t="s">
        <v>46</v>
      </c>
      <c r="F41" s="39">
        <f>ROUND((SUM(BI125:BI149)),2)</f>
        <v>0</v>
      </c>
      <c r="I41" s="52">
        <v>0</v>
      </c>
      <c r="J41" s="39">
        <f>0</f>
        <v>0</v>
      </c>
      <c r="L41" s="12"/>
    </row>
    <row r="42" spans="2:12" s="1" customFormat="1" ht="6.9" customHeight="1">
      <c r="B42" s="12"/>
      <c r="L42" s="12"/>
    </row>
    <row r="43" spans="2:12" s="1" customFormat="1" ht="25.35" customHeight="1">
      <c r="B43" s="12"/>
      <c r="C43" s="40"/>
      <c r="D43" s="41" t="s">
        <v>47</v>
      </c>
      <c r="E43" s="42"/>
      <c r="F43" s="42"/>
      <c r="G43" s="43" t="s">
        <v>48</v>
      </c>
      <c r="H43" s="44" t="s">
        <v>49</v>
      </c>
      <c r="I43" s="42"/>
      <c r="J43" s="53">
        <f>SUM(J34:J41)</f>
        <v>49461.17</v>
      </c>
      <c r="K43" s="54"/>
      <c r="L43" s="12"/>
    </row>
    <row r="44" spans="2:12" s="1" customFormat="1" ht="14.4" customHeight="1">
      <c r="B44" s="12"/>
      <c r="L44" s="12"/>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ht="16.5" customHeight="1">
      <c r="B87" s="5"/>
      <c r="E87" s="392" t="s">
        <v>5462</v>
      </c>
      <c r="F87" s="383"/>
      <c r="G87" s="383"/>
      <c r="H87" s="383"/>
      <c r="L87" s="5"/>
    </row>
    <row r="88" spans="2:12" ht="12" customHeight="1">
      <c r="B88" s="5"/>
      <c r="C88" s="10" t="s">
        <v>296</v>
      </c>
      <c r="L88" s="5"/>
    </row>
    <row r="89" spans="2:12" s="1" customFormat="1" ht="16.5" customHeight="1">
      <c r="B89" s="12"/>
      <c r="E89" s="358" t="s">
        <v>5463</v>
      </c>
      <c r="F89" s="394"/>
      <c r="G89" s="394"/>
      <c r="H89" s="394"/>
      <c r="L89" s="12"/>
    </row>
    <row r="90" spans="2:12" s="1" customFormat="1" ht="12" customHeight="1">
      <c r="B90" s="12"/>
      <c r="C90" s="10" t="s">
        <v>5464</v>
      </c>
      <c r="L90" s="12"/>
    </row>
    <row r="91" spans="2:12" s="1" customFormat="1" ht="16.5" customHeight="1">
      <c r="B91" s="12"/>
      <c r="E91" s="381" t="str">
        <f>E13</f>
        <v>IO02 - Přípojka plynovodu</v>
      </c>
      <c r="F91" s="394"/>
      <c r="G91" s="394"/>
      <c r="H91" s="394"/>
      <c r="L91" s="12"/>
    </row>
    <row r="92" spans="2:12" s="1" customFormat="1" ht="6.9" customHeight="1">
      <c r="B92" s="12"/>
      <c r="L92" s="12"/>
    </row>
    <row r="93" spans="2:12" s="1" customFormat="1" ht="12" customHeight="1">
      <c r="B93" s="12"/>
      <c r="C93" s="10" t="s">
        <v>20</v>
      </c>
      <c r="F93" s="32" t="str">
        <f>F16</f>
        <v>Praha</v>
      </c>
      <c r="I93" s="10" t="s">
        <v>22</v>
      </c>
      <c r="J93" s="11">
        <f>IF(J16="","",J16)</f>
        <v>45000</v>
      </c>
      <c r="L93" s="12"/>
    </row>
    <row r="94" spans="2:12" s="1" customFormat="1" ht="6.9" customHeight="1">
      <c r="B94" s="12"/>
      <c r="L94" s="12"/>
    </row>
    <row r="95" spans="2:12" s="1" customFormat="1" ht="15.15" customHeight="1">
      <c r="B95" s="12"/>
      <c r="C95" s="10" t="s">
        <v>23</v>
      </c>
      <c r="F95" s="32" t="str">
        <f>E19</f>
        <v>VELTON REAL ESTATE</v>
      </c>
      <c r="I95" s="10" t="s">
        <v>31</v>
      </c>
      <c r="J95" s="8" t="str">
        <f>E25</f>
        <v>ABMV World s.r.o</v>
      </c>
      <c r="L95" s="12"/>
    </row>
    <row r="96" spans="2:12" s="1" customFormat="1" ht="15.15" customHeight="1">
      <c r="B96" s="12"/>
      <c r="C96" s="10" t="s">
        <v>27</v>
      </c>
      <c r="F96" s="32" t="str">
        <f>IF(E22="","",E22)</f>
        <v>DMG Stav a.s.</v>
      </c>
      <c r="I96" s="10" t="s">
        <v>34</v>
      </c>
      <c r="J96" s="8" t="str">
        <f>E28</f>
        <v>QSB s.r.o.</v>
      </c>
      <c r="L96" s="12"/>
    </row>
    <row r="97" spans="2:47" s="1" customFormat="1" ht="10.35" customHeight="1">
      <c r="B97" s="12"/>
      <c r="L97" s="12"/>
    </row>
    <row r="98" spans="2:47" s="1" customFormat="1" ht="29.25" customHeight="1">
      <c r="B98" s="12"/>
      <c r="C98" s="58" t="s">
        <v>185</v>
      </c>
      <c r="D98" s="40"/>
      <c r="E98" s="40"/>
      <c r="F98" s="40"/>
      <c r="G98" s="40"/>
      <c r="H98" s="40"/>
      <c r="I98" s="40"/>
      <c r="J98" s="76" t="s">
        <v>186</v>
      </c>
      <c r="K98" s="40"/>
      <c r="L98" s="12"/>
    </row>
    <row r="99" spans="2:47" s="1" customFormat="1" ht="10.35" customHeight="1">
      <c r="B99" s="12"/>
      <c r="L99" s="12"/>
    </row>
    <row r="100" spans="2:47" s="1" customFormat="1" ht="23.1" customHeight="1">
      <c r="B100" s="12"/>
      <c r="C100" s="59" t="s">
        <v>187</v>
      </c>
      <c r="J100" s="51">
        <f>J125</f>
        <v>40877</v>
      </c>
      <c r="L100" s="12"/>
      <c r="AU100" s="23" t="s">
        <v>188</v>
      </c>
    </row>
    <row r="101" spans="2:47" s="29" customFormat="1" ht="24.9" customHeight="1">
      <c r="B101" s="60"/>
      <c r="D101" s="61" t="s">
        <v>5540</v>
      </c>
      <c r="E101" s="62"/>
      <c r="F101" s="62"/>
      <c r="G101" s="62"/>
      <c r="H101" s="62"/>
      <c r="I101" s="62"/>
      <c r="J101" s="77">
        <f>J126</f>
        <v>40877</v>
      </c>
      <c r="L101" s="60"/>
    </row>
    <row r="102" spans="2:47" s="1" customFormat="1" ht="21.75" customHeight="1">
      <c r="B102" s="12"/>
      <c r="L102" s="12"/>
    </row>
    <row r="103" spans="2:47" s="1" customFormat="1" ht="6.9" customHeight="1">
      <c r="B103" s="26"/>
      <c r="C103" s="27"/>
      <c r="D103" s="27"/>
      <c r="E103" s="27"/>
      <c r="F103" s="27"/>
      <c r="G103" s="27"/>
      <c r="H103" s="27"/>
      <c r="I103" s="27"/>
      <c r="J103" s="27"/>
      <c r="K103" s="27"/>
      <c r="L103" s="12"/>
    </row>
    <row r="107" spans="2:47" s="1" customFormat="1" ht="6.9" customHeight="1">
      <c r="B107" s="56"/>
      <c r="C107" s="57"/>
      <c r="D107" s="57"/>
      <c r="E107" s="57"/>
      <c r="F107" s="57"/>
      <c r="G107" s="57"/>
      <c r="H107" s="57"/>
      <c r="I107" s="57"/>
      <c r="J107" s="57"/>
      <c r="K107" s="57"/>
      <c r="L107" s="12"/>
    </row>
    <row r="108" spans="2:47" s="1" customFormat="1" ht="24.9" customHeight="1">
      <c r="B108" s="12"/>
      <c r="C108" s="6" t="s">
        <v>195</v>
      </c>
      <c r="L108" s="12"/>
    </row>
    <row r="109" spans="2:47" s="1" customFormat="1" ht="6.9" customHeight="1">
      <c r="B109" s="12"/>
      <c r="L109" s="12"/>
    </row>
    <row r="110" spans="2:47" s="1" customFormat="1" ht="12" customHeight="1">
      <c r="B110" s="12"/>
      <c r="C110" s="10" t="s">
        <v>16</v>
      </c>
      <c r="L110" s="12"/>
    </row>
    <row r="111" spans="2:47" s="1" customFormat="1" ht="16.5" customHeight="1">
      <c r="B111" s="12"/>
      <c r="E111" s="392" t="str">
        <f>E7</f>
        <v>Bytový soubor Libuše</v>
      </c>
      <c r="F111" s="393"/>
      <c r="G111" s="393"/>
      <c r="H111" s="393"/>
      <c r="L111" s="12"/>
    </row>
    <row r="112" spans="2:47" ht="12" customHeight="1">
      <c r="B112" s="5"/>
      <c r="C112" s="10" t="s">
        <v>182</v>
      </c>
      <c r="L112" s="5"/>
    </row>
    <row r="113" spans="2:65" ht="16.5" customHeight="1">
      <c r="B113" s="5"/>
      <c r="E113" s="392" t="s">
        <v>5462</v>
      </c>
      <c r="F113" s="383"/>
      <c r="G113" s="383"/>
      <c r="H113" s="383"/>
      <c r="L113" s="5"/>
    </row>
    <row r="114" spans="2:65" ht="12" customHeight="1">
      <c r="B114" s="5"/>
      <c r="C114" s="10" t="s">
        <v>296</v>
      </c>
      <c r="L114" s="5"/>
    </row>
    <row r="115" spans="2:65" s="1" customFormat="1" ht="16.5" customHeight="1">
      <c r="B115" s="12"/>
      <c r="E115" s="358" t="s">
        <v>5463</v>
      </c>
      <c r="F115" s="394"/>
      <c r="G115" s="394"/>
      <c r="H115" s="394"/>
      <c r="L115" s="12"/>
    </row>
    <row r="116" spans="2:65" s="1" customFormat="1" ht="12" customHeight="1">
      <c r="B116" s="12"/>
      <c r="C116" s="10" t="s">
        <v>5464</v>
      </c>
      <c r="L116" s="12"/>
    </row>
    <row r="117" spans="2:65" s="1" customFormat="1" ht="16.5" customHeight="1">
      <c r="B117" s="12"/>
      <c r="E117" s="381" t="str">
        <f>E13</f>
        <v>IO02 - Přípojka plynovodu</v>
      </c>
      <c r="F117" s="394"/>
      <c r="G117" s="394"/>
      <c r="H117" s="394"/>
      <c r="L117" s="12"/>
    </row>
    <row r="118" spans="2:65" s="1" customFormat="1" ht="6.9" customHeight="1">
      <c r="B118" s="12"/>
      <c r="L118" s="12"/>
    </row>
    <row r="119" spans="2:65" s="1" customFormat="1" ht="12" customHeight="1">
      <c r="B119" s="12"/>
      <c r="C119" s="10" t="s">
        <v>20</v>
      </c>
      <c r="F119" s="32" t="str">
        <f>F16</f>
        <v>Praha</v>
      </c>
      <c r="I119" s="10" t="s">
        <v>22</v>
      </c>
      <c r="J119" s="11">
        <f>IF(J16="","",J16)</f>
        <v>45000</v>
      </c>
      <c r="L119" s="12"/>
    </row>
    <row r="120" spans="2:65" s="1" customFormat="1" ht="6.9" customHeight="1">
      <c r="B120" s="12"/>
      <c r="L120" s="12"/>
    </row>
    <row r="121" spans="2:65" s="1" customFormat="1" ht="15.15" customHeight="1">
      <c r="B121" s="12"/>
      <c r="C121" s="10" t="s">
        <v>23</v>
      </c>
      <c r="F121" s="32" t="str">
        <f>E19</f>
        <v>VELTON REAL ESTATE</v>
      </c>
      <c r="I121" s="10" t="s">
        <v>31</v>
      </c>
      <c r="J121" s="8" t="str">
        <f>E25</f>
        <v>ABMV World s.r.o</v>
      </c>
      <c r="L121" s="12"/>
    </row>
    <row r="122" spans="2:65" s="1" customFormat="1" ht="15.15" customHeight="1">
      <c r="B122" s="12"/>
      <c r="C122" s="10" t="s">
        <v>27</v>
      </c>
      <c r="F122" s="32" t="str">
        <f>IF(E22="","",E22)</f>
        <v>DMG Stav a.s.</v>
      </c>
      <c r="I122" s="10" t="s">
        <v>34</v>
      </c>
      <c r="J122" s="8" t="str">
        <f>E28</f>
        <v>QSB s.r.o.</v>
      </c>
      <c r="L122" s="12"/>
    </row>
    <row r="123" spans="2:65" s="1" customFormat="1" ht="10.35" customHeight="1">
      <c r="B123" s="12"/>
      <c r="L123" s="12"/>
    </row>
    <row r="124" spans="2:65" s="2" customFormat="1" ht="29.25" customHeight="1">
      <c r="B124" s="13"/>
      <c r="C124" s="14" t="s">
        <v>196</v>
      </c>
      <c r="D124" s="15" t="s">
        <v>62</v>
      </c>
      <c r="E124" s="15" t="s">
        <v>58</v>
      </c>
      <c r="F124" s="15" t="s">
        <v>59</v>
      </c>
      <c r="G124" s="15" t="s">
        <v>197</v>
      </c>
      <c r="H124" s="15" t="s">
        <v>198</v>
      </c>
      <c r="I124" s="15" t="s">
        <v>199</v>
      </c>
      <c r="J124" s="16" t="s">
        <v>186</v>
      </c>
      <c r="K124" s="79" t="s">
        <v>200</v>
      </c>
      <c r="L124" s="13"/>
      <c r="M124" s="80" t="s">
        <v>1</v>
      </c>
      <c r="N124" s="81" t="s">
        <v>41</v>
      </c>
      <c r="O124" s="81" t="s">
        <v>201</v>
      </c>
      <c r="P124" s="81" t="s">
        <v>202</v>
      </c>
      <c r="Q124" s="81" t="s">
        <v>203</v>
      </c>
      <c r="R124" s="81" t="s">
        <v>204</v>
      </c>
      <c r="S124" s="81" t="s">
        <v>205</v>
      </c>
      <c r="T124" s="96" t="s">
        <v>206</v>
      </c>
    </row>
    <row r="125" spans="2:65" s="1" customFormat="1" ht="23.1" customHeight="1">
      <c r="B125" s="12"/>
      <c r="C125" s="66" t="s">
        <v>207</v>
      </c>
      <c r="J125" s="82">
        <f>BK125</f>
        <v>40877</v>
      </c>
      <c r="L125" s="12"/>
      <c r="M125" s="83"/>
      <c r="N125" s="35"/>
      <c r="O125" s="35"/>
      <c r="P125" s="84">
        <f>P126</f>
        <v>0</v>
      </c>
      <c r="Q125" s="35"/>
      <c r="R125" s="84">
        <f>R126</f>
        <v>0</v>
      </c>
      <c r="S125" s="35"/>
      <c r="T125" s="97">
        <f>T126</f>
        <v>0</v>
      </c>
      <c r="AT125" s="23" t="s">
        <v>76</v>
      </c>
      <c r="AU125" s="23" t="s">
        <v>188</v>
      </c>
      <c r="BK125" s="102">
        <f>BK126</f>
        <v>40877</v>
      </c>
    </row>
    <row r="126" spans="2:65" s="31" customFormat="1" ht="26.1" customHeight="1">
      <c r="B126" s="67"/>
      <c r="D126" s="68" t="s">
        <v>76</v>
      </c>
      <c r="E126" s="69" t="s">
        <v>139</v>
      </c>
      <c r="F126" s="69" t="s">
        <v>140</v>
      </c>
      <c r="I126" s="85"/>
      <c r="J126" s="86">
        <f>BK126</f>
        <v>40877</v>
      </c>
      <c r="L126" s="67"/>
      <c r="M126" s="87"/>
      <c r="P126" s="88">
        <f>SUM(P127:P149)</f>
        <v>0</v>
      </c>
      <c r="R126" s="88">
        <f>SUM(R127:R149)</f>
        <v>0</v>
      </c>
      <c r="T126" s="98">
        <f>SUM(T127:T149)</f>
        <v>0</v>
      </c>
      <c r="AR126" s="68" t="s">
        <v>85</v>
      </c>
      <c r="AT126" s="100" t="s">
        <v>76</v>
      </c>
      <c r="AU126" s="100" t="s">
        <v>77</v>
      </c>
      <c r="AY126" s="68" t="s">
        <v>211</v>
      </c>
      <c r="BK126" s="103">
        <f>SUM(BK127:BK149)</f>
        <v>40877</v>
      </c>
    </row>
    <row r="127" spans="2:65" s="1" customFormat="1" ht="21.75" customHeight="1">
      <c r="B127" s="12"/>
      <c r="C127" s="71" t="s">
        <v>85</v>
      </c>
      <c r="D127" s="71" t="s">
        <v>214</v>
      </c>
      <c r="E127" s="72" t="s">
        <v>5541</v>
      </c>
      <c r="F127" s="73" t="s">
        <v>5542</v>
      </c>
      <c r="G127" s="74" t="s">
        <v>444</v>
      </c>
      <c r="H127" s="75">
        <v>8</v>
      </c>
      <c r="I127" s="90">
        <v>100</v>
      </c>
      <c r="J127" s="91">
        <f t="shared" ref="J127:J149" si="0">ROUND(I127*H127,2)</f>
        <v>800</v>
      </c>
      <c r="K127" s="92"/>
      <c r="L127" s="12"/>
      <c r="M127" s="93" t="s">
        <v>1</v>
      </c>
      <c r="N127" s="94" t="s">
        <v>42</v>
      </c>
      <c r="P127" s="95">
        <f t="shared" ref="P127:P149" si="1">O127*H127</f>
        <v>0</v>
      </c>
      <c r="Q127" s="95">
        <v>0</v>
      </c>
      <c r="R127" s="95">
        <f t="shared" ref="R127:R149" si="2">Q127*H127</f>
        <v>0</v>
      </c>
      <c r="S127" s="95">
        <v>0</v>
      </c>
      <c r="T127" s="99">
        <f t="shared" ref="T127:T149" si="3">S127*H127</f>
        <v>0</v>
      </c>
      <c r="AR127" s="101" t="s">
        <v>218</v>
      </c>
      <c r="AT127" s="101" t="s">
        <v>214</v>
      </c>
      <c r="AU127" s="101" t="s">
        <v>85</v>
      </c>
      <c r="AY127" s="23" t="s">
        <v>211</v>
      </c>
      <c r="BE127" s="104">
        <f t="shared" ref="BE127:BE149" si="4">IF(N127="základní",J127,0)</f>
        <v>800</v>
      </c>
      <c r="BF127" s="104">
        <f t="shared" ref="BF127:BF149" si="5">IF(N127="snížená",J127,0)</f>
        <v>0</v>
      </c>
      <c r="BG127" s="104">
        <f t="shared" ref="BG127:BG149" si="6">IF(N127="zákl. přenesená",J127,0)</f>
        <v>0</v>
      </c>
      <c r="BH127" s="104">
        <f t="shared" ref="BH127:BH149" si="7">IF(N127="sníž. přenesená",J127,0)</f>
        <v>0</v>
      </c>
      <c r="BI127" s="104">
        <f t="shared" ref="BI127:BI149" si="8">IF(N127="nulová",J127,0)</f>
        <v>0</v>
      </c>
      <c r="BJ127" s="23" t="s">
        <v>85</v>
      </c>
      <c r="BK127" s="104">
        <f t="shared" ref="BK127:BK149" si="9">ROUND(I127*H127,2)</f>
        <v>800</v>
      </c>
      <c r="BL127" s="23" t="s">
        <v>218</v>
      </c>
      <c r="BM127" s="101" t="s">
        <v>87</v>
      </c>
    </row>
    <row r="128" spans="2:65" s="1" customFormat="1" ht="16.5" customHeight="1">
      <c r="B128" s="12"/>
      <c r="C128" s="71" t="s">
        <v>87</v>
      </c>
      <c r="D128" s="71" t="s">
        <v>214</v>
      </c>
      <c r="E128" s="72" t="s">
        <v>4137</v>
      </c>
      <c r="F128" s="73" t="s">
        <v>4138</v>
      </c>
      <c r="G128" s="74" t="s">
        <v>808</v>
      </c>
      <c r="H128" s="75">
        <v>2</v>
      </c>
      <c r="I128" s="90">
        <v>150</v>
      </c>
      <c r="J128" s="91">
        <f t="shared" si="0"/>
        <v>300</v>
      </c>
      <c r="K128" s="92"/>
      <c r="L128" s="12"/>
      <c r="M128" s="93" t="s">
        <v>1</v>
      </c>
      <c r="N128" s="94" t="s">
        <v>42</v>
      </c>
      <c r="P128" s="95">
        <f t="shared" si="1"/>
        <v>0</v>
      </c>
      <c r="Q128" s="95">
        <v>0</v>
      </c>
      <c r="R128" s="95">
        <f t="shared" si="2"/>
        <v>0</v>
      </c>
      <c r="S128" s="95">
        <v>0</v>
      </c>
      <c r="T128" s="99">
        <f t="shared" si="3"/>
        <v>0</v>
      </c>
      <c r="AR128" s="101" t="s">
        <v>218</v>
      </c>
      <c r="AT128" s="101" t="s">
        <v>214</v>
      </c>
      <c r="AU128" s="101" t="s">
        <v>85</v>
      </c>
      <c r="AY128" s="23" t="s">
        <v>211</v>
      </c>
      <c r="BE128" s="104">
        <f t="shared" si="4"/>
        <v>300</v>
      </c>
      <c r="BF128" s="104">
        <f t="shared" si="5"/>
        <v>0</v>
      </c>
      <c r="BG128" s="104">
        <f t="shared" si="6"/>
        <v>0</v>
      </c>
      <c r="BH128" s="104">
        <f t="shared" si="7"/>
        <v>0</v>
      </c>
      <c r="BI128" s="104">
        <f t="shared" si="8"/>
        <v>0</v>
      </c>
      <c r="BJ128" s="23" t="s">
        <v>85</v>
      </c>
      <c r="BK128" s="104">
        <f t="shared" si="9"/>
        <v>300</v>
      </c>
      <c r="BL128" s="23" t="s">
        <v>218</v>
      </c>
      <c r="BM128" s="101" t="s">
        <v>218</v>
      </c>
    </row>
    <row r="129" spans="2:65" s="1" customFormat="1" ht="16.5" customHeight="1">
      <c r="B129" s="12"/>
      <c r="C129" s="71" t="s">
        <v>137</v>
      </c>
      <c r="D129" s="71" t="s">
        <v>214</v>
      </c>
      <c r="E129" s="72" t="s">
        <v>4159</v>
      </c>
      <c r="F129" s="73" t="s">
        <v>4160</v>
      </c>
      <c r="G129" s="74" t="s">
        <v>234</v>
      </c>
      <c r="H129" s="75">
        <v>1</v>
      </c>
      <c r="I129" s="90">
        <v>200</v>
      </c>
      <c r="J129" s="91">
        <f t="shared" si="0"/>
        <v>200</v>
      </c>
      <c r="K129" s="92"/>
      <c r="L129" s="12"/>
      <c r="M129" s="93" t="s">
        <v>1</v>
      </c>
      <c r="N129" s="94" t="s">
        <v>42</v>
      </c>
      <c r="P129" s="95">
        <f t="shared" si="1"/>
        <v>0</v>
      </c>
      <c r="Q129" s="95">
        <v>0</v>
      </c>
      <c r="R129" s="95">
        <f t="shared" si="2"/>
        <v>0</v>
      </c>
      <c r="S129" s="95">
        <v>0</v>
      </c>
      <c r="T129" s="99">
        <f t="shared" si="3"/>
        <v>0</v>
      </c>
      <c r="AR129" s="101" t="s">
        <v>218</v>
      </c>
      <c r="AT129" s="101" t="s">
        <v>214</v>
      </c>
      <c r="AU129" s="101" t="s">
        <v>85</v>
      </c>
      <c r="AY129" s="23" t="s">
        <v>211</v>
      </c>
      <c r="BE129" s="104">
        <f t="shared" si="4"/>
        <v>200</v>
      </c>
      <c r="BF129" s="104">
        <f t="shared" si="5"/>
        <v>0</v>
      </c>
      <c r="BG129" s="104">
        <f t="shared" si="6"/>
        <v>0</v>
      </c>
      <c r="BH129" s="104">
        <f t="shared" si="7"/>
        <v>0</v>
      </c>
      <c r="BI129" s="104">
        <f t="shared" si="8"/>
        <v>0</v>
      </c>
      <c r="BJ129" s="23" t="s">
        <v>85</v>
      </c>
      <c r="BK129" s="104">
        <f t="shared" si="9"/>
        <v>200</v>
      </c>
      <c r="BL129" s="23" t="s">
        <v>218</v>
      </c>
      <c r="BM129" s="101" t="s">
        <v>239</v>
      </c>
    </row>
    <row r="130" spans="2:65" s="1" customFormat="1" ht="21.75" customHeight="1">
      <c r="B130" s="12"/>
      <c r="C130" s="71" t="s">
        <v>218</v>
      </c>
      <c r="D130" s="71" t="s">
        <v>214</v>
      </c>
      <c r="E130" s="72" t="s">
        <v>4161</v>
      </c>
      <c r="F130" s="73" t="s">
        <v>4162</v>
      </c>
      <c r="G130" s="74" t="s">
        <v>444</v>
      </c>
      <c r="H130" s="75">
        <v>9</v>
      </c>
      <c r="I130" s="90">
        <v>100</v>
      </c>
      <c r="J130" s="91">
        <f t="shared" si="0"/>
        <v>900</v>
      </c>
      <c r="K130" s="92"/>
      <c r="L130" s="12"/>
      <c r="M130" s="93" t="s">
        <v>1</v>
      </c>
      <c r="N130" s="94" t="s">
        <v>42</v>
      </c>
      <c r="P130" s="95">
        <f t="shared" si="1"/>
        <v>0</v>
      </c>
      <c r="Q130" s="95">
        <v>0</v>
      </c>
      <c r="R130" s="95">
        <f t="shared" si="2"/>
        <v>0</v>
      </c>
      <c r="S130" s="95">
        <v>0</v>
      </c>
      <c r="T130" s="99">
        <f t="shared" si="3"/>
        <v>0</v>
      </c>
      <c r="AR130" s="101" t="s">
        <v>218</v>
      </c>
      <c r="AT130" s="101" t="s">
        <v>214</v>
      </c>
      <c r="AU130" s="101" t="s">
        <v>85</v>
      </c>
      <c r="AY130" s="23" t="s">
        <v>211</v>
      </c>
      <c r="BE130" s="104">
        <f t="shared" si="4"/>
        <v>900</v>
      </c>
      <c r="BF130" s="104">
        <f t="shared" si="5"/>
        <v>0</v>
      </c>
      <c r="BG130" s="104">
        <f t="shared" si="6"/>
        <v>0</v>
      </c>
      <c r="BH130" s="104">
        <f t="shared" si="7"/>
        <v>0</v>
      </c>
      <c r="BI130" s="104">
        <f t="shared" si="8"/>
        <v>0</v>
      </c>
      <c r="BJ130" s="23" t="s">
        <v>85</v>
      </c>
      <c r="BK130" s="104">
        <f t="shared" si="9"/>
        <v>900</v>
      </c>
      <c r="BL130" s="23" t="s">
        <v>218</v>
      </c>
      <c r="BM130" s="101" t="s">
        <v>250</v>
      </c>
    </row>
    <row r="131" spans="2:65" s="1" customFormat="1" ht="21.75" customHeight="1">
      <c r="B131" s="12"/>
      <c r="C131" s="71" t="s">
        <v>210</v>
      </c>
      <c r="D131" s="71" t="s">
        <v>214</v>
      </c>
      <c r="E131" s="72" t="s">
        <v>4163</v>
      </c>
      <c r="F131" s="73" t="s">
        <v>4164</v>
      </c>
      <c r="G131" s="74" t="s">
        <v>444</v>
      </c>
      <c r="H131" s="75">
        <v>8</v>
      </c>
      <c r="I131" s="90">
        <v>20</v>
      </c>
      <c r="J131" s="91">
        <f t="shared" si="0"/>
        <v>160</v>
      </c>
      <c r="K131" s="92"/>
      <c r="L131" s="12"/>
      <c r="M131" s="93" t="s">
        <v>1</v>
      </c>
      <c r="N131" s="94" t="s">
        <v>42</v>
      </c>
      <c r="P131" s="95">
        <f t="shared" si="1"/>
        <v>0</v>
      </c>
      <c r="Q131" s="95">
        <v>0</v>
      </c>
      <c r="R131" s="95">
        <f t="shared" si="2"/>
        <v>0</v>
      </c>
      <c r="S131" s="95">
        <v>0</v>
      </c>
      <c r="T131" s="99">
        <f t="shared" si="3"/>
        <v>0</v>
      </c>
      <c r="AR131" s="101" t="s">
        <v>218</v>
      </c>
      <c r="AT131" s="101" t="s">
        <v>214</v>
      </c>
      <c r="AU131" s="101" t="s">
        <v>85</v>
      </c>
      <c r="AY131" s="23" t="s">
        <v>211</v>
      </c>
      <c r="BE131" s="104">
        <f t="shared" si="4"/>
        <v>160</v>
      </c>
      <c r="BF131" s="104">
        <f t="shared" si="5"/>
        <v>0</v>
      </c>
      <c r="BG131" s="104">
        <f t="shared" si="6"/>
        <v>0</v>
      </c>
      <c r="BH131" s="104">
        <f t="shared" si="7"/>
        <v>0</v>
      </c>
      <c r="BI131" s="104">
        <f t="shared" si="8"/>
        <v>0</v>
      </c>
      <c r="BJ131" s="23" t="s">
        <v>85</v>
      </c>
      <c r="BK131" s="104">
        <f t="shared" si="9"/>
        <v>160</v>
      </c>
      <c r="BL131" s="23" t="s">
        <v>218</v>
      </c>
      <c r="BM131" s="101" t="s">
        <v>259</v>
      </c>
    </row>
    <row r="132" spans="2:65" s="1" customFormat="1" ht="16.5" customHeight="1">
      <c r="B132" s="12"/>
      <c r="C132" s="71" t="s">
        <v>239</v>
      </c>
      <c r="D132" s="71" t="s">
        <v>214</v>
      </c>
      <c r="E132" s="72" t="s">
        <v>5543</v>
      </c>
      <c r="F132" s="73" t="s">
        <v>5544</v>
      </c>
      <c r="G132" s="74" t="s">
        <v>808</v>
      </c>
      <c r="H132" s="75">
        <v>1</v>
      </c>
      <c r="I132" s="90">
        <v>1500</v>
      </c>
      <c r="J132" s="91">
        <f t="shared" si="0"/>
        <v>1500</v>
      </c>
      <c r="K132" s="92"/>
      <c r="L132" s="12"/>
      <c r="M132" s="93" t="s">
        <v>1</v>
      </c>
      <c r="N132" s="94" t="s">
        <v>42</v>
      </c>
      <c r="P132" s="95">
        <f t="shared" si="1"/>
        <v>0</v>
      </c>
      <c r="Q132" s="95">
        <v>0</v>
      </c>
      <c r="R132" s="95">
        <f t="shared" si="2"/>
        <v>0</v>
      </c>
      <c r="S132" s="95">
        <v>0</v>
      </c>
      <c r="T132" s="99">
        <f t="shared" si="3"/>
        <v>0</v>
      </c>
      <c r="AR132" s="101" t="s">
        <v>218</v>
      </c>
      <c r="AT132" s="101" t="s">
        <v>214</v>
      </c>
      <c r="AU132" s="101" t="s">
        <v>85</v>
      </c>
      <c r="AY132" s="23" t="s">
        <v>211</v>
      </c>
      <c r="BE132" s="104">
        <f t="shared" si="4"/>
        <v>1500</v>
      </c>
      <c r="BF132" s="104">
        <f t="shared" si="5"/>
        <v>0</v>
      </c>
      <c r="BG132" s="104">
        <f t="shared" si="6"/>
        <v>0</v>
      </c>
      <c r="BH132" s="104">
        <f t="shared" si="7"/>
        <v>0</v>
      </c>
      <c r="BI132" s="104">
        <f t="shared" si="8"/>
        <v>0</v>
      </c>
      <c r="BJ132" s="23" t="s">
        <v>85</v>
      </c>
      <c r="BK132" s="104">
        <f t="shared" si="9"/>
        <v>1500</v>
      </c>
      <c r="BL132" s="23" t="s">
        <v>218</v>
      </c>
      <c r="BM132" s="101" t="s">
        <v>273</v>
      </c>
    </row>
    <row r="133" spans="2:65" s="1" customFormat="1" ht="16.5" customHeight="1">
      <c r="B133" s="12"/>
      <c r="C133" s="71" t="s">
        <v>245</v>
      </c>
      <c r="D133" s="71" t="s">
        <v>214</v>
      </c>
      <c r="E133" s="72" t="s">
        <v>5545</v>
      </c>
      <c r="F133" s="73" t="s">
        <v>5546</v>
      </c>
      <c r="G133" s="74" t="s">
        <v>234</v>
      </c>
      <c r="H133" s="75">
        <v>1</v>
      </c>
      <c r="I133" s="90">
        <v>3000</v>
      </c>
      <c r="J133" s="91">
        <f t="shared" si="0"/>
        <v>3000</v>
      </c>
      <c r="K133" s="92"/>
      <c r="L133" s="12"/>
      <c r="M133" s="93" t="s">
        <v>1</v>
      </c>
      <c r="N133" s="94" t="s">
        <v>42</v>
      </c>
      <c r="P133" s="95">
        <f t="shared" si="1"/>
        <v>0</v>
      </c>
      <c r="Q133" s="95">
        <v>0</v>
      </c>
      <c r="R133" s="95">
        <f t="shared" si="2"/>
        <v>0</v>
      </c>
      <c r="S133" s="95">
        <v>0</v>
      </c>
      <c r="T133" s="99">
        <f t="shared" si="3"/>
        <v>0</v>
      </c>
      <c r="AR133" s="101" t="s">
        <v>218</v>
      </c>
      <c r="AT133" s="101" t="s">
        <v>214</v>
      </c>
      <c r="AU133" s="101" t="s">
        <v>85</v>
      </c>
      <c r="AY133" s="23" t="s">
        <v>211</v>
      </c>
      <c r="BE133" s="104">
        <f t="shared" si="4"/>
        <v>3000</v>
      </c>
      <c r="BF133" s="104">
        <f t="shared" si="5"/>
        <v>0</v>
      </c>
      <c r="BG133" s="104">
        <f t="shared" si="6"/>
        <v>0</v>
      </c>
      <c r="BH133" s="104">
        <f t="shared" si="7"/>
        <v>0</v>
      </c>
      <c r="BI133" s="104">
        <f t="shared" si="8"/>
        <v>0</v>
      </c>
      <c r="BJ133" s="23" t="s">
        <v>85</v>
      </c>
      <c r="BK133" s="104">
        <f t="shared" si="9"/>
        <v>3000</v>
      </c>
      <c r="BL133" s="23" t="s">
        <v>218</v>
      </c>
      <c r="BM133" s="101" t="s">
        <v>437</v>
      </c>
    </row>
    <row r="134" spans="2:65" s="1" customFormat="1" ht="55.5" customHeight="1">
      <c r="B134" s="12"/>
      <c r="C134" s="71" t="s">
        <v>250</v>
      </c>
      <c r="D134" s="71" t="s">
        <v>214</v>
      </c>
      <c r="E134" s="72" t="s">
        <v>5547</v>
      </c>
      <c r="F134" s="73" t="s">
        <v>5548</v>
      </c>
      <c r="G134" s="74" t="s">
        <v>279</v>
      </c>
      <c r="H134" s="75">
        <v>14.1</v>
      </c>
      <c r="I134" s="90">
        <v>50</v>
      </c>
      <c r="J134" s="91">
        <f t="shared" si="0"/>
        <v>705</v>
      </c>
      <c r="K134" s="92"/>
      <c r="L134" s="12"/>
      <c r="M134" s="93" t="s">
        <v>1</v>
      </c>
      <c r="N134" s="94" t="s">
        <v>42</v>
      </c>
      <c r="P134" s="95">
        <f t="shared" si="1"/>
        <v>0</v>
      </c>
      <c r="Q134" s="95">
        <v>0</v>
      </c>
      <c r="R134" s="95">
        <f t="shared" si="2"/>
        <v>0</v>
      </c>
      <c r="S134" s="95">
        <v>0</v>
      </c>
      <c r="T134" s="99">
        <f t="shared" si="3"/>
        <v>0</v>
      </c>
      <c r="AR134" s="101" t="s">
        <v>218</v>
      </c>
      <c r="AT134" s="101" t="s">
        <v>214</v>
      </c>
      <c r="AU134" s="101" t="s">
        <v>85</v>
      </c>
      <c r="AY134" s="23" t="s">
        <v>211</v>
      </c>
      <c r="BE134" s="104">
        <f t="shared" si="4"/>
        <v>705</v>
      </c>
      <c r="BF134" s="104">
        <f t="shared" si="5"/>
        <v>0</v>
      </c>
      <c r="BG134" s="104">
        <f t="shared" si="6"/>
        <v>0</v>
      </c>
      <c r="BH134" s="104">
        <f t="shared" si="7"/>
        <v>0</v>
      </c>
      <c r="BI134" s="104">
        <f t="shared" si="8"/>
        <v>0</v>
      </c>
      <c r="BJ134" s="23" t="s">
        <v>85</v>
      </c>
      <c r="BK134" s="104">
        <f t="shared" si="9"/>
        <v>705</v>
      </c>
      <c r="BL134" s="23" t="s">
        <v>218</v>
      </c>
      <c r="BM134" s="101" t="s">
        <v>446</v>
      </c>
    </row>
    <row r="135" spans="2:65" s="1" customFormat="1" ht="55.5" customHeight="1">
      <c r="B135" s="12"/>
      <c r="C135" s="71" t="s">
        <v>255</v>
      </c>
      <c r="D135" s="71" t="s">
        <v>214</v>
      </c>
      <c r="E135" s="72" t="s">
        <v>5549</v>
      </c>
      <c r="F135" s="73" t="s">
        <v>5550</v>
      </c>
      <c r="G135" s="74" t="s">
        <v>279</v>
      </c>
      <c r="H135" s="75">
        <v>8.6</v>
      </c>
      <c r="I135" s="90">
        <v>80</v>
      </c>
      <c r="J135" s="91">
        <f t="shared" si="0"/>
        <v>688</v>
      </c>
      <c r="K135" s="92"/>
      <c r="L135" s="12"/>
      <c r="M135" s="93" t="s">
        <v>1</v>
      </c>
      <c r="N135" s="94" t="s">
        <v>42</v>
      </c>
      <c r="P135" s="95">
        <f t="shared" si="1"/>
        <v>0</v>
      </c>
      <c r="Q135" s="95">
        <v>0</v>
      </c>
      <c r="R135" s="95">
        <f t="shared" si="2"/>
        <v>0</v>
      </c>
      <c r="S135" s="95">
        <v>0</v>
      </c>
      <c r="T135" s="99">
        <f t="shared" si="3"/>
        <v>0</v>
      </c>
      <c r="AR135" s="101" t="s">
        <v>218</v>
      </c>
      <c r="AT135" s="101" t="s">
        <v>214</v>
      </c>
      <c r="AU135" s="101" t="s">
        <v>85</v>
      </c>
      <c r="AY135" s="23" t="s">
        <v>211</v>
      </c>
      <c r="BE135" s="104">
        <f t="shared" si="4"/>
        <v>688</v>
      </c>
      <c r="BF135" s="104">
        <f t="shared" si="5"/>
        <v>0</v>
      </c>
      <c r="BG135" s="104">
        <f t="shared" si="6"/>
        <v>0</v>
      </c>
      <c r="BH135" s="104">
        <f t="shared" si="7"/>
        <v>0</v>
      </c>
      <c r="BI135" s="104">
        <f t="shared" si="8"/>
        <v>0</v>
      </c>
      <c r="BJ135" s="23" t="s">
        <v>85</v>
      </c>
      <c r="BK135" s="104">
        <f t="shared" si="9"/>
        <v>688</v>
      </c>
      <c r="BL135" s="23" t="s">
        <v>218</v>
      </c>
      <c r="BM135" s="101" t="s">
        <v>454</v>
      </c>
    </row>
    <row r="136" spans="2:65" s="1" customFormat="1" ht="66.75" customHeight="1">
      <c r="B136" s="12"/>
      <c r="C136" s="71" t="s">
        <v>259</v>
      </c>
      <c r="D136" s="71" t="s">
        <v>214</v>
      </c>
      <c r="E136" s="72" t="s">
        <v>5551</v>
      </c>
      <c r="F136" s="73" t="s">
        <v>5552</v>
      </c>
      <c r="G136" s="74" t="s">
        <v>279</v>
      </c>
      <c r="H136" s="75">
        <v>8.6</v>
      </c>
      <c r="I136" s="90">
        <v>100</v>
      </c>
      <c r="J136" s="91">
        <f t="shared" si="0"/>
        <v>860</v>
      </c>
      <c r="K136" s="92"/>
      <c r="L136" s="12"/>
      <c r="M136" s="93" t="s">
        <v>1</v>
      </c>
      <c r="N136" s="94" t="s">
        <v>42</v>
      </c>
      <c r="P136" s="95">
        <f t="shared" si="1"/>
        <v>0</v>
      </c>
      <c r="Q136" s="95">
        <v>0</v>
      </c>
      <c r="R136" s="95">
        <f t="shared" si="2"/>
        <v>0</v>
      </c>
      <c r="S136" s="95">
        <v>0</v>
      </c>
      <c r="T136" s="99">
        <f t="shared" si="3"/>
        <v>0</v>
      </c>
      <c r="AR136" s="101" t="s">
        <v>218</v>
      </c>
      <c r="AT136" s="101" t="s">
        <v>214</v>
      </c>
      <c r="AU136" s="101" t="s">
        <v>85</v>
      </c>
      <c r="AY136" s="23" t="s">
        <v>211</v>
      </c>
      <c r="BE136" s="104">
        <f t="shared" si="4"/>
        <v>860</v>
      </c>
      <c r="BF136" s="104">
        <f t="shared" si="5"/>
        <v>0</v>
      </c>
      <c r="BG136" s="104">
        <f t="shared" si="6"/>
        <v>0</v>
      </c>
      <c r="BH136" s="104">
        <f t="shared" si="7"/>
        <v>0</v>
      </c>
      <c r="BI136" s="104">
        <f t="shared" si="8"/>
        <v>0</v>
      </c>
      <c r="BJ136" s="23" t="s">
        <v>85</v>
      </c>
      <c r="BK136" s="104">
        <f t="shared" si="9"/>
        <v>860</v>
      </c>
      <c r="BL136" s="23" t="s">
        <v>218</v>
      </c>
      <c r="BM136" s="101" t="s">
        <v>465</v>
      </c>
    </row>
    <row r="137" spans="2:65" s="1" customFormat="1" ht="66.75" customHeight="1">
      <c r="B137" s="12"/>
      <c r="C137" s="71" t="s">
        <v>266</v>
      </c>
      <c r="D137" s="71" t="s">
        <v>214</v>
      </c>
      <c r="E137" s="72" t="s">
        <v>5553</v>
      </c>
      <c r="F137" s="73" t="s">
        <v>5554</v>
      </c>
      <c r="G137" s="74" t="s">
        <v>444</v>
      </c>
      <c r="H137" s="75">
        <v>3</v>
      </c>
      <c r="I137" s="90">
        <v>250</v>
      </c>
      <c r="J137" s="91">
        <f t="shared" si="0"/>
        <v>750</v>
      </c>
      <c r="K137" s="92"/>
      <c r="L137" s="12"/>
      <c r="M137" s="93" t="s">
        <v>1</v>
      </c>
      <c r="N137" s="94" t="s">
        <v>42</v>
      </c>
      <c r="P137" s="95">
        <f t="shared" si="1"/>
        <v>0</v>
      </c>
      <c r="Q137" s="95">
        <v>0</v>
      </c>
      <c r="R137" s="95">
        <f t="shared" si="2"/>
        <v>0</v>
      </c>
      <c r="S137" s="95">
        <v>0</v>
      </c>
      <c r="T137" s="99">
        <f t="shared" si="3"/>
        <v>0</v>
      </c>
      <c r="AR137" s="101" t="s">
        <v>218</v>
      </c>
      <c r="AT137" s="101" t="s">
        <v>214</v>
      </c>
      <c r="AU137" s="101" t="s">
        <v>85</v>
      </c>
      <c r="AY137" s="23" t="s">
        <v>211</v>
      </c>
      <c r="BE137" s="104">
        <f t="shared" si="4"/>
        <v>750</v>
      </c>
      <c r="BF137" s="104">
        <f t="shared" si="5"/>
        <v>0</v>
      </c>
      <c r="BG137" s="104">
        <f t="shared" si="6"/>
        <v>0</v>
      </c>
      <c r="BH137" s="104">
        <f t="shared" si="7"/>
        <v>0</v>
      </c>
      <c r="BI137" s="104">
        <f t="shared" si="8"/>
        <v>0</v>
      </c>
      <c r="BJ137" s="23" t="s">
        <v>85</v>
      </c>
      <c r="BK137" s="104">
        <f t="shared" si="9"/>
        <v>750</v>
      </c>
      <c r="BL137" s="23" t="s">
        <v>218</v>
      </c>
      <c r="BM137" s="101" t="s">
        <v>475</v>
      </c>
    </row>
    <row r="138" spans="2:65" s="1" customFormat="1" ht="16.5" customHeight="1">
      <c r="B138" s="12"/>
      <c r="C138" s="71" t="s">
        <v>273</v>
      </c>
      <c r="D138" s="71" t="s">
        <v>214</v>
      </c>
      <c r="E138" s="72" t="s">
        <v>4167</v>
      </c>
      <c r="F138" s="73" t="s">
        <v>4168</v>
      </c>
      <c r="G138" s="74" t="s">
        <v>357</v>
      </c>
      <c r="H138" s="75">
        <v>7.1</v>
      </c>
      <c r="I138" s="90">
        <v>550</v>
      </c>
      <c r="J138" s="91">
        <f t="shared" si="0"/>
        <v>3905</v>
      </c>
      <c r="K138" s="92"/>
      <c r="L138" s="12"/>
      <c r="M138" s="93" t="s">
        <v>1</v>
      </c>
      <c r="N138" s="94" t="s">
        <v>42</v>
      </c>
      <c r="P138" s="95">
        <f t="shared" si="1"/>
        <v>0</v>
      </c>
      <c r="Q138" s="95">
        <v>0</v>
      </c>
      <c r="R138" s="95">
        <f t="shared" si="2"/>
        <v>0</v>
      </c>
      <c r="S138" s="95">
        <v>0</v>
      </c>
      <c r="T138" s="99">
        <f t="shared" si="3"/>
        <v>0</v>
      </c>
      <c r="AR138" s="101" t="s">
        <v>218</v>
      </c>
      <c r="AT138" s="101" t="s">
        <v>214</v>
      </c>
      <c r="AU138" s="101" t="s">
        <v>85</v>
      </c>
      <c r="AY138" s="23" t="s">
        <v>211</v>
      </c>
      <c r="BE138" s="104">
        <f t="shared" si="4"/>
        <v>3905</v>
      </c>
      <c r="BF138" s="104">
        <f t="shared" si="5"/>
        <v>0</v>
      </c>
      <c r="BG138" s="104">
        <f t="shared" si="6"/>
        <v>0</v>
      </c>
      <c r="BH138" s="104">
        <f t="shared" si="7"/>
        <v>0</v>
      </c>
      <c r="BI138" s="104">
        <f t="shared" si="8"/>
        <v>0</v>
      </c>
      <c r="BJ138" s="23" t="s">
        <v>85</v>
      </c>
      <c r="BK138" s="104">
        <f t="shared" si="9"/>
        <v>3905</v>
      </c>
      <c r="BL138" s="23" t="s">
        <v>218</v>
      </c>
      <c r="BM138" s="101" t="s">
        <v>486</v>
      </c>
    </row>
    <row r="139" spans="2:65" s="1" customFormat="1" ht="62.85" customHeight="1">
      <c r="B139" s="12"/>
      <c r="C139" s="71" t="s">
        <v>433</v>
      </c>
      <c r="D139" s="71" t="s">
        <v>214</v>
      </c>
      <c r="E139" s="72" t="s">
        <v>5555</v>
      </c>
      <c r="F139" s="73" t="s">
        <v>5556</v>
      </c>
      <c r="G139" s="74" t="s">
        <v>357</v>
      </c>
      <c r="H139" s="75">
        <v>9.6999999999999993</v>
      </c>
      <c r="I139" s="90">
        <v>250</v>
      </c>
      <c r="J139" s="91">
        <f t="shared" si="0"/>
        <v>2425</v>
      </c>
      <c r="K139" s="92"/>
      <c r="L139" s="12"/>
      <c r="M139" s="93" t="s">
        <v>1</v>
      </c>
      <c r="N139" s="94" t="s">
        <v>42</v>
      </c>
      <c r="P139" s="95">
        <f t="shared" si="1"/>
        <v>0</v>
      </c>
      <c r="Q139" s="95">
        <v>0</v>
      </c>
      <c r="R139" s="95">
        <f t="shared" si="2"/>
        <v>0</v>
      </c>
      <c r="S139" s="95">
        <v>0</v>
      </c>
      <c r="T139" s="99">
        <f t="shared" si="3"/>
        <v>0</v>
      </c>
      <c r="AR139" s="101" t="s">
        <v>218</v>
      </c>
      <c r="AT139" s="101" t="s">
        <v>214</v>
      </c>
      <c r="AU139" s="101" t="s">
        <v>85</v>
      </c>
      <c r="AY139" s="23" t="s">
        <v>211</v>
      </c>
      <c r="BE139" s="104">
        <f t="shared" si="4"/>
        <v>2425</v>
      </c>
      <c r="BF139" s="104">
        <f t="shared" si="5"/>
        <v>0</v>
      </c>
      <c r="BG139" s="104">
        <f t="shared" si="6"/>
        <v>0</v>
      </c>
      <c r="BH139" s="104">
        <f t="shared" si="7"/>
        <v>0</v>
      </c>
      <c r="BI139" s="104">
        <f t="shared" si="8"/>
        <v>0</v>
      </c>
      <c r="BJ139" s="23" t="s">
        <v>85</v>
      </c>
      <c r="BK139" s="104">
        <f t="shared" si="9"/>
        <v>2425</v>
      </c>
      <c r="BL139" s="23" t="s">
        <v>218</v>
      </c>
      <c r="BM139" s="101" t="s">
        <v>496</v>
      </c>
    </row>
    <row r="140" spans="2:65" s="1" customFormat="1" ht="66.75" customHeight="1">
      <c r="B140" s="12"/>
      <c r="C140" s="71" t="s">
        <v>437</v>
      </c>
      <c r="D140" s="71" t="s">
        <v>214</v>
      </c>
      <c r="E140" s="72" t="s">
        <v>5557</v>
      </c>
      <c r="F140" s="73" t="s">
        <v>5558</v>
      </c>
      <c r="G140" s="74" t="s">
        <v>357</v>
      </c>
      <c r="H140" s="75">
        <v>9.6999999999999993</v>
      </c>
      <c r="I140" s="90">
        <v>20</v>
      </c>
      <c r="J140" s="91">
        <f t="shared" si="0"/>
        <v>194</v>
      </c>
      <c r="K140" s="92"/>
      <c r="L140" s="12"/>
      <c r="M140" s="93" t="s">
        <v>1</v>
      </c>
      <c r="N140" s="94" t="s">
        <v>42</v>
      </c>
      <c r="P140" s="95">
        <f t="shared" si="1"/>
        <v>0</v>
      </c>
      <c r="Q140" s="95">
        <v>0</v>
      </c>
      <c r="R140" s="95">
        <f t="shared" si="2"/>
        <v>0</v>
      </c>
      <c r="S140" s="95">
        <v>0</v>
      </c>
      <c r="T140" s="99">
        <f t="shared" si="3"/>
        <v>0</v>
      </c>
      <c r="AR140" s="101" t="s">
        <v>218</v>
      </c>
      <c r="AT140" s="101" t="s">
        <v>214</v>
      </c>
      <c r="AU140" s="101" t="s">
        <v>85</v>
      </c>
      <c r="AY140" s="23" t="s">
        <v>211</v>
      </c>
      <c r="BE140" s="104">
        <f t="shared" si="4"/>
        <v>194</v>
      </c>
      <c r="BF140" s="104">
        <f t="shared" si="5"/>
        <v>0</v>
      </c>
      <c r="BG140" s="104">
        <f t="shared" si="6"/>
        <v>0</v>
      </c>
      <c r="BH140" s="104">
        <f t="shared" si="7"/>
        <v>0</v>
      </c>
      <c r="BI140" s="104">
        <f t="shared" si="8"/>
        <v>0</v>
      </c>
      <c r="BJ140" s="23" t="s">
        <v>85</v>
      </c>
      <c r="BK140" s="104">
        <f t="shared" si="9"/>
        <v>194</v>
      </c>
      <c r="BL140" s="23" t="s">
        <v>218</v>
      </c>
      <c r="BM140" s="101" t="s">
        <v>507</v>
      </c>
    </row>
    <row r="141" spans="2:65" s="1" customFormat="1" ht="44.25" customHeight="1">
      <c r="B141" s="12"/>
      <c r="C141" s="71" t="s">
        <v>8</v>
      </c>
      <c r="D141" s="71" t="s">
        <v>214</v>
      </c>
      <c r="E141" s="72" t="s">
        <v>5559</v>
      </c>
      <c r="F141" s="73" t="s">
        <v>5560</v>
      </c>
      <c r="G141" s="74" t="s">
        <v>85</v>
      </c>
      <c r="H141" s="75">
        <v>9.6999999999999993</v>
      </c>
      <c r="I141" s="90">
        <v>600</v>
      </c>
      <c r="J141" s="91">
        <f t="shared" si="0"/>
        <v>5820</v>
      </c>
      <c r="K141" s="92"/>
      <c r="L141" s="12"/>
      <c r="M141" s="93" t="s">
        <v>1</v>
      </c>
      <c r="N141" s="94" t="s">
        <v>42</v>
      </c>
      <c r="P141" s="95">
        <f t="shared" si="1"/>
        <v>0</v>
      </c>
      <c r="Q141" s="95">
        <v>0</v>
      </c>
      <c r="R141" s="95">
        <f t="shared" si="2"/>
        <v>0</v>
      </c>
      <c r="S141" s="95">
        <v>0</v>
      </c>
      <c r="T141" s="99">
        <f t="shared" si="3"/>
        <v>0</v>
      </c>
      <c r="AR141" s="101" t="s">
        <v>218</v>
      </c>
      <c r="AT141" s="101" t="s">
        <v>214</v>
      </c>
      <c r="AU141" s="101" t="s">
        <v>85</v>
      </c>
      <c r="AY141" s="23" t="s">
        <v>211</v>
      </c>
      <c r="BE141" s="104">
        <f t="shared" si="4"/>
        <v>5820</v>
      </c>
      <c r="BF141" s="104">
        <f t="shared" si="5"/>
        <v>0</v>
      </c>
      <c r="BG141" s="104">
        <f t="shared" si="6"/>
        <v>0</v>
      </c>
      <c r="BH141" s="104">
        <f t="shared" si="7"/>
        <v>0</v>
      </c>
      <c r="BI141" s="104">
        <f t="shared" si="8"/>
        <v>0</v>
      </c>
      <c r="BJ141" s="23" t="s">
        <v>85</v>
      </c>
      <c r="BK141" s="104">
        <f t="shared" si="9"/>
        <v>5820</v>
      </c>
      <c r="BL141" s="23" t="s">
        <v>218</v>
      </c>
      <c r="BM141" s="101" t="s">
        <v>517</v>
      </c>
    </row>
    <row r="142" spans="2:65" s="1" customFormat="1" ht="16.5" customHeight="1">
      <c r="B142" s="12"/>
      <c r="C142" s="71" t="s">
        <v>446</v>
      </c>
      <c r="D142" s="71" t="s">
        <v>214</v>
      </c>
      <c r="E142" s="72" t="s">
        <v>4169</v>
      </c>
      <c r="F142" s="73" t="s">
        <v>4170</v>
      </c>
      <c r="G142" s="74" t="s">
        <v>357</v>
      </c>
      <c r="H142" s="75">
        <v>3.5</v>
      </c>
      <c r="I142" s="90">
        <v>1000</v>
      </c>
      <c r="J142" s="91">
        <f t="shared" si="0"/>
        <v>3500</v>
      </c>
      <c r="K142" s="92"/>
      <c r="L142" s="12"/>
      <c r="M142" s="93" t="s">
        <v>1</v>
      </c>
      <c r="N142" s="94" t="s">
        <v>42</v>
      </c>
      <c r="P142" s="95">
        <f t="shared" si="1"/>
        <v>0</v>
      </c>
      <c r="Q142" s="95">
        <v>0</v>
      </c>
      <c r="R142" s="95">
        <f t="shared" si="2"/>
        <v>0</v>
      </c>
      <c r="S142" s="95">
        <v>0</v>
      </c>
      <c r="T142" s="99">
        <f t="shared" si="3"/>
        <v>0</v>
      </c>
      <c r="AR142" s="101" t="s">
        <v>218</v>
      </c>
      <c r="AT142" s="101" t="s">
        <v>214</v>
      </c>
      <c r="AU142" s="101" t="s">
        <v>85</v>
      </c>
      <c r="AY142" s="23" t="s">
        <v>211</v>
      </c>
      <c r="BE142" s="104">
        <f t="shared" si="4"/>
        <v>3500</v>
      </c>
      <c r="BF142" s="104">
        <f t="shared" si="5"/>
        <v>0</v>
      </c>
      <c r="BG142" s="104">
        <f t="shared" si="6"/>
        <v>0</v>
      </c>
      <c r="BH142" s="104">
        <f t="shared" si="7"/>
        <v>0</v>
      </c>
      <c r="BI142" s="104">
        <f t="shared" si="8"/>
        <v>0</v>
      </c>
      <c r="BJ142" s="23" t="s">
        <v>85</v>
      </c>
      <c r="BK142" s="104">
        <f t="shared" si="9"/>
        <v>3500</v>
      </c>
      <c r="BL142" s="23" t="s">
        <v>218</v>
      </c>
      <c r="BM142" s="101" t="s">
        <v>527</v>
      </c>
    </row>
    <row r="143" spans="2:65" s="1" customFormat="1" ht="16.5" customHeight="1">
      <c r="B143" s="12"/>
      <c r="C143" s="71" t="s">
        <v>450</v>
      </c>
      <c r="D143" s="71" t="s">
        <v>214</v>
      </c>
      <c r="E143" s="72" t="s">
        <v>4171</v>
      </c>
      <c r="F143" s="73" t="s">
        <v>4172</v>
      </c>
      <c r="G143" s="74" t="s">
        <v>357</v>
      </c>
      <c r="H143" s="75">
        <v>2.2000000000000002</v>
      </c>
      <c r="I143" s="90">
        <v>600</v>
      </c>
      <c r="J143" s="91">
        <f t="shared" si="0"/>
        <v>1320</v>
      </c>
      <c r="K143" s="92"/>
      <c r="L143" s="12"/>
      <c r="M143" s="93" t="s">
        <v>1</v>
      </c>
      <c r="N143" s="94" t="s">
        <v>42</v>
      </c>
      <c r="P143" s="95">
        <f t="shared" si="1"/>
        <v>0</v>
      </c>
      <c r="Q143" s="95">
        <v>0</v>
      </c>
      <c r="R143" s="95">
        <f t="shared" si="2"/>
        <v>0</v>
      </c>
      <c r="S143" s="95">
        <v>0</v>
      </c>
      <c r="T143" s="99">
        <f t="shared" si="3"/>
        <v>0</v>
      </c>
      <c r="AR143" s="101" t="s">
        <v>218</v>
      </c>
      <c r="AT143" s="101" t="s">
        <v>214</v>
      </c>
      <c r="AU143" s="101" t="s">
        <v>85</v>
      </c>
      <c r="AY143" s="23" t="s">
        <v>211</v>
      </c>
      <c r="BE143" s="104">
        <f t="shared" si="4"/>
        <v>1320</v>
      </c>
      <c r="BF143" s="104">
        <f t="shared" si="5"/>
        <v>0</v>
      </c>
      <c r="BG143" s="104">
        <f t="shared" si="6"/>
        <v>0</v>
      </c>
      <c r="BH143" s="104">
        <f t="shared" si="7"/>
        <v>0</v>
      </c>
      <c r="BI143" s="104">
        <f t="shared" si="8"/>
        <v>0</v>
      </c>
      <c r="BJ143" s="23" t="s">
        <v>85</v>
      </c>
      <c r="BK143" s="104">
        <f t="shared" si="9"/>
        <v>1320</v>
      </c>
      <c r="BL143" s="23" t="s">
        <v>218</v>
      </c>
      <c r="BM143" s="101" t="s">
        <v>537</v>
      </c>
    </row>
    <row r="144" spans="2:65" s="1" customFormat="1" ht="24.15" customHeight="1">
      <c r="B144" s="12"/>
      <c r="C144" s="71" t="s">
        <v>454</v>
      </c>
      <c r="D144" s="71" t="s">
        <v>214</v>
      </c>
      <c r="E144" s="72" t="s">
        <v>5561</v>
      </c>
      <c r="F144" s="73" t="s">
        <v>5562</v>
      </c>
      <c r="G144" s="74" t="s">
        <v>279</v>
      </c>
      <c r="H144" s="75">
        <v>8.6</v>
      </c>
      <c r="I144" s="90">
        <v>150</v>
      </c>
      <c r="J144" s="91">
        <f t="shared" si="0"/>
        <v>1290</v>
      </c>
      <c r="K144" s="92"/>
      <c r="L144" s="12"/>
      <c r="M144" s="93" t="s">
        <v>1</v>
      </c>
      <c r="N144" s="94" t="s">
        <v>42</v>
      </c>
      <c r="P144" s="95">
        <f t="shared" si="1"/>
        <v>0</v>
      </c>
      <c r="Q144" s="95">
        <v>0</v>
      </c>
      <c r="R144" s="95">
        <f t="shared" si="2"/>
        <v>0</v>
      </c>
      <c r="S144" s="95">
        <v>0</v>
      </c>
      <c r="T144" s="99">
        <f t="shared" si="3"/>
        <v>0</v>
      </c>
      <c r="AR144" s="101" t="s">
        <v>218</v>
      </c>
      <c r="AT144" s="101" t="s">
        <v>214</v>
      </c>
      <c r="AU144" s="101" t="s">
        <v>85</v>
      </c>
      <c r="AY144" s="23" t="s">
        <v>211</v>
      </c>
      <c r="BE144" s="104">
        <f t="shared" si="4"/>
        <v>1290</v>
      </c>
      <c r="BF144" s="104">
        <f t="shared" si="5"/>
        <v>0</v>
      </c>
      <c r="BG144" s="104">
        <f t="shared" si="6"/>
        <v>0</v>
      </c>
      <c r="BH144" s="104">
        <f t="shared" si="7"/>
        <v>0</v>
      </c>
      <c r="BI144" s="104">
        <f t="shared" si="8"/>
        <v>0</v>
      </c>
      <c r="BJ144" s="23" t="s">
        <v>85</v>
      </c>
      <c r="BK144" s="104">
        <f t="shared" si="9"/>
        <v>1290</v>
      </c>
      <c r="BL144" s="23" t="s">
        <v>218</v>
      </c>
      <c r="BM144" s="101" t="s">
        <v>551</v>
      </c>
    </row>
    <row r="145" spans="2:65" s="1" customFormat="1" ht="38.1" customHeight="1">
      <c r="B145" s="12"/>
      <c r="C145" s="71" t="s">
        <v>459</v>
      </c>
      <c r="D145" s="71" t="s">
        <v>214</v>
      </c>
      <c r="E145" s="72" t="s">
        <v>5563</v>
      </c>
      <c r="F145" s="73" t="s">
        <v>5564</v>
      </c>
      <c r="G145" s="74" t="s">
        <v>279</v>
      </c>
      <c r="H145" s="75">
        <v>8.6</v>
      </c>
      <c r="I145" s="90">
        <v>600</v>
      </c>
      <c r="J145" s="91">
        <f t="shared" si="0"/>
        <v>5160</v>
      </c>
      <c r="K145" s="92"/>
      <c r="L145" s="12"/>
      <c r="M145" s="93" t="s">
        <v>1</v>
      </c>
      <c r="N145" s="94" t="s">
        <v>42</v>
      </c>
      <c r="P145" s="95">
        <f t="shared" si="1"/>
        <v>0</v>
      </c>
      <c r="Q145" s="95">
        <v>0</v>
      </c>
      <c r="R145" s="95">
        <f t="shared" si="2"/>
        <v>0</v>
      </c>
      <c r="S145" s="95">
        <v>0</v>
      </c>
      <c r="T145" s="99">
        <f t="shared" si="3"/>
        <v>0</v>
      </c>
      <c r="AR145" s="101" t="s">
        <v>218</v>
      </c>
      <c r="AT145" s="101" t="s">
        <v>214</v>
      </c>
      <c r="AU145" s="101" t="s">
        <v>85</v>
      </c>
      <c r="AY145" s="23" t="s">
        <v>211</v>
      </c>
      <c r="BE145" s="104">
        <f t="shared" si="4"/>
        <v>5160</v>
      </c>
      <c r="BF145" s="104">
        <f t="shared" si="5"/>
        <v>0</v>
      </c>
      <c r="BG145" s="104">
        <f t="shared" si="6"/>
        <v>0</v>
      </c>
      <c r="BH145" s="104">
        <f t="shared" si="7"/>
        <v>0</v>
      </c>
      <c r="BI145" s="104">
        <f t="shared" si="8"/>
        <v>0</v>
      </c>
      <c r="BJ145" s="23" t="s">
        <v>85</v>
      </c>
      <c r="BK145" s="104">
        <f t="shared" si="9"/>
        <v>5160</v>
      </c>
      <c r="BL145" s="23" t="s">
        <v>218</v>
      </c>
      <c r="BM145" s="101" t="s">
        <v>566</v>
      </c>
    </row>
    <row r="146" spans="2:65" s="1" customFormat="1" ht="24.15" customHeight="1">
      <c r="B146" s="12"/>
      <c r="C146" s="71" t="s">
        <v>465</v>
      </c>
      <c r="D146" s="71" t="s">
        <v>214</v>
      </c>
      <c r="E146" s="72" t="s">
        <v>5565</v>
      </c>
      <c r="F146" s="73" t="s">
        <v>5566</v>
      </c>
      <c r="G146" s="74" t="s">
        <v>279</v>
      </c>
      <c r="H146" s="75">
        <v>10</v>
      </c>
      <c r="I146" s="90">
        <v>20</v>
      </c>
      <c r="J146" s="91">
        <f t="shared" si="0"/>
        <v>200</v>
      </c>
      <c r="K146" s="92"/>
      <c r="L146" s="12"/>
      <c r="M146" s="93" t="s">
        <v>1</v>
      </c>
      <c r="N146" s="94" t="s">
        <v>42</v>
      </c>
      <c r="P146" s="95">
        <f t="shared" si="1"/>
        <v>0</v>
      </c>
      <c r="Q146" s="95">
        <v>0</v>
      </c>
      <c r="R146" s="95">
        <f t="shared" si="2"/>
        <v>0</v>
      </c>
      <c r="S146" s="95">
        <v>0</v>
      </c>
      <c r="T146" s="99">
        <f t="shared" si="3"/>
        <v>0</v>
      </c>
      <c r="AR146" s="101" t="s">
        <v>218</v>
      </c>
      <c r="AT146" s="101" t="s">
        <v>214</v>
      </c>
      <c r="AU146" s="101" t="s">
        <v>85</v>
      </c>
      <c r="AY146" s="23" t="s">
        <v>211</v>
      </c>
      <c r="BE146" s="104">
        <f t="shared" si="4"/>
        <v>200</v>
      </c>
      <c r="BF146" s="104">
        <f t="shared" si="5"/>
        <v>0</v>
      </c>
      <c r="BG146" s="104">
        <f t="shared" si="6"/>
        <v>0</v>
      </c>
      <c r="BH146" s="104">
        <f t="shared" si="7"/>
        <v>0</v>
      </c>
      <c r="BI146" s="104">
        <f t="shared" si="8"/>
        <v>0</v>
      </c>
      <c r="BJ146" s="23" t="s">
        <v>85</v>
      </c>
      <c r="BK146" s="104">
        <f t="shared" si="9"/>
        <v>200</v>
      </c>
      <c r="BL146" s="23" t="s">
        <v>218</v>
      </c>
      <c r="BM146" s="101" t="s">
        <v>578</v>
      </c>
    </row>
    <row r="147" spans="2:65" s="1" customFormat="1" ht="44.25" customHeight="1">
      <c r="B147" s="12"/>
      <c r="C147" s="71" t="s">
        <v>7</v>
      </c>
      <c r="D147" s="71" t="s">
        <v>214</v>
      </c>
      <c r="E147" s="72" t="s">
        <v>5567</v>
      </c>
      <c r="F147" s="73" t="s">
        <v>5568</v>
      </c>
      <c r="G147" s="74" t="s">
        <v>279</v>
      </c>
      <c r="H147" s="75">
        <v>10</v>
      </c>
      <c r="I147" s="90">
        <v>370</v>
      </c>
      <c r="J147" s="91">
        <f t="shared" si="0"/>
        <v>3700</v>
      </c>
      <c r="K147" s="92"/>
      <c r="L147" s="12"/>
      <c r="M147" s="93" t="s">
        <v>1</v>
      </c>
      <c r="N147" s="94" t="s">
        <v>42</v>
      </c>
      <c r="P147" s="95">
        <f t="shared" si="1"/>
        <v>0</v>
      </c>
      <c r="Q147" s="95">
        <v>0</v>
      </c>
      <c r="R147" s="95">
        <f t="shared" si="2"/>
        <v>0</v>
      </c>
      <c r="S147" s="95">
        <v>0</v>
      </c>
      <c r="T147" s="99">
        <f t="shared" si="3"/>
        <v>0</v>
      </c>
      <c r="AR147" s="101" t="s">
        <v>218</v>
      </c>
      <c r="AT147" s="101" t="s">
        <v>214</v>
      </c>
      <c r="AU147" s="101" t="s">
        <v>85</v>
      </c>
      <c r="AY147" s="23" t="s">
        <v>211</v>
      </c>
      <c r="BE147" s="104">
        <f t="shared" si="4"/>
        <v>3700</v>
      </c>
      <c r="BF147" s="104">
        <f t="shared" si="5"/>
        <v>0</v>
      </c>
      <c r="BG147" s="104">
        <f t="shared" si="6"/>
        <v>0</v>
      </c>
      <c r="BH147" s="104">
        <f t="shared" si="7"/>
        <v>0</v>
      </c>
      <c r="BI147" s="104">
        <f t="shared" si="8"/>
        <v>0</v>
      </c>
      <c r="BJ147" s="23" t="s">
        <v>85</v>
      </c>
      <c r="BK147" s="104">
        <f t="shared" si="9"/>
        <v>3700</v>
      </c>
      <c r="BL147" s="23" t="s">
        <v>218</v>
      </c>
      <c r="BM147" s="101" t="s">
        <v>588</v>
      </c>
    </row>
    <row r="148" spans="2:65" s="1" customFormat="1" ht="24.15" customHeight="1">
      <c r="B148" s="12"/>
      <c r="C148" s="71" t="s">
        <v>475</v>
      </c>
      <c r="D148" s="71" t="s">
        <v>214</v>
      </c>
      <c r="E148" s="72" t="s">
        <v>5569</v>
      </c>
      <c r="F148" s="73" t="s">
        <v>4212</v>
      </c>
      <c r="G148" s="74" t="s">
        <v>234</v>
      </c>
      <c r="H148" s="75">
        <v>1</v>
      </c>
      <c r="I148" s="90">
        <v>1500</v>
      </c>
      <c r="J148" s="91">
        <f t="shared" si="0"/>
        <v>1500</v>
      </c>
      <c r="K148" s="92"/>
      <c r="L148" s="12"/>
      <c r="M148" s="93" t="s">
        <v>1</v>
      </c>
      <c r="N148" s="94" t="s">
        <v>42</v>
      </c>
      <c r="P148" s="95">
        <f t="shared" si="1"/>
        <v>0</v>
      </c>
      <c r="Q148" s="95">
        <v>0</v>
      </c>
      <c r="R148" s="95">
        <f t="shared" si="2"/>
        <v>0</v>
      </c>
      <c r="S148" s="95">
        <v>0</v>
      </c>
      <c r="T148" s="99">
        <f t="shared" si="3"/>
        <v>0</v>
      </c>
      <c r="AR148" s="101" t="s">
        <v>218</v>
      </c>
      <c r="AT148" s="101" t="s">
        <v>214</v>
      </c>
      <c r="AU148" s="101" t="s">
        <v>85</v>
      </c>
      <c r="AY148" s="23" t="s">
        <v>211</v>
      </c>
      <c r="BE148" s="104">
        <f t="shared" si="4"/>
        <v>1500</v>
      </c>
      <c r="BF148" s="104">
        <f t="shared" si="5"/>
        <v>0</v>
      </c>
      <c r="BG148" s="104">
        <f t="shared" si="6"/>
        <v>0</v>
      </c>
      <c r="BH148" s="104">
        <f t="shared" si="7"/>
        <v>0</v>
      </c>
      <c r="BI148" s="104">
        <f t="shared" si="8"/>
        <v>0</v>
      </c>
      <c r="BJ148" s="23" t="s">
        <v>85</v>
      </c>
      <c r="BK148" s="104">
        <f t="shared" si="9"/>
        <v>1500</v>
      </c>
      <c r="BL148" s="23" t="s">
        <v>218</v>
      </c>
      <c r="BM148" s="101" t="s">
        <v>598</v>
      </c>
    </row>
    <row r="149" spans="2:65" s="1" customFormat="1" ht="24.15" customHeight="1">
      <c r="B149" s="12"/>
      <c r="C149" s="71" t="s">
        <v>481</v>
      </c>
      <c r="D149" s="71" t="s">
        <v>214</v>
      </c>
      <c r="E149" s="72" t="s">
        <v>5570</v>
      </c>
      <c r="F149" s="73" t="s">
        <v>4181</v>
      </c>
      <c r="G149" s="74" t="s">
        <v>234</v>
      </c>
      <c r="H149" s="75">
        <v>1</v>
      </c>
      <c r="I149" s="90">
        <v>2000</v>
      </c>
      <c r="J149" s="91">
        <f t="shared" si="0"/>
        <v>2000</v>
      </c>
      <c r="K149" s="92"/>
      <c r="L149" s="12"/>
      <c r="M149" s="130" t="s">
        <v>1</v>
      </c>
      <c r="N149" s="131" t="s">
        <v>42</v>
      </c>
      <c r="O149" s="110"/>
      <c r="P149" s="132">
        <f t="shared" si="1"/>
        <v>0</v>
      </c>
      <c r="Q149" s="132">
        <v>0</v>
      </c>
      <c r="R149" s="132">
        <f t="shared" si="2"/>
        <v>0</v>
      </c>
      <c r="S149" s="132">
        <v>0</v>
      </c>
      <c r="T149" s="134">
        <f t="shared" si="3"/>
        <v>0</v>
      </c>
      <c r="AR149" s="101" t="s">
        <v>218</v>
      </c>
      <c r="AT149" s="101" t="s">
        <v>214</v>
      </c>
      <c r="AU149" s="101" t="s">
        <v>85</v>
      </c>
      <c r="AY149" s="23" t="s">
        <v>211</v>
      </c>
      <c r="BE149" s="104">
        <f t="shared" si="4"/>
        <v>2000</v>
      </c>
      <c r="BF149" s="104">
        <f t="shared" si="5"/>
        <v>0</v>
      </c>
      <c r="BG149" s="104">
        <f t="shared" si="6"/>
        <v>0</v>
      </c>
      <c r="BH149" s="104">
        <f t="shared" si="7"/>
        <v>0</v>
      </c>
      <c r="BI149" s="104">
        <f t="shared" si="8"/>
        <v>0</v>
      </c>
      <c r="BJ149" s="23" t="s">
        <v>85</v>
      </c>
      <c r="BK149" s="104">
        <f t="shared" si="9"/>
        <v>2000</v>
      </c>
      <c r="BL149" s="23" t="s">
        <v>218</v>
      </c>
      <c r="BM149" s="101" t="s">
        <v>619</v>
      </c>
    </row>
    <row r="150" spans="2:65" s="1" customFormat="1" ht="6.9" customHeight="1">
      <c r="B150" s="26"/>
      <c r="C150" s="27"/>
      <c r="D150" s="27"/>
      <c r="E150" s="27"/>
      <c r="F150" s="27"/>
      <c r="G150" s="27"/>
      <c r="H150" s="27"/>
      <c r="I150" s="27"/>
      <c r="J150" s="27"/>
      <c r="K150" s="27"/>
      <c r="L150" s="12"/>
    </row>
  </sheetData>
  <autoFilter ref="C124:K149" xr:uid="{00000000-0009-0000-0000-00000F000000}"/>
  <mergeCells count="15">
    <mergeCell ref="L2:V2"/>
    <mergeCell ref="E7:H7"/>
    <mergeCell ref="E9:H9"/>
    <mergeCell ref="E11:H11"/>
    <mergeCell ref="E13:H13"/>
    <mergeCell ref="E22:H22"/>
    <mergeCell ref="E31:H31"/>
    <mergeCell ref="E85:H85"/>
    <mergeCell ref="E87:H87"/>
    <mergeCell ref="E89:H89"/>
    <mergeCell ref="E91:H91"/>
    <mergeCell ref="E111:H111"/>
    <mergeCell ref="E113:H113"/>
    <mergeCell ref="E115:H115"/>
    <mergeCell ref="E117:H117"/>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2:BM157"/>
  <sheetViews>
    <sheetView showGridLines="0" topLeftCell="A143" workbookViewId="0">
      <selection activeCell="L134" sqref="L134"/>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144</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3.2">
      <c r="B8" s="5"/>
      <c r="D8" s="10" t="s">
        <v>182</v>
      </c>
      <c r="L8" s="5"/>
    </row>
    <row r="9" spans="2:46" ht="16.5" customHeight="1">
      <c r="B9" s="5"/>
      <c r="E9" s="392" t="s">
        <v>5462</v>
      </c>
      <c r="F9" s="383"/>
      <c r="G9" s="383"/>
      <c r="H9" s="383"/>
      <c r="L9" s="5"/>
    </row>
    <row r="10" spans="2:46" ht="12" customHeight="1">
      <c r="B10" s="5"/>
      <c r="D10" s="10" t="s">
        <v>296</v>
      </c>
      <c r="L10" s="5"/>
    </row>
    <row r="11" spans="2:46" s="1" customFormat="1" ht="16.5" customHeight="1">
      <c r="B11" s="12"/>
      <c r="E11" s="358" t="s">
        <v>5463</v>
      </c>
      <c r="F11" s="394"/>
      <c r="G11" s="394"/>
      <c r="H11" s="394"/>
      <c r="L11" s="12"/>
    </row>
    <row r="12" spans="2:46" s="1" customFormat="1" ht="12" customHeight="1">
      <c r="B12" s="12"/>
      <c r="D12" s="10" t="s">
        <v>5464</v>
      </c>
      <c r="L12" s="12"/>
    </row>
    <row r="13" spans="2:46" s="1" customFormat="1" ht="16.5" customHeight="1">
      <c r="B13" s="12"/>
      <c r="E13" s="381" t="s">
        <v>5571</v>
      </c>
      <c r="F13" s="394"/>
      <c r="G13" s="394"/>
      <c r="H13" s="394"/>
      <c r="L13" s="12"/>
    </row>
    <row r="14" spans="2:46" s="1" customFormat="1">
      <c r="B14" s="12"/>
      <c r="L14" s="12"/>
    </row>
    <row r="15" spans="2:46" s="1" customFormat="1" ht="12" customHeight="1">
      <c r="B15" s="12"/>
      <c r="D15" s="10" t="s">
        <v>18</v>
      </c>
      <c r="F15" s="32" t="s">
        <v>1</v>
      </c>
      <c r="I15" s="10" t="s">
        <v>19</v>
      </c>
      <c r="J15" s="32" t="s">
        <v>1</v>
      </c>
      <c r="L15" s="12"/>
    </row>
    <row r="16" spans="2:46" s="1" customFormat="1" ht="12" customHeight="1">
      <c r="B16" s="12"/>
      <c r="D16" s="10" t="s">
        <v>20</v>
      </c>
      <c r="F16" s="32" t="s">
        <v>21</v>
      </c>
      <c r="I16" s="10" t="s">
        <v>22</v>
      </c>
      <c r="J16" s="11">
        <f>'Rekapitulace stavby'!AN8</f>
        <v>45000</v>
      </c>
      <c r="L16" s="12"/>
    </row>
    <row r="17" spans="2:12" s="1" customFormat="1" ht="11.1" customHeight="1">
      <c r="B17" s="12"/>
      <c r="L17" s="12"/>
    </row>
    <row r="18" spans="2:12" s="1" customFormat="1" ht="12" customHeight="1">
      <c r="B18" s="12"/>
      <c r="D18" s="10" t="s">
        <v>23</v>
      </c>
      <c r="I18" s="10" t="s">
        <v>24</v>
      </c>
      <c r="J18" s="32" t="s">
        <v>1</v>
      </c>
      <c r="L18" s="12"/>
    </row>
    <row r="19" spans="2:12" s="1" customFormat="1" ht="18" customHeight="1">
      <c r="B19" s="12"/>
      <c r="E19" s="32" t="s">
        <v>25</v>
      </c>
      <c r="I19" s="10" t="s">
        <v>26</v>
      </c>
      <c r="J19" s="32" t="s">
        <v>1</v>
      </c>
      <c r="L19" s="12"/>
    </row>
    <row r="20" spans="2:12" s="1" customFormat="1" ht="6.9" customHeight="1">
      <c r="B20" s="12"/>
      <c r="L20" s="12"/>
    </row>
    <row r="21" spans="2:12" s="1" customFormat="1" ht="12" customHeight="1">
      <c r="B21" s="12"/>
      <c r="D21" s="10" t="s">
        <v>27</v>
      </c>
      <c r="I21" s="10" t="s">
        <v>24</v>
      </c>
      <c r="J21" s="33" t="str">
        <f>'Rekapitulace stavby'!AN13</f>
        <v>08004013</v>
      </c>
      <c r="L21" s="12"/>
    </row>
    <row r="22" spans="2:12" s="1" customFormat="1" ht="18" customHeight="1">
      <c r="B22" s="12"/>
      <c r="E22" s="395" t="str">
        <f>'Rekapitulace stavby'!E14</f>
        <v>DMG Stav a.s.</v>
      </c>
      <c r="F22" s="384"/>
      <c r="G22" s="384"/>
      <c r="H22" s="384"/>
      <c r="I22" s="10" t="s">
        <v>26</v>
      </c>
      <c r="J22" s="33" t="str">
        <f>'Rekapitulace stavby'!AN14</f>
        <v>CZ 08004013</v>
      </c>
      <c r="L22" s="12"/>
    </row>
    <row r="23" spans="2:12" s="1" customFormat="1" ht="6.9" customHeight="1">
      <c r="B23" s="12"/>
      <c r="L23" s="12"/>
    </row>
    <row r="24" spans="2:12" s="1" customFormat="1" ht="12" customHeight="1">
      <c r="B24" s="12"/>
      <c r="D24" s="10" t="s">
        <v>31</v>
      </c>
      <c r="I24" s="10" t="s">
        <v>24</v>
      </c>
      <c r="J24" s="32" t="s">
        <v>1</v>
      </c>
      <c r="L24" s="12"/>
    </row>
    <row r="25" spans="2:12" s="1" customFormat="1" ht="18" customHeight="1">
      <c r="B25" s="12"/>
      <c r="E25" s="32" t="s">
        <v>32</v>
      </c>
      <c r="I25" s="10" t="s">
        <v>26</v>
      </c>
      <c r="J25" s="32" t="s">
        <v>1</v>
      </c>
      <c r="L25" s="12"/>
    </row>
    <row r="26" spans="2:12" s="1" customFormat="1" ht="6.9" customHeight="1">
      <c r="B26" s="12"/>
      <c r="L26" s="12"/>
    </row>
    <row r="27" spans="2:12" s="1" customFormat="1" ht="12" customHeight="1">
      <c r="B27" s="12"/>
      <c r="D27" s="10" t="s">
        <v>34</v>
      </c>
      <c r="I27" s="10" t="s">
        <v>24</v>
      </c>
      <c r="J27" s="32" t="s">
        <v>1</v>
      </c>
      <c r="L27" s="12"/>
    </row>
    <row r="28" spans="2:12" s="1" customFormat="1" ht="18" customHeight="1">
      <c r="B28" s="12"/>
      <c r="E28" s="32" t="s">
        <v>35</v>
      </c>
      <c r="I28" s="10" t="s">
        <v>26</v>
      </c>
      <c r="J28" s="32" t="s">
        <v>1</v>
      </c>
      <c r="L28" s="12"/>
    </row>
    <row r="29" spans="2:12" s="1" customFormat="1" ht="6.9" customHeight="1">
      <c r="B29" s="12"/>
      <c r="L29" s="12"/>
    </row>
    <row r="30" spans="2:12" s="1" customFormat="1" ht="12" customHeight="1">
      <c r="B30" s="12"/>
      <c r="D30" s="10" t="s">
        <v>36</v>
      </c>
      <c r="L30" s="12"/>
    </row>
    <row r="31" spans="2:12" s="28" customFormat="1" ht="16.5" customHeight="1">
      <c r="B31" s="34"/>
      <c r="E31" s="388" t="s">
        <v>1</v>
      </c>
      <c r="F31" s="388"/>
      <c r="G31" s="388"/>
      <c r="H31" s="388"/>
      <c r="L31" s="34"/>
    </row>
    <row r="32" spans="2:12" s="1" customFormat="1" ht="6.9" customHeight="1">
      <c r="B32" s="12"/>
      <c r="L32" s="12"/>
    </row>
    <row r="33" spans="2:12" s="1" customFormat="1" ht="6.9" customHeight="1">
      <c r="B33" s="12"/>
      <c r="D33" s="35"/>
      <c r="E33" s="35"/>
      <c r="F33" s="35"/>
      <c r="G33" s="35"/>
      <c r="H33" s="35"/>
      <c r="I33" s="35"/>
      <c r="J33" s="35"/>
      <c r="K33" s="35"/>
      <c r="L33" s="12"/>
    </row>
    <row r="34" spans="2:12" s="1" customFormat="1" ht="25.35" customHeight="1">
      <c r="B34" s="12"/>
      <c r="D34" s="36" t="s">
        <v>37</v>
      </c>
      <c r="J34" s="51">
        <f>ROUND(J131,2)</f>
        <v>143500</v>
      </c>
      <c r="L34" s="12"/>
    </row>
    <row r="35" spans="2:12" s="1" customFormat="1" ht="6.9" customHeight="1">
      <c r="B35" s="12"/>
      <c r="D35" s="35"/>
      <c r="E35" s="35"/>
      <c r="F35" s="35"/>
      <c r="G35" s="35"/>
      <c r="H35" s="35"/>
      <c r="I35" s="35"/>
      <c r="J35" s="35"/>
      <c r="K35" s="35"/>
      <c r="L35" s="12"/>
    </row>
    <row r="36" spans="2:12" s="1" customFormat="1" ht="14.4" customHeight="1">
      <c r="B36" s="12"/>
      <c r="F36" s="37" t="s">
        <v>39</v>
      </c>
      <c r="I36" s="37" t="s">
        <v>38</v>
      </c>
      <c r="J36" s="37" t="s">
        <v>40</v>
      </c>
      <c r="L36" s="12"/>
    </row>
    <row r="37" spans="2:12" s="1" customFormat="1" ht="14.4" customHeight="1">
      <c r="B37" s="12"/>
      <c r="D37" s="38" t="s">
        <v>41</v>
      </c>
      <c r="E37" s="10" t="s">
        <v>42</v>
      </c>
      <c r="F37" s="39">
        <f>ROUND((SUM(BE131:BE156)),2)</f>
        <v>143500</v>
      </c>
      <c r="I37" s="52">
        <v>0.21</v>
      </c>
      <c r="J37" s="39">
        <f>ROUND(((SUM(BE131:BE156))*I37),2)</f>
        <v>30135</v>
      </c>
      <c r="L37" s="12"/>
    </row>
    <row r="38" spans="2:12" s="1" customFormat="1" ht="14.4" customHeight="1">
      <c r="B38" s="12"/>
      <c r="E38" s="10" t="s">
        <v>43</v>
      </c>
      <c r="F38" s="39">
        <f>ROUND((SUM(BF131:BF156)),2)</f>
        <v>0</v>
      </c>
      <c r="I38" s="52">
        <v>0.15</v>
      </c>
      <c r="J38" s="39">
        <f>ROUND(((SUM(BF131:BF156))*I38),2)</f>
        <v>0</v>
      </c>
      <c r="L38" s="12"/>
    </row>
    <row r="39" spans="2:12" s="1" customFormat="1" ht="14.4" hidden="1" customHeight="1">
      <c r="B39" s="12"/>
      <c r="E39" s="10" t="s">
        <v>44</v>
      </c>
      <c r="F39" s="39">
        <f>ROUND((SUM(BG131:BG156)),2)</f>
        <v>0</v>
      </c>
      <c r="I39" s="52">
        <v>0.21</v>
      </c>
      <c r="J39" s="39">
        <f>0</f>
        <v>0</v>
      </c>
      <c r="L39" s="12"/>
    </row>
    <row r="40" spans="2:12" s="1" customFormat="1" ht="14.4" hidden="1" customHeight="1">
      <c r="B40" s="12"/>
      <c r="E40" s="10" t="s">
        <v>45</v>
      </c>
      <c r="F40" s="39">
        <f>ROUND((SUM(BH131:BH156)),2)</f>
        <v>0</v>
      </c>
      <c r="I40" s="52">
        <v>0.15</v>
      </c>
      <c r="J40" s="39">
        <f>0</f>
        <v>0</v>
      </c>
      <c r="L40" s="12"/>
    </row>
    <row r="41" spans="2:12" s="1" customFormat="1" ht="14.4" hidden="1" customHeight="1">
      <c r="B41" s="12"/>
      <c r="E41" s="10" t="s">
        <v>46</v>
      </c>
      <c r="F41" s="39">
        <f>ROUND((SUM(BI131:BI156)),2)</f>
        <v>0</v>
      </c>
      <c r="I41" s="52">
        <v>0</v>
      </c>
      <c r="J41" s="39">
        <f>0</f>
        <v>0</v>
      </c>
      <c r="L41" s="12"/>
    </row>
    <row r="42" spans="2:12" s="1" customFormat="1" ht="6.9" customHeight="1">
      <c r="B42" s="12"/>
      <c r="L42" s="12"/>
    </row>
    <row r="43" spans="2:12" s="1" customFormat="1" ht="25.35" customHeight="1">
      <c r="B43" s="12"/>
      <c r="C43" s="40"/>
      <c r="D43" s="41" t="s">
        <v>47</v>
      </c>
      <c r="E43" s="42"/>
      <c r="F43" s="42"/>
      <c r="G43" s="43" t="s">
        <v>48</v>
      </c>
      <c r="H43" s="44" t="s">
        <v>49</v>
      </c>
      <c r="I43" s="42"/>
      <c r="J43" s="53">
        <f>SUM(J34:J41)</f>
        <v>173635</v>
      </c>
      <c r="K43" s="54"/>
      <c r="L43" s="12"/>
    </row>
    <row r="44" spans="2:12" s="1" customFormat="1" ht="14.4" customHeight="1">
      <c r="B44" s="12"/>
      <c r="L44" s="12"/>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ht="16.5" customHeight="1">
      <c r="B87" s="5"/>
      <c r="E87" s="392" t="s">
        <v>5462</v>
      </c>
      <c r="F87" s="383"/>
      <c r="G87" s="383"/>
      <c r="H87" s="383"/>
      <c r="L87" s="5"/>
    </row>
    <row r="88" spans="2:12" ht="12" customHeight="1">
      <c r="B88" s="5"/>
      <c r="C88" s="10" t="s">
        <v>296</v>
      </c>
      <c r="L88" s="5"/>
    </row>
    <row r="89" spans="2:12" s="1" customFormat="1" ht="16.5" customHeight="1">
      <c r="B89" s="12"/>
      <c r="E89" s="358" t="s">
        <v>5463</v>
      </c>
      <c r="F89" s="394"/>
      <c r="G89" s="394"/>
      <c r="H89" s="394"/>
      <c r="L89" s="12"/>
    </row>
    <row r="90" spans="2:12" s="1" customFormat="1" ht="12" customHeight="1">
      <c r="B90" s="12"/>
      <c r="C90" s="10" t="s">
        <v>5464</v>
      </c>
      <c r="L90" s="12"/>
    </row>
    <row r="91" spans="2:12" s="1" customFormat="1" ht="16.5" customHeight="1">
      <c r="B91" s="12"/>
      <c r="E91" s="381" t="str">
        <f>E13</f>
        <v>IO03 - Přípojka dešťové kanalizace</v>
      </c>
      <c r="F91" s="394"/>
      <c r="G91" s="394"/>
      <c r="H91" s="394"/>
      <c r="L91" s="12"/>
    </row>
    <row r="92" spans="2:12" s="1" customFormat="1" ht="6.9" customHeight="1">
      <c r="B92" s="12"/>
      <c r="L92" s="12"/>
    </row>
    <row r="93" spans="2:12" s="1" customFormat="1" ht="12" customHeight="1">
      <c r="B93" s="12"/>
      <c r="C93" s="10" t="s">
        <v>20</v>
      </c>
      <c r="F93" s="32" t="str">
        <f>F16</f>
        <v>Praha</v>
      </c>
      <c r="I93" s="10" t="s">
        <v>22</v>
      </c>
      <c r="J93" s="11">
        <f>IF(J16="","",J16)</f>
        <v>45000</v>
      </c>
      <c r="L93" s="12"/>
    </row>
    <row r="94" spans="2:12" s="1" customFormat="1" ht="6.9" customHeight="1">
      <c r="B94" s="12"/>
      <c r="L94" s="12"/>
    </row>
    <row r="95" spans="2:12" s="1" customFormat="1" ht="15.15" customHeight="1">
      <c r="B95" s="12"/>
      <c r="C95" s="10" t="s">
        <v>23</v>
      </c>
      <c r="F95" s="32" t="str">
        <f>E19</f>
        <v>VELTON REAL ESTATE</v>
      </c>
      <c r="I95" s="10" t="s">
        <v>31</v>
      </c>
      <c r="J95" s="8" t="str">
        <f>E25</f>
        <v>ABMV World s.r.o</v>
      </c>
      <c r="L95" s="12"/>
    </row>
    <row r="96" spans="2:12" s="1" customFormat="1" ht="15.15" customHeight="1">
      <c r="B96" s="12"/>
      <c r="C96" s="10" t="s">
        <v>27</v>
      </c>
      <c r="F96" s="32" t="str">
        <f>IF(E22="","",E22)</f>
        <v>DMG Stav a.s.</v>
      </c>
      <c r="I96" s="10" t="s">
        <v>34</v>
      </c>
      <c r="J96" s="8" t="str">
        <f>E28</f>
        <v>QSB s.r.o.</v>
      </c>
      <c r="L96" s="12"/>
    </row>
    <row r="97" spans="2:47" s="1" customFormat="1" ht="10.35" customHeight="1">
      <c r="B97" s="12"/>
      <c r="L97" s="12"/>
    </row>
    <row r="98" spans="2:47" s="1" customFormat="1" ht="29.25" customHeight="1">
      <c r="B98" s="12"/>
      <c r="C98" s="58" t="s">
        <v>185</v>
      </c>
      <c r="D98" s="40"/>
      <c r="E98" s="40"/>
      <c r="F98" s="40"/>
      <c r="G98" s="40"/>
      <c r="H98" s="40"/>
      <c r="I98" s="40"/>
      <c r="J98" s="76" t="s">
        <v>186</v>
      </c>
      <c r="K98" s="40"/>
      <c r="L98" s="12"/>
    </row>
    <row r="99" spans="2:47" s="1" customFormat="1" ht="10.35" customHeight="1">
      <c r="B99" s="12"/>
      <c r="L99" s="12"/>
    </row>
    <row r="100" spans="2:47" s="1" customFormat="1" ht="23.1" customHeight="1">
      <c r="B100" s="12"/>
      <c r="C100" s="59" t="s">
        <v>187</v>
      </c>
      <c r="J100" s="51">
        <f>J131</f>
        <v>143500</v>
      </c>
      <c r="L100" s="12"/>
      <c r="AU100" s="23" t="s">
        <v>188</v>
      </c>
    </row>
    <row r="101" spans="2:47" s="29" customFormat="1" ht="24.9" customHeight="1">
      <c r="B101" s="60"/>
      <c r="D101" s="61" t="s">
        <v>5572</v>
      </c>
      <c r="E101" s="62"/>
      <c r="F101" s="62"/>
      <c r="G101" s="62"/>
      <c r="H101" s="62"/>
      <c r="I101" s="62"/>
      <c r="J101" s="77">
        <f>J132</f>
        <v>143500</v>
      </c>
      <c r="L101" s="60"/>
    </row>
    <row r="102" spans="2:47" s="30" customFormat="1" ht="20.100000000000001" customHeight="1">
      <c r="B102" s="63"/>
      <c r="D102" s="64" t="s">
        <v>5467</v>
      </c>
      <c r="E102" s="65"/>
      <c r="F102" s="65"/>
      <c r="G102" s="65"/>
      <c r="H102" s="65"/>
      <c r="I102" s="65"/>
      <c r="J102" s="78">
        <f>J133</f>
        <v>32400</v>
      </c>
      <c r="L102" s="63"/>
    </row>
    <row r="103" spans="2:47" s="30" customFormat="1" ht="20.100000000000001" customHeight="1">
      <c r="B103" s="63"/>
      <c r="D103" s="64" t="s">
        <v>5573</v>
      </c>
      <c r="E103" s="65"/>
      <c r="F103" s="65"/>
      <c r="G103" s="65"/>
      <c r="H103" s="65"/>
      <c r="I103" s="65"/>
      <c r="J103" s="78">
        <f>J141</f>
        <v>33850</v>
      </c>
      <c r="L103" s="63"/>
    </row>
    <row r="104" spans="2:47" s="30" customFormat="1" ht="20.100000000000001" customHeight="1">
      <c r="B104" s="63"/>
      <c r="D104" s="64" t="s">
        <v>5574</v>
      </c>
      <c r="E104" s="65"/>
      <c r="F104" s="65"/>
      <c r="G104" s="65"/>
      <c r="H104" s="65"/>
      <c r="I104" s="65"/>
      <c r="J104" s="78">
        <f>J147</f>
        <v>59750</v>
      </c>
      <c r="L104" s="63"/>
    </row>
    <row r="105" spans="2:47" s="30" customFormat="1" ht="20.100000000000001" customHeight="1">
      <c r="B105" s="63"/>
      <c r="D105" s="64" t="s">
        <v>5575</v>
      </c>
      <c r="E105" s="65"/>
      <c r="F105" s="65"/>
      <c r="G105" s="65"/>
      <c r="H105" s="65"/>
      <c r="I105" s="65"/>
      <c r="J105" s="78">
        <f>J151</f>
        <v>7500</v>
      </c>
      <c r="L105" s="63"/>
    </row>
    <row r="106" spans="2:47" s="30" customFormat="1" ht="20.100000000000001" customHeight="1">
      <c r="B106" s="63"/>
      <c r="D106" s="64" t="s">
        <v>5576</v>
      </c>
      <c r="E106" s="65"/>
      <c r="F106" s="65"/>
      <c r="G106" s="65"/>
      <c r="H106" s="65"/>
      <c r="I106" s="65"/>
      <c r="J106" s="78">
        <f>J153</f>
        <v>5000</v>
      </c>
      <c r="L106" s="63"/>
    </row>
    <row r="107" spans="2:47" s="30" customFormat="1" ht="20.100000000000001" customHeight="1">
      <c r="B107" s="63"/>
      <c r="D107" s="64" t="s">
        <v>5577</v>
      </c>
      <c r="E107" s="65"/>
      <c r="F107" s="65"/>
      <c r="G107" s="65"/>
      <c r="H107" s="65"/>
      <c r="I107" s="65"/>
      <c r="J107" s="78">
        <f>J155</f>
        <v>5000</v>
      </c>
      <c r="L107" s="63"/>
    </row>
    <row r="108" spans="2:47" s="1" customFormat="1" ht="21.75" customHeight="1">
      <c r="B108" s="12"/>
      <c r="L108" s="12"/>
    </row>
    <row r="109" spans="2:47" s="1" customFormat="1" ht="6.9" customHeight="1">
      <c r="B109" s="26"/>
      <c r="C109" s="27"/>
      <c r="D109" s="27"/>
      <c r="E109" s="27"/>
      <c r="F109" s="27"/>
      <c r="G109" s="27"/>
      <c r="H109" s="27"/>
      <c r="I109" s="27"/>
      <c r="J109" s="27"/>
      <c r="K109" s="27"/>
      <c r="L109" s="12"/>
    </row>
    <row r="113" spans="2:12" s="1" customFormat="1" ht="6.9" customHeight="1">
      <c r="B113" s="56"/>
      <c r="C113" s="57"/>
      <c r="D113" s="57"/>
      <c r="E113" s="57"/>
      <c r="F113" s="57"/>
      <c r="G113" s="57"/>
      <c r="H113" s="57"/>
      <c r="I113" s="57"/>
      <c r="J113" s="57"/>
      <c r="K113" s="57"/>
      <c r="L113" s="12"/>
    </row>
    <row r="114" spans="2:12" s="1" customFormat="1" ht="24.9" customHeight="1">
      <c r="B114" s="12"/>
      <c r="C114" s="6" t="s">
        <v>195</v>
      </c>
      <c r="L114" s="12"/>
    </row>
    <row r="115" spans="2:12" s="1" customFormat="1" ht="6.9" customHeight="1">
      <c r="B115" s="12"/>
      <c r="L115" s="12"/>
    </row>
    <row r="116" spans="2:12" s="1" customFormat="1" ht="12" customHeight="1">
      <c r="B116" s="12"/>
      <c r="C116" s="10" t="s">
        <v>16</v>
      </c>
      <c r="L116" s="12"/>
    </row>
    <row r="117" spans="2:12" s="1" customFormat="1" ht="16.5" customHeight="1">
      <c r="B117" s="12"/>
      <c r="E117" s="392" t="str">
        <f>E7</f>
        <v>Bytový soubor Libuše</v>
      </c>
      <c r="F117" s="393"/>
      <c r="G117" s="393"/>
      <c r="H117" s="393"/>
      <c r="L117" s="12"/>
    </row>
    <row r="118" spans="2:12" ht="12" customHeight="1">
      <c r="B118" s="5"/>
      <c r="C118" s="10" t="s">
        <v>182</v>
      </c>
      <c r="L118" s="5"/>
    </row>
    <row r="119" spans="2:12" ht="16.5" customHeight="1">
      <c r="B119" s="5"/>
      <c r="E119" s="392" t="s">
        <v>5462</v>
      </c>
      <c r="F119" s="383"/>
      <c r="G119" s="383"/>
      <c r="H119" s="383"/>
      <c r="L119" s="5"/>
    </row>
    <row r="120" spans="2:12" ht="12" customHeight="1">
      <c r="B120" s="5"/>
      <c r="C120" s="10" t="s">
        <v>296</v>
      </c>
      <c r="L120" s="5"/>
    </row>
    <row r="121" spans="2:12" s="1" customFormat="1" ht="16.5" customHeight="1">
      <c r="B121" s="12"/>
      <c r="E121" s="358" t="s">
        <v>5463</v>
      </c>
      <c r="F121" s="394"/>
      <c r="G121" s="394"/>
      <c r="H121" s="394"/>
      <c r="L121" s="12"/>
    </row>
    <row r="122" spans="2:12" s="1" customFormat="1" ht="12" customHeight="1">
      <c r="B122" s="12"/>
      <c r="C122" s="10" t="s">
        <v>5464</v>
      </c>
      <c r="L122" s="12"/>
    </row>
    <row r="123" spans="2:12" s="1" customFormat="1" ht="16.5" customHeight="1">
      <c r="B123" s="12"/>
      <c r="E123" s="381" t="str">
        <f>E13</f>
        <v>IO03 - Přípojka dešťové kanalizace</v>
      </c>
      <c r="F123" s="394"/>
      <c r="G123" s="394"/>
      <c r="H123" s="394"/>
      <c r="L123" s="12"/>
    </row>
    <row r="124" spans="2:12" s="1" customFormat="1" ht="6.9" customHeight="1">
      <c r="B124" s="12"/>
      <c r="L124" s="12"/>
    </row>
    <row r="125" spans="2:12" s="1" customFormat="1" ht="12" customHeight="1">
      <c r="B125" s="12"/>
      <c r="C125" s="10" t="s">
        <v>20</v>
      </c>
      <c r="F125" s="32" t="str">
        <f>F16</f>
        <v>Praha</v>
      </c>
      <c r="I125" s="10" t="s">
        <v>22</v>
      </c>
      <c r="J125" s="11">
        <f>IF(J16="","",J16)</f>
        <v>45000</v>
      </c>
      <c r="L125" s="12"/>
    </row>
    <row r="126" spans="2:12" s="1" customFormat="1" ht="6.9" customHeight="1">
      <c r="B126" s="12"/>
      <c r="L126" s="12"/>
    </row>
    <row r="127" spans="2:12" s="1" customFormat="1" ht="15.15" customHeight="1">
      <c r="B127" s="12"/>
      <c r="C127" s="10" t="s">
        <v>23</v>
      </c>
      <c r="F127" s="32" t="str">
        <f>E19</f>
        <v>VELTON REAL ESTATE</v>
      </c>
      <c r="I127" s="10" t="s">
        <v>31</v>
      </c>
      <c r="J127" s="8" t="str">
        <f>E25</f>
        <v>ABMV World s.r.o</v>
      </c>
      <c r="L127" s="12"/>
    </row>
    <row r="128" spans="2:12" s="1" customFormat="1" ht="15.15" customHeight="1">
      <c r="B128" s="12"/>
      <c r="C128" s="10" t="s">
        <v>27</v>
      </c>
      <c r="F128" s="32" t="str">
        <f>IF(E22="","",E22)</f>
        <v>DMG Stav a.s.</v>
      </c>
      <c r="I128" s="10" t="s">
        <v>34</v>
      </c>
      <c r="J128" s="8" t="str">
        <f>E28</f>
        <v>QSB s.r.o.</v>
      </c>
      <c r="L128" s="12"/>
    </row>
    <row r="129" spans="2:65" s="1" customFormat="1" ht="10.35" customHeight="1">
      <c r="B129" s="12"/>
      <c r="L129" s="12"/>
    </row>
    <row r="130" spans="2:65" s="2" customFormat="1" ht="29.25" customHeight="1">
      <c r="B130" s="13"/>
      <c r="C130" s="14" t="s">
        <v>196</v>
      </c>
      <c r="D130" s="15" t="s">
        <v>62</v>
      </c>
      <c r="E130" s="15" t="s">
        <v>58</v>
      </c>
      <c r="F130" s="15" t="s">
        <v>59</v>
      </c>
      <c r="G130" s="15" t="s">
        <v>197</v>
      </c>
      <c r="H130" s="15" t="s">
        <v>198</v>
      </c>
      <c r="I130" s="15" t="s">
        <v>199</v>
      </c>
      <c r="J130" s="16" t="s">
        <v>186</v>
      </c>
      <c r="K130" s="79" t="s">
        <v>200</v>
      </c>
      <c r="L130" s="13"/>
      <c r="M130" s="80" t="s">
        <v>1</v>
      </c>
      <c r="N130" s="81" t="s">
        <v>41</v>
      </c>
      <c r="O130" s="81" t="s">
        <v>201</v>
      </c>
      <c r="P130" s="81" t="s">
        <v>202</v>
      </c>
      <c r="Q130" s="81" t="s">
        <v>203</v>
      </c>
      <c r="R130" s="81" t="s">
        <v>204</v>
      </c>
      <c r="S130" s="81" t="s">
        <v>205</v>
      </c>
      <c r="T130" s="96" t="s">
        <v>206</v>
      </c>
    </row>
    <row r="131" spans="2:65" s="1" customFormat="1" ht="23.1" customHeight="1">
      <c r="B131" s="12"/>
      <c r="C131" s="66" t="s">
        <v>207</v>
      </c>
      <c r="J131" s="82">
        <f>BK131</f>
        <v>143500</v>
      </c>
      <c r="L131" s="12"/>
      <c r="M131" s="83"/>
      <c r="N131" s="35"/>
      <c r="O131" s="35"/>
      <c r="P131" s="84">
        <f>P132</f>
        <v>0</v>
      </c>
      <c r="Q131" s="35"/>
      <c r="R131" s="84">
        <f>R132</f>
        <v>0</v>
      </c>
      <c r="S131" s="35"/>
      <c r="T131" s="97">
        <f>T132</f>
        <v>0</v>
      </c>
      <c r="AT131" s="23" t="s">
        <v>76</v>
      </c>
      <c r="AU131" s="23" t="s">
        <v>188</v>
      </c>
      <c r="BK131" s="102">
        <f>BK132</f>
        <v>143500</v>
      </c>
    </row>
    <row r="132" spans="2:65" s="31" customFormat="1" ht="26.1" customHeight="1">
      <c r="B132" s="67"/>
      <c r="D132" s="68" t="s">
        <v>76</v>
      </c>
      <c r="E132" s="69" t="s">
        <v>3830</v>
      </c>
      <c r="F132" s="69" t="s">
        <v>5578</v>
      </c>
      <c r="I132" s="85"/>
      <c r="J132" s="86">
        <f>BK132</f>
        <v>143500</v>
      </c>
      <c r="L132" s="67"/>
      <c r="M132" s="87"/>
      <c r="P132" s="88">
        <f>P133+P141+P147+P151+P153+P155</f>
        <v>0</v>
      </c>
      <c r="R132" s="88">
        <f>R133+R141+R147+R151+R153+R155</f>
        <v>0</v>
      </c>
      <c r="T132" s="98">
        <f>T133+T141+T147+T151+T153+T155</f>
        <v>0</v>
      </c>
      <c r="AR132" s="68" t="s">
        <v>85</v>
      </c>
      <c r="AT132" s="100" t="s">
        <v>76</v>
      </c>
      <c r="AU132" s="100" t="s">
        <v>77</v>
      </c>
      <c r="AY132" s="68" t="s">
        <v>211</v>
      </c>
      <c r="BK132" s="103">
        <f>BK133+BK141+BK147+BK151+BK153+BK155</f>
        <v>143500</v>
      </c>
    </row>
    <row r="133" spans="2:65" s="31" customFormat="1" ht="23.1" customHeight="1">
      <c r="B133" s="67"/>
      <c r="D133" s="68" t="s">
        <v>76</v>
      </c>
      <c r="E133" s="70" t="s">
        <v>3832</v>
      </c>
      <c r="F133" s="70" t="s">
        <v>5475</v>
      </c>
      <c r="I133" s="85"/>
      <c r="J133" s="89">
        <f>BK133</f>
        <v>32400</v>
      </c>
      <c r="L133" s="67"/>
      <c r="M133" s="87"/>
      <c r="P133" s="88">
        <f>SUM(P134:P140)</f>
        <v>0</v>
      </c>
      <c r="R133" s="88">
        <f>SUM(R134:R140)</f>
        <v>0</v>
      </c>
      <c r="T133" s="98">
        <f>SUM(T134:T140)</f>
        <v>0</v>
      </c>
      <c r="AR133" s="68" t="s">
        <v>85</v>
      </c>
      <c r="AT133" s="100" t="s">
        <v>76</v>
      </c>
      <c r="AU133" s="100" t="s">
        <v>85</v>
      </c>
      <c r="AY133" s="68" t="s">
        <v>211</v>
      </c>
      <c r="BK133" s="103">
        <f>SUM(BK134:BK140)</f>
        <v>32400</v>
      </c>
    </row>
    <row r="134" spans="2:65" s="1" customFormat="1" ht="24.15" customHeight="1">
      <c r="B134" s="12"/>
      <c r="C134" s="71" t="s">
        <v>85</v>
      </c>
      <c r="D134" s="71" t="s">
        <v>214</v>
      </c>
      <c r="E134" s="72" t="s">
        <v>5579</v>
      </c>
      <c r="F134" s="73" t="s">
        <v>5477</v>
      </c>
      <c r="G134" s="74" t="s">
        <v>357</v>
      </c>
      <c r="H134" s="75">
        <v>25</v>
      </c>
      <c r="I134" s="90">
        <v>550</v>
      </c>
      <c r="J134" s="91">
        <f t="shared" ref="J134:J140" si="0">ROUND(I134*H134,2)</f>
        <v>13750</v>
      </c>
      <c r="K134" s="92"/>
      <c r="L134" s="12"/>
      <c r="M134" s="93" t="s">
        <v>1</v>
      </c>
      <c r="N134" s="94" t="s">
        <v>42</v>
      </c>
      <c r="P134" s="95">
        <f t="shared" ref="P134:P140" si="1">O134*H134</f>
        <v>0</v>
      </c>
      <c r="Q134" s="95">
        <v>0</v>
      </c>
      <c r="R134" s="95">
        <f t="shared" ref="R134:R140" si="2">Q134*H134</f>
        <v>0</v>
      </c>
      <c r="S134" s="95">
        <v>0</v>
      </c>
      <c r="T134" s="99">
        <f t="shared" ref="T134:T140" si="3">S134*H134</f>
        <v>0</v>
      </c>
      <c r="AR134" s="101" t="s">
        <v>218</v>
      </c>
      <c r="AT134" s="101" t="s">
        <v>214</v>
      </c>
      <c r="AU134" s="101" t="s">
        <v>87</v>
      </c>
      <c r="AY134" s="23" t="s">
        <v>211</v>
      </c>
      <c r="BE134" s="104">
        <f t="shared" ref="BE134:BE140" si="4">IF(N134="základní",J134,0)</f>
        <v>13750</v>
      </c>
      <c r="BF134" s="104">
        <f t="shared" ref="BF134:BF140" si="5">IF(N134="snížená",J134,0)</f>
        <v>0</v>
      </c>
      <c r="BG134" s="104">
        <f t="shared" ref="BG134:BG140" si="6">IF(N134="zákl. přenesená",J134,0)</f>
        <v>0</v>
      </c>
      <c r="BH134" s="104">
        <f t="shared" ref="BH134:BH140" si="7">IF(N134="sníž. přenesená",J134,0)</f>
        <v>0</v>
      </c>
      <c r="BI134" s="104">
        <f t="shared" ref="BI134:BI140" si="8">IF(N134="nulová",J134,0)</f>
        <v>0</v>
      </c>
      <c r="BJ134" s="23" t="s">
        <v>85</v>
      </c>
      <c r="BK134" s="104">
        <f t="shared" ref="BK134:BK140" si="9">ROUND(I134*H134,2)</f>
        <v>13750</v>
      </c>
      <c r="BL134" s="23" t="s">
        <v>218</v>
      </c>
      <c r="BM134" s="101" t="s">
        <v>87</v>
      </c>
    </row>
    <row r="135" spans="2:65" s="1" customFormat="1" ht="16.5" customHeight="1">
      <c r="B135" s="12"/>
      <c r="C135" s="71" t="s">
        <v>87</v>
      </c>
      <c r="D135" s="71" t="s">
        <v>214</v>
      </c>
      <c r="E135" s="72" t="s">
        <v>5480</v>
      </c>
      <c r="F135" s="73" t="s">
        <v>5481</v>
      </c>
      <c r="G135" s="74" t="s">
        <v>357</v>
      </c>
      <c r="H135" s="75">
        <v>30</v>
      </c>
      <c r="I135" s="90">
        <v>250</v>
      </c>
      <c r="J135" s="91">
        <f t="shared" si="0"/>
        <v>7500</v>
      </c>
      <c r="K135" s="92"/>
      <c r="L135" s="12"/>
      <c r="M135" s="93" t="s">
        <v>1</v>
      </c>
      <c r="N135" s="94" t="s">
        <v>42</v>
      </c>
      <c r="P135" s="95">
        <f t="shared" si="1"/>
        <v>0</v>
      </c>
      <c r="Q135" s="95">
        <v>0</v>
      </c>
      <c r="R135" s="95">
        <f t="shared" si="2"/>
        <v>0</v>
      </c>
      <c r="S135" s="95">
        <v>0</v>
      </c>
      <c r="T135" s="99">
        <f t="shared" si="3"/>
        <v>0</v>
      </c>
      <c r="AR135" s="101" t="s">
        <v>218</v>
      </c>
      <c r="AT135" s="101" t="s">
        <v>214</v>
      </c>
      <c r="AU135" s="101" t="s">
        <v>87</v>
      </c>
      <c r="AY135" s="23" t="s">
        <v>211</v>
      </c>
      <c r="BE135" s="104">
        <f t="shared" si="4"/>
        <v>7500</v>
      </c>
      <c r="BF135" s="104">
        <f t="shared" si="5"/>
        <v>0</v>
      </c>
      <c r="BG135" s="104">
        <f t="shared" si="6"/>
        <v>0</v>
      </c>
      <c r="BH135" s="104">
        <f t="shared" si="7"/>
        <v>0</v>
      </c>
      <c r="BI135" s="104">
        <f t="shared" si="8"/>
        <v>0</v>
      </c>
      <c r="BJ135" s="23" t="s">
        <v>85</v>
      </c>
      <c r="BK135" s="104">
        <f t="shared" si="9"/>
        <v>7500</v>
      </c>
      <c r="BL135" s="23" t="s">
        <v>218</v>
      </c>
      <c r="BM135" s="101" t="s">
        <v>218</v>
      </c>
    </row>
    <row r="136" spans="2:65" s="1" customFormat="1" ht="16.5" customHeight="1">
      <c r="B136" s="12"/>
      <c r="C136" s="71" t="s">
        <v>137</v>
      </c>
      <c r="D136" s="71" t="s">
        <v>214</v>
      </c>
      <c r="E136" s="72" t="s">
        <v>5580</v>
      </c>
      <c r="F136" s="73" t="s">
        <v>5483</v>
      </c>
      <c r="G136" s="74" t="s">
        <v>357</v>
      </c>
      <c r="H136" s="75">
        <v>15</v>
      </c>
      <c r="I136" s="90">
        <v>300</v>
      </c>
      <c r="J136" s="91">
        <f t="shared" si="0"/>
        <v>4500</v>
      </c>
      <c r="K136" s="92"/>
      <c r="L136" s="12"/>
      <c r="M136" s="93" t="s">
        <v>1</v>
      </c>
      <c r="N136" s="94" t="s">
        <v>42</v>
      </c>
      <c r="P136" s="95">
        <f t="shared" si="1"/>
        <v>0</v>
      </c>
      <c r="Q136" s="95">
        <v>0</v>
      </c>
      <c r="R136" s="95">
        <f t="shared" si="2"/>
        <v>0</v>
      </c>
      <c r="S136" s="95">
        <v>0</v>
      </c>
      <c r="T136" s="99">
        <f t="shared" si="3"/>
        <v>0</v>
      </c>
      <c r="AR136" s="101" t="s">
        <v>218</v>
      </c>
      <c r="AT136" s="101" t="s">
        <v>214</v>
      </c>
      <c r="AU136" s="101" t="s">
        <v>87</v>
      </c>
      <c r="AY136" s="23" t="s">
        <v>211</v>
      </c>
      <c r="BE136" s="104">
        <f t="shared" si="4"/>
        <v>4500</v>
      </c>
      <c r="BF136" s="104">
        <f t="shared" si="5"/>
        <v>0</v>
      </c>
      <c r="BG136" s="104">
        <f t="shared" si="6"/>
        <v>0</v>
      </c>
      <c r="BH136" s="104">
        <f t="shared" si="7"/>
        <v>0</v>
      </c>
      <c r="BI136" s="104">
        <f t="shared" si="8"/>
        <v>0</v>
      </c>
      <c r="BJ136" s="23" t="s">
        <v>85</v>
      </c>
      <c r="BK136" s="104">
        <f t="shared" si="9"/>
        <v>4500</v>
      </c>
      <c r="BL136" s="23" t="s">
        <v>218</v>
      </c>
      <c r="BM136" s="101" t="s">
        <v>239</v>
      </c>
    </row>
    <row r="137" spans="2:65" s="1" customFormat="1" ht="16.5" customHeight="1">
      <c r="B137" s="12"/>
      <c r="C137" s="71" t="s">
        <v>218</v>
      </c>
      <c r="D137" s="71" t="s">
        <v>214</v>
      </c>
      <c r="E137" s="72" t="s">
        <v>5484</v>
      </c>
      <c r="F137" s="73" t="s">
        <v>5485</v>
      </c>
      <c r="G137" s="74" t="s">
        <v>357</v>
      </c>
      <c r="H137" s="75">
        <v>10</v>
      </c>
      <c r="I137" s="90">
        <v>100</v>
      </c>
      <c r="J137" s="91">
        <f t="shared" si="0"/>
        <v>1000</v>
      </c>
      <c r="K137" s="92"/>
      <c r="L137" s="12"/>
      <c r="M137" s="93" t="s">
        <v>1</v>
      </c>
      <c r="N137" s="94" t="s">
        <v>42</v>
      </c>
      <c r="P137" s="95">
        <f t="shared" si="1"/>
        <v>0</v>
      </c>
      <c r="Q137" s="95">
        <v>0</v>
      </c>
      <c r="R137" s="95">
        <f t="shared" si="2"/>
        <v>0</v>
      </c>
      <c r="S137" s="95">
        <v>0</v>
      </c>
      <c r="T137" s="99">
        <f t="shared" si="3"/>
        <v>0</v>
      </c>
      <c r="AR137" s="101" t="s">
        <v>218</v>
      </c>
      <c r="AT137" s="101" t="s">
        <v>214</v>
      </c>
      <c r="AU137" s="101" t="s">
        <v>87</v>
      </c>
      <c r="AY137" s="23" t="s">
        <v>211</v>
      </c>
      <c r="BE137" s="104">
        <f t="shared" si="4"/>
        <v>1000</v>
      </c>
      <c r="BF137" s="104">
        <f t="shared" si="5"/>
        <v>0</v>
      </c>
      <c r="BG137" s="104">
        <f t="shared" si="6"/>
        <v>0</v>
      </c>
      <c r="BH137" s="104">
        <f t="shared" si="7"/>
        <v>0</v>
      </c>
      <c r="BI137" s="104">
        <f t="shared" si="8"/>
        <v>0</v>
      </c>
      <c r="BJ137" s="23" t="s">
        <v>85</v>
      </c>
      <c r="BK137" s="104">
        <f t="shared" si="9"/>
        <v>1000</v>
      </c>
      <c r="BL137" s="23" t="s">
        <v>218</v>
      </c>
      <c r="BM137" s="101" t="s">
        <v>250</v>
      </c>
    </row>
    <row r="138" spans="2:65" s="1" customFormat="1" ht="21.75" customHeight="1">
      <c r="B138" s="12"/>
      <c r="C138" s="71" t="s">
        <v>210</v>
      </c>
      <c r="D138" s="71" t="s">
        <v>214</v>
      </c>
      <c r="E138" s="72" t="s">
        <v>5486</v>
      </c>
      <c r="F138" s="73" t="s">
        <v>5487</v>
      </c>
      <c r="G138" s="74" t="s">
        <v>279</v>
      </c>
      <c r="H138" s="75">
        <v>5</v>
      </c>
      <c r="I138" s="90">
        <v>130</v>
      </c>
      <c r="J138" s="91">
        <f t="shared" si="0"/>
        <v>650</v>
      </c>
      <c r="K138" s="92"/>
      <c r="L138" s="12"/>
      <c r="M138" s="93" t="s">
        <v>1</v>
      </c>
      <c r="N138" s="94" t="s">
        <v>42</v>
      </c>
      <c r="P138" s="95">
        <f t="shared" si="1"/>
        <v>0</v>
      </c>
      <c r="Q138" s="95">
        <v>0</v>
      </c>
      <c r="R138" s="95">
        <f t="shared" si="2"/>
        <v>0</v>
      </c>
      <c r="S138" s="95">
        <v>0</v>
      </c>
      <c r="T138" s="99">
        <f t="shared" si="3"/>
        <v>0</v>
      </c>
      <c r="AR138" s="101" t="s">
        <v>218</v>
      </c>
      <c r="AT138" s="101" t="s">
        <v>214</v>
      </c>
      <c r="AU138" s="101" t="s">
        <v>87</v>
      </c>
      <c r="AY138" s="23" t="s">
        <v>211</v>
      </c>
      <c r="BE138" s="104">
        <f t="shared" si="4"/>
        <v>650</v>
      </c>
      <c r="BF138" s="104">
        <f t="shared" si="5"/>
        <v>0</v>
      </c>
      <c r="BG138" s="104">
        <f t="shared" si="6"/>
        <v>0</v>
      </c>
      <c r="BH138" s="104">
        <f t="shared" si="7"/>
        <v>0</v>
      </c>
      <c r="BI138" s="104">
        <f t="shared" si="8"/>
        <v>0</v>
      </c>
      <c r="BJ138" s="23" t="s">
        <v>85</v>
      </c>
      <c r="BK138" s="104">
        <f t="shared" si="9"/>
        <v>650</v>
      </c>
      <c r="BL138" s="23" t="s">
        <v>218</v>
      </c>
      <c r="BM138" s="101" t="s">
        <v>259</v>
      </c>
    </row>
    <row r="139" spans="2:65" s="1" customFormat="1" ht="16.5" customHeight="1">
      <c r="B139" s="12"/>
      <c r="C139" s="71" t="s">
        <v>239</v>
      </c>
      <c r="D139" s="71" t="s">
        <v>214</v>
      </c>
      <c r="E139" s="72" t="s">
        <v>5488</v>
      </c>
      <c r="F139" s="73" t="s">
        <v>5489</v>
      </c>
      <c r="G139" s="74" t="s">
        <v>357</v>
      </c>
      <c r="H139" s="75">
        <v>4</v>
      </c>
      <c r="I139" s="90">
        <v>1000</v>
      </c>
      <c r="J139" s="91">
        <f t="shared" si="0"/>
        <v>4000</v>
      </c>
      <c r="K139" s="92"/>
      <c r="L139" s="12"/>
      <c r="M139" s="93" t="s">
        <v>1</v>
      </c>
      <c r="N139" s="94" t="s">
        <v>42</v>
      </c>
      <c r="P139" s="95">
        <f t="shared" si="1"/>
        <v>0</v>
      </c>
      <c r="Q139" s="95">
        <v>0</v>
      </c>
      <c r="R139" s="95">
        <f t="shared" si="2"/>
        <v>0</v>
      </c>
      <c r="S139" s="95">
        <v>0</v>
      </c>
      <c r="T139" s="99">
        <f t="shared" si="3"/>
        <v>0</v>
      </c>
      <c r="AR139" s="101" t="s">
        <v>218</v>
      </c>
      <c r="AT139" s="101" t="s">
        <v>214</v>
      </c>
      <c r="AU139" s="101" t="s">
        <v>87</v>
      </c>
      <c r="AY139" s="23" t="s">
        <v>211</v>
      </c>
      <c r="BE139" s="104">
        <f t="shared" si="4"/>
        <v>4000</v>
      </c>
      <c r="BF139" s="104">
        <f t="shared" si="5"/>
        <v>0</v>
      </c>
      <c r="BG139" s="104">
        <f t="shared" si="6"/>
        <v>0</v>
      </c>
      <c r="BH139" s="104">
        <f t="shared" si="7"/>
        <v>0</v>
      </c>
      <c r="BI139" s="104">
        <f t="shared" si="8"/>
        <v>0</v>
      </c>
      <c r="BJ139" s="23" t="s">
        <v>85</v>
      </c>
      <c r="BK139" s="104">
        <f t="shared" si="9"/>
        <v>4000</v>
      </c>
      <c r="BL139" s="23" t="s">
        <v>218</v>
      </c>
      <c r="BM139" s="101" t="s">
        <v>273</v>
      </c>
    </row>
    <row r="140" spans="2:65" s="1" customFormat="1" ht="16.5" customHeight="1">
      <c r="B140" s="12"/>
      <c r="C140" s="71" t="s">
        <v>245</v>
      </c>
      <c r="D140" s="71" t="s">
        <v>214</v>
      </c>
      <c r="E140" s="72" t="s">
        <v>5581</v>
      </c>
      <c r="F140" s="73" t="s">
        <v>5582</v>
      </c>
      <c r="G140" s="74" t="s">
        <v>357</v>
      </c>
      <c r="H140" s="75">
        <v>1</v>
      </c>
      <c r="I140" s="90">
        <v>1000</v>
      </c>
      <c r="J140" s="91">
        <f t="shared" si="0"/>
        <v>1000</v>
      </c>
      <c r="K140" s="92"/>
      <c r="L140" s="12"/>
      <c r="M140" s="93" t="s">
        <v>1</v>
      </c>
      <c r="N140" s="94" t="s">
        <v>42</v>
      </c>
      <c r="P140" s="95">
        <f t="shared" si="1"/>
        <v>0</v>
      </c>
      <c r="Q140" s="95">
        <v>0</v>
      </c>
      <c r="R140" s="95">
        <f t="shared" si="2"/>
        <v>0</v>
      </c>
      <c r="S140" s="95">
        <v>0</v>
      </c>
      <c r="T140" s="99">
        <f t="shared" si="3"/>
        <v>0</v>
      </c>
      <c r="AR140" s="101" t="s">
        <v>218</v>
      </c>
      <c r="AT140" s="101" t="s">
        <v>214</v>
      </c>
      <c r="AU140" s="101" t="s">
        <v>87</v>
      </c>
      <c r="AY140" s="23" t="s">
        <v>211</v>
      </c>
      <c r="BE140" s="104">
        <f t="shared" si="4"/>
        <v>1000</v>
      </c>
      <c r="BF140" s="104">
        <f t="shared" si="5"/>
        <v>0</v>
      </c>
      <c r="BG140" s="104">
        <f t="shared" si="6"/>
        <v>0</v>
      </c>
      <c r="BH140" s="104">
        <f t="shared" si="7"/>
        <v>0</v>
      </c>
      <c r="BI140" s="104">
        <f t="shared" si="8"/>
        <v>0</v>
      </c>
      <c r="BJ140" s="23" t="s">
        <v>85</v>
      </c>
      <c r="BK140" s="104">
        <f t="shared" si="9"/>
        <v>1000</v>
      </c>
      <c r="BL140" s="23" t="s">
        <v>218</v>
      </c>
      <c r="BM140" s="101" t="s">
        <v>437</v>
      </c>
    </row>
    <row r="141" spans="2:65" s="31" customFormat="1" ht="23.1" customHeight="1">
      <c r="B141" s="67"/>
      <c r="D141" s="68" t="s">
        <v>76</v>
      </c>
      <c r="E141" s="70" t="s">
        <v>3839</v>
      </c>
      <c r="F141" s="70" t="s">
        <v>5583</v>
      </c>
      <c r="I141" s="85"/>
      <c r="J141" s="89">
        <f>BK141</f>
        <v>33850</v>
      </c>
      <c r="L141" s="67"/>
      <c r="M141" s="87"/>
      <c r="P141" s="88">
        <f>SUM(P142:P146)</f>
        <v>0</v>
      </c>
      <c r="R141" s="88">
        <f>SUM(R142:R146)</f>
        <v>0</v>
      </c>
      <c r="T141" s="98">
        <f>SUM(T142:T146)</f>
        <v>0</v>
      </c>
      <c r="AR141" s="68" t="s">
        <v>85</v>
      </c>
      <c r="AT141" s="100" t="s">
        <v>76</v>
      </c>
      <c r="AU141" s="100" t="s">
        <v>85</v>
      </c>
      <c r="AY141" s="68" t="s">
        <v>211</v>
      </c>
      <c r="BK141" s="103">
        <f>SUM(BK142:BK146)</f>
        <v>33850</v>
      </c>
    </row>
    <row r="142" spans="2:65" s="1" customFormat="1" ht="16.5" customHeight="1">
      <c r="B142" s="12"/>
      <c r="C142" s="71" t="s">
        <v>250</v>
      </c>
      <c r="D142" s="71" t="s">
        <v>214</v>
      </c>
      <c r="E142" s="72" t="s">
        <v>5500</v>
      </c>
      <c r="F142" s="73" t="s">
        <v>5501</v>
      </c>
      <c r="G142" s="74" t="s">
        <v>357</v>
      </c>
      <c r="H142" s="75">
        <v>4</v>
      </c>
      <c r="I142" s="90">
        <v>950</v>
      </c>
      <c r="J142" s="91">
        <f>ROUND(I142*H142,2)</f>
        <v>3800</v>
      </c>
      <c r="K142" s="92"/>
      <c r="L142" s="12"/>
      <c r="M142" s="93" t="s">
        <v>1</v>
      </c>
      <c r="N142" s="94" t="s">
        <v>42</v>
      </c>
      <c r="P142" s="95">
        <f>O142*H142</f>
        <v>0</v>
      </c>
      <c r="Q142" s="95">
        <v>0</v>
      </c>
      <c r="R142" s="95">
        <f>Q142*H142</f>
        <v>0</v>
      </c>
      <c r="S142" s="95">
        <v>0</v>
      </c>
      <c r="T142" s="99">
        <f>S142*H142</f>
        <v>0</v>
      </c>
      <c r="AR142" s="101" t="s">
        <v>218</v>
      </c>
      <c r="AT142" s="101" t="s">
        <v>214</v>
      </c>
      <c r="AU142" s="101" t="s">
        <v>87</v>
      </c>
      <c r="AY142" s="23" t="s">
        <v>211</v>
      </c>
      <c r="BE142" s="104">
        <f>IF(N142="základní",J142,0)</f>
        <v>3800</v>
      </c>
      <c r="BF142" s="104">
        <f>IF(N142="snížená",J142,0)</f>
        <v>0</v>
      </c>
      <c r="BG142" s="104">
        <f>IF(N142="zákl. přenesená",J142,0)</f>
        <v>0</v>
      </c>
      <c r="BH142" s="104">
        <f>IF(N142="sníž. přenesená",J142,0)</f>
        <v>0</v>
      </c>
      <c r="BI142" s="104">
        <f>IF(N142="nulová",J142,0)</f>
        <v>0</v>
      </c>
      <c r="BJ142" s="23" t="s">
        <v>85</v>
      </c>
      <c r="BK142" s="104">
        <f>ROUND(I142*H142,2)</f>
        <v>3800</v>
      </c>
      <c r="BL142" s="23" t="s">
        <v>218</v>
      </c>
      <c r="BM142" s="101" t="s">
        <v>446</v>
      </c>
    </row>
    <row r="143" spans="2:65" s="1" customFormat="1" ht="16.5" customHeight="1">
      <c r="B143" s="12"/>
      <c r="C143" s="71" t="s">
        <v>255</v>
      </c>
      <c r="D143" s="71" t="s">
        <v>214</v>
      </c>
      <c r="E143" s="72" t="s">
        <v>5584</v>
      </c>
      <c r="F143" s="73" t="s">
        <v>5585</v>
      </c>
      <c r="G143" s="74" t="s">
        <v>357</v>
      </c>
      <c r="H143" s="75">
        <v>5</v>
      </c>
      <c r="I143" s="90">
        <v>4700</v>
      </c>
      <c r="J143" s="91">
        <f>ROUND(I143*H143,2)</f>
        <v>23500</v>
      </c>
      <c r="K143" s="92"/>
      <c r="L143" s="12"/>
      <c r="M143" s="93" t="s">
        <v>1</v>
      </c>
      <c r="N143" s="94" t="s">
        <v>42</v>
      </c>
      <c r="P143" s="95">
        <f>O143*H143</f>
        <v>0</v>
      </c>
      <c r="Q143" s="95">
        <v>0</v>
      </c>
      <c r="R143" s="95">
        <f>Q143*H143</f>
        <v>0</v>
      </c>
      <c r="S143" s="95">
        <v>0</v>
      </c>
      <c r="T143" s="99">
        <f>S143*H143</f>
        <v>0</v>
      </c>
      <c r="AR143" s="101" t="s">
        <v>218</v>
      </c>
      <c r="AT143" s="101" t="s">
        <v>214</v>
      </c>
      <c r="AU143" s="101" t="s">
        <v>87</v>
      </c>
      <c r="AY143" s="23" t="s">
        <v>211</v>
      </c>
      <c r="BE143" s="104">
        <f>IF(N143="základní",J143,0)</f>
        <v>23500</v>
      </c>
      <c r="BF143" s="104">
        <f>IF(N143="snížená",J143,0)</f>
        <v>0</v>
      </c>
      <c r="BG143" s="104">
        <f>IF(N143="zákl. přenesená",J143,0)</f>
        <v>0</v>
      </c>
      <c r="BH143" s="104">
        <f>IF(N143="sníž. přenesená",J143,0)</f>
        <v>0</v>
      </c>
      <c r="BI143" s="104">
        <f>IF(N143="nulová",J143,0)</f>
        <v>0</v>
      </c>
      <c r="BJ143" s="23" t="s">
        <v>85</v>
      </c>
      <c r="BK143" s="104">
        <f>ROUND(I143*H143,2)</f>
        <v>23500</v>
      </c>
      <c r="BL143" s="23" t="s">
        <v>218</v>
      </c>
      <c r="BM143" s="101" t="s">
        <v>454</v>
      </c>
    </row>
    <row r="144" spans="2:65" s="1" customFormat="1" ht="16.5" customHeight="1">
      <c r="B144" s="12"/>
      <c r="C144" s="71" t="s">
        <v>259</v>
      </c>
      <c r="D144" s="71" t="s">
        <v>214</v>
      </c>
      <c r="E144" s="72" t="s">
        <v>5586</v>
      </c>
      <c r="F144" s="73" t="s">
        <v>5587</v>
      </c>
      <c r="G144" s="74" t="s">
        <v>357</v>
      </c>
      <c r="H144" s="75">
        <v>1</v>
      </c>
      <c r="I144" s="90">
        <v>4700</v>
      </c>
      <c r="J144" s="91">
        <f>ROUND(I144*H144,2)</f>
        <v>4700</v>
      </c>
      <c r="K144" s="92"/>
      <c r="L144" s="12"/>
      <c r="M144" s="93" t="s">
        <v>1</v>
      </c>
      <c r="N144" s="94" t="s">
        <v>42</v>
      </c>
      <c r="P144" s="95">
        <f>O144*H144</f>
        <v>0</v>
      </c>
      <c r="Q144" s="95">
        <v>0</v>
      </c>
      <c r="R144" s="95">
        <f>Q144*H144</f>
        <v>0</v>
      </c>
      <c r="S144" s="95">
        <v>0</v>
      </c>
      <c r="T144" s="99">
        <f>S144*H144</f>
        <v>0</v>
      </c>
      <c r="AR144" s="101" t="s">
        <v>218</v>
      </c>
      <c r="AT144" s="101" t="s">
        <v>214</v>
      </c>
      <c r="AU144" s="101" t="s">
        <v>87</v>
      </c>
      <c r="AY144" s="23" t="s">
        <v>211</v>
      </c>
      <c r="BE144" s="104">
        <f>IF(N144="základní",J144,0)</f>
        <v>4700</v>
      </c>
      <c r="BF144" s="104">
        <f>IF(N144="snížená",J144,0)</f>
        <v>0</v>
      </c>
      <c r="BG144" s="104">
        <f>IF(N144="zákl. přenesená",J144,0)</f>
        <v>0</v>
      </c>
      <c r="BH144" s="104">
        <f>IF(N144="sníž. přenesená",J144,0)</f>
        <v>0</v>
      </c>
      <c r="BI144" s="104">
        <f>IF(N144="nulová",J144,0)</f>
        <v>0</v>
      </c>
      <c r="BJ144" s="23" t="s">
        <v>85</v>
      </c>
      <c r="BK144" s="104">
        <f>ROUND(I144*H144,2)</f>
        <v>4700</v>
      </c>
      <c r="BL144" s="23" t="s">
        <v>218</v>
      </c>
      <c r="BM144" s="101" t="s">
        <v>465</v>
      </c>
    </row>
    <row r="145" spans="2:65" s="1" customFormat="1" ht="16.5" customHeight="1">
      <c r="B145" s="12"/>
      <c r="C145" s="71" t="s">
        <v>266</v>
      </c>
      <c r="D145" s="71" t="s">
        <v>214</v>
      </c>
      <c r="E145" s="72" t="s">
        <v>5588</v>
      </c>
      <c r="F145" s="73" t="s">
        <v>5589</v>
      </c>
      <c r="G145" s="74" t="s">
        <v>357</v>
      </c>
      <c r="H145" s="75">
        <v>1</v>
      </c>
      <c r="I145" s="90">
        <v>950</v>
      </c>
      <c r="J145" s="91">
        <f>ROUND(I145*H145,2)</f>
        <v>950</v>
      </c>
      <c r="K145" s="92"/>
      <c r="L145" s="12"/>
      <c r="M145" s="93" t="s">
        <v>1</v>
      </c>
      <c r="N145" s="94" t="s">
        <v>42</v>
      </c>
      <c r="P145" s="95">
        <f>O145*H145</f>
        <v>0</v>
      </c>
      <c r="Q145" s="95">
        <v>0</v>
      </c>
      <c r="R145" s="95">
        <f>Q145*H145</f>
        <v>0</v>
      </c>
      <c r="S145" s="95">
        <v>0</v>
      </c>
      <c r="T145" s="99">
        <f>S145*H145</f>
        <v>0</v>
      </c>
      <c r="AR145" s="101" t="s">
        <v>218</v>
      </c>
      <c r="AT145" s="101" t="s">
        <v>214</v>
      </c>
      <c r="AU145" s="101" t="s">
        <v>87</v>
      </c>
      <c r="AY145" s="23" t="s">
        <v>211</v>
      </c>
      <c r="BE145" s="104">
        <f>IF(N145="základní",J145,0)</f>
        <v>950</v>
      </c>
      <c r="BF145" s="104">
        <f>IF(N145="snížená",J145,0)</f>
        <v>0</v>
      </c>
      <c r="BG145" s="104">
        <f>IF(N145="zákl. přenesená",J145,0)</f>
        <v>0</v>
      </c>
      <c r="BH145" s="104">
        <f>IF(N145="sníž. přenesená",J145,0)</f>
        <v>0</v>
      </c>
      <c r="BI145" s="104">
        <f>IF(N145="nulová",J145,0)</f>
        <v>0</v>
      </c>
      <c r="BJ145" s="23" t="s">
        <v>85</v>
      </c>
      <c r="BK145" s="104">
        <f>ROUND(I145*H145,2)</f>
        <v>950</v>
      </c>
      <c r="BL145" s="23" t="s">
        <v>218</v>
      </c>
      <c r="BM145" s="101" t="s">
        <v>475</v>
      </c>
    </row>
    <row r="146" spans="2:65" s="1" customFormat="1" ht="16.5" customHeight="1">
      <c r="B146" s="12"/>
      <c r="C146" s="71" t="s">
        <v>273</v>
      </c>
      <c r="D146" s="71" t="s">
        <v>214</v>
      </c>
      <c r="E146" s="72" t="s">
        <v>5590</v>
      </c>
      <c r="F146" s="73" t="s">
        <v>5591</v>
      </c>
      <c r="G146" s="74" t="s">
        <v>279</v>
      </c>
      <c r="H146" s="75">
        <v>1</v>
      </c>
      <c r="I146" s="90">
        <v>900</v>
      </c>
      <c r="J146" s="91">
        <f>ROUND(I146*H146,2)</f>
        <v>900</v>
      </c>
      <c r="K146" s="92"/>
      <c r="L146" s="12"/>
      <c r="M146" s="93" t="s">
        <v>1</v>
      </c>
      <c r="N146" s="94" t="s">
        <v>42</v>
      </c>
      <c r="P146" s="95">
        <f>O146*H146</f>
        <v>0</v>
      </c>
      <c r="Q146" s="95">
        <v>0</v>
      </c>
      <c r="R146" s="95">
        <f>Q146*H146</f>
        <v>0</v>
      </c>
      <c r="S146" s="95">
        <v>0</v>
      </c>
      <c r="T146" s="99">
        <f>S146*H146</f>
        <v>0</v>
      </c>
      <c r="AR146" s="101" t="s">
        <v>218</v>
      </c>
      <c r="AT146" s="101" t="s">
        <v>214</v>
      </c>
      <c r="AU146" s="101" t="s">
        <v>87</v>
      </c>
      <c r="AY146" s="23" t="s">
        <v>211</v>
      </c>
      <c r="BE146" s="104">
        <f>IF(N146="základní",J146,0)</f>
        <v>900</v>
      </c>
      <c r="BF146" s="104">
        <f>IF(N146="snížená",J146,0)</f>
        <v>0</v>
      </c>
      <c r="BG146" s="104">
        <f>IF(N146="zákl. přenesená",J146,0)</f>
        <v>0</v>
      </c>
      <c r="BH146" s="104">
        <f>IF(N146="sníž. přenesená",J146,0)</f>
        <v>0</v>
      </c>
      <c r="BI146" s="104">
        <f>IF(N146="nulová",J146,0)</f>
        <v>0</v>
      </c>
      <c r="BJ146" s="23" t="s">
        <v>85</v>
      </c>
      <c r="BK146" s="104">
        <f>ROUND(I146*H146,2)</f>
        <v>900</v>
      </c>
      <c r="BL146" s="23" t="s">
        <v>218</v>
      </c>
      <c r="BM146" s="101" t="s">
        <v>486</v>
      </c>
    </row>
    <row r="147" spans="2:65" s="31" customFormat="1" ht="23.1" customHeight="1">
      <c r="B147" s="67"/>
      <c r="D147" s="68" t="s">
        <v>76</v>
      </c>
      <c r="E147" s="70" t="s">
        <v>3853</v>
      </c>
      <c r="F147" s="70" t="s">
        <v>5592</v>
      </c>
      <c r="I147" s="85"/>
      <c r="J147" s="89">
        <f>BK147</f>
        <v>59750</v>
      </c>
      <c r="L147" s="67"/>
      <c r="M147" s="87"/>
      <c r="P147" s="88">
        <f>SUM(P148:P150)</f>
        <v>0</v>
      </c>
      <c r="R147" s="88">
        <f>SUM(R148:R150)</f>
        <v>0</v>
      </c>
      <c r="T147" s="98">
        <f>SUM(T148:T150)</f>
        <v>0</v>
      </c>
      <c r="AR147" s="68" t="s">
        <v>85</v>
      </c>
      <c r="AT147" s="100" t="s">
        <v>76</v>
      </c>
      <c r="AU147" s="100" t="s">
        <v>85</v>
      </c>
      <c r="AY147" s="68" t="s">
        <v>211</v>
      </c>
      <c r="BK147" s="103">
        <f>SUM(BK148:BK150)</f>
        <v>59750</v>
      </c>
    </row>
    <row r="148" spans="2:65" s="1" customFormat="1" ht="16.5" customHeight="1">
      <c r="B148" s="12"/>
      <c r="C148" s="71" t="s">
        <v>433</v>
      </c>
      <c r="D148" s="71" t="s">
        <v>214</v>
      </c>
      <c r="E148" s="72" t="s">
        <v>5593</v>
      </c>
      <c r="F148" s="73" t="s">
        <v>5594</v>
      </c>
      <c r="G148" s="74" t="s">
        <v>431</v>
      </c>
      <c r="H148" s="75">
        <v>13</v>
      </c>
      <c r="I148" s="90">
        <v>650</v>
      </c>
      <c r="J148" s="91">
        <f>ROUND(I148*H148,2)</f>
        <v>8450</v>
      </c>
      <c r="K148" s="92"/>
      <c r="L148" s="12"/>
      <c r="M148" s="93" t="s">
        <v>1</v>
      </c>
      <c r="N148" s="94" t="s">
        <v>42</v>
      </c>
      <c r="P148" s="95">
        <f>O148*H148</f>
        <v>0</v>
      </c>
      <c r="Q148" s="95">
        <v>0</v>
      </c>
      <c r="R148" s="95">
        <f>Q148*H148</f>
        <v>0</v>
      </c>
      <c r="S148" s="95">
        <v>0</v>
      </c>
      <c r="T148" s="99">
        <f>S148*H148</f>
        <v>0</v>
      </c>
      <c r="AR148" s="101" t="s">
        <v>218</v>
      </c>
      <c r="AT148" s="101" t="s">
        <v>214</v>
      </c>
      <c r="AU148" s="101" t="s">
        <v>87</v>
      </c>
      <c r="AY148" s="23" t="s">
        <v>211</v>
      </c>
      <c r="BE148" s="104">
        <f>IF(N148="základní",J148,0)</f>
        <v>8450</v>
      </c>
      <c r="BF148" s="104">
        <f>IF(N148="snížená",J148,0)</f>
        <v>0</v>
      </c>
      <c r="BG148" s="104">
        <f>IF(N148="zákl. přenesená",J148,0)</f>
        <v>0</v>
      </c>
      <c r="BH148" s="104">
        <f>IF(N148="sníž. přenesená",J148,0)</f>
        <v>0</v>
      </c>
      <c r="BI148" s="104">
        <f>IF(N148="nulová",J148,0)</f>
        <v>0</v>
      </c>
      <c r="BJ148" s="23" t="s">
        <v>85</v>
      </c>
      <c r="BK148" s="104">
        <f>ROUND(I148*H148,2)</f>
        <v>8450</v>
      </c>
      <c r="BL148" s="23" t="s">
        <v>218</v>
      </c>
      <c r="BM148" s="101" t="s">
        <v>496</v>
      </c>
    </row>
    <row r="149" spans="2:65" s="1" customFormat="1" ht="16.5" customHeight="1">
      <c r="B149" s="12"/>
      <c r="C149" s="71" t="s">
        <v>437</v>
      </c>
      <c r="D149" s="71" t="s">
        <v>214</v>
      </c>
      <c r="E149" s="72" t="s">
        <v>5505</v>
      </c>
      <c r="F149" s="73" t="s">
        <v>5506</v>
      </c>
      <c r="G149" s="74" t="s">
        <v>431</v>
      </c>
      <c r="H149" s="75">
        <v>13</v>
      </c>
      <c r="I149" s="90">
        <v>100</v>
      </c>
      <c r="J149" s="91">
        <f>ROUND(I149*H149,2)</f>
        <v>1300</v>
      </c>
      <c r="K149" s="92"/>
      <c r="L149" s="12"/>
      <c r="M149" s="93" t="s">
        <v>1</v>
      </c>
      <c r="N149" s="94" t="s">
        <v>42</v>
      </c>
      <c r="P149" s="95">
        <f>O149*H149</f>
        <v>0</v>
      </c>
      <c r="Q149" s="95">
        <v>0</v>
      </c>
      <c r="R149" s="95">
        <f>Q149*H149</f>
        <v>0</v>
      </c>
      <c r="S149" s="95">
        <v>0</v>
      </c>
      <c r="T149" s="99">
        <f>S149*H149</f>
        <v>0</v>
      </c>
      <c r="AR149" s="101" t="s">
        <v>218</v>
      </c>
      <c r="AT149" s="101" t="s">
        <v>214</v>
      </c>
      <c r="AU149" s="101" t="s">
        <v>87</v>
      </c>
      <c r="AY149" s="23" t="s">
        <v>211</v>
      </c>
      <c r="BE149" s="104">
        <f>IF(N149="základní",J149,0)</f>
        <v>1300</v>
      </c>
      <c r="BF149" s="104">
        <f>IF(N149="snížená",J149,0)</f>
        <v>0</v>
      </c>
      <c r="BG149" s="104">
        <f>IF(N149="zákl. přenesená",J149,0)</f>
        <v>0</v>
      </c>
      <c r="BH149" s="104">
        <f>IF(N149="sníž. přenesená",J149,0)</f>
        <v>0</v>
      </c>
      <c r="BI149" s="104">
        <f>IF(N149="nulová",J149,0)</f>
        <v>0</v>
      </c>
      <c r="BJ149" s="23" t="s">
        <v>85</v>
      </c>
      <c r="BK149" s="104">
        <f>ROUND(I149*H149,2)</f>
        <v>1300</v>
      </c>
      <c r="BL149" s="23" t="s">
        <v>218</v>
      </c>
      <c r="BM149" s="101" t="s">
        <v>507</v>
      </c>
    </row>
    <row r="150" spans="2:65" s="1" customFormat="1" ht="24.15" customHeight="1">
      <c r="B150" s="12"/>
      <c r="C150" s="71" t="s">
        <v>8</v>
      </c>
      <c r="D150" s="71" t="s">
        <v>214</v>
      </c>
      <c r="E150" s="72" t="s">
        <v>5595</v>
      </c>
      <c r="F150" s="73" t="s">
        <v>5596</v>
      </c>
      <c r="G150" s="74" t="s">
        <v>808</v>
      </c>
      <c r="H150" s="75">
        <v>2</v>
      </c>
      <c r="I150" s="90">
        <v>25000</v>
      </c>
      <c r="J150" s="91">
        <f>ROUND(I150*H150,2)</f>
        <v>50000</v>
      </c>
      <c r="K150" s="92"/>
      <c r="L150" s="12"/>
      <c r="M150" s="93" t="s">
        <v>1</v>
      </c>
      <c r="N150" s="94" t="s">
        <v>42</v>
      </c>
      <c r="P150" s="95">
        <f>O150*H150</f>
        <v>0</v>
      </c>
      <c r="Q150" s="95">
        <v>0</v>
      </c>
      <c r="R150" s="95">
        <f>Q150*H150</f>
        <v>0</v>
      </c>
      <c r="S150" s="95">
        <v>0</v>
      </c>
      <c r="T150" s="99">
        <f>S150*H150</f>
        <v>0</v>
      </c>
      <c r="AR150" s="101" t="s">
        <v>218</v>
      </c>
      <c r="AT150" s="101" t="s">
        <v>214</v>
      </c>
      <c r="AU150" s="101" t="s">
        <v>87</v>
      </c>
      <c r="AY150" s="23" t="s">
        <v>211</v>
      </c>
      <c r="BE150" s="104">
        <f>IF(N150="základní",J150,0)</f>
        <v>50000</v>
      </c>
      <c r="BF150" s="104">
        <f>IF(N150="snížená",J150,0)</f>
        <v>0</v>
      </c>
      <c r="BG150" s="104">
        <f>IF(N150="zákl. přenesená",J150,0)</f>
        <v>0</v>
      </c>
      <c r="BH150" s="104">
        <f>IF(N150="sníž. přenesená",J150,0)</f>
        <v>0</v>
      </c>
      <c r="BI150" s="104">
        <f>IF(N150="nulová",J150,0)</f>
        <v>0</v>
      </c>
      <c r="BJ150" s="23" t="s">
        <v>85</v>
      </c>
      <c r="BK150" s="104">
        <f>ROUND(I150*H150,2)</f>
        <v>50000</v>
      </c>
      <c r="BL150" s="23" t="s">
        <v>218</v>
      </c>
      <c r="BM150" s="101" t="s">
        <v>517</v>
      </c>
    </row>
    <row r="151" spans="2:65" s="31" customFormat="1" ht="23.1" customHeight="1">
      <c r="B151" s="67"/>
      <c r="D151" s="68" t="s">
        <v>76</v>
      </c>
      <c r="E151" s="70" t="s">
        <v>3858</v>
      </c>
      <c r="F151" s="70" t="s">
        <v>5597</v>
      </c>
      <c r="I151" s="85"/>
      <c r="J151" s="89">
        <f>BK151</f>
        <v>7500</v>
      </c>
      <c r="L151" s="67"/>
      <c r="M151" s="87"/>
      <c r="P151" s="88">
        <f>P152</f>
        <v>0</v>
      </c>
      <c r="R151" s="88">
        <f>R152</f>
        <v>0</v>
      </c>
      <c r="T151" s="98">
        <f>T152</f>
        <v>0</v>
      </c>
      <c r="AR151" s="68" t="s">
        <v>85</v>
      </c>
      <c r="AT151" s="100" t="s">
        <v>76</v>
      </c>
      <c r="AU151" s="100" t="s">
        <v>85</v>
      </c>
      <c r="AY151" s="68" t="s">
        <v>211</v>
      </c>
      <c r="BK151" s="103">
        <f>BK152</f>
        <v>7500</v>
      </c>
    </row>
    <row r="152" spans="2:65" s="1" customFormat="1" ht="16.5" customHeight="1">
      <c r="B152" s="12"/>
      <c r="C152" s="71" t="s">
        <v>446</v>
      </c>
      <c r="D152" s="71" t="s">
        <v>214</v>
      </c>
      <c r="E152" s="72" t="s">
        <v>5598</v>
      </c>
      <c r="F152" s="73" t="s">
        <v>5599</v>
      </c>
      <c r="G152" s="74" t="s">
        <v>234</v>
      </c>
      <c r="H152" s="75">
        <v>1</v>
      </c>
      <c r="I152" s="90">
        <v>7500</v>
      </c>
      <c r="J152" s="91">
        <f>ROUND(I152*H152,2)</f>
        <v>7500</v>
      </c>
      <c r="K152" s="92"/>
      <c r="L152" s="12"/>
      <c r="M152" s="93" t="s">
        <v>1</v>
      </c>
      <c r="N152" s="94" t="s">
        <v>42</v>
      </c>
      <c r="P152" s="95">
        <f>O152*H152</f>
        <v>0</v>
      </c>
      <c r="Q152" s="95">
        <v>0</v>
      </c>
      <c r="R152" s="95">
        <f>Q152*H152</f>
        <v>0</v>
      </c>
      <c r="S152" s="95">
        <v>0</v>
      </c>
      <c r="T152" s="99">
        <f>S152*H152</f>
        <v>0</v>
      </c>
      <c r="AR152" s="101" t="s">
        <v>218</v>
      </c>
      <c r="AT152" s="101" t="s">
        <v>214</v>
      </c>
      <c r="AU152" s="101" t="s">
        <v>87</v>
      </c>
      <c r="AY152" s="23" t="s">
        <v>211</v>
      </c>
      <c r="BE152" s="104">
        <f>IF(N152="základní",J152,0)</f>
        <v>7500</v>
      </c>
      <c r="BF152" s="104">
        <f>IF(N152="snížená",J152,0)</f>
        <v>0</v>
      </c>
      <c r="BG152" s="104">
        <f>IF(N152="zákl. přenesená",J152,0)</f>
        <v>0</v>
      </c>
      <c r="BH152" s="104">
        <f>IF(N152="sníž. přenesená",J152,0)</f>
        <v>0</v>
      </c>
      <c r="BI152" s="104">
        <f>IF(N152="nulová",J152,0)</f>
        <v>0</v>
      </c>
      <c r="BJ152" s="23" t="s">
        <v>85</v>
      </c>
      <c r="BK152" s="104">
        <f>ROUND(I152*H152,2)</f>
        <v>7500</v>
      </c>
      <c r="BL152" s="23" t="s">
        <v>218</v>
      </c>
      <c r="BM152" s="101" t="s">
        <v>527</v>
      </c>
    </row>
    <row r="153" spans="2:65" s="31" customFormat="1" ht="23.1" customHeight="1">
      <c r="B153" s="67"/>
      <c r="D153" s="68" t="s">
        <v>76</v>
      </c>
      <c r="E153" s="70" t="s">
        <v>3873</v>
      </c>
      <c r="F153" s="70" t="s">
        <v>5600</v>
      </c>
      <c r="I153" s="85"/>
      <c r="J153" s="89">
        <f>BK153</f>
        <v>5000</v>
      </c>
      <c r="L153" s="67"/>
      <c r="M153" s="87"/>
      <c r="P153" s="88">
        <f>P154</f>
        <v>0</v>
      </c>
      <c r="R153" s="88">
        <f>R154</f>
        <v>0</v>
      </c>
      <c r="T153" s="98">
        <f>T154</f>
        <v>0</v>
      </c>
      <c r="AR153" s="68" t="s">
        <v>85</v>
      </c>
      <c r="AT153" s="100" t="s">
        <v>76</v>
      </c>
      <c r="AU153" s="100" t="s">
        <v>85</v>
      </c>
      <c r="AY153" s="68" t="s">
        <v>211</v>
      </c>
      <c r="BK153" s="103">
        <f>BK154</f>
        <v>5000</v>
      </c>
    </row>
    <row r="154" spans="2:65" s="1" customFormat="1" ht="24.15" customHeight="1">
      <c r="B154" s="12"/>
      <c r="C154" s="71" t="s">
        <v>450</v>
      </c>
      <c r="D154" s="71" t="s">
        <v>214</v>
      </c>
      <c r="E154" s="72" t="s">
        <v>5601</v>
      </c>
      <c r="F154" s="73" t="s">
        <v>5602</v>
      </c>
      <c r="G154" s="74" t="s">
        <v>234</v>
      </c>
      <c r="H154" s="75">
        <v>1</v>
      </c>
      <c r="I154" s="90">
        <v>5000</v>
      </c>
      <c r="J154" s="91">
        <f>ROUND(I154*H154,2)</f>
        <v>5000</v>
      </c>
      <c r="K154" s="92"/>
      <c r="L154" s="12"/>
      <c r="M154" s="93" t="s">
        <v>1</v>
      </c>
      <c r="N154" s="94" t="s">
        <v>42</v>
      </c>
      <c r="P154" s="95">
        <f>O154*H154</f>
        <v>0</v>
      </c>
      <c r="Q154" s="95">
        <v>0</v>
      </c>
      <c r="R154" s="95">
        <f>Q154*H154</f>
        <v>0</v>
      </c>
      <c r="S154" s="95">
        <v>0</v>
      </c>
      <c r="T154" s="99">
        <f>S154*H154</f>
        <v>0</v>
      </c>
      <c r="AR154" s="101" t="s">
        <v>218</v>
      </c>
      <c r="AT154" s="101" t="s">
        <v>214</v>
      </c>
      <c r="AU154" s="101" t="s">
        <v>87</v>
      </c>
      <c r="AY154" s="23" t="s">
        <v>211</v>
      </c>
      <c r="BE154" s="104">
        <f>IF(N154="základní",J154,0)</f>
        <v>5000</v>
      </c>
      <c r="BF154" s="104">
        <f>IF(N154="snížená",J154,0)</f>
        <v>0</v>
      </c>
      <c r="BG154" s="104">
        <f>IF(N154="zákl. přenesená",J154,0)</f>
        <v>0</v>
      </c>
      <c r="BH154" s="104">
        <f>IF(N154="sníž. přenesená",J154,0)</f>
        <v>0</v>
      </c>
      <c r="BI154" s="104">
        <f>IF(N154="nulová",J154,0)</f>
        <v>0</v>
      </c>
      <c r="BJ154" s="23" t="s">
        <v>85</v>
      </c>
      <c r="BK154" s="104">
        <f>ROUND(I154*H154,2)</f>
        <v>5000</v>
      </c>
      <c r="BL154" s="23" t="s">
        <v>218</v>
      </c>
      <c r="BM154" s="101" t="s">
        <v>537</v>
      </c>
    </row>
    <row r="155" spans="2:65" s="31" customFormat="1" ht="23.1" customHeight="1">
      <c r="B155" s="67"/>
      <c r="D155" s="68" t="s">
        <v>76</v>
      </c>
      <c r="E155" s="70" t="s">
        <v>3879</v>
      </c>
      <c r="F155" s="70" t="s">
        <v>5603</v>
      </c>
      <c r="I155" s="85"/>
      <c r="J155" s="89">
        <f>BK155</f>
        <v>5000</v>
      </c>
      <c r="L155" s="67"/>
      <c r="M155" s="87"/>
      <c r="P155" s="88">
        <f>P156</f>
        <v>0</v>
      </c>
      <c r="R155" s="88">
        <f>R156</f>
        <v>0</v>
      </c>
      <c r="T155" s="98">
        <f>T156</f>
        <v>0</v>
      </c>
      <c r="AR155" s="68" t="s">
        <v>85</v>
      </c>
      <c r="AT155" s="100" t="s">
        <v>76</v>
      </c>
      <c r="AU155" s="100" t="s">
        <v>85</v>
      </c>
      <c r="AY155" s="68" t="s">
        <v>211</v>
      </c>
      <c r="BK155" s="103">
        <f>BK156</f>
        <v>5000</v>
      </c>
    </row>
    <row r="156" spans="2:65" s="1" customFormat="1" ht="24.15" customHeight="1">
      <c r="B156" s="12"/>
      <c r="C156" s="71" t="s">
        <v>454</v>
      </c>
      <c r="D156" s="71" t="s">
        <v>214</v>
      </c>
      <c r="E156" s="72" t="s">
        <v>5604</v>
      </c>
      <c r="F156" s="73" t="s">
        <v>5539</v>
      </c>
      <c r="G156" s="74" t="s">
        <v>234</v>
      </c>
      <c r="H156" s="75">
        <v>1</v>
      </c>
      <c r="I156" s="90">
        <v>5000</v>
      </c>
      <c r="J156" s="91">
        <f>ROUND(I156*H156,2)</f>
        <v>5000</v>
      </c>
      <c r="K156" s="92"/>
      <c r="L156" s="12"/>
      <c r="M156" s="130" t="s">
        <v>1</v>
      </c>
      <c r="N156" s="131" t="s">
        <v>42</v>
      </c>
      <c r="O156" s="110"/>
      <c r="P156" s="132">
        <f>O156*H156</f>
        <v>0</v>
      </c>
      <c r="Q156" s="132">
        <v>0</v>
      </c>
      <c r="R156" s="132">
        <f>Q156*H156</f>
        <v>0</v>
      </c>
      <c r="S156" s="132">
        <v>0</v>
      </c>
      <c r="T156" s="134">
        <f>S156*H156</f>
        <v>0</v>
      </c>
      <c r="AR156" s="101" t="s">
        <v>218</v>
      </c>
      <c r="AT156" s="101" t="s">
        <v>214</v>
      </c>
      <c r="AU156" s="101" t="s">
        <v>87</v>
      </c>
      <c r="AY156" s="23" t="s">
        <v>211</v>
      </c>
      <c r="BE156" s="104">
        <f>IF(N156="základní",J156,0)</f>
        <v>5000</v>
      </c>
      <c r="BF156" s="104">
        <f>IF(N156="snížená",J156,0)</f>
        <v>0</v>
      </c>
      <c r="BG156" s="104">
        <f>IF(N156="zákl. přenesená",J156,0)</f>
        <v>0</v>
      </c>
      <c r="BH156" s="104">
        <f>IF(N156="sníž. přenesená",J156,0)</f>
        <v>0</v>
      </c>
      <c r="BI156" s="104">
        <f>IF(N156="nulová",J156,0)</f>
        <v>0</v>
      </c>
      <c r="BJ156" s="23" t="s">
        <v>85</v>
      </c>
      <c r="BK156" s="104">
        <f>ROUND(I156*H156,2)</f>
        <v>5000</v>
      </c>
      <c r="BL156" s="23" t="s">
        <v>218</v>
      </c>
      <c r="BM156" s="101" t="s">
        <v>551</v>
      </c>
    </row>
    <row r="157" spans="2:65" s="1" customFormat="1" ht="6.9" customHeight="1">
      <c r="B157" s="26"/>
      <c r="C157" s="27"/>
      <c r="D157" s="27"/>
      <c r="E157" s="27"/>
      <c r="F157" s="27"/>
      <c r="G157" s="27"/>
      <c r="H157" s="27"/>
      <c r="I157" s="27"/>
      <c r="J157" s="27"/>
      <c r="K157" s="27"/>
      <c r="L157" s="12"/>
    </row>
  </sheetData>
  <autoFilter ref="C130:K156" xr:uid="{00000000-0009-0000-0000-000010000000}"/>
  <mergeCells count="15">
    <mergeCell ref="L2:V2"/>
    <mergeCell ref="E7:H7"/>
    <mergeCell ref="E9:H9"/>
    <mergeCell ref="E11:H11"/>
    <mergeCell ref="E13:H13"/>
    <mergeCell ref="E22:H22"/>
    <mergeCell ref="E31:H31"/>
    <mergeCell ref="E85:H85"/>
    <mergeCell ref="E87:H87"/>
    <mergeCell ref="E89:H89"/>
    <mergeCell ref="E91:H91"/>
    <mergeCell ref="E117:H117"/>
    <mergeCell ref="E119:H119"/>
    <mergeCell ref="E121:H121"/>
    <mergeCell ref="E123:H123"/>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2:BM157"/>
  <sheetViews>
    <sheetView showGridLines="0" topLeftCell="A142" workbookViewId="0">
      <selection activeCell="L146" sqref="L146"/>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147</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3.2">
      <c r="B8" s="5"/>
      <c r="D8" s="10" t="s">
        <v>182</v>
      </c>
      <c r="L8" s="5"/>
    </row>
    <row r="9" spans="2:46" ht="16.5" customHeight="1">
      <c r="B9" s="5"/>
      <c r="E9" s="392" t="s">
        <v>5462</v>
      </c>
      <c r="F9" s="383"/>
      <c r="G9" s="383"/>
      <c r="H9" s="383"/>
      <c r="L9" s="5"/>
    </row>
    <row r="10" spans="2:46" ht="12" customHeight="1">
      <c r="B10" s="5"/>
      <c r="D10" s="10" t="s">
        <v>296</v>
      </c>
      <c r="L10" s="5"/>
    </row>
    <row r="11" spans="2:46" s="1" customFormat="1" ht="16.5" customHeight="1">
      <c r="B11" s="12"/>
      <c r="E11" s="358" t="s">
        <v>5463</v>
      </c>
      <c r="F11" s="394"/>
      <c r="G11" s="394"/>
      <c r="H11" s="394"/>
      <c r="L11" s="12"/>
    </row>
    <row r="12" spans="2:46" s="1" customFormat="1" ht="12" customHeight="1">
      <c r="B12" s="12"/>
      <c r="D12" s="10" t="s">
        <v>5464</v>
      </c>
      <c r="L12" s="12"/>
    </row>
    <row r="13" spans="2:46" s="1" customFormat="1" ht="16.5" customHeight="1">
      <c r="B13" s="12"/>
      <c r="E13" s="381" t="s">
        <v>5605</v>
      </c>
      <c r="F13" s="394"/>
      <c r="G13" s="394"/>
      <c r="H13" s="394"/>
      <c r="L13" s="12"/>
    </row>
    <row r="14" spans="2:46" s="1" customFormat="1">
      <c r="B14" s="12"/>
      <c r="L14" s="12"/>
    </row>
    <row r="15" spans="2:46" s="1" customFormat="1" ht="12" customHeight="1">
      <c r="B15" s="12"/>
      <c r="D15" s="10" t="s">
        <v>18</v>
      </c>
      <c r="F15" s="32" t="s">
        <v>1</v>
      </c>
      <c r="I15" s="10" t="s">
        <v>19</v>
      </c>
      <c r="J15" s="32" t="s">
        <v>1</v>
      </c>
      <c r="L15" s="12"/>
    </row>
    <row r="16" spans="2:46" s="1" customFormat="1" ht="12" customHeight="1">
      <c r="B16" s="12"/>
      <c r="D16" s="10" t="s">
        <v>20</v>
      </c>
      <c r="F16" s="32" t="s">
        <v>21</v>
      </c>
      <c r="I16" s="10" t="s">
        <v>22</v>
      </c>
      <c r="J16" s="11">
        <f>'Rekapitulace stavby'!AN8</f>
        <v>45000</v>
      </c>
      <c r="L16" s="12"/>
    </row>
    <row r="17" spans="2:12" s="1" customFormat="1" ht="11.1" customHeight="1">
      <c r="B17" s="12"/>
      <c r="L17" s="12"/>
    </row>
    <row r="18" spans="2:12" s="1" customFormat="1" ht="12" customHeight="1">
      <c r="B18" s="12"/>
      <c r="D18" s="10" t="s">
        <v>23</v>
      </c>
      <c r="I18" s="10" t="s">
        <v>24</v>
      </c>
      <c r="J18" s="32" t="s">
        <v>1</v>
      </c>
      <c r="L18" s="12"/>
    </row>
    <row r="19" spans="2:12" s="1" customFormat="1" ht="18" customHeight="1">
      <c r="B19" s="12"/>
      <c r="E19" s="32" t="s">
        <v>25</v>
      </c>
      <c r="I19" s="10" t="s">
        <v>26</v>
      </c>
      <c r="J19" s="32" t="s">
        <v>1</v>
      </c>
      <c r="L19" s="12"/>
    </row>
    <row r="20" spans="2:12" s="1" customFormat="1" ht="6.9" customHeight="1">
      <c r="B20" s="12"/>
      <c r="L20" s="12"/>
    </row>
    <row r="21" spans="2:12" s="1" customFormat="1" ht="12" customHeight="1">
      <c r="B21" s="12"/>
      <c r="D21" s="10" t="s">
        <v>27</v>
      </c>
      <c r="I21" s="10" t="s">
        <v>24</v>
      </c>
      <c r="J21" s="33" t="str">
        <f>'Rekapitulace stavby'!AN13</f>
        <v>08004013</v>
      </c>
      <c r="L21" s="12"/>
    </row>
    <row r="22" spans="2:12" s="1" customFormat="1" ht="18" customHeight="1">
      <c r="B22" s="12"/>
      <c r="E22" s="395" t="str">
        <f>'Rekapitulace stavby'!E14</f>
        <v>DMG Stav a.s.</v>
      </c>
      <c r="F22" s="384"/>
      <c r="G22" s="384"/>
      <c r="H22" s="384"/>
      <c r="I22" s="10" t="s">
        <v>26</v>
      </c>
      <c r="J22" s="33" t="str">
        <f>'Rekapitulace stavby'!AN14</f>
        <v>CZ 08004013</v>
      </c>
      <c r="L22" s="12"/>
    </row>
    <row r="23" spans="2:12" s="1" customFormat="1" ht="6.9" customHeight="1">
      <c r="B23" s="12"/>
      <c r="L23" s="12"/>
    </row>
    <row r="24" spans="2:12" s="1" customFormat="1" ht="12" customHeight="1">
      <c r="B24" s="12"/>
      <c r="D24" s="10" t="s">
        <v>31</v>
      </c>
      <c r="I24" s="10" t="s">
        <v>24</v>
      </c>
      <c r="J24" s="32" t="s">
        <v>1</v>
      </c>
      <c r="L24" s="12"/>
    </row>
    <row r="25" spans="2:12" s="1" customFormat="1" ht="18" customHeight="1">
      <c r="B25" s="12"/>
      <c r="E25" s="32" t="s">
        <v>32</v>
      </c>
      <c r="I25" s="10" t="s">
        <v>26</v>
      </c>
      <c r="J25" s="32" t="s">
        <v>1</v>
      </c>
      <c r="L25" s="12"/>
    </row>
    <row r="26" spans="2:12" s="1" customFormat="1" ht="6.9" customHeight="1">
      <c r="B26" s="12"/>
      <c r="L26" s="12"/>
    </row>
    <row r="27" spans="2:12" s="1" customFormat="1" ht="12" customHeight="1">
      <c r="B27" s="12"/>
      <c r="D27" s="10" t="s">
        <v>34</v>
      </c>
      <c r="I27" s="10" t="s">
        <v>24</v>
      </c>
      <c r="J27" s="32" t="s">
        <v>1</v>
      </c>
      <c r="L27" s="12"/>
    </row>
    <row r="28" spans="2:12" s="1" customFormat="1" ht="18" customHeight="1">
      <c r="B28" s="12"/>
      <c r="E28" s="32" t="s">
        <v>35</v>
      </c>
      <c r="I28" s="10" t="s">
        <v>26</v>
      </c>
      <c r="J28" s="32" t="s">
        <v>1</v>
      </c>
      <c r="L28" s="12"/>
    </row>
    <row r="29" spans="2:12" s="1" customFormat="1" ht="6.9" customHeight="1">
      <c r="B29" s="12"/>
      <c r="L29" s="12"/>
    </row>
    <row r="30" spans="2:12" s="1" customFormat="1" ht="12" customHeight="1">
      <c r="B30" s="12"/>
      <c r="D30" s="10" t="s">
        <v>36</v>
      </c>
      <c r="L30" s="12"/>
    </row>
    <row r="31" spans="2:12" s="28" customFormat="1" ht="16.5" customHeight="1">
      <c r="B31" s="34"/>
      <c r="E31" s="388" t="s">
        <v>1</v>
      </c>
      <c r="F31" s="388"/>
      <c r="G31" s="388"/>
      <c r="H31" s="388"/>
      <c r="L31" s="34"/>
    </row>
    <row r="32" spans="2:12" s="1" customFormat="1" ht="6.9" customHeight="1">
      <c r="B32" s="12"/>
      <c r="L32" s="12"/>
    </row>
    <row r="33" spans="2:12" s="1" customFormat="1" ht="6.9" customHeight="1">
      <c r="B33" s="12"/>
      <c r="D33" s="35"/>
      <c r="E33" s="35"/>
      <c r="F33" s="35"/>
      <c r="G33" s="35"/>
      <c r="H33" s="35"/>
      <c r="I33" s="35"/>
      <c r="J33" s="35"/>
      <c r="K33" s="35"/>
      <c r="L33" s="12"/>
    </row>
    <row r="34" spans="2:12" s="1" customFormat="1" ht="25.35" customHeight="1">
      <c r="B34" s="12"/>
      <c r="D34" s="36" t="s">
        <v>37</v>
      </c>
      <c r="J34" s="51">
        <f>ROUND(J131,2)</f>
        <v>406490</v>
      </c>
      <c r="L34" s="12"/>
    </row>
    <row r="35" spans="2:12" s="1" customFormat="1" ht="6.9" customHeight="1">
      <c r="B35" s="12"/>
      <c r="D35" s="35"/>
      <c r="E35" s="35"/>
      <c r="F35" s="35"/>
      <c r="G35" s="35"/>
      <c r="H35" s="35"/>
      <c r="I35" s="35"/>
      <c r="J35" s="35"/>
      <c r="K35" s="35"/>
      <c r="L35" s="12"/>
    </row>
    <row r="36" spans="2:12" s="1" customFormat="1" ht="14.4" customHeight="1">
      <c r="B36" s="12"/>
      <c r="F36" s="37" t="s">
        <v>39</v>
      </c>
      <c r="I36" s="37" t="s">
        <v>38</v>
      </c>
      <c r="J36" s="37" t="s">
        <v>40</v>
      </c>
      <c r="L36" s="12"/>
    </row>
    <row r="37" spans="2:12" s="1" customFormat="1" ht="14.4" customHeight="1">
      <c r="B37" s="12"/>
      <c r="D37" s="38" t="s">
        <v>41</v>
      </c>
      <c r="E37" s="10" t="s">
        <v>42</v>
      </c>
      <c r="F37" s="39">
        <f>ROUND((SUM(BE131:BE156)),2)</f>
        <v>406490</v>
      </c>
      <c r="I37" s="52">
        <v>0.21</v>
      </c>
      <c r="J37" s="39">
        <f>ROUND(((SUM(BE131:BE156))*I37),2)</f>
        <v>85362.9</v>
      </c>
      <c r="L37" s="12"/>
    </row>
    <row r="38" spans="2:12" s="1" customFormat="1" ht="14.4" customHeight="1">
      <c r="B38" s="12"/>
      <c r="E38" s="10" t="s">
        <v>43</v>
      </c>
      <c r="F38" s="39">
        <f>ROUND((SUM(BF131:BF156)),2)</f>
        <v>0</v>
      </c>
      <c r="I38" s="52">
        <v>0.15</v>
      </c>
      <c r="J38" s="39">
        <f>ROUND(((SUM(BF131:BF156))*I38),2)</f>
        <v>0</v>
      </c>
      <c r="L38" s="12"/>
    </row>
    <row r="39" spans="2:12" s="1" customFormat="1" ht="14.4" hidden="1" customHeight="1">
      <c r="B39" s="12"/>
      <c r="E39" s="10" t="s">
        <v>44</v>
      </c>
      <c r="F39" s="39">
        <f>ROUND((SUM(BG131:BG156)),2)</f>
        <v>0</v>
      </c>
      <c r="I39" s="52">
        <v>0.21</v>
      </c>
      <c r="J39" s="39">
        <f>0</f>
        <v>0</v>
      </c>
      <c r="L39" s="12"/>
    </row>
    <row r="40" spans="2:12" s="1" customFormat="1" ht="14.4" hidden="1" customHeight="1">
      <c r="B40" s="12"/>
      <c r="E40" s="10" t="s">
        <v>45</v>
      </c>
      <c r="F40" s="39">
        <f>ROUND((SUM(BH131:BH156)),2)</f>
        <v>0</v>
      </c>
      <c r="I40" s="52">
        <v>0.15</v>
      </c>
      <c r="J40" s="39">
        <f>0</f>
        <v>0</v>
      </c>
      <c r="L40" s="12"/>
    </row>
    <row r="41" spans="2:12" s="1" customFormat="1" ht="14.4" hidden="1" customHeight="1">
      <c r="B41" s="12"/>
      <c r="E41" s="10" t="s">
        <v>46</v>
      </c>
      <c r="F41" s="39">
        <f>ROUND((SUM(BI131:BI156)),2)</f>
        <v>0</v>
      </c>
      <c r="I41" s="52">
        <v>0</v>
      </c>
      <c r="J41" s="39">
        <f>0</f>
        <v>0</v>
      </c>
      <c r="L41" s="12"/>
    </row>
    <row r="42" spans="2:12" s="1" customFormat="1" ht="6.9" customHeight="1">
      <c r="B42" s="12"/>
      <c r="L42" s="12"/>
    </row>
    <row r="43" spans="2:12" s="1" customFormat="1" ht="25.35" customHeight="1">
      <c r="B43" s="12"/>
      <c r="C43" s="40"/>
      <c r="D43" s="41" t="s">
        <v>47</v>
      </c>
      <c r="E43" s="42"/>
      <c r="F43" s="42"/>
      <c r="G43" s="43" t="s">
        <v>48</v>
      </c>
      <c r="H43" s="44" t="s">
        <v>49</v>
      </c>
      <c r="I43" s="42"/>
      <c r="J43" s="53">
        <f>SUM(J34:J41)</f>
        <v>491852.9</v>
      </c>
      <c r="K43" s="54"/>
      <c r="L43" s="12"/>
    </row>
    <row r="44" spans="2:12" s="1" customFormat="1" ht="14.4" customHeight="1">
      <c r="B44" s="12"/>
      <c r="L44" s="12"/>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ht="16.5" customHeight="1">
      <c r="B87" s="5"/>
      <c r="E87" s="392" t="s">
        <v>5462</v>
      </c>
      <c r="F87" s="383"/>
      <c r="G87" s="383"/>
      <c r="H87" s="383"/>
      <c r="L87" s="5"/>
    </row>
    <row r="88" spans="2:12" ht="12" customHeight="1">
      <c r="B88" s="5"/>
      <c r="C88" s="10" t="s">
        <v>296</v>
      </c>
      <c r="L88" s="5"/>
    </row>
    <row r="89" spans="2:12" s="1" customFormat="1" ht="16.5" customHeight="1">
      <c r="B89" s="12"/>
      <c r="E89" s="358" t="s">
        <v>5463</v>
      </c>
      <c r="F89" s="394"/>
      <c r="G89" s="394"/>
      <c r="H89" s="394"/>
      <c r="L89" s="12"/>
    </row>
    <row r="90" spans="2:12" s="1" customFormat="1" ht="12" customHeight="1">
      <c r="B90" s="12"/>
      <c r="C90" s="10" t="s">
        <v>5464</v>
      </c>
      <c r="L90" s="12"/>
    </row>
    <row r="91" spans="2:12" s="1" customFormat="1" ht="16.5" customHeight="1">
      <c r="B91" s="12"/>
      <c r="E91" s="381" t="str">
        <f>E13</f>
        <v>IO04 - Přípojka splaškové kanalizace</v>
      </c>
      <c r="F91" s="394"/>
      <c r="G91" s="394"/>
      <c r="H91" s="394"/>
      <c r="L91" s="12"/>
    </row>
    <row r="92" spans="2:12" s="1" customFormat="1" ht="6.9" customHeight="1">
      <c r="B92" s="12"/>
      <c r="L92" s="12"/>
    </row>
    <row r="93" spans="2:12" s="1" customFormat="1" ht="12" customHeight="1">
      <c r="B93" s="12"/>
      <c r="C93" s="10" t="s">
        <v>20</v>
      </c>
      <c r="F93" s="32" t="str">
        <f>F16</f>
        <v>Praha</v>
      </c>
      <c r="I93" s="10" t="s">
        <v>22</v>
      </c>
      <c r="J93" s="11">
        <f>IF(J16="","",J16)</f>
        <v>45000</v>
      </c>
      <c r="L93" s="12"/>
    </row>
    <row r="94" spans="2:12" s="1" customFormat="1" ht="6.9" customHeight="1">
      <c r="B94" s="12"/>
      <c r="L94" s="12"/>
    </row>
    <row r="95" spans="2:12" s="1" customFormat="1" ht="15.15" customHeight="1">
      <c r="B95" s="12"/>
      <c r="C95" s="10" t="s">
        <v>23</v>
      </c>
      <c r="F95" s="32" t="str">
        <f>E19</f>
        <v>VELTON REAL ESTATE</v>
      </c>
      <c r="I95" s="10" t="s">
        <v>31</v>
      </c>
      <c r="J95" s="8" t="str">
        <f>E25</f>
        <v>ABMV World s.r.o</v>
      </c>
      <c r="L95" s="12"/>
    </row>
    <row r="96" spans="2:12" s="1" customFormat="1" ht="15.15" customHeight="1">
      <c r="B96" s="12"/>
      <c r="C96" s="10" t="s">
        <v>27</v>
      </c>
      <c r="F96" s="32" t="str">
        <f>IF(E22="","",E22)</f>
        <v>DMG Stav a.s.</v>
      </c>
      <c r="I96" s="10" t="s">
        <v>34</v>
      </c>
      <c r="J96" s="8" t="str">
        <f>E28</f>
        <v>QSB s.r.o.</v>
      </c>
      <c r="L96" s="12"/>
    </row>
    <row r="97" spans="2:47" s="1" customFormat="1" ht="10.35" customHeight="1">
      <c r="B97" s="12"/>
      <c r="L97" s="12"/>
    </row>
    <row r="98" spans="2:47" s="1" customFormat="1" ht="29.25" customHeight="1">
      <c r="B98" s="12"/>
      <c r="C98" s="58" t="s">
        <v>185</v>
      </c>
      <c r="D98" s="40"/>
      <c r="E98" s="40"/>
      <c r="F98" s="40"/>
      <c r="G98" s="40"/>
      <c r="H98" s="40"/>
      <c r="I98" s="40"/>
      <c r="J98" s="76" t="s">
        <v>186</v>
      </c>
      <c r="K98" s="40"/>
      <c r="L98" s="12"/>
    </row>
    <row r="99" spans="2:47" s="1" customFormat="1" ht="10.35" customHeight="1">
      <c r="B99" s="12"/>
      <c r="L99" s="12"/>
    </row>
    <row r="100" spans="2:47" s="1" customFormat="1" ht="23.1" customHeight="1">
      <c r="B100" s="12"/>
      <c r="C100" s="59" t="s">
        <v>187</v>
      </c>
      <c r="J100" s="51">
        <f>J131</f>
        <v>406490</v>
      </c>
      <c r="L100" s="12"/>
      <c r="AU100" s="23" t="s">
        <v>188</v>
      </c>
    </row>
    <row r="101" spans="2:47" s="29" customFormat="1" ht="24.9" customHeight="1">
      <c r="B101" s="60"/>
      <c r="D101" s="61" t="s">
        <v>5606</v>
      </c>
      <c r="E101" s="62"/>
      <c r="F101" s="62"/>
      <c r="G101" s="62"/>
      <c r="H101" s="62"/>
      <c r="I101" s="62"/>
      <c r="J101" s="77">
        <f>J132</f>
        <v>406490</v>
      </c>
      <c r="L101" s="60"/>
    </row>
    <row r="102" spans="2:47" s="30" customFormat="1" ht="20.100000000000001" customHeight="1">
      <c r="B102" s="63"/>
      <c r="D102" s="64" t="s">
        <v>5467</v>
      </c>
      <c r="E102" s="65"/>
      <c r="F102" s="65"/>
      <c r="G102" s="65"/>
      <c r="H102" s="65"/>
      <c r="I102" s="65"/>
      <c r="J102" s="78">
        <f>J133</f>
        <v>119890</v>
      </c>
      <c r="L102" s="63"/>
    </row>
    <row r="103" spans="2:47" s="30" customFormat="1" ht="20.100000000000001" customHeight="1">
      <c r="B103" s="63"/>
      <c r="D103" s="64" t="s">
        <v>5573</v>
      </c>
      <c r="E103" s="65"/>
      <c r="F103" s="65"/>
      <c r="G103" s="65"/>
      <c r="H103" s="65"/>
      <c r="I103" s="65"/>
      <c r="J103" s="78">
        <f>J141</f>
        <v>125100</v>
      </c>
      <c r="L103" s="63"/>
    </row>
    <row r="104" spans="2:47" s="30" customFormat="1" ht="20.100000000000001" customHeight="1">
      <c r="B104" s="63"/>
      <c r="D104" s="64" t="s">
        <v>5574</v>
      </c>
      <c r="E104" s="65"/>
      <c r="F104" s="65"/>
      <c r="G104" s="65"/>
      <c r="H104" s="65"/>
      <c r="I104" s="65"/>
      <c r="J104" s="78">
        <f>J147</f>
        <v>133000</v>
      </c>
      <c r="L104" s="63"/>
    </row>
    <row r="105" spans="2:47" s="30" customFormat="1" ht="20.100000000000001" customHeight="1">
      <c r="B105" s="63"/>
      <c r="D105" s="64" t="s">
        <v>5575</v>
      </c>
      <c r="E105" s="65"/>
      <c r="F105" s="65"/>
      <c r="G105" s="65"/>
      <c r="H105" s="65"/>
      <c r="I105" s="65"/>
      <c r="J105" s="78">
        <f>J151</f>
        <v>7500</v>
      </c>
      <c r="L105" s="63"/>
    </row>
    <row r="106" spans="2:47" s="30" customFormat="1" ht="20.100000000000001" customHeight="1">
      <c r="B106" s="63"/>
      <c r="D106" s="64" t="s">
        <v>5576</v>
      </c>
      <c r="E106" s="65"/>
      <c r="F106" s="65"/>
      <c r="G106" s="65"/>
      <c r="H106" s="65"/>
      <c r="I106" s="65"/>
      <c r="J106" s="78">
        <f>J153</f>
        <v>12000</v>
      </c>
      <c r="L106" s="63"/>
    </row>
    <row r="107" spans="2:47" s="30" customFormat="1" ht="20.100000000000001" customHeight="1">
      <c r="B107" s="63"/>
      <c r="D107" s="64" t="s">
        <v>5577</v>
      </c>
      <c r="E107" s="65"/>
      <c r="F107" s="65"/>
      <c r="G107" s="65"/>
      <c r="H107" s="65"/>
      <c r="I107" s="65"/>
      <c r="J107" s="78">
        <f>J155</f>
        <v>9000</v>
      </c>
      <c r="L107" s="63"/>
    </row>
    <row r="108" spans="2:47" s="1" customFormat="1" ht="21.75" customHeight="1">
      <c r="B108" s="12"/>
      <c r="L108" s="12"/>
    </row>
    <row r="109" spans="2:47" s="1" customFormat="1" ht="6.9" customHeight="1">
      <c r="B109" s="26"/>
      <c r="C109" s="27"/>
      <c r="D109" s="27"/>
      <c r="E109" s="27"/>
      <c r="F109" s="27"/>
      <c r="G109" s="27"/>
      <c r="H109" s="27"/>
      <c r="I109" s="27"/>
      <c r="J109" s="27"/>
      <c r="K109" s="27"/>
      <c r="L109" s="12"/>
    </row>
    <row r="113" spans="2:12" s="1" customFormat="1" ht="6.9" customHeight="1">
      <c r="B113" s="56"/>
      <c r="C113" s="57"/>
      <c r="D113" s="57"/>
      <c r="E113" s="57"/>
      <c r="F113" s="57"/>
      <c r="G113" s="57"/>
      <c r="H113" s="57"/>
      <c r="I113" s="57"/>
      <c r="J113" s="57"/>
      <c r="K113" s="57"/>
      <c r="L113" s="12"/>
    </row>
    <row r="114" spans="2:12" s="1" customFormat="1" ht="24.9" customHeight="1">
      <c r="B114" s="12"/>
      <c r="C114" s="6" t="s">
        <v>195</v>
      </c>
      <c r="L114" s="12"/>
    </row>
    <row r="115" spans="2:12" s="1" customFormat="1" ht="6.9" customHeight="1">
      <c r="B115" s="12"/>
      <c r="L115" s="12"/>
    </row>
    <row r="116" spans="2:12" s="1" customFormat="1" ht="12" customHeight="1">
      <c r="B116" s="12"/>
      <c r="C116" s="10" t="s">
        <v>16</v>
      </c>
      <c r="L116" s="12"/>
    </row>
    <row r="117" spans="2:12" s="1" customFormat="1" ht="16.5" customHeight="1">
      <c r="B117" s="12"/>
      <c r="E117" s="392" t="str">
        <f>E7</f>
        <v>Bytový soubor Libuše</v>
      </c>
      <c r="F117" s="393"/>
      <c r="G117" s="393"/>
      <c r="H117" s="393"/>
      <c r="L117" s="12"/>
    </row>
    <row r="118" spans="2:12" ht="12" customHeight="1">
      <c r="B118" s="5"/>
      <c r="C118" s="10" t="s">
        <v>182</v>
      </c>
      <c r="L118" s="5"/>
    </row>
    <row r="119" spans="2:12" ht="16.5" customHeight="1">
      <c r="B119" s="5"/>
      <c r="E119" s="392" t="s">
        <v>5462</v>
      </c>
      <c r="F119" s="383"/>
      <c r="G119" s="383"/>
      <c r="H119" s="383"/>
      <c r="L119" s="5"/>
    </row>
    <row r="120" spans="2:12" ht="12" customHeight="1">
      <c r="B120" s="5"/>
      <c r="C120" s="10" t="s">
        <v>296</v>
      </c>
      <c r="L120" s="5"/>
    </row>
    <row r="121" spans="2:12" s="1" customFormat="1" ht="16.5" customHeight="1">
      <c r="B121" s="12"/>
      <c r="E121" s="358" t="s">
        <v>5463</v>
      </c>
      <c r="F121" s="394"/>
      <c r="G121" s="394"/>
      <c r="H121" s="394"/>
      <c r="L121" s="12"/>
    </row>
    <row r="122" spans="2:12" s="1" customFormat="1" ht="12" customHeight="1">
      <c r="B122" s="12"/>
      <c r="C122" s="10" t="s">
        <v>5464</v>
      </c>
      <c r="L122" s="12"/>
    </row>
    <row r="123" spans="2:12" s="1" customFormat="1" ht="16.5" customHeight="1">
      <c r="B123" s="12"/>
      <c r="E123" s="381" t="str">
        <f>E13</f>
        <v>IO04 - Přípojka splaškové kanalizace</v>
      </c>
      <c r="F123" s="394"/>
      <c r="G123" s="394"/>
      <c r="H123" s="394"/>
      <c r="L123" s="12"/>
    </row>
    <row r="124" spans="2:12" s="1" customFormat="1" ht="6.9" customHeight="1">
      <c r="B124" s="12"/>
      <c r="L124" s="12"/>
    </row>
    <row r="125" spans="2:12" s="1" customFormat="1" ht="12" customHeight="1">
      <c r="B125" s="12"/>
      <c r="C125" s="10" t="s">
        <v>20</v>
      </c>
      <c r="F125" s="32" t="str">
        <f>F16</f>
        <v>Praha</v>
      </c>
      <c r="I125" s="10" t="s">
        <v>22</v>
      </c>
      <c r="J125" s="11">
        <f>IF(J16="","",J16)</f>
        <v>45000</v>
      </c>
      <c r="L125" s="12"/>
    </row>
    <row r="126" spans="2:12" s="1" customFormat="1" ht="6.9" customHeight="1">
      <c r="B126" s="12"/>
      <c r="L126" s="12"/>
    </row>
    <row r="127" spans="2:12" s="1" customFormat="1" ht="15.15" customHeight="1">
      <c r="B127" s="12"/>
      <c r="C127" s="10" t="s">
        <v>23</v>
      </c>
      <c r="F127" s="32" t="str">
        <f>E19</f>
        <v>VELTON REAL ESTATE</v>
      </c>
      <c r="I127" s="10" t="s">
        <v>31</v>
      </c>
      <c r="J127" s="8" t="str">
        <f>E25</f>
        <v>ABMV World s.r.o</v>
      </c>
      <c r="L127" s="12"/>
    </row>
    <row r="128" spans="2:12" s="1" customFormat="1" ht="15.15" customHeight="1">
      <c r="B128" s="12"/>
      <c r="C128" s="10" t="s">
        <v>27</v>
      </c>
      <c r="F128" s="32" t="str">
        <f>IF(E22="","",E22)</f>
        <v>DMG Stav a.s.</v>
      </c>
      <c r="I128" s="10" t="s">
        <v>34</v>
      </c>
      <c r="J128" s="8" t="str">
        <f>E28</f>
        <v>QSB s.r.o.</v>
      </c>
      <c r="L128" s="12"/>
    </row>
    <row r="129" spans="2:65" s="1" customFormat="1" ht="10.35" customHeight="1">
      <c r="B129" s="12"/>
      <c r="L129" s="12"/>
    </row>
    <row r="130" spans="2:65" s="2" customFormat="1" ht="29.25" customHeight="1">
      <c r="B130" s="13"/>
      <c r="C130" s="14" t="s">
        <v>196</v>
      </c>
      <c r="D130" s="15" t="s">
        <v>62</v>
      </c>
      <c r="E130" s="15" t="s">
        <v>58</v>
      </c>
      <c r="F130" s="15" t="s">
        <v>59</v>
      </c>
      <c r="G130" s="15" t="s">
        <v>197</v>
      </c>
      <c r="H130" s="15" t="s">
        <v>198</v>
      </c>
      <c r="I130" s="15" t="s">
        <v>199</v>
      </c>
      <c r="J130" s="16" t="s">
        <v>186</v>
      </c>
      <c r="K130" s="79" t="s">
        <v>200</v>
      </c>
      <c r="L130" s="13"/>
      <c r="M130" s="80" t="s">
        <v>1</v>
      </c>
      <c r="N130" s="81" t="s">
        <v>41</v>
      </c>
      <c r="O130" s="81" t="s">
        <v>201</v>
      </c>
      <c r="P130" s="81" t="s">
        <v>202</v>
      </c>
      <c r="Q130" s="81" t="s">
        <v>203</v>
      </c>
      <c r="R130" s="81" t="s">
        <v>204</v>
      </c>
      <c r="S130" s="81" t="s">
        <v>205</v>
      </c>
      <c r="T130" s="96" t="s">
        <v>206</v>
      </c>
    </row>
    <row r="131" spans="2:65" s="1" customFormat="1" ht="23.1" customHeight="1">
      <c r="B131" s="12"/>
      <c r="C131" s="66" t="s">
        <v>207</v>
      </c>
      <c r="J131" s="82">
        <f>BK131</f>
        <v>406490</v>
      </c>
      <c r="L131" s="12"/>
      <c r="M131" s="83"/>
      <c r="N131" s="35"/>
      <c r="O131" s="35"/>
      <c r="P131" s="84">
        <f>P132</f>
        <v>0</v>
      </c>
      <c r="Q131" s="35"/>
      <c r="R131" s="84">
        <f>R132</f>
        <v>0</v>
      </c>
      <c r="S131" s="35"/>
      <c r="T131" s="97">
        <f>T132</f>
        <v>0</v>
      </c>
      <c r="AT131" s="23" t="s">
        <v>76</v>
      </c>
      <c r="AU131" s="23" t="s">
        <v>188</v>
      </c>
      <c r="BK131" s="102">
        <f>BK132</f>
        <v>406490</v>
      </c>
    </row>
    <row r="132" spans="2:65" s="31" customFormat="1" ht="26.1" customHeight="1">
      <c r="B132" s="67"/>
      <c r="D132" s="68" t="s">
        <v>76</v>
      </c>
      <c r="E132" s="69" t="s">
        <v>3830</v>
      </c>
      <c r="F132" s="69" t="s">
        <v>5607</v>
      </c>
      <c r="I132" s="85"/>
      <c r="J132" s="86">
        <f>BK132</f>
        <v>406490</v>
      </c>
      <c r="L132" s="67"/>
      <c r="M132" s="87"/>
      <c r="P132" s="88">
        <f>P133+P141+P147+P151+P153+P155</f>
        <v>0</v>
      </c>
      <c r="R132" s="88">
        <f>R133+R141+R147+R151+R153+R155</f>
        <v>0</v>
      </c>
      <c r="T132" s="98">
        <f>T133+T141+T147+T151+T153+T155</f>
        <v>0</v>
      </c>
      <c r="AR132" s="68" t="s">
        <v>85</v>
      </c>
      <c r="AT132" s="100" t="s">
        <v>76</v>
      </c>
      <c r="AU132" s="100" t="s">
        <v>77</v>
      </c>
      <c r="AY132" s="68" t="s">
        <v>211</v>
      </c>
      <c r="BK132" s="103">
        <f>BK133+BK141+BK147+BK151+BK153+BK155</f>
        <v>406490</v>
      </c>
    </row>
    <row r="133" spans="2:65" s="31" customFormat="1" ht="23.1" customHeight="1">
      <c r="B133" s="67"/>
      <c r="D133" s="68" t="s">
        <v>76</v>
      </c>
      <c r="E133" s="70" t="s">
        <v>3832</v>
      </c>
      <c r="F133" s="70" t="s">
        <v>5475</v>
      </c>
      <c r="I133" s="85"/>
      <c r="J133" s="89">
        <f>BK133</f>
        <v>119890</v>
      </c>
      <c r="L133" s="67"/>
      <c r="M133" s="87"/>
      <c r="P133" s="88">
        <f>SUM(P134:P140)</f>
        <v>0</v>
      </c>
      <c r="R133" s="88">
        <f>SUM(R134:R140)</f>
        <v>0</v>
      </c>
      <c r="T133" s="98">
        <f>SUM(T134:T140)</f>
        <v>0</v>
      </c>
      <c r="AR133" s="68" t="s">
        <v>85</v>
      </c>
      <c r="AT133" s="100" t="s">
        <v>76</v>
      </c>
      <c r="AU133" s="100" t="s">
        <v>85</v>
      </c>
      <c r="AY133" s="68" t="s">
        <v>211</v>
      </c>
      <c r="BK133" s="103">
        <f>SUM(BK134:BK140)</f>
        <v>119890</v>
      </c>
    </row>
    <row r="134" spans="2:65" s="1" customFormat="1" ht="24.15" customHeight="1">
      <c r="B134" s="12"/>
      <c r="C134" s="71" t="s">
        <v>85</v>
      </c>
      <c r="D134" s="71" t="s">
        <v>214</v>
      </c>
      <c r="E134" s="72" t="s">
        <v>5579</v>
      </c>
      <c r="F134" s="73" t="s">
        <v>5477</v>
      </c>
      <c r="G134" s="74" t="s">
        <v>357</v>
      </c>
      <c r="H134" s="75">
        <v>97</v>
      </c>
      <c r="I134" s="90">
        <v>550</v>
      </c>
      <c r="J134" s="91">
        <f t="shared" ref="J134:J140" si="0">ROUND(I134*H134,2)</f>
        <v>53350</v>
      </c>
      <c r="K134" s="92"/>
      <c r="L134" s="12"/>
      <c r="M134" s="93" t="s">
        <v>1</v>
      </c>
      <c r="N134" s="94" t="s">
        <v>42</v>
      </c>
      <c r="P134" s="95">
        <f t="shared" ref="P134:P140" si="1">O134*H134</f>
        <v>0</v>
      </c>
      <c r="Q134" s="95">
        <v>0</v>
      </c>
      <c r="R134" s="95">
        <f t="shared" ref="R134:R140" si="2">Q134*H134</f>
        <v>0</v>
      </c>
      <c r="S134" s="95">
        <v>0</v>
      </c>
      <c r="T134" s="99">
        <f t="shared" ref="T134:T140" si="3">S134*H134</f>
        <v>0</v>
      </c>
      <c r="AR134" s="101" t="s">
        <v>218</v>
      </c>
      <c r="AT134" s="101" t="s">
        <v>214</v>
      </c>
      <c r="AU134" s="101" t="s">
        <v>87</v>
      </c>
      <c r="AY134" s="23" t="s">
        <v>211</v>
      </c>
      <c r="BE134" s="104">
        <f t="shared" ref="BE134:BE140" si="4">IF(N134="základní",J134,0)</f>
        <v>53350</v>
      </c>
      <c r="BF134" s="104">
        <f t="shared" ref="BF134:BF140" si="5">IF(N134="snížená",J134,0)</f>
        <v>0</v>
      </c>
      <c r="BG134" s="104">
        <f t="shared" ref="BG134:BG140" si="6">IF(N134="zákl. přenesená",J134,0)</f>
        <v>0</v>
      </c>
      <c r="BH134" s="104">
        <f t="shared" ref="BH134:BH140" si="7">IF(N134="sníž. přenesená",J134,0)</f>
        <v>0</v>
      </c>
      <c r="BI134" s="104">
        <f t="shared" ref="BI134:BI140" si="8">IF(N134="nulová",J134,0)</f>
        <v>0</v>
      </c>
      <c r="BJ134" s="23" t="s">
        <v>85</v>
      </c>
      <c r="BK134" s="104">
        <f t="shared" ref="BK134:BK140" si="9">ROUND(I134*H134,2)</f>
        <v>53350</v>
      </c>
      <c r="BL134" s="23" t="s">
        <v>218</v>
      </c>
      <c r="BM134" s="101" t="s">
        <v>87</v>
      </c>
    </row>
    <row r="135" spans="2:65" s="1" customFormat="1" ht="16.5" customHeight="1">
      <c r="B135" s="12"/>
      <c r="C135" s="71" t="s">
        <v>87</v>
      </c>
      <c r="D135" s="71" t="s">
        <v>214</v>
      </c>
      <c r="E135" s="72" t="s">
        <v>5608</v>
      </c>
      <c r="F135" s="73" t="s">
        <v>5609</v>
      </c>
      <c r="G135" s="74" t="s">
        <v>357</v>
      </c>
      <c r="H135" s="75">
        <v>115</v>
      </c>
      <c r="I135" s="90">
        <v>250</v>
      </c>
      <c r="J135" s="91">
        <f t="shared" si="0"/>
        <v>28750</v>
      </c>
      <c r="K135" s="92"/>
      <c r="L135" s="12"/>
      <c r="M135" s="93" t="s">
        <v>1</v>
      </c>
      <c r="N135" s="94" t="s">
        <v>42</v>
      </c>
      <c r="P135" s="95">
        <f t="shared" si="1"/>
        <v>0</v>
      </c>
      <c r="Q135" s="95">
        <v>0</v>
      </c>
      <c r="R135" s="95">
        <f t="shared" si="2"/>
        <v>0</v>
      </c>
      <c r="S135" s="95">
        <v>0</v>
      </c>
      <c r="T135" s="99">
        <f t="shared" si="3"/>
        <v>0</v>
      </c>
      <c r="AR135" s="101" t="s">
        <v>218</v>
      </c>
      <c r="AT135" s="101" t="s">
        <v>214</v>
      </c>
      <c r="AU135" s="101" t="s">
        <v>87</v>
      </c>
      <c r="AY135" s="23" t="s">
        <v>211</v>
      </c>
      <c r="BE135" s="104">
        <f t="shared" si="4"/>
        <v>28750</v>
      </c>
      <c r="BF135" s="104">
        <f t="shared" si="5"/>
        <v>0</v>
      </c>
      <c r="BG135" s="104">
        <f t="shared" si="6"/>
        <v>0</v>
      </c>
      <c r="BH135" s="104">
        <f t="shared" si="7"/>
        <v>0</v>
      </c>
      <c r="BI135" s="104">
        <f t="shared" si="8"/>
        <v>0</v>
      </c>
      <c r="BJ135" s="23" t="s">
        <v>85</v>
      </c>
      <c r="BK135" s="104">
        <f t="shared" si="9"/>
        <v>28750</v>
      </c>
      <c r="BL135" s="23" t="s">
        <v>218</v>
      </c>
      <c r="BM135" s="101" t="s">
        <v>218</v>
      </c>
    </row>
    <row r="136" spans="2:65" s="1" customFormat="1" ht="16.5" customHeight="1">
      <c r="B136" s="12"/>
      <c r="C136" s="71" t="s">
        <v>137</v>
      </c>
      <c r="D136" s="71" t="s">
        <v>214</v>
      </c>
      <c r="E136" s="72" t="s">
        <v>5580</v>
      </c>
      <c r="F136" s="73" t="s">
        <v>5483</v>
      </c>
      <c r="G136" s="74" t="s">
        <v>357</v>
      </c>
      <c r="H136" s="75">
        <v>52</v>
      </c>
      <c r="I136" s="90">
        <v>300</v>
      </c>
      <c r="J136" s="91">
        <f t="shared" si="0"/>
        <v>15600</v>
      </c>
      <c r="K136" s="92"/>
      <c r="L136" s="12"/>
      <c r="M136" s="93" t="s">
        <v>1</v>
      </c>
      <c r="N136" s="94" t="s">
        <v>42</v>
      </c>
      <c r="P136" s="95">
        <f t="shared" si="1"/>
        <v>0</v>
      </c>
      <c r="Q136" s="95">
        <v>0</v>
      </c>
      <c r="R136" s="95">
        <f t="shared" si="2"/>
        <v>0</v>
      </c>
      <c r="S136" s="95">
        <v>0</v>
      </c>
      <c r="T136" s="99">
        <f t="shared" si="3"/>
        <v>0</v>
      </c>
      <c r="AR136" s="101" t="s">
        <v>218</v>
      </c>
      <c r="AT136" s="101" t="s">
        <v>214</v>
      </c>
      <c r="AU136" s="101" t="s">
        <v>87</v>
      </c>
      <c r="AY136" s="23" t="s">
        <v>211</v>
      </c>
      <c r="BE136" s="104">
        <f t="shared" si="4"/>
        <v>15600</v>
      </c>
      <c r="BF136" s="104">
        <f t="shared" si="5"/>
        <v>0</v>
      </c>
      <c r="BG136" s="104">
        <f t="shared" si="6"/>
        <v>0</v>
      </c>
      <c r="BH136" s="104">
        <f t="shared" si="7"/>
        <v>0</v>
      </c>
      <c r="BI136" s="104">
        <f t="shared" si="8"/>
        <v>0</v>
      </c>
      <c r="BJ136" s="23" t="s">
        <v>85</v>
      </c>
      <c r="BK136" s="104">
        <f t="shared" si="9"/>
        <v>15600</v>
      </c>
      <c r="BL136" s="23" t="s">
        <v>218</v>
      </c>
      <c r="BM136" s="101" t="s">
        <v>239</v>
      </c>
    </row>
    <row r="137" spans="2:65" s="1" customFormat="1" ht="16.5" customHeight="1">
      <c r="B137" s="12"/>
      <c r="C137" s="71" t="s">
        <v>218</v>
      </c>
      <c r="D137" s="71" t="s">
        <v>214</v>
      </c>
      <c r="E137" s="72" t="s">
        <v>5484</v>
      </c>
      <c r="F137" s="73" t="s">
        <v>5485</v>
      </c>
      <c r="G137" s="74" t="s">
        <v>357</v>
      </c>
      <c r="H137" s="75">
        <v>45</v>
      </c>
      <c r="I137" s="90">
        <v>100</v>
      </c>
      <c r="J137" s="91">
        <f t="shared" si="0"/>
        <v>4500</v>
      </c>
      <c r="K137" s="92"/>
      <c r="L137" s="12"/>
      <c r="M137" s="93" t="s">
        <v>1</v>
      </c>
      <c r="N137" s="94" t="s">
        <v>42</v>
      </c>
      <c r="P137" s="95">
        <f t="shared" si="1"/>
        <v>0</v>
      </c>
      <c r="Q137" s="95">
        <v>0</v>
      </c>
      <c r="R137" s="95">
        <f t="shared" si="2"/>
        <v>0</v>
      </c>
      <c r="S137" s="95">
        <v>0</v>
      </c>
      <c r="T137" s="99">
        <f t="shared" si="3"/>
        <v>0</v>
      </c>
      <c r="AR137" s="101" t="s">
        <v>218</v>
      </c>
      <c r="AT137" s="101" t="s">
        <v>214</v>
      </c>
      <c r="AU137" s="101" t="s">
        <v>87</v>
      </c>
      <c r="AY137" s="23" t="s">
        <v>211</v>
      </c>
      <c r="BE137" s="104">
        <f t="shared" si="4"/>
        <v>4500</v>
      </c>
      <c r="BF137" s="104">
        <f t="shared" si="5"/>
        <v>0</v>
      </c>
      <c r="BG137" s="104">
        <f t="shared" si="6"/>
        <v>0</v>
      </c>
      <c r="BH137" s="104">
        <f t="shared" si="7"/>
        <v>0</v>
      </c>
      <c r="BI137" s="104">
        <f t="shared" si="8"/>
        <v>0</v>
      </c>
      <c r="BJ137" s="23" t="s">
        <v>85</v>
      </c>
      <c r="BK137" s="104">
        <f t="shared" si="9"/>
        <v>4500</v>
      </c>
      <c r="BL137" s="23" t="s">
        <v>218</v>
      </c>
      <c r="BM137" s="101" t="s">
        <v>250</v>
      </c>
    </row>
    <row r="138" spans="2:65" s="1" customFormat="1" ht="21.75" customHeight="1">
      <c r="B138" s="12"/>
      <c r="C138" s="71" t="s">
        <v>210</v>
      </c>
      <c r="D138" s="71" t="s">
        <v>214</v>
      </c>
      <c r="E138" s="72" t="s">
        <v>5486</v>
      </c>
      <c r="F138" s="73" t="s">
        <v>5487</v>
      </c>
      <c r="G138" s="74" t="s">
        <v>279</v>
      </c>
      <c r="H138" s="75">
        <v>13</v>
      </c>
      <c r="I138" s="90">
        <v>130</v>
      </c>
      <c r="J138" s="91">
        <f t="shared" si="0"/>
        <v>1690</v>
      </c>
      <c r="K138" s="92"/>
      <c r="L138" s="12"/>
      <c r="M138" s="93" t="s">
        <v>1</v>
      </c>
      <c r="N138" s="94" t="s">
        <v>42</v>
      </c>
      <c r="P138" s="95">
        <f t="shared" si="1"/>
        <v>0</v>
      </c>
      <c r="Q138" s="95">
        <v>0</v>
      </c>
      <c r="R138" s="95">
        <f t="shared" si="2"/>
        <v>0</v>
      </c>
      <c r="S138" s="95">
        <v>0</v>
      </c>
      <c r="T138" s="99">
        <f t="shared" si="3"/>
        <v>0</v>
      </c>
      <c r="AR138" s="101" t="s">
        <v>218</v>
      </c>
      <c r="AT138" s="101" t="s">
        <v>214</v>
      </c>
      <c r="AU138" s="101" t="s">
        <v>87</v>
      </c>
      <c r="AY138" s="23" t="s">
        <v>211</v>
      </c>
      <c r="BE138" s="104">
        <f t="shared" si="4"/>
        <v>1690</v>
      </c>
      <c r="BF138" s="104">
        <f t="shared" si="5"/>
        <v>0</v>
      </c>
      <c r="BG138" s="104">
        <f t="shared" si="6"/>
        <v>0</v>
      </c>
      <c r="BH138" s="104">
        <f t="shared" si="7"/>
        <v>0</v>
      </c>
      <c r="BI138" s="104">
        <f t="shared" si="8"/>
        <v>0</v>
      </c>
      <c r="BJ138" s="23" t="s">
        <v>85</v>
      </c>
      <c r="BK138" s="104">
        <f t="shared" si="9"/>
        <v>1690</v>
      </c>
      <c r="BL138" s="23" t="s">
        <v>218</v>
      </c>
      <c r="BM138" s="101" t="s">
        <v>259</v>
      </c>
    </row>
    <row r="139" spans="2:65" s="1" customFormat="1" ht="16.5" customHeight="1">
      <c r="B139" s="12"/>
      <c r="C139" s="71" t="s">
        <v>239</v>
      </c>
      <c r="D139" s="71" t="s">
        <v>214</v>
      </c>
      <c r="E139" s="72" t="s">
        <v>5488</v>
      </c>
      <c r="F139" s="73" t="s">
        <v>5489</v>
      </c>
      <c r="G139" s="74" t="s">
        <v>357</v>
      </c>
      <c r="H139" s="75">
        <v>8</v>
      </c>
      <c r="I139" s="90">
        <v>1000</v>
      </c>
      <c r="J139" s="91">
        <f t="shared" si="0"/>
        <v>8000</v>
      </c>
      <c r="K139" s="92"/>
      <c r="L139" s="12"/>
      <c r="M139" s="93" t="s">
        <v>1</v>
      </c>
      <c r="N139" s="94" t="s">
        <v>42</v>
      </c>
      <c r="P139" s="95">
        <f t="shared" si="1"/>
        <v>0</v>
      </c>
      <c r="Q139" s="95">
        <v>0</v>
      </c>
      <c r="R139" s="95">
        <f t="shared" si="2"/>
        <v>0</v>
      </c>
      <c r="S139" s="95">
        <v>0</v>
      </c>
      <c r="T139" s="99">
        <f t="shared" si="3"/>
        <v>0</v>
      </c>
      <c r="AR139" s="101" t="s">
        <v>218</v>
      </c>
      <c r="AT139" s="101" t="s">
        <v>214</v>
      </c>
      <c r="AU139" s="101" t="s">
        <v>87</v>
      </c>
      <c r="AY139" s="23" t="s">
        <v>211</v>
      </c>
      <c r="BE139" s="104">
        <f t="shared" si="4"/>
        <v>8000</v>
      </c>
      <c r="BF139" s="104">
        <f t="shared" si="5"/>
        <v>0</v>
      </c>
      <c r="BG139" s="104">
        <f t="shared" si="6"/>
        <v>0</v>
      </c>
      <c r="BH139" s="104">
        <f t="shared" si="7"/>
        <v>0</v>
      </c>
      <c r="BI139" s="104">
        <f t="shared" si="8"/>
        <v>0</v>
      </c>
      <c r="BJ139" s="23" t="s">
        <v>85</v>
      </c>
      <c r="BK139" s="104">
        <f t="shared" si="9"/>
        <v>8000</v>
      </c>
      <c r="BL139" s="23" t="s">
        <v>218</v>
      </c>
      <c r="BM139" s="101" t="s">
        <v>273</v>
      </c>
    </row>
    <row r="140" spans="2:65" s="1" customFormat="1" ht="16.5" customHeight="1">
      <c r="B140" s="12"/>
      <c r="C140" s="71" t="s">
        <v>245</v>
      </c>
      <c r="D140" s="71" t="s">
        <v>214</v>
      </c>
      <c r="E140" s="72" t="s">
        <v>5581</v>
      </c>
      <c r="F140" s="73" t="s">
        <v>5582</v>
      </c>
      <c r="G140" s="74" t="s">
        <v>357</v>
      </c>
      <c r="H140" s="75">
        <v>8</v>
      </c>
      <c r="I140" s="90">
        <v>1000</v>
      </c>
      <c r="J140" s="91">
        <f t="shared" si="0"/>
        <v>8000</v>
      </c>
      <c r="K140" s="92"/>
      <c r="L140" s="12"/>
      <c r="M140" s="93" t="s">
        <v>1</v>
      </c>
      <c r="N140" s="94" t="s">
        <v>42</v>
      </c>
      <c r="P140" s="95">
        <f t="shared" si="1"/>
        <v>0</v>
      </c>
      <c r="Q140" s="95">
        <v>0</v>
      </c>
      <c r="R140" s="95">
        <f t="shared" si="2"/>
        <v>0</v>
      </c>
      <c r="S140" s="95">
        <v>0</v>
      </c>
      <c r="T140" s="99">
        <f t="shared" si="3"/>
        <v>0</v>
      </c>
      <c r="AR140" s="101" t="s">
        <v>218</v>
      </c>
      <c r="AT140" s="101" t="s">
        <v>214</v>
      </c>
      <c r="AU140" s="101" t="s">
        <v>87</v>
      </c>
      <c r="AY140" s="23" t="s">
        <v>211</v>
      </c>
      <c r="BE140" s="104">
        <f t="shared" si="4"/>
        <v>8000</v>
      </c>
      <c r="BF140" s="104">
        <f t="shared" si="5"/>
        <v>0</v>
      </c>
      <c r="BG140" s="104">
        <f t="shared" si="6"/>
        <v>0</v>
      </c>
      <c r="BH140" s="104">
        <f t="shared" si="7"/>
        <v>0</v>
      </c>
      <c r="BI140" s="104">
        <f t="shared" si="8"/>
        <v>0</v>
      </c>
      <c r="BJ140" s="23" t="s">
        <v>85</v>
      </c>
      <c r="BK140" s="104">
        <f t="shared" si="9"/>
        <v>8000</v>
      </c>
      <c r="BL140" s="23" t="s">
        <v>218</v>
      </c>
      <c r="BM140" s="101" t="s">
        <v>437</v>
      </c>
    </row>
    <row r="141" spans="2:65" s="31" customFormat="1" ht="23.1" customHeight="1">
      <c r="B141" s="67"/>
      <c r="D141" s="68" t="s">
        <v>76</v>
      </c>
      <c r="E141" s="70" t="s">
        <v>3839</v>
      </c>
      <c r="F141" s="70" t="s">
        <v>5583</v>
      </c>
      <c r="I141" s="85"/>
      <c r="J141" s="89">
        <f>BK141</f>
        <v>125100</v>
      </c>
      <c r="L141" s="67"/>
      <c r="M141" s="87"/>
      <c r="P141" s="88">
        <f>SUM(P142:P146)</f>
        <v>0</v>
      </c>
      <c r="R141" s="88">
        <f>SUM(R142:R146)</f>
        <v>0</v>
      </c>
      <c r="T141" s="98">
        <f>SUM(T142:T146)</f>
        <v>0</v>
      </c>
      <c r="AR141" s="68" t="s">
        <v>85</v>
      </c>
      <c r="AT141" s="100" t="s">
        <v>76</v>
      </c>
      <c r="AU141" s="100" t="s">
        <v>85</v>
      </c>
      <c r="AY141" s="68" t="s">
        <v>211</v>
      </c>
      <c r="BK141" s="103">
        <f>SUM(BK142:BK146)</f>
        <v>125100</v>
      </c>
    </row>
    <row r="142" spans="2:65" s="1" customFormat="1" ht="16.5" customHeight="1">
      <c r="B142" s="12"/>
      <c r="C142" s="71" t="s">
        <v>250</v>
      </c>
      <c r="D142" s="71" t="s">
        <v>214</v>
      </c>
      <c r="E142" s="72" t="s">
        <v>5500</v>
      </c>
      <c r="F142" s="73" t="s">
        <v>5501</v>
      </c>
      <c r="G142" s="74" t="s">
        <v>357</v>
      </c>
      <c r="H142" s="75">
        <v>13</v>
      </c>
      <c r="I142" s="90">
        <v>950</v>
      </c>
      <c r="J142" s="91">
        <f>ROUND(I142*H142,2)</f>
        <v>12350</v>
      </c>
      <c r="K142" s="92"/>
      <c r="L142" s="12"/>
      <c r="M142" s="93" t="s">
        <v>1</v>
      </c>
      <c r="N142" s="94" t="s">
        <v>42</v>
      </c>
      <c r="P142" s="95">
        <f>O142*H142</f>
        <v>0</v>
      </c>
      <c r="Q142" s="95">
        <v>0</v>
      </c>
      <c r="R142" s="95">
        <f>Q142*H142</f>
        <v>0</v>
      </c>
      <c r="S142" s="95">
        <v>0</v>
      </c>
      <c r="T142" s="99">
        <f>S142*H142</f>
        <v>0</v>
      </c>
      <c r="AR142" s="101" t="s">
        <v>218</v>
      </c>
      <c r="AT142" s="101" t="s">
        <v>214</v>
      </c>
      <c r="AU142" s="101" t="s">
        <v>87</v>
      </c>
      <c r="AY142" s="23" t="s">
        <v>211</v>
      </c>
      <c r="BE142" s="104">
        <f>IF(N142="základní",J142,0)</f>
        <v>12350</v>
      </c>
      <c r="BF142" s="104">
        <f>IF(N142="snížená",J142,0)</f>
        <v>0</v>
      </c>
      <c r="BG142" s="104">
        <f>IF(N142="zákl. přenesená",J142,0)</f>
        <v>0</v>
      </c>
      <c r="BH142" s="104">
        <f>IF(N142="sníž. přenesená",J142,0)</f>
        <v>0</v>
      </c>
      <c r="BI142" s="104">
        <f>IF(N142="nulová",J142,0)</f>
        <v>0</v>
      </c>
      <c r="BJ142" s="23" t="s">
        <v>85</v>
      </c>
      <c r="BK142" s="104">
        <f>ROUND(I142*H142,2)</f>
        <v>12350</v>
      </c>
      <c r="BL142" s="23" t="s">
        <v>218</v>
      </c>
      <c r="BM142" s="101" t="s">
        <v>446</v>
      </c>
    </row>
    <row r="143" spans="2:65" s="1" customFormat="1" ht="16.5" customHeight="1">
      <c r="B143" s="12"/>
      <c r="C143" s="71" t="s">
        <v>255</v>
      </c>
      <c r="D143" s="71" t="s">
        <v>214</v>
      </c>
      <c r="E143" s="72" t="s">
        <v>5584</v>
      </c>
      <c r="F143" s="73" t="s">
        <v>5585</v>
      </c>
      <c r="G143" s="74" t="s">
        <v>357</v>
      </c>
      <c r="H143" s="75">
        <v>19</v>
      </c>
      <c r="I143" s="90">
        <v>4700</v>
      </c>
      <c r="J143" s="91">
        <f>ROUND(I143*H143,2)</f>
        <v>89300</v>
      </c>
      <c r="K143" s="92"/>
      <c r="L143" s="12"/>
      <c r="M143" s="93" t="s">
        <v>1</v>
      </c>
      <c r="N143" s="94" t="s">
        <v>42</v>
      </c>
      <c r="P143" s="95">
        <f>O143*H143</f>
        <v>0</v>
      </c>
      <c r="Q143" s="95">
        <v>0</v>
      </c>
      <c r="R143" s="95">
        <f>Q143*H143</f>
        <v>0</v>
      </c>
      <c r="S143" s="95">
        <v>0</v>
      </c>
      <c r="T143" s="99">
        <f>S143*H143</f>
        <v>0</v>
      </c>
      <c r="AR143" s="101" t="s">
        <v>218</v>
      </c>
      <c r="AT143" s="101" t="s">
        <v>214</v>
      </c>
      <c r="AU143" s="101" t="s">
        <v>87</v>
      </c>
      <c r="AY143" s="23" t="s">
        <v>211</v>
      </c>
      <c r="BE143" s="104">
        <f>IF(N143="základní",J143,0)</f>
        <v>89300</v>
      </c>
      <c r="BF143" s="104">
        <f>IF(N143="snížená",J143,0)</f>
        <v>0</v>
      </c>
      <c r="BG143" s="104">
        <f>IF(N143="zákl. přenesená",J143,0)</f>
        <v>0</v>
      </c>
      <c r="BH143" s="104">
        <f>IF(N143="sníž. přenesená",J143,0)</f>
        <v>0</v>
      </c>
      <c r="BI143" s="104">
        <f>IF(N143="nulová",J143,0)</f>
        <v>0</v>
      </c>
      <c r="BJ143" s="23" t="s">
        <v>85</v>
      </c>
      <c r="BK143" s="104">
        <f>ROUND(I143*H143,2)</f>
        <v>89300</v>
      </c>
      <c r="BL143" s="23" t="s">
        <v>218</v>
      </c>
      <c r="BM143" s="101" t="s">
        <v>454</v>
      </c>
    </row>
    <row r="144" spans="2:65" s="1" customFormat="1" ht="16.5" customHeight="1">
      <c r="B144" s="12"/>
      <c r="C144" s="71" t="s">
        <v>259</v>
      </c>
      <c r="D144" s="71" t="s">
        <v>214</v>
      </c>
      <c r="E144" s="72" t="s">
        <v>5586</v>
      </c>
      <c r="F144" s="73" t="s">
        <v>5587</v>
      </c>
      <c r="G144" s="74" t="s">
        <v>357</v>
      </c>
      <c r="H144" s="75">
        <v>4</v>
      </c>
      <c r="I144" s="90">
        <v>4700</v>
      </c>
      <c r="J144" s="91">
        <f>ROUND(I144*H144,2)</f>
        <v>18800</v>
      </c>
      <c r="K144" s="92"/>
      <c r="L144" s="12"/>
      <c r="M144" s="93" t="s">
        <v>1</v>
      </c>
      <c r="N144" s="94" t="s">
        <v>42</v>
      </c>
      <c r="P144" s="95">
        <f>O144*H144</f>
        <v>0</v>
      </c>
      <c r="Q144" s="95">
        <v>0</v>
      </c>
      <c r="R144" s="95">
        <f>Q144*H144</f>
        <v>0</v>
      </c>
      <c r="S144" s="95">
        <v>0</v>
      </c>
      <c r="T144" s="99">
        <f>S144*H144</f>
        <v>0</v>
      </c>
      <c r="AR144" s="101" t="s">
        <v>218</v>
      </c>
      <c r="AT144" s="101" t="s">
        <v>214</v>
      </c>
      <c r="AU144" s="101" t="s">
        <v>87</v>
      </c>
      <c r="AY144" s="23" t="s">
        <v>211</v>
      </c>
      <c r="BE144" s="104">
        <f>IF(N144="základní",J144,0)</f>
        <v>18800</v>
      </c>
      <c r="BF144" s="104">
        <f>IF(N144="snížená",J144,0)</f>
        <v>0</v>
      </c>
      <c r="BG144" s="104">
        <f>IF(N144="zákl. přenesená",J144,0)</f>
        <v>0</v>
      </c>
      <c r="BH144" s="104">
        <f>IF(N144="sníž. přenesená",J144,0)</f>
        <v>0</v>
      </c>
      <c r="BI144" s="104">
        <f>IF(N144="nulová",J144,0)</f>
        <v>0</v>
      </c>
      <c r="BJ144" s="23" t="s">
        <v>85</v>
      </c>
      <c r="BK144" s="104">
        <f>ROUND(I144*H144,2)</f>
        <v>18800</v>
      </c>
      <c r="BL144" s="23" t="s">
        <v>218</v>
      </c>
      <c r="BM144" s="101" t="s">
        <v>465</v>
      </c>
    </row>
    <row r="145" spans="2:65" s="1" customFormat="1" ht="16.5" customHeight="1">
      <c r="B145" s="12"/>
      <c r="C145" s="71" t="s">
        <v>266</v>
      </c>
      <c r="D145" s="71" t="s">
        <v>214</v>
      </c>
      <c r="E145" s="72" t="s">
        <v>5588</v>
      </c>
      <c r="F145" s="73" t="s">
        <v>5589</v>
      </c>
      <c r="G145" s="74" t="s">
        <v>357</v>
      </c>
      <c r="H145" s="75">
        <v>3</v>
      </c>
      <c r="I145" s="90">
        <v>950</v>
      </c>
      <c r="J145" s="91">
        <f>ROUND(I145*H145,2)</f>
        <v>2850</v>
      </c>
      <c r="K145" s="92"/>
      <c r="L145" s="12"/>
      <c r="M145" s="93" t="s">
        <v>1</v>
      </c>
      <c r="N145" s="94" t="s">
        <v>42</v>
      </c>
      <c r="P145" s="95">
        <f>O145*H145</f>
        <v>0</v>
      </c>
      <c r="Q145" s="95">
        <v>0</v>
      </c>
      <c r="R145" s="95">
        <f>Q145*H145</f>
        <v>0</v>
      </c>
      <c r="S145" s="95">
        <v>0</v>
      </c>
      <c r="T145" s="99">
        <f>S145*H145</f>
        <v>0</v>
      </c>
      <c r="AR145" s="101" t="s">
        <v>218</v>
      </c>
      <c r="AT145" s="101" t="s">
        <v>214</v>
      </c>
      <c r="AU145" s="101" t="s">
        <v>87</v>
      </c>
      <c r="AY145" s="23" t="s">
        <v>211</v>
      </c>
      <c r="BE145" s="104">
        <f>IF(N145="základní",J145,0)</f>
        <v>2850</v>
      </c>
      <c r="BF145" s="104">
        <f>IF(N145="snížená",J145,0)</f>
        <v>0</v>
      </c>
      <c r="BG145" s="104">
        <f>IF(N145="zákl. přenesená",J145,0)</f>
        <v>0</v>
      </c>
      <c r="BH145" s="104">
        <f>IF(N145="sníž. přenesená",J145,0)</f>
        <v>0</v>
      </c>
      <c r="BI145" s="104">
        <f>IF(N145="nulová",J145,0)</f>
        <v>0</v>
      </c>
      <c r="BJ145" s="23" t="s">
        <v>85</v>
      </c>
      <c r="BK145" s="104">
        <f>ROUND(I145*H145,2)</f>
        <v>2850</v>
      </c>
      <c r="BL145" s="23" t="s">
        <v>218</v>
      </c>
      <c r="BM145" s="101" t="s">
        <v>475</v>
      </c>
    </row>
    <row r="146" spans="2:65" s="1" customFormat="1" ht="16.5" customHeight="1">
      <c r="B146" s="12"/>
      <c r="C146" s="71" t="s">
        <v>273</v>
      </c>
      <c r="D146" s="71" t="s">
        <v>214</v>
      </c>
      <c r="E146" s="72" t="s">
        <v>5590</v>
      </c>
      <c r="F146" s="73" t="s">
        <v>5591</v>
      </c>
      <c r="G146" s="74" t="s">
        <v>279</v>
      </c>
      <c r="H146" s="75">
        <v>2</v>
      </c>
      <c r="I146" s="90">
        <v>900</v>
      </c>
      <c r="J146" s="91">
        <f>ROUND(I146*H146,2)</f>
        <v>1800</v>
      </c>
      <c r="K146" s="92"/>
      <c r="L146" s="12"/>
      <c r="M146" s="93" t="s">
        <v>1</v>
      </c>
      <c r="N146" s="94" t="s">
        <v>42</v>
      </c>
      <c r="P146" s="95">
        <f>O146*H146</f>
        <v>0</v>
      </c>
      <c r="Q146" s="95">
        <v>0</v>
      </c>
      <c r="R146" s="95">
        <f>Q146*H146</f>
        <v>0</v>
      </c>
      <c r="S146" s="95">
        <v>0</v>
      </c>
      <c r="T146" s="99">
        <f>S146*H146</f>
        <v>0</v>
      </c>
      <c r="AR146" s="101" t="s">
        <v>218</v>
      </c>
      <c r="AT146" s="101" t="s">
        <v>214</v>
      </c>
      <c r="AU146" s="101" t="s">
        <v>87</v>
      </c>
      <c r="AY146" s="23" t="s">
        <v>211</v>
      </c>
      <c r="BE146" s="104">
        <f>IF(N146="základní",J146,0)</f>
        <v>1800</v>
      </c>
      <c r="BF146" s="104">
        <f>IF(N146="snížená",J146,0)</f>
        <v>0</v>
      </c>
      <c r="BG146" s="104">
        <f>IF(N146="zákl. přenesená",J146,0)</f>
        <v>0</v>
      </c>
      <c r="BH146" s="104">
        <f>IF(N146="sníž. přenesená",J146,0)</f>
        <v>0</v>
      </c>
      <c r="BI146" s="104">
        <f>IF(N146="nulová",J146,0)</f>
        <v>0</v>
      </c>
      <c r="BJ146" s="23" t="s">
        <v>85</v>
      </c>
      <c r="BK146" s="104">
        <f>ROUND(I146*H146,2)</f>
        <v>1800</v>
      </c>
      <c r="BL146" s="23" t="s">
        <v>218</v>
      </c>
      <c r="BM146" s="101" t="s">
        <v>486</v>
      </c>
    </row>
    <row r="147" spans="2:65" s="31" customFormat="1" ht="23.1" customHeight="1">
      <c r="B147" s="67"/>
      <c r="D147" s="68" t="s">
        <v>76</v>
      </c>
      <c r="E147" s="70" t="s">
        <v>3853</v>
      </c>
      <c r="F147" s="70" t="s">
        <v>5592</v>
      </c>
      <c r="I147" s="85"/>
      <c r="J147" s="89">
        <f>BK147</f>
        <v>133000</v>
      </c>
      <c r="L147" s="67"/>
      <c r="M147" s="87"/>
      <c r="P147" s="88">
        <f>SUM(P148:P150)</f>
        <v>0</v>
      </c>
      <c r="R147" s="88">
        <f>SUM(R148:R150)</f>
        <v>0</v>
      </c>
      <c r="T147" s="98">
        <f>SUM(T148:T150)</f>
        <v>0</v>
      </c>
      <c r="AR147" s="68" t="s">
        <v>85</v>
      </c>
      <c r="AT147" s="100" t="s">
        <v>76</v>
      </c>
      <c r="AU147" s="100" t="s">
        <v>85</v>
      </c>
      <c r="AY147" s="68" t="s">
        <v>211</v>
      </c>
      <c r="BK147" s="103">
        <f>SUM(BK148:BK150)</f>
        <v>133000</v>
      </c>
    </row>
    <row r="148" spans="2:65" s="1" customFormat="1" ht="16.5" customHeight="1">
      <c r="B148" s="12"/>
      <c r="C148" s="71" t="s">
        <v>433</v>
      </c>
      <c r="D148" s="71" t="s">
        <v>214</v>
      </c>
      <c r="E148" s="72" t="s">
        <v>5593</v>
      </c>
      <c r="F148" s="73" t="s">
        <v>5594</v>
      </c>
      <c r="G148" s="74" t="s">
        <v>431</v>
      </c>
      <c r="H148" s="75">
        <v>44</v>
      </c>
      <c r="I148" s="90">
        <v>650</v>
      </c>
      <c r="J148" s="91">
        <f>ROUND(I148*H148,2)</f>
        <v>28600</v>
      </c>
      <c r="K148" s="92"/>
      <c r="L148" s="12"/>
      <c r="M148" s="93" t="s">
        <v>1</v>
      </c>
      <c r="N148" s="94" t="s">
        <v>42</v>
      </c>
      <c r="P148" s="95">
        <f>O148*H148</f>
        <v>0</v>
      </c>
      <c r="Q148" s="95">
        <v>0</v>
      </c>
      <c r="R148" s="95">
        <f>Q148*H148</f>
        <v>0</v>
      </c>
      <c r="S148" s="95">
        <v>0</v>
      </c>
      <c r="T148" s="99">
        <f>S148*H148</f>
        <v>0</v>
      </c>
      <c r="AR148" s="101" t="s">
        <v>218</v>
      </c>
      <c r="AT148" s="101" t="s">
        <v>214</v>
      </c>
      <c r="AU148" s="101" t="s">
        <v>87</v>
      </c>
      <c r="AY148" s="23" t="s">
        <v>211</v>
      </c>
      <c r="BE148" s="104">
        <f>IF(N148="základní",J148,0)</f>
        <v>28600</v>
      </c>
      <c r="BF148" s="104">
        <f>IF(N148="snížená",J148,0)</f>
        <v>0</v>
      </c>
      <c r="BG148" s="104">
        <f>IF(N148="zákl. přenesená",J148,0)</f>
        <v>0</v>
      </c>
      <c r="BH148" s="104">
        <f>IF(N148="sníž. přenesená",J148,0)</f>
        <v>0</v>
      </c>
      <c r="BI148" s="104">
        <f>IF(N148="nulová",J148,0)</f>
        <v>0</v>
      </c>
      <c r="BJ148" s="23" t="s">
        <v>85</v>
      </c>
      <c r="BK148" s="104">
        <f>ROUND(I148*H148,2)</f>
        <v>28600</v>
      </c>
      <c r="BL148" s="23" t="s">
        <v>218</v>
      </c>
      <c r="BM148" s="101" t="s">
        <v>496</v>
      </c>
    </row>
    <row r="149" spans="2:65" s="1" customFormat="1" ht="16.5" customHeight="1">
      <c r="B149" s="12"/>
      <c r="C149" s="71" t="s">
        <v>437</v>
      </c>
      <c r="D149" s="71" t="s">
        <v>214</v>
      </c>
      <c r="E149" s="72" t="s">
        <v>5505</v>
      </c>
      <c r="F149" s="73" t="s">
        <v>5506</v>
      </c>
      <c r="G149" s="74" t="s">
        <v>431</v>
      </c>
      <c r="H149" s="75">
        <v>44</v>
      </c>
      <c r="I149" s="90">
        <v>100</v>
      </c>
      <c r="J149" s="91">
        <f>ROUND(I149*H149,2)</f>
        <v>4400</v>
      </c>
      <c r="K149" s="92"/>
      <c r="L149" s="12"/>
      <c r="M149" s="93" t="s">
        <v>1</v>
      </c>
      <c r="N149" s="94" t="s">
        <v>42</v>
      </c>
      <c r="P149" s="95">
        <f>O149*H149</f>
        <v>0</v>
      </c>
      <c r="Q149" s="95">
        <v>0</v>
      </c>
      <c r="R149" s="95">
        <f>Q149*H149</f>
        <v>0</v>
      </c>
      <c r="S149" s="95">
        <v>0</v>
      </c>
      <c r="T149" s="99">
        <f>S149*H149</f>
        <v>0</v>
      </c>
      <c r="AR149" s="101" t="s">
        <v>218</v>
      </c>
      <c r="AT149" s="101" t="s">
        <v>214</v>
      </c>
      <c r="AU149" s="101" t="s">
        <v>87</v>
      </c>
      <c r="AY149" s="23" t="s">
        <v>211</v>
      </c>
      <c r="BE149" s="104">
        <f>IF(N149="základní",J149,0)</f>
        <v>4400</v>
      </c>
      <c r="BF149" s="104">
        <f>IF(N149="snížená",J149,0)</f>
        <v>0</v>
      </c>
      <c r="BG149" s="104">
        <f>IF(N149="zákl. přenesená",J149,0)</f>
        <v>0</v>
      </c>
      <c r="BH149" s="104">
        <f>IF(N149="sníž. přenesená",J149,0)</f>
        <v>0</v>
      </c>
      <c r="BI149" s="104">
        <f>IF(N149="nulová",J149,0)</f>
        <v>0</v>
      </c>
      <c r="BJ149" s="23" t="s">
        <v>85</v>
      </c>
      <c r="BK149" s="104">
        <f>ROUND(I149*H149,2)</f>
        <v>4400</v>
      </c>
      <c r="BL149" s="23" t="s">
        <v>218</v>
      </c>
      <c r="BM149" s="101" t="s">
        <v>507</v>
      </c>
    </row>
    <row r="150" spans="2:65" s="1" customFormat="1" ht="24.15" customHeight="1">
      <c r="B150" s="12"/>
      <c r="C150" s="71" t="s">
        <v>8</v>
      </c>
      <c r="D150" s="71" t="s">
        <v>214</v>
      </c>
      <c r="E150" s="72" t="s">
        <v>5595</v>
      </c>
      <c r="F150" s="73" t="s">
        <v>5596</v>
      </c>
      <c r="G150" s="74" t="s">
        <v>808</v>
      </c>
      <c r="H150" s="75">
        <v>4</v>
      </c>
      <c r="I150" s="90">
        <v>25000</v>
      </c>
      <c r="J150" s="91">
        <f>ROUND(I150*H150,2)</f>
        <v>100000</v>
      </c>
      <c r="K150" s="92"/>
      <c r="L150" s="12"/>
      <c r="M150" s="93" t="s">
        <v>1</v>
      </c>
      <c r="N150" s="94" t="s">
        <v>42</v>
      </c>
      <c r="P150" s="95">
        <f>O150*H150</f>
        <v>0</v>
      </c>
      <c r="Q150" s="95">
        <v>0</v>
      </c>
      <c r="R150" s="95">
        <f>Q150*H150</f>
        <v>0</v>
      </c>
      <c r="S150" s="95">
        <v>0</v>
      </c>
      <c r="T150" s="99">
        <f>S150*H150</f>
        <v>0</v>
      </c>
      <c r="AR150" s="101" t="s">
        <v>218</v>
      </c>
      <c r="AT150" s="101" t="s">
        <v>214</v>
      </c>
      <c r="AU150" s="101" t="s">
        <v>87</v>
      </c>
      <c r="AY150" s="23" t="s">
        <v>211</v>
      </c>
      <c r="BE150" s="104">
        <f>IF(N150="základní",J150,0)</f>
        <v>100000</v>
      </c>
      <c r="BF150" s="104">
        <f>IF(N150="snížená",J150,0)</f>
        <v>0</v>
      </c>
      <c r="BG150" s="104">
        <f>IF(N150="zákl. přenesená",J150,0)</f>
        <v>0</v>
      </c>
      <c r="BH150" s="104">
        <f>IF(N150="sníž. přenesená",J150,0)</f>
        <v>0</v>
      </c>
      <c r="BI150" s="104">
        <f>IF(N150="nulová",J150,0)</f>
        <v>0</v>
      </c>
      <c r="BJ150" s="23" t="s">
        <v>85</v>
      </c>
      <c r="BK150" s="104">
        <f>ROUND(I150*H150,2)</f>
        <v>100000</v>
      </c>
      <c r="BL150" s="23" t="s">
        <v>218</v>
      </c>
      <c r="BM150" s="101" t="s">
        <v>517</v>
      </c>
    </row>
    <row r="151" spans="2:65" s="31" customFormat="1" ht="23.1" customHeight="1">
      <c r="B151" s="67"/>
      <c r="D151" s="68" t="s">
        <v>76</v>
      </c>
      <c r="E151" s="70" t="s">
        <v>3858</v>
      </c>
      <c r="F151" s="70" t="s">
        <v>5597</v>
      </c>
      <c r="I151" s="85"/>
      <c r="J151" s="89">
        <f>BK151</f>
        <v>7500</v>
      </c>
      <c r="L151" s="67"/>
      <c r="M151" s="87"/>
      <c r="P151" s="88">
        <f>P152</f>
        <v>0</v>
      </c>
      <c r="R151" s="88">
        <f>R152</f>
        <v>0</v>
      </c>
      <c r="T151" s="98">
        <f>T152</f>
        <v>0</v>
      </c>
      <c r="AR151" s="68" t="s">
        <v>85</v>
      </c>
      <c r="AT151" s="100" t="s">
        <v>76</v>
      </c>
      <c r="AU151" s="100" t="s">
        <v>85</v>
      </c>
      <c r="AY151" s="68" t="s">
        <v>211</v>
      </c>
      <c r="BK151" s="103">
        <f>BK152</f>
        <v>7500</v>
      </c>
    </row>
    <row r="152" spans="2:65" s="1" customFormat="1" ht="16.5" customHeight="1">
      <c r="B152" s="12"/>
      <c r="C152" s="71" t="s">
        <v>446</v>
      </c>
      <c r="D152" s="71" t="s">
        <v>214</v>
      </c>
      <c r="E152" s="72" t="s">
        <v>5610</v>
      </c>
      <c r="F152" s="73" t="s">
        <v>5599</v>
      </c>
      <c r="G152" s="74" t="s">
        <v>234</v>
      </c>
      <c r="H152" s="75">
        <v>1</v>
      </c>
      <c r="I152" s="90">
        <v>7500</v>
      </c>
      <c r="J152" s="91">
        <f>ROUND(I152*H152,2)</f>
        <v>7500</v>
      </c>
      <c r="K152" s="92"/>
      <c r="L152" s="12"/>
      <c r="M152" s="93" t="s">
        <v>1</v>
      </c>
      <c r="N152" s="94" t="s">
        <v>42</v>
      </c>
      <c r="P152" s="95">
        <f>O152*H152</f>
        <v>0</v>
      </c>
      <c r="Q152" s="95">
        <v>0</v>
      </c>
      <c r="R152" s="95">
        <f>Q152*H152</f>
        <v>0</v>
      </c>
      <c r="S152" s="95">
        <v>0</v>
      </c>
      <c r="T152" s="99">
        <f>S152*H152</f>
        <v>0</v>
      </c>
      <c r="AR152" s="101" t="s">
        <v>218</v>
      </c>
      <c r="AT152" s="101" t="s">
        <v>214</v>
      </c>
      <c r="AU152" s="101" t="s">
        <v>87</v>
      </c>
      <c r="AY152" s="23" t="s">
        <v>211</v>
      </c>
      <c r="BE152" s="104">
        <f>IF(N152="základní",J152,0)</f>
        <v>7500</v>
      </c>
      <c r="BF152" s="104">
        <f>IF(N152="snížená",J152,0)</f>
        <v>0</v>
      </c>
      <c r="BG152" s="104">
        <f>IF(N152="zákl. přenesená",J152,0)</f>
        <v>0</v>
      </c>
      <c r="BH152" s="104">
        <f>IF(N152="sníž. přenesená",J152,0)</f>
        <v>0</v>
      </c>
      <c r="BI152" s="104">
        <f>IF(N152="nulová",J152,0)</f>
        <v>0</v>
      </c>
      <c r="BJ152" s="23" t="s">
        <v>85</v>
      </c>
      <c r="BK152" s="104">
        <f>ROUND(I152*H152,2)</f>
        <v>7500</v>
      </c>
      <c r="BL152" s="23" t="s">
        <v>218</v>
      </c>
      <c r="BM152" s="101" t="s">
        <v>527</v>
      </c>
    </row>
    <row r="153" spans="2:65" s="31" customFormat="1" ht="23.1" customHeight="1">
      <c r="B153" s="67"/>
      <c r="D153" s="68" t="s">
        <v>76</v>
      </c>
      <c r="E153" s="70" t="s">
        <v>3873</v>
      </c>
      <c r="F153" s="70" t="s">
        <v>5600</v>
      </c>
      <c r="I153" s="85"/>
      <c r="J153" s="89">
        <f>BK153</f>
        <v>12000</v>
      </c>
      <c r="L153" s="67"/>
      <c r="M153" s="87"/>
      <c r="P153" s="88">
        <f>P154</f>
        <v>0</v>
      </c>
      <c r="R153" s="88">
        <f>R154</f>
        <v>0</v>
      </c>
      <c r="T153" s="98">
        <f>T154</f>
        <v>0</v>
      </c>
      <c r="AR153" s="68" t="s">
        <v>85</v>
      </c>
      <c r="AT153" s="100" t="s">
        <v>76</v>
      </c>
      <c r="AU153" s="100" t="s">
        <v>85</v>
      </c>
      <c r="AY153" s="68" t="s">
        <v>211</v>
      </c>
      <c r="BK153" s="103">
        <f>BK154</f>
        <v>12000</v>
      </c>
    </row>
    <row r="154" spans="2:65" s="1" customFormat="1" ht="24.15" customHeight="1">
      <c r="B154" s="12"/>
      <c r="C154" s="71" t="s">
        <v>450</v>
      </c>
      <c r="D154" s="71" t="s">
        <v>214</v>
      </c>
      <c r="E154" s="72" t="s">
        <v>5611</v>
      </c>
      <c r="F154" s="73" t="s">
        <v>5602</v>
      </c>
      <c r="G154" s="74" t="s">
        <v>234</v>
      </c>
      <c r="H154" s="75">
        <v>1</v>
      </c>
      <c r="I154" s="90">
        <v>12000</v>
      </c>
      <c r="J154" s="91">
        <f>ROUND(I154*H154,2)</f>
        <v>12000</v>
      </c>
      <c r="K154" s="92"/>
      <c r="L154" s="12"/>
      <c r="M154" s="93" t="s">
        <v>1</v>
      </c>
      <c r="N154" s="94" t="s">
        <v>42</v>
      </c>
      <c r="P154" s="95">
        <f>O154*H154</f>
        <v>0</v>
      </c>
      <c r="Q154" s="95">
        <v>0</v>
      </c>
      <c r="R154" s="95">
        <f>Q154*H154</f>
        <v>0</v>
      </c>
      <c r="S154" s="95">
        <v>0</v>
      </c>
      <c r="T154" s="99">
        <f>S154*H154</f>
        <v>0</v>
      </c>
      <c r="AR154" s="101" t="s">
        <v>218</v>
      </c>
      <c r="AT154" s="101" t="s">
        <v>214</v>
      </c>
      <c r="AU154" s="101" t="s">
        <v>87</v>
      </c>
      <c r="AY154" s="23" t="s">
        <v>211</v>
      </c>
      <c r="BE154" s="104">
        <f>IF(N154="základní",J154,0)</f>
        <v>12000</v>
      </c>
      <c r="BF154" s="104">
        <f>IF(N154="snížená",J154,0)</f>
        <v>0</v>
      </c>
      <c r="BG154" s="104">
        <f>IF(N154="zákl. přenesená",J154,0)</f>
        <v>0</v>
      </c>
      <c r="BH154" s="104">
        <f>IF(N154="sníž. přenesená",J154,0)</f>
        <v>0</v>
      </c>
      <c r="BI154" s="104">
        <f>IF(N154="nulová",J154,0)</f>
        <v>0</v>
      </c>
      <c r="BJ154" s="23" t="s">
        <v>85</v>
      </c>
      <c r="BK154" s="104">
        <f>ROUND(I154*H154,2)</f>
        <v>12000</v>
      </c>
      <c r="BL154" s="23" t="s">
        <v>218</v>
      </c>
      <c r="BM154" s="101" t="s">
        <v>537</v>
      </c>
    </row>
    <row r="155" spans="2:65" s="31" customFormat="1" ht="23.1" customHeight="1">
      <c r="B155" s="67"/>
      <c r="D155" s="68" t="s">
        <v>76</v>
      </c>
      <c r="E155" s="70" t="s">
        <v>3879</v>
      </c>
      <c r="F155" s="70" t="s">
        <v>5603</v>
      </c>
      <c r="I155" s="85"/>
      <c r="J155" s="89">
        <f>BK155</f>
        <v>9000</v>
      </c>
      <c r="L155" s="67"/>
      <c r="M155" s="87"/>
      <c r="P155" s="88">
        <f>P156</f>
        <v>0</v>
      </c>
      <c r="R155" s="88">
        <f>R156</f>
        <v>0</v>
      </c>
      <c r="T155" s="98">
        <f>T156</f>
        <v>0</v>
      </c>
      <c r="AR155" s="68" t="s">
        <v>85</v>
      </c>
      <c r="AT155" s="100" t="s">
        <v>76</v>
      </c>
      <c r="AU155" s="100" t="s">
        <v>85</v>
      </c>
      <c r="AY155" s="68" t="s">
        <v>211</v>
      </c>
      <c r="BK155" s="103">
        <f>BK156</f>
        <v>9000</v>
      </c>
    </row>
    <row r="156" spans="2:65" s="1" customFormat="1" ht="24.15" customHeight="1">
      <c r="B156" s="12"/>
      <c r="C156" s="71" t="s">
        <v>454</v>
      </c>
      <c r="D156" s="71" t="s">
        <v>214</v>
      </c>
      <c r="E156" s="72" t="s">
        <v>5604</v>
      </c>
      <c r="F156" s="73" t="s">
        <v>5539</v>
      </c>
      <c r="G156" s="74" t="s">
        <v>234</v>
      </c>
      <c r="H156" s="75">
        <v>1</v>
      </c>
      <c r="I156" s="90">
        <v>9000</v>
      </c>
      <c r="J156" s="91">
        <f>ROUND(I156*H156,2)</f>
        <v>9000</v>
      </c>
      <c r="K156" s="92"/>
      <c r="L156" s="12"/>
      <c r="M156" s="130" t="s">
        <v>1</v>
      </c>
      <c r="N156" s="131" t="s">
        <v>42</v>
      </c>
      <c r="O156" s="110"/>
      <c r="P156" s="132">
        <f>O156*H156</f>
        <v>0</v>
      </c>
      <c r="Q156" s="132">
        <v>0</v>
      </c>
      <c r="R156" s="132">
        <f>Q156*H156</f>
        <v>0</v>
      </c>
      <c r="S156" s="132">
        <v>0</v>
      </c>
      <c r="T156" s="134">
        <f>S156*H156</f>
        <v>0</v>
      </c>
      <c r="AR156" s="101" t="s">
        <v>218</v>
      </c>
      <c r="AT156" s="101" t="s">
        <v>214</v>
      </c>
      <c r="AU156" s="101" t="s">
        <v>87</v>
      </c>
      <c r="AY156" s="23" t="s">
        <v>211</v>
      </c>
      <c r="BE156" s="104">
        <f>IF(N156="základní",J156,0)</f>
        <v>9000</v>
      </c>
      <c r="BF156" s="104">
        <f>IF(N156="snížená",J156,0)</f>
        <v>0</v>
      </c>
      <c r="BG156" s="104">
        <f>IF(N156="zákl. přenesená",J156,0)</f>
        <v>0</v>
      </c>
      <c r="BH156" s="104">
        <f>IF(N156="sníž. přenesená",J156,0)</f>
        <v>0</v>
      </c>
      <c r="BI156" s="104">
        <f>IF(N156="nulová",J156,0)</f>
        <v>0</v>
      </c>
      <c r="BJ156" s="23" t="s">
        <v>85</v>
      </c>
      <c r="BK156" s="104">
        <f>ROUND(I156*H156,2)</f>
        <v>9000</v>
      </c>
      <c r="BL156" s="23" t="s">
        <v>218</v>
      </c>
      <c r="BM156" s="101" t="s">
        <v>551</v>
      </c>
    </row>
    <row r="157" spans="2:65" s="1" customFormat="1" ht="6.9" customHeight="1">
      <c r="B157" s="26"/>
      <c r="C157" s="27"/>
      <c r="D157" s="27"/>
      <c r="E157" s="27"/>
      <c r="F157" s="27"/>
      <c r="G157" s="27"/>
      <c r="H157" s="27"/>
      <c r="I157" s="27"/>
      <c r="J157" s="27"/>
      <c r="K157" s="27"/>
      <c r="L157" s="12"/>
    </row>
  </sheetData>
  <autoFilter ref="C130:K156" xr:uid="{00000000-0009-0000-0000-000011000000}"/>
  <mergeCells count="15">
    <mergeCell ref="L2:V2"/>
    <mergeCell ref="E7:H7"/>
    <mergeCell ref="E9:H9"/>
    <mergeCell ref="E11:H11"/>
    <mergeCell ref="E13:H13"/>
    <mergeCell ref="E22:H22"/>
    <mergeCell ref="E31:H31"/>
    <mergeCell ref="E85:H85"/>
    <mergeCell ref="E87:H87"/>
    <mergeCell ref="E89:H89"/>
    <mergeCell ref="E91:H91"/>
    <mergeCell ref="E117:H117"/>
    <mergeCell ref="E119:H119"/>
    <mergeCell ref="E121:H121"/>
    <mergeCell ref="E123:H123"/>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B2:BM128"/>
  <sheetViews>
    <sheetView showGridLines="0" topLeftCell="A113" workbookViewId="0"/>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150</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3.2">
      <c r="B8" s="5"/>
      <c r="D8" s="10" t="s">
        <v>182</v>
      </c>
      <c r="L8" s="5"/>
    </row>
    <row r="9" spans="2:46" ht="16.5" customHeight="1">
      <c r="B9" s="5"/>
      <c r="E9" s="392" t="s">
        <v>5462</v>
      </c>
      <c r="F9" s="383"/>
      <c r="G9" s="383"/>
      <c r="H9" s="383"/>
      <c r="L9" s="5"/>
    </row>
    <row r="10" spans="2:46" ht="12" customHeight="1">
      <c r="B10" s="5"/>
      <c r="D10" s="10" t="s">
        <v>296</v>
      </c>
      <c r="L10" s="5"/>
    </row>
    <row r="11" spans="2:46" s="1" customFormat="1" ht="16.5" customHeight="1">
      <c r="B11" s="12"/>
      <c r="E11" s="358" t="s">
        <v>5463</v>
      </c>
      <c r="F11" s="394"/>
      <c r="G11" s="394"/>
      <c r="H11" s="394"/>
      <c r="L11" s="12"/>
    </row>
    <row r="12" spans="2:46" s="1" customFormat="1" ht="12" customHeight="1">
      <c r="B12" s="12"/>
      <c r="D12" s="10" t="s">
        <v>5464</v>
      </c>
      <c r="L12" s="12"/>
    </row>
    <row r="13" spans="2:46" s="1" customFormat="1" ht="16.5" customHeight="1">
      <c r="B13" s="12"/>
      <c r="E13" s="381" t="s">
        <v>5612</v>
      </c>
      <c r="F13" s="394"/>
      <c r="G13" s="394"/>
      <c r="H13" s="394"/>
      <c r="L13" s="12"/>
    </row>
    <row r="14" spans="2:46" s="1" customFormat="1">
      <c r="B14" s="12"/>
      <c r="L14" s="12"/>
    </row>
    <row r="15" spans="2:46" s="1" customFormat="1" ht="12" customHeight="1">
      <c r="B15" s="12"/>
      <c r="D15" s="10" t="s">
        <v>18</v>
      </c>
      <c r="F15" s="32" t="s">
        <v>1</v>
      </c>
      <c r="I15" s="10" t="s">
        <v>19</v>
      </c>
      <c r="J15" s="32" t="s">
        <v>1</v>
      </c>
      <c r="L15" s="12"/>
    </row>
    <row r="16" spans="2:46" s="1" customFormat="1" ht="12" customHeight="1">
      <c r="B16" s="12"/>
      <c r="D16" s="10" t="s">
        <v>20</v>
      </c>
      <c r="F16" s="32" t="s">
        <v>21</v>
      </c>
      <c r="I16" s="10" t="s">
        <v>22</v>
      </c>
      <c r="J16" s="11">
        <f>'Rekapitulace stavby'!AN8</f>
        <v>45000</v>
      </c>
      <c r="L16" s="12"/>
    </row>
    <row r="17" spans="2:12" s="1" customFormat="1" ht="11.1" customHeight="1">
      <c r="B17" s="12"/>
      <c r="L17" s="12"/>
    </row>
    <row r="18" spans="2:12" s="1" customFormat="1" ht="12" customHeight="1">
      <c r="B18" s="12"/>
      <c r="D18" s="10" t="s">
        <v>23</v>
      </c>
      <c r="I18" s="10" t="s">
        <v>24</v>
      </c>
      <c r="J18" s="32" t="s">
        <v>1</v>
      </c>
      <c r="L18" s="12"/>
    </row>
    <row r="19" spans="2:12" s="1" customFormat="1" ht="18" customHeight="1">
      <c r="B19" s="12"/>
      <c r="E19" s="32" t="s">
        <v>25</v>
      </c>
      <c r="I19" s="10" t="s">
        <v>26</v>
      </c>
      <c r="J19" s="32" t="s">
        <v>1</v>
      </c>
      <c r="L19" s="12"/>
    </row>
    <row r="20" spans="2:12" s="1" customFormat="1" ht="6.9" customHeight="1">
      <c r="B20" s="12"/>
      <c r="L20" s="12"/>
    </row>
    <row r="21" spans="2:12" s="1" customFormat="1" ht="12" customHeight="1">
      <c r="B21" s="12"/>
      <c r="D21" s="10" t="s">
        <v>27</v>
      </c>
      <c r="I21" s="10" t="s">
        <v>24</v>
      </c>
      <c r="J21" s="33" t="str">
        <f>'Rekapitulace stavby'!AN13</f>
        <v>08004013</v>
      </c>
      <c r="L21" s="12"/>
    </row>
    <row r="22" spans="2:12" s="1" customFormat="1" ht="18" customHeight="1">
      <c r="B22" s="12"/>
      <c r="E22" s="395" t="str">
        <f>'Rekapitulace stavby'!E14</f>
        <v>DMG Stav a.s.</v>
      </c>
      <c r="F22" s="384"/>
      <c r="G22" s="384"/>
      <c r="H22" s="384"/>
      <c r="I22" s="10" t="s">
        <v>26</v>
      </c>
      <c r="J22" s="33" t="str">
        <f>'Rekapitulace stavby'!AN14</f>
        <v>CZ 08004013</v>
      </c>
      <c r="L22" s="12"/>
    </row>
    <row r="23" spans="2:12" s="1" customFormat="1" ht="6.9" customHeight="1">
      <c r="B23" s="12"/>
      <c r="L23" s="12"/>
    </row>
    <row r="24" spans="2:12" s="1" customFormat="1" ht="12" customHeight="1">
      <c r="B24" s="12"/>
      <c r="D24" s="10" t="s">
        <v>31</v>
      </c>
      <c r="I24" s="10" t="s">
        <v>24</v>
      </c>
      <c r="J24" s="32" t="s">
        <v>1</v>
      </c>
      <c r="L24" s="12"/>
    </row>
    <row r="25" spans="2:12" s="1" customFormat="1" ht="18" customHeight="1">
      <c r="B25" s="12"/>
      <c r="E25" s="32" t="s">
        <v>32</v>
      </c>
      <c r="I25" s="10" t="s">
        <v>26</v>
      </c>
      <c r="J25" s="32" t="s">
        <v>1</v>
      </c>
      <c r="L25" s="12"/>
    </row>
    <row r="26" spans="2:12" s="1" customFormat="1" ht="6.9" customHeight="1">
      <c r="B26" s="12"/>
      <c r="L26" s="12"/>
    </row>
    <row r="27" spans="2:12" s="1" customFormat="1" ht="12" customHeight="1">
      <c r="B27" s="12"/>
      <c r="D27" s="10" t="s">
        <v>34</v>
      </c>
      <c r="I27" s="10" t="s">
        <v>24</v>
      </c>
      <c r="J27" s="32" t="s">
        <v>1</v>
      </c>
      <c r="L27" s="12"/>
    </row>
    <row r="28" spans="2:12" s="1" customFormat="1" ht="18" customHeight="1">
      <c r="B28" s="12"/>
      <c r="E28" s="32" t="s">
        <v>35</v>
      </c>
      <c r="I28" s="10" t="s">
        <v>26</v>
      </c>
      <c r="J28" s="32" t="s">
        <v>1</v>
      </c>
      <c r="L28" s="12"/>
    </row>
    <row r="29" spans="2:12" s="1" customFormat="1" ht="6.9" customHeight="1">
      <c r="B29" s="12"/>
      <c r="L29" s="12"/>
    </row>
    <row r="30" spans="2:12" s="1" customFormat="1" ht="12" customHeight="1">
      <c r="B30" s="12"/>
      <c r="D30" s="10" t="s">
        <v>36</v>
      </c>
      <c r="L30" s="12"/>
    </row>
    <row r="31" spans="2:12" s="28" customFormat="1" ht="16.5" customHeight="1">
      <c r="B31" s="34"/>
      <c r="E31" s="388" t="s">
        <v>1</v>
      </c>
      <c r="F31" s="388"/>
      <c r="G31" s="388"/>
      <c r="H31" s="388"/>
      <c r="L31" s="34"/>
    </row>
    <row r="32" spans="2:12" s="1" customFormat="1" ht="6.9" customHeight="1">
      <c r="B32" s="12"/>
      <c r="L32" s="12"/>
    </row>
    <row r="33" spans="2:12" s="1" customFormat="1" ht="6.9" customHeight="1">
      <c r="B33" s="12"/>
      <c r="D33" s="35"/>
      <c r="E33" s="35"/>
      <c r="F33" s="35"/>
      <c r="G33" s="35"/>
      <c r="H33" s="35"/>
      <c r="I33" s="35"/>
      <c r="J33" s="35"/>
      <c r="K33" s="35"/>
      <c r="L33" s="12"/>
    </row>
    <row r="34" spans="2:12" s="1" customFormat="1" ht="25.35" customHeight="1">
      <c r="B34" s="12"/>
      <c r="D34" s="36" t="s">
        <v>37</v>
      </c>
      <c r="J34" s="51">
        <f>ROUND(J125,2)</f>
        <v>0</v>
      </c>
      <c r="L34" s="12"/>
    </row>
    <row r="35" spans="2:12" s="1" customFormat="1" ht="6.9" customHeight="1">
      <c r="B35" s="12"/>
      <c r="D35" s="35"/>
      <c r="E35" s="35"/>
      <c r="F35" s="35"/>
      <c r="G35" s="35"/>
      <c r="H35" s="35"/>
      <c r="I35" s="35"/>
      <c r="J35" s="35"/>
      <c r="K35" s="35"/>
      <c r="L35" s="12"/>
    </row>
    <row r="36" spans="2:12" s="1" customFormat="1" ht="14.4" customHeight="1">
      <c r="B36" s="12"/>
      <c r="F36" s="37" t="s">
        <v>39</v>
      </c>
      <c r="I36" s="37" t="s">
        <v>38</v>
      </c>
      <c r="J36" s="37" t="s">
        <v>40</v>
      </c>
      <c r="L36" s="12"/>
    </row>
    <row r="37" spans="2:12" s="1" customFormat="1" ht="14.4" customHeight="1">
      <c r="B37" s="12"/>
      <c r="D37" s="38" t="s">
        <v>41</v>
      </c>
      <c r="E37" s="10" t="s">
        <v>42</v>
      </c>
      <c r="F37" s="39">
        <f>ROUND((SUM(BE125:BE127)),2)</f>
        <v>0</v>
      </c>
      <c r="I37" s="52">
        <v>0.21</v>
      </c>
      <c r="J37" s="39">
        <f>ROUND(((SUM(BE125:BE127))*I37),2)</f>
        <v>0</v>
      </c>
      <c r="L37" s="12"/>
    </row>
    <row r="38" spans="2:12" s="1" customFormat="1" ht="14.4" customHeight="1">
      <c r="B38" s="12"/>
      <c r="E38" s="10" t="s">
        <v>43</v>
      </c>
      <c r="F38" s="39">
        <f>ROUND((SUM(BF125:BF127)),2)</f>
        <v>0</v>
      </c>
      <c r="I38" s="52">
        <v>0.15</v>
      </c>
      <c r="J38" s="39">
        <f>ROUND(((SUM(BF125:BF127))*I38),2)</f>
        <v>0</v>
      </c>
      <c r="L38" s="12"/>
    </row>
    <row r="39" spans="2:12" s="1" customFormat="1" ht="14.4" hidden="1" customHeight="1">
      <c r="B39" s="12"/>
      <c r="E39" s="10" t="s">
        <v>44</v>
      </c>
      <c r="F39" s="39">
        <f>ROUND((SUM(BG125:BG127)),2)</f>
        <v>0</v>
      </c>
      <c r="I39" s="52">
        <v>0.21</v>
      </c>
      <c r="J39" s="39">
        <f>0</f>
        <v>0</v>
      </c>
      <c r="L39" s="12"/>
    </row>
    <row r="40" spans="2:12" s="1" customFormat="1" ht="14.4" hidden="1" customHeight="1">
      <c r="B40" s="12"/>
      <c r="E40" s="10" t="s">
        <v>45</v>
      </c>
      <c r="F40" s="39">
        <f>ROUND((SUM(BH125:BH127)),2)</f>
        <v>0</v>
      </c>
      <c r="I40" s="52">
        <v>0.15</v>
      </c>
      <c r="J40" s="39">
        <f>0</f>
        <v>0</v>
      </c>
      <c r="L40" s="12"/>
    </row>
    <row r="41" spans="2:12" s="1" customFormat="1" ht="14.4" hidden="1" customHeight="1">
      <c r="B41" s="12"/>
      <c r="E41" s="10" t="s">
        <v>46</v>
      </c>
      <c r="F41" s="39">
        <f>ROUND((SUM(BI125:BI127)),2)</f>
        <v>0</v>
      </c>
      <c r="I41" s="52">
        <v>0</v>
      </c>
      <c r="J41" s="39">
        <f>0</f>
        <v>0</v>
      </c>
      <c r="L41" s="12"/>
    </row>
    <row r="42" spans="2:12" s="1" customFormat="1" ht="6.9" customHeight="1">
      <c r="B42" s="12"/>
      <c r="L42" s="12"/>
    </row>
    <row r="43" spans="2:12" s="1" customFormat="1" ht="25.35" customHeight="1">
      <c r="B43" s="12"/>
      <c r="C43" s="40"/>
      <c r="D43" s="41" t="s">
        <v>47</v>
      </c>
      <c r="E43" s="42"/>
      <c r="F43" s="42"/>
      <c r="G43" s="43" t="s">
        <v>48</v>
      </c>
      <c r="H43" s="44" t="s">
        <v>49</v>
      </c>
      <c r="I43" s="42"/>
      <c r="J43" s="53">
        <f>SUM(J34:J41)</f>
        <v>0</v>
      </c>
      <c r="K43" s="54"/>
      <c r="L43" s="12"/>
    </row>
    <row r="44" spans="2:12" s="1" customFormat="1" ht="14.4" customHeight="1">
      <c r="B44" s="12"/>
      <c r="L44" s="12"/>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ht="16.5" customHeight="1">
      <c r="B87" s="5"/>
      <c r="E87" s="392" t="s">
        <v>5462</v>
      </c>
      <c r="F87" s="383"/>
      <c r="G87" s="383"/>
      <c r="H87" s="383"/>
      <c r="L87" s="5"/>
    </row>
    <row r="88" spans="2:12" ht="12" customHeight="1">
      <c r="B88" s="5"/>
      <c r="C88" s="10" t="s">
        <v>296</v>
      </c>
      <c r="L88" s="5"/>
    </row>
    <row r="89" spans="2:12" s="1" customFormat="1" ht="16.5" customHeight="1">
      <c r="B89" s="12"/>
      <c r="E89" s="358" t="s">
        <v>5463</v>
      </c>
      <c r="F89" s="394"/>
      <c r="G89" s="394"/>
      <c r="H89" s="394"/>
      <c r="L89" s="12"/>
    </row>
    <row r="90" spans="2:12" s="1" customFormat="1" ht="12" customHeight="1">
      <c r="B90" s="12"/>
      <c r="C90" s="10" t="s">
        <v>5464</v>
      </c>
      <c r="L90" s="12"/>
    </row>
    <row r="91" spans="2:12" s="1" customFormat="1" ht="16.5" customHeight="1">
      <c r="B91" s="12"/>
      <c r="E91" s="381" t="str">
        <f>E13</f>
        <v>IO05 - PRE</v>
      </c>
      <c r="F91" s="394"/>
      <c r="G91" s="394"/>
      <c r="H91" s="394"/>
      <c r="L91" s="12"/>
    </row>
    <row r="92" spans="2:12" s="1" customFormat="1" ht="6.9" customHeight="1">
      <c r="B92" s="12"/>
      <c r="L92" s="12"/>
    </row>
    <row r="93" spans="2:12" s="1" customFormat="1" ht="12" customHeight="1">
      <c r="B93" s="12"/>
      <c r="C93" s="10" t="s">
        <v>20</v>
      </c>
      <c r="F93" s="32" t="str">
        <f>F16</f>
        <v>Praha</v>
      </c>
      <c r="I93" s="10" t="s">
        <v>22</v>
      </c>
      <c r="J93" s="11">
        <f>IF(J16="","",J16)</f>
        <v>45000</v>
      </c>
      <c r="L93" s="12"/>
    </row>
    <row r="94" spans="2:12" s="1" customFormat="1" ht="6.9" customHeight="1">
      <c r="B94" s="12"/>
      <c r="L94" s="12"/>
    </row>
    <row r="95" spans="2:12" s="1" customFormat="1" ht="15.15" customHeight="1">
      <c r="B95" s="12"/>
      <c r="C95" s="10" t="s">
        <v>23</v>
      </c>
      <c r="F95" s="32" t="str">
        <f>E19</f>
        <v>VELTON REAL ESTATE</v>
      </c>
      <c r="I95" s="10" t="s">
        <v>31</v>
      </c>
      <c r="J95" s="8" t="str">
        <f>E25</f>
        <v>ABMV World s.r.o</v>
      </c>
      <c r="L95" s="12"/>
    </row>
    <row r="96" spans="2:12" s="1" customFormat="1" ht="15.15" customHeight="1">
      <c r="B96" s="12"/>
      <c r="C96" s="10" t="s">
        <v>27</v>
      </c>
      <c r="F96" s="32" t="str">
        <f>IF(E22="","",E22)</f>
        <v>DMG Stav a.s.</v>
      </c>
      <c r="I96" s="10" t="s">
        <v>34</v>
      </c>
      <c r="J96" s="8" t="str">
        <f>E28</f>
        <v>QSB s.r.o.</v>
      </c>
      <c r="L96" s="12"/>
    </row>
    <row r="97" spans="2:47" s="1" customFormat="1" ht="10.35" customHeight="1">
      <c r="B97" s="12"/>
      <c r="L97" s="12"/>
    </row>
    <row r="98" spans="2:47" s="1" customFormat="1" ht="29.25" customHeight="1">
      <c r="B98" s="12"/>
      <c r="C98" s="58" t="s">
        <v>185</v>
      </c>
      <c r="D98" s="40"/>
      <c r="E98" s="40"/>
      <c r="F98" s="40"/>
      <c r="G98" s="40"/>
      <c r="H98" s="40"/>
      <c r="I98" s="40"/>
      <c r="J98" s="76" t="s">
        <v>186</v>
      </c>
      <c r="K98" s="40"/>
      <c r="L98" s="12"/>
    </row>
    <row r="99" spans="2:47" s="1" customFormat="1" ht="10.35" customHeight="1">
      <c r="B99" s="12"/>
      <c r="L99" s="12"/>
    </row>
    <row r="100" spans="2:47" s="1" customFormat="1" ht="23.1" customHeight="1">
      <c r="B100" s="12"/>
      <c r="C100" s="59" t="s">
        <v>187</v>
      </c>
      <c r="J100" s="51">
        <f>J125</f>
        <v>0</v>
      </c>
      <c r="L100" s="12"/>
      <c r="AU100" s="23" t="s">
        <v>188</v>
      </c>
    </row>
    <row r="101" spans="2:47" s="29" customFormat="1" ht="24.9" customHeight="1">
      <c r="B101" s="60"/>
      <c r="D101" s="61" t="s">
        <v>5612</v>
      </c>
      <c r="E101" s="62"/>
      <c r="F101" s="62"/>
      <c r="G101" s="62"/>
      <c r="H101" s="62"/>
      <c r="I101" s="62"/>
      <c r="J101" s="77">
        <f>J126</f>
        <v>0</v>
      </c>
      <c r="L101" s="60"/>
    </row>
    <row r="102" spans="2:47" s="1" customFormat="1" ht="21.75" customHeight="1">
      <c r="B102" s="12"/>
      <c r="L102" s="12"/>
    </row>
    <row r="103" spans="2:47" s="1" customFormat="1" ht="6.9" customHeight="1">
      <c r="B103" s="26"/>
      <c r="C103" s="27"/>
      <c r="D103" s="27"/>
      <c r="E103" s="27"/>
      <c r="F103" s="27"/>
      <c r="G103" s="27"/>
      <c r="H103" s="27"/>
      <c r="I103" s="27"/>
      <c r="J103" s="27"/>
      <c r="K103" s="27"/>
      <c r="L103" s="12"/>
    </row>
    <row r="107" spans="2:47" s="1" customFormat="1" ht="6.9" customHeight="1">
      <c r="B107" s="56"/>
      <c r="C107" s="57"/>
      <c r="D107" s="57"/>
      <c r="E107" s="57"/>
      <c r="F107" s="57"/>
      <c r="G107" s="57"/>
      <c r="H107" s="57"/>
      <c r="I107" s="57"/>
      <c r="J107" s="57"/>
      <c r="K107" s="57"/>
      <c r="L107" s="12"/>
    </row>
    <row r="108" spans="2:47" s="1" customFormat="1" ht="24.9" customHeight="1">
      <c r="B108" s="12"/>
      <c r="C108" s="6" t="s">
        <v>195</v>
      </c>
      <c r="L108" s="12"/>
    </row>
    <row r="109" spans="2:47" s="1" customFormat="1" ht="6.9" customHeight="1">
      <c r="B109" s="12"/>
      <c r="L109" s="12"/>
    </row>
    <row r="110" spans="2:47" s="1" customFormat="1" ht="12" customHeight="1">
      <c r="B110" s="12"/>
      <c r="C110" s="10" t="s">
        <v>16</v>
      </c>
      <c r="L110" s="12"/>
    </row>
    <row r="111" spans="2:47" s="1" customFormat="1" ht="16.5" customHeight="1">
      <c r="B111" s="12"/>
      <c r="E111" s="392" t="str">
        <f>E7</f>
        <v>Bytový soubor Libuše</v>
      </c>
      <c r="F111" s="393"/>
      <c r="G111" s="393"/>
      <c r="H111" s="393"/>
      <c r="L111" s="12"/>
    </row>
    <row r="112" spans="2:47" ht="12" customHeight="1">
      <c r="B112" s="5"/>
      <c r="C112" s="10" t="s">
        <v>182</v>
      </c>
      <c r="L112" s="5"/>
    </row>
    <row r="113" spans="2:65" ht="16.5" customHeight="1">
      <c r="B113" s="5"/>
      <c r="E113" s="392" t="s">
        <v>5462</v>
      </c>
      <c r="F113" s="383"/>
      <c r="G113" s="383"/>
      <c r="H113" s="383"/>
      <c r="L113" s="5"/>
    </row>
    <row r="114" spans="2:65" ht="12" customHeight="1">
      <c r="B114" s="5"/>
      <c r="C114" s="10" t="s">
        <v>296</v>
      </c>
      <c r="L114" s="5"/>
    </row>
    <row r="115" spans="2:65" s="1" customFormat="1" ht="16.5" customHeight="1">
      <c r="B115" s="12"/>
      <c r="E115" s="358" t="s">
        <v>5463</v>
      </c>
      <c r="F115" s="394"/>
      <c r="G115" s="394"/>
      <c r="H115" s="394"/>
      <c r="L115" s="12"/>
    </row>
    <row r="116" spans="2:65" s="1" customFormat="1" ht="12" customHeight="1">
      <c r="B116" s="12"/>
      <c r="C116" s="10" t="s">
        <v>5464</v>
      </c>
      <c r="L116" s="12"/>
    </row>
    <row r="117" spans="2:65" s="1" customFormat="1" ht="16.5" customHeight="1">
      <c r="B117" s="12"/>
      <c r="E117" s="381" t="str">
        <f>E13</f>
        <v>IO05 - PRE</v>
      </c>
      <c r="F117" s="394"/>
      <c r="G117" s="394"/>
      <c r="H117" s="394"/>
      <c r="L117" s="12"/>
    </row>
    <row r="118" spans="2:65" s="1" customFormat="1" ht="6.9" customHeight="1">
      <c r="B118" s="12"/>
      <c r="L118" s="12"/>
    </row>
    <row r="119" spans="2:65" s="1" customFormat="1" ht="12" customHeight="1">
      <c r="B119" s="12"/>
      <c r="C119" s="10" t="s">
        <v>20</v>
      </c>
      <c r="F119" s="32" t="str">
        <f>F16</f>
        <v>Praha</v>
      </c>
      <c r="I119" s="10" t="s">
        <v>22</v>
      </c>
      <c r="J119" s="11">
        <f>IF(J16="","",J16)</f>
        <v>45000</v>
      </c>
      <c r="L119" s="12"/>
    </row>
    <row r="120" spans="2:65" s="1" customFormat="1" ht="6.9" customHeight="1">
      <c r="B120" s="12"/>
      <c r="L120" s="12"/>
    </row>
    <row r="121" spans="2:65" s="1" customFormat="1" ht="15.15" customHeight="1">
      <c r="B121" s="12"/>
      <c r="C121" s="10" t="s">
        <v>23</v>
      </c>
      <c r="F121" s="32" t="str">
        <f>E19</f>
        <v>VELTON REAL ESTATE</v>
      </c>
      <c r="I121" s="10" t="s">
        <v>31</v>
      </c>
      <c r="J121" s="8" t="str">
        <f>E25</f>
        <v>ABMV World s.r.o</v>
      </c>
      <c r="L121" s="12"/>
    </row>
    <row r="122" spans="2:65" s="1" customFormat="1" ht="15.15" customHeight="1">
      <c r="B122" s="12"/>
      <c r="C122" s="10" t="s">
        <v>27</v>
      </c>
      <c r="F122" s="32" t="str">
        <f>IF(E22="","",E22)</f>
        <v>DMG Stav a.s.</v>
      </c>
      <c r="I122" s="10" t="s">
        <v>34</v>
      </c>
      <c r="J122" s="8" t="str">
        <f>E28</f>
        <v>QSB s.r.o.</v>
      </c>
      <c r="L122" s="12"/>
    </row>
    <row r="123" spans="2:65" s="1" customFormat="1" ht="10.35" customHeight="1">
      <c r="B123" s="12"/>
      <c r="L123" s="12"/>
    </row>
    <row r="124" spans="2:65" s="2" customFormat="1" ht="29.25" customHeight="1">
      <c r="B124" s="13"/>
      <c r="C124" s="14" t="s">
        <v>196</v>
      </c>
      <c r="D124" s="15" t="s">
        <v>62</v>
      </c>
      <c r="E124" s="15" t="s">
        <v>58</v>
      </c>
      <c r="F124" s="15" t="s">
        <v>59</v>
      </c>
      <c r="G124" s="15" t="s">
        <v>197</v>
      </c>
      <c r="H124" s="15" t="s">
        <v>198</v>
      </c>
      <c r="I124" s="15" t="s">
        <v>199</v>
      </c>
      <c r="J124" s="16" t="s">
        <v>186</v>
      </c>
      <c r="K124" s="79" t="s">
        <v>200</v>
      </c>
      <c r="L124" s="13"/>
      <c r="M124" s="80" t="s">
        <v>1</v>
      </c>
      <c r="N124" s="81" t="s">
        <v>41</v>
      </c>
      <c r="O124" s="81" t="s">
        <v>201</v>
      </c>
      <c r="P124" s="81" t="s">
        <v>202</v>
      </c>
      <c r="Q124" s="81" t="s">
        <v>203</v>
      </c>
      <c r="R124" s="81" t="s">
        <v>204</v>
      </c>
      <c r="S124" s="81" t="s">
        <v>205</v>
      </c>
      <c r="T124" s="96" t="s">
        <v>206</v>
      </c>
    </row>
    <row r="125" spans="2:65" s="1" customFormat="1" ht="23.1" customHeight="1">
      <c r="B125" s="12"/>
      <c r="C125" s="66" t="s">
        <v>207</v>
      </c>
      <c r="J125" s="82">
        <f>BK125</f>
        <v>0</v>
      </c>
      <c r="L125" s="12"/>
      <c r="M125" s="83"/>
      <c r="N125" s="35"/>
      <c r="O125" s="35"/>
      <c r="P125" s="84">
        <f>P126</f>
        <v>0</v>
      </c>
      <c r="Q125" s="35"/>
      <c r="R125" s="84">
        <f>R126</f>
        <v>0</v>
      </c>
      <c r="S125" s="35"/>
      <c r="T125" s="97">
        <f>T126</f>
        <v>0</v>
      </c>
      <c r="AT125" s="23" t="s">
        <v>76</v>
      </c>
      <c r="AU125" s="23" t="s">
        <v>188</v>
      </c>
      <c r="BK125" s="102">
        <f>BK126</f>
        <v>0</v>
      </c>
    </row>
    <row r="126" spans="2:65" s="31" customFormat="1" ht="26.1" customHeight="1">
      <c r="B126" s="67"/>
      <c r="D126" s="68" t="s">
        <v>76</v>
      </c>
      <c r="E126" s="69" t="s">
        <v>148</v>
      </c>
      <c r="F126" s="69" t="s">
        <v>149</v>
      </c>
      <c r="I126" s="85"/>
      <c r="J126" s="86">
        <f>BK126</f>
        <v>0</v>
      </c>
      <c r="L126" s="67"/>
      <c r="M126" s="87"/>
      <c r="P126" s="88">
        <f>P127</f>
        <v>0</v>
      </c>
      <c r="R126" s="88">
        <f>R127</f>
        <v>0</v>
      </c>
      <c r="T126" s="98">
        <f>T127</f>
        <v>0</v>
      </c>
      <c r="AR126" s="68" t="s">
        <v>87</v>
      </c>
      <c r="AT126" s="100" t="s">
        <v>76</v>
      </c>
      <c r="AU126" s="100" t="s">
        <v>77</v>
      </c>
      <c r="AY126" s="68" t="s">
        <v>211</v>
      </c>
      <c r="BK126" s="103">
        <f>BK127</f>
        <v>0</v>
      </c>
    </row>
    <row r="127" spans="2:65" s="1" customFormat="1" ht="16.5" customHeight="1">
      <c r="B127" s="12"/>
      <c r="C127" s="71" t="s">
        <v>85</v>
      </c>
      <c r="D127" s="71" t="s">
        <v>214</v>
      </c>
      <c r="E127" s="72" t="s">
        <v>5613</v>
      </c>
      <c r="F127" s="73" t="s">
        <v>149</v>
      </c>
      <c r="G127" s="74" t="s">
        <v>234</v>
      </c>
      <c r="H127" s="75">
        <v>1</v>
      </c>
      <c r="I127" s="90"/>
      <c r="J127" s="91">
        <f>ROUND(I127*H127,2)</f>
        <v>0</v>
      </c>
      <c r="K127" s="92"/>
      <c r="L127" s="12"/>
      <c r="M127" s="130" t="s">
        <v>1</v>
      </c>
      <c r="N127" s="131" t="s">
        <v>42</v>
      </c>
      <c r="O127" s="110"/>
      <c r="P127" s="132">
        <f>O127*H127</f>
        <v>0</v>
      </c>
      <c r="Q127" s="132">
        <v>0</v>
      </c>
      <c r="R127" s="132">
        <f>Q127*H127</f>
        <v>0</v>
      </c>
      <c r="S127" s="132">
        <v>0</v>
      </c>
      <c r="T127" s="134">
        <f>S127*H127</f>
        <v>0</v>
      </c>
      <c r="AR127" s="101" t="s">
        <v>446</v>
      </c>
      <c r="AT127" s="101" t="s">
        <v>214</v>
      </c>
      <c r="AU127" s="101" t="s">
        <v>85</v>
      </c>
      <c r="AY127" s="23" t="s">
        <v>211</v>
      </c>
      <c r="BE127" s="104">
        <f>IF(N127="základní",J127,0)</f>
        <v>0</v>
      </c>
      <c r="BF127" s="104">
        <f>IF(N127="snížená",J127,0)</f>
        <v>0</v>
      </c>
      <c r="BG127" s="104">
        <f>IF(N127="zákl. přenesená",J127,0)</f>
        <v>0</v>
      </c>
      <c r="BH127" s="104">
        <f>IF(N127="sníž. přenesená",J127,0)</f>
        <v>0</v>
      </c>
      <c r="BI127" s="104">
        <f>IF(N127="nulová",J127,0)</f>
        <v>0</v>
      </c>
      <c r="BJ127" s="23" t="s">
        <v>85</v>
      </c>
      <c r="BK127" s="104">
        <f>ROUND(I127*H127,2)</f>
        <v>0</v>
      </c>
      <c r="BL127" s="23" t="s">
        <v>446</v>
      </c>
      <c r="BM127" s="101" t="s">
        <v>5614</v>
      </c>
    </row>
    <row r="128" spans="2:65" s="1" customFormat="1" ht="6.9" customHeight="1">
      <c r="B128" s="26"/>
      <c r="C128" s="27"/>
      <c r="D128" s="27"/>
      <c r="E128" s="27"/>
      <c r="F128" s="27"/>
      <c r="G128" s="27"/>
      <c r="H128" s="27"/>
      <c r="I128" s="27"/>
      <c r="J128" s="27"/>
      <c r="K128" s="27"/>
      <c r="L128" s="12"/>
    </row>
  </sheetData>
  <autoFilter ref="C124:K127" xr:uid="{00000000-0009-0000-0000-000012000000}"/>
  <mergeCells count="15">
    <mergeCell ref="L2:V2"/>
    <mergeCell ref="E7:H7"/>
    <mergeCell ref="E9:H9"/>
    <mergeCell ref="E11:H11"/>
    <mergeCell ref="E13:H13"/>
    <mergeCell ref="E22:H22"/>
    <mergeCell ref="E31:H31"/>
    <mergeCell ref="E85:H85"/>
    <mergeCell ref="E87:H87"/>
    <mergeCell ref="E89:H89"/>
    <mergeCell ref="E91:H91"/>
    <mergeCell ref="E111:H111"/>
    <mergeCell ref="E113:H113"/>
    <mergeCell ref="E115:H115"/>
    <mergeCell ref="E117:H117"/>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B2:BM128"/>
  <sheetViews>
    <sheetView showGridLines="0" topLeftCell="A52" workbookViewId="0"/>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153</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3.2">
      <c r="B8" s="5"/>
      <c r="D8" s="10" t="s">
        <v>182</v>
      </c>
      <c r="L8" s="5"/>
    </row>
    <row r="9" spans="2:46" ht="16.5" customHeight="1">
      <c r="B9" s="5"/>
      <c r="E9" s="392" t="s">
        <v>5462</v>
      </c>
      <c r="F9" s="383"/>
      <c r="G9" s="383"/>
      <c r="H9" s="383"/>
      <c r="L9" s="5"/>
    </row>
    <row r="10" spans="2:46" ht="12" customHeight="1">
      <c r="B10" s="5"/>
      <c r="D10" s="10" t="s">
        <v>296</v>
      </c>
      <c r="L10" s="5"/>
    </row>
    <row r="11" spans="2:46" s="1" customFormat="1" ht="16.5" customHeight="1">
      <c r="B11" s="12"/>
      <c r="E11" s="358" t="s">
        <v>5463</v>
      </c>
      <c r="F11" s="394"/>
      <c r="G11" s="394"/>
      <c r="H11" s="394"/>
      <c r="L11" s="12"/>
    </row>
    <row r="12" spans="2:46" s="1" customFormat="1" ht="12" customHeight="1">
      <c r="B12" s="12"/>
      <c r="D12" s="10" t="s">
        <v>5464</v>
      </c>
      <c r="L12" s="12"/>
    </row>
    <row r="13" spans="2:46" s="1" customFormat="1" ht="16.5" customHeight="1">
      <c r="B13" s="12"/>
      <c r="E13" s="381" t="s">
        <v>5615</v>
      </c>
      <c r="F13" s="394"/>
      <c r="G13" s="394"/>
      <c r="H13" s="394"/>
      <c r="L13" s="12"/>
    </row>
    <row r="14" spans="2:46" s="1" customFormat="1">
      <c r="B14" s="12"/>
      <c r="L14" s="12"/>
    </row>
    <row r="15" spans="2:46" s="1" customFormat="1" ht="12" customHeight="1">
      <c r="B15" s="12"/>
      <c r="D15" s="10" t="s">
        <v>18</v>
      </c>
      <c r="F15" s="32" t="s">
        <v>1</v>
      </c>
      <c r="I15" s="10" t="s">
        <v>19</v>
      </c>
      <c r="J15" s="32" t="s">
        <v>1</v>
      </c>
      <c r="L15" s="12"/>
    </row>
    <row r="16" spans="2:46" s="1" customFormat="1" ht="12" customHeight="1">
      <c r="B16" s="12"/>
      <c r="D16" s="10" t="s">
        <v>20</v>
      </c>
      <c r="F16" s="32" t="s">
        <v>21</v>
      </c>
      <c r="I16" s="10" t="s">
        <v>22</v>
      </c>
      <c r="J16" s="11">
        <f>'Rekapitulace stavby'!AN8</f>
        <v>45000</v>
      </c>
      <c r="L16" s="12"/>
    </row>
    <row r="17" spans="2:12" s="1" customFormat="1" ht="11.1" customHeight="1">
      <c r="B17" s="12"/>
      <c r="L17" s="12"/>
    </row>
    <row r="18" spans="2:12" s="1" customFormat="1" ht="12" customHeight="1">
      <c r="B18" s="12"/>
      <c r="D18" s="10" t="s">
        <v>23</v>
      </c>
      <c r="I18" s="10" t="s">
        <v>24</v>
      </c>
      <c r="J18" s="32" t="s">
        <v>1</v>
      </c>
      <c r="L18" s="12"/>
    </row>
    <row r="19" spans="2:12" s="1" customFormat="1" ht="18" customHeight="1">
      <c r="B19" s="12"/>
      <c r="E19" s="32" t="s">
        <v>25</v>
      </c>
      <c r="I19" s="10" t="s">
        <v>26</v>
      </c>
      <c r="J19" s="32" t="s">
        <v>1</v>
      </c>
      <c r="L19" s="12"/>
    </row>
    <row r="20" spans="2:12" s="1" customFormat="1" ht="6.9" customHeight="1">
      <c r="B20" s="12"/>
      <c r="L20" s="12"/>
    </row>
    <row r="21" spans="2:12" s="1" customFormat="1" ht="12" customHeight="1">
      <c r="B21" s="12"/>
      <c r="D21" s="10" t="s">
        <v>27</v>
      </c>
      <c r="I21" s="10" t="s">
        <v>24</v>
      </c>
      <c r="J21" s="33" t="str">
        <f>'Rekapitulace stavby'!AN13</f>
        <v>08004013</v>
      </c>
      <c r="L21" s="12"/>
    </row>
    <row r="22" spans="2:12" s="1" customFormat="1" ht="18" customHeight="1">
      <c r="B22" s="12"/>
      <c r="E22" s="395" t="str">
        <f>'Rekapitulace stavby'!E14</f>
        <v>DMG Stav a.s.</v>
      </c>
      <c r="F22" s="384"/>
      <c r="G22" s="384"/>
      <c r="H22" s="384"/>
      <c r="I22" s="10" t="s">
        <v>26</v>
      </c>
      <c r="J22" s="33" t="str">
        <f>'Rekapitulace stavby'!AN14</f>
        <v>CZ 08004013</v>
      </c>
      <c r="L22" s="12"/>
    </row>
    <row r="23" spans="2:12" s="1" customFormat="1" ht="6.9" customHeight="1">
      <c r="B23" s="12"/>
      <c r="L23" s="12"/>
    </row>
    <row r="24" spans="2:12" s="1" customFormat="1" ht="12" customHeight="1">
      <c r="B24" s="12"/>
      <c r="D24" s="10" t="s">
        <v>31</v>
      </c>
      <c r="I24" s="10" t="s">
        <v>24</v>
      </c>
      <c r="J24" s="32" t="s">
        <v>1</v>
      </c>
      <c r="L24" s="12"/>
    </row>
    <row r="25" spans="2:12" s="1" customFormat="1" ht="18" customHeight="1">
      <c r="B25" s="12"/>
      <c r="E25" s="32" t="s">
        <v>32</v>
      </c>
      <c r="I25" s="10" t="s">
        <v>26</v>
      </c>
      <c r="J25" s="32" t="s">
        <v>1</v>
      </c>
      <c r="L25" s="12"/>
    </row>
    <row r="26" spans="2:12" s="1" customFormat="1" ht="6.9" customHeight="1">
      <c r="B26" s="12"/>
      <c r="L26" s="12"/>
    </row>
    <row r="27" spans="2:12" s="1" customFormat="1" ht="12" customHeight="1">
      <c r="B27" s="12"/>
      <c r="D27" s="10" t="s">
        <v>34</v>
      </c>
      <c r="I27" s="10" t="s">
        <v>24</v>
      </c>
      <c r="J27" s="32" t="s">
        <v>1</v>
      </c>
      <c r="L27" s="12"/>
    </row>
    <row r="28" spans="2:12" s="1" customFormat="1" ht="18" customHeight="1">
      <c r="B28" s="12"/>
      <c r="E28" s="32" t="s">
        <v>35</v>
      </c>
      <c r="I28" s="10" t="s">
        <v>26</v>
      </c>
      <c r="J28" s="32" t="s">
        <v>1</v>
      </c>
      <c r="L28" s="12"/>
    </row>
    <row r="29" spans="2:12" s="1" customFormat="1" ht="6.9" customHeight="1">
      <c r="B29" s="12"/>
      <c r="L29" s="12"/>
    </row>
    <row r="30" spans="2:12" s="1" customFormat="1" ht="12" customHeight="1">
      <c r="B30" s="12"/>
      <c r="D30" s="10" t="s">
        <v>36</v>
      </c>
      <c r="L30" s="12"/>
    </row>
    <row r="31" spans="2:12" s="28" customFormat="1" ht="16.5" customHeight="1">
      <c r="B31" s="34"/>
      <c r="E31" s="388" t="s">
        <v>1</v>
      </c>
      <c r="F31" s="388"/>
      <c r="G31" s="388"/>
      <c r="H31" s="388"/>
      <c r="L31" s="34"/>
    </row>
    <row r="32" spans="2:12" s="1" customFormat="1" ht="6.9" customHeight="1">
      <c r="B32" s="12"/>
      <c r="L32" s="12"/>
    </row>
    <row r="33" spans="2:12" s="1" customFormat="1" ht="6.9" customHeight="1">
      <c r="B33" s="12"/>
      <c r="D33" s="35"/>
      <c r="E33" s="35"/>
      <c r="F33" s="35"/>
      <c r="G33" s="35"/>
      <c r="H33" s="35"/>
      <c r="I33" s="35"/>
      <c r="J33" s="35"/>
      <c r="K33" s="35"/>
      <c r="L33" s="12"/>
    </row>
    <row r="34" spans="2:12" s="1" customFormat="1" ht="25.35" customHeight="1">
      <c r="B34" s="12"/>
      <c r="D34" s="36" t="s">
        <v>37</v>
      </c>
      <c r="J34" s="51">
        <f>ROUND(J125,2)</f>
        <v>0</v>
      </c>
      <c r="L34" s="12"/>
    </row>
    <row r="35" spans="2:12" s="1" customFormat="1" ht="6.9" customHeight="1">
      <c r="B35" s="12"/>
      <c r="D35" s="35"/>
      <c r="E35" s="35"/>
      <c r="F35" s="35"/>
      <c r="G35" s="35"/>
      <c r="H35" s="35"/>
      <c r="I35" s="35"/>
      <c r="J35" s="35"/>
      <c r="K35" s="35"/>
      <c r="L35" s="12"/>
    </row>
    <row r="36" spans="2:12" s="1" customFormat="1" ht="14.4" customHeight="1">
      <c r="B36" s="12"/>
      <c r="F36" s="37" t="s">
        <v>39</v>
      </c>
      <c r="I36" s="37" t="s">
        <v>38</v>
      </c>
      <c r="J36" s="37" t="s">
        <v>40</v>
      </c>
      <c r="L36" s="12"/>
    </row>
    <row r="37" spans="2:12" s="1" customFormat="1" ht="14.4" customHeight="1">
      <c r="B37" s="12"/>
      <c r="D37" s="38" t="s">
        <v>41</v>
      </c>
      <c r="E37" s="10" t="s">
        <v>42</v>
      </c>
      <c r="F37" s="39">
        <f>ROUND((SUM(BE125:BE127)),2)</f>
        <v>0</v>
      </c>
      <c r="I37" s="52">
        <v>0.21</v>
      </c>
      <c r="J37" s="39">
        <f>ROUND(((SUM(BE125:BE127))*I37),2)</f>
        <v>0</v>
      </c>
      <c r="L37" s="12"/>
    </row>
    <row r="38" spans="2:12" s="1" customFormat="1" ht="14.4" customHeight="1">
      <c r="B38" s="12"/>
      <c r="E38" s="10" t="s">
        <v>43</v>
      </c>
      <c r="F38" s="39">
        <f>ROUND((SUM(BF125:BF127)),2)</f>
        <v>0</v>
      </c>
      <c r="I38" s="52">
        <v>0.15</v>
      </c>
      <c r="J38" s="39">
        <f>ROUND(((SUM(BF125:BF127))*I38),2)</f>
        <v>0</v>
      </c>
      <c r="L38" s="12"/>
    </row>
    <row r="39" spans="2:12" s="1" customFormat="1" ht="14.4" hidden="1" customHeight="1">
      <c r="B39" s="12"/>
      <c r="E39" s="10" t="s">
        <v>44</v>
      </c>
      <c r="F39" s="39">
        <f>ROUND((SUM(BG125:BG127)),2)</f>
        <v>0</v>
      </c>
      <c r="I39" s="52">
        <v>0.21</v>
      </c>
      <c r="J39" s="39">
        <f>0</f>
        <v>0</v>
      </c>
      <c r="L39" s="12"/>
    </row>
    <row r="40" spans="2:12" s="1" customFormat="1" ht="14.4" hidden="1" customHeight="1">
      <c r="B40" s="12"/>
      <c r="E40" s="10" t="s">
        <v>45</v>
      </c>
      <c r="F40" s="39">
        <f>ROUND((SUM(BH125:BH127)),2)</f>
        <v>0</v>
      </c>
      <c r="I40" s="52">
        <v>0.15</v>
      </c>
      <c r="J40" s="39">
        <f>0</f>
        <v>0</v>
      </c>
      <c r="L40" s="12"/>
    </row>
    <row r="41" spans="2:12" s="1" customFormat="1" ht="14.4" hidden="1" customHeight="1">
      <c r="B41" s="12"/>
      <c r="E41" s="10" t="s">
        <v>46</v>
      </c>
      <c r="F41" s="39">
        <f>ROUND((SUM(BI125:BI127)),2)</f>
        <v>0</v>
      </c>
      <c r="I41" s="52">
        <v>0</v>
      </c>
      <c r="J41" s="39">
        <f>0</f>
        <v>0</v>
      </c>
      <c r="L41" s="12"/>
    </row>
    <row r="42" spans="2:12" s="1" customFormat="1" ht="6.9" customHeight="1">
      <c r="B42" s="12"/>
      <c r="L42" s="12"/>
    </row>
    <row r="43" spans="2:12" s="1" customFormat="1" ht="25.35" customHeight="1">
      <c r="B43" s="12"/>
      <c r="C43" s="40"/>
      <c r="D43" s="41" t="s">
        <v>47</v>
      </c>
      <c r="E43" s="42"/>
      <c r="F43" s="42"/>
      <c r="G43" s="43" t="s">
        <v>48</v>
      </c>
      <c r="H43" s="44" t="s">
        <v>49</v>
      </c>
      <c r="I43" s="42"/>
      <c r="J43" s="53">
        <f>SUM(J34:J41)</f>
        <v>0</v>
      </c>
      <c r="K43" s="54"/>
      <c r="L43" s="12"/>
    </row>
    <row r="44" spans="2:12" s="1" customFormat="1" ht="14.4" customHeight="1">
      <c r="B44" s="12"/>
      <c r="L44" s="12"/>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ht="16.5" customHeight="1">
      <c r="B87" s="5"/>
      <c r="E87" s="392" t="s">
        <v>5462</v>
      </c>
      <c r="F87" s="383"/>
      <c r="G87" s="383"/>
      <c r="H87" s="383"/>
      <c r="L87" s="5"/>
    </row>
    <row r="88" spans="2:12" ht="12" customHeight="1">
      <c r="B88" s="5"/>
      <c r="C88" s="10" t="s">
        <v>296</v>
      </c>
      <c r="L88" s="5"/>
    </row>
    <row r="89" spans="2:12" s="1" customFormat="1" ht="16.5" customHeight="1">
      <c r="B89" s="12"/>
      <c r="E89" s="358" t="s">
        <v>5463</v>
      </c>
      <c r="F89" s="394"/>
      <c r="G89" s="394"/>
      <c r="H89" s="394"/>
      <c r="L89" s="12"/>
    </row>
    <row r="90" spans="2:12" s="1" customFormat="1" ht="12" customHeight="1">
      <c r="B90" s="12"/>
      <c r="C90" s="10" t="s">
        <v>5464</v>
      </c>
      <c r="L90" s="12"/>
    </row>
    <row r="91" spans="2:12" s="1" customFormat="1" ht="16.5" customHeight="1">
      <c r="B91" s="12"/>
      <c r="E91" s="381" t="str">
        <f>E13</f>
        <v>IO06 - CETIN</v>
      </c>
      <c r="F91" s="394"/>
      <c r="G91" s="394"/>
      <c r="H91" s="394"/>
      <c r="L91" s="12"/>
    </row>
    <row r="92" spans="2:12" s="1" customFormat="1" ht="6.9" customHeight="1">
      <c r="B92" s="12"/>
      <c r="L92" s="12"/>
    </row>
    <row r="93" spans="2:12" s="1" customFormat="1" ht="12" customHeight="1">
      <c r="B93" s="12"/>
      <c r="C93" s="10" t="s">
        <v>20</v>
      </c>
      <c r="F93" s="32" t="str">
        <f>F16</f>
        <v>Praha</v>
      </c>
      <c r="I93" s="10" t="s">
        <v>22</v>
      </c>
      <c r="J93" s="11">
        <f>IF(J16="","",J16)</f>
        <v>45000</v>
      </c>
      <c r="L93" s="12"/>
    </row>
    <row r="94" spans="2:12" s="1" customFormat="1" ht="6.9" customHeight="1">
      <c r="B94" s="12"/>
      <c r="L94" s="12"/>
    </row>
    <row r="95" spans="2:12" s="1" customFormat="1" ht="15.15" customHeight="1">
      <c r="B95" s="12"/>
      <c r="C95" s="10" t="s">
        <v>23</v>
      </c>
      <c r="F95" s="32" t="str">
        <f>E19</f>
        <v>VELTON REAL ESTATE</v>
      </c>
      <c r="I95" s="10" t="s">
        <v>31</v>
      </c>
      <c r="J95" s="8" t="str">
        <f>E25</f>
        <v>ABMV World s.r.o</v>
      </c>
      <c r="L95" s="12"/>
    </row>
    <row r="96" spans="2:12" s="1" customFormat="1" ht="15.15" customHeight="1">
      <c r="B96" s="12"/>
      <c r="C96" s="10" t="s">
        <v>27</v>
      </c>
      <c r="F96" s="32" t="str">
        <f>IF(E22="","",E22)</f>
        <v>DMG Stav a.s.</v>
      </c>
      <c r="I96" s="10" t="s">
        <v>34</v>
      </c>
      <c r="J96" s="8" t="str">
        <f>E28</f>
        <v>QSB s.r.o.</v>
      </c>
      <c r="L96" s="12"/>
    </row>
    <row r="97" spans="2:47" s="1" customFormat="1" ht="10.35" customHeight="1">
      <c r="B97" s="12"/>
      <c r="L97" s="12"/>
    </row>
    <row r="98" spans="2:47" s="1" customFormat="1" ht="29.25" customHeight="1">
      <c r="B98" s="12"/>
      <c r="C98" s="58" t="s">
        <v>185</v>
      </c>
      <c r="D98" s="40"/>
      <c r="E98" s="40"/>
      <c r="F98" s="40"/>
      <c r="G98" s="40"/>
      <c r="H98" s="40"/>
      <c r="I98" s="40"/>
      <c r="J98" s="76" t="s">
        <v>186</v>
      </c>
      <c r="K98" s="40"/>
      <c r="L98" s="12"/>
    </row>
    <row r="99" spans="2:47" s="1" customFormat="1" ht="10.35" customHeight="1">
      <c r="B99" s="12"/>
      <c r="L99" s="12"/>
    </row>
    <row r="100" spans="2:47" s="1" customFormat="1" ht="23.1" customHeight="1">
      <c r="B100" s="12"/>
      <c r="C100" s="59" t="s">
        <v>187</v>
      </c>
      <c r="J100" s="51">
        <f>J125</f>
        <v>0</v>
      </c>
      <c r="L100" s="12"/>
      <c r="AU100" s="23" t="s">
        <v>188</v>
      </c>
    </row>
    <row r="101" spans="2:47" s="29" customFormat="1" ht="24.9" customHeight="1">
      <c r="B101" s="60"/>
      <c r="D101" s="61" t="s">
        <v>5615</v>
      </c>
      <c r="E101" s="62"/>
      <c r="F101" s="62"/>
      <c r="G101" s="62"/>
      <c r="H101" s="62"/>
      <c r="I101" s="62"/>
      <c r="J101" s="77">
        <f>J126</f>
        <v>0</v>
      </c>
      <c r="L101" s="60"/>
    </row>
    <row r="102" spans="2:47" s="1" customFormat="1" ht="21.75" customHeight="1">
      <c r="B102" s="12"/>
      <c r="L102" s="12"/>
    </row>
    <row r="103" spans="2:47" s="1" customFormat="1" ht="6.9" customHeight="1">
      <c r="B103" s="26"/>
      <c r="C103" s="27"/>
      <c r="D103" s="27"/>
      <c r="E103" s="27"/>
      <c r="F103" s="27"/>
      <c r="G103" s="27"/>
      <c r="H103" s="27"/>
      <c r="I103" s="27"/>
      <c r="J103" s="27"/>
      <c r="K103" s="27"/>
      <c r="L103" s="12"/>
    </row>
    <row r="107" spans="2:47" s="1" customFormat="1" ht="6.9" customHeight="1">
      <c r="B107" s="56"/>
      <c r="C107" s="57"/>
      <c r="D107" s="57"/>
      <c r="E107" s="57"/>
      <c r="F107" s="57"/>
      <c r="G107" s="57"/>
      <c r="H107" s="57"/>
      <c r="I107" s="57"/>
      <c r="J107" s="57"/>
      <c r="K107" s="57"/>
      <c r="L107" s="12"/>
    </row>
    <row r="108" spans="2:47" s="1" customFormat="1" ht="24.9" customHeight="1">
      <c r="B108" s="12"/>
      <c r="C108" s="6" t="s">
        <v>195</v>
      </c>
      <c r="L108" s="12"/>
    </row>
    <row r="109" spans="2:47" s="1" customFormat="1" ht="6.9" customHeight="1">
      <c r="B109" s="12"/>
      <c r="L109" s="12"/>
    </row>
    <row r="110" spans="2:47" s="1" customFormat="1" ht="12" customHeight="1">
      <c r="B110" s="12"/>
      <c r="C110" s="10" t="s">
        <v>16</v>
      </c>
      <c r="L110" s="12"/>
    </row>
    <row r="111" spans="2:47" s="1" customFormat="1" ht="16.5" customHeight="1">
      <c r="B111" s="12"/>
      <c r="E111" s="392" t="str">
        <f>E7</f>
        <v>Bytový soubor Libuše</v>
      </c>
      <c r="F111" s="393"/>
      <c r="G111" s="393"/>
      <c r="H111" s="393"/>
      <c r="L111" s="12"/>
    </row>
    <row r="112" spans="2:47" ht="12" customHeight="1">
      <c r="B112" s="5"/>
      <c r="C112" s="10" t="s">
        <v>182</v>
      </c>
      <c r="L112" s="5"/>
    </row>
    <row r="113" spans="2:65" ht="16.5" customHeight="1">
      <c r="B113" s="5"/>
      <c r="E113" s="392" t="s">
        <v>5462</v>
      </c>
      <c r="F113" s="383"/>
      <c r="G113" s="383"/>
      <c r="H113" s="383"/>
      <c r="L113" s="5"/>
    </row>
    <row r="114" spans="2:65" ht="12" customHeight="1">
      <c r="B114" s="5"/>
      <c r="C114" s="10" t="s">
        <v>296</v>
      </c>
      <c r="L114" s="5"/>
    </row>
    <row r="115" spans="2:65" s="1" customFormat="1" ht="16.5" customHeight="1">
      <c r="B115" s="12"/>
      <c r="E115" s="358" t="s">
        <v>5463</v>
      </c>
      <c r="F115" s="394"/>
      <c r="G115" s="394"/>
      <c r="H115" s="394"/>
      <c r="L115" s="12"/>
    </row>
    <row r="116" spans="2:65" s="1" customFormat="1" ht="12" customHeight="1">
      <c r="B116" s="12"/>
      <c r="C116" s="10" t="s">
        <v>5464</v>
      </c>
      <c r="L116" s="12"/>
    </row>
    <row r="117" spans="2:65" s="1" customFormat="1" ht="16.5" customHeight="1">
      <c r="B117" s="12"/>
      <c r="E117" s="381" t="str">
        <f>E13</f>
        <v>IO06 - CETIN</v>
      </c>
      <c r="F117" s="394"/>
      <c r="G117" s="394"/>
      <c r="H117" s="394"/>
      <c r="L117" s="12"/>
    </row>
    <row r="118" spans="2:65" s="1" customFormat="1" ht="6.9" customHeight="1">
      <c r="B118" s="12"/>
      <c r="L118" s="12"/>
    </row>
    <row r="119" spans="2:65" s="1" customFormat="1" ht="12" customHeight="1">
      <c r="B119" s="12"/>
      <c r="C119" s="10" t="s">
        <v>20</v>
      </c>
      <c r="F119" s="32" t="str">
        <f>F16</f>
        <v>Praha</v>
      </c>
      <c r="I119" s="10" t="s">
        <v>22</v>
      </c>
      <c r="J119" s="11">
        <f>IF(J16="","",J16)</f>
        <v>45000</v>
      </c>
      <c r="L119" s="12"/>
    </row>
    <row r="120" spans="2:65" s="1" customFormat="1" ht="6.9" customHeight="1">
      <c r="B120" s="12"/>
      <c r="L120" s="12"/>
    </row>
    <row r="121" spans="2:65" s="1" customFormat="1" ht="15.15" customHeight="1">
      <c r="B121" s="12"/>
      <c r="C121" s="10" t="s">
        <v>23</v>
      </c>
      <c r="F121" s="32" t="str">
        <f>E19</f>
        <v>VELTON REAL ESTATE</v>
      </c>
      <c r="I121" s="10" t="s">
        <v>31</v>
      </c>
      <c r="J121" s="8" t="str">
        <f>E25</f>
        <v>ABMV World s.r.o</v>
      </c>
      <c r="L121" s="12"/>
    </row>
    <row r="122" spans="2:65" s="1" customFormat="1" ht="15.15" customHeight="1">
      <c r="B122" s="12"/>
      <c r="C122" s="10" t="s">
        <v>27</v>
      </c>
      <c r="F122" s="32" t="str">
        <f>IF(E22="","",E22)</f>
        <v>DMG Stav a.s.</v>
      </c>
      <c r="I122" s="10" t="s">
        <v>34</v>
      </c>
      <c r="J122" s="8" t="str">
        <f>E28</f>
        <v>QSB s.r.o.</v>
      </c>
      <c r="L122" s="12"/>
    </row>
    <row r="123" spans="2:65" s="1" customFormat="1" ht="10.35" customHeight="1">
      <c r="B123" s="12"/>
      <c r="L123" s="12"/>
    </row>
    <row r="124" spans="2:65" s="2" customFormat="1" ht="29.25" customHeight="1">
      <c r="B124" s="13"/>
      <c r="C124" s="14" t="s">
        <v>196</v>
      </c>
      <c r="D124" s="15" t="s">
        <v>62</v>
      </c>
      <c r="E124" s="15" t="s">
        <v>58</v>
      </c>
      <c r="F124" s="15" t="s">
        <v>59</v>
      </c>
      <c r="G124" s="15" t="s">
        <v>197</v>
      </c>
      <c r="H124" s="15" t="s">
        <v>198</v>
      </c>
      <c r="I124" s="15" t="s">
        <v>199</v>
      </c>
      <c r="J124" s="16" t="s">
        <v>186</v>
      </c>
      <c r="K124" s="79" t="s">
        <v>200</v>
      </c>
      <c r="L124" s="13"/>
      <c r="M124" s="80" t="s">
        <v>1</v>
      </c>
      <c r="N124" s="81" t="s">
        <v>41</v>
      </c>
      <c r="O124" s="81" t="s">
        <v>201</v>
      </c>
      <c r="P124" s="81" t="s">
        <v>202</v>
      </c>
      <c r="Q124" s="81" t="s">
        <v>203</v>
      </c>
      <c r="R124" s="81" t="s">
        <v>204</v>
      </c>
      <c r="S124" s="81" t="s">
        <v>205</v>
      </c>
      <c r="T124" s="96" t="s">
        <v>206</v>
      </c>
    </row>
    <row r="125" spans="2:65" s="1" customFormat="1" ht="23.1" customHeight="1">
      <c r="B125" s="12"/>
      <c r="C125" s="66" t="s">
        <v>207</v>
      </c>
      <c r="J125" s="82">
        <f>BK125</f>
        <v>0</v>
      </c>
      <c r="L125" s="12"/>
      <c r="M125" s="83"/>
      <c r="N125" s="35"/>
      <c r="O125" s="35"/>
      <c r="P125" s="84">
        <f>P126</f>
        <v>0</v>
      </c>
      <c r="Q125" s="35"/>
      <c r="R125" s="84">
        <f>R126</f>
        <v>0</v>
      </c>
      <c r="S125" s="35"/>
      <c r="T125" s="97">
        <f>T126</f>
        <v>0</v>
      </c>
      <c r="AT125" s="23" t="s">
        <v>76</v>
      </c>
      <c r="AU125" s="23" t="s">
        <v>188</v>
      </c>
      <c r="BK125" s="102">
        <f>BK126</f>
        <v>0</v>
      </c>
    </row>
    <row r="126" spans="2:65" s="31" customFormat="1" ht="26.1" customHeight="1">
      <c r="B126" s="67"/>
      <c r="D126" s="68" t="s">
        <v>76</v>
      </c>
      <c r="E126" s="69" t="s">
        <v>151</v>
      </c>
      <c r="F126" s="69" t="s">
        <v>152</v>
      </c>
      <c r="I126" s="85"/>
      <c r="J126" s="86">
        <f>BK126</f>
        <v>0</v>
      </c>
      <c r="L126" s="67"/>
      <c r="M126" s="87"/>
      <c r="P126" s="88">
        <f>P127</f>
        <v>0</v>
      </c>
      <c r="R126" s="88">
        <f>R127</f>
        <v>0</v>
      </c>
      <c r="T126" s="98">
        <f>T127</f>
        <v>0</v>
      </c>
      <c r="AR126" s="68" t="s">
        <v>87</v>
      </c>
      <c r="AT126" s="100" t="s">
        <v>76</v>
      </c>
      <c r="AU126" s="100" t="s">
        <v>77</v>
      </c>
      <c r="AY126" s="68" t="s">
        <v>211</v>
      </c>
      <c r="BK126" s="103">
        <f>BK127</f>
        <v>0</v>
      </c>
    </row>
    <row r="127" spans="2:65" s="1" customFormat="1" ht="16.5" customHeight="1">
      <c r="B127" s="12"/>
      <c r="C127" s="71" t="s">
        <v>85</v>
      </c>
      <c r="D127" s="71" t="s">
        <v>214</v>
      </c>
      <c r="E127" s="72" t="s">
        <v>5616</v>
      </c>
      <c r="F127" s="73" t="s">
        <v>152</v>
      </c>
      <c r="G127" s="74" t="s">
        <v>234</v>
      </c>
      <c r="H127" s="75">
        <v>0</v>
      </c>
      <c r="I127" s="90"/>
      <c r="J127" s="91">
        <f>ROUND(I127*H127,2)</f>
        <v>0</v>
      </c>
      <c r="K127" s="92"/>
      <c r="L127" s="12"/>
      <c r="M127" s="130" t="s">
        <v>1</v>
      </c>
      <c r="N127" s="131" t="s">
        <v>42</v>
      </c>
      <c r="O127" s="110"/>
      <c r="P127" s="132">
        <f>O127*H127</f>
        <v>0</v>
      </c>
      <c r="Q127" s="132">
        <v>0</v>
      </c>
      <c r="R127" s="132">
        <f>Q127*H127</f>
        <v>0</v>
      </c>
      <c r="S127" s="132">
        <v>0</v>
      </c>
      <c r="T127" s="134">
        <f>S127*H127</f>
        <v>0</v>
      </c>
      <c r="AR127" s="101" t="s">
        <v>446</v>
      </c>
      <c r="AT127" s="101" t="s">
        <v>214</v>
      </c>
      <c r="AU127" s="101" t="s">
        <v>85</v>
      </c>
      <c r="AY127" s="23" t="s">
        <v>211</v>
      </c>
      <c r="BE127" s="104">
        <f>IF(N127="základní",J127,0)</f>
        <v>0</v>
      </c>
      <c r="BF127" s="104">
        <f>IF(N127="snížená",J127,0)</f>
        <v>0</v>
      </c>
      <c r="BG127" s="104">
        <f>IF(N127="zákl. přenesená",J127,0)</f>
        <v>0</v>
      </c>
      <c r="BH127" s="104">
        <f>IF(N127="sníž. přenesená",J127,0)</f>
        <v>0</v>
      </c>
      <c r="BI127" s="104">
        <f>IF(N127="nulová",J127,0)</f>
        <v>0</v>
      </c>
      <c r="BJ127" s="23" t="s">
        <v>85</v>
      </c>
      <c r="BK127" s="104">
        <f>ROUND(I127*H127,2)</f>
        <v>0</v>
      </c>
      <c r="BL127" s="23" t="s">
        <v>446</v>
      </c>
      <c r="BM127" s="101" t="s">
        <v>5617</v>
      </c>
    </row>
    <row r="128" spans="2:65" s="1" customFormat="1" ht="6.9" customHeight="1">
      <c r="B128" s="26"/>
      <c r="C128" s="27"/>
      <c r="D128" s="27"/>
      <c r="E128" s="27"/>
      <c r="F128" s="27"/>
      <c r="G128" s="27"/>
      <c r="H128" s="27"/>
      <c r="I128" s="27"/>
      <c r="J128" s="27"/>
      <c r="K128" s="27"/>
      <c r="L128" s="12"/>
    </row>
  </sheetData>
  <autoFilter ref="C124:K127" xr:uid="{00000000-0009-0000-0000-000013000000}"/>
  <mergeCells count="15">
    <mergeCell ref="L2:V2"/>
    <mergeCell ref="E7:H7"/>
    <mergeCell ref="E9:H9"/>
    <mergeCell ref="E11:H11"/>
    <mergeCell ref="E13:H13"/>
    <mergeCell ref="E22:H22"/>
    <mergeCell ref="E31:H31"/>
    <mergeCell ref="E85:H85"/>
    <mergeCell ref="E87:H87"/>
    <mergeCell ref="E89:H89"/>
    <mergeCell ref="E91:H91"/>
    <mergeCell ref="E111:H111"/>
    <mergeCell ref="E113:H113"/>
    <mergeCell ref="E115:H115"/>
    <mergeCell ref="E117:H117"/>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B2:BM171"/>
  <sheetViews>
    <sheetView showGridLines="0" topLeftCell="A129" workbookViewId="0">
      <selection activeCell="I171" sqref="I171"/>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156</v>
      </c>
    </row>
    <row r="3" spans="2:46" ht="6.9" customHeight="1">
      <c r="B3" s="3"/>
      <c r="C3" s="4"/>
      <c r="D3" s="4"/>
      <c r="E3" s="4"/>
      <c r="F3" s="4"/>
      <c r="G3" s="4"/>
      <c r="H3" s="4"/>
      <c r="I3" s="4"/>
      <c r="J3" s="4"/>
      <c r="K3" s="4"/>
      <c r="L3" s="5"/>
      <c r="AT3" s="23" t="s">
        <v>85</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3.2">
      <c r="B8" s="5"/>
      <c r="D8" s="10" t="s">
        <v>182</v>
      </c>
      <c r="L8" s="5"/>
    </row>
    <row r="9" spans="2:46" ht="16.5" customHeight="1">
      <c r="B9" s="5"/>
      <c r="E9" s="392" t="s">
        <v>5462</v>
      </c>
      <c r="F9" s="383"/>
      <c r="G9" s="383"/>
      <c r="H9" s="383"/>
      <c r="L9" s="5"/>
    </row>
    <row r="10" spans="2:46" ht="12" customHeight="1">
      <c r="B10" s="5"/>
      <c r="D10" s="10" t="s">
        <v>296</v>
      </c>
      <c r="L10" s="5"/>
    </row>
    <row r="11" spans="2:46" s="1" customFormat="1" ht="16.5" customHeight="1">
      <c r="B11" s="12"/>
      <c r="E11" s="358" t="s">
        <v>5463</v>
      </c>
      <c r="F11" s="394"/>
      <c r="G11" s="394"/>
      <c r="H11" s="394"/>
      <c r="L11" s="12"/>
    </row>
    <row r="12" spans="2:46" s="1" customFormat="1" ht="12" customHeight="1">
      <c r="B12" s="12"/>
      <c r="D12" s="10" t="s">
        <v>5464</v>
      </c>
      <c r="L12" s="12"/>
    </row>
    <row r="13" spans="2:46" s="1" customFormat="1" ht="16.5" customHeight="1">
      <c r="B13" s="12"/>
      <c r="E13" s="381" t="s">
        <v>5618</v>
      </c>
      <c r="F13" s="394"/>
      <c r="G13" s="394"/>
      <c r="H13" s="394"/>
      <c r="L13" s="12"/>
    </row>
    <row r="14" spans="2:46" s="1" customFormat="1">
      <c r="B14" s="12"/>
      <c r="L14" s="12"/>
    </row>
    <row r="15" spans="2:46" s="1" customFormat="1" ht="12" customHeight="1">
      <c r="B15" s="12"/>
      <c r="D15" s="10" t="s">
        <v>18</v>
      </c>
      <c r="F15" s="32" t="s">
        <v>1</v>
      </c>
      <c r="I15" s="10" t="s">
        <v>19</v>
      </c>
      <c r="J15" s="32" t="s">
        <v>1</v>
      </c>
      <c r="L15" s="12"/>
    </row>
    <row r="16" spans="2:46" s="1" customFormat="1" ht="12" customHeight="1">
      <c r="B16" s="12"/>
      <c r="D16" s="10" t="s">
        <v>20</v>
      </c>
      <c r="F16" s="32" t="s">
        <v>21</v>
      </c>
      <c r="I16" s="10" t="s">
        <v>22</v>
      </c>
      <c r="J16" s="11">
        <f>'Rekapitulace stavby'!AN8</f>
        <v>45000</v>
      </c>
      <c r="L16" s="12"/>
    </row>
    <row r="17" spans="2:12" s="1" customFormat="1" ht="11.1" customHeight="1">
      <c r="B17" s="12"/>
      <c r="L17" s="12"/>
    </row>
    <row r="18" spans="2:12" s="1" customFormat="1" ht="12" customHeight="1">
      <c r="B18" s="12"/>
      <c r="D18" s="10" t="s">
        <v>23</v>
      </c>
      <c r="I18" s="10" t="s">
        <v>24</v>
      </c>
      <c r="J18" s="32" t="s">
        <v>1</v>
      </c>
      <c r="L18" s="12"/>
    </row>
    <row r="19" spans="2:12" s="1" customFormat="1" ht="18" customHeight="1">
      <c r="B19" s="12"/>
      <c r="E19" s="32" t="s">
        <v>25</v>
      </c>
      <c r="I19" s="10" t="s">
        <v>26</v>
      </c>
      <c r="J19" s="32" t="s">
        <v>1</v>
      </c>
      <c r="L19" s="12"/>
    </row>
    <row r="20" spans="2:12" s="1" customFormat="1" ht="6.9" customHeight="1">
      <c r="B20" s="12"/>
      <c r="L20" s="12"/>
    </row>
    <row r="21" spans="2:12" s="1" customFormat="1" ht="12" customHeight="1">
      <c r="B21" s="12"/>
      <c r="D21" s="10" t="s">
        <v>27</v>
      </c>
      <c r="I21" s="10" t="s">
        <v>24</v>
      </c>
      <c r="J21" s="33" t="str">
        <f>'Rekapitulace stavby'!AN13</f>
        <v>08004013</v>
      </c>
      <c r="L21" s="12"/>
    </row>
    <row r="22" spans="2:12" s="1" customFormat="1" ht="18" customHeight="1">
      <c r="B22" s="12"/>
      <c r="E22" s="395" t="str">
        <f>'Rekapitulace stavby'!E14</f>
        <v>DMG Stav a.s.</v>
      </c>
      <c r="F22" s="384"/>
      <c r="G22" s="384"/>
      <c r="H22" s="384"/>
      <c r="I22" s="10" t="s">
        <v>26</v>
      </c>
      <c r="J22" s="33" t="str">
        <f>'Rekapitulace stavby'!AN14</f>
        <v>CZ 08004013</v>
      </c>
      <c r="L22" s="12"/>
    </row>
    <row r="23" spans="2:12" s="1" customFormat="1" ht="6.9" customHeight="1">
      <c r="B23" s="12"/>
      <c r="L23" s="12"/>
    </row>
    <row r="24" spans="2:12" s="1" customFormat="1" ht="12" customHeight="1">
      <c r="B24" s="12"/>
      <c r="D24" s="10" t="s">
        <v>31</v>
      </c>
      <c r="I24" s="10" t="s">
        <v>24</v>
      </c>
      <c r="J24" s="32" t="s">
        <v>1</v>
      </c>
      <c r="L24" s="12"/>
    </row>
    <row r="25" spans="2:12" s="1" customFormat="1" ht="18" customHeight="1">
      <c r="B25" s="12"/>
      <c r="E25" s="32" t="s">
        <v>32</v>
      </c>
      <c r="I25" s="10" t="s">
        <v>26</v>
      </c>
      <c r="J25" s="32" t="s">
        <v>1</v>
      </c>
      <c r="L25" s="12"/>
    </row>
    <row r="26" spans="2:12" s="1" customFormat="1" ht="6.9" customHeight="1">
      <c r="B26" s="12"/>
      <c r="L26" s="12"/>
    </row>
    <row r="27" spans="2:12" s="1" customFormat="1" ht="12" customHeight="1">
      <c r="B27" s="12"/>
      <c r="D27" s="10" t="s">
        <v>34</v>
      </c>
      <c r="I27" s="10" t="s">
        <v>24</v>
      </c>
      <c r="J27" s="32" t="s">
        <v>1</v>
      </c>
      <c r="L27" s="12"/>
    </row>
    <row r="28" spans="2:12" s="1" customFormat="1" ht="18" customHeight="1">
      <c r="B28" s="12"/>
      <c r="E28" s="32" t="s">
        <v>35</v>
      </c>
      <c r="I28" s="10" t="s">
        <v>26</v>
      </c>
      <c r="J28" s="32" t="s">
        <v>1</v>
      </c>
      <c r="L28" s="12"/>
    </row>
    <row r="29" spans="2:12" s="1" customFormat="1" ht="6.9" customHeight="1">
      <c r="B29" s="12"/>
      <c r="L29" s="12"/>
    </row>
    <row r="30" spans="2:12" s="1" customFormat="1" ht="12" customHeight="1">
      <c r="B30" s="12"/>
      <c r="D30" s="10" t="s">
        <v>36</v>
      </c>
      <c r="L30" s="12"/>
    </row>
    <row r="31" spans="2:12" s="28" customFormat="1" ht="16.5" customHeight="1">
      <c r="B31" s="34"/>
      <c r="E31" s="388" t="s">
        <v>1</v>
      </c>
      <c r="F31" s="388"/>
      <c r="G31" s="388"/>
      <c r="H31" s="388"/>
      <c r="L31" s="34"/>
    </row>
    <row r="32" spans="2:12" s="1" customFormat="1" ht="6.9" customHeight="1">
      <c r="B32" s="12"/>
      <c r="L32" s="12"/>
    </row>
    <row r="33" spans="2:12" s="1" customFormat="1" ht="6.9" customHeight="1">
      <c r="B33" s="12"/>
      <c r="D33" s="35"/>
      <c r="E33" s="35"/>
      <c r="F33" s="35"/>
      <c r="G33" s="35"/>
      <c r="H33" s="35"/>
      <c r="I33" s="35"/>
      <c r="J33" s="35"/>
      <c r="K33" s="35"/>
      <c r="L33" s="12"/>
    </row>
    <row r="34" spans="2:12" s="1" customFormat="1" ht="25.35" customHeight="1">
      <c r="B34" s="12"/>
      <c r="D34" s="36" t="s">
        <v>37</v>
      </c>
      <c r="J34" s="51">
        <f>ROUND(J131,2)</f>
        <v>357757.14</v>
      </c>
      <c r="L34" s="12"/>
    </row>
    <row r="35" spans="2:12" s="1" customFormat="1" ht="6.9" customHeight="1">
      <c r="B35" s="12"/>
      <c r="D35" s="35"/>
      <c r="E35" s="35"/>
      <c r="F35" s="35"/>
      <c r="G35" s="35"/>
      <c r="H35" s="35"/>
      <c r="I35" s="35"/>
      <c r="J35" s="35"/>
      <c r="K35" s="35"/>
      <c r="L35" s="12"/>
    </row>
    <row r="36" spans="2:12" s="1" customFormat="1" ht="14.4" customHeight="1">
      <c r="B36" s="12"/>
      <c r="F36" s="37" t="s">
        <v>39</v>
      </c>
      <c r="I36" s="37" t="s">
        <v>38</v>
      </c>
      <c r="J36" s="37" t="s">
        <v>40</v>
      </c>
      <c r="L36" s="12"/>
    </row>
    <row r="37" spans="2:12" s="1" customFormat="1" ht="14.4" customHeight="1">
      <c r="B37" s="12"/>
      <c r="D37" s="38" t="s">
        <v>41</v>
      </c>
      <c r="E37" s="10" t="s">
        <v>42</v>
      </c>
      <c r="F37" s="39">
        <f>ROUND((SUM(BE131:BE170)),2)</f>
        <v>0</v>
      </c>
      <c r="I37" s="52">
        <v>0.21</v>
      </c>
      <c r="J37" s="39">
        <f>ROUND(((SUM(BE131:BE170))*I37),2)</f>
        <v>0</v>
      </c>
      <c r="L37" s="12"/>
    </row>
    <row r="38" spans="2:12" s="1" customFormat="1" ht="14.4" customHeight="1">
      <c r="B38" s="12"/>
      <c r="E38" s="10" t="s">
        <v>43</v>
      </c>
      <c r="F38" s="39">
        <f>ROUND((SUM(BF131:BF170)),2)</f>
        <v>357757.14</v>
      </c>
      <c r="I38" s="52">
        <v>0.15</v>
      </c>
      <c r="J38" s="39">
        <f>ROUND(((SUM(BF131:BF170))*I38),2)</f>
        <v>53663.57</v>
      </c>
      <c r="L38" s="12"/>
    </row>
    <row r="39" spans="2:12" s="1" customFormat="1" ht="14.4" hidden="1" customHeight="1">
      <c r="B39" s="12"/>
      <c r="E39" s="10" t="s">
        <v>44</v>
      </c>
      <c r="F39" s="39">
        <f>ROUND((SUM(BG131:BG170)),2)</f>
        <v>0</v>
      </c>
      <c r="I39" s="52">
        <v>0.21</v>
      </c>
      <c r="J39" s="39">
        <f>0</f>
        <v>0</v>
      </c>
      <c r="L39" s="12"/>
    </row>
    <row r="40" spans="2:12" s="1" customFormat="1" ht="14.4" hidden="1" customHeight="1">
      <c r="B40" s="12"/>
      <c r="E40" s="10" t="s">
        <v>45</v>
      </c>
      <c r="F40" s="39">
        <f>ROUND((SUM(BH131:BH170)),2)</f>
        <v>0</v>
      </c>
      <c r="I40" s="52">
        <v>0.15</v>
      </c>
      <c r="J40" s="39">
        <f>0</f>
        <v>0</v>
      </c>
      <c r="L40" s="12"/>
    </row>
    <row r="41" spans="2:12" s="1" customFormat="1" ht="14.4" hidden="1" customHeight="1">
      <c r="B41" s="12"/>
      <c r="E41" s="10" t="s">
        <v>46</v>
      </c>
      <c r="F41" s="39">
        <f>ROUND((SUM(BI131:BI170)),2)</f>
        <v>0</v>
      </c>
      <c r="I41" s="52">
        <v>0</v>
      </c>
      <c r="J41" s="39">
        <f>0</f>
        <v>0</v>
      </c>
      <c r="L41" s="12"/>
    </row>
    <row r="42" spans="2:12" s="1" customFormat="1" ht="6.9" customHeight="1">
      <c r="B42" s="12"/>
      <c r="L42" s="12"/>
    </row>
    <row r="43" spans="2:12" s="1" customFormat="1" ht="25.35" customHeight="1">
      <c r="B43" s="12"/>
      <c r="C43" s="40"/>
      <c r="D43" s="41" t="s">
        <v>47</v>
      </c>
      <c r="E43" s="42"/>
      <c r="F43" s="42"/>
      <c r="G43" s="43" t="s">
        <v>48</v>
      </c>
      <c r="H43" s="44" t="s">
        <v>49</v>
      </c>
      <c r="I43" s="42"/>
      <c r="J43" s="53">
        <f>SUM(J34:J41)</f>
        <v>411420.71</v>
      </c>
      <c r="K43" s="54"/>
      <c r="L43" s="12"/>
    </row>
    <row r="44" spans="2:12" s="1" customFormat="1" ht="14.4" customHeight="1">
      <c r="B44" s="12"/>
      <c r="L44" s="12"/>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ht="16.5" customHeight="1">
      <c r="B87" s="5"/>
      <c r="E87" s="392" t="s">
        <v>5462</v>
      </c>
      <c r="F87" s="383"/>
      <c r="G87" s="383"/>
      <c r="H87" s="383"/>
      <c r="L87" s="5"/>
    </row>
    <row r="88" spans="2:12" ht="12" customHeight="1">
      <c r="B88" s="5"/>
      <c r="C88" s="10" t="s">
        <v>296</v>
      </c>
      <c r="L88" s="5"/>
    </row>
    <row r="89" spans="2:12" s="1" customFormat="1" ht="16.5" customHeight="1">
      <c r="B89" s="12"/>
      <c r="E89" s="358" t="s">
        <v>5463</v>
      </c>
      <c r="F89" s="394"/>
      <c r="G89" s="394"/>
      <c r="H89" s="394"/>
      <c r="L89" s="12"/>
    </row>
    <row r="90" spans="2:12" s="1" customFormat="1" ht="12" customHeight="1">
      <c r="B90" s="12"/>
      <c r="C90" s="10" t="s">
        <v>5464</v>
      </c>
      <c r="L90" s="12"/>
    </row>
    <row r="91" spans="2:12" s="1" customFormat="1" ht="16.5" customHeight="1">
      <c r="B91" s="12"/>
      <c r="E91" s="381" t="str">
        <f>E13</f>
        <v>IO07 - Veřejné osvětlení</v>
      </c>
      <c r="F91" s="394"/>
      <c r="G91" s="394"/>
      <c r="H91" s="394"/>
      <c r="L91" s="12"/>
    </row>
    <row r="92" spans="2:12" s="1" customFormat="1" ht="6.9" customHeight="1">
      <c r="B92" s="12"/>
      <c r="L92" s="12"/>
    </row>
    <row r="93" spans="2:12" s="1" customFormat="1" ht="12" customHeight="1">
      <c r="B93" s="12"/>
      <c r="C93" s="10" t="s">
        <v>20</v>
      </c>
      <c r="F93" s="32" t="str">
        <f>F16</f>
        <v>Praha</v>
      </c>
      <c r="I93" s="10" t="s">
        <v>22</v>
      </c>
      <c r="J93" s="11">
        <f>IF(J16="","",J16)</f>
        <v>45000</v>
      </c>
      <c r="L93" s="12"/>
    </row>
    <row r="94" spans="2:12" s="1" customFormat="1" ht="6.9" customHeight="1">
      <c r="B94" s="12"/>
      <c r="L94" s="12"/>
    </row>
    <row r="95" spans="2:12" s="1" customFormat="1" ht="15.15" customHeight="1">
      <c r="B95" s="12"/>
      <c r="C95" s="10" t="s">
        <v>23</v>
      </c>
      <c r="F95" s="32" t="str">
        <f>E19</f>
        <v>VELTON REAL ESTATE</v>
      </c>
      <c r="I95" s="10" t="s">
        <v>31</v>
      </c>
      <c r="J95" s="8" t="str">
        <f>E25</f>
        <v>ABMV World s.r.o</v>
      </c>
      <c r="L95" s="12"/>
    </row>
    <row r="96" spans="2:12" s="1" customFormat="1" ht="15.15" customHeight="1">
      <c r="B96" s="12"/>
      <c r="C96" s="10" t="s">
        <v>27</v>
      </c>
      <c r="F96" s="32" t="str">
        <f>IF(E22="","",E22)</f>
        <v>DMG Stav a.s.</v>
      </c>
      <c r="I96" s="10" t="s">
        <v>34</v>
      </c>
      <c r="J96" s="8" t="str">
        <f>E28</f>
        <v>QSB s.r.o.</v>
      </c>
      <c r="L96" s="12"/>
    </row>
    <row r="97" spans="2:47" s="1" customFormat="1" ht="10.35" customHeight="1">
      <c r="B97" s="12"/>
      <c r="L97" s="12"/>
    </row>
    <row r="98" spans="2:47" s="1" customFormat="1" ht="29.25" customHeight="1">
      <c r="B98" s="12"/>
      <c r="C98" s="58" t="s">
        <v>185</v>
      </c>
      <c r="D98" s="40"/>
      <c r="E98" s="40"/>
      <c r="F98" s="40"/>
      <c r="G98" s="40"/>
      <c r="H98" s="40"/>
      <c r="I98" s="40"/>
      <c r="J98" s="76" t="s">
        <v>186</v>
      </c>
      <c r="K98" s="40"/>
      <c r="L98" s="12"/>
    </row>
    <row r="99" spans="2:47" s="1" customFormat="1" ht="10.35" customHeight="1">
      <c r="B99" s="12"/>
      <c r="L99" s="12"/>
    </row>
    <row r="100" spans="2:47" s="1" customFormat="1" ht="23.1" customHeight="1">
      <c r="B100" s="12"/>
      <c r="C100" s="59" t="s">
        <v>187</v>
      </c>
      <c r="J100" s="51">
        <f>J131</f>
        <v>357757.14</v>
      </c>
      <c r="L100" s="12"/>
      <c r="AU100" s="23" t="s">
        <v>188</v>
      </c>
    </row>
    <row r="101" spans="2:47" s="29" customFormat="1" ht="24.9" customHeight="1">
      <c r="B101" s="60"/>
      <c r="D101" s="61" t="s">
        <v>332</v>
      </c>
      <c r="E101" s="62"/>
      <c r="F101" s="62"/>
      <c r="G101" s="62"/>
      <c r="H101" s="62"/>
      <c r="I101" s="62"/>
      <c r="J101" s="77">
        <f>J132</f>
        <v>38957.14</v>
      </c>
      <c r="L101" s="60"/>
    </row>
    <row r="102" spans="2:47" s="30" customFormat="1" ht="20.100000000000001" customHeight="1">
      <c r="B102" s="63"/>
      <c r="D102" s="64" t="s">
        <v>4851</v>
      </c>
      <c r="E102" s="65"/>
      <c r="F102" s="65"/>
      <c r="G102" s="65"/>
      <c r="H102" s="65"/>
      <c r="I102" s="65"/>
      <c r="J102" s="78">
        <f>J133</f>
        <v>38957.14</v>
      </c>
      <c r="L102" s="63"/>
    </row>
    <row r="103" spans="2:47" s="29" customFormat="1" ht="24.9" customHeight="1">
      <c r="B103" s="60"/>
      <c r="D103" s="61" t="s">
        <v>5619</v>
      </c>
      <c r="E103" s="62"/>
      <c r="F103" s="62"/>
      <c r="G103" s="62"/>
      <c r="H103" s="62"/>
      <c r="I103" s="62"/>
      <c r="J103" s="77">
        <f>J140</f>
        <v>238800</v>
      </c>
      <c r="L103" s="60"/>
    </row>
    <row r="104" spans="2:47" s="30" customFormat="1" ht="20.100000000000001" customHeight="1">
      <c r="B104" s="63"/>
      <c r="D104" s="64" t="s">
        <v>5620</v>
      </c>
      <c r="E104" s="65"/>
      <c r="F104" s="65"/>
      <c r="G104" s="65"/>
      <c r="H104" s="65"/>
      <c r="I104" s="65"/>
      <c r="J104" s="78">
        <f>J141</f>
        <v>91300</v>
      </c>
      <c r="L104" s="63"/>
    </row>
    <row r="105" spans="2:47" s="30" customFormat="1" ht="20.100000000000001" customHeight="1">
      <c r="B105" s="63"/>
      <c r="D105" s="64" t="s">
        <v>5621</v>
      </c>
      <c r="E105" s="65"/>
      <c r="F105" s="65"/>
      <c r="G105" s="65"/>
      <c r="H105" s="65"/>
      <c r="I105" s="65"/>
      <c r="J105" s="78">
        <f>J153</f>
        <v>147500</v>
      </c>
      <c r="L105" s="63"/>
    </row>
    <row r="106" spans="2:47" s="29" customFormat="1" ht="24.9" customHeight="1">
      <c r="B106" s="60"/>
      <c r="D106" s="61" t="s">
        <v>4917</v>
      </c>
      <c r="E106" s="62"/>
      <c r="F106" s="62"/>
      <c r="G106" s="62"/>
      <c r="H106" s="62"/>
      <c r="I106" s="62"/>
      <c r="J106" s="77">
        <f>J163</f>
        <v>80000</v>
      </c>
      <c r="L106" s="60"/>
    </row>
    <row r="107" spans="2:47" s="30" customFormat="1" ht="20.100000000000001" customHeight="1">
      <c r="B107" s="63"/>
      <c r="D107" s="64" t="s">
        <v>4923</v>
      </c>
      <c r="E107" s="65"/>
      <c r="F107" s="65"/>
      <c r="G107" s="65"/>
      <c r="H107" s="65"/>
      <c r="I107" s="65"/>
      <c r="J107" s="78">
        <f>J164</f>
        <v>80000</v>
      </c>
      <c r="L107" s="63"/>
    </row>
    <row r="108" spans="2:47" s="1" customFormat="1" ht="21.75" customHeight="1">
      <c r="B108" s="12"/>
      <c r="L108" s="12"/>
    </row>
    <row r="109" spans="2:47" s="1" customFormat="1" ht="6.9" customHeight="1">
      <c r="B109" s="26"/>
      <c r="C109" s="27"/>
      <c r="D109" s="27"/>
      <c r="E109" s="27"/>
      <c r="F109" s="27"/>
      <c r="G109" s="27"/>
      <c r="H109" s="27"/>
      <c r="I109" s="27"/>
      <c r="J109" s="27"/>
      <c r="K109" s="27"/>
      <c r="L109" s="12"/>
    </row>
    <row r="113" spans="2:12" s="1" customFormat="1" ht="6.9" customHeight="1">
      <c r="B113" s="56"/>
      <c r="C113" s="57"/>
      <c r="D113" s="57"/>
      <c r="E113" s="57"/>
      <c r="F113" s="57"/>
      <c r="G113" s="57"/>
      <c r="H113" s="57"/>
      <c r="I113" s="57"/>
      <c r="J113" s="57"/>
      <c r="K113" s="57"/>
      <c r="L113" s="12"/>
    </row>
    <row r="114" spans="2:12" s="1" customFormat="1" ht="24.9" customHeight="1">
      <c r="B114" s="12"/>
      <c r="C114" s="6" t="s">
        <v>195</v>
      </c>
      <c r="L114" s="12"/>
    </row>
    <row r="115" spans="2:12" s="1" customFormat="1" ht="6.9" customHeight="1">
      <c r="B115" s="12"/>
      <c r="L115" s="12"/>
    </row>
    <row r="116" spans="2:12" s="1" customFormat="1" ht="12" customHeight="1">
      <c r="B116" s="12"/>
      <c r="C116" s="10" t="s">
        <v>16</v>
      </c>
      <c r="L116" s="12"/>
    </row>
    <row r="117" spans="2:12" s="1" customFormat="1" ht="16.5" customHeight="1">
      <c r="B117" s="12"/>
      <c r="E117" s="392" t="str">
        <f>E7</f>
        <v>Bytový soubor Libuše</v>
      </c>
      <c r="F117" s="393"/>
      <c r="G117" s="393"/>
      <c r="H117" s="393"/>
      <c r="L117" s="12"/>
    </row>
    <row r="118" spans="2:12" ht="12" customHeight="1">
      <c r="B118" s="5"/>
      <c r="C118" s="10" t="s">
        <v>182</v>
      </c>
      <c r="L118" s="5"/>
    </row>
    <row r="119" spans="2:12" ht="16.5" customHeight="1">
      <c r="B119" s="5"/>
      <c r="E119" s="392" t="s">
        <v>5462</v>
      </c>
      <c r="F119" s="383"/>
      <c r="G119" s="383"/>
      <c r="H119" s="383"/>
      <c r="L119" s="5"/>
    </row>
    <row r="120" spans="2:12" ht="12" customHeight="1">
      <c r="B120" s="5"/>
      <c r="C120" s="10" t="s">
        <v>296</v>
      </c>
      <c r="L120" s="5"/>
    </row>
    <row r="121" spans="2:12" s="1" customFormat="1" ht="16.5" customHeight="1">
      <c r="B121" s="12"/>
      <c r="E121" s="358" t="s">
        <v>5463</v>
      </c>
      <c r="F121" s="394"/>
      <c r="G121" s="394"/>
      <c r="H121" s="394"/>
      <c r="L121" s="12"/>
    </row>
    <row r="122" spans="2:12" s="1" customFormat="1" ht="12" customHeight="1">
      <c r="B122" s="12"/>
      <c r="C122" s="10" t="s">
        <v>5464</v>
      </c>
      <c r="L122" s="12"/>
    </row>
    <row r="123" spans="2:12" s="1" customFormat="1" ht="16.5" customHeight="1">
      <c r="B123" s="12"/>
      <c r="E123" s="381" t="str">
        <f>E13</f>
        <v>IO07 - Veřejné osvětlení</v>
      </c>
      <c r="F123" s="394"/>
      <c r="G123" s="394"/>
      <c r="H123" s="394"/>
      <c r="L123" s="12"/>
    </row>
    <row r="124" spans="2:12" s="1" customFormat="1" ht="6.9" customHeight="1">
      <c r="B124" s="12"/>
      <c r="L124" s="12"/>
    </row>
    <row r="125" spans="2:12" s="1" customFormat="1" ht="12" customHeight="1">
      <c r="B125" s="12"/>
      <c r="C125" s="10" t="s">
        <v>20</v>
      </c>
      <c r="F125" s="32" t="str">
        <f>F16</f>
        <v>Praha</v>
      </c>
      <c r="I125" s="10" t="s">
        <v>22</v>
      </c>
      <c r="J125" s="11">
        <f>IF(J16="","",J16)</f>
        <v>45000</v>
      </c>
      <c r="L125" s="12"/>
    </row>
    <row r="126" spans="2:12" s="1" customFormat="1" ht="6.9" customHeight="1">
      <c r="B126" s="12"/>
      <c r="L126" s="12"/>
    </row>
    <row r="127" spans="2:12" s="1" customFormat="1" ht="15.15" customHeight="1">
      <c r="B127" s="12"/>
      <c r="C127" s="10" t="s">
        <v>23</v>
      </c>
      <c r="F127" s="32" t="str">
        <f>E19</f>
        <v>VELTON REAL ESTATE</v>
      </c>
      <c r="I127" s="10" t="s">
        <v>31</v>
      </c>
      <c r="J127" s="8" t="str">
        <f>E25</f>
        <v>ABMV World s.r.o</v>
      </c>
      <c r="L127" s="12"/>
    </row>
    <row r="128" spans="2:12" s="1" customFormat="1" ht="15.15" customHeight="1">
      <c r="B128" s="12"/>
      <c r="C128" s="10" t="s">
        <v>27</v>
      </c>
      <c r="F128" s="32" t="str">
        <f>IF(E22="","",E22)</f>
        <v>DMG Stav a.s.</v>
      </c>
      <c r="I128" s="10" t="s">
        <v>34</v>
      </c>
      <c r="J128" s="8" t="str">
        <f>E28</f>
        <v>QSB s.r.o.</v>
      </c>
      <c r="L128" s="12"/>
    </row>
    <row r="129" spans="2:65" s="1" customFormat="1" ht="10.35" customHeight="1">
      <c r="B129" s="12"/>
      <c r="L129" s="12"/>
    </row>
    <row r="130" spans="2:65" s="2" customFormat="1" ht="29.25" customHeight="1">
      <c r="B130" s="13"/>
      <c r="C130" s="14" t="s">
        <v>196</v>
      </c>
      <c r="D130" s="15" t="s">
        <v>62</v>
      </c>
      <c r="E130" s="15" t="s">
        <v>58</v>
      </c>
      <c r="F130" s="15" t="s">
        <v>59</v>
      </c>
      <c r="G130" s="15" t="s">
        <v>197</v>
      </c>
      <c r="H130" s="15" t="s">
        <v>198</v>
      </c>
      <c r="I130" s="15" t="s">
        <v>199</v>
      </c>
      <c r="J130" s="16" t="s">
        <v>186</v>
      </c>
      <c r="K130" s="79" t="s">
        <v>200</v>
      </c>
      <c r="L130" s="13"/>
      <c r="M130" s="80" t="s">
        <v>1</v>
      </c>
      <c r="N130" s="81" t="s">
        <v>41</v>
      </c>
      <c r="O130" s="81" t="s">
        <v>201</v>
      </c>
      <c r="P130" s="81" t="s">
        <v>202</v>
      </c>
      <c r="Q130" s="81" t="s">
        <v>203</v>
      </c>
      <c r="R130" s="81" t="s">
        <v>204</v>
      </c>
      <c r="S130" s="81" t="s">
        <v>205</v>
      </c>
      <c r="T130" s="96" t="s">
        <v>206</v>
      </c>
    </row>
    <row r="131" spans="2:65" s="1" customFormat="1" ht="23.1" customHeight="1">
      <c r="B131" s="12"/>
      <c r="C131" s="66" t="s">
        <v>207</v>
      </c>
      <c r="J131" s="82">
        <f>BK131</f>
        <v>357757.14</v>
      </c>
      <c r="L131" s="12"/>
      <c r="M131" s="83"/>
      <c r="N131" s="35"/>
      <c r="O131" s="35"/>
      <c r="P131" s="84">
        <f>P132+P140+P163</f>
        <v>0</v>
      </c>
      <c r="Q131" s="35"/>
      <c r="R131" s="84">
        <f>R132+R140+R163</f>
        <v>107.92054281999999</v>
      </c>
      <c r="S131" s="35"/>
      <c r="T131" s="97">
        <f>T132+T140+T163</f>
        <v>0</v>
      </c>
      <c r="AT131" s="23" t="s">
        <v>76</v>
      </c>
      <c r="AU131" s="23" t="s">
        <v>188</v>
      </c>
      <c r="BK131" s="102">
        <f>BK132+BK140+BK163</f>
        <v>357757.14</v>
      </c>
    </row>
    <row r="132" spans="2:65" s="31" customFormat="1" ht="26.1" customHeight="1">
      <c r="B132" s="67"/>
      <c r="D132" s="68" t="s">
        <v>76</v>
      </c>
      <c r="E132" s="69" t="s">
        <v>1645</v>
      </c>
      <c r="F132" s="69" t="s">
        <v>1646</v>
      </c>
      <c r="I132" s="85"/>
      <c r="J132" s="86">
        <f>BK132</f>
        <v>38957.14</v>
      </c>
      <c r="L132" s="67"/>
      <c r="M132" s="87"/>
      <c r="P132" s="88">
        <f>P133</f>
        <v>0</v>
      </c>
      <c r="R132" s="88">
        <f>R133</f>
        <v>0.16114281999999999</v>
      </c>
      <c r="T132" s="98">
        <f>T133</f>
        <v>0</v>
      </c>
      <c r="AR132" s="68" t="s">
        <v>87</v>
      </c>
      <c r="AT132" s="100" t="s">
        <v>76</v>
      </c>
      <c r="AU132" s="100" t="s">
        <v>77</v>
      </c>
      <c r="AY132" s="68" t="s">
        <v>211</v>
      </c>
      <c r="BK132" s="103">
        <f>BK133</f>
        <v>38957.14</v>
      </c>
    </row>
    <row r="133" spans="2:65" s="31" customFormat="1" ht="23.1" customHeight="1">
      <c r="B133" s="67"/>
      <c r="D133" s="68" t="s">
        <v>76</v>
      </c>
      <c r="E133" s="70" t="s">
        <v>4852</v>
      </c>
      <c r="F133" s="70" t="s">
        <v>4853</v>
      </c>
      <c r="I133" s="85"/>
      <c r="J133" s="89">
        <f>BK133</f>
        <v>38957.14</v>
      </c>
      <c r="L133" s="67"/>
      <c r="M133" s="87"/>
      <c r="P133" s="88">
        <f>SUM(P134:P139)</f>
        <v>0</v>
      </c>
      <c r="R133" s="88">
        <f>SUM(R134:R139)</f>
        <v>0.16114281999999999</v>
      </c>
      <c r="T133" s="98">
        <f>SUM(T134:T139)</f>
        <v>0</v>
      </c>
      <c r="AR133" s="68" t="s">
        <v>87</v>
      </c>
      <c r="AT133" s="100" t="s">
        <v>76</v>
      </c>
      <c r="AU133" s="100" t="s">
        <v>85</v>
      </c>
      <c r="AY133" s="68" t="s">
        <v>211</v>
      </c>
      <c r="BK133" s="103">
        <f>SUM(BK134:BK139)</f>
        <v>38957.14</v>
      </c>
    </row>
    <row r="134" spans="2:65" s="1" customFormat="1" ht="38.1" customHeight="1">
      <c r="B134" s="12"/>
      <c r="C134" s="71" t="s">
        <v>85</v>
      </c>
      <c r="D134" s="71" t="s">
        <v>214</v>
      </c>
      <c r="E134" s="72" t="s">
        <v>5622</v>
      </c>
      <c r="F134" s="73" t="s">
        <v>5623</v>
      </c>
      <c r="G134" s="74" t="s">
        <v>1599</v>
      </c>
      <c r="H134" s="75">
        <v>7</v>
      </c>
      <c r="I134" s="90">
        <v>300</v>
      </c>
      <c r="J134" s="91">
        <f t="shared" ref="J134:J139" si="0">ROUND(I134*H134,2)</f>
        <v>2100</v>
      </c>
      <c r="K134" s="92"/>
      <c r="L134" s="12"/>
      <c r="M134" s="93" t="s">
        <v>1</v>
      </c>
      <c r="N134" s="94" t="s">
        <v>43</v>
      </c>
      <c r="P134" s="95">
        <f t="shared" ref="P134:P139" si="1">O134*H134</f>
        <v>0</v>
      </c>
      <c r="Q134" s="95">
        <v>0</v>
      </c>
      <c r="R134" s="95">
        <f t="shared" ref="R134:R139" si="2">Q134*H134</f>
        <v>0</v>
      </c>
      <c r="S134" s="95">
        <v>0</v>
      </c>
      <c r="T134" s="99">
        <f t="shared" ref="T134:T139" si="3">S134*H134</f>
        <v>0</v>
      </c>
      <c r="AR134" s="101" t="s">
        <v>446</v>
      </c>
      <c r="AT134" s="101" t="s">
        <v>214</v>
      </c>
      <c r="AU134" s="101" t="s">
        <v>87</v>
      </c>
      <c r="AY134" s="23" t="s">
        <v>211</v>
      </c>
      <c r="BE134" s="104">
        <f t="shared" ref="BE134:BE139" si="4">IF(N134="základní",J134,0)</f>
        <v>0</v>
      </c>
      <c r="BF134" s="104">
        <f t="shared" ref="BF134:BF139" si="5">IF(N134="snížená",J134,0)</f>
        <v>2100</v>
      </c>
      <c r="BG134" s="104">
        <f t="shared" ref="BG134:BG139" si="6">IF(N134="zákl. přenesená",J134,0)</f>
        <v>0</v>
      </c>
      <c r="BH134" s="104">
        <f t="shared" ref="BH134:BH139" si="7">IF(N134="sníž. přenesená",J134,0)</f>
        <v>0</v>
      </c>
      <c r="BI134" s="104">
        <f t="shared" ref="BI134:BI139" si="8">IF(N134="nulová",J134,0)</f>
        <v>0</v>
      </c>
      <c r="BJ134" s="23" t="s">
        <v>87</v>
      </c>
      <c r="BK134" s="104">
        <f t="shared" ref="BK134:BK139" si="9">ROUND(I134*H134,2)</f>
        <v>2100</v>
      </c>
      <c r="BL134" s="23" t="s">
        <v>446</v>
      </c>
      <c r="BM134" s="101" t="s">
        <v>5624</v>
      </c>
    </row>
    <row r="135" spans="2:65" s="1" customFormat="1" ht="24.15" customHeight="1">
      <c r="B135" s="12"/>
      <c r="C135" s="71" t="s">
        <v>87</v>
      </c>
      <c r="D135" s="71" t="s">
        <v>214</v>
      </c>
      <c r="E135" s="72" t="s">
        <v>4854</v>
      </c>
      <c r="F135" s="73" t="s">
        <v>4855</v>
      </c>
      <c r="G135" s="74" t="s">
        <v>444</v>
      </c>
      <c r="H135" s="75">
        <v>150</v>
      </c>
      <c r="I135" s="90">
        <v>60</v>
      </c>
      <c r="J135" s="91">
        <f t="shared" si="0"/>
        <v>9000</v>
      </c>
      <c r="K135" s="92"/>
      <c r="L135" s="12"/>
      <c r="M135" s="93" t="s">
        <v>1</v>
      </c>
      <c r="N135" s="94" t="s">
        <v>43</v>
      </c>
      <c r="P135" s="95">
        <f t="shared" si="1"/>
        <v>0</v>
      </c>
      <c r="Q135" s="95">
        <v>0</v>
      </c>
      <c r="R135" s="95">
        <f t="shared" si="2"/>
        <v>0</v>
      </c>
      <c r="S135" s="95">
        <v>0</v>
      </c>
      <c r="T135" s="99">
        <f t="shared" si="3"/>
        <v>0</v>
      </c>
      <c r="AR135" s="101" t="s">
        <v>446</v>
      </c>
      <c r="AT135" s="101" t="s">
        <v>214</v>
      </c>
      <c r="AU135" s="101" t="s">
        <v>87</v>
      </c>
      <c r="AY135" s="23" t="s">
        <v>211</v>
      </c>
      <c r="BE135" s="104">
        <f t="shared" si="4"/>
        <v>0</v>
      </c>
      <c r="BF135" s="104">
        <f t="shared" si="5"/>
        <v>9000</v>
      </c>
      <c r="BG135" s="104">
        <f t="shared" si="6"/>
        <v>0</v>
      </c>
      <c r="BH135" s="104">
        <f t="shared" si="7"/>
        <v>0</v>
      </c>
      <c r="BI135" s="104">
        <f t="shared" si="8"/>
        <v>0</v>
      </c>
      <c r="BJ135" s="23" t="s">
        <v>87</v>
      </c>
      <c r="BK135" s="104">
        <f t="shared" si="9"/>
        <v>9000</v>
      </c>
      <c r="BL135" s="23" t="s">
        <v>446</v>
      </c>
      <c r="BM135" s="101" t="s">
        <v>5625</v>
      </c>
    </row>
    <row r="136" spans="2:65" s="1" customFormat="1" ht="16.5" customHeight="1">
      <c r="B136" s="12"/>
      <c r="C136" s="114" t="s">
        <v>137</v>
      </c>
      <c r="D136" s="114" t="s">
        <v>438</v>
      </c>
      <c r="E136" s="115" t="s">
        <v>4857</v>
      </c>
      <c r="F136" s="116" t="s">
        <v>4858</v>
      </c>
      <c r="G136" s="117" t="s">
        <v>1198</v>
      </c>
      <c r="H136" s="118">
        <v>150</v>
      </c>
      <c r="I136" s="122">
        <v>30</v>
      </c>
      <c r="J136" s="123">
        <f t="shared" si="0"/>
        <v>4500</v>
      </c>
      <c r="K136" s="124"/>
      <c r="L136" s="125"/>
      <c r="M136" s="126" t="s">
        <v>1</v>
      </c>
      <c r="N136" s="127" t="s">
        <v>43</v>
      </c>
      <c r="P136" s="95">
        <f t="shared" si="1"/>
        <v>0</v>
      </c>
      <c r="Q136" s="95">
        <v>1E-3</v>
      </c>
      <c r="R136" s="95">
        <f t="shared" si="2"/>
        <v>0.15</v>
      </c>
      <c r="S136" s="95">
        <v>0</v>
      </c>
      <c r="T136" s="99">
        <f t="shared" si="3"/>
        <v>0</v>
      </c>
      <c r="AR136" s="101" t="s">
        <v>527</v>
      </c>
      <c r="AT136" s="101" t="s">
        <v>438</v>
      </c>
      <c r="AU136" s="101" t="s">
        <v>87</v>
      </c>
      <c r="AY136" s="23" t="s">
        <v>211</v>
      </c>
      <c r="BE136" s="104">
        <f t="shared" si="4"/>
        <v>0</v>
      </c>
      <c r="BF136" s="104">
        <f t="shared" si="5"/>
        <v>4500</v>
      </c>
      <c r="BG136" s="104">
        <f t="shared" si="6"/>
        <v>0</v>
      </c>
      <c r="BH136" s="104">
        <f t="shared" si="7"/>
        <v>0</v>
      </c>
      <c r="BI136" s="104">
        <f t="shared" si="8"/>
        <v>0</v>
      </c>
      <c r="BJ136" s="23" t="s">
        <v>87</v>
      </c>
      <c r="BK136" s="104">
        <f t="shared" si="9"/>
        <v>4500</v>
      </c>
      <c r="BL136" s="23" t="s">
        <v>446</v>
      </c>
      <c r="BM136" s="101" t="s">
        <v>5626</v>
      </c>
    </row>
    <row r="137" spans="2:65" s="1" customFormat="1" ht="24.15" customHeight="1">
      <c r="B137" s="12"/>
      <c r="C137" s="114" t="s">
        <v>218</v>
      </c>
      <c r="D137" s="114" t="s">
        <v>438</v>
      </c>
      <c r="E137" s="115" t="s">
        <v>4860</v>
      </c>
      <c r="F137" s="116" t="s">
        <v>4861</v>
      </c>
      <c r="G137" s="117" t="s">
        <v>1599</v>
      </c>
      <c r="H137" s="118">
        <v>42.856999999999999</v>
      </c>
      <c r="I137" s="122">
        <v>20</v>
      </c>
      <c r="J137" s="123">
        <f t="shared" si="0"/>
        <v>857.14</v>
      </c>
      <c r="K137" s="124"/>
      <c r="L137" s="125"/>
      <c r="M137" s="126" t="s">
        <v>1</v>
      </c>
      <c r="N137" s="127" t="s">
        <v>43</v>
      </c>
      <c r="P137" s="95">
        <f t="shared" si="1"/>
        <v>0</v>
      </c>
      <c r="Q137" s="95">
        <v>2.5999999999999998E-4</v>
      </c>
      <c r="R137" s="95">
        <f t="shared" si="2"/>
        <v>1.1142819999999999E-2</v>
      </c>
      <c r="S137" s="95">
        <v>0</v>
      </c>
      <c r="T137" s="99">
        <f t="shared" si="3"/>
        <v>0</v>
      </c>
      <c r="AR137" s="101" t="s">
        <v>527</v>
      </c>
      <c r="AT137" s="101" t="s">
        <v>438</v>
      </c>
      <c r="AU137" s="101" t="s">
        <v>87</v>
      </c>
      <c r="AY137" s="23" t="s">
        <v>211</v>
      </c>
      <c r="BE137" s="104">
        <f t="shared" si="4"/>
        <v>0</v>
      </c>
      <c r="BF137" s="104">
        <f t="shared" si="5"/>
        <v>857.14</v>
      </c>
      <c r="BG137" s="104">
        <f t="shared" si="6"/>
        <v>0</v>
      </c>
      <c r="BH137" s="104">
        <f t="shared" si="7"/>
        <v>0</v>
      </c>
      <c r="BI137" s="104">
        <f t="shared" si="8"/>
        <v>0</v>
      </c>
      <c r="BJ137" s="23" t="s">
        <v>87</v>
      </c>
      <c r="BK137" s="104">
        <f t="shared" si="9"/>
        <v>857.14</v>
      </c>
      <c r="BL137" s="23" t="s">
        <v>446</v>
      </c>
      <c r="BM137" s="101" t="s">
        <v>5627</v>
      </c>
    </row>
    <row r="138" spans="2:65" s="1" customFormat="1" ht="16.5" customHeight="1">
      <c r="B138" s="12"/>
      <c r="C138" s="71" t="s">
        <v>210</v>
      </c>
      <c r="D138" s="71" t="s">
        <v>214</v>
      </c>
      <c r="E138" s="72" t="s">
        <v>5628</v>
      </c>
      <c r="F138" s="73" t="s">
        <v>5629</v>
      </c>
      <c r="G138" s="74" t="s">
        <v>808</v>
      </c>
      <c r="H138" s="75">
        <v>5</v>
      </c>
      <c r="I138" s="90">
        <v>1000</v>
      </c>
      <c r="J138" s="91">
        <f t="shared" si="0"/>
        <v>5000</v>
      </c>
      <c r="K138" s="92"/>
      <c r="L138" s="12"/>
      <c r="M138" s="93" t="s">
        <v>1</v>
      </c>
      <c r="N138" s="94" t="s">
        <v>43</v>
      </c>
      <c r="P138" s="95">
        <f t="shared" si="1"/>
        <v>0</v>
      </c>
      <c r="Q138" s="95">
        <v>0</v>
      </c>
      <c r="R138" s="95">
        <f t="shared" si="2"/>
        <v>0</v>
      </c>
      <c r="S138" s="95">
        <v>0</v>
      </c>
      <c r="T138" s="99">
        <f t="shared" si="3"/>
        <v>0</v>
      </c>
      <c r="AR138" s="101" t="s">
        <v>446</v>
      </c>
      <c r="AT138" s="101" t="s">
        <v>214</v>
      </c>
      <c r="AU138" s="101" t="s">
        <v>87</v>
      </c>
      <c r="AY138" s="23" t="s">
        <v>211</v>
      </c>
      <c r="BE138" s="104">
        <f t="shared" si="4"/>
        <v>0</v>
      </c>
      <c r="BF138" s="104">
        <f t="shared" si="5"/>
        <v>5000</v>
      </c>
      <c r="BG138" s="104">
        <f t="shared" si="6"/>
        <v>0</v>
      </c>
      <c r="BH138" s="104">
        <f t="shared" si="7"/>
        <v>0</v>
      </c>
      <c r="BI138" s="104">
        <f t="shared" si="8"/>
        <v>0</v>
      </c>
      <c r="BJ138" s="23" t="s">
        <v>87</v>
      </c>
      <c r="BK138" s="104">
        <f t="shared" si="9"/>
        <v>5000</v>
      </c>
      <c r="BL138" s="23" t="s">
        <v>446</v>
      </c>
      <c r="BM138" s="101" t="s">
        <v>5630</v>
      </c>
    </row>
    <row r="139" spans="2:65" s="1" customFormat="1" ht="16.5" customHeight="1">
      <c r="B139" s="12"/>
      <c r="C139" s="71" t="s">
        <v>239</v>
      </c>
      <c r="D139" s="71" t="s">
        <v>214</v>
      </c>
      <c r="E139" s="72" t="s">
        <v>5631</v>
      </c>
      <c r="F139" s="73" t="s">
        <v>5632</v>
      </c>
      <c r="G139" s="74" t="s">
        <v>808</v>
      </c>
      <c r="H139" s="75">
        <v>5</v>
      </c>
      <c r="I139" s="90">
        <v>3500</v>
      </c>
      <c r="J139" s="91">
        <f t="shared" si="0"/>
        <v>17500</v>
      </c>
      <c r="K139" s="92"/>
      <c r="L139" s="12"/>
      <c r="M139" s="93" t="s">
        <v>1</v>
      </c>
      <c r="N139" s="94" t="s">
        <v>43</v>
      </c>
      <c r="P139" s="95">
        <f t="shared" si="1"/>
        <v>0</v>
      </c>
      <c r="Q139" s="95">
        <v>0</v>
      </c>
      <c r="R139" s="95">
        <f t="shared" si="2"/>
        <v>0</v>
      </c>
      <c r="S139" s="95">
        <v>0</v>
      </c>
      <c r="T139" s="99">
        <f t="shared" si="3"/>
        <v>0</v>
      </c>
      <c r="AR139" s="101" t="s">
        <v>446</v>
      </c>
      <c r="AT139" s="101" t="s">
        <v>214</v>
      </c>
      <c r="AU139" s="101" t="s">
        <v>87</v>
      </c>
      <c r="AY139" s="23" t="s">
        <v>211</v>
      </c>
      <c r="BE139" s="104">
        <f t="shared" si="4"/>
        <v>0</v>
      </c>
      <c r="BF139" s="104">
        <f t="shared" si="5"/>
        <v>17500</v>
      </c>
      <c r="BG139" s="104">
        <f t="shared" si="6"/>
        <v>0</v>
      </c>
      <c r="BH139" s="104">
        <f t="shared" si="7"/>
        <v>0</v>
      </c>
      <c r="BI139" s="104">
        <f t="shared" si="8"/>
        <v>0</v>
      </c>
      <c r="BJ139" s="23" t="s">
        <v>87</v>
      </c>
      <c r="BK139" s="104">
        <f t="shared" si="9"/>
        <v>17500</v>
      </c>
      <c r="BL139" s="23" t="s">
        <v>446</v>
      </c>
      <c r="BM139" s="101" t="s">
        <v>5633</v>
      </c>
    </row>
    <row r="140" spans="2:65" s="31" customFormat="1" ht="26.1" customHeight="1">
      <c r="B140" s="67"/>
      <c r="D140" s="68" t="s">
        <v>76</v>
      </c>
      <c r="E140" s="69" t="s">
        <v>438</v>
      </c>
      <c r="F140" s="69" t="s">
        <v>5634</v>
      </c>
      <c r="I140" s="85"/>
      <c r="J140" s="86">
        <f>BK140</f>
        <v>238800</v>
      </c>
      <c r="L140" s="67"/>
      <c r="M140" s="87"/>
      <c r="P140" s="88">
        <f>P141+P153</f>
        <v>0</v>
      </c>
      <c r="R140" s="88">
        <f>R141+R153</f>
        <v>107.7594</v>
      </c>
      <c r="T140" s="98">
        <f>T141+T153</f>
        <v>0</v>
      </c>
      <c r="AR140" s="68" t="s">
        <v>137</v>
      </c>
      <c r="AT140" s="100" t="s">
        <v>76</v>
      </c>
      <c r="AU140" s="100" t="s">
        <v>77</v>
      </c>
      <c r="AY140" s="68" t="s">
        <v>211</v>
      </c>
      <c r="BK140" s="103">
        <f>BK141+BK153</f>
        <v>238800</v>
      </c>
    </row>
    <row r="141" spans="2:65" s="31" customFormat="1" ht="23.1" customHeight="1">
      <c r="B141" s="67"/>
      <c r="D141" s="68" t="s">
        <v>76</v>
      </c>
      <c r="E141" s="70" t="s">
        <v>5635</v>
      </c>
      <c r="F141" s="70" t="s">
        <v>5636</v>
      </c>
      <c r="I141" s="85"/>
      <c r="J141" s="89">
        <f>BK141</f>
        <v>91300</v>
      </c>
      <c r="L141" s="67"/>
      <c r="M141" s="87"/>
      <c r="P141" s="88">
        <f>SUM(P142:P152)</f>
        <v>0</v>
      </c>
      <c r="R141" s="88">
        <f>SUM(R142:R152)</f>
        <v>5.9400000000000001E-2</v>
      </c>
      <c r="T141" s="98">
        <f>SUM(T142:T152)</f>
        <v>0</v>
      </c>
      <c r="AR141" s="68" t="s">
        <v>137</v>
      </c>
      <c r="AT141" s="100" t="s">
        <v>76</v>
      </c>
      <c r="AU141" s="100" t="s">
        <v>85</v>
      </c>
      <c r="AY141" s="68" t="s">
        <v>211</v>
      </c>
      <c r="BK141" s="103">
        <f>SUM(BK142:BK152)</f>
        <v>91300</v>
      </c>
    </row>
    <row r="142" spans="2:65" s="1" customFormat="1" ht="24.15" customHeight="1">
      <c r="B142" s="12"/>
      <c r="C142" s="71" t="s">
        <v>245</v>
      </c>
      <c r="D142" s="71" t="s">
        <v>214</v>
      </c>
      <c r="E142" s="72" t="s">
        <v>5637</v>
      </c>
      <c r="F142" s="73" t="s">
        <v>5638</v>
      </c>
      <c r="G142" s="74" t="s">
        <v>1599</v>
      </c>
      <c r="H142" s="75">
        <v>5</v>
      </c>
      <c r="I142" s="90">
        <v>400</v>
      </c>
      <c r="J142" s="91">
        <f t="shared" ref="J142:J152" si="10">ROUND(I142*H142,2)</f>
        <v>2000</v>
      </c>
      <c r="K142" s="92"/>
      <c r="L142" s="12"/>
      <c r="M142" s="93" t="s">
        <v>1</v>
      </c>
      <c r="N142" s="94" t="s">
        <v>43</v>
      </c>
      <c r="P142" s="95">
        <f t="shared" ref="P142:P152" si="11">O142*H142</f>
        <v>0</v>
      </c>
      <c r="Q142" s="95">
        <v>0</v>
      </c>
      <c r="R142" s="95">
        <f t="shared" ref="R142:R152" si="12">Q142*H142</f>
        <v>0</v>
      </c>
      <c r="S142" s="95">
        <v>0</v>
      </c>
      <c r="T142" s="99">
        <f t="shared" ref="T142:T152" si="13">S142*H142</f>
        <v>0</v>
      </c>
      <c r="AR142" s="101" t="s">
        <v>756</v>
      </c>
      <c r="AT142" s="101" t="s">
        <v>214</v>
      </c>
      <c r="AU142" s="101" t="s">
        <v>87</v>
      </c>
      <c r="AY142" s="23" t="s">
        <v>211</v>
      </c>
      <c r="BE142" s="104">
        <f t="shared" ref="BE142:BE152" si="14">IF(N142="základní",J142,0)</f>
        <v>0</v>
      </c>
      <c r="BF142" s="104">
        <f t="shared" ref="BF142:BF152" si="15">IF(N142="snížená",J142,0)</f>
        <v>2000</v>
      </c>
      <c r="BG142" s="104">
        <f t="shared" ref="BG142:BG152" si="16">IF(N142="zákl. přenesená",J142,0)</f>
        <v>0</v>
      </c>
      <c r="BH142" s="104">
        <f t="shared" ref="BH142:BH152" si="17">IF(N142="sníž. přenesená",J142,0)</f>
        <v>0</v>
      </c>
      <c r="BI142" s="104">
        <f t="shared" ref="BI142:BI152" si="18">IF(N142="nulová",J142,0)</f>
        <v>0</v>
      </c>
      <c r="BJ142" s="23" t="s">
        <v>87</v>
      </c>
      <c r="BK142" s="104">
        <f t="shared" ref="BK142:BK152" si="19">ROUND(I142*H142,2)</f>
        <v>2000</v>
      </c>
      <c r="BL142" s="23" t="s">
        <v>756</v>
      </c>
      <c r="BM142" s="101" t="s">
        <v>5639</v>
      </c>
    </row>
    <row r="143" spans="2:65" s="1" customFormat="1" ht="16.5" customHeight="1">
      <c r="B143" s="12"/>
      <c r="C143" s="114" t="s">
        <v>250</v>
      </c>
      <c r="D143" s="114" t="s">
        <v>438</v>
      </c>
      <c r="E143" s="115" t="s">
        <v>5640</v>
      </c>
      <c r="F143" s="116" t="s">
        <v>5641</v>
      </c>
      <c r="G143" s="117" t="s">
        <v>808</v>
      </c>
      <c r="H143" s="118">
        <v>1</v>
      </c>
      <c r="I143" s="122">
        <v>4000</v>
      </c>
      <c r="J143" s="123">
        <f t="shared" si="10"/>
        <v>4000</v>
      </c>
      <c r="K143" s="124"/>
      <c r="L143" s="125"/>
      <c r="M143" s="126" t="s">
        <v>1</v>
      </c>
      <c r="N143" s="127" t="s">
        <v>43</v>
      </c>
      <c r="P143" s="95">
        <f t="shared" si="11"/>
        <v>0</v>
      </c>
      <c r="Q143" s="95">
        <v>0</v>
      </c>
      <c r="R143" s="95">
        <f t="shared" si="12"/>
        <v>0</v>
      </c>
      <c r="S143" s="95">
        <v>0</v>
      </c>
      <c r="T143" s="99">
        <f t="shared" si="13"/>
        <v>0</v>
      </c>
      <c r="AR143" s="101" t="s">
        <v>1816</v>
      </c>
      <c r="AT143" s="101" t="s">
        <v>438</v>
      </c>
      <c r="AU143" s="101" t="s">
        <v>87</v>
      </c>
      <c r="AY143" s="23" t="s">
        <v>211</v>
      </c>
      <c r="BE143" s="104">
        <f t="shared" si="14"/>
        <v>0</v>
      </c>
      <c r="BF143" s="104">
        <f t="shared" si="15"/>
        <v>4000</v>
      </c>
      <c r="BG143" s="104">
        <f t="shared" si="16"/>
        <v>0</v>
      </c>
      <c r="BH143" s="104">
        <f t="shared" si="17"/>
        <v>0</v>
      </c>
      <c r="BI143" s="104">
        <f t="shared" si="18"/>
        <v>0</v>
      </c>
      <c r="BJ143" s="23" t="s">
        <v>87</v>
      </c>
      <c r="BK143" s="104">
        <f t="shared" si="19"/>
        <v>4000</v>
      </c>
      <c r="BL143" s="23" t="s">
        <v>756</v>
      </c>
      <c r="BM143" s="101" t="s">
        <v>5642</v>
      </c>
    </row>
    <row r="144" spans="2:65" s="1" customFormat="1" ht="24.15" customHeight="1">
      <c r="B144" s="12"/>
      <c r="C144" s="71" t="s">
        <v>255</v>
      </c>
      <c r="D144" s="71" t="s">
        <v>214</v>
      </c>
      <c r="E144" s="72" t="s">
        <v>5643</v>
      </c>
      <c r="F144" s="73" t="s">
        <v>5644</v>
      </c>
      <c r="G144" s="74" t="s">
        <v>1599</v>
      </c>
      <c r="H144" s="75">
        <v>5</v>
      </c>
      <c r="I144" s="90">
        <v>2500</v>
      </c>
      <c r="J144" s="91">
        <f t="shared" si="10"/>
        <v>12500</v>
      </c>
      <c r="K144" s="92"/>
      <c r="L144" s="12"/>
      <c r="M144" s="93" t="s">
        <v>1</v>
      </c>
      <c r="N144" s="94" t="s">
        <v>43</v>
      </c>
      <c r="P144" s="95">
        <f t="shared" si="11"/>
        <v>0</v>
      </c>
      <c r="Q144" s="95">
        <v>0</v>
      </c>
      <c r="R144" s="95">
        <f t="shared" si="12"/>
        <v>0</v>
      </c>
      <c r="S144" s="95">
        <v>0</v>
      </c>
      <c r="T144" s="99">
        <f t="shared" si="13"/>
        <v>0</v>
      </c>
      <c r="AR144" s="101" t="s">
        <v>756</v>
      </c>
      <c r="AT144" s="101" t="s">
        <v>214</v>
      </c>
      <c r="AU144" s="101" t="s">
        <v>87</v>
      </c>
      <c r="AY144" s="23" t="s">
        <v>211</v>
      </c>
      <c r="BE144" s="104">
        <f t="shared" si="14"/>
        <v>0</v>
      </c>
      <c r="BF144" s="104">
        <f t="shared" si="15"/>
        <v>12500</v>
      </c>
      <c r="BG144" s="104">
        <f t="shared" si="16"/>
        <v>0</v>
      </c>
      <c r="BH144" s="104">
        <f t="shared" si="17"/>
        <v>0</v>
      </c>
      <c r="BI144" s="104">
        <f t="shared" si="18"/>
        <v>0</v>
      </c>
      <c r="BJ144" s="23" t="s">
        <v>87</v>
      </c>
      <c r="BK144" s="104">
        <f t="shared" si="19"/>
        <v>12500</v>
      </c>
      <c r="BL144" s="23" t="s">
        <v>756</v>
      </c>
      <c r="BM144" s="101" t="s">
        <v>5645</v>
      </c>
    </row>
    <row r="145" spans="2:65" s="1" customFormat="1" ht="16.5" customHeight="1">
      <c r="B145" s="12"/>
      <c r="C145" s="114" t="s">
        <v>259</v>
      </c>
      <c r="D145" s="114" t="s">
        <v>438</v>
      </c>
      <c r="E145" s="115" t="s">
        <v>5646</v>
      </c>
      <c r="F145" s="116" t="s">
        <v>5647</v>
      </c>
      <c r="G145" s="117" t="s">
        <v>808</v>
      </c>
      <c r="H145" s="118">
        <v>1</v>
      </c>
      <c r="I145" s="122">
        <v>25000</v>
      </c>
      <c r="J145" s="123">
        <f t="shared" si="10"/>
        <v>25000</v>
      </c>
      <c r="K145" s="124"/>
      <c r="L145" s="125"/>
      <c r="M145" s="126" t="s">
        <v>1</v>
      </c>
      <c r="N145" s="127" t="s">
        <v>43</v>
      </c>
      <c r="P145" s="95">
        <f t="shared" si="11"/>
        <v>0</v>
      </c>
      <c r="Q145" s="95">
        <v>0</v>
      </c>
      <c r="R145" s="95">
        <f t="shared" si="12"/>
        <v>0</v>
      </c>
      <c r="S145" s="95">
        <v>0</v>
      </c>
      <c r="T145" s="99">
        <f t="shared" si="13"/>
        <v>0</v>
      </c>
      <c r="AR145" s="101" t="s">
        <v>1816</v>
      </c>
      <c r="AT145" s="101" t="s">
        <v>438</v>
      </c>
      <c r="AU145" s="101" t="s">
        <v>87</v>
      </c>
      <c r="AY145" s="23" t="s">
        <v>211</v>
      </c>
      <c r="BE145" s="104">
        <f t="shared" si="14"/>
        <v>0</v>
      </c>
      <c r="BF145" s="104">
        <f t="shared" si="15"/>
        <v>25000</v>
      </c>
      <c r="BG145" s="104">
        <f t="shared" si="16"/>
        <v>0</v>
      </c>
      <c r="BH145" s="104">
        <f t="shared" si="17"/>
        <v>0</v>
      </c>
      <c r="BI145" s="104">
        <f t="shared" si="18"/>
        <v>0</v>
      </c>
      <c r="BJ145" s="23" t="s">
        <v>87</v>
      </c>
      <c r="BK145" s="104">
        <f t="shared" si="19"/>
        <v>25000</v>
      </c>
      <c r="BL145" s="23" t="s">
        <v>756</v>
      </c>
      <c r="BM145" s="101" t="s">
        <v>5648</v>
      </c>
    </row>
    <row r="146" spans="2:65" s="1" customFormat="1" ht="24.15" customHeight="1">
      <c r="B146" s="12"/>
      <c r="C146" s="71" t="s">
        <v>266</v>
      </c>
      <c r="D146" s="71" t="s">
        <v>214</v>
      </c>
      <c r="E146" s="72" t="s">
        <v>5649</v>
      </c>
      <c r="F146" s="73" t="s">
        <v>5650</v>
      </c>
      <c r="G146" s="74" t="s">
        <v>1599</v>
      </c>
      <c r="H146" s="75">
        <v>3</v>
      </c>
      <c r="I146" s="90">
        <v>1000</v>
      </c>
      <c r="J146" s="91">
        <f t="shared" si="10"/>
        <v>3000</v>
      </c>
      <c r="K146" s="92"/>
      <c r="L146" s="12"/>
      <c r="M146" s="93" t="s">
        <v>1</v>
      </c>
      <c r="N146" s="94" t="s">
        <v>43</v>
      </c>
      <c r="P146" s="95">
        <f t="shared" si="11"/>
        <v>0</v>
      </c>
      <c r="Q146" s="95">
        <v>0</v>
      </c>
      <c r="R146" s="95">
        <f t="shared" si="12"/>
        <v>0</v>
      </c>
      <c r="S146" s="95">
        <v>0</v>
      </c>
      <c r="T146" s="99">
        <f t="shared" si="13"/>
        <v>0</v>
      </c>
      <c r="AR146" s="101" t="s">
        <v>756</v>
      </c>
      <c r="AT146" s="101" t="s">
        <v>214</v>
      </c>
      <c r="AU146" s="101" t="s">
        <v>87</v>
      </c>
      <c r="AY146" s="23" t="s">
        <v>211</v>
      </c>
      <c r="BE146" s="104">
        <f t="shared" si="14"/>
        <v>0</v>
      </c>
      <c r="BF146" s="104">
        <f t="shared" si="15"/>
        <v>3000</v>
      </c>
      <c r="BG146" s="104">
        <f t="shared" si="16"/>
        <v>0</v>
      </c>
      <c r="BH146" s="104">
        <f t="shared" si="17"/>
        <v>0</v>
      </c>
      <c r="BI146" s="104">
        <f t="shared" si="18"/>
        <v>0</v>
      </c>
      <c r="BJ146" s="23" t="s">
        <v>87</v>
      </c>
      <c r="BK146" s="104">
        <f t="shared" si="19"/>
        <v>3000</v>
      </c>
      <c r="BL146" s="23" t="s">
        <v>756</v>
      </c>
      <c r="BM146" s="101" t="s">
        <v>5651</v>
      </c>
    </row>
    <row r="147" spans="2:65" s="1" customFormat="1" ht="16.5" customHeight="1">
      <c r="B147" s="12"/>
      <c r="C147" s="114" t="s">
        <v>273</v>
      </c>
      <c r="D147" s="114" t="s">
        <v>438</v>
      </c>
      <c r="E147" s="115" t="s">
        <v>5652</v>
      </c>
      <c r="F147" s="116" t="s">
        <v>5653</v>
      </c>
      <c r="G147" s="117" t="s">
        <v>808</v>
      </c>
      <c r="H147" s="118">
        <v>3</v>
      </c>
      <c r="I147" s="122">
        <v>3500</v>
      </c>
      <c r="J147" s="123">
        <f t="shared" si="10"/>
        <v>10500</v>
      </c>
      <c r="K147" s="124"/>
      <c r="L147" s="125"/>
      <c r="M147" s="126" t="s">
        <v>1</v>
      </c>
      <c r="N147" s="127" t="s">
        <v>43</v>
      </c>
      <c r="P147" s="95">
        <f t="shared" si="11"/>
        <v>0</v>
      </c>
      <c r="Q147" s="95">
        <v>0</v>
      </c>
      <c r="R147" s="95">
        <f t="shared" si="12"/>
        <v>0</v>
      </c>
      <c r="S147" s="95">
        <v>0</v>
      </c>
      <c r="T147" s="99">
        <f t="shared" si="13"/>
        <v>0</v>
      </c>
      <c r="AR147" s="101" t="s">
        <v>1816</v>
      </c>
      <c r="AT147" s="101" t="s">
        <v>438</v>
      </c>
      <c r="AU147" s="101" t="s">
        <v>87</v>
      </c>
      <c r="AY147" s="23" t="s">
        <v>211</v>
      </c>
      <c r="BE147" s="104">
        <f t="shared" si="14"/>
        <v>0</v>
      </c>
      <c r="BF147" s="104">
        <f t="shared" si="15"/>
        <v>10500</v>
      </c>
      <c r="BG147" s="104">
        <f t="shared" si="16"/>
        <v>0</v>
      </c>
      <c r="BH147" s="104">
        <f t="shared" si="17"/>
        <v>0</v>
      </c>
      <c r="BI147" s="104">
        <f t="shared" si="18"/>
        <v>0</v>
      </c>
      <c r="BJ147" s="23" t="s">
        <v>87</v>
      </c>
      <c r="BK147" s="104">
        <f t="shared" si="19"/>
        <v>10500</v>
      </c>
      <c r="BL147" s="23" t="s">
        <v>756</v>
      </c>
      <c r="BM147" s="101" t="s">
        <v>5654</v>
      </c>
    </row>
    <row r="148" spans="2:65" s="1" customFormat="1" ht="16.5" customHeight="1">
      <c r="B148" s="12"/>
      <c r="C148" s="71" t="s">
        <v>433</v>
      </c>
      <c r="D148" s="71" t="s">
        <v>214</v>
      </c>
      <c r="E148" s="72" t="s">
        <v>5655</v>
      </c>
      <c r="F148" s="73" t="s">
        <v>5656</v>
      </c>
      <c r="G148" s="74" t="s">
        <v>1599</v>
      </c>
      <c r="H148" s="75">
        <v>5</v>
      </c>
      <c r="I148" s="90">
        <v>500</v>
      </c>
      <c r="J148" s="91">
        <f t="shared" si="10"/>
        <v>2500</v>
      </c>
      <c r="K148" s="92"/>
      <c r="L148" s="12"/>
      <c r="M148" s="93" t="s">
        <v>1</v>
      </c>
      <c r="N148" s="94" t="s">
        <v>43</v>
      </c>
      <c r="P148" s="95">
        <f t="shared" si="11"/>
        <v>0</v>
      </c>
      <c r="Q148" s="95">
        <v>0</v>
      </c>
      <c r="R148" s="95">
        <f t="shared" si="12"/>
        <v>0</v>
      </c>
      <c r="S148" s="95">
        <v>0</v>
      </c>
      <c r="T148" s="99">
        <f t="shared" si="13"/>
        <v>0</v>
      </c>
      <c r="AR148" s="101" t="s">
        <v>756</v>
      </c>
      <c r="AT148" s="101" t="s">
        <v>214</v>
      </c>
      <c r="AU148" s="101" t="s">
        <v>87</v>
      </c>
      <c r="AY148" s="23" t="s">
        <v>211</v>
      </c>
      <c r="BE148" s="104">
        <f t="shared" si="14"/>
        <v>0</v>
      </c>
      <c r="BF148" s="104">
        <f t="shared" si="15"/>
        <v>2500</v>
      </c>
      <c r="BG148" s="104">
        <f t="shared" si="16"/>
        <v>0</v>
      </c>
      <c r="BH148" s="104">
        <f t="shared" si="17"/>
        <v>0</v>
      </c>
      <c r="BI148" s="104">
        <f t="shared" si="18"/>
        <v>0</v>
      </c>
      <c r="BJ148" s="23" t="s">
        <v>87</v>
      </c>
      <c r="BK148" s="104">
        <f t="shared" si="19"/>
        <v>2500</v>
      </c>
      <c r="BL148" s="23" t="s">
        <v>756</v>
      </c>
      <c r="BM148" s="101" t="s">
        <v>5657</v>
      </c>
    </row>
    <row r="149" spans="2:65" s="1" customFormat="1" ht="16.5" customHeight="1">
      <c r="B149" s="12"/>
      <c r="C149" s="114" t="s">
        <v>437</v>
      </c>
      <c r="D149" s="114" t="s">
        <v>438</v>
      </c>
      <c r="E149" s="115" t="s">
        <v>5658</v>
      </c>
      <c r="F149" s="116" t="s">
        <v>5659</v>
      </c>
      <c r="G149" s="117" t="s">
        <v>808</v>
      </c>
      <c r="H149" s="118">
        <v>5</v>
      </c>
      <c r="I149" s="122">
        <v>3500</v>
      </c>
      <c r="J149" s="123">
        <f t="shared" si="10"/>
        <v>17500</v>
      </c>
      <c r="K149" s="124"/>
      <c r="L149" s="125"/>
      <c r="M149" s="126" t="s">
        <v>1</v>
      </c>
      <c r="N149" s="127" t="s">
        <v>43</v>
      </c>
      <c r="P149" s="95">
        <f t="shared" si="11"/>
        <v>0</v>
      </c>
      <c r="Q149" s="95">
        <v>0</v>
      </c>
      <c r="R149" s="95">
        <f t="shared" si="12"/>
        <v>0</v>
      </c>
      <c r="S149" s="95">
        <v>0</v>
      </c>
      <c r="T149" s="99">
        <f t="shared" si="13"/>
        <v>0</v>
      </c>
      <c r="AR149" s="101" t="s">
        <v>1816</v>
      </c>
      <c r="AT149" s="101" t="s">
        <v>438</v>
      </c>
      <c r="AU149" s="101" t="s">
        <v>87</v>
      </c>
      <c r="AY149" s="23" t="s">
        <v>211</v>
      </c>
      <c r="BE149" s="104">
        <f t="shared" si="14"/>
        <v>0</v>
      </c>
      <c r="BF149" s="104">
        <f t="shared" si="15"/>
        <v>17500</v>
      </c>
      <c r="BG149" s="104">
        <f t="shared" si="16"/>
        <v>0</v>
      </c>
      <c r="BH149" s="104">
        <f t="shared" si="17"/>
        <v>0</v>
      </c>
      <c r="BI149" s="104">
        <f t="shared" si="18"/>
        <v>0</v>
      </c>
      <c r="BJ149" s="23" t="s">
        <v>87</v>
      </c>
      <c r="BK149" s="104">
        <f t="shared" si="19"/>
        <v>17500</v>
      </c>
      <c r="BL149" s="23" t="s">
        <v>756</v>
      </c>
      <c r="BM149" s="101" t="s">
        <v>5660</v>
      </c>
    </row>
    <row r="150" spans="2:65" s="1" customFormat="1" ht="24.15" customHeight="1">
      <c r="B150" s="12"/>
      <c r="C150" s="71" t="s">
        <v>8</v>
      </c>
      <c r="D150" s="71" t="s">
        <v>214</v>
      </c>
      <c r="E150" s="72" t="s">
        <v>5661</v>
      </c>
      <c r="F150" s="73" t="s">
        <v>5662</v>
      </c>
      <c r="G150" s="74" t="s">
        <v>444</v>
      </c>
      <c r="H150" s="75">
        <v>150</v>
      </c>
      <c r="I150" s="90">
        <v>50</v>
      </c>
      <c r="J150" s="91">
        <f t="shared" si="10"/>
        <v>7500</v>
      </c>
      <c r="K150" s="92"/>
      <c r="L150" s="12"/>
      <c r="M150" s="93" t="s">
        <v>1</v>
      </c>
      <c r="N150" s="94" t="s">
        <v>43</v>
      </c>
      <c r="P150" s="95">
        <f t="shared" si="11"/>
        <v>0</v>
      </c>
      <c r="Q150" s="95">
        <v>0</v>
      </c>
      <c r="R150" s="95">
        <f t="shared" si="12"/>
        <v>0</v>
      </c>
      <c r="S150" s="95">
        <v>0</v>
      </c>
      <c r="T150" s="99">
        <f t="shared" si="13"/>
        <v>0</v>
      </c>
      <c r="AR150" s="101" t="s">
        <v>756</v>
      </c>
      <c r="AT150" s="101" t="s">
        <v>214</v>
      </c>
      <c r="AU150" s="101" t="s">
        <v>87</v>
      </c>
      <c r="AY150" s="23" t="s">
        <v>211</v>
      </c>
      <c r="BE150" s="104">
        <f t="shared" si="14"/>
        <v>0</v>
      </c>
      <c r="BF150" s="104">
        <f t="shared" si="15"/>
        <v>7500</v>
      </c>
      <c r="BG150" s="104">
        <f t="shared" si="16"/>
        <v>0</v>
      </c>
      <c r="BH150" s="104">
        <f t="shared" si="17"/>
        <v>0</v>
      </c>
      <c r="BI150" s="104">
        <f t="shared" si="18"/>
        <v>0</v>
      </c>
      <c r="BJ150" s="23" t="s">
        <v>87</v>
      </c>
      <c r="BK150" s="104">
        <f t="shared" si="19"/>
        <v>7500</v>
      </c>
      <c r="BL150" s="23" t="s">
        <v>756</v>
      </c>
      <c r="BM150" s="101" t="s">
        <v>5663</v>
      </c>
    </row>
    <row r="151" spans="2:65" s="1" customFormat="1" ht="24.15" customHeight="1">
      <c r="B151" s="12"/>
      <c r="C151" s="114" t="s">
        <v>446</v>
      </c>
      <c r="D151" s="114" t="s">
        <v>438</v>
      </c>
      <c r="E151" s="115" t="s">
        <v>5664</v>
      </c>
      <c r="F151" s="116" t="s">
        <v>5665</v>
      </c>
      <c r="G151" s="117" t="s">
        <v>444</v>
      </c>
      <c r="H151" s="118">
        <v>150</v>
      </c>
      <c r="I151" s="122">
        <v>40</v>
      </c>
      <c r="J151" s="123">
        <f t="shared" si="10"/>
        <v>6000</v>
      </c>
      <c r="K151" s="124"/>
      <c r="L151" s="125"/>
      <c r="M151" s="126" t="s">
        <v>1</v>
      </c>
      <c r="N151" s="127" t="s">
        <v>43</v>
      </c>
      <c r="P151" s="95">
        <f t="shared" si="11"/>
        <v>0</v>
      </c>
      <c r="Q151" s="95">
        <v>3.5E-4</v>
      </c>
      <c r="R151" s="95">
        <f t="shared" si="12"/>
        <v>5.2499999999999998E-2</v>
      </c>
      <c r="S151" s="95">
        <v>0</v>
      </c>
      <c r="T151" s="99">
        <f t="shared" si="13"/>
        <v>0</v>
      </c>
      <c r="AR151" s="101" t="s">
        <v>1211</v>
      </c>
      <c r="AT151" s="101" t="s">
        <v>438</v>
      </c>
      <c r="AU151" s="101" t="s">
        <v>87</v>
      </c>
      <c r="AY151" s="23" t="s">
        <v>211</v>
      </c>
      <c r="BE151" s="104">
        <f t="shared" si="14"/>
        <v>0</v>
      </c>
      <c r="BF151" s="104">
        <f t="shared" si="15"/>
        <v>6000</v>
      </c>
      <c r="BG151" s="104">
        <f t="shared" si="16"/>
        <v>0</v>
      </c>
      <c r="BH151" s="104">
        <f t="shared" si="17"/>
        <v>0</v>
      </c>
      <c r="BI151" s="104">
        <f t="shared" si="18"/>
        <v>0</v>
      </c>
      <c r="BJ151" s="23" t="s">
        <v>87</v>
      </c>
      <c r="BK151" s="104">
        <f t="shared" si="19"/>
        <v>6000</v>
      </c>
      <c r="BL151" s="23" t="s">
        <v>1211</v>
      </c>
      <c r="BM151" s="101" t="s">
        <v>5666</v>
      </c>
    </row>
    <row r="152" spans="2:65" s="1" customFormat="1" ht="33" customHeight="1">
      <c r="B152" s="12"/>
      <c r="C152" s="114" t="s">
        <v>450</v>
      </c>
      <c r="D152" s="114" t="s">
        <v>438</v>
      </c>
      <c r="E152" s="115" t="s">
        <v>5667</v>
      </c>
      <c r="F152" s="116" t="s">
        <v>5668</v>
      </c>
      <c r="G152" s="117" t="s">
        <v>444</v>
      </c>
      <c r="H152" s="118">
        <v>10</v>
      </c>
      <c r="I152" s="122">
        <v>80</v>
      </c>
      <c r="J152" s="123">
        <f t="shared" si="10"/>
        <v>800</v>
      </c>
      <c r="K152" s="124"/>
      <c r="L152" s="125"/>
      <c r="M152" s="126" t="s">
        <v>1</v>
      </c>
      <c r="N152" s="127" t="s">
        <v>43</v>
      </c>
      <c r="P152" s="95">
        <f t="shared" si="11"/>
        <v>0</v>
      </c>
      <c r="Q152" s="95">
        <v>6.8999999999999997E-4</v>
      </c>
      <c r="R152" s="95">
        <f t="shared" si="12"/>
        <v>6.8999999999999999E-3</v>
      </c>
      <c r="S152" s="95">
        <v>0</v>
      </c>
      <c r="T152" s="99">
        <f t="shared" si="13"/>
        <v>0</v>
      </c>
      <c r="AR152" s="101" t="s">
        <v>1211</v>
      </c>
      <c r="AT152" s="101" t="s">
        <v>438</v>
      </c>
      <c r="AU152" s="101" t="s">
        <v>87</v>
      </c>
      <c r="AY152" s="23" t="s">
        <v>211</v>
      </c>
      <c r="BE152" s="104">
        <f t="shared" si="14"/>
        <v>0</v>
      </c>
      <c r="BF152" s="104">
        <f t="shared" si="15"/>
        <v>800</v>
      </c>
      <c r="BG152" s="104">
        <f t="shared" si="16"/>
        <v>0</v>
      </c>
      <c r="BH152" s="104">
        <f t="shared" si="17"/>
        <v>0</v>
      </c>
      <c r="BI152" s="104">
        <f t="shared" si="18"/>
        <v>0</v>
      </c>
      <c r="BJ152" s="23" t="s">
        <v>87</v>
      </c>
      <c r="BK152" s="104">
        <f t="shared" si="19"/>
        <v>800</v>
      </c>
      <c r="BL152" s="23" t="s">
        <v>1211</v>
      </c>
      <c r="BM152" s="101" t="s">
        <v>5669</v>
      </c>
    </row>
    <row r="153" spans="2:65" s="31" customFormat="1" ht="23.1" customHeight="1">
      <c r="B153" s="67"/>
      <c r="D153" s="68" t="s">
        <v>76</v>
      </c>
      <c r="E153" s="70" t="s">
        <v>5670</v>
      </c>
      <c r="F153" s="70" t="s">
        <v>5671</v>
      </c>
      <c r="I153" s="85"/>
      <c r="J153" s="89">
        <f>BK153</f>
        <v>147500</v>
      </c>
      <c r="L153" s="67"/>
      <c r="M153" s="87"/>
      <c r="P153" s="88">
        <f>SUM(P154:P162)</f>
        <v>0</v>
      </c>
      <c r="R153" s="88">
        <f>SUM(R154:R162)</f>
        <v>107.7</v>
      </c>
      <c r="T153" s="98">
        <f>SUM(T154:T162)</f>
        <v>0</v>
      </c>
      <c r="AR153" s="68" t="s">
        <v>137</v>
      </c>
      <c r="AT153" s="100" t="s">
        <v>76</v>
      </c>
      <c r="AU153" s="100" t="s">
        <v>85</v>
      </c>
      <c r="AY153" s="68" t="s">
        <v>211</v>
      </c>
      <c r="BK153" s="103">
        <f>SUM(BK154:BK162)</f>
        <v>147500</v>
      </c>
    </row>
    <row r="154" spans="2:65" s="1" customFormat="1" ht="33" customHeight="1">
      <c r="B154" s="12"/>
      <c r="C154" s="71" t="s">
        <v>454</v>
      </c>
      <c r="D154" s="71" t="s">
        <v>214</v>
      </c>
      <c r="E154" s="72" t="s">
        <v>5672</v>
      </c>
      <c r="F154" s="73" t="s">
        <v>5673</v>
      </c>
      <c r="G154" s="74" t="s">
        <v>1599</v>
      </c>
      <c r="H154" s="75">
        <v>5</v>
      </c>
      <c r="I154" s="90">
        <v>800</v>
      </c>
      <c r="J154" s="91">
        <f t="shared" ref="J154:J162" si="20">ROUND(I154*H154,2)</f>
        <v>4000</v>
      </c>
      <c r="K154" s="92"/>
      <c r="L154" s="12"/>
      <c r="M154" s="93" t="s">
        <v>1</v>
      </c>
      <c r="N154" s="94" t="s">
        <v>43</v>
      </c>
      <c r="P154" s="95">
        <f t="shared" ref="P154:P162" si="21">O154*H154</f>
        <v>0</v>
      </c>
      <c r="Q154" s="95">
        <v>0</v>
      </c>
      <c r="R154" s="95">
        <f t="shared" ref="R154:R162" si="22">Q154*H154</f>
        <v>0</v>
      </c>
      <c r="S154" s="95">
        <v>0</v>
      </c>
      <c r="T154" s="99">
        <f t="shared" ref="T154:T162" si="23">S154*H154</f>
        <v>0</v>
      </c>
      <c r="AR154" s="101" t="s">
        <v>756</v>
      </c>
      <c r="AT154" s="101" t="s">
        <v>214</v>
      </c>
      <c r="AU154" s="101" t="s">
        <v>87</v>
      </c>
      <c r="AY154" s="23" t="s">
        <v>211</v>
      </c>
      <c r="BE154" s="104">
        <f t="shared" ref="BE154:BE162" si="24">IF(N154="základní",J154,0)</f>
        <v>0</v>
      </c>
      <c r="BF154" s="104">
        <f t="shared" ref="BF154:BF162" si="25">IF(N154="snížená",J154,0)</f>
        <v>4000</v>
      </c>
      <c r="BG154" s="104">
        <f t="shared" ref="BG154:BG162" si="26">IF(N154="zákl. přenesená",J154,0)</f>
        <v>0</v>
      </c>
      <c r="BH154" s="104">
        <f t="shared" ref="BH154:BH162" si="27">IF(N154="sníž. přenesená",J154,0)</f>
        <v>0</v>
      </c>
      <c r="BI154" s="104">
        <f t="shared" ref="BI154:BI162" si="28">IF(N154="nulová",J154,0)</f>
        <v>0</v>
      </c>
      <c r="BJ154" s="23" t="s">
        <v>87</v>
      </c>
      <c r="BK154" s="104">
        <f t="shared" ref="BK154:BK162" si="29">ROUND(I154*H154,2)</f>
        <v>4000</v>
      </c>
      <c r="BL154" s="23" t="s">
        <v>756</v>
      </c>
      <c r="BM154" s="101" t="s">
        <v>5674</v>
      </c>
    </row>
    <row r="155" spans="2:65" s="1" customFormat="1" ht="16.5" customHeight="1">
      <c r="B155" s="12"/>
      <c r="C155" s="114" t="s">
        <v>459</v>
      </c>
      <c r="D155" s="114" t="s">
        <v>438</v>
      </c>
      <c r="E155" s="115" t="s">
        <v>5675</v>
      </c>
      <c r="F155" s="116" t="s">
        <v>5676</v>
      </c>
      <c r="G155" s="117" t="s">
        <v>808</v>
      </c>
      <c r="H155" s="118">
        <v>5</v>
      </c>
      <c r="I155" s="122">
        <v>9000</v>
      </c>
      <c r="J155" s="123">
        <f t="shared" si="20"/>
        <v>45000</v>
      </c>
      <c r="K155" s="124"/>
      <c r="L155" s="125"/>
      <c r="M155" s="126" t="s">
        <v>1</v>
      </c>
      <c r="N155" s="127" t="s">
        <v>43</v>
      </c>
      <c r="P155" s="95">
        <f t="shared" si="21"/>
        <v>0</v>
      </c>
      <c r="Q155" s="95">
        <v>0</v>
      </c>
      <c r="R155" s="95">
        <f t="shared" si="22"/>
        <v>0</v>
      </c>
      <c r="S155" s="95">
        <v>0</v>
      </c>
      <c r="T155" s="99">
        <f t="shared" si="23"/>
        <v>0</v>
      </c>
      <c r="AR155" s="101" t="s">
        <v>1816</v>
      </c>
      <c r="AT155" s="101" t="s">
        <v>438</v>
      </c>
      <c r="AU155" s="101" t="s">
        <v>87</v>
      </c>
      <c r="AY155" s="23" t="s">
        <v>211</v>
      </c>
      <c r="BE155" s="104">
        <f t="shared" si="24"/>
        <v>0</v>
      </c>
      <c r="BF155" s="104">
        <f t="shared" si="25"/>
        <v>45000</v>
      </c>
      <c r="BG155" s="104">
        <f t="shared" si="26"/>
        <v>0</v>
      </c>
      <c r="BH155" s="104">
        <f t="shared" si="27"/>
        <v>0</v>
      </c>
      <c r="BI155" s="104">
        <f t="shared" si="28"/>
        <v>0</v>
      </c>
      <c r="BJ155" s="23" t="s">
        <v>87</v>
      </c>
      <c r="BK155" s="104">
        <f t="shared" si="29"/>
        <v>45000</v>
      </c>
      <c r="BL155" s="23" t="s">
        <v>756</v>
      </c>
      <c r="BM155" s="101" t="s">
        <v>5677</v>
      </c>
    </row>
    <row r="156" spans="2:65" s="1" customFormat="1" ht="24.15" customHeight="1">
      <c r="B156" s="12"/>
      <c r="C156" s="71" t="s">
        <v>465</v>
      </c>
      <c r="D156" s="71" t="s">
        <v>214</v>
      </c>
      <c r="E156" s="72" t="s">
        <v>5678</v>
      </c>
      <c r="F156" s="73" t="s">
        <v>5679</v>
      </c>
      <c r="G156" s="74" t="s">
        <v>444</v>
      </c>
      <c r="H156" s="75">
        <v>140</v>
      </c>
      <c r="I156" s="90">
        <v>200</v>
      </c>
      <c r="J156" s="91">
        <f t="shared" si="20"/>
        <v>28000</v>
      </c>
      <c r="K156" s="92"/>
      <c r="L156" s="12"/>
      <c r="M156" s="93" t="s">
        <v>1</v>
      </c>
      <c r="N156" s="94" t="s">
        <v>43</v>
      </c>
      <c r="P156" s="95">
        <f t="shared" si="21"/>
        <v>0</v>
      </c>
      <c r="Q156" s="95">
        <v>0</v>
      </c>
      <c r="R156" s="95">
        <f t="shared" si="22"/>
        <v>0</v>
      </c>
      <c r="S156" s="95">
        <v>0</v>
      </c>
      <c r="T156" s="99">
        <f t="shared" si="23"/>
        <v>0</v>
      </c>
      <c r="AR156" s="101" t="s">
        <v>756</v>
      </c>
      <c r="AT156" s="101" t="s">
        <v>214</v>
      </c>
      <c r="AU156" s="101" t="s">
        <v>87</v>
      </c>
      <c r="AY156" s="23" t="s">
        <v>211</v>
      </c>
      <c r="BE156" s="104">
        <f t="shared" si="24"/>
        <v>0</v>
      </c>
      <c r="BF156" s="104">
        <f t="shared" si="25"/>
        <v>28000</v>
      </c>
      <c r="BG156" s="104">
        <f t="shared" si="26"/>
        <v>0</v>
      </c>
      <c r="BH156" s="104">
        <f t="shared" si="27"/>
        <v>0</v>
      </c>
      <c r="BI156" s="104">
        <f t="shared" si="28"/>
        <v>0</v>
      </c>
      <c r="BJ156" s="23" t="s">
        <v>87</v>
      </c>
      <c r="BK156" s="104">
        <f t="shared" si="29"/>
        <v>28000</v>
      </c>
      <c r="BL156" s="23" t="s">
        <v>756</v>
      </c>
      <c r="BM156" s="101" t="s">
        <v>5680</v>
      </c>
    </row>
    <row r="157" spans="2:65" s="1" customFormat="1" ht="24.15" customHeight="1">
      <c r="B157" s="12"/>
      <c r="C157" s="71" t="s">
        <v>7</v>
      </c>
      <c r="D157" s="71" t="s">
        <v>214</v>
      </c>
      <c r="E157" s="72" t="s">
        <v>5681</v>
      </c>
      <c r="F157" s="73" t="s">
        <v>5682</v>
      </c>
      <c r="G157" s="74" t="s">
        <v>444</v>
      </c>
      <c r="H157" s="75">
        <v>10</v>
      </c>
      <c r="I157" s="90">
        <v>500</v>
      </c>
      <c r="J157" s="91">
        <f t="shared" si="20"/>
        <v>5000</v>
      </c>
      <c r="K157" s="92"/>
      <c r="L157" s="12"/>
      <c r="M157" s="93" t="s">
        <v>1</v>
      </c>
      <c r="N157" s="94" t="s">
        <v>43</v>
      </c>
      <c r="P157" s="95">
        <f t="shared" si="21"/>
        <v>0</v>
      </c>
      <c r="Q157" s="95">
        <v>0</v>
      </c>
      <c r="R157" s="95">
        <f t="shared" si="22"/>
        <v>0</v>
      </c>
      <c r="S157" s="95">
        <v>0</v>
      </c>
      <c r="T157" s="99">
        <f t="shared" si="23"/>
        <v>0</v>
      </c>
      <c r="AR157" s="101" t="s">
        <v>756</v>
      </c>
      <c r="AT157" s="101" t="s">
        <v>214</v>
      </c>
      <c r="AU157" s="101" t="s">
        <v>87</v>
      </c>
      <c r="AY157" s="23" t="s">
        <v>211</v>
      </c>
      <c r="BE157" s="104">
        <f t="shared" si="24"/>
        <v>0</v>
      </c>
      <c r="BF157" s="104">
        <f t="shared" si="25"/>
        <v>5000</v>
      </c>
      <c r="BG157" s="104">
        <f t="shared" si="26"/>
        <v>0</v>
      </c>
      <c r="BH157" s="104">
        <f t="shared" si="27"/>
        <v>0</v>
      </c>
      <c r="BI157" s="104">
        <f t="shared" si="28"/>
        <v>0</v>
      </c>
      <c r="BJ157" s="23" t="s">
        <v>87</v>
      </c>
      <c r="BK157" s="104">
        <f t="shared" si="29"/>
        <v>5000</v>
      </c>
      <c r="BL157" s="23" t="s">
        <v>756</v>
      </c>
      <c r="BM157" s="101" t="s">
        <v>5683</v>
      </c>
    </row>
    <row r="158" spans="2:65" s="1" customFormat="1" ht="24.15" customHeight="1">
      <c r="B158" s="12"/>
      <c r="C158" s="71" t="s">
        <v>475</v>
      </c>
      <c r="D158" s="71" t="s">
        <v>214</v>
      </c>
      <c r="E158" s="72" t="s">
        <v>5684</v>
      </c>
      <c r="F158" s="73" t="s">
        <v>5685</v>
      </c>
      <c r="G158" s="74" t="s">
        <v>444</v>
      </c>
      <c r="H158" s="75">
        <v>300</v>
      </c>
      <c r="I158" s="90">
        <v>100</v>
      </c>
      <c r="J158" s="91">
        <f t="shared" si="20"/>
        <v>30000</v>
      </c>
      <c r="K158" s="92"/>
      <c r="L158" s="12"/>
      <c r="M158" s="93" t="s">
        <v>1</v>
      </c>
      <c r="N158" s="94" t="s">
        <v>43</v>
      </c>
      <c r="P158" s="95">
        <f t="shared" si="21"/>
        <v>0</v>
      </c>
      <c r="Q158" s="95">
        <v>0.20300000000000001</v>
      </c>
      <c r="R158" s="95">
        <f t="shared" si="22"/>
        <v>60.9</v>
      </c>
      <c r="S158" s="95">
        <v>0</v>
      </c>
      <c r="T158" s="99">
        <f t="shared" si="23"/>
        <v>0</v>
      </c>
      <c r="AR158" s="101" t="s">
        <v>756</v>
      </c>
      <c r="AT158" s="101" t="s">
        <v>214</v>
      </c>
      <c r="AU158" s="101" t="s">
        <v>87</v>
      </c>
      <c r="AY158" s="23" t="s">
        <v>211</v>
      </c>
      <c r="BE158" s="104">
        <f t="shared" si="24"/>
        <v>0</v>
      </c>
      <c r="BF158" s="104">
        <f t="shared" si="25"/>
        <v>30000</v>
      </c>
      <c r="BG158" s="104">
        <f t="shared" si="26"/>
        <v>0</v>
      </c>
      <c r="BH158" s="104">
        <f t="shared" si="27"/>
        <v>0</v>
      </c>
      <c r="BI158" s="104">
        <f t="shared" si="28"/>
        <v>0</v>
      </c>
      <c r="BJ158" s="23" t="s">
        <v>87</v>
      </c>
      <c r="BK158" s="104">
        <f t="shared" si="29"/>
        <v>30000</v>
      </c>
      <c r="BL158" s="23" t="s">
        <v>756</v>
      </c>
      <c r="BM158" s="101" t="s">
        <v>5686</v>
      </c>
    </row>
    <row r="159" spans="2:65" s="1" customFormat="1" ht="33" customHeight="1">
      <c r="B159" s="12"/>
      <c r="C159" s="71" t="s">
        <v>481</v>
      </c>
      <c r="D159" s="71" t="s">
        <v>214</v>
      </c>
      <c r="E159" s="72" t="s">
        <v>5687</v>
      </c>
      <c r="F159" s="73" t="s">
        <v>5688</v>
      </c>
      <c r="G159" s="74" t="s">
        <v>444</v>
      </c>
      <c r="H159" s="75">
        <v>300</v>
      </c>
      <c r="I159" s="90">
        <v>80</v>
      </c>
      <c r="J159" s="91">
        <f t="shared" si="20"/>
        <v>24000</v>
      </c>
      <c r="K159" s="92"/>
      <c r="L159" s="12"/>
      <c r="M159" s="93" t="s">
        <v>1</v>
      </c>
      <c r="N159" s="94" t="s">
        <v>43</v>
      </c>
      <c r="P159" s="95">
        <f t="shared" si="21"/>
        <v>0</v>
      </c>
      <c r="Q159" s="95">
        <v>0.156</v>
      </c>
      <c r="R159" s="95">
        <f t="shared" si="22"/>
        <v>46.8</v>
      </c>
      <c r="S159" s="95">
        <v>0</v>
      </c>
      <c r="T159" s="99">
        <f t="shared" si="23"/>
        <v>0</v>
      </c>
      <c r="AR159" s="101" t="s">
        <v>756</v>
      </c>
      <c r="AT159" s="101" t="s">
        <v>214</v>
      </c>
      <c r="AU159" s="101" t="s">
        <v>87</v>
      </c>
      <c r="AY159" s="23" t="s">
        <v>211</v>
      </c>
      <c r="BE159" s="104">
        <f t="shared" si="24"/>
        <v>0</v>
      </c>
      <c r="BF159" s="104">
        <f t="shared" si="25"/>
        <v>24000</v>
      </c>
      <c r="BG159" s="104">
        <f t="shared" si="26"/>
        <v>0</v>
      </c>
      <c r="BH159" s="104">
        <f t="shared" si="27"/>
        <v>0</v>
      </c>
      <c r="BI159" s="104">
        <f t="shared" si="28"/>
        <v>0</v>
      </c>
      <c r="BJ159" s="23" t="s">
        <v>87</v>
      </c>
      <c r="BK159" s="104">
        <f t="shared" si="29"/>
        <v>24000</v>
      </c>
      <c r="BL159" s="23" t="s">
        <v>756</v>
      </c>
      <c r="BM159" s="101" t="s">
        <v>5689</v>
      </c>
    </row>
    <row r="160" spans="2:65" s="1" customFormat="1" ht="16.5" customHeight="1">
      <c r="B160" s="12"/>
      <c r="C160" s="114" t="s">
        <v>486</v>
      </c>
      <c r="D160" s="114" t="s">
        <v>438</v>
      </c>
      <c r="E160" s="115" t="s">
        <v>5690</v>
      </c>
      <c r="F160" s="116" t="s">
        <v>5691</v>
      </c>
      <c r="G160" s="117" t="s">
        <v>444</v>
      </c>
      <c r="H160" s="118">
        <v>150</v>
      </c>
      <c r="I160" s="122">
        <v>10</v>
      </c>
      <c r="J160" s="123">
        <f t="shared" si="20"/>
        <v>1500</v>
      </c>
      <c r="K160" s="124"/>
      <c r="L160" s="125"/>
      <c r="M160" s="126" t="s">
        <v>1</v>
      </c>
      <c r="N160" s="127" t="s">
        <v>43</v>
      </c>
      <c r="P160" s="95">
        <f t="shared" si="21"/>
        <v>0</v>
      </c>
      <c r="Q160" s="95">
        <v>0</v>
      </c>
      <c r="R160" s="95">
        <f t="shared" si="22"/>
        <v>0</v>
      </c>
      <c r="S160" s="95">
        <v>0</v>
      </c>
      <c r="T160" s="99">
        <f t="shared" si="23"/>
        <v>0</v>
      </c>
      <c r="AR160" s="101" t="s">
        <v>1816</v>
      </c>
      <c r="AT160" s="101" t="s">
        <v>438</v>
      </c>
      <c r="AU160" s="101" t="s">
        <v>87</v>
      </c>
      <c r="AY160" s="23" t="s">
        <v>211</v>
      </c>
      <c r="BE160" s="104">
        <f t="shared" si="24"/>
        <v>0</v>
      </c>
      <c r="BF160" s="104">
        <f t="shared" si="25"/>
        <v>1500</v>
      </c>
      <c r="BG160" s="104">
        <f t="shared" si="26"/>
        <v>0</v>
      </c>
      <c r="BH160" s="104">
        <f t="shared" si="27"/>
        <v>0</v>
      </c>
      <c r="BI160" s="104">
        <f t="shared" si="28"/>
        <v>0</v>
      </c>
      <c r="BJ160" s="23" t="s">
        <v>87</v>
      </c>
      <c r="BK160" s="104">
        <f t="shared" si="29"/>
        <v>1500</v>
      </c>
      <c r="BL160" s="23" t="s">
        <v>756</v>
      </c>
      <c r="BM160" s="101" t="s">
        <v>5692</v>
      </c>
    </row>
    <row r="161" spans="2:65" s="1" customFormat="1" ht="24.15" customHeight="1">
      <c r="B161" s="12"/>
      <c r="C161" s="71" t="s">
        <v>490</v>
      </c>
      <c r="D161" s="71" t="s">
        <v>214</v>
      </c>
      <c r="E161" s="72" t="s">
        <v>5693</v>
      </c>
      <c r="F161" s="73" t="s">
        <v>5694</v>
      </c>
      <c r="G161" s="74" t="s">
        <v>444</v>
      </c>
      <c r="H161" s="75">
        <v>140</v>
      </c>
      <c r="I161" s="90">
        <v>60</v>
      </c>
      <c r="J161" s="91">
        <f t="shared" si="20"/>
        <v>8400</v>
      </c>
      <c r="K161" s="92"/>
      <c r="L161" s="12"/>
      <c r="M161" s="93" t="s">
        <v>1</v>
      </c>
      <c r="N161" s="94" t="s">
        <v>43</v>
      </c>
      <c r="P161" s="95">
        <f t="shared" si="21"/>
        <v>0</v>
      </c>
      <c r="Q161" s="95">
        <v>0</v>
      </c>
      <c r="R161" s="95">
        <f t="shared" si="22"/>
        <v>0</v>
      </c>
      <c r="S161" s="95">
        <v>0</v>
      </c>
      <c r="T161" s="99">
        <f t="shared" si="23"/>
        <v>0</v>
      </c>
      <c r="AR161" s="101" t="s">
        <v>756</v>
      </c>
      <c r="AT161" s="101" t="s">
        <v>214</v>
      </c>
      <c r="AU161" s="101" t="s">
        <v>87</v>
      </c>
      <c r="AY161" s="23" t="s">
        <v>211</v>
      </c>
      <c r="BE161" s="104">
        <f t="shared" si="24"/>
        <v>0</v>
      </c>
      <c r="BF161" s="104">
        <f t="shared" si="25"/>
        <v>8400</v>
      </c>
      <c r="BG161" s="104">
        <f t="shared" si="26"/>
        <v>0</v>
      </c>
      <c r="BH161" s="104">
        <f t="shared" si="27"/>
        <v>0</v>
      </c>
      <c r="BI161" s="104">
        <f t="shared" si="28"/>
        <v>0</v>
      </c>
      <c r="BJ161" s="23" t="s">
        <v>87</v>
      </c>
      <c r="BK161" s="104">
        <f t="shared" si="29"/>
        <v>8400</v>
      </c>
      <c r="BL161" s="23" t="s">
        <v>756</v>
      </c>
      <c r="BM161" s="101" t="s">
        <v>5695</v>
      </c>
    </row>
    <row r="162" spans="2:65" s="1" customFormat="1" ht="24.15" customHeight="1">
      <c r="B162" s="12"/>
      <c r="C162" s="71" t="s">
        <v>496</v>
      </c>
      <c r="D162" s="71" t="s">
        <v>214</v>
      </c>
      <c r="E162" s="72" t="s">
        <v>5696</v>
      </c>
      <c r="F162" s="73" t="s">
        <v>5697</v>
      </c>
      <c r="G162" s="74" t="s">
        <v>444</v>
      </c>
      <c r="H162" s="75">
        <v>10</v>
      </c>
      <c r="I162" s="90">
        <v>160</v>
      </c>
      <c r="J162" s="91">
        <f t="shared" si="20"/>
        <v>1600</v>
      </c>
      <c r="K162" s="92"/>
      <c r="L162" s="12"/>
      <c r="M162" s="93" t="s">
        <v>1</v>
      </c>
      <c r="N162" s="94" t="s">
        <v>43</v>
      </c>
      <c r="P162" s="95">
        <f t="shared" si="21"/>
        <v>0</v>
      </c>
      <c r="Q162" s="95">
        <v>0</v>
      </c>
      <c r="R162" s="95">
        <f t="shared" si="22"/>
        <v>0</v>
      </c>
      <c r="S162" s="95">
        <v>0</v>
      </c>
      <c r="T162" s="99">
        <f t="shared" si="23"/>
        <v>0</v>
      </c>
      <c r="AR162" s="101" t="s">
        <v>756</v>
      </c>
      <c r="AT162" s="101" t="s">
        <v>214</v>
      </c>
      <c r="AU162" s="101" t="s">
        <v>87</v>
      </c>
      <c r="AY162" s="23" t="s">
        <v>211</v>
      </c>
      <c r="BE162" s="104">
        <f t="shared" si="24"/>
        <v>0</v>
      </c>
      <c r="BF162" s="104">
        <f t="shared" si="25"/>
        <v>1600</v>
      </c>
      <c r="BG162" s="104">
        <f t="shared" si="26"/>
        <v>0</v>
      </c>
      <c r="BH162" s="104">
        <f t="shared" si="27"/>
        <v>0</v>
      </c>
      <c r="BI162" s="104">
        <f t="shared" si="28"/>
        <v>0</v>
      </c>
      <c r="BJ162" s="23" t="s">
        <v>87</v>
      </c>
      <c r="BK162" s="104">
        <f t="shared" si="29"/>
        <v>1600</v>
      </c>
      <c r="BL162" s="23" t="s">
        <v>756</v>
      </c>
      <c r="BM162" s="101" t="s">
        <v>5698</v>
      </c>
    </row>
    <row r="163" spans="2:65" s="31" customFormat="1" ht="26.1" customHeight="1">
      <c r="B163" s="67"/>
      <c r="D163" s="68" t="s">
        <v>76</v>
      </c>
      <c r="E163" s="69" t="s">
        <v>352</v>
      </c>
      <c r="F163" s="69" t="s">
        <v>352</v>
      </c>
      <c r="I163" s="85"/>
      <c r="J163" s="86">
        <f>BK163</f>
        <v>80000</v>
      </c>
      <c r="L163" s="67"/>
      <c r="M163" s="87"/>
      <c r="P163" s="88">
        <f>P164</f>
        <v>0</v>
      </c>
      <c r="R163" s="88">
        <f>R164</f>
        <v>0</v>
      </c>
      <c r="T163" s="98">
        <f>T164</f>
        <v>0</v>
      </c>
      <c r="AR163" s="68" t="s">
        <v>218</v>
      </c>
      <c r="AT163" s="100" t="s">
        <v>76</v>
      </c>
      <c r="AU163" s="100" t="s">
        <v>77</v>
      </c>
      <c r="AY163" s="68" t="s">
        <v>211</v>
      </c>
      <c r="BK163" s="103">
        <f>BK164</f>
        <v>80000</v>
      </c>
    </row>
    <row r="164" spans="2:65" s="31" customFormat="1" ht="23.1" customHeight="1">
      <c r="B164" s="67"/>
      <c r="D164" s="68" t="s">
        <v>76</v>
      </c>
      <c r="E164" s="70" t="s">
        <v>5282</v>
      </c>
      <c r="F164" s="70" t="s">
        <v>3917</v>
      </c>
      <c r="I164" s="85"/>
      <c r="J164" s="89">
        <f>BK164</f>
        <v>80000</v>
      </c>
      <c r="L164" s="67"/>
      <c r="M164" s="87"/>
      <c r="P164" s="88">
        <f>SUM(P165:P170)</f>
        <v>0</v>
      </c>
      <c r="R164" s="88">
        <f>SUM(R165:R170)</f>
        <v>0</v>
      </c>
      <c r="T164" s="98">
        <f>SUM(T165:T170)</f>
        <v>0</v>
      </c>
      <c r="AR164" s="68" t="s">
        <v>218</v>
      </c>
      <c r="AT164" s="100" t="s">
        <v>76</v>
      </c>
      <c r="AU164" s="100" t="s">
        <v>85</v>
      </c>
      <c r="AY164" s="68" t="s">
        <v>211</v>
      </c>
      <c r="BK164" s="103">
        <f>SUM(BK165:BK170)</f>
        <v>80000</v>
      </c>
    </row>
    <row r="165" spans="2:65" s="1" customFormat="1" ht="24.15" customHeight="1">
      <c r="B165" s="12"/>
      <c r="C165" s="71" t="s">
        <v>517</v>
      </c>
      <c r="D165" s="71" t="s">
        <v>214</v>
      </c>
      <c r="E165" s="72" t="s">
        <v>5294</v>
      </c>
      <c r="F165" s="73" t="s">
        <v>5295</v>
      </c>
      <c r="G165" s="74" t="s">
        <v>1599</v>
      </c>
      <c r="H165" s="75">
        <v>1</v>
      </c>
      <c r="I165" s="90">
        <v>20000</v>
      </c>
      <c r="J165" s="91">
        <f t="shared" ref="J165:J170" si="30">ROUND(I165*H165,2)</f>
        <v>20000</v>
      </c>
      <c r="K165" s="92"/>
      <c r="L165" s="12"/>
      <c r="M165" s="93" t="s">
        <v>1</v>
      </c>
      <c r="N165" s="94" t="s">
        <v>43</v>
      </c>
      <c r="P165" s="95">
        <f t="shared" ref="P165:P170" si="31">O165*H165</f>
        <v>0</v>
      </c>
      <c r="Q165" s="95">
        <v>0</v>
      </c>
      <c r="R165" s="95">
        <f t="shared" ref="R165:R170" si="32">Q165*H165</f>
        <v>0</v>
      </c>
      <c r="S165" s="95">
        <v>0</v>
      </c>
      <c r="T165" s="99">
        <f t="shared" ref="T165:T170" si="33">S165*H165</f>
        <v>0</v>
      </c>
      <c r="AR165" s="101" t="s">
        <v>446</v>
      </c>
      <c r="AT165" s="101" t="s">
        <v>214</v>
      </c>
      <c r="AU165" s="101" t="s">
        <v>87</v>
      </c>
      <c r="AY165" s="23" t="s">
        <v>211</v>
      </c>
      <c r="BE165" s="104">
        <f t="shared" ref="BE165:BE170" si="34">IF(N165="základní",J165,0)</f>
        <v>0</v>
      </c>
      <c r="BF165" s="104">
        <f t="shared" ref="BF165:BF170" si="35">IF(N165="snížená",J165,0)</f>
        <v>20000</v>
      </c>
      <c r="BG165" s="104">
        <f t="shared" ref="BG165:BG170" si="36">IF(N165="zákl. přenesená",J165,0)</f>
        <v>0</v>
      </c>
      <c r="BH165" s="104">
        <f t="shared" ref="BH165:BH170" si="37">IF(N165="sníž. přenesená",J165,0)</f>
        <v>0</v>
      </c>
      <c r="BI165" s="104">
        <f t="shared" ref="BI165:BI170" si="38">IF(N165="nulová",J165,0)</f>
        <v>0</v>
      </c>
      <c r="BJ165" s="23" t="s">
        <v>87</v>
      </c>
      <c r="BK165" s="104">
        <f t="shared" ref="BK165:BK170" si="39">ROUND(I165*H165,2)</f>
        <v>20000</v>
      </c>
      <c r="BL165" s="23" t="s">
        <v>446</v>
      </c>
      <c r="BM165" s="101" t="s">
        <v>5699</v>
      </c>
    </row>
    <row r="166" spans="2:65" s="1" customFormat="1" ht="16.5" customHeight="1">
      <c r="B166" s="12"/>
      <c r="C166" s="71" t="s">
        <v>522</v>
      </c>
      <c r="D166" s="71" t="s">
        <v>214</v>
      </c>
      <c r="E166" s="72" t="s">
        <v>5283</v>
      </c>
      <c r="F166" s="73" t="s">
        <v>5284</v>
      </c>
      <c r="G166" s="74" t="s">
        <v>4204</v>
      </c>
      <c r="H166" s="75">
        <v>20</v>
      </c>
      <c r="I166" s="90">
        <v>500</v>
      </c>
      <c r="J166" s="91">
        <f t="shared" si="30"/>
        <v>10000</v>
      </c>
      <c r="K166" s="92"/>
      <c r="L166" s="12"/>
      <c r="M166" s="93" t="s">
        <v>1</v>
      </c>
      <c r="N166" s="94" t="s">
        <v>43</v>
      </c>
      <c r="P166" s="95">
        <f t="shared" si="31"/>
        <v>0</v>
      </c>
      <c r="Q166" s="95">
        <v>0</v>
      </c>
      <c r="R166" s="95">
        <f t="shared" si="32"/>
        <v>0</v>
      </c>
      <c r="S166" s="95">
        <v>0</v>
      </c>
      <c r="T166" s="99">
        <f t="shared" si="33"/>
        <v>0</v>
      </c>
      <c r="AR166" s="101" t="s">
        <v>2681</v>
      </c>
      <c r="AT166" s="101" t="s">
        <v>214</v>
      </c>
      <c r="AU166" s="101" t="s">
        <v>87</v>
      </c>
      <c r="AY166" s="23" t="s">
        <v>211</v>
      </c>
      <c r="BE166" s="104">
        <f t="shared" si="34"/>
        <v>0</v>
      </c>
      <c r="BF166" s="104">
        <f t="shared" si="35"/>
        <v>10000</v>
      </c>
      <c r="BG166" s="104">
        <f t="shared" si="36"/>
        <v>0</v>
      </c>
      <c r="BH166" s="104">
        <f t="shared" si="37"/>
        <v>0</v>
      </c>
      <c r="BI166" s="104">
        <f t="shared" si="38"/>
        <v>0</v>
      </c>
      <c r="BJ166" s="23" t="s">
        <v>87</v>
      </c>
      <c r="BK166" s="104">
        <f t="shared" si="39"/>
        <v>10000</v>
      </c>
      <c r="BL166" s="23" t="s">
        <v>2681</v>
      </c>
      <c r="BM166" s="101" t="s">
        <v>5700</v>
      </c>
    </row>
    <row r="167" spans="2:65" s="1" customFormat="1" ht="16.5" customHeight="1">
      <c r="B167" s="12"/>
      <c r="C167" s="71" t="s">
        <v>527</v>
      </c>
      <c r="D167" s="71" t="s">
        <v>214</v>
      </c>
      <c r="E167" s="72" t="s">
        <v>5286</v>
      </c>
      <c r="F167" s="73" t="s">
        <v>5287</v>
      </c>
      <c r="G167" s="74" t="s">
        <v>4204</v>
      </c>
      <c r="H167" s="75">
        <v>20</v>
      </c>
      <c r="I167" s="90">
        <v>500</v>
      </c>
      <c r="J167" s="91">
        <f t="shared" si="30"/>
        <v>10000</v>
      </c>
      <c r="K167" s="92"/>
      <c r="L167" s="12"/>
      <c r="M167" s="93" t="s">
        <v>1</v>
      </c>
      <c r="N167" s="94" t="s">
        <v>43</v>
      </c>
      <c r="P167" s="95">
        <f t="shared" si="31"/>
        <v>0</v>
      </c>
      <c r="Q167" s="95">
        <v>0</v>
      </c>
      <c r="R167" s="95">
        <f t="shared" si="32"/>
        <v>0</v>
      </c>
      <c r="S167" s="95">
        <v>0</v>
      </c>
      <c r="T167" s="99">
        <f t="shared" si="33"/>
        <v>0</v>
      </c>
      <c r="AR167" s="101" t="s">
        <v>2681</v>
      </c>
      <c r="AT167" s="101" t="s">
        <v>214</v>
      </c>
      <c r="AU167" s="101" t="s">
        <v>87</v>
      </c>
      <c r="AY167" s="23" t="s">
        <v>211</v>
      </c>
      <c r="BE167" s="104">
        <f t="shared" si="34"/>
        <v>0</v>
      </c>
      <c r="BF167" s="104">
        <f t="shared" si="35"/>
        <v>10000</v>
      </c>
      <c r="BG167" s="104">
        <f t="shared" si="36"/>
        <v>0</v>
      </c>
      <c r="BH167" s="104">
        <f t="shared" si="37"/>
        <v>0</v>
      </c>
      <c r="BI167" s="104">
        <f t="shared" si="38"/>
        <v>0</v>
      </c>
      <c r="BJ167" s="23" t="s">
        <v>87</v>
      </c>
      <c r="BK167" s="104">
        <f t="shared" si="39"/>
        <v>10000</v>
      </c>
      <c r="BL167" s="23" t="s">
        <v>2681</v>
      </c>
      <c r="BM167" s="101" t="s">
        <v>5701</v>
      </c>
    </row>
    <row r="168" spans="2:65" s="1" customFormat="1" ht="24.15" customHeight="1">
      <c r="B168" s="12"/>
      <c r="C168" s="114" t="s">
        <v>532</v>
      </c>
      <c r="D168" s="114" t="s">
        <v>438</v>
      </c>
      <c r="E168" s="115" t="s">
        <v>4800</v>
      </c>
      <c r="F168" s="116" t="s">
        <v>5289</v>
      </c>
      <c r="G168" s="117" t="s">
        <v>234</v>
      </c>
      <c r="H168" s="118">
        <v>1</v>
      </c>
      <c r="I168" s="122">
        <v>10000</v>
      </c>
      <c r="J168" s="123">
        <f t="shared" si="30"/>
        <v>10000</v>
      </c>
      <c r="K168" s="124"/>
      <c r="L168" s="125"/>
      <c r="M168" s="126" t="s">
        <v>1</v>
      </c>
      <c r="N168" s="127" t="s">
        <v>43</v>
      </c>
      <c r="P168" s="95">
        <f t="shared" si="31"/>
        <v>0</v>
      </c>
      <c r="Q168" s="95">
        <v>0</v>
      </c>
      <c r="R168" s="95">
        <f t="shared" si="32"/>
        <v>0</v>
      </c>
      <c r="S168" s="95">
        <v>0</v>
      </c>
      <c r="T168" s="99">
        <f t="shared" si="33"/>
        <v>0</v>
      </c>
      <c r="AR168" s="101" t="s">
        <v>250</v>
      </c>
      <c r="AT168" s="101" t="s">
        <v>438</v>
      </c>
      <c r="AU168" s="101" t="s">
        <v>87</v>
      </c>
      <c r="AY168" s="23" t="s">
        <v>211</v>
      </c>
      <c r="BE168" s="104">
        <f t="shared" si="34"/>
        <v>0</v>
      </c>
      <c r="BF168" s="104">
        <f t="shared" si="35"/>
        <v>10000</v>
      </c>
      <c r="BG168" s="104">
        <f t="shared" si="36"/>
        <v>0</v>
      </c>
      <c r="BH168" s="104">
        <f t="shared" si="37"/>
        <v>0</v>
      </c>
      <c r="BI168" s="104">
        <f t="shared" si="38"/>
        <v>0</v>
      </c>
      <c r="BJ168" s="23" t="s">
        <v>87</v>
      </c>
      <c r="BK168" s="104">
        <f t="shared" si="39"/>
        <v>10000</v>
      </c>
      <c r="BL168" s="23" t="s">
        <v>218</v>
      </c>
      <c r="BM168" s="101" t="s">
        <v>5702</v>
      </c>
    </row>
    <row r="169" spans="2:65" s="1" customFormat="1" ht="16.5" customHeight="1">
      <c r="B169" s="12"/>
      <c r="C169" s="71" t="s">
        <v>537</v>
      </c>
      <c r="D169" s="71" t="s">
        <v>214</v>
      </c>
      <c r="E169" s="72" t="s">
        <v>5291</v>
      </c>
      <c r="F169" s="73" t="s">
        <v>5292</v>
      </c>
      <c r="G169" s="74" t="s">
        <v>234</v>
      </c>
      <c r="H169" s="75">
        <v>1</v>
      </c>
      <c r="I169" s="90">
        <v>10000</v>
      </c>
      <c r="J169" s="91">
        <f t="shared" si="30"/>
        <v>10000</v>
      </c>
      <c r="K169" s="92"/>
      <c r="L169" s="12"/>
      <c r="M169" s="93" t="s">
        <v>1</v>
      </c>
      <c r="N169" s="94" t="s">
        <v>43</v>
      </c>
      <c r="P169" s="95">
        <f t="shared" si="31"/>
        <v>0</v>
      </c>
      <c r="Q169" s="95">
        <v>0</v>
      </c>
      <c r="R169" s="95">
        <f t="shared" si="32"/>
        <v>0</v>
      </c>
      <c r="S169" s="95">
        <v>0</v>
      </c>
      <c r="T169" s="99">
        <f t="shared" si="33"/>
        <v>0</v>
      </c>
      <c r="AR169" s="101" t="s">
        <v>218</v>
      </c>
      <c r="AT169" s="101" t="s">
        <v>214</v>
      </c>
      <c r="AU169" s="101" t="s">
        <v>87</v>
      </c>
      <c r="AY169" s="23" t="s">
        <v>211</v>
      </c>
      <c r="BE169" s="104">
        <f t="shared" si="34"/>
        <v>0</v>
      </c>
      <c r="BF169" s="104">
        <f t="shared" si="35"/>
        <v>10000</v>
      </c>
      <c r="BG169" s="104">
        <f t="shared" si="36"/>
        <v>0</v>
      </c>
      <c r="BH169" s="104">
        <f t="shared" si="37"/>
        <v>0</v>
      </c>
      <c r="BI169" s="104">
        <f t="shared" si="38"/>
        <v>0</v>
      </c>
      <c r="BJ169" s="23" t="s">
        <v>87</v>
      </c>
      <c r="BK169" s="104">
        <f t="shared" si="39"/>
        <v>10000</v>
      </c>
      <c r="BL169" s="23" t="s">
        <v>218</v>
      </c>
      <c r="BM169" s="101" t="s">
        <v>5703</v>
      </c>
    </row>
    <row r="170" spans="2:65" s="1" customFormat="1" ht="16.5" customHeight="1">
      <c r="B170" s="12"/>
      <c r="C170" s="71" t="s">
        <v>542</v>
      </c>
      <c r="D170" s="71" t="s">
        <v>214</v>
      </c>
      <c r="E170" s="72" t="s">
        <v>5308</v>
      </c>
      <c r="F170" s="73" t="s">
        <v>5309</v>
      </c>
      <c r="G170" s="74" t="s">
        <v>234</v>
      </c>
      <c r="H170" s="75">
        <v>1</v>
      </c>
      <c r="I170" s="90">
        <v>20000</v>
      </c>
      <c r="J170" s="91">
        <f t="shared" si="30"/>
        <v>20000</v>
      </c>
      <c r="K170" s="92"/>
      <c r="L170" s="12"/>
      <c r="M170" s="130" t="s">
        <v>1</v>
      </c>
      <c r="N170" s="131" t="s">
        <v>43</v>
      </c>
      <c r="O170" s="110"/>
      <c r="P170" s="132">
        <f t="shared" si="31"/>
        <v>0</v>
      </c>
      <c r="Q170" s="132">
        <v>0</v>
      </c>
      <c r="R170" s="132">
        <f t="shared" si="32"/>
        <v>0</v>
      </c>
      <c r="S170" s="132">
        <v>0</v>
      </c>
      <c r="T170" s="134">
        <f t="shared" si="33"/>
        <v>0</v>
      </c>
      <c r="AR170" s="101" t="s">
        <v>2681</v>
      </c>
      <c r="AT170" s="101" t="s">
        <v>214</v>
      </c>
      <c r="AU170" s="101" t="s">
        <v>87</v>
      </c>
      <c r="AY170" s="23" t="s">
        <v>211</v>
      </c>
      <c r="BE170" s="104">
        <f t="shared" si="34"/>
        <v>0</v>
      </c>
      <c r="BF170" s="104">
        <f t="shared" si="35"/>
        <v>20000</v>
      </c>
      <c r="BG170" s="104">
        <f t="shared" si="36"/>
        <v>0</v>
      </c>
      <c r="BH170" s="104">
        <f t="shared" si="37"/>
        <v>0</v>
      </c>
      <c r="BI170" s="104">
        <f t="shared" si="38"/>
        <v>0</v>
      </c>
      <c r="BJ170" s="23" t="s">
        <v>87</v>
      </c>
      <c r="BK170" s="104">
        <f t="shared" si="39"/>
        <v>20000</v>
      </c>
      <c r="BL170" s="23" t="s">
        <v>2681</v>
      </c>
      <c r="BM170" s="101" t="s">
        <v>5704</v>
      </c>
    </row>
    <row r="171" spans="2:65" s="1" customFormat="1" ht="6.9" customHeight="1">
      <c r="B171" s="26"/>
      <c r="C171" s="27"/>
      <c r="D171" s="27"/>
      <c r="E171" s="27"/>
      <c r="F171" s="27"/>
      <c r="G171" s="27"/>
      <c r="H171" s="27"/>
      <c r="I171" s="27"/>
      <c r="J171" s="27"/>
      <c r="K171" s="27"/>
      <c r="L171" s="12"/>
    </row>
  </sheetData>
  <autoFilter ref="C130:K170" xr:uid="{00000000-0009-0000-0000-000014000000}"/>
  <mergeCells count="15">
    <mergeCell ref="L2:V2"/>
    <mergeCell ref="E7:H7"/>
    <mergeCell ref="E9:H9"/>
    <mergeCell ref="E11:H11"/>
    <mergeCell ref="E13:H13"/>
    <mergeCell ref="E22:H22"/>
    <mergeCell ref="E31:H31"/>
    <mergeCell ref="E85:H85"/>
    <mergeCell ref="E87:H87"/>
    <mergeCell ref="E89:H89"/>
    <mergeCell ref="E91:H91"/>
    <mergeCell ref="E117:H117"/>
    <mergeCell ref="E119:H119"/>
    <mergeCell ref="E121:H121"/>
    <mergeCell ref="E123:H123"/>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B2:BM165"/>
  <sheetViews>
    <sheetView showGridLines="0" topLeftCell="A127" workbookViewId="0">
      <selection activeCell="I165" sqref="I165"/>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159</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2" customHeight="1">
      <c r="B8" s="5"/>
      <c r="D8" s="10" t="s">
        <v>182</v>
      </c>
      <c r="L8" s="5"/>
    </row>
    <row r="9" spans="2:46" s="1" customFormat="1" ht="16.5" customHeight="1">
      <c r="B9" s="12"/>
      <c r="E9" s="392" t="s">
        <v>5462</v>
      </c>
      <c r="F9" s="394"/>
      <c r="G9" s="394"/>
      <c r="H9" s="394"/>
      <c r="L9" s="12"/>
    </row>
    <row r="10" spans="2:46" s="1" customFormat="1" ht="12" customHeight="1">
      <c r="B10" s="12"/>
      <c r="D10" s="10" t="s">
        <v>296</v>
      </c>
      <c r="L10" s="12"/>
    </row>
    <row r="11" spans="2:46" s="1" customFormat="1" ht="16.5" customHeight="1">
      <c r="B11" s="12"/>
      <c r="E11" s="381" t="s">
        <v>5705</v>
      </c>
      <c r="F11" s="394"/>
      <c r="G11" s="394"/>
      <c r="H11" s="394"/>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395" t="str">
        <f>'Rekapitulace stavby'!E14</f>
        <v>DMG Stav a.s.</v>
      </c>
      <c r="F20" s="384"/>
      <c r="G20" s="384"/>
      <c r="H20" s="384"/>
      <c r="I20" s="10" t="s">
        <v>26</v>
      </c>
      <c r="J20" s="33" t="str">
        <f>'Rekapitulace stavby'!AN14</f>
        <v>CZ 08004013</v>
      </c>
      <c r="L20" s="12"/>
    </row>
    <row r="21" spans="2:12" s="1" customFormat="1" ht="6.9"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 customHeight="1">
      <c r="B27" s="12"/>
      <c r="L27" s="12"/>
    </row>
    <row r="28" spans="2:12" s="1" customFormat="1" ht="12" customHeight="1">
      <c r="B28" s="12"/>
      <c r="D28" s="10" t="s">
        <v>36</v>
      </c>
      <c r="L28" s="12"/>
    </row>
    <row r="29" spans="2:12" s="28" customFormat="1" ht="16.5" customHeight="1">
      <c r="B29" s="34"/>
      <c r="E29" s="388" t="s">
        <v>1</v>
      </c>
      <c r="F29" s="388"/>
      <c r="G29" s="388"/>
      <c r="H29" s="388"/>
      <c r="L29" s="34"/>
    </row>
    <row r="30" spans="2:12" s="1" customFormat="1" ht="6.9" customHeight="1">
      <c r="B30" s="12"/>
      <c r="L30" s="12"/>
    </row>
    <row r="31" spans="2:12" s="1" customFormat="1" ht="6.9" customHeight="1">
      <c r="B31" s="12"/>
      <c r="D31" s="35"/>
      <c r="E31" s="35"/>
      <c r="F31" s="35"/>
      <c r="G31" s="35"/>
      <c r="H31" s="35"/>
      <c r="I31" s="35"/>
      <c r="J31" s="35"/>
      <c r="K31" s="35"/>
      <c r="L31" s="12"/>
    </row>
    <row r="32" spans="2:12" s="1" customFormat="1" ht="25.35" customHeight="1">
      <c r="B32" s="12"/>
      <c r="D32" s="36" t="s">
        <v>37</v>
      </c>
      <c r="J32" s="51">
        <f>ROUND(J128,2)</f>
        <v>821450</v>
      </c>
      <c r="L32" s="12"/>
    </row>
    <row r="33" spans="2:12" s="1" customFormat="1" ht="6.9" customHeight="1">
      <c r="B33" s="12"/>
      <c r="D33" s="35"/>
      <c r="E33" s="35"/>
      <c r="F33" s="35"/>
      <c r="G33" s="35"/>
      <c r="H33" s="35"/>
      <c r="I33" s="35"/>
      <c r="J33" s="35"/>
      <c r="K33" s="35"/>
      <c r="L33" s="12"/>
    </row>
    <row r="34" spans="2:12" s="1" customFormat="1" ht="14.4" customHeight="1">
      <c r="B34" s="12"/>
      <c r="F34" s="37" t="s">
        <v>39</v>
      </c>
      <c r="I34" s="37" t="s">
        <v>38</v>
      </c>
      <c r="J34" s="37" t="s">
        <v>40</v>
      </c>
      <c r="L34" s="12"/>
    </row>
    <row r="35" spans="2:12" s="1" customFormat="1" ht="14.4" customHeight="1">
      <c r="B35" s="12"/>
      <c r="D35" s="38" t="s">
        <v>41</v>
      </c>
      <c r="E35" s="10" t="s">
        <v>42</v>
      </c>
      <c r="F35" s="39">
        <f>ROUND((SUM(BE128:BE164)),2)</f>
        <v>821450</v>
      </c>
      <c r="I35" s="52">
        <v>0.21</v>
      </c>
      <c r="J35" s="39">
        <f>ROUND(((SUM(BE128:BE164))*I35),2)</f>
        <v>172504.5</v>
      </c>
      <c r="L35" s="12"/>
    </row>
    <row r="36" spans="2:12" s="1" customFormat="1" ht="14.4" customHeight="1">
      <c r="B36" s="12"/>
      <c r="E36" s="10" t="s">
        <v>43</v>
      </c>
      <c r="F36" s="39">
        <f>ROUND((SUM(BF128:BF164)),2)</f>
        <v>0</v>
      </c>
      <c r="I36" s="52">
        <v>0.15</v>
      </c>
      <c r="J36" s="39">
        <f>ROUND(((SUM(BF128:BF164))*I36),2)</f>
        <v>0</v>
      </c>
      <c r="L36" s="12"/>
    </row>
    <row r="37" spans="2:12" s="1" customFormat="1" ht="14.4" hidden="1" customHeight="1">
      <c r="B37" s="12"/>
      <c r="E37" s="10" t="s">
        <v>44</v>
      </c>
      <c r="F37" s="39">
        <f>ROUND((SUM(BG128:BG164)),2)</f>
        <v>0</v>
      </c>
      <c r="I37" s="52">
        <v>0.21</v>
      </c>
      <c r="J37" s="39">
        <f>0</f>
        <v>0</v>
      </c>
      <c r="L37" s="12"/>
    </row>
    <row r="38" spans="2:12" s="1" customFormat="1" ht="14.4" hidden="1" customHeight="1">
      <c r="B38" s="12"/>
      <c r="E38" s="10" t="s">
        <v>45</v>
      </c>
      <c r="F38" s="39">
        <f>ROUND((SUM(BH128:BH164)),2)</f>
        <v>0</v>
      </c>
      <c r="I38" s="52">
        <v>0.15</v>
      </c>
      <c r="J38" s="39">
        <f>0</f>
        <v>0</v>
      </c>
      <c r="L38" s="12"/>
    </row>
    <row r="39" spans="2:12" s="1" customFormat="1" ht="14.4" hidden="1" customHeight="1">
      <c r="B39" s="12"/>
      <c r="E39" s="10" t="s">
        <v>46</v>
      </c>
      <c r="F39" s="39">
        <f>ROUND((SUM(BI128:BI164)),2)</f>
        <v>0</v>
      </c>
      <c r="I39" s="52">
        <v>0</v>
      </c>
      <c r="J39" s="39">
        <f>0</f>
        <v>0</v>
      </c>
      <c r="L39" s="12"/>
    </row>
    <row r="40" spans="2:12" s="1" customFormat="1" ht="6.9" customHeight="1">
      <c r="B40" s="12"/>
      <c r="L40" s="12"/>
    </row>
    <row r="41" spans="2:12" s="1" customFormat="1" ht="25.35" customHeight="1">
      <c r="B41" s="12"/>
      <c r="C41" s="40"/>
      <c r="D41" s="41" t="s">
        <v>47</v>
      </c>
      <c r="E41" s="42"/>
      <c r="F41" s="42"/>
      <c r="G41" s="43" t="s">
        <v>48</v>
      </c>
      <c r="H41" s="44" t="s">
        <v>49</v>
      </c>
      <c r="I41" s="42"/>
      <c r="J41" s="53">
        <f>SUM(J32:J39)</f>
        <v>993954.5</v>
      </c>
      <c r="K41" s="54"/>
      <c r="L41" s="12"/>
    </row>
    <row r="42" spans="2:12" s="1" customFormat="1" ht="14.4" customHeight="1">
      <c r="B42" s="12"/>
      <c r="L42" s="12"/>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s="1" customFormat="1" ht="16.5" customHeight="1">
      <c r="B87" s="12"/>
      <c r="E87" s="392" t="s">
        <v>5462</v>
      </c>
      <c r="F87" s="394"/>
      <c r="G87" s="394"/>
      <c r="H87" s="394"/>
      <c r="L87" s="12"/>
    </row>
    <row r="88" spans="2:12" s="1" customFormat="1" ht="12" customHeight="1">
      <c r="B88" s="12"/>
      <c r="C88" s="10" t="s">
        <v>296</v>
      </c>
      <c r="L88" s="12"/>
    </row>
    <row r="89" spans="2:12" s="1" customFormat="1" ht="16.5" customHeight="1">
      <c r="B89" s="12"/>
      <c r="E89" s="381" t="str">
        <f>E11</f>
        <v>IOX - Přeložky</v>
      </c>
      <c r="F89" s="394"/>
      <c r="G89" s="394"/>
      <c r="H89" s="394"/>
      <c r="L89" s="12"/>
    </row>
    <row r="90" spans="2:12" s="1" customFormat="1" ht="6.9" customHeight="1">
      <c r="B90" s="12"/>
      <c r="L90" s="12"/>
    </row>
    <row r="91" spans="2:12" s="1" customFormat="1" ht="12" customHeight="1">
      <c r="B91" s="12"/>
      <c r="C91" s="10" t="s">
        <v>20</v>
      </c>
      <c r="F91" s="32" t="str">
        <f>F14</f>
        <v>Praha</v>
      </c>
      <c r="I91" s="10" t="s">
        <v>22</v>
      </c>
      <c r="J91" s="11">
        <f>IF(J14="","",J14)</f>
        <v>45000</v>
      </c>
      <c r="L91" s="12"/>
    </row>
    <row r="92" spans="2:12" s="1" customFormat="1" ht="6.9" customHeight="1">
      <c r="B92" s="12"/>
      <c r="L92" s="12"/>
    </row>
    <row r="93" spans="2:12" s="1" customFormat="1" ht="15.15" customHeight="1">
      <c r="B93" s="12"/>
      <c r="C93" s="10" t="s">
        <v>23</v>
      </c>
      <c r="F93" s="32" t="str">
        <f>E17</f>
        <v>VELTON REAL ESTATE</v>
      </c>
      <c r="I93" s="10" t="s">
        <v>31</v>
      </c>
      <c r="J93" s="8" t="str">
        <f>E23</f>
        <v>ABMV World s.r.o</v>
      </c>
      <c r="L93" s="12"/>
    </row>
    <row r="94" spans="2:12" s="1" customFormat="1" ht="15.15"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J128</f>
        <v>821450</v>
      </c>
      <c r="L98" s="12"/>
      <c r="AU98" s="23" t="s">
        <v>188</v>
      </c>
    </row>
    <row r="99" spans="2:47" s="29" customFormat="1" ht="24.9" customHeight="1">
      <c r="B99" s="60"/>
      <c r="D99" s="61" t="s">
        <v>5706</v>
      </c>
      <c r="E99" s="62"/>
      <c r="F99" s="62"/>
      <c r="G99" s="62"/>
      <c r="H99" s="62"/>
      <c r="I99" s="62"/>
      <c r="J99" s="77">
        <f>J129</f>
        <v>821450</v>
      </c>
      <c r="L99" s="60"/>
    </row>
    <row r="100" spans="2:47" s="30" customFormat="1" ht="20.100000000000001" customHeight="1">
      <c r="B100" s="63"/>
      <c r="D100" s="64" t="s">
        <v>5467</v>
      </c>
      <c r="E100" s="65"/>
      <c r="F100" s="65"/>
      <c r="G100" s="65"/>
      <c r="H100" s="65"/>
      <c r="I100" s="65"/>
      <c r="J100" s="78">
        <f>J130</f>
        <v>187750</v>
      </c>
      <c r="L100" s="63"/>
    </row>
    <row r="101" spans="2:47" s="30" customFormat="1" ht="20.100000000000001" customHeight="1">
      <c r="B101" s="63"/>
      <c r="D101" s="64" t="s">
        <v>5468</v>
      </c>
      <c r="E101" s="65"/>
      <c r="F101" s="65"/>
      <c r="G101" s="65"/>
      <c r="H101" s="65"/>
      <c r="I101" s="65"/>
      <c r="J101" s="78">
        <f>J137</f>
        <v>19500</v>
      </c>
      <c r="L101" s="63"/>
    </row>
    <row r="102" spans="2:47" s="30" customFormat="1" ht="20.100000000000001" customHeight="1">
      <c r="B102" s="63"/>
      <c r="D102" s="64" t="s">
        <v>5469</v>
      </c>
      <c r="E102" s="65"/>
      <c r="F102" s="65"/>
      <c r="G102" s="65"/>
      <c r="H102" s="65"/>
      <c r="I102" s="65"/>
      <c r="J102" s="78">
        <f>J140</f>
        <v>39900</v>
      </c>
      <c r="L102" s="63"/>
    </row>
    <row r="103" spans="2:47" s="30" customFormat="1" ht="20.100000000000001" customHeight="1">
      <c r="B103" s="63"/>
      <c r="D103" s="64" t="s">
        <v>5470</v>
      </c>
      <c r="E103" s="65"/>
      <c r="F103" s="65"/>
      <c r="G103" s="65"/>
      <c r="H103" s="65"/>
      <c r="I103" s="65"/>
      <c r="J103" s="78">
        <f>J142</f>
        <v>447900</v>
      </c>
      <c r="L103" s="63"/>
    </row>
    <row r="104" spans="2:47" s="30" customFormat="1" ht="20.100000000000001" customHeight="1">
      <c r="B104" s="63"/>
      <c r="D104" s="64" t="s">
        <v>5471</v>
      </c>
      <c r="E104" s="65"/>
      <c r="F104" s="65"/>
      <c r="G104" s="65"/>
      <c r="H104" s="65"/>
      <c r="I104" s="65"/>
      <c r="J104" s="78">
        <f>J156</f>
        <v>117400</v>
      </c>
      <c r="L104" s="63"/>
    </row>
    <row r="105" spans="2:47" s="30" customFormat="1" ht="20.100000000000001" customHeight="1">
      <c r="B105" s="63"/>
      <c r="D105" s="64" t="s">
        <v>5472</v>
      </c>
      <c r="E105" s="65"/>
      <c r="F105" s="65"/>
      <c r="G105" s="65"/>
      <c r="H105" s="65"/>
      <c r="I105" s="65"/>
      <c r="J105" s="78">
        <f>J161</f>
        <v>6000</v>
      </c>
      <c r="L105" s="63"/>
    </row>
    <row r="106" spans="2:47" s="30" customFormat="1" ht="20.100000000000001" customHeight="1">
      <c r="B106" s="63"/>
      <c r="D106" s="64" t="s">
        <v>5473</v>
      </c>
      <c r="E106" s="65"/>
      <c r="F106" s="65"/>
      <c r="G106" s="65"/>
      <c r="H106" s="65"/>
      <c r="I106" s="65"/>
      <c r="J106" s="78">
        <f>J163</f>
        <v>3000</v>
      </c>
      <c r="L106" s="63"/>
    </row>
    <row r="107" spans="2:47" s="1" customFormat="1" ht="21.75" customHeight="1">
      <c r="B107" s="12"/>
      <c r="L107" s="12"/>
    </row>
    <row r="108" spans="2:47" s="1" customFormat="1" ht="6.9" customHeight="1">
      <c r="B108" s="26"/>
      <c r="C108" s="27"/>
      <c r="D108" s="27"/>
      <c r="E108" s="27"/>
      <c r="F108" s="27"/>
      <c r="G108" s="27"/>
      <c r="H108" s="27"/>
      <c r="I108" s="27"/>
      <c r="J108" s="27"/>
      <c r="K108" s="27"/>
      <c r="L108" s="12"/>
    </row>
    <row r="112" spans="2:47" s="1" customFormat="1" ht="6.9" customHeight="1">
      <c r="B112" s="56"/>
      <c r="C112" s="57"/>
      <c r="D112" s="57"/>
      <c r="E112" s="57"/>
      <c r="F112" s="57"/>
      <c r="G112" s="57"/>
      <c r="H112" s="57"/>
      <c r="I112" s="57"/>
      <c r="J112" s="57"/>
      <c r="K112" s="57"/>
      <c r="L112" s="12"/>
    </row>
    <row r="113" spans="2:63" s="1" customFormat="1" ht="24.9" customHeight="1">
      <c r="B113" s="12"/>
      <c r="C113" s="6" t="s">
        <v>195</v>
      </c>
      <c r="L113" s="12"/>
    </row>
    <row r="114" spans="2:63" s="1" customFormat="1" ht="6.9" customHeight="1">
      <c r="B114" s="12"/>
      <c r="L114" s="12"/>
    </row>
    <row r="115" spans="2:63" s="1" customFormat="1" ht="12" customHeight="1">
      <c r="B115" s="12"/>
      <c r="C115" s="10" t="s">
        <v>16</v>
      </c>
      <c r="L115" s="12"/>
    </row>
    <row r="116" spans="2:63" s="1" customFormat="1" ht="16.5" customHeight="1">
      <c r="B116" s="12"/>
      <c r="E116" s="392" t="str">
        <f>E7</f>
        <v>Bytový soubor Libuše</v>
      </c>
      <c r="F116" s="393"/>
      <c r="G116" s="393"/>
      <c r="H116" s="393"/>
      <c r="L116" s="12"/>
    </row>
    <row r="117" spans="2:63" ht="12" customHeight="1">
      <c r="B117" s="5"/>
      <c r="C117" s="10" t="s">
        <v>182</v>
      </c>
      <c r="L117" s="5"/>
    </row>
    <row r="118" spans="2:63" s="1" customFormat="1" ht="16.5" customHeight="1">
      <c r="B118" s="12"/>
      <c r="E118" s="392" t="s">
        <v>5462</v>
      </c>
      <c r="F118" s="394"/>
      <c r="G118" s="394"/>
      <c r="H118" s="394"/>
      <c r="L118" s="12"/>
    </row>
    <row r="119" spans="2:63" s="1" customFormat="1" ht="12" customHeight="1">
      <c r="B119" s="12"/>
      <c r="C119" s="10" t="s">
        <v>296</v>
      </c>
      <c r="L119" s="12"/>
    </row>
    <row r="120" spans="2:63" s="1" customFormat="1" ht="16.5" customHeight="1">
      <c r="B120" s="12"/>
      <c r="E120" s="381" t="str">
        <f>E11</f>
        <v>IOX - Přeložky</v>
      </c>
      <c r="F120" s="394"/>
      <c r="G120" s="394"/>
      <c r="H120" s="394"/>
      <c r="L120" s="12"/>
    </row>
    <row r="121" spans="2:63" s="1" customFormat="1" ht="6.9" customHeight="1">
      <c r="B121" s="12"/>
      <c r="L121" s="12"/>
    </row>
    <row r="122" spans="2:63" s="1" customFormat="1" ht="12" customHeight="1">
      <c r="B122" s="12"/>
      <c r="C122" s="10" t="s">
        <v>20</v>
      </c>
      <c r="F122" s="32" t="str">
        <f>F14</f>
        <v>Praha</v>
      </c>
      <c r="I122" s="10" t="s">
        <v>22</v>
      </c>
      <c r="J122" s="11">
        <f>IF(J14="","",J14)</f>
        <v>45000</v>
      </c>
      <c r="L122" s="12"/>
    </row>
    <row r="123" spans="2:63" s="1" customFormat="1" ht="6.9" customHeight="1">
      <c r="B123" s="12"/>
      <c r="L123" s="12"/>
    </row>
    <row r="124" spans="2:63" s="1" customFormat="1" ht="15.15" customHeight="1">
      <c r="B124" s="12"/>
      <c r="C124" s="10" t="s">
        <v>23</v>
      </c>
      <c r="F124" s="32" t="str">
        <f>E17</f>
        <v>VELTON REAL ESTATE</v>
      </c>
      <c r="I124" s="10" t="s">
        <v>31</v>
      </c>
      <c r="J124" s="8" t="str">
        <f>E23</f>
        <v>ABMV World s.r.o</v>
      </c>
      <c r="L124" s="12"/>
    </row>
    <row r="125" spans="2:63" s="1" customFormat="1" ht="15.15" customHeight="1">
      <c r="B125" s="12"/>
      <c r="C125" s="10" t="s">
        <v>27</v>
      </c>
      <c r="F125" s="32" t="str">
        <f>IF(E20="","",E20)</f>
        <v>DMG Stav a.s.</v>
      </c>
      <c r="I125" s="10" t="s">
        <v>34</v>
      </c>
      <c r="J125" s="8" t="str">
        <f>E26</f>
        <v>QSB s.r.o.</v>
      </c>
      <c r="L125" s="12"/>
    </row>
    <row r="126" spans="2:63" s="1" customFormat="1" ht="10.35" customHeight="1">
      <c r="B126" s="12"/>
      <c r="L126" s="12"/>
    </row>
    <row r="127" spans="2:63" s="2" customFormat="1" ht="29.25" customHeight="1">
      <c r="B127" s="13"/>
      <c r="C127" s="14" t="s">
        <v>196</v>
      </c>
      <c r="D127" s="15" t="s">
        <v>62</v>
      </c>
      <c r="E127" s="15" t="s">
        <v>58</v>
      </c>
      <c r="F127" s="15" t="s">
        <v>59</v>
      </c>
      <c r="G127" s="15" t="s">
        <v>197</v>
      </c>
      <c r="H127" s="15" t="s">
        <v>198</v>
      </c>
      <c r="I127" s="15" t="s">
        <v>199</v>
      </c>
      <c r="J127" s="16" t="s">
        <v>186</v>
      </c>
      <c r="K127" s="79" t="s">
        <v>200</v>
      </c>
      <c r="L127" s="13"/>
      <c r="M127" s="80" t="s">
        <v>1</v>
      </c>
      <c r="N127" s="81" t="s">
        <v>41</v>
      </c>
      <c r="O127" s="81" t="s">
        <v>201</v>
      </c>
      <c r="P127" s="81" t="s">
        <v>202</v>
      </c>
      <c r="Q127" s="81" t="s">
        <v>203</v>
      </c>
      <c r="R127" s="81" t="s">
        <v>204</v>
      </c>
      <c r="S127" s="81" t="s">
        <v>205</v>
      </c>
      <c r="T127" s="96" t="s">
        <v>206</v>
      </c>
    </row>
    <row r="128" spans="2:63" s="1" customFormat="1" ht="23.1" customHeight="1">
      <c r="B128" s="12"/>
      <c r="C128" s="66" t="s">
        <v>207</v>
      </c>
      <c r="J128" s="82">
        <f>BK128</f>
        <v>821450</v>
      </c>
      <c r="L128" s="12"/>
      <c r="M128" s="83"/>
      <c r="N128" s="35"/>
      <c r="O128" s="35"/>
      <c r="P128" s="84">
        <f>P129</f>
        <v>0</v>
      </c>
      <c r="Q128" s="35"/>
      <c r="R128" s="84">
        <f>R129</f>
        <v>0</v>
      </c>
      <c r="S128" s="35"/>
      <c r="T128" s="97">
        <f>T129</f>
        <v>0</v>
      </c>
      <c r="AT128" s="23" t="s">
        <v>76</v>
      </c>
      <c r="AU128" s="23" t="s">
        <v>188</v>
      </c>
      <c r="BK128" s="102">
        <f>BK129</f>
        <v>821450</v>
      </c>
    </row>
    <row r="129" spans="2:65" s="31" customFormat="1" ht="26.1" customHeight="1">
      <c r="B129" s="67"/>
      <c r="D129" s="68" t="s">
        <v>76</v>
      </c>
      <c r="E129" s="69" t="s">
        <v>3830</v>
      </c>
      <c r="F129" s="69" t="s">
        <v>5707</v>
      </c>
      <c r="I129" s="85"/>
      <c r="J129" s="86">
        <f>BK129</f>
        <v>821450</v>
      </c>
      <c r="L129" s="67"/>
      <c r="M129" s="87"/>
      <c r="P129" s="88">
        <f>P130+P137+P140+P142+P156+P161+P163</f>
        <v>0</v>
      </c>
      <c r="R129" s="88">
        <f>R130+R137+R140+R142+R156+R161+R163</f>
        <v>0</v>
      </c>
      <c r="T129" s="98">
        <f>T130+T137+T140+T142+T156+T161+T163</f>
        <v>0</v>
      </c>
      <c r="AR129" s="68" t="s">
        <v>85</v>
      </c>
      <c r="AT129" s="100" t="s">
        <v>76</v>
      </c>
      <c r="AU129" s="100" t="s">
        <v>77</v>
      </c>
      <c r="AY129" s="68" t="s">
        <v>211</v>
      </c>
      <c r="BK129" s="103">
        <f>BK130+BK137+BK140+BK142+BK156+BK161+BK163</f>
        <v>821450</v>
      </c>
    </row>
    <row r="130" spans="2:65" s="31" customFormat="1" ht="23.1" customHeight="1">
      <c r="B130" s="67"/>
      <c r="D130" s="68" t="s">
        <v>76</v>
      </c>
      <c r="E130" s="70" t="s">
        <v>3832</v>
      </c>
      <c r="F130" s="70" t="s">
        <v>5475</v>
      </c>
      <c r="I130" s="85"/>
      <c r="J130" s="89">
        <f>BK130</f>
        <v>187750</v>
      </c>
      <c r="L130" s="67"/>
      <c r="M130" s="87"/>
      <c r="P130" s="88">
        <f>SUM(P131:P136)</f>
        <v>0</v>
      </c>
      <c r="R130" s="88">
        <f>SUM(R131:R136)</f>
        <v>0</v>
      </c>
      <c r="T130" s="98">
        <f>SUM(T131:T136)</f>
        <v>0</v>
      </c>
      <c r="AR130" s="68" t="s">
        <v>85</v>
      </c>
      <c r="AT130" s="100" t="s">
        <v>76</v>
      </c>
      <c r="AU130" s="100" t="s">
        <v>85</v>
      </c>
      <c r="AY130" s="68" t="s">
        <v>211</v>
      </c>
      <c r="BK130" s="103">
        <f>SUM(BK131:BK136)</f>
        <v>187750</v>
      </c>
    </row>
    <row r="131" spans="2:65" s="1" customFormat="1" ht="24.15" customHeight="1">
      <c r="B131" s="12"/>
      <c r="C131" s="71" t="s">
        <v>85</v>
      </c>
      <c r="D131" s="71" t="s">
        <v>214</v>
      </c>
      <c r="E131" s="72" t="s">
        <v>5476</v>
      </c>
      <c r="F131" s="73" t="s">
        <v>5477</v>
      </c>
      <c r="G131" s="74" t="s">
        <v>357</v>
      </c>
      <c r="H131" s="75">
        <v>121</v>
      </c>
      <c r="I131" s="90">
        <v>550</v>
      </c>
      <c r="J131" s="91">
        <f t="shared" ref="J131:J136" si="0">ROUND(I131*H131,2)</f>
        <v>66550</v>
      </c>
      <c r="K131" s="92"/>
      <c r="L131" s="12"/>
      <c r="M131" s="93" t="s">
        <v>1</v>
      </c>
      <c r="N131" s="94" t="s">
        <v>42</v>
      </c>
      <c r="P131" s="95">
        <f t="shared" ref="P131:P136" si="1">O131*H131</f>
        <v>0</v>
      </c>
      <c r="Q131" s="95">
        <v>0</v>
      </c>
      <c r="R131" s="95">
        <f t="shared" ref="R131:R136" si="2">Q131*H131</f>
        <v>0</v>
      </c>
      <c r="S131" s="95">
        <v>0</v>
      </c>
      <c r="T131" s="99">
        <f t="shared" ref="T131:T136" si="3">S131*H131</f>
        <v>0</v>
      </c>
      <c r="AR131" s="101" t="s">
        <v>218</v>
      </c>
      <c r="AT131" s="101" t="s">
        <v>214</v>
      </c>
      <c r="AU131" s="101" t="s">
        <v>87</v>
      </c>
      <c r="AY131" s="23" t="s">
        <v>211</v>
      </c>
      <c r="BE131" s="104">
        <f t="shared" ref="BE131:BE136" si="4">IF(N131="základní",J131,0)</f>
        <v>66550</v>
      </c>
      <c r="BF131" s="104">
        <f t="shared" ref="BF131:BF136" si="5">IF(N131="snížená",J131,0)</f>
        <v>0</v>
      </c>
      <c r="BG131" s="104">
        <f t="shared" ref="BG131:BG136" si="6">IF(N131="zákl. přenesená",J131,0)</f>
        <v>0</v>
      </c>
      <c r="BH131" s="104">
        <f t="shared" ref="BH131:BH136" si="7">IF(N131="sníž. přenesená",J131,0)</f>
        <v>0</v>
      </c>
      <c r="BI131" s="104">
        <f t="shared" ref="BI131:BI136" si="8">IF(N131="nulová",J131,0)</f>
        <v>0</v>
      </c>
      <c r="BJ131" s="23" t="s">
        <v>85</v>
      </c>
      <c r="BK131" s="104">
        <f t="shared" ref="BK131:BK136" si="9">ROUND(I131*H131,2)</f>
        <v>66550</v>
      </c>
      <c r="BL131" s="23" t="s">
        <v>218</v>
      </c>
      <c r="BM131" s="101" t="s">
        <v>87</v>
      </c>
    </row>
    <row r="132" spans="2:65" s="1" customFormat="1" ht="16.5" customHeight="1">
      <c r="B132" s="12"/>
      <c r="C132" s="71" t="s">
        <v>87</v>
      </c>
      <c r="D132" s="71" t="s">
        <v>214</v>
      </c>
      <c r="E132" s="72" t="s">
        <v>5480</v>
      </c>
      <c r="F132" s="73" t="s">
        <v>5481</v>
      </c>
      <c r="G132" s="74" t="s">
        <v>357</v>
      </c>
      <c r="H132" s="75">
        <v>167</v>
      </c>
      <c r="I132" s="90">
        <v>200</v>
      </c>
      <c r="J132" s="91">
        <f t="shared" si="0"/>
        <v>33400</v>
      </c>
      <c r="K132" s="92"/>
      <c r="L132" s="12"/>
      <c r="M132" s="93" t="s">
        <v>1</v>
      </c>
      <c r="N132" s="94" t="s">
        <v>42</v>
      </c>
      <c r="P132" s="95">
        <f t="shared" si="1"/>
        <v>0</v>
      </c>
      <c r="Q132" s="95">
        <v>0</v>
      </c>
      <c r="R132" s="95">
        <f t="shared" si="2"/>
        <v>0</v>
      </c>
      <c r="S132" s="95">
        <v>0</v>
      </c>
      <c r="T132" s="99">
        <f t="shared" si="3"/>
        <v>0</v>
      </c>
      <c r="AR132" s="101" t="s">
        <v>218</v>
      </c>
      <c r="AT132" s="101" t="s">
        <v>214</v>
      </c>
      <c r="AU132" s="101" t="s">
        <v>87</v>
      </c>
      <c r="AY132" s="23" t="s">
        <v>211</v>
      </c>
      <c r="BE132" s="104">
        <f t="shared" si="4"/>
        <v>33400</v>
      </c>
      <c r="BF132" s="104">
        <f t="shared" si="5"/>
        <v>0</v>
      </c>
      <c r="BG132" s="104">
        <f t="shared" si="6"/>
        <v>0</v>
      </c>
      <c r="BH132" s="104">
        <f t="shared" si="7"/>
        <v>0</v>
      </c>
      <c r="BI132" s="104">
        <f t="shared" si="8"/>
        <v>0</v>
      </c>
      <c r="BJ132" s="23" t="s">
        <v>85</v>
      </c>
      <c r="BK132" s="104">
        <f t="shared" si="9"/>
        <v>33400</v>
      </c>
      <c r="BL132" s="23" t="s">
        <v>218</v>
      </c>
      <c r="BM132" s="101" t="s">
        <v>218</v>
      </c>
    </row>
    <row r="133" spans="2:65" s="1" customFormat="1" ht="16.5" customHeight="1">
      <c r="B133" s="12"/>
      <c r="C133" s="71" t="s">
        <v>137</v>
      </c>
      <c r="D133" s="71" t="s">
        <v>214</v>
      </c>
      <c r="E133" s="72" t="s">
        <v>5482</v>
      </c>
      <c r="F133" s="73" t="s">
        <v>5483</v>
      </c>
      <c r="G133" s="74" t="s">
        <v>357</v>
      </c>
      <c r="H133" s="75">
        <v>95</v>
      </c>
      <c r="I133" s="90">
        <v>400</v>
      </c>
      <c r="J133" s="91">
        <f t="shared" si="0"/>
        <v>38000</v>
      </c>
      <c r="K133" s="92"/>
      <c r="L133" s="12"/>
      <c r="M133" s="93" t="s">
        <v>1</v>
      </c>
      <c r="N133" s="94" t="s">
        <v>42</v>
      </c>
      <c r="P133" s="95">
        <f t="shared" si="1"/>
        <v>0</v>
      </c>
      <c r="Q133" s="95">
        <v>0</v>
      </c>
      <c r="R133" s="95">
        <f t="shared" si="2"/>
        <v>0</v>
      </c>
      <c r="S133" s="95">
        <v>0</v>
      </c>
      <c r="T133" s="99">
        <f t="shared" si="3"/>
        <v>0</v>
      </c>
      <c r="AR133" s="101" t="s">
        <v>218</v>
      </c>
      <c r="AT133" s="101" t="s">
        <v>214</v>
      </c>
      <c r="AU133" s="101" t="s">
        <v>87</v>
      </c>
      <c r="AY133" s="23" t="s">
        <v>211</v>
      </c>
      <c r="BE133" s="104">
        <f t="shared" si="4"/>
        <v>38000</v>
      </c>
      <c r="BF133" s="104">
        <f t="shared" si="5"/>
        <v>0</v>
      </c>
      <c r="BG133" s="104">
        <f t="shared" si="6"/>
        <v>0</v>
      </c>
      <c r="BH133" s="104">
        <f t="shared" si="7"/>
        <v>0</v>
      </c>
      <c r="BI133" s="104">
        <f t="shared" si="8"/>
        <v>0</v>
      </c>
      <c r="BJ133" s="23" t="s">
        <v>85</v>
      </c>
      <c r="BK133" s="104">
        <f t="shared" si="9"/>
        <v>38000</v>
      </c>
      <c r="BL133" s="23" t="s">
        <v>218</v>
      </c>
      <c r="BM133" s="101" t="s">
        <v>239</v>
      </c>
    </row>
    <row r="134" spans="2:65" s="1" customFormat="1" ht="16.5" customHeight="1">
      <c r="B134" s="12"/>
      <c r="C134" s="71" t="s">
        <v>218</v>
      </c>
      <c r="D134" s="71" t="s">
        <v>214</v>
      </c>
      <c r="E134" s="72" t="s">
        <v>5484</v>
      </c>
      <c r="F134" s="73" t="s">
        <v>5485</v>
      </c>
      <c r="G134" s="74" t="s">
        <v>357</v>
      </c>
      <c r="H134" s="75">
        <v>26</v>
      </c>
      <c r="I134" s="90">
        <v>150</v>
      </c>
      <c r="J134" s="91">
        <f t="shared" si="0"/>
        <v>3900</v>
      </c>
      <c r="K134" s="92"/>
      <c r="L134" s="12"/>
      <c r="M134" s="93" t="s">
        <v>1</v>
      </c>
      <c r="N134" s="94" t="s">
        <v>42</v>
      </c>
      <c r="P134" s="95">
        <f t="shared" si="1"/>
        <v>0</v>
      </c>
      <c r="Q134" s="95">
        <v>0</v>
      </c>
      <c r="R134" s="95">
        <f t="shared" si="2"/>
        <v>0</v>
      </c>
      <c r="S134" s="95">
        <v>0</v>
      </c>
      <c r="T134" s="99">
        <f t="shared" si="3"/>
        <v>0</v>
      </c>
      <c r="AR134" s="101" t="s">
        <v>218</v>
      </c>
      <c r="AT134" s="101" t="s">
        <v>214</v>
      </c>
      <c r="AU134" s="101" t="s">
        <v>87</v>
      </c>
      <c r="AY134" s="23" t="s">
        <v>211</v>
      </c>
      <c r="BE134" s="104">
        <f t="shared" si="4"/>
        <v>3900</v>
      </c>
      <c r="BF134" s="104">
        <f t="shared" si="5"/>
        <v>0</v>
      </c>
      <c r="BG134" s="104">
        <f t="shared" si="6"/>
        <v>0</v>
      </c>
      <c r="BH134" s="104">
        <f t="shared" si="7"/>
        <v>0</v>
      </c>
      <c r="BI134" s="104">
        <f t="shared" si="8"/>
        <v>0</v>
      </c>
      <c r="BJ134" s="23" t="s">
        <v>85</v>
      </c>
      <c r="BK134" s="104">
        <f t="shared" si="9"/>
        <v>3900</v>
      </c>
      <c r="BL134" s="23" t="s">
        <v>218</v>
      </c>
      <c r="BM134" s="101" t="s">
        <v>250</v>
      </c>
    </row>
    <row r="135" spans="2:65" s="1" customFormat="1" ht="21.75" customHeight="1">
      <c r="B135" s="12"/>
      <c r="C135" s="71" t="s">
        <v>210</v>
      </c>
      <c r="D135" s="71" t="s">
        <v>214</v>
      </c>
      <c r="E135" s="72" t="s">
        <v>5486</v>
      </c>
      <c r="F135" s="73" t="s">
        <v>5487</v>
      </c>
      <c r="G135" s="74" t="s">
        <v>279</v>
      </c>
      <c r="H135" s="75">
        <v>9</v>
      </c>
      <c r="I135" s="90">
        <v>100</v>
      </c>
      <c r="J135" s="91">
        <f t="shared" si="0"/>
        <v>900</v>
      </c>
      <c r="K135" s="92"/>
      <c r="L135" s="12"/>
      <c r="M135" s="93" t="s">
        <v>1</v>
      </c>
      <c r="N135" s="94" t="s">
        <v>42</v>
      </c>
      <c r="P135" s="95">
        <f t="shared" si="1"/>
        <v>0</v>
      </c>
      <c r="Q135" s="95">
        <v>0</v>
      </c>
      <c r="R135" s="95">
        <f t="shared" si="2"/>
        <v>0</v>
      </c>
      <c r="S135" s="95">
        <v>0</v>
      </c>
      <c r="T135" s="99">
        <f t="shared" si="3"/>
        <v>0</v>
      </c>
      <c r="AR135" s="101" t="s">
        <v>218</v>
      </c>
      <c r="AT135" s="101" t="s">
        <v>214</v>
      </c>
      <c r="AU135" s="101" t="s">
        <v>87</v>
      </c>
      <c r="AY135" s="23" t="s">
        <v>211</v>
      </c>
      <c r="BE135" s="104">
        <f t="shared" si="4"/>
        <v>900</v>
      </c>
      <c r="BF135" s="104">
        <f t="shared" si="5"/>
        <v>0</v>
      </c>
      <c r="BG135" s="104">
        <f t="shared" si="6"/>
        <v>0</v>
      </c>
      <c r="BH135" s="104">
        <f t="shared" si="7"/>
        <v>0</v>
      </c>
      <c r="BI135" s="104">
        <f t="shared" si="8"/>
        <v>0</v>
      </c>
      <c r="BJ135" s="23" t="s">
        <v>85</v>
      </c>
      <c r="BK135" s="104">
        <f t="shared" si="9"/>
        <v>900</v>
      </c>
      <c r="BL135" s="23" t="s">
        <v>218</v>
      </c>
      <c r="BM135" s="101" t="s">
        <v>259</v>
      </c>
    </row>
    <row r="136" spans="2:65" s="1" customFormat="1" ht="16.5" customHeight="1">
      <c r="B136" s="12"/>
      <c r="C136" s="71" t="s">
        <v>239</v>
      </c>
      <c r="D136" s="71" t="s">
        <v>214</v>
      </c>
      <c r="E136" s="72" t="s">
        <v>5488</v>
      </c>
      <c r="F136" s="73" t="s">
        <v>5489</v>
      </c>
      <c r="G136" s="74" t="s">
        <v>357</v>
      </c>
      <c r="H136" s="75">
        <v>45</v>
      </c>
      <c r="I136" s="90">
        <v>1000</v>
      </c>
      <c r="J136" s="91">
        <f t="shared" si="0"/>
        <v>45000</v>
      </c>
      <c r="K136" s="92"/>
      <c r="L136" s="12"/>
      <c r="M136" s="93" t="s">
        <v>1</v>
      </c>
      <c r="N136" s="94" t="s">
        <v>42</v>
      </c>
      <c r="P136" s="95">
        <f t="shared" si="1"/>
        <v>0</v>
      </c>
      <c r="Q136" s="95">
        <v>0</v>
      </c>
      <c r="R136" s="95">
        <f t="shared" si="2"/>
        <v>0</v>
      </c>
      <c r="S136" s="95">
        <v>0</v>
      </c>
      <c r="T136" s="99">
        <f t="shared" si="3"/>
        <v>0</v>
      </c>
      <c r="AR136" s="101" t="s">
        <v>218</v>
      </c>
      <c r="AT136" s="101" t="s">
        <v>214</v>
      </c>
      <c r="AU136" s="101" t="s">
        <v>87</v>
      </c>
      <c r="AY136" s="23" t="s">
        <v>211</v>
      </c>
      <c r="BE136" s="104">
        <f t="shared" si="4"/>
        <v>45000</v>
      </c>
      <c r="BF136" s="104">
        <f t="shared" si="5"/>
        <v>0</v>
      </c>
      <c r="BG136" s="104">
        <f t="shared" si="6"/>
        <v>0</v>
      </c>
      <c r="BH136" s="104">
        <f t="shared" si="7"/>
        <v>0</v>
      </c>
      <c r="BI136" s="104">
        <f t="shared" si="8"/>
        <v>0</v>
      </c>
      <c r="BJ136" s="23" t="s">
        <v>85</v>
      </c>
      <c r="BK136" s="104">
        <f t="shared" si="9"/>
        <v>45000</v>
      </c>
      <c r="BL136" s="23" t="s">
        <v>218</v>
      </c>
      <c r="BM136" s="101" t="s">
        <v>273</v>
      </c>
    </row>
    <row r="137" spans="2:65" s="31" customFormat="1" ht="23.1" customHeight="1">
      <c r="B137" s="67"/>
      <c r="D137" s="68" t="s">
        <v>76</v>
      </c>
      <c r="E137" s="70" t="s">
        <v>3839</v>
      </c>
      <c r="F137" s="70" t="s">
        <v>5490</v>
      </c>
      <c r="I137" s="85"/>
      <c r="J137" s="89">
        <f>BK137</f>
        <v>19500</v>
      </c>
      <c r="L137" s="67"/>
      <c r="M137" s="87"/>
      <c r="P137" s="88">
        <f>SUM(P138:P139)</f>
        <v>0</v>
      </c>
      <c r="R137" s="88">
        <f>SUM(R138:R139)</f>
        <v>0</v>
      </c>
      <c r="T137" s="98">
        <f>SUM(T138:T139)</f>
        <v>0</v>
      </c>
      <c r="AR137" s="68" t="s">
        <v>85</v>
      </c>
      <c r="AT137" s="100" t="s">
        <v>76</v>
      </c>
      <c r="AU137" s="100" t="s">
        <v>85</v>
      </c>
      <c r="AY137" s="68" t="s">
        <v>211</v>
      </c>
      <c r="BK137" s="103">
        <f>SUM(BK138:BK139)</f>
        <v>19500</v>
      </c>
    </row>
    <row r="138" spans="2:65" s="1" customFormat="1" ht="16.5" customHeight="1">
      <c r="B138" s="12"/>
      <c r="C138" s="71" t="s">
        <v>245</v>
      </c>
      <c r="D138" s="71" t="s">
        <v>214</v>
      </c>
      <c r="E138" s="72" t="s">
        <v>5491</v>
      </c>
      <c r="F138" s="73" t="s">
        <v>5492</v>
      </c>
      <c r="G138" s="74" t="s">
        <v>357</v>
      </c>
      <c r="H138" s="75">
        <v>10</v>
      </c>
      <c r="I138" s="90">
        <v>950</v>
      </c>
      <c r="J138" s="91">
        <f>ROUND(I138*H138,2)</f>
        <v>9500</v>
      </c>
      <c r="K138" s="92"/>
      <c r="L138" s="12"/>
      <c r="M138" s="93" t="s">
        <v>1</v>
      </c>
      <c r="N138" s="94" t="s">
        <v>42</v>
      </c>
      <c r="P138" s="95">
        <f>O138*H138</f>
        <v>0</v>
      </c>
      <c r="Q138" s="95">
        <v>0</v>
      </c>
      <c r="R138" s="95">
        <f>Q138*H138</f>
        <v>0</v>
      </c>
      <c r="S138" s="95">
        <v>0</v>
      </c>
      <c r="T138" s="99">
        <f>S138*H138</f>
        <v>0</v>
      </c>
      <c r="AR138" s="101" t="s">
        <v>218</v>
      </c>
      <c r="AT138" s="101" t="s">
        <v>214</v>
      </c>
      <c r="AU138" s="101" t="s">
        <v>87</v>
      </c>
      <c r="AY138" s="23" t="s">
        <v>211</v>
      </c>
      <c r="BE138" s="104">
        <f>IF(N138="základní",J138,0)</f>
        <v>9500</v>
      </c>
      <c r="BF138" s="104">
        <f>IF(N138="snížená",J138,0)</f>
        <v>0</v>
      </c>
      <c r="BG138" s="104">
        <f>IF(N138="zákl. přenesená",J138,0)</f>
        <v>0</v>
      </c>
      <c r="BH138" s="104">
        <f>IF(N138="sníž. přenesená",J138,0)</f>
        <v>0</v>
      </c>
      <c r="BI138" s="104">
        <f>IF(N138="nulová",J138,0)</f>
        <v>0</v>
      </c>
      <c r="BJ138" s="23" t="s">
        <v>85</v>
      </c>
      <c r="BK138" s="104">
        <f>ROUND(I138*H138,2)</f>
        <v>9500</v>
      </c>
      <c r="BL138" s="23" t="s">
        <v>218</v>
      </c>
      <c r="BM138" s="101" t="s">
        <v>437</v>
      </c>
    </row>
    <row r="139" spans="2:65" s="1" customFormat="1" ht="16.5" customHeight="1">
      <c r="B139" s="12"/>
      <c r="C139" s="71" t="s">
        <v>250</v>
      </c>
      <c r="D139" s="71" t="s">
        <v>214</v>
      </c>
      <c r="E139" s="72" t="s">
        <v>5493</v>
      </c>
      <c r="F139" s="73" t="s">
        <v>5494</v>
      </c>
      <c r="G139" s="74" t="s">
        <v>357</v>
      </c>
      <c r="H139" s="75">
        <v>2</v>
      </c>
      <c r="I139" s="90">
        <v>5000</v>
      </c>
      <c r="J139" s="91">
        <f>ROUND(I139*H139,2)</f>
        <v>10000</v>
      </c>
      <c r="K139" s="92"/>
      <c r="L139" s="12"/>
      <c r="M139" s="93" t="s">
        <v>1</v>
      </c>
      <c r="N139" s="94" t="s">
        <v>42</v>
      </c>
      <c r="P139" s="95">
        <f>O139*H139</f>
        <v>0</v>
      </c>
      <c r="Q139" s="95">
        <v>0</v>
      </c>
      <c r="R139" s="95">
        <f>Q139*H139</f>
        <v>0</v>
      </c>
      <c r="S139" s="95">
        <v>0</v>
      </c>
      <c r="T139" s="99">
        <f>S139*H139</f>
        <v>0</v>
      </c>
      <c r="AR139" s="101" t="s">
        <v>218</v>
      </c>
      <c r="AT139" s="101" t="s">
        <v>214</v>
      </c>
      <c r="AU139" s="101" t="s">
        <v>87</v>
      </c>
      <c r="AY139" s="23" t="s">
        <v>211</v>
      </c>
      <c r="BE139" s="104">
        <f>IF(N139="základní",J139,0)</f>
        <v>10000</v>
      </c>
      <c r="BF139" s="104">
        <f>IF(N139="snížená",J139,0)</f>
        <v>0</v>
      </c>
      <c r="BG139" s="104">
        <f>IF(N139="zákl. přenesená",J139,0)</f>
        <v>0</v>
      </c>
      <c r="BH139" s="104">
        <f>IF(N139="sníž. přenesená",J139,0)</f>
        <v>0</v>
      </c>
      <c r="BI139" s="104">
        <f>IF(N139="nulová",J139,0)</f>
        <v>0</v>
      </c>
      <c r="BJ139" s="23" t="s">
        <v>85</v>
      </c>
      <c r="BK139" s="104">
        <f>ROUND(I139*H139,2)</f>
        <v>10000</v>
      </c>
      <c r="BL139" s="23" t="s">
        <v>218</v>
      </c>
      <c r="BM139" s="101" t="s">
        <v>446</v>
      </c>
    </row>
    <row r="140" spans="2:65" s="31" customFormat="1" ht="23.1" customHeight="1">
      <c r="B140" s="67"/>
      <c r="D140" s="68" t="s">
        <v>76</v>
      </c>
      <c r="E140" s="70" t="s">
        <v>3853</v>
      </c>
      <c r="F140" s="70" t="s">
        <v>5499</v>
      </c>
      <c r="I140" s="85"/>
      <c r="J140" s="89">
        <f>BK140</f>
        <v>39900</v>
      </c>
      <c r="L140" s="67"/>
      <c r="M140" s="87"/>
      <c r="P140" s="88">
        <f>P141</f>
        <v>0</v>
      </c>
      <c r="R140" s="88">
        <f>R141</f>
        <v>0</v>
      </c>
      <c r="T140" s="98">
        <f>T141</f>
        <v>0</v>
      </c>
      <c r="AR140" s="68" t="s">
        <v>85</v>
      </c>
      <c r="AT140" s="100" t="s">
        <v>76</v>
      </c>
      <c r="AU140" s="100" t="s">
        <v>85</v>
      </c>
      <c r="AY140" s="68" t="s">
        <v>211</v>
      </c>
      <c r="BK140" s="103">
        <f>BK141</f>
        <v>39900</v>
      </c>
    </row>
    <row r="141" spans="2:65" s="1" customFormat="1" ht="16.5" customHeight="1">
      <c r="B141" s="12"/>
      <c r="C141" s="71" t="s">
        <v>255</v>
      </c>
      <c r="D141" s="71" t="s">
        <v>214</v>
      </c>
      <c r="E141" s="72" t="s">
        <v>5500</v>
      </c>
      <c r="F141" s="73" t="s">
        <v>5501</v>
      </c>
      <c r="G141" s="74" t="s">
        <v>357</v>
      </c>
      <c r="H141" s="75">
        <v>42</v>
      </c>
      <c r="I141" s="90">
        <v>950</v>
      </c>
      <c r="J141" s="91">
        <f>ROUND(I141*H141,2)</f>
        <v>39900</v>
      </c>
      <c r="K141" s="92"/>
      <c r="L141" s="12"/>
      <c r="M141" s="93" t="s">
        <v>1</v>
      </c>
      <c r="N141" s="94" t="s">
        <v>42</v>
      </c>
      <c r="P141" s="95">
        <f>O141*H141</f>
        <v>0</v>
      </c>
      <c r="Q141" s="95">
        <v>0</v>
      </c>
      <c r="R141" s="95">
        <f>Q141*H141</f>
        <v>0</v>
      </c>
      <c r="S141" s="95">
        <v>0</v>
      </c>
      <c r="T141" s="99">
        <f>S141*H141</f>
        <v>0</v>
      </c>
      <c r="AR141" s="101" t="s">
        <v>218</v>
      </c>
      <c r="AT141" s="101" t="s">
        <v>214</v>
      </c>
      <c r="AU141" s="101" t="s">
        <v>87</v>
      </c>
      <c r="AY141" s="23" t="s">
        <v>211</v>
      </c>
      <c r="BE141" s="104">
        <f>IF(N141="základní",J141,0)</f>
        <v>39900</v>
      </c>
      <c r="BF141" s="104">
        <f>IF(N141="snížená",J141,0)</f>
        <v>0</v>
      </c>
      <c r="BG141" s="104">
        <f>IF(N141="zákl. přenesená",J141,0)</f>
        <v>0</v>
      </c>
      <c r="BH141" s="104">
        <f>IF(N141="sníž. přenesená",J141,0)</f>
        <v>0</v>
      </c>
      <c r="BI141" s="104">
        <f>IF(N141="nulová",J141,0)</f>
        <v>0</v>
      </c>
      <c r="BJ141" s="23" t="s">
        <v>85</v>
      </c>
      <c r="BK141" s="104">
        <f>ROUND(I141*H141,2)</f>
        <v>39900</v>
      </c>
      <c r="BL141" s="23" t="s">
        <v>218</v>
      </c>
      <c r="BM141" s="101" t="s">
        <v>454</v>
      </c>
    </row>
    <row r="142" spans="2:65" s="31" customFormat="1" ht="23.1" customHeight="1">
      <c r="B142" s="67"/>
      <c r="D142" s="68" t="s">
        <v>76</v>
      </c>
      <c r="E142" s="70" t="s">
        <v>3858</v>
      </c>
      <c r="F142" s="70" t="s">
        <v>5502</v>
      </c>
      <c r="I142" s="85"/>
      <c r="J142" s="89">
        <f>BK142</f>
        <v>447900</v>
      </c>
      <c r="L142" s="67"/>
      <c r="M142" s="87"/>
      <c r="P142" s="88">
        <f>SUM(P143:P155)</f>
        <v>0</v>
      </c>
      <c r="R142" s="88">
        <f>SUM(R143:R155)</f>
        <v>0</v>
      </c>
      <c r="T142" s="98">
        <f>SUM(T143:T155)</f>
        <v>0</v>
      </c>
      <c r="AR142" s="68" t="s">
        <v>85</v>
      </c>
      <c r="AT142" s="100" t="s">
        <v>76</v>
      </c>
      <c r="AU142" s="100" t="s">
        <v>85</v>
      </c>
      <c r="AY142" s="68" t="s">
        <v>211</v>
      </c>
      <c r="BK142" s="103">
        <f>SUM(BK143:BK155)</f>
        <v>447900</v>
      </c>
    </row>
    <row r="143" spans="2:65" s="1" customFormat="1" ht="16.5" customHeight="1">
      <c r="B143" s="12"/>
      <c r="C143" s="71" t="s">
        <v>259</v>
      </c>
      <c r="D143" s="71" t="s">
        <v>214</v>
      </c>
      <c r="E143" s="72" t="s">
        <v>5708</v>
      </c>
      <c r="F143" s="73" t="s">
        <v>5709</v>
      </c>
      <c r="G143" s="74" t="s">
        <v>431</v>
      </c>
      <c r="H143" s="75">
        <v>98</v>
      </c>
      <c r="I143" s="90">
        <v>2500</v>
      </c>
      <c r="J143" s="91">
        <f t="shared" ref="J143:J155" si="10">ROUND(I143*H143,2)</f>
        <v>245000</v>
      </c>
      <c r="K143" s="92"/>
      <c r="L143" s="12"/>
      <c r="M143" s="93" t="s">
        <v>1</v>
      </c>
      <c r="N143" s="94" t="s">
        <v>42</v>
      </c>
      <c r="P143" s="95">
        <f t="shared" ref="P143:P155" si="11">O143*H143</f>
        <v>0</v>
      </c>
      <c r="Q143" s="95">
        <v>0</v>
      </c>
      <c r="R143" s="95">
        <f t="shared" ref="R143:R155" si="12">Q143*H143</f>
        <v>0</v>
      </c>
      <c r="S143" s="95">
        <v>0</v>
      </c>
      <c r="T143" s="99">
        <f t="shared" ref="T143:T155" si="13">S143*H143</f>
        <v>0</v>
      </c>
      <c r="AR143" s="101" t="s">
        <v>218</v>
      </c>
      <c r="AT143" s="101" t="s">
        <v>214</v>
      </c>
      <c r="AU143" s="101" t="s">
        <v>87</v>
      </c>
      <c r="AY143" s="23" t="s">
        <v>211</v>
      </c>
      <c r="BE143" s="104">
        <f t="shared" ref="BE143:BE155" si="14">IF(N143="základní",J143,0)</f>
        <v>245000</v>
      </c>
      <c r="BF143" s="104">
        <f t="shared" ref="BF143:BF155" si="15">IF(N143="snížená",J143,0)</f>
        <v>0</v>
      </c>
      <c r="BG143" s="104">
        <f t="shared" ref="BG143:BG155" si="16">IF(N143="zákl. přenesená",J143,0)</f>
        <v>0</v>
      </c>
      <c r="BH143" s="104">
        <f t="shared" ref="BH143:BH155" si="17">IF(N143="sníž. přenesená",J143,0)</f>
        <v>0</v>
      </c>
      <c r="BI143" s="104">
        <f t="shared" ref="BI143:BI155" si="18">IF(N143="nulová",J143,0)</f>
        <v>0</v>
      </c>
      <c r="BJ143" s="23" t="s">
        <v>85</v>
      </c>
      <c r="BK143" s="104">
        <f t="shared" ref="BK143:BK155" si="19">ROUND(I143*H143,2)</f>
        <v>245000</v>
      </c>
      <c r="BL143" s="23" t="s">
        <v>218</v>
      </c>
      <c r="BM143" s="101" t="s">
        <v>465</v>
      </c>
    </row>
    <row r="144" spans="2:65" s="1" customFormat="1" ht="16.5" customHeight="1">
      <c r="B144" s="12"/>
      <c r="C144" s="71" t="s">
        <v>266</v>
      </c>
      <c r="D144" s="71" t="s">
        <v>214</v>
      </c>
      <c r="E144" s="72" t="s">
        <v>5505</v>
      </c>
      <c r="F144" s="73" t="s">
        <v>5506</v>
      </c>
      <c r="G144" s="74" t="s">
        <v>431</v>
      </c>
      <c r="H144" s="75">
        <v>98</v>
      </c>
      <c r="I144" s="90">
        <v>50</v>
      </c>
      <c r="J144" s="91">
        <f t="shared" si="10"/>
        <v>4900</v>
      </c>
      <c r="K144" s="92"/>
      <c r="L144" s="12"/>
      <c r="M144" s="93" t="s">
        <v>1</v>
      </c>
      <c r="N144" s="94" t="s">
        <v>42</v>
      </c>
      <c r="P144" s="95">
        <f t="shared" si="11"/>
        <v>0</v>
      </c>
      <c r="Q144" s="95">
        <v>0</v>
      </c>
      <c r="R144" s="95">
        <f t="shared" si="12"/>
        <v>0</v>
      </c>
      <c r="S144" s="95">
        <v>0</v>
      </c>
      <c r="T144" s="99">
        <f t="shared" si="13"/>
        <v>0</v>
      </c>
      <c r="AR144" s="101" t="s">
        <v>218</v>
      </c>
      <c r="AT144" s="101" t="s">
        <v>214</v>
      </c>
      <c r="AU144" s="101" t="s">
        <v>87</v>
      </c>
      <c r="AY144" s="23" t="s">
        <v>211</v>
      </c>
      <c r="BE144" s="104">
        <f t="shared" si="14"/>
        <v>4900</v>
      </c>
      <c r="BF144" s="104">
        <f t="shared" si="15"/>
        <v>0</v>
      </c>
      <c r="BG144" s="104">
        <f t="shared" si="16"/>
        <v>0</v>
      </c>
      <c r="BH144" s="104">
        <f t="shared" si="17"/>
        <v>0</v>
      </c>
      <c r="BI144" s="104">
        <f t="shared" si="18"/>
        <v>0</v>
      </c>
      <c r="BJ144" s="23" t="s">
        <v>85</v>
      </c>
      <c r="BK144" s="104">
        <f t="shared" si="19"/>
        <v>4900</v>
      </c>
      <c r="BL144" s="23" t="s">
        <v>218</v>
      </c>
      <c r="BM144" s="101" t="s">
        <v>475</v>
      </c>
    </row>
    <row r="145" spans="2:65" s="1" customFormat="1" ht="16.5" customHeight="1">
      <c r="B145" s="12"/>
      <c r="C145" s="71" t="s">
        <v>273</v>
      </c>
      <c r="D145" s="71" t="s">
        <v>214</v>
      </c>
      <c r="E145" s="72" t="s">
        <v>5710</v>
      </c>
      <c r="F145" s="73" t="s">
        <v>5711</v>
      </c>
      <c r="G145" s="74" t="s">
        <v>808</v>
      </c>
      <c r="H145" s="75">
        <v>3</v>
      </c>
      <c r="I145" s="90">
        <v>22000</v>
      </c>
      <c r="J145" s="91">
        <f t="shared" si="10"/>
        <v>66000</v>
      </c>
      <c r="K145" s="92"/>
      <c r="L145" s="12"/>
      <c r="M145" s="93" t="s">
        <v>1</v>
      </c>
      <c r="N145" s="94" t="s">
        <v>42</v>
      </c>
      <c r="P145" s="95">
        <f t="shared" si="11"/>
        <v>0</v>
      </c>
      <c r="Q145" s="95">
        <v>0</v>
      </c>
      <c r="R145" s="95">
        <f t="shared" si="12"/>
        <v>0</v>
      </c>
      <c r="S145" s="95">
        <v>0</v>
      </c>
      <c r="T145" s="99">
        <f t="shared" si="13"/>
        <v>0</v>
      </c>
      <c r="AR145" s="101" t="s">
        <v>218</v>
      </c>
      <c r="AT145" s="101" t="s">
        <v>214</v>
      </c>
      <c r="AU145" s="101" t="s">
        <v>87</v>
      </c>
      <c r="AY145" s="23" t="s">
        <v>211</v>
      </c>
      <c r="BE145" s="104">
        <f t="shared" si="14"/>
        <v>66000</v>
      </c>
      <c r="BF145" s="104">
        <f t="shared" si="15"/>
        <v>0</v>
      </c>
      <c r="BG145" s="104">
        <f t="shared" si="16"/>
        <v>0</v>
      </c>
      <c r="BH145" s="104">
        <f t="shared" si="17"/>
        <v>0</v>
      </c>
      <c r="BI145" s="104">
        <f t="shared" si="18"/>
        <v>0</v>
      </c>
      <c r="BJ145" s="23" t="s">
        <v>85</v>
      </c>
      <c r="BK145" s="104">
        <f t="shared" si="19"/>
        <v>66000</v>
      </c>
      <c r="BL145" s="23" t="s">
        <v>218</v>
      </c>
      <c r="BM145" s="101" t="s">
        <v>486</v>
      </c>
    </row>
    <row r="146" spans="2:65" s="1" customFormat="1" ht="16.5" customHeight="1">
      <c r="B146" s="12"/>
      <c r="C146" s="71" t="s">
        <v>433</v>
      </c>
      <c r="D146" s="71" t="s">
        <v>214</v>
      </c>
      <c r="E146" s="72" t="s">
        <v>5712</v>
      </c>
      <c r="F146" s="73" t="s">
        <v>5713</v>
      </c>
      <c r="G146" s="74" t="s">
        <v>808</v>
      </c>
      <c r="H146" s="75">
        <v>3</v>
      </c>
      <c r="I146" s="90">
        <v>1500</v>
      </c>
      <c r="J146" s="91">
        <f t="shared" si="10"/>
        <v>4500</v>
      </c>
      <c r="K146" s="92"/>
      <c r="L146" s="12"/>
      <c r="M146" s="93" t="s">
        <v>1</v>
      </c>
      <c r="N146" s="94" t="s">
        <v>42</v>
      </c>
      <c r="P146" s="95">
        <f t="shared" si="11"/>
        <v>0</v>
      </c>
      <c r="Q146" s="95">
        <v>0</v>
      </c>
      <c r="R146" s="95">
        <f t="shared" si="12"/>
        <v>0</v>
      </c>
      <c r="S146" s="95">
        <v>0</v>
      </c>
      <c r="T146" s="99">
        <f t="shared" si="13"/>
        <v>0</v>
      </c>
      <c r="AR146" s="101" t="s">
        <v>218</v>
      </c>
      <c r="AT146" s="101" t="s">
        <v>214</v>
      </c>
      <c r="AU146" s="101" t="s">
        <v>87</v>
      </c>
      <c r="AY146" s="23" t="s">
        <v>211</v>
      </c>
      <c r="BE146" s="104">
        <f t="shared" si="14"/>
        <v>4500</v>
      </c>
      <c r="BF146" s="104">
        <f t="shared" si="15"/>
        <v>0</v>
      </c>
      <c r="BG146" s="104">
        <f t="shared" si="16"/>
        <v>0</v>
      </c>
      <c r="BH146" s="104">
        <f t="shared" si="17"/>
        <v>0</v>
      </c>
      <c r="BI146" s="104">
        <f t="shared" si="18"/>
        <v>0</v>
      </c>
      <c r="BJ146" s="23" t="s">
        <v>85</v>
      </c>
      <c r="BK146" s="104">
        <f t="shared" si="19"/>
        <v>4500</v>
      </c>
      <c r="BL146" s="23" t="s">
        <v>218</v>
      </c>
      <c r="BM146" s="101" t="s">
        <v>496</v>
      </c>
    </row>
    <row r="147" spans="2:65" s="1" customFormat="1" ht="16.5" customHeight="1">
      <c r="B147" s="12"/>
      <c r="C147" s="71" t="s">
        <v>437</v>
      </c>
      <c r="D147" s="71" t="s">
        <v>214</v>
      </c>
      <c r="E147" s="72" t="s">
        <v>5714</v>
      </c>
      <c r="F147" s="73" t="s">
        <v>5715</v>
      </c>
      <c r="G147" s="74" t="s">
        <v>808</v>
      </c>
      <c r="H147" s="75">
        <v>3</v>
      </c>
      <c r="I147" s="90">
        <v>7500</v>
      </c>
      <c r="J147" s="91">
        <f t="shared" si="10"/>
        <v>22500</v>
      </c>
      <c r="K147" s="92"/>
      <c r="L147" s="12"/>
      <c r="M147" s="93" t="s">
        <v>1</v>
      </c>
      <c r="N147" s="94" t="s">
        <v>42</v>
      </c>
      <c r="P147" s="95">
        <f t="shared" si="11"/>
        <v>0</v>
      </c>
      <c r="Q147" s="95">
        <v>0</v>
      </c>
      <c r="R147" s="95">
        <f t="shared" si="12"/>
        <v>0</v>
      </c>
      <c r="S147" s="95">
        <v>0</v>
      </c>
      <c r="T147" s="99">
        <f t="shared" si="13"/>
        <v>0</v>
      </c>
      <c r="AR147" s="101" t="s">
        <v>218</v>
      </c>
      <c r="AT147" s="101" t="s">
        <v>214</v>
      </c>
      <c r="AU147" s="101" t="s">
        <v>87</v>
      </c>
      <c r="AY147" s="23" t="s">
        <v>211</v>
      </c>
      <c r="BE147" s="104">
        <f t="shared" si="14"/>
        <v>22500</v>
      </c>
      <c r="BF147" s="104">
        <f t="shared" si="15"/>
        <v>0</v>
      </c>
      <c r="BG147" s="104">
        <f t="shared" si="16"/>
        <v>0</v>
      </c>
      <c r="BH147" s="104">
        <f t="shared" si="17"/>
        <v>0</v>
      </c>
      <c r="BI147" s="104">
        <f t="shared" si="18"/>
        <v>0</v>
      </c>
      <c r="BJ147" s="23" t="s">
        <v>85</v>
      </c>
      <c r="BK147" s="104">
        <f t="shared" si="19"/>
        <v>22500</v>
      </c>
      <c r="BL147" s="23" t="s">
        <v>218</v>
      </c>
      <c r="BM147" s="101" t="s">
        <v>507</v>
      </c>
    </row>
    <row r="148" spans="2:65" s="1" customFormat="1" ht="16.5" customHeight="1">
      <c r="B148" s="12"/>
      <c r="C148" s="71" t="s">
        <v>8</v>
      </c>
      <c r="D148" s="71" t="s">
        <v>214</v>
      </c>
      <c r="E148" s="72" t="s">
        <v>5716</v>
      </c>
      <c r="F148" s="73" t="s">
        <v>5717</v>
      </c>
      <c r="G148" s="74" t="s">
        <v>808</v>
      </c>
      <c r="H148" s="75">
        <v>3</v>
      </c>
      <c r="I148" s="90">
        <v>5000</v>
      </c>
      <c r="J148" s="91">
        <f t="shared" si="10"/>
        <v>15000</v>
      </c>
      <c r="K148" s="92"/>
      <c r="L148" s="12"/>
      <c r="M148" s="93" t="s">
        <v>1</v>
      </c>
      <c r="N148" s="94" t="s">
        <v>42</v>
      </c>
      <c r="P148" s="95">
        <f t="shared" si="11"/>
        <v>0</v>
      </c>
      <c r="Q148" s="95">
        <v>0</v>
      </c>
      <c r="R148" s="95">
        <f t="shared" si="12"/>
        <v>0</v>
      </c>
      <c r="S148" s="95">
        <v>0</v>
      </c>
      <c r="T148" s="99">
        <f t="shared" si="13"/>
        <v>0</v>
      </c>
      <c r="AR148" s="101" t="s">
        <v>218</v>
      </c>
      <c r="AT148" s="101" t="s">
        <v>214</v>
      </c>
      <c r="AU148" s="101" t="s">
        <v>87</v>
      </c>
      <c r="AY148" s="23" t="s">
        <v>211</v>
      </c>
      <c r="BE148" s="104">
        <f t="shared" si="14"/>
        <v>15000</v>
      </c>
      <c r="BF148" s="104">
        <f t="shared" si="15"/>
        <v>0</v>
      </c>
      <c r="BG148" s="104">
        <f t="shared" si="16"/>
        <v>0</v>
      </c>
      <c r="BH148" s="104">
        <f t="shared" si="17"/>
        <v>0</v>
      </c>
      <c r="BI148" s="104">
        <f t="shared" si="18"/>
        <v>0</v>
      </c>
      <c r="BJ148" s="23" t="s">
        <v>85</v>
      </c>
      <c r="BK148" s="104">
        <f t="shared" si="19"/>
        <v>15000</v>
      </c>
      <c r="BL148" s="23" t="s">
        <v>218</v>
      </c>
      <c r="BM148" s="101" t="s">
        <v>517</v>
      </c>
    </row>
    <row r="149" spans="2:65" s="1" customFormat="1" ht="16.5" customHeight="1">
      <c r="B149" s="12"/>
      <c r="C149" s="71" t="s">
        <v>446</v>
      </c>
      <c r="D149" s="71" t="s">
        <v>214</v>
      </c>
      <c r="E149" s="72" t="s">
        <v>5718</v>
      </c>
      <c r="F149" s="73" t="s">
        <v>5719</v>
      </c>
      <c r="G149" s="74" t="s">
        <v>808</v>
      </c>
      <c r="H149" s="75">
        <v>2</v>
      </c>
      <c r="I149" s="90">
        <v>6000</v>
      </c>
      <c r="J149" s="91">
        <f t="shared" si="10"/>
        <v>12000</v>
      </c>
      <c r="K149" s="92"/>
      <c r="L149" s="12"/>
      <c r="M149" s="93" t="s">
        <v>1</v>
      </c>
      <c r="N149" s="94" t="s">
        <v>42</v>
      </c>
      <c r="P149" s="95">
        <f t="shared" si="11"/>
        <v>0</v>
      </c>
      <c r="Q149" s="95">
        <v>0</v>
      </c>
      <c r="R149" s="95">
        <f t="shared" si="12"/>
        <v>0</v>
      </c>
      <c r="S149" s="95">
        <v>0</v>
      </c>
      <c r="T149" s="99">
        <f t="shared" si="13"/>
        <v>0</v>
      </c>
      <c r="AR149" s="101" t="s">
        <v>218</v>
      </c>
      <c r="AT149" s="101" t="s">
        <v>214</v>
      </c>
      <c r="AU149" s="101" t="s">
        <v>87</v>
      </c>
      <c r="AY149" s="23" t="s">
        <v>211</v>
      </c>
      <c r="BE149" s="104">
        <f t="shared" si="14"/>
        <v>12000</v>
      </c>
      <c r="BF149" s="104">
        <f t="shared" si="15"/>
        <v>0</v>
      </c>
      <c r="BG149" s="104">
        <f t="shared" si="16"/>
        <v>0</v>
      </c>
      <c r="BH149" s="104">
        <f t="shared" si="17"/>
        <v>0</v>
      </c>
      <c r="BI149" s="104">
        <f t="shared" si="18"/>
        <v>0</v>
      </c>
      <c r="BJ149" s="23" t="s">
        <v>85</v>
      </c>
      <c r="BK149" s="104">
        <f t="shared" si="19"/>
        <v>12000</v>
      </c>
      <c r="BL149" s="23" t="s">
        <v>218</v>
      </c>
      <c r="BM149" s="101" t="s">
        <v>527</v>
      </c>
    </row>
    <row r="150" spans="2:65" s="1" customFormat="1" ht="16.5" customHeight="1">
      <c r="B150" s="12"/>
      <c r="C150" s="71" t="s">
        <v>450</v>
      </c>
      <c r="D150" s="71" t="s">
        <v>214</v>
      </c>
      <c r="E150" s="72" t="s">
        <v>5720</v>
      </c>
      <c r="F150" s="73" t="s">
        <v>5721</v>
      </c>
      <c r="G150" s="74" t="s">
        <v>808</v>
      </c>
      <c r="H150" s="75">
        <v>6</v>
      </c>
      <c r="I150" s="90">
        <v>8000</v>
      </c>
      <c r="J150" s="91">
        <f t="shared" si="10"/>
        <v>48000</v>
      </c>
      <c r="K150" s="92"/>
      <c r="L150" s="12"/>
      <c r="M150" s="93" t="s">
        <v>1</v>
      </c>
      <c r="N150" s="94" t="s">
        <v>42</v>
      </c>
      <c r="P150" s="95">
        <f t="shared" si="11"/>
        <v>0</v>
      </c>
      <c r="Q150" s="95">
        <v>0</v>
      </c>
      <c r="R150" s="95">
        <f t="shared" si="12"/>
        <v>0</v>
      </c>
      <c r="S150" s="95">
        <v>0</v>
      </c>
      <c r="T150" s="99">
        <f t="shared" si="13"/>
        <v>0</v>
      </c>
      <c r="AR150" s="101" t="s">
        <v>218</v>
      </c>
      <c r="AT150" s="101" t="s">
        <v>214</v>
      </c>
      <c r="AU150" s="101" t="s">
        <v>87</v>
      </c>
      <c r="AY150" s="23" t="s">
        <v>211</v>
      </c>
      <c r="BE150" s="104">
        <f t="shared" si="14"/>
        <v>48000</v>
      </c>
      <c r="BF150" s="104">
        <f t="shared" si="15"/>
        <v>0</v>
      </c>
      <c r="BG150" s="104">
        <f t="shared" si="16"/>
        <v>0</v>
      </c>
      <c r="BH150" s="104">
        <f t="shared" si="17"/>
        <v>0</v>
      </c>
      <c r="BI150" s="104">
        <f t="shared" si="18"/>
        <v>0</v>
      </c>
      <c r="BJ150" s="23" t="s">
        <v>85</v>
      </c>
      <c r="BK150" s="104">
        <f t="shared" si="19"/>
        <v>48000</v>
      </c>
      <c r="BL150" s="23" t="s">
        <v>218</v>
      </c>
      <c r="BM150" s="101" t="s">
        <v>537</v>
      </c>
    </row>
    <row r="151" spans="2:65" s="1" customFormat="1" ht="16.5" customHeight="1">
      <c r="B151" s="12"/>
      <c r="C151" s="71" t="s">
        <v>454</v>
      </c>
      <c r="D151" s="71" t="s">
        <v>214</v>
      </c>
      <c r="E151" s="72" t="s">
        <v>5722</v>
      </c>
      <c r="F151" s="73" t="s">
        <v>5723</v>
      </c>
      <c r="G151" s="74" t="s">
        <v>808</v>
      </c>
      <c r="H151" s="75">
        <v>4</v>
      </c>
      <c r="I151" s="90">
        <v>3000</v>
      </c>
      <c r="J151" s="91">
        <f t="shared" si="10"/>
        <v>12000</v>
      </c>
      <c r="K151" s="92"/>
      <c r="L151" s="12"/>
      <c r="M151" s="93" t="s">
        <v>1</v>
      </c>
      <c r="N151" s="94" t="s">
        <v>42</v>
      </c>
      <c r="P151" s="95">
        <f t="shared" si="11"/>
        <v>0</v>
      </c>
      <c r="Q151" s="95">
        <v>0</v>
      </c>
      <c r="R151" s="95">
        <f t="shared" si="12"/>
        <v>0</v>
      </c>
      <c r="S151" s="95">
        <v>0</v>
      </c>
      <c r="T151" s="99">
        <f t="shared" si="13"/>
        <v>0</v>
      </c>
      <c r="AR151" s="101" t="s">
        <v>218</v>
      </c>
      <c r="AT151" s="101" t="s">
        <v>214</v>
      </c>
      <c r="AU151" s="101" t="s">
        <v>87</v>
      </c>
      <c r="AY151" s="23" t="s">
        <v>211</v>
      </c>
      <c r="BE151" s="104">
        <f t="shared" si="14"/>
        <v>12000</v>
      </c>
      <c r="BF151" s="104">
        <f t="shared" si="15"/>
        <v>0</v>
      </c>
      <c r="BG151" s="104">
        <f t="shared" si="16"/>
        <v>0</v>
      </c>
      <c r="BH151" s="104">
        <f t="shared" si="17"/>
        <v>0</v>
      </c>
      <c r="BI151" s="104">
        <f t="shared" si="18"/>
        <v>0</v>
      </c>
      <c r="BJ151" s="23" t="s">
        <v>85</v>
      </c>
      <c r="BK151" s="104">
        <f t="shared" si="19"/>
        <v>12000</v>
      </c>
      <c r="BL151" s="23" t="s">
        <v>218</v>
      </c>
      <c r="BM151" s="101" t="s">
        <v>551</v>
      </c>
    </row>
    <row r="152" spans="2:65" s="1" customFormat="1" ht="16.5" customHeight="1">
      <c r="B152" s="12"/>
      <c r="C152" s="71" t="s">
        <v>459</v>
      </c>
      <c r="D152" s="71" t="s">
        <v>214</v>
      </c>
      <c r="E152" s="72" t="s">
        <v>5724</v>
      </c>
      <c r="F152" s="73" t="s">
        <v>5725</v>
      </c>
      <c r="G152" s="74" t="s">
        <v>808</v>
      </c>
      <c r="H152" s="75">
        <v>2</v>
      </c>
      <c r="I152" s="90">
        <v>3000</v>
      </c>
      <c r="J152" s="91">
        <f t="shared" si="10"/>
        <v>6000</v>
      </c>
      <c r="K152" s="92"/>
      <c r="L152" s="12"/>
      <c r="M152" s="93" t="s">
        <v>1</v>
      </c>
      <c r="N152" s="94" t="s">
        <v>42</v>
      </c>
      <c r="P152" s="95">
        <f t="shared" si="11"/>
        <v>0</v>
      </c>
      <c r="Q152" s="95">
        <v>0</v>
      </c>
      <c r="R152" s="95">
        <f t="shared" si="12"/>
        <v>0</v>
      </c>
      <c r="S152" s="95">
        <v>0</v>
      </c>
      <c r="T152" s="99">
        <f t="shared" si="13"/>
        <v>0</v>
      </c>
      <c r="AR152" s="101" t="s">
        <v>218</v>
      </c>
      <c r="AT152" s="101" t="s">
        <v>214</v>
      </c>
      <c r="AU152" s="101" t="s">
        <v>87</v>
      </c>
      <c r="AY152" s="23" t="s">
        <v>211</v>
      </c>
      <c r="BE152" s="104">
        <f t="shared" si="14"/>
        <v>6000</v>
      </c>
      <c r="BF152" s="104">
        <f t="shared" si="15"/>
        <v>0</v>
      </c>
      <c r="BG152" s="104">
        <f t="shared" si="16"/>
        <v>0</v>
      </c>
      <c r="BH152" s="104">
        <f t="shared" si="17"/>
        <v>0</v>
      </c>
      <c r="BI152" s="104">
        <f t="shared" si="18"/>
        <v>0</v>
      </c>
      <c r="BJ152" s="23" t="s">
        <v>85</v>
      </c>
      <c r="BK152" s="104">
        <f t="shared" si="19"/>
        <v>6000</v>
      </c>
      <c r="BL152" s="23" t="s">
        <v>218</v>
      </c>
      <c r="BM152" s="101" t="s">
        <v>566</v>
      </c>
    </row>
    <row r="153" spans="2:65" s="1" customFormat="1" ht="16.5" customHeight="1">
      <c r="B153" s="12"/>
      <c r="C153" s="71" t="s">
        <v>465</v>
      </c>
      <c r="D153" s="71" t="s">
        <v>214</v>
      </c>
      <c r="E153" s="72" t="s">
        <v>5726</v>
      </c>
      <c r="F153" s="73" t="s">
        <v>5727</v>
      </c>
      <c r="G153" s="74" t="s">
        <v>808</v>
      </c>
      <c r="H153" s="75">
        <v>2</v>
      </c>
      <c r="I153" s="90">
        <v>3000</v>
      </c>
      <c r="J153" s="91">
        <f t="shared" si="10"/>
        <v>6000</v>
      </c>
      <c r="K153" s="92"/>
      <c r="L153" s="12"/>
      <c r="M153" s="93" t="s">
        <v>1</v>
      </c>
      <c r="N153" s="94" t="s">
        <v>42</v>
      </c>
      <c r="P153" s="95">
        <f t="shared" si="11"/>
        <v>0</v>
      </c>
      <c r="Q153" s="95">
        <v>0</v>
      </c>
      <c r="R153" s="95">
        <f t="shared" si="12"/>
        <v>0</v>
      </c>
      <c r="S153" s="95">
        <v>0</v>
      </c>
      <c r="T153" s="99">
        <f t="shared" si="13"/>
        <v>0</v>
      </c>
      <c r="AR153" s="101" t="s">
        <v>218</v>
      </c>
      <c r="AT153" s="101" t="s">
        <v>214</v>
      </c>
      <c r="AU153" s="101" t="s">
        <v>87</v>
      </c>
      <c r="AY153" s="23" t="s">
        <v>211</v>
      </c>
      <c r="BE153" s="104">
        <f t="shared" si="14"/>
        <v>6000</v>
      </c>
      <c r="BF153" s="104">
        <f t="shared" si="15"/>
        <v>0</v>
      </c>
      <c r="BG153" s="104">
        <f t="shared" si="16"/>
        <v>0</v>
      </c>
      <c r="BH153" s="104">
        <f t="shared" si="17"/>
        <v>0</v>
      </c>
      <c r="BI153" s="104">
        <f t="shared" si="18"/>
        <v>0</v>
      </c>
      <c r="BJ153" s="23" t="s">
        <v>85</v>
      </c>
      <c r="BK153" s="104">
        <f t="shared" si="19"/>
        <v>6000</v>
      </c>
      <c r="BL153" s="23" t="s">
        <v>218</v>
      </c>
      <c r="BM153" s="101" t="s">
        <v>578</v>
      </c>
    </row>
    <row r="154" spans="2:65" s="1" customFormat="1" ht="16.5" customHeight="1">
      <c r="B154" s="12"/>
      <c r="C154" s="71" t="s">
        <v>7</v>
      </c>
      <c r="D154" s="71" t="s">
        <v>214</v>
      </c>
      <c r="E154" s="72" t="s">
        <v>5728</v>
      </c>
      <c r="F154" s="73" t="s">
        <v>5729</v>
      </c>
      <c r="G154" s="74" t="s">
        <v>808</v>
      </c>
      <c r="H154" s="75">
        <v>1</v>
      </c>
      <c r="I154" s="90">
        <v>3000</v>
      </c>
      <c r="J154" s="91">
        <f t="shared" si="10"/>
        <v>3000</v>
      </c>
      <c r="K154" s="92"/>
      <c r="L154" s="12"/>
      <c r="M154" s="93" t="s">
        <v>1</v>
      </c>
      <c r="N154" s="94" t="s">
        <v>42</v>
      </c>
      <c r="P154" s="95">
        <f t="shared" si="11"/>
        <v>0</v>
      </c>
      <c r="Q154" s="95">
        <v>0</v>
      </c>
      <c r="R154" s="95">
        <f t="shared" si="12"/>
        <v>0</v>
      </c>
      <c r="S154" s="95">
        <v>0</v>
      </c>
      <c r="T154" s="99">
        <f t="shared" si="13"/>
        <v>0</v>
      </c>
      <c r="AR154" s="101" t="s">
        <v>218</v>
      </c>
      <c r="AT154" s="101" t="s">
        <v>214</v>
      </c>
      <c r="AU154" s="101" t="s">
        <v>87</v>
      </c>
      <c r="AY154" s="23" t="s">
        <v>211</v>
      </c>
      <c r="BE154" s="104">
        <f t="shared" si="14"/>
        <v>3000</v>
      </c>
      <c r="BF154" s="104">
        <f t="shared" si="15"/>
        <v>0</v>
      </c>
      <c r="BG154" s="104">
        <f t="shared" si="16"/>
        <v>0</v>
      </c>
      <c r="BH154" s="104">
        <f t="shared" si="17"/>
        <v>0</v>
      </c>
      <c r="BI154" s="104">
        <f t="shared" si="18"/>
        <v>0</v>
      </c>
      <c r="BJ154" s="23" t="s">
        <v>85</v>
      </c>
      <c r="BK154" s="104">
        <f t="shared" si="19"/>
        <v>3000</v>
      </c>
      <c r="BL154" s="23" t="s">
        <v>218</v>
      </c>
      <c r="BM154" s="101" t="s">
        <v>588</v>
      </c>
    </row>
    <row r="155" spans="2:65" s="1" customFormat="1" ht="24.15" customHeight="1">
      <c r="B155" s="12"/>
      <c r="C155" s="71" t="s">
        <v>475</v>
      </c>
      <c r="D155" s="71" t="s">
        <v>214</v>
      </c>
      <c r="E155" s="72" t="s">
        <v>5730</v>
      </c>
      <c r="F155" s="73" t="s">
        <v>5731</v>
      </c>
      <c r="G155" s="74" t="s">
        <v>808</v>
      </c>
      <c r="H155" s="75">
        <v>2</v>
      </c>
      <c r="I155" s="90">
        <v>1500</v>
      </c>
      <c r="J155" s="91">
        <f t="shared" si="10"/>
        <v>3000</v>
      </c>
      <c r="K155" s="92"/>
      <c r="L155" s="12"/>
      <c r="M155" s="93" t="s">
        <v>1</v>
      </c>
      <c r="N155" s="94" t="s">
        <v>42</v>
      </c>
      <c r="P155" s="95">
        <f t="shared" si="11"/>
        <v>0</v>
      </c>
      <c r="Q155" s="95">
        <v>0</v>
      </c>
      <c r="R155" s="95">
        <f t="shared" si="12"/>
        <v>0</v>
      </c>
      <c r="S155" s="95">
        <v>0</v>
      </c>
      <c r="T155" s="99">
        <f t="shared" si="13"/>
        <v>0</v>
      </c>
      <c r="AR155" s="101" t="s">
        <v>218</v>
      </c>
      <c r="AT155" s="101" t="s">
        <v>214</v>
      </c>
      <c r="AU155" s="101" t="s">
        <v>87</v>
      </c>
      <c r="AY155" s="23" t="s">
        <v>211</v>
      </c>
      <c r="BE155" s="104">
        <f t="shared" si="14"/>
        <v>3000</v>
      </c>
      <c r="BF155" s="104">
        <f t="shared" si="15"/>
        <v>0</v>
      </c>
      <c r="BG155" s="104">
        <f t="shared" si="16"/>
        <v>0</v>
      </c>
      <c r="BH155" s="104">
        <f t="shared" si="17"/>
        <v>0</v>
      </c>
      <c r="BI155" s="104">
        <f t="shared" si="18"/>
        <v>0</v>
      </c>
      <c r="BJ155" s="23" t="s">
        <v>85</v>
      </c>
      <c r="BK155" s="104">
        <f t="shared" si="19"/>
        <v>3000</v>
      </c>
      <c r="BL155" s="23" t="s">
        <v>218</v>
      </c>
      <c r="BM155" s="101" t="s">
        <v>598</v>
      </c>
    </row>
    <row r="156" spans="2:65" s="31" customFormat="1" ht="23.1" customHeight="1">
      <c r="B156" s="67"/>
      <c r="D156" s="68" t="s">
        <v>76</v>
      </c>
      <c r="E156" s="70" t="s">
        <v>3873</v>
      </c>
      <c r="F156" s="70" t="s">
        <v>5525</v>
      </c>
      <c r="I156" s="85"/>
      <c r="J156" s="89">
        <f>BK156</f>
        <v>117400</v>
      </c>
      <c r="L156" s="67"/>
      <c r="M156" s="87"/>
      <c r="P156" s="88">
        <f>SUM(P157:P160)</f>
        <v>0</v>
      </c>
      <c r="R156" s="88">
        <f>SUM(R157:R160)</f>
        <v>0</v>
      </c>
      <c r="T156" s="98">
        <f>SUM(T157:T160)</f>
        <v>0</v>
      </c>
      <c r="AR156" s="68" t="s">
        <v>85</v>
      </c>
      <c r="AT156" s="100" t="s">
        <v>76</v>
      </c>
      <c r="AU156" s="100" t="s">
        <v>85</v>
      </c>
      <c r="AY156" s="68" t="s">
        <v>211</v>
      </c>
      <c r="BK156" s="103">
        <f>SUM(BK157:BK160)</f>
        <v>117400</v>
      </c>
    </row>
    <row r="157" spans="2:65" s="1" customFormat="1" ht="16.5" customHeight="1">
      <c r="B157" s="12"/>
      <c r="C157" s="71" t="s">
        <v>481</v>
      </c>
      <c r="D157" s="71" t="s">
        <v>214</v>
      </c>
      <c r="E157" s="72" t="s">
        <v>5732</v>
      </c>
      <c r="F157" s="73" t="s">
        <v>5733</v>
      </c>
      <c r="G157" s="74" t="s">
        <v>234</v>
      </c>
      <c r="H157" s="75">
        <v>1</v>
      </c>
      <c r="I157" s="90">
        <v>10000</v>
      </c>
      <c r="J157" s="91">
        <f>ROUND(I157*H157,2)</f>
        <v>10000</v>
      </c>
      <c r="K157" s="92"/>
      <c r="L157" s="12"/>
      <c r="M157" s="93" t="s">
        <v>1</v>
      </c>
      <c r="N157" s="94" t="s">
        <v>42</v>
      </c>
      <c r="P157" s="95">
        <f>O157*H157</f>
        <v>0</v>
      </c>
      <c r="Q157" s="95">
        <v>0</v>
      </c>
      <c r="R157" s="95">
        <f>Q157*H157</f>
        <v>0</v>
      </c>
      <c r="S157" s="95">
        <v>0</v>
      </c>
      <c r="T157" s="99">
        <f>S157*H157</f>
        <v>0</v>
      </c>
      <c r="AR157" s="101" t="s">
        <v>218</v>
      </c>
      <c r="AT157" s="101" t="s">
        <v>214</v>
      </c>
      <c r="AU157" s="101" t="s">
        <v>87</v>
      </c>
      <c r="AY157" s="23" t="s">
        <v>211</v>
      </c>
      <c r="BE157" s="104">
        <f>IF(N157="základní",J157,0)</f>
        <v>10000</v>
      </c>
      <c r="BF157" s="104">
        <f>IF(N157="snížená",J157,0)</f>
        <v>0</v>
      </c>
      <c r="BG157" s="104">
        <f>IF(N157="zákl. přenesená",J157,0)</f>
        <v>0</v>
      </c>
      <c r="BH157" s="104">
        <f>IF(N157="sníž. přenesená",J157,0)</f>
        <v>0</v>
      </c>
      <c r="BI157" s="104">
        <f>IF(N157="nulová",J157,0)</f>
        <v>0</v>
      </c>
      <c r="BJ157" s="23" t="s">
        <v>85</v>
      </c>
      <c r="BK157" s="104">
        <f>ROUND(I157*H157,2)</f>
        <v>10000</v>
      </c>
      <c r="BL157" s="23" t="s">
        <v>218</v>
      </c>
      <c r="BM157" s="101" t="s">
        <v>608</v>
      </c>
    </row>
    <row r="158" spans="2:65" s="1" customFormat="1" ht="21.75" customHeight="1">
      <c r="B158" s="12"/>
      <c r="C158" s="71" t="s">
        <v>486</v>
      </c>
      <c r="D158" s="71" t="s">
        <v>214</v>
      </c>
      <c r="E158" s="72" t="s">
        <v>5734</v>
      </c>
      <c r="F158" s="73" t="s">
        <v>5529</v>
      </c>
      <c r="G158" s="74" t="s">
        <v>234</v>
      </c>
      <c r="H158" s="75">
        <v>1</v>
      </c>
      <c r="I158" s="90">
        <v>5000</v>
      </c>
      <c r="J158" s="91">
        <f>ROUND(I158*H158,2)</f>
        <v>5000</v>
      </c>
      <c r="K158" s="92"/>
      <c r="L158" s="12"/>
      <c r="M158" s="93" t="s">
        <v>1</v>
      </c>
      <c r="N158" s="94" t="s">
        <v>42</v>
      </c>
      <c r="P158" s="95">
        <f>O158*H158</f>
        <v>0</v>
      </c>
      <c r="Q158" s="95">
        <v>0</v>
      </c>
      <c r="R158" s="95">
        <f>Q158*H158</f>
        <v>0</v>
      </c>
      <c r="S158" s="95">
        <v>0</v>
      </c>
      <c r="T158" s="99">
        <f>S158*H158</f>
        <v>0</v>
      </c>
      <c r="AR158" s="101" t="s">
        <v>218</v>
      </c>
      <c r="AT158" s="101" t="s">
        <v>214</v>
      </c>
      <c r="AU158" s="101" t="s">
        <v>87</v>
      </c>
      <c r="AY158" s="23" t="s">
        <v>211</v>
      </c>
      <c r="BE158" s="104">
        <f>IF(N158="základní",J158,0)</f>
        <v>5000</v>
      </c>
      <c r="BF158" s="104">
        <f>IF(N158="snížená",J158,0)</f>
        <v>0</v>
      </c>
      <c r="BG158" s="104">
        <f>IF(N158="zákl. přenesená",J158,0)</f>
        <v>0</v>
      </c>
      <c r="BH158" s="104">
        <f>IF(N158="sníž. přenesená",J158,0)</f>
        <v>0</v>
      </c>
      <c r="BI158" s="104">
        <f>IF(N158="nulová",J158,0)</f>
        <v>0</v>
      </c>
      <c r="BJ158" s="23" t="s">
        <v>85</v>
      </c>
      <c r="BK158" s="104">
        <f>ROUND(I158*H158,2)</f>
        <v>5000</v>
      </c>
      <c r="BL158" s="23" t="s">
        <v>218</v>
      </c>
      <c r="BM158" s="101" t="s">
        <v>619</v>
      </c>
    </row>
    <row r="159" spans="2:65" s="1" customFormat="1" ht="16.5" customHeight="1">
      <c r="B159" s="12"/>
      <c r="C159" s="71" t="s">
        <v>490</v>
      </c>
      <c r="D159" s="71" t="s">
        <v>214</v>
      </c>
      <c r="E159" s="72" t="s">
        <v>5530</v>
      </c>
      <c r="F159" s="73" t="s">
        <v>5531</v>
      </c>
      <c r="G159" s="74" t="s">
        <v>808</v>
      </c>
      <c r="H159" s="75">
        <v>12</v>
      </c>
      <c r="I159" s="90">
        <v>2000</v>
      </c>
      <c r="J159" s="91">
        <f>ROUND(I159*H159,2)</f>
        <v>24000</v>
      </c>
      <c r="K159" s="92"/>
      <c r="L159" s="12"/>
      <c r="M159" s="93" t="s">
        <v>1</v>
      </c>
      <c r="N159" s="94" t="s">
        <v>42</v>
      </c>
      <c r="P159" s="95">
        <f>O159*H159</f>
        <v>0</v>
      </c>
      <c r="Q159" s="95">
        <v>0</v>
      </c>
      <c r="R159" s="95">
        <f>Q159*H159</f>
        <v>0</v>
      </c>
      <c r="S159" s="95">
        <v>0</v>
      </c>
      <c r="T159" s="99">
        <f>S159*H159</f>
        <v>0</v>
      </c>
      <c r="AR159" s="101" t="s">
        <v>218</v>
      </c>
      <c r="AT159" s="101" t="s">
        <v>214</v>
      </c>
      <c r="AU159" s="101" t="s">
        <v>87</v>
      </c>
      <c r="AY159" s="23" t="s">
        <v>211</v>
      </c>
      <c r="BE159" s="104">
        <f>IF(N159="základní",J159,0)</f>
        <v>24000</v>
      </c>
      <c r="BF159" s="104">
        <f>IF(N159="snížená",J159,0)</f>
        <v>0</v>
      </c>
      <c r="BG159" s="104">
        <f>IF(N159="zákl. přenesená",J159,0)</f>
        <v>0</v>
      </c>
      <c r="BH159" s="104">
        <f>IF(N159="sníž. přenesená",J159,0)</f>
        <v>0</v>
      </c>
      <c r="BI159" s="104">
        <f>IF(N159="nulová",J159,0)</f>
        <v>0</v>
      </c>
      <c r="BJ159" s="23" t="s">
        <v>85</v>
      </c>
      <c r="BK159" s="104">
        <f>ROUND(I159*H159,2)</f>
        <v>24000</v>
      </c>
      <c r="BL159" s="23" t="s">
        <v>218</v>
      </c>
      <c r="BM159" s="101" t="s">
        <v>629</v>
      </c>
    </row>
    <row r="160" spans="2:65" s="1" customFormat="1" ht="16.5" customHeight="1">
      <c r="B160" s="12"/>
      <c r="C160" s="71" t="s">
        <v>496</v>
      </c>
      <c r="D160" s="71" t="s">
        <v>214</v>
      </c>
      <c r="E160" s="72" t="s">
        <v>5735</v>
      </c>
      <c r="F160" s="73" t="s">
        <v>5736</v>
      </c>
      <c r="G160" s="74" t="s">
        <v>444</v>
      </c>
      <c r="H160" s="75">
        <v>98</v>
      </c>
      <c r="I160" s="90">
        <v>800</v>
      </c>
      <c r="J160" s="91">
        <f>ROUND(I160*H160,2)</f>
        <v>78400</v>
      </c>
      <c r="K160" s="92"/>
      <c r="L160" s="12"/>
      <c r="M160" s="93" t="s">
        <v>1</v>
      </c>
      <c r="N160" s="94" t="s">
        <v>42</v>
      </c>
      <c r="P160" s="95">
        <f>O160*H160</f>
        <v>0</v>
      </c>
      <c r="Q160" s="95">
        <v>0</v>
      </c>
      <c r="R160" s="95">
        <f>Q160*H160</f>
        <v>0</v>
      </c>
      <c r="S160" s="95">
        <v>0</v>
      </c>
      <c r="T160" s="99">
        <f>S160*H160</f>
        <v>0</v>
      </c>
      <c r="AR160" s="101" t="s">
        <v>218</v>
      </c>
      <c r="AT160" s="101" t="s">
        <v>214</v>
      </c>
      <c r="AU160" s="101" t="s">
        <v>87</v>
      </c>
      <c r="AY160" s="23" t="s">
        <v>211</v>
      </c>
      <c r="BE160" s="104">
        <f>IF(N160="základní",J160,0)</f>
        <v>78400</v>
      </c>
      <c r="BF160" s="104">
        <f>IF(N160="snížená",J160,0)</f>
        <v>0</v>
      </c>
      <c r="BG160" s="104">
        <f>IF(N160="zákl. přenesená",J160,0)</f>
        <v>0</v>
      </c>
      <c r="BH160" s="104">
        <f>IF(N160="sníž. přenesená",J160,0)</f>
        <v>0</v>
      </c>
      <c r="BI160" s="104">
        <f>IF(N160="nulová",J160,0)</f>
        <v>0</v>
      </c>
      <c r="BJ160" s="23" t="s">
        <v>85</v>
      </c>
      <c r="BK160" s="104">
        <f>ROUND(I160*H160,2)</f>
        <v>78400</v>
      </c>
      <c r="BL160" s="23" t="s">
        <v>218</v>
      </c>
      <c r="BM160" s="101" t="s">
        <v>639</v>
      </c>
    </row>
    <row r="161" spans="2:65" s="31" customFormat="1" ht="23.1" customHeight="1">
      <c r="B161" s="67"/>
      <c r="D161" s="68" t="s">
        <v>76</v>
      </c>
      <c r="E161" s="70" t="s">
        <v>3879</v>
      </c>
      <c r="F161" s="70" t="s">
        <v>5534</v>
      </c>
      <c r="I161" s="85"/>
      <c r="J161" s="89">
        <f>BK161</f>
        <v>6000</v>
      </c>
      <c r="L161" s="67"/>
      <c r="M161" s="87"/>
      <c r="P161" s="88">
        <f>P162</f>
        <v>0</v>
      </c>
      <c r="R161" s="88">
        <f>R162</f>
        <v>0</v>
      </c>
      <c r="T161" s="98">
        <f>T162</f>
        <v>0</v>
      </c>
      <c r="AR161" s="68" t="s">
        <v>85</v>
      </c>
      <c r="AT161" s="100" t="s">
        <v>76</v>
      </c>
      <c r="AU161" s="100" t="s">
        <v>85</v>
      </c>
      <c r="AY161" s="68" t="s">
        <v>211</v>
      </c>
      <c r="BK161" s="103">
        <f>BK162</f>
        <v>6000</v>
      </c>
    </row>
    <row r="162" spans="2:65" s="1" customFormat="1" ht="21.75" customHeight="1">
      <c r="B162" s="12"/>
      <c r="C162" s="71" t="s">
        <v>502</v>
      </c>
      <c r="D162" s="71" t="s">
        <v>214</v>
      </c>
      <c r="E162" s="72" t="s">
        <v>5737</v>
      </c>
      <c r="F162" s="73" t="s">
        <v>5738</v>
      </c>
      <c r="G162" s="74" t="s">
        <v>234</v>
      </c>
      <c r="H162" s="75">
        <v>1</v>
      </c>
      <c r="I162" s="90">
        <v>6000</v>
      </c>
      <c r="J162" s="91">
        <f>ROUND(I162*H162,2)</f>
        <v>6000</v>
      </c>
      <c r="K162" s="92"/>
      <c r="L162" s="12"/>
      <c r="M162" s="93" t="s">
        <v>1</v>
      </c>
      <c r="N162" s="94" t="s">
        <v>42</v>
      </c>
      <c r="P162" s="95">
        <f>O162*H162</f>
        <v>0</v>
      </c>
      <c r="Q162" s="95">
        <v>0</v>
      </c>
      <c r="R162" s="95">
        <f>Q162*H162</f>
        <v>0</v>
      </c>
      <c r="S162" s="95">
        <v>0</v>
      </c>
      <c r="T162" s="99">
        <f>S162*H162</f>
        <v>0</v>
      </c>
      <c r="AR162" s="101" t="s">
        <v>218</v>
      </c>
      <c r="AT162" s="101" t="s">
        <v>214</v>
      </c>
      <c r="AU162" s="101" t="s">
        <v>87</v>
      </c>
      <c r="AY162" s="23" t="s">
        <v>211</v>
      </c>
      <c r="BE162" s="104">
        <f>IF(N162="základní",J162,0)</f>
        <v>6000</v>
      </c>
      <c r="BF162" s="104">
        <f>IF(N162="snížená",J162,0)</f>
        <v>0</v>
      </c>
      <c r="BG162" s="104">
        <f>IF(N162="zákl. přenesená",J162,0)</f>
        <v>0</v>
      </c>
      <c r="BH162" s="104">
        <f>IF(N162="sníž. přenesená",J162,0)</f>
        <v>0</v>
      </c>
      <c r="BI162" s="104">
        <f>IF(N162="nulová",J162,0)</f>
        <v>0</v>
      </c>
      <c r="BJ162" s="23" t="s">
        <v>85</v>
      </c>
      <c r="BK162" s="104">
        <f>ROUND(I162*H162,2)</f>
        <v>6000</v>
      </c>
      <c r="BL162" s="23" t="s">
        <v>218</v>
      </c>
      <c r="BM162" s="101" t="s">
        <v>649</v>
      </c>
    </row>
    <row r="163" spans="2:65" s="31" customFormat="1" ht="23.1" customHeight="1">
      <c r="B163" s="67"/>
      <c r="D163" s="68" t="s">
        <v>76</v>
      </c>
      <c r="E163" s="70" t="s">
        <v>3886</v>
      </c>
      <c r="F163" s="70" t="s">
        <v>5537</v>
      </c>
      <c r="I163" s="85"/>
      <c r="J163" s="89">
        <f>BK163</f>
        <v>3000</v>
      </c>
      <c r="L163" s="67"/>
      <c r="M163" s="87"/>
      <c r="P163" s="88">
        <f>P164</f>
        <v>0</v>
      </c>
      <c r="R163" s="88">
        <f>R164</f>
        <v>0</v>
      </c>
      <c r="T163" s="98">
        <f>T164</f>
        <v>0</v>
      </c>
      <c r="AR163" s="68" t="s">
        <v>85</v>
      </c>
      <c r="AT163" s="100" t="s">
        <v>76</v>
      </c>
      <c r="AU163" s="100" t="s">
        <v>85</v>
      </c>
      <c r="AY163" s="68" t="s">
        <v>211</v>
      </c>
      <c r="BK163" s="103">
        <f>BK164</f>
        <v>3000</v>
      </c>
    </row>
    <row r="164" spans="2:65" s="1" customFormat="1" ht="24.15" customHeight="1">
      <c r="B164" s="12"/>
      <c r="C164" s="71" t="s">
        <v>507</v>
      </c>
      <c r="D164" s="71" t="s">
        <v>214</v>
      </c>
      <c r="E164" s="72" t="s">
        <v>5604</v>
      </c>
      <c r="F164" s="73" t="s">
        <v>5539</v>
      </c>
      <c r="G164" s="74" t="s">
        <v>234</v>
      </c>
      <c r="H164" s="75">
        <v>1</v>
      </c>
      <c r="I164" s="90">
        <v>3000</v>
      </c>
      <c r="J164" s="91">
        <f>ROUND(I164*H164,2)</f>
        <v>3000</v>
      </c>
      <c r="K164" s="92"/>
      <c r="L164" s="12"/>
      <c r="M164" s="130" t="s">
        <v>1</v>
      </c>
      <c r="N164" s="131" t="s">
        <v>42</v>
      </c>
      <c r="O164" s="110"/>
      <c r="P164" s="132">
        <f>O164*H164</f>
        <v>0</v>
      </c>
      <c r="Q164" s="132">
        <v>0</v>
      </c>
      <c r="R164" s="132">
        <f>Q164*H164</f>
        <v>0</v>
      </c>
      <c r="S164" s="132">
        <v>0</v>
      </c>
      <c r="T164" s="134">
        <f>S164*H164</f>
        <v>0</v>
      </c>
      <c r="AR164" s="101" t="s">
        <v>218</v>
      </c>
      <c r="AT164" s="101" t="s">
        <v>214</v>
      </c>
      <c r="AU164" s="101" t="s">
        <v>87</v>
      </c>
      <c r="AY164" s="23" t="s">
        <v>211</v>
      </c>
      <c r="BE164" s="104">
        <f>IF(N164="základní",J164,0)</f>
        <v>3000</v>
      </c>
      <c r="BF164" s="104">
        <f>IF(N164="snížená",J164,0)</f>
        <v>0</v>
      </c>
      <c r="BG164" s="104">
        <f>IF(N164="zákl. přenesená",J164,0)</f>
        <v>0</v>
      </c>
      <c r="BH164" s="104">
        <f>IF(N164="sníž. přenesená",J164,0)</f>
        <v>0</v>
      </c>
      <c r="BI164" s="104">
        <f>IF(N164="nulová",J164,0)</f>
        <v>0</v>
      </c>
      <c r="BJ164" s="23" t="s">
        <v>85</v>
      </c>
      <c r="BK164" s="104">
        <f>ROUND(I164*H164,2)</f>
        <v>3000</v>
      </c>
      <c r="BL164" s="23" t="s">
        <v>218</v>
      </c>
      <c r="BM164" s="101" t="s">
        <v>660</v>
      </c>
    </row>
    <row r="165" spans="2:65" s="1" customFormat="1" ht="6.9" customHeight="1">
      <c r="B165" s="26"/>
      <c r="C165" s="27"/>
      <c r="D165" s="27"/>
      <c r="E165" s="27"/>
      <c r="F165" s="27"/>
      <c r="G165" s="27"/>
      <c r="H165" s="27"/>
      <c r="I165" s="27"/>
      <c r="J165" s="27"/>
      <c r="K165" s="27"/>
      <c r="L165" s="12"/>
    </row>
  </sheetData>
  <autoFilter ref="C127:K164" xr:uid="{00000000-0009-0000-0000-000015000000}"/>
  <mergeCells count="12">
    <mergeCell ref="L2:V2"/>
    <mergeCell ref="E7:H7"/>
    <mergeCell ref="E9:H9"/>
    <mergeCell ref="E11:H11"/>
    <mergeCell ref="E20:H20"/>
    <mergeCell ref="E118:H118"/>
    <mergeCell ref="E120:H120"/>
    <mergeCell ref="E29:H29"/>
    <mergeCell ref="E85:H85"/>
    <mergeCell ref="E87:H87"/>
    <mergeCell ref="E89:H89"/>
    <mergeCell ref="E116:H116"/>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B2:BM124"/>
  <sheetViews>
    <sheetView showGridLines="0" topLeftCell="A99" workbookViewId="0"/>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162</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2" customHeight="1">
      <c r="B8" s="5"/>
      <c r="D8" s="10" t="s">
        <v>182</v>
      </c>
      <c r="L8" s="5"/>
    </row>
    <row r="9" spans="2:46" s="1" customFormat="1" ht="16.5" customHeight="1">
      <c r="B9" s="12"/>
      <c r="E9" s="392" t="s">
        <v>5462</v>
      </c>
      <c r="F9" s="394"/>
      <c r="G9" s="394"/>
      <c r="H9" s="394"/>
      <c r="L9" s="12"/>
    </row>
    <row r="10" spans="2:46" s="1" customFormat="1" ht="12" customHeight="1">
      <c r="B10" s="12"/>
      <c r="D10" s="10" t="s">
        <v>296</v>
      </c>
      <c r="L10" s="12"/>
    </row>
    <row r="11" spans="2:46" s="1" customFormat="1" ht="16.5" customHeight="1">
      <c r="B11" s="12"/>
      <c r="E11" s="381" t="s">
        <v>5739</v>
      </c>
      <c r="F11" s="394"/>
      <c r="G11" s="394"/>
      <c r="H11" s="394"/>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395" t="str">
        <f>'Rekapitulace stavby'!E14</f>
        <v>DMG Stav a.s.</v>
      </c>
      <c r="F20" s="384"/>
      <c r="G20" s="384"/>
      <c r="H20" s="384"/>
      <c r="I20" s="10" t="s">
        <v>26</v>
      </c>
      <c r="J20" s="33" t="str">
        <f>'Rekapitulace stavby'!AN14</f>
        <v>CZ 08004013</v>
      </c>
      <c r="L20" s="12"/>
    </row>
    <row r="21" spans="2:12" s="1" customFormat="1" ht="6.9"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 customHeight="1">
      <c r="B27" s="12"/>
      <c r="L27" s="12"/>
    </row>
    <row r="28" spans="2:12" s="1" customFormat="1" ht="12" customHeight="1">
      <c r="B28" s="12"/>
      <c r="D28" s="10" t="s">
        <v>36</v>
      </c>
      <c r="L28" s="12"/>
    </row>
    <row r="29" spans="2:12" s="28" customFormat="1" ht="16.5" customHeight="1">
      <c r="B29" s="34"/>
      <c r="E29" s="388" t="s">
        <v>1</v>
      </c>
      <c r="F29" s="388"/>
      <c r="G29" s="388"/>
      <c r="H29" s="388"/>
      <c r="L29" s="34"/>
    </row>
    <row r="30" spans="2:12" s="1" customFormat="1" ht="6.9" customHeight="1">
      <c r="B30" s="12"/>
      <c r="L30" s="12"/>
    </row>
    <row r="31" spans="2:12" s="1" customFormat="1" ht="6.9" customHeight="1">
      <c r="B31" s="12"/>
      <c r="D31" s="35"/>
      <c r="E31" s="35"/>
      <c r="F31" s="35"/>
      <c r="G31" s="35"/>
      <c r="H31" s="35"/>
      <c r="I31" s="35"/>
      <c r="J31" s="35"/>
      <c r="K31" s="35"/>
      <c r="L31" s="12"/>
    </row>
    <row r="32" spans="2:12" s="1" customFormat="1" ht="25.35" customHeight="1">
      <c r="B32" s="12"/>
      <c r="D32" s="36" t="s">
        <v>37</v>
      </c>
      <c r="J32" s="51">
        <f>ROUND(J121,2)</f>
        <v>0</v>
      </c>
      <c r="L32" s="12"/>
    </row>
    <row r="33" spans="2:12" s="1" customFormat="1" ht="6.9" customHeight="1">
      <c r="B33" s="12"/>
      <c r="D33" s="35"/>
      <c r="E33" s="35"/>
      <c r="F33" s="35"/>
      <c r="G33" s="35"/>
      <c r="H33" s="35"/>
      <c r="I33" s="35"/>
      <c r="J33" s="35"/>
      <c r="K33" s="35"/>
      <c r="L33" s="12"/>
    </row>
    <row r="34" spans="2:12" s="1" customFormat="1" ht="14.4" customHeight="1">
      <c r="B34" s="12"/>
      <c r="F34" s="37" t="s">
        <v>39</v>
      </c>
      <c r="I34" s="37" t="s">
        <v>38</v>
      </c>
      <c r="J34" s="37" t="s">
        <v>40</v>
      </c>
      <c r="L34" s="12"/>
    </row>
    <row r="35" spans="2:12" s="1" customFormat="1" ht="14.4" customHeight="1">
      <c r="B35" s="12"/>
      <c r="D35" s="38" t="s">
        <v>41</v>
      </c>
      <c r="E35" s="10" t="s">
        <v>42</v>
      </c>
      <c r="F35" s="39">
        <f>ROUND((SUM(BE121:BE123)),2)</f>
        <v>0</v>
      </c>
      <c r="I35" s="52">
        <v>0.21</v>
      </c>
      <c r="J35" s="39">
        <f>ROUND(((SUM(BE121:BE123))*I35),2)</f>
        <v>0</v>
      </c>
      <c r="L35" s="12"/>
    </row>
    <row r="36" spans="2:12" s="1" customFormat="1" ht="14.4" customHeight="1">
      <c r="B36" s="12"/>
      <c r="E36" s="10" t="s">
        <v>43</v>
      </c>
      <c r="F36" s="39">
        <f>ROUND((SUM(BF121:BF123)),2)</f>
        <v>0</v>
      </c>
      <c r="I36" s="52">
        <v>0.15</v>
      </c>
      <c r="J36" s="39">
        <f>ROUND(((SUM(BF121:BF123))*I36),2)</f>
        <v>0</v>
      </c>
      <c r="L36" s="12"/>
    </row>
    <row r="37" spans="2:12" s="1" customFormat="1" ht="14.4" hidden="1" customHeight="1">
      <c r="B37" s="12"/>
      <c r="E37" s="10" t="s">
        <v>44</v>
      </c>
      <c r="F37" s="39">
        <f>ROUND((SUM(BG121:BG123)),2)</f>
        <v>0</v>
      </c>
      <c r="I37" s="52">
        <v>0.21</v>
      </c>
      <c r="J37" s="39">
        <f>0</f>
        <v>0</v>
      </c>
      <c r="L37" s="12"/>
    </row>
    <row r="38" spans="2:12" s="1" customFormat="1" ht="14.4" hidden="1" customHeight="1">
      <c r="B38" s="12"/>
      <c r="E38" s="10" t="s">
        <v>45</v>
      </c>
      <c r="F38" s="39">
        <f>ROUND((SUM(BH121:BH123)),2)</f>
        <v>0</v>
      </c>
      <c r="I38" s="52">
        <v>0.15</v>
      </c>
      <c r="J38" s="39">
        <f>0</f>
        <v>0</v>
      </c>
      <c r="L38" s="12"/>
    </row>
    <row r="39" spans="2:12" s="1" customFormat="1" ht="14.4" hidden="1" customHeight="1">
      <c r="B39" s="12"/>
      <c r="E39" s="10" t="s">
        <v>46</v>
      </c>
      <c r="F39" s="39">
        <f>ROUND((SUM(BI121:BI123)),2)</f>
        <v>0</v>
      </c>
      <c r="I39" s="52">
        <v>0</v>
      </c>
      <c r="J39" s="39">
        <f>0</f>
        <v>0</v>
      </c>
      <c r="L39" s="12"/>
    </row>
    <row r="40" spans="2:12" s="1" customFormat="1" ht="6.9" customHeight="1">
      <c r="B40" s="12"/>
      <c r="L40" s="12"/>
    </row>
    <row r="41" spans="2:12" s="1" customFormat="1" ht="25.35" customHeight="1">
      <c r="B41" s="12"/>
      <c r="C41" s="40"/>
      <c r="D41" s="41" t="s">
        <v>47</v>
      </c>
      <c r="E41" s="42"/>
      <c r="F41" s="42"/>
      <c r="G41" s="43" t="s">
        <v>48</v>
      </c>
      <c r="H41" s="44" t="s">
        <v>49</v>
      </c>
      <c r="I41" s="42"/>
      <c r="J41" s="53">
        <f>SUM(J32:J39)</f>
        <v>0</v>
      </c>
      <c r="K41" s="54"/>
      <c r="L41" s="12"/>
    </row>
    <row r="42" spans="2:12" s="1" customFormat="1" ht="14.4" customHeight="1">
      <c r="B42" s="12"/>
      <c r="L42" s="12"/>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s="1" customFormat="1" ht="16.5" customHeight="1">
      <c r="B87" s="12"/>
      <c r="E87" s="392" t="s">
        <v>5462</v>
      </c>
      <c r="F87" s="394"/>
      <c r="G87" s="394"/>
      <c r="H87" s="394"/>
      <c r="L87" s="12"/>
    </row>
    <row r="88" spans="2:12" s="1" customFormat="1" ht="12" customHeight="1">
      <c r="B88" s="12"/>
      <c r="C88" s="10" t="s">
        <v>296</v>
      </c>
      <c r="L88" s="12"/>
    </row>
    <row r="89" spans="2:12" s="1" customFormat="1" ht="16.5" customHeight="1">
      <c r="B89" s="12"/>
      <c r="E89" s="381" t="str">
        <f>E11</f>
        <v>IOX05 - přeložka PRE</v>
      </c>
      <c r="F89" s="394"/>
      <c r="G89" s="394"/>
      <c r="H89" s="394"/>
      <c r="L89" s="12"/>
    </row>
    <row r="90" spans="2:12" s="1" customFormat="1" ht="6.9" customHeight="1">
      <c r="B90" s="12"/>
      <c r="L90" s="12"/>
    </row>
    <row r="91" spans="2:12" s="1" customFormat="1" ht="12" customHeight="1">
      <c r="B91" s="12"/>
      <c r="C91" s="10" t="s">
        <v>20</v>
      </c>
      <c r="F91" s="32" t="str">
        <f>F14</f>
        <v>Praha</v>
      </c>
      <c r="I91" s="10" t="s">
        <v>22</v>
      </c>
      <c r="J91" s="11">
        <f>IF(J14="","",J14)</f>
        <v>45000</v>
      </c>
      <c r="L91" s="12"/>
    </row>
    <row r="92" spans="2:12" s="1" customFormat="1" ht="6.9" customHeight="1">
      <c r="B92" s="12"/>
      <c r="L92" s="12"/>
    </row>
    <row r="93" spans="2:12" s="1" customFormat="1" ht="15.15" customHeight="1">
      <c r="B93" s="12"/>
      <c r="C93" s="10" t="s">
        <v>23</v>
      </c>
      <c r="F93" s="32" t="str">
        <f>E17</f>
        <v>VELTON REAL ESTATE</v>
      </c>
      <c r="I93" s="10" t="s">
        <v>31</v>
      </c>
      <c r="J93" s="8" t="str">
        <f>E23</f>
        <v>ABMV World s.r.o</v>
      </c>
      <c r="L93" s="12"/>
    </row>
    <row r="94" spans="2:12" s="1" customFormat="1" ht="15.15"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J121</f>
        <v>0</v>
      </c>
      <c r="L98" s="12"/>
      <c r="AU98" s="23" t="s">
        <v>188</v>
      </c>
    </row>
    <row r="99" spans="2:47" s="29" customFormat="1" ht="24.9" customHeight="1">
      <c r="B99" s="60"/>
      <c r="D99" s="61" t="s">
        <v>5739</v>
      </c>
      <c r="E99" s="62"/>
      <c r="F99" s="62"/>
      <c r="G99" s="62"/>
      <c r="H99" s="62"/>
      <c r="I99" s="62"/>
      <c r="J99" s="77">
        <f>J122</f>
        <v>0</v>
      </c>
      <c r="L99" s="60"/>
    </row>
    <row r="100" spans="2:47" s="1" customFormat="1" ht="21.75" customHeight="1">
      <c r="B100" s="12"/>
      <c r="L100" s="12"/>
    </row>
    <row r="101" spans="2:47" s="1" customFormat="1" ht="6.9" customHeight="1">
      <c r="B101" s="26"/>
      <c r="C101" s="27"/>
      <c r="D101" s="27"/>
      <c r="E101" s="27"/>
      <c r="F101" s="27"/>
      <c r="G101" s="27"/>
      <c r="H101" s="27"/>
      <c r="I101" s="27"/>
      <c r="J101" s="27"/>
      <c r="K101" s="27"/>
      <c r="L101" s="12"/>
    </row>
    <row r="105" spans="2:47" s="1" customFormat="1" ht="6.9" customHeight="1">
      <c r="B105" s="56"/>
      <c r="C105" s="57"/>
      <c r="D105" s="57"/>
      <c r="E105" s="57"/>
      <c r="F105" s="57"/>
      <c r="G105" s="57"/>
      <c r="H105" s="57"/>
      <c r="I105" s="57"/>
      <c r="J105" s="57"/>
      <c r="K105" s="57"/>
      <c r="L105" s="12"/>
    </row>
    <row r="106" spans="2:47" s="1" customFormat="1" ht="24.9" customHeight="1">
      <c r="B106" s="12"/>
      <c r="C106" s="6" t="s">
        <v>195</v>
      </c>
      <c r="L106" s="12"/>
    </row>
    <row r="107" spans="2:47" s="1" customFormat="1" ht="6.9" customHeight="1">
      <c r="B107" s="12"/>
      <c r="L107" s="12"/>
    </row>
    <row r="108" spans="2:47" s="1" customFormat="1" ht="12" customHeight="1">
      <c r="B108" s="12"/>
      <c r="C108" s="10" t="s">
        <v>16</v>
      </c>
      <c r="L108" s="12"/>
    </row>
    <row r="109" spans="2:47" s="1" customFormat="1" ht="16.5" customHeight="1">
      <c r="B109" s="12"/>
      <c r="E109" s="392" t="str">
        <f>E7</f>
        <v>Bytový soubor Libuše</v>
      </c>
      <c r="F109" s="393"/>
      <c r="G109" s="393"/>
      <c r="H109" s="393"/>
      <c r="L109" s="12"/>
    </row>
    <row r="110" spans="2:47" ht="12" customHeight="1">
      <c r="B110" s="5"/>
      <c r="C110" s="10" t="s">
        <v>182</v>
      </c>
      <c r="L110" s="5"/>
    </row>
    <row r="111" spans="2:47" s="1" customFormat="1" ht="16.5" customHeight="1">
      <c r="B111" s="12"/>
      <c r="E111" s="392" t="s">
        <v>5462</v>
      </c>
      <c r="F111" s="394"/>
      <c r="G111" s="394"/>
      <c r="H111" s="394"/>
      <c r="L111" s="12"/>
    </row>
    <row r="112" spans="2:47" s="1" customFormat="1" ht="12" customHeight="1">
      <c r="B112" s="12"/>
      <c r="C112" s="10" t="s">
        <v>296</v>
      </c>
      <c r="L112" s="12"/>
    </row>
    <row r="113" spans="2:65" s="1" customFormat="1" ht="16.5" customHeight="1">
      <c r="B113" s="12"/>
      <c r="E113" s="381" t="str">
        <f>E11</f>
        <v>IOX05 - přeložka PRE</v>
      </c>
      <c r="F113" s="394"/>
      <c r="G113" s="394"/>
      <c r="H113" s="394"/>
      <c r="L113" s="12"/>
    </row>
    <row r="114" spans="2:65" s="1" customFormat="1" ht="6.9" customHeight="1">
      <c r="B114" s="12"/>
      <c r="L114" s="12"/>
    </row>
    <row r="115" spans="2:65" s="1" customFormat="1" ht="12" customHeight="1">
      <c r="B115" s="12"/>
      <c r="C115" s="10" t="s">
        <v>20</v>
      </c>
      <c r="F115" s="32" t="str">
        <f>F14</f>
        <v>Praha</v>
      </c>
      <c r="I115" s="10" t="s">
        <v>22</v>
      </c>
      <c r="J115" s="11">
        <f>IF(J14="","",J14)</f>
        <v>45000</v>
      </c>
      <c r="L115" s="12"/>
    </row>
    <row r="116" spans="2:65" s="1" customFormat="1" ht="6.9" customHeight="1">
      <c r="B116" s="12"/>
      <c r="L116" s="12"/>
    </row>
    <row r="117" spans="2:65" s="1" customFormat="1" ht="15.15" customHeight="1">
      <c r="B117" s="12"/>
      <c r="C117" s="10" t="s">
        <v>23</v>
      </c>
      <c r="F117" s="32" t="str">
        <f>E17</f>
        <v>VELTON REAL ESTATE</v>
      </c>
      <c r="I117" s="10" t="s">
        <v>31</v>
      </c>
      <c r="J117" s="8" t="str">
        <f>E23</f>
        <v>ABMV World s.r.o</v>
      </c>
      <c r="L117" s="12"/>
    </row>
    <row r="118" spans="2:65" s="1" customFormat="1" ht="15.15" customHeight="1">
      <c r="B118" s="12"/>
      <c r="C118" s="10" t="s">
        <v>27</v>
      </c>
      <c r="F118" s="32" t="str">
        <f>IF(E20="","",E20)</f>
        <v>DMG Stav a.s.</v>
      </c>
      <c r="I118" s="10" t="s">
        <v>34</v>
      </c>
      <c r="J118" s="8" t="str">
        <f>E26</f>
        <v>QSB s.r.o.</v>
      </c>
      <c r="L118" s="12"/>
    </row>
    <row r="119" spans="2:65" s="1" customFormat="1" ht="10.35" customHeight="1">
      <c r="B119" s="12"/>
      <c r="L119" s="12"/>
    </row>
    <row r="120" spans="2:65" s="2" customFormat="1" ht="29.25" customHeight="1">
      <c r="B120" s="13"/>
      <c r="C120" s="14" t="s">
        <v>196</v>
      </c>
      <c r="D120" s="15" t="s">
        <v>62</v>
      </c>
      <c r="E120" s="15" t="s">
        <v>58</v>
      </c>
      <c r="F120" s="15" t="s">
        <v>59</v>
      </c>
      <c r="G120" s="15" t="s">
        <v>197</v>
      </c>
      <c r="H120" s="15" t="s">
        <v>198</v>
      </c>
      <c r="I120" s="15" t="s">
        <v>199</v>
      </c>
      <c r="J120" s="16" t="s">
        <v>186</v>
      </c>
      <c r="K120" s="79" t="s">
        <v>200</v>
      </c>
      <c r="L120" s="13"/>
      <c r="M120" s="80" t="s">
        <v>1</v>
      </c>
      <c r="N120" s="81" t="s">
        <v>41</v>
      </c>
      <c r="O120" s="81" t="s">
        <v>201</v>
      </c>
      <c r="P120" s="81" t="s">
        <v>202</v>
      </c>
      <c r="Q120" s="81" t="s">
        <v>203</v>
      </c>
      <c r="R120" s="81" t="s">
        <v>204</v>
      </c>
      <c r="S120" s="81" t="s">
        <v>205</v>
      </c>
      <c r="T120" s="96" t="s">
        <v>206</v>
      </c>
    </row>
    <row r="121" spans="2:65" s="1" customFormat="1" ht="23.1" customHeight="1">
      <c r="B121" s="12"/>
      <c r="C121" s="66" t="s">
        <v>207</v>
      </c>
      <c r="J121" s="82">
        <f>BK121</f>
        <v>0</v>
      </c>
      <c r="L121" s="12"/>
      <c r="M121" s="83"/>
      <c r="N121" s="35"/>
      <c r="O121" s="35"/>
      <c r="P121" s="84">
        <f>P122</f>
        <v>0</v>
      </c>
      <c r="Q121" s="35"/>
      <c r="R121" s="84">
        <f>R122</f>
        <v>0</v>
      </c>
      <c r="S121" s="35"/>
      <c r="T121" s="97">
        <f>T122</f>
        <v>0</v>
      </c>
      <c r="AT121" s="23" t="s">
        <v>76</v>
      </c>
      <c r="AU121" s="23" t="s">
        <v>188</v>
      </c>
      <c r="BK121" s="102">
        <f>BK122</f>
        <v>0</v>
      </c>
    </row>
    <row r="122" spans="2:65" s="31" customFormat="1" ht="26.1" customHeight="1">
      <c r="B122" s="67"/>
      <c r="D122" s="68" t="s">
        <v>76</v>
      </c>
      <c r="E122" s="69" t="s">
        <v>160</v>
      </c>
      <c r="F122" s="69" t="s">
        <v>161</v>
      </c>
      <c r="I122" s="85"/>
      <c r="J122" s="86">
        <f>BK122</f>
        <v>0</v>
      </c>
      <c r="L122" s="67"/>
      <c r="M122" s="87"/>
      <c r="P122" s="88">
        <f>P123</f>
        <v>0</v>
      </c>
      <c r="R122" s="88">
        <f>R123</f>
        <v>0</v>
      </c>
      <c r="T122" s="98">
        <f>T123</f>
        <v>0</v>
      </c>
      <c r="AR122" s="68" t="s">
        <v>85</v>
      </c>
      <c r="AT122" s="100" t="s">
        <v>76</v>
      </c>
      <c r="AU122" s="100" t="s">
        <v>77</v>
      </c>
      <c r="AY122" s="68" t="s">
        <v>211</v>
      </c>
      <c r="BK122" s="103">
        <f>BK123</f>
        <v>0</v>
      </c>
    </row>
    <row r="123" spans="2:65" s="1" customFormat="1" ht="16.5" customHeight="1">
      <c r="B123" s="12"/>
      <c r="C123" s="71" t="s">
        <v>85</v>
      </c>
      <c r="D123" s="71" t="s">
        <v>214</v>
      </c>
      <c r="E123" s="72" t="s">
        <v>5740</v>
      </c>
      <c r="F123" s="73" t="s">
        <v>161</v>
      </c>
      <c r="G123" s="74" t="s">
        <v>234</v>
      </c>
      <c r="H123" s="75">
        <v>0</v>
      </c>
      <c r="I123" s="90"/>
      <c r="J123" s="91">
        <f>ROUND(I123*H123,2)</f>
        <v>0</v>
      </c>
      <c r="K123" s="92"/>
      <c r="L123" s="12"/>
      <c r="M123" s="130" t="s">
        <v>1</v>
      </c>
      <c r="N123" s="131" t="s">
        <v>42</v>
      </c>
      <c r="O123" s="110"/>
      <c r="P123" s="132">
        <f>O123*H123</f>
        <v>0</v>
      </c>
      <c r="Q123" s="132">
        <v>0</v>
      </c>
      <c r="R123" s="132">
        <f>Q123*H123</f>
        <v>0</v>
      </c>
      <c r="S123" s="132">
        <v>0</v>
      </c>
      <c r="T123" s="134">
        <f>S123*H123</f>
        <v>0</v>
      </c>
      <c r="AR123" s="101" t="s">
        <v>218</v>
      </c>
      <c r="AT123" s="101" t="s">
        <v>214</v>
      </c>
      <c r="AU123" s="101" t="s">
        <v>85</v>
      </c>
      <c r="AY123" s="23" t="s">
        <v>211</v>
      </c>
      <c r="BE123" s="104">
        <f>IF(N123="základní",J123,0)</f>
        <v>0</v>
      </c>
      <c r="BF123" s="104">
        <f>IF(N123="snížená",J123,0)</f>
        <v>0</v>
      </c>
      <c r="BG123" s="104">
        <f>IF(N123="zákl. přenesená",J123,0)</f>
        <v>0</v>
      </c>
      <c r="BH123" s="104">
        <f>IF(N123="sníž. přenesená",J123,0)</f>
        <v>0</v>
      </c>
      <c r="BI123" s="104">
        <f>IF(N123="nulová",J123,0)</f>
        <v>0</v>
      </c>
      <c r="BJ123" s="23" t="s">
        <v>85</v>
      </c>
      <c r="BK123" s="104">
        <f>ROUND(I123*H123,2)</f>
        <v>0</v>
      </c>
      <c r="BL123" s="23" t="s">
        <v>218</v>
      </c>
      <c r="BM123" s="101" t="s">
        <v>5741</v>
      </c>
    </row>
    <row r="124" spans="2:65" s="1" customFormat="1" ht="6.9" customHeight="1">
      <c r="B124" s="26"/>
      <c r="C124" s="27"/>
      <c r="D124" s="27"/>
      <c r="E124" s="27"/>
      <c r="F124" s="27"/>
      <c r="G124" s="27"/>
      <c r="H124" s="27"/>
      <c r="I124" s="27"/>
      <c r="J124" s="27"/>
      <c r="K124" s="27"/>
      <c r="L124" s="12"/>
    </row>
  </sheetData>
  <autoFilter ref="C120:K123" xr:uid="{00000000-0009-0000-0000-000016000000}"/>
  <mergeCells count="12">
    <mergeCell ref="L2:V2"/>
    <mergeCell ref="E7:H7"/>
    <mergeCell ref="E9:H9"/>
    <mergeCell ref="E11:H11"/>
    <mergeCell ref="E20:H20"/>
    <mergeCell ref="E111:H111"/>
    <mergeCell ref="E113:H113"/>
    <mergeCell ref="E29:H29"/>
    <mergeCell ref="E85:H85"/>
    <mergeCell ref="E87:H87"/>
    <mergeCell ref="E89:H89"/>
    <mergeCell ref="E109:H109"/>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B2:BM124"/>
  <sheetViews>
    <sheetView showGridLines="0" workbookViewId="0"/>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165</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2" customHeight="1">
      <c r="B8" s="5"/>
      <c r="D8" s="10" t="s">
        <v>182</v>
      </c>
      <c r="L8" s="5"/>
    </row>
    <row r="9" spans="2:46" s="1" customFormat="1" ht="16.5" customHeight="1">
      <c r="B9" s="12"/>
      <c r="E9" s="392" t="s">
        <v>5462</v>
      </c>
      <c r="F9" s="394"/>
      <c r="G9" s="394"/>
      <c r="H9" s="394"/>
      <c r="L9" s="12"/>
    </row>
    <row r="10" spans="2:46" s="1" customFormat="1" ht="12" customHeight="1">
      <c r="B10" s="12"/>
      <c r="D10" s="10" t="s">
        <v>296</v>
      </c>
      <c r="L10" s="12"/>
    </row>
    <row r="11" spans="2:46" s="1" customFormat="1" ht="16.5" customHeight="1">
      <c r="B11" s="12"/>
      <c r="E11" s="381" t="s">
        <v>5742</v>
      </c>
      <c r="F11" s="394"/>
      <c r="G11" s="394"/>
      <c r="H11" s="394"/>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395" t="str">
        <f>'Rekapitulace stavby'!E14</f>
        <v>DMG Stav a.s.</v>
      </c>
      <c r="F20" s="384"/>
      <c r="G20" s="384"/>
      <c r="H20" s="384"/>
      <c r="I20" s="10" t="s">
        <v>26</v>
      </c>
      <c r="J20" s="33" t="str">
        <f>'Rekapitulace stavby'!AN14</f>
        <v>CZ 08004013</v>
      </c>
      <c r="L20" s="12"/>
    </row>
    <row r="21" spans="2:12" s="1" customFormat="1" ht="6.9"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 customHeight="1">
      <c r="B27" s="12"/>
      <c r="L27" s="12"/>
    </row>
    <row r="28" spans="2:12" s="1" customFormat="1" ht="12" customHeight="1">
      <c r="B28" s="12"/>
      <c r="D28" s="10" t="s">
        <v>36</v>
      </c>
      <c r="L28" s="12"/>
    </row>
    <row r="29" spans="2:12" s="28" customFormat="1" ht="16.5" customHeight="1">
      <c r="B29" s="34"/>
      <c r="E29" s="388" t="s">
        <v>1</v>
      </c>
      <c r="F29" s="388"/>
      <c r="G29" s="388"/>
      <c r="H29" s="388"/>
      <c r="L29" s="34"/>
    </row>
    <row r="30" spans="2:12" s="1" customFormat="1" ht="6.9" customHeight="1">
      <c r="B30" s="12"/>
      <c r="L30" s="12"/>
    </row>
    <row r="31" spans="2:12" s="1" customFormat="1" ht="6.9" customHeight="1">
      <c r="B31" s="12"/>
      <c r="D31" s="35"/>
      <c r="E31" s="35"/>
      <c r="F31" s="35"/>
      <c r="G31" s="35"/>
      <c r="H31" s="35"/>
      <c r="I31" s="35"/>
      <c r="J31" s="35"/>
      <c r="K31" s="35"/>
      <c r="L31" s="12"/>
    </row>
    <row r="32" spans="2:12" s="1" customFormat="1" ht="25.35" customHeight="1">
      <c r="B32" s="12"/>
      <c r="D32" s="36" t="s">
        <v>37</v>
      </c>
      <c r="J32" s="51">
        <f>ROUND(J121,2)</f>
        <v>0</v>
      </c>
      <c r="L32" s="12"/>
    </row>
    <row r="33" spans="2:12" s="1" customFormat="1" ht="6.9" customHeight="1">
      <c r="B33" s="12"/>
      <c r="D33" s="35"/>
      <c r="E33" s="35"/>
      <c r="F33" s="35"/>
      <c r="G33" s="35"/>
      <c r="H33" s="35"/>
      <c r="I33" s="35"/>
      <c r="J33" s="35"/>
      <c r="K33" s="35"/>
      <c r="L33" s="12"/>
    </row>
    <row r="34" spans="2:12" s="1" customFormat="1" ht="14.4" customHeight="1">
      <c r="B34" s="12"/>
      <c r="F34" s="37" t="s">
        <v>39</v>
      </c>
      <c r="I34" s="37" t="s">
        <v>38</v>
      </c>
      <c r="J34" s="37" t="s">
        <v>40</v>
      </c>
      <c r="L34" s="12"/>
    </row>
    <row r="35" spans="2:12" s="1" customFormat="1" ht="14.4" customHeight="1">
      <c r="B35" s="12"/>
      <c r="D35" s="38" t="s">
        <v>41</v>
      </c>
      <c r="E35" s="10" t="s">
        <v>42</v>
      </c>
      <c r="F35" s="39">
        <f>ROUND((SUM(BE121:BE123)),2)</f>
        <v>0</v>
      </c>
      <c r="I35" s="52">
        <v>0.21</v>
      </c>
      <c r="J35" s="39">
        <f>ROUND(((SUM(BE121:BE123))*I35),2)</f>
        <v>0</v>
      </c>
      <c r="L35" s="12"/>
    </row>
    <row r="36" spans="2:12" s="1" customFormat="1" ht="14.4" customHeight="1">
      <c r="B36" s="12"/>
      <c r="E36" s="10" t="s">
        <v>43</v>
      </c>
      <c r="F36" s="39">
        <f>ROUND((SUM(BF121:BF123)),2)</f>
        <v>0</v>
      </c>
      <c r="I36" s="52">
        <v>0.15</v>
      </c>
      <c r="J36" s="39">
        <f>ROUND(((SUM(BF121:BF123))*I36),2)</f>
        <v>0</v>
      </c>
      <c r="L36" s="12"/>
    </row>
    <row r="37" spans="2:12" s="1" customFormat="1" ht="14.4" hidden="1" customHeight="1">
      <c r="B37" s="12"/>
      <c r="E37" s="10" t="s">
        <v>44</v>
      </c>
      <c r="F37" s="39">
        <f>ROUND((SUM(BG121:BG123)),2)</f>
        <v>0</v>
      </c>
      <c r="I37" s="52">
        <v>0.21</v>
      </c>
      <c r="J37" s="39">
        <f>0</f>
        <v>0</v>
      </c>
      <c r="L37" s="12"/>
    </row>
    <row r="38" spans="2:12" s="1" customFormat="1" ht="14.4" hidden="1" customHeight="1">
      <c r="B38" s="12"/>
      <c r="E38" s="10" t="s">
        <v>45</v>
      </c>
      <c r="F38" s="39">
        <f>ROUND((SUM(BH121:BH123)),2)</f>
        <v>0</v>
      </c>
      <c r="I38" s="52">
        <v>0.15</v>
      </c>
      <c r="J38" s="39">
        <f>0</f>
        <v>0</v>
      </c>
      <c r="L38" s="12"/>
    </row>
    <row r="39" spans="2:12" s="1" customFormat="1" ht="14.4" hidden="1" customHeight="1">
      <c r="B39" s="12"/>
      <c r="E39" s="10" t="s">
        <v>46</v>
      </c>
      <c r="F39" s="39">
        <f>ROUND((SUM(BI121:BI123)),2)</f>
        <v>0</v>
      </c>
      <c r="I39" s="52">
        <v>0</v>
      </c>
      <c r="J39" s="39">
        <f>0</f>
        <v>0</v>
      </c>
      <c r="L39" s="12"/>
    </row>
    <row r="40" spans="2:12" s="1" customFormat="1" ht="6.9" customHeight="1">
      <c r="B40" s="12"/>
      <c r="L40" s="12"/>
    </row>
    <row r="41" spans="2:12" s="1" customFormat="1" ht="25.35" customHeight="1">
      <c r="B41" s="12"/>
      <c r="C41" s="40"/>
      <c r="D41" s="41" t="s">
        <v>47</v>
      </c>
      <c r="E41" s="42"/>
      <c r="F41" s="42"/>
      <c r="G41" s="43" t="s">
        <v>48</v>
      </c>
      <c r="H41" s="44" t="s">
        <v>49</v>
      </c>
      <c r="I41" s="42"/>
      <c r="J41" s="53">
        <f>SUM(J32:J39)</f>
        <v>0</v>
      </c>
      <c r="K41" s="54"/>
      <c r="L41" s="12"/>
    </row>
    <row r="42" spans="2:12" s="1" customFormat="1" ht="14.4" customHeight="1">
      <c r="B42" s="12"/>
      <c r="L42" s="12"/>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s="1" customFormat="1" ht="16.5" customHeight="1">
      <c r="B87" s="12"/>
      <c r="E87" s="392" t="s">
        <v>5462</v>
      </c>
      <c r="F87" s="394"/>
      <c r="G87" s="394"/>
      <c r="H87" s="394"/>
      <c r="L87" s="12"/>
    </row>
    <row r="88" spans="2:12" s="1" customFormat="1" ht="12" customHeight="1">
      <c r="B88" s="12"/>
      <c r="C88" s="10" t="s">
        <v>296</v>
      </c>
      <c r="L88" s="12"/>
    </row>
    <row r="89" spans="2:12" s="1" customFormat="1" ht="16.5" customHeight="1">
      <c r="B89" s="12"/>
      <c r="E89" s="381" t="str">
        <f>E11</f>
        <v>IOX06 - přeložka CETIN</v>
      </c>
      <c r="F89" s="394"/>
      <c r="G89" s="394"/>
      <c r="H89" s="394"/>
      <c r="L89" s="12"/>
    </row>
    <row r="90" spans="2:12" s="1" customFormat="1" ht="6.9" customHeight="1">
      <c r="B90" s="12"/>
      <c r="L90" s="12"/>
    </row>
    <row r="91" spans="2:12" s="1" customFormat="1" ht="12" customHeight="1">
      <c r="B91" s="12"/>
      <c r="C91" s="10" t="s">
        <v>20</v>
      </c>
      <c r="F91" s="32" t="str">
        <f>F14</f>
        <v>Praha</v>
      </c>
      <c r="I91" s="10" t="s">
        <v>22</v>
      </c>
      <c r="J91" s="11">
        <f>IF(J14="","",J14)</f>
        <v>45000</v>
      </c>
      <c r="L91" s="12"/>
    </row>
    <row r="92" spans="2:12" s="1" customFormat="1" ht="6.9" customHeight="1">
      <c r="B92" s="12"/>
      <c r="L92" s="12"/>
    </row>
    <row r="93" spans="2:12" s="1" customFormat="1" ht="15.15" customHeight="1">
      <c r="B93" s="12"/>
      <c r="C93" s="10" t="s">
        <v>23</v>
      </c>
      <c r="F93" s="32" t="str">
        <f>E17</f>
        <v>VELTON REAL ESTATE</v>
      </c>
      <c r="I93" s="10" t="s">
        <v>31</v>
      </c>
      <c r="J93" s="8" t="str">
        <f>E23</f>
        <v>ABMV World s.r.o</v>
      </c>
      <c r="L93" s="12"/>
    </row>
    <row r="94" spans="2:12" s="1" customFormat="1" ht="15.15"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J121</f>
        <v>0</v>
      </c>
      <c r="L98" s="12"/>
      <c r="AU98" s="23" t="s">
        <v>188</v>
      </c>
    </row>
    <row r="99" spans="2:47" s="29" customFormat="1" ht="24.9" customHeight="1">
      <c r="B99" s="60"/>
      <c r="D99" s="61" t="s">
        <v>5742</v>
      </c>
      <c r="E99" s="62"/>
      <c r="F99" s="62"/>
      <c r="G99" s="62"/>
      <c r="H99" s="62"/>
      <c r="I99" s="62"/>
      <c r="J99" s="77">
        <f>J122</f>
        <v>0</v>
      </c>
      <c r="L99" s="60"/>
    </row>
    <row r="100" spans="2:47" s="1" customFormat="1" ht="21.75" customHeight="1">
      <c r="B100" s="12"/>
      <c r="L100" s="12"/>
    </row>
    <row r="101" spans="2:47" s="1" customFormat="1" ht="6.9" customHeight="1">
      <c r="B101" s="26"/>
      <c r="C101" s="27"/>
      <c r="D101" s="27"/>
      <c r="E101" s="27"/>
      <c r="F101" s="27"/>
      <c r="G101" s="27"/>
      <c r="H101" s="27"/>
      <c r="I101" s="27"/>
      <c r="J101" s="27"/>
      <c r="K101" s="27"/>
      <c r="L101" s="12"/>
    </row>
    <row r="105" spans="2:47" s="1" customFormat="1" ht="6.9" customHeight="1">
      <c r="B105" s="56"/>
      <c r="C105" s="57"/>
      <c r="D105" s="57"/>
      <c r="E105" s="57"/>
      <c r="F105" s="57"/>
      <c r="G105" s="57"/>
      <c r="H105" s="57"/>
      <c r="I105" s="57"/>
      <c r="J105" s="57"/>
      <c r="K105" s="57"/>
      <c r="L105" s="12"/>
    </row>
    <row r="106" spans="2:47" s="1" customFormat="1" ht="24.9" customHeight="1">
      <c r="B106" s="12"/>
      <c r="C106" s="6" t="s">
        <v>195</v>
      </c>
      <c r="L106" s="12"/>
    </row>
    <row r="107" spans="2:47" s="1" customFormat="1" ht="6.9" customHeight="1">
      <c r="B107" s="12"/>
      <c r="L107" s="12"/>
    </row>
    <row r="108" spans="2:47" s="1" customFormat="1" ht="12" customHeight="1">
      <c r="B108" s="12"/>
      <c r="C108" s="10" t="s">
        <v>16</v>
      </c>
      <c r="L108" s="12"/>
    </row>
    <row r="109" spans="2:47" s="1" customFormat="1" ht="16.5" customHeight="1">
      <c r="B109" s="12"/>
      <c r="E109" s="392" t="str">
        <f>E7</f>
        <v>Bytový soubor Libuše</v>
      </c>
      <c r="F109" s="393"/>
      <c r="G109" s="393"/>
      <c r="H109" s="393"/>
      <c r="L109" s="12"/>
    </row>
    <row r="110" spans="2:47" ht="12" customHeight="1">
      <c r="B110" s="5"/>
      <c r="C110" s="10" t="s">
        <v>182</v>
      </c>
      <c r="L110" s="5"/>
    </row>
    <row r="111" spans="2:47" s="1" customFormat="1" ht="16.5" customHeight="1">
      <c r="B111" s="12"/>
      <c r="E111" s="392" t="s">
        <v>5462</v>
      </c>
      <c r="F111" s="394"/>
      <c r="G111" s="394"/>
      <c r="H111" s="394"/>
      <c r="L111" s="12"/>
    </row>
    <row r="112" spans="2:47" s="1" customFormat="1" ht="12" customHeight="1">
      <c r="B112" s="12"/>
      <c r="C112" s="10" t="s">
        <v>296</v>
      </c>
      <c r="L112" s="12"/>
    </row>
    <row r="113" spans="2:65" s="1" customFormat="1" ht="16.5" customHeight="1">
      <c r="B113" s="12"/>
      <c r="E113" s="381" t="str">
        <f>E11</f>
        <v>IOX06 - přeložka CETIN</v>
      </c>
      <c r="F113" s="394"/>
      <c r="G113" s="394"/>
      <c r="H113" s="394"/>
      <c r="L113" s="12"/>
    </row>
    <row r="114" spans="2:65" s="1" customFormat="1" ht="6.9" customHeight="1">
      <c r="B114" s="12"/>
      <c r="L114" s="12"/>
    </row>
    <row r="115" spans="2:65" s="1" customFormat="1" ht="12" customHeight="1">
      <c r="B115" s="12"/>
      <c r="C115" s="10" t="s">
        <v>20</v>
      </c>
      <c r="F115" s="32" t="str">
        <f>F14</f>
        <v>Praha</v>
      </c>
      <c r="I115" s="10" t="s">
        <v>22</v>
      </c>
      <c r="J115" s="11">
        <f>IF(J14="","",J14)</f>
        <v>45000</v>
      </c>
      <c r="L115" s="12"/>
    </row>
    <row r="116" spans="2:65" s="1" customFormat="1" ht="6.9" customHeight="1">
      <c r="B116" s="12"/>
      <c r="L116" s="12"/>
    </row>
    <row r="117" spans="2:65" s="1" customFormat="1" ht="15.15" customHeight="1">
      <c r="B117" s="12"/>
      <c r="C117" s="10" t="s">
        <v>23</v>
      </c>
      <c r="F117" s="32" t="str">
        <f>E17</f>
        <v>VELTON REAL ESTATE</v>
      </c>
      <c r="I117" s="10" t="s">
        <v>31</v>
      </c>
      <c r="J117" s="8" t="str">
        <f>E23</f>
        <v>ABMV World s.r.o</v>
      </c>
      <c r="L117" s="12"/>
    </row>
    <row r="118" spans="2:65" s="1" customFormat="1" ht="15.15" customHeight="1">
      <c r="B118" s="12"/>
      <c r="C118" s="10" t="s">
        <v>27</v>
      </c>
      <c r="F118" s="32" t="str">
        <f>IF(E20="","",E20)</f>
        <v>DMG Stav a.s.</v>
      </c>
      <c r="I118" s="10" t="s">
        <v>34</v>
      </c>
      <c r="J118" s="8" t="str">
        <f>E26</f>
        <v>QSB s.r.o.</v>
      </c>
      <c r="L118" s="12"/>
    </row>
    <row r="119" spans="2:65" s="1" customFormat="1" ht="10.35" customHeight="1">
      <c r="B119" s="12"/>
      <c r="L119" s="12"/>
    </row>
    <row r="120" spans="2:65" s="2" customFormat="1" ht="29.25" customHeight="1">
      <c r="B120" s="13"/>
      <c r="C120" s="14" t="s">
        <v>196</v>
      </c>
      <c r="D120" s="15" t="s">
        <v>62</v>
      </c>
      <c r="E120" s="15" t="s">
        <v>58</v>
      </c>
      <c r="F120" s="15" t="s">
        <v>59</v>
      </c>
      <c r="G120" s="15" t="s">
        <v>197</v>
      </c>
      <c r="H120" s="15" t="s">
        <v>198</v>
      </c>
      <c r="I120" s="15" t="s">
        <v>199</v>
      </c>
      <c r="J120" s="16" t="s">
        <v>186</v>
      </c>
      <c r="K120" s="79" t="s">
        <v>200</v>
      </c>
      <c r="L120" s="13"/>
      <c r="M120" s="80" t="s">
        <v>1</v>
      </c>
      <c r="N120" s="81" t="s">
        <v>41</v>
      </c>
      <c r="O120" s="81" t="s">
        <v>201</v>
      </c>
      <c r="P120" s="81" t="s">
        <v>202</v>
      </c>
      <c r="Q120" s="81" t="s">
        <v>203</v>
      </c>
      <c r="R120" s="81" t="s">
        <v>204</v>
      </c>
      <c r="S120" s="81" t="s">
        <v>205</v>
      </c>
      <c r="T120" s="96" t="s">
        <v>206</v>
      </c>
    </row>
    <row r="121" spans="2:65" s="1" customFormat="1" ht="23.1" customHeight="1">
      <c r="B121" s="12"/>
      <c r="C121" s="66" t="s">
        <v>207</v>
      </c>
      <c r="J121" s="82">
        <f>BK121</f>
        <v>0</v>
      </c>
      <c r="L121" s="12"/>
      <c r="M121" s="83"/>
      <c r="N121" s="35"/>
      <c r="O121" s="35"/>
      <c r="P121" s="84">
        <f>P122</f>
        <v>0</v>
      </c>
      <c r="Q121" s="35"/>
      <c r="R121" s="84">
        <f>R122</f>
        <v>0</v>
      </c>
      <c r="S121" s="35"/>
      <c r="T121" s="97">
        <f>T122</f>
        <v>0</v>
      </c>
      <c r="AT121" s="23" t="s">
        <v>76</v>
      </c>
      <c r="AU121" s="23" t="s">
        <v>188</v>
      </c>
      <c r="BK121" s="102">
        <f>BK122</f>
        <v>0</v>
      </c>
    </row>
    <row r="122" spans="2:65" s="31" customFormat="1" ht="26.1" customHeight="1">
      <c r="B122" s="67"/>
      <c r="D122" s="68" t="s">
        <v>76</v>
      </c>
      <c r="E122" s="69" t="s">
        <v>163</v>
      </c>
      <c r="F122" s="69" t="s">
        <v>164</v>
      </c>
      <c r="I122" s="85"/>
      <c r="J122" s="86">
        <f>BK122</f>
        <v>0</v>
      </c>
      <c r="L122" s="67"/>
      <c r="M122" s="87"/>
      <c r="P122" s="88">
        <f>P123</f>
        <v>0</v>
      </c>
      <c r="R122" s="88">
        <f>R123</f>
        <v>0</v>
      </c>
      <c r="T122" s="98">
        <f>T123</f>
        <v>0</v>
      </c>
      <c r="AR122" s="68" t="s">
        <v>85</v>
      </c>
      <c r="AT122" s="100" t="s">
        <v>76</v>
      </c>
      <c r="AU122" s="100" t="s">
        <v>77</v>
      </c>
      <c r="AY122" s="68" t="s">
        <v>211</v>
      </c>
      <c r="BK122" s="103">
        <f>BK123</f>
        <v>0</v>
      </c>
    </row>
    <row r="123" spans="2:65" s="1" customFormat="1" ht="16.5" customHeight="1">
      <c r="B123" s="12"/>
      <c r="C123" s="71" t="s">
        <v>85</v>
      </c>
      <c r="D123" s="71" t="s">
        <v>214</v>
      </c>
      <c r="E123" s="72" t="s">
        <v>5743</v>
      </c>
      <c r="F123" s="73" t="s">
        <v>164</v>
      </c>
      <c r="G123" s="74" t="s">
        <v>234</v>
      </c>
      <c r="H123" s="75">
        <v>0</v>
      </c>
      <c r="I123" s="90"/>
      <c r="J123" s="91">
        <f>ROUND(I123*H123,2)</f>
        <v>0</v>
      </c>
      <c r="K123" s="92"/>
      <c r="L123" s="12"/>
      <c r="M123" s="130" t="s">
        <v>1</v>
      </c>
      <c r="N123" s="131" t="s">
        <v>42</v>
      </c>
      <c r="O123" s="110"/>
      <c r="P123" s="132">
        <f>O123*H123</f>
        <v>0</v>
      </c>
      <c r="Q123" s="132">
        <v>0</v>
      </c>
      <c r="R123" s="132">
        <f>Q123*H123</f>
        <v>0</v>
      </c>
      <c r="S123" s="132">
        <v>0</v>
      </c>
      <c r="T123" s="134">
        <f>S123*H123</f>
        <v>0</v>
      </c>
      <c r="AR123" s="101" t="s">
        <v>218</v>
      </c>
      <c r="AT123" s="101" t="s">
        <v>214</v>
      </c>
      <c r="AU123" s="101" t="s">
        <v>85</v>
      </c>
      <c r="AY123" s="23" t="s">
        <v>211</v>
      </c>
      <c r="BE123" s="104">
        <f>IF(N123="základní",J123,0)</f>
        <v>0</v>
      </c>
      <c r="BF123" s="104">
        <f>IF(N123="snížená",J123,0)</f>
        <v>0</v>
      </c>
      <c r="BG123" s="104">
        <f>IF(N123="zákl. přenesená",J123,0)</f>
        <v>0</v>
      </c>
      <c r="BH123" s="104">
        <f>IF(N123="sníž. přenesená",J123,0)</f>
        <v>0</v>
      </c>
      <c r="BI123" s="104">
        <f>IF(N123="nulová",J123,0)</f>
        <v>0</v>
      </c>
      <c r="BJ123" s="23" t="s">
        <v>85</v>
      </c>
      <c r="BK123" s="104">
        <f>ROUND(I123*H123,2)</f>
        <v>0</v>
      </c>
      <c r="BL123" s="23" t="s">
        <v>218</v>
      </c>
      <c r="BM123" s="101" t="s">
        <v>5744</v>
      </c>
    </row>
    <row r="124" spans="2:65" s="1" customFormat="1" ht="6.9" customHeight="1">
      <c r="B124" s="26"/>
      <c r="C124" s="27"/>
      <c r="D124" s="27"/>
      <c r="E124" s="27"/>
      <c r="F124" s="27"/>
      <c r="G124" s="27"/>
      <c r="H124" s="27"/>
      <c r="I124" s="27"/>
      <c r="J124" s="27"/>
      <c r="K124" s="27"/>
      <c r="L124" s="12"/>
    </row>
  </sheetData>
  <autoFilter ref="C120:K123" xr:uid="{00000000-0009-0000-0000-000017000000}"/>
  <mergeCells count="12">
    <mergeCell ref="L2:V2"/>
    <mergeCell ref="E7:H7"/>
    <mergeCell ref="E9:H9"/>
    <mergeCell ref="E11:H11"/>
    <mergeCell ref="E20:H20"/>
    <mergeCell ref="E111:H111"/>
    <mergeCell ref="E113:H113"/>
    <mergeCell ref="E29:H29"/>
    <mergeCell ref="E85:H85"/>
    <mergeCell ref="E87:H87"/>
    <mergeCell ref="E89:H89"/>
    <mergeCell ref="E109:H109"/>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B2:BM172"/>
  <sheetViews>
    <sheetView showGridLines="0" topLeftCell="A121" workbookViewId="0">
      <selection activeCell="I172" sqref="I172"/>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168</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2" customHeight="1">
      <c r="B8" s="5"/>
      <c r="D8" s="10" t="s">
        <v>182</v>
      </c>
      <c r="L8" s="5"/>
    </row>
    <row r="9" spans="2:46" s="1" customFormat="1" ht="16.5" customHeight="1">
      <c r="B9" s="12"/>
      <c r="E9" s="392" t="s">
        <v>5462</v>
      </c>
      <c r="F9" s="394"/>
      <c r="G9" s="394"/>
      <c r="H9" s="394"/>
      <c r="L9" s="12"/>
    </row>
    <row r="10" spans="2:46" s="1" customFormat="1" ht="12" customHeight="1">
      <c r="B10" s="12"/>
      <c r="D10" s="10" t="s">
        <v>296</v>
      </c>
      <c r="L10" s="12"/>
    </row>
    <row r="11" spans="2:46" s="1" customFormat="1" ht="16.5" customHeight="1">
      <c r="B11" s="12"/>
      <c r="E11" s="381" t="s">
        <v>5745</v>
      </c>
      <c r="F11" s="394"/>
      <c r="G11" s="394"/>
      <c r="H11" s="394"/>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395" t="str">
        <f>'Rekapitulace stavby'!E14</f>
        <v>DMG Stav a.s.</v>
      </c>
      <c r="F20" s="384"/>
      <c r="G20" s="384"/>
      <c r="H20" s="384"/>
      <c r="I20" s="10" t="s">
        <v>26</v>
      </c>
      <c r="J20" s="33" t="str">
        <f>'Rekapitulace stavby'!AN14</f>
        <v>CZ 08004013</v>
      </c>
      <c r="L20" s="12"/>
    </row>
    <row r="21" spans="2:12" s="1" customFormat="1" ht="6.9"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 customHeight="1">
      <c r="B27" s="12"/>
      <c r="L27" s="12"/>
    </row>
    <row r="28" spans="2:12" s="1" customFormat="1" ht="12" customHeight="1">
      <c r="B28" s="12"/>
      <c r="D28" s="10" t="s">
        <v>36</v>
      </c>
      <c r="L28" s="12"/>
    </row>
    <row r="29" spans="2:12" s="28" customFormat="1" ht="16.5" customHeight="1">
      <c r="B29" s="34"/>
      <c r="E29" s="388" t="s">
        <v>1</v>
      </c>
      <c r="F29" s="388"/>
      <c r="G29" s="388"/>
      <c r="H29" s="388"/>
      <c r="L29" s="34"/>
    </row>
    <row r="30" spans="2:12" s="1" customFormat="1" ht="6.9" customHeight="1">
      <c r="B30" s="12"/>
      <c r="L30" s="12"/>
    </row>
    <row r="31" spans="2:12" s="1" customFormat="1" ht="6.9" customHeight="1">
      <c r="B31" s="12"/>
      <c r="D31" s="35"/>
      <c r="E31" s="35"/>
      <c r="F31" s="35"/>
      <c r="G31" s="35"/>
      <c r="H31" s="35"/>
      <c r="I31" s="35"/>
      <c r="J31" s="35"/>
      <c r="K31" s="35"/>
      <c r="L31" s="12"/>
    </row>
    <row r="32" spans="2:12" s="1" customFormat="1" ht="25.35" customHeight="1">
      <c r="B32" s="12"/>
      <c r="D32" s="36" t="s">
        <v>37</v>
      </c>
      <c r="J32" s="51">
        <f>ROUND(J122,2)</f>
        <v>1552321.95</v>
      </c>
      <c r="L32" s="12"/>
    </row>
    <row r="33" spans="2:12" s="1" customFormat="1" ht="6.9" customHeight="1">
      <c r="B33" s="12"/>
      <c r="D33" s="35"/>
      <c r="E33" s="35"/>
      <c r="F33" s="35"/>
      <c r="G33" s="35"/>
      <c r="H33" s="35"/>
      <c r="I33" s="35"/>
      <c r="J33" s="35"/>
      <c r="K33" s="35"/>
      <c r="L33" s="12"/>
    </row>
    <row r="34" spans="2:12" s="1" customFormat="1" ht="14.4" customHeight="1">
      <c r="B34" s="12"/>
      <c r="F34" s="37" t="s">
        <v>39</v>
      </c>
      <c r="I34" s="37" t="s">
        <v>38</v>
      </c>
      <c r="J34" s="37" t="s">
        <v>40</v>
      </c>
      <c r="L34" s="12"/>
    </row>
    <row r="35" spans="2:12" s="1" customFormat="1" ht="14.4" customHeight="1">
      <c r="B35" s="12"/>
      <c r="D35" s="38" t="s">
        <v>41</v>
      </c>
      <c r="E35" s="10" t="s">
        <v>42</v>
      </c>
      <c r="F35" s="39">
        <f>ROUND((SUM(BE122:BE171)),2)</f>
        <v>1552321.95</v>
      </c>
      <c r="I35" s="52">
        <v>0.21</v>
      </c>
      <c r="J35" s="39">
        <f>ROUND(((SUM(BE122:BE171))*I35),2)</f>
        <v>325987.61</v>
      </c>
      <c r="L35" s="12"/>
    </row>
    <row r="36" spans="2:12" s="1" customFormat="1" ht="14.4" customHeight="1">
      <c r="B36" s="12"/>
      <c r="E36" s="10" t="s">
        <v>43</v>
      </c>
      <c r="F36" s="39">
        <f>ROUND((SUM(BF122:BF171)),2)</f>
        <v>0</v>
      </c>
      <c r="I36" s="52">
        <v>0.15</v>
      </c>
      <c r="J36" s="39">
        <f>ROUND(((SUM(BF122:BF171))*I36),2)</f>
        <v>0</v>
      </c>
      <c r="L36" s="12"/>
    </row>
    <row r="37" spans="2:12" s="1" customFormat="1" ht="14.4" hidden="1" customHeight="1">
      <c r="B37" s="12"/>
      <c r="E37" s="10" t="s">
        <v>44</v>
      </c>
      <c r="F37" s="39">
        <f>ROUND((SUM(BG122:BG171)),2)</f>
        <v>0</v>
      </c>
      <c r="I37" s="52">
        <v>0.21</v>
      </c>
      <c r="J37" s="39">
        <f>0</f>
        <v>0</v>
      </c>
      <c r="L37" s="12"/>
    </row>
    <row r="38" spans="2:12" s="1" customFormat="1" ht="14.4" hidden="1" customHeight="1">
      <c r="B38" s="12"/>
      <c r="E38" s="10" t="s">
        <v>45</v>
      </c>
      <c r="F38" s="39">
        <f>ROUND((SUM(BH122:BH171)),2)</f>
        <v>0</v>
      </c>
      <c r="I38" s="52">
        <v>0.15</v>
      </c>
      <c r="J38" s="39">
        <f>0</f>
        <v>0</v>
      </c>
      <c r="L38" s="12"/>
    </row>
    <row r="39" spans="2:12" s="1" customFormat="1" ht="14.4" hidden="1" customHeight="1">
      <c r="B39" s="12"/>
      <c r="E39" s="10" t="s">
        <v>46</v>
      </c>
      <c r="F39" s="39">
        <f>ROUND((SUM(BI122:BI171)),2)</f>
        <v>0</v>
      </c>
      <c r="I39" s="52">
        <v>0</v>
      </c>
      <c r="J39" s="39">
        <f>0</f>
        <v>0</v>
      </c>
      <c r="L39" s="12"/>
    </row>
    <row r="40" spans="2:12" s="1" customFormat="1" ht="6.9" customHeight="1">
      <c r="B40" s="12"/>
      <c r="L40" s="12"/>
    </row>
    <row r="41" spans="2:12" s="1" customFormat="1" ht="25.35" customHeight="1">
      <c r="B41" s="12"/>
      <c r="C41" s="40"/>
      <c r="D41" s="41" t="s">
        <v>47</v>
      </c>
      <c r="E41" s="42"/>
      <c r="F41" s="42"/>
      <c r="G41" s="43" t="s">
        <v>48</v>
      </c>
      <c r="H41" s="44" t="s">
        <v>49</v>
      </c>
      <c r="I41" s="42"/>
      <c r="J41" s="53">
        <f>SUM(J32:J39)</f>
        <v>1878309.56</v>
      </c>
      <c r="K41" s="54"/>
      <c r="L41" s="12"/>
    </row>
    <row r="42" spans="2:12" s="1" customFormat="1" ht="14.4" customHeight="1">
      <c r="B42" s="12"/>
      <c r="L42" s="12"/>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s="1" customFormat="1" ht="16.5" customHeight="1">
      <c r="B87" s="12"/>
      <c r="E87" s="392" t="s">
        <v>5462</v>
      </c>
      <c r="F87" s="394"/>
      <c r="G87" s="394"/>
      <c r="H87" s="394"/>
      <c r="L87" s="12"/>
    </row>
    <row r="88" spans="2:12" s="1" customFormat="1" ht="12" customHeight="1">
      <c r="B88" s="12"/>
      <c r="C88" s="10" t="s">
        <v>296</v>
      </c>
      <c r="L88" s="12"/>
    </row>
    <row r="89" spans="2:12" s="1" customFormat="1" ht="16.5" customHeight="1">
      <c r="B89" s="12"/>
      <c r="E89" s="381" t="str">
        <f>E11</f>
        <v>S041 - Sadové úpravy a kácení</v>
      </c>
      <c r="F89" s="394"/>
      <c r="G89" s="394"/>
      <c r="H89" s="394"/>
      <c r="L89" s="12"/>
    </row>
    <row r="90" spans="2:12" s="1" customFormat="1" ht="6.9" customHeight="1">
      <c r="B90" s="12"/>
      <c r="L90" s="12"/>
    </row>
    <row r="91" spans="2:12" s="1" customFormat="1" ht="12" customHeight="1">
      <c r="B91" s="12"/>
      <c r="C91" s="10" t="s">
        <v>20</v>
      </c>
      <c r="F91" s="32" t="str">
        <f>F14</f>
        <v>Praha</v>
      </c>
      <c r="I91" s="10" t="s">
        <v>22</v>
      </c>
      <c r="J91" s="11">
        <f>IF(J14="","",J14)</f>
        <v>45000</v>
      </c>
      <c r="L91" s="12"/>
    </row>
    <row r="92" spans="2:12" s="1" customFormat="1" ht="6.9" customHeight="1">
      <c r="B92" s="12"/>
      <c r="L92" s="12"/>
    </row>
    <row r="93" spans="2:12" s="1" customFormat="1" ht="15.15" customHeight="1">
      <c r="B93" s="12"/>
      <c r="C93" s="10" t="s">
        <v>23</v>
      </c>
      <c r="F93" s="32" t="str">
        <f>E17</f>
        <v>VELTON REAL ESTATE</v>
      </c>
      <c r="I93" s="10" t="s">
        <v>31</v>
      </c>
      <c r="J93" s="8" t="str">
        <f>E23</f>
        <v>ABMV World s.r.o</v>
      </c>
      <c r="L93" s="12"/>
    </row>
    <row r="94" spans="2:12" s="1" customFormat="1" ht="15.15"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J122</f>
        <v>1552321.95</v>
      </c>
      <c r="L98" s="12"/>
      <c r="AU98" s="23" t="s">
        <v>188</v>
      </c>
    </row>
    <row r="99" spans="2:47" s="29" customFormat="1" ht="24.9" customHeight="1">
      <c r="B99" s="60"/>
      <c r="D99" s="61" t="s">
        <v>324</v>
      </c>
      <c r="E99" s="62"/>
      <c r="F99" s="62"/>
      <c r="G99" s="62"/>
      <c r="H99" s="62"/>
      <c r="I99" s="62"/>
      <c r="J99" s="77">
        <f>J123</f>
        <v>0</v>
      </c>
      <c r="L99" s="60"/>
    </row>
    <row r="100" spans="2:47" s="29" customFormat="1" ht="24.9" customHeight="1">
      <c r="B100" s="60"/>
      <c r="D100" s="61" t="s">
        <v>5746</v>
      </c>
      <c r="E100" s="62"/>
      <c r="F100" s="62"/>
      <c r="G100" s="62"/>
      <c r="H100" s="62"/>
      <c r="I100" s="62"/>
      <c r="J100" s="77">
        <f>J124</f>
        <v>1552321.95</v>
      </c>
      <c r="L100" s="60"/>
    </row>
    <row r="101" spans="2:47" s="1" customFormat="1" ht="21.75" customHeight="1">
      <c r="B101" s="12"/>
      <c r="L101" s="12"/>
    </row>
    <row r="102" spans="2:47" s="1" customFormat="1" ht="6.9" customHeight="1">
      <c r="B102" s="26"/>
      <c r="C102" s="27"/>
      <c r="D102" s="27"/>
      <c r="E102" s="27"/>
      <c r="F102" s="27"/>
      <c r="G102" s="27"/>
      <c r="H102" s="27"/>
      <c r="I102" s="27"/>
      <c r="J102" s="27"/>
      <c r="K102" s="27"/>
      <c r="L102" s="12"/>
    </row>
    <row r="106" spans="2:47" s="1" customFormat="1" ht="6.9" customHeight="1">
      <c r="B106" s="56"/>
      <c r="C106" s="57"/>
      <c r="D106" s="57"/>
      <c r="E106" s="57"/>
      <c r="F106" s="57"/>
      <c r="G106" s="57"/>
      <c r="H106" s="57"/>
      <c r="I106" s="57"/>
      <c r="J106" s="57"/>
      <c r="K106" s="57"/>
      <c r="L106" s="12"/>
    </row>
    <row r="107" spans="2:47" s="1" customFormat="1" ht="24.9" customHeight="1">
      <c r="B107" s="12"/>
      <c r="C107" s="6" t="s">
        <v>195</v>
      </c>
      <c r="L107" s="12"/>
    </row>
    <row r="108" spans="2:47" s="1" customFormat="1" ht="6.9" customHeight="1">
      <c r="B108" s="12"/>
      <c r="L108" s="12"/>
    </row>
    <row r="109" spans="2:47" s="1" customFormat="1" ht="12" customHeight="1">
      <c r="B109" s="12"/>
      <c r="C109" s="10" t="s">
        <v>16</v>
      </c>
      <c r="L109" s="12"/>
    </row>
    <row r="110" spans="2:47" s="1" customFormat="1" ht="16.5" customHeight="1">
      <c r="B110" s="12"/>
      <c r="E110" s="392" t="str">
        <f>E7</f>
        <v>Bytový soubor Libuše</v>
      </c>
      <c r="F110" s="393"/>
      <c r="G110" s="393"/>
      <c r="H110" s="393"/>
      <c r="L110" s="12"/>
    </row>
    <row r="111" spans="2:47" ht="12" customHeight="1">
      <c r="B111" s="5"/>
      <c r="C111" s="10" t="s">
        <v>182</v>
      </c>
      <c r="L111" s="5"/>
    </row>
    <row r="112" spans="2:47" s="1" customFormat="1" ht="16.5" customHeight="1">
      <c r="B112" s="12"/>
      <c r="E112" s="392" t="s">
        <v>5462</v>
      </c>
      <c r="F112" s="394"/>
      <c r="G112" s="394"/>
      <c r="H112" s="394"/>
      <c r="L112" s="12"/>
    </row>
    <row r="113" spans="2:65" s="1" customFormat="1" ht="12" customHeight="1">
      <c r="B113" s="12"/>
      <c r="C113" s="10" t="s">
        <v>296</v>
      </c>
      <c r="L113" s="12"/>
    </row>
    <row r="114" spans="2:65" s="1" customFormat="1" ht="16.5" customHeight="1">
      <c r="B114" s="12"/>
      <c r="E114" s="381" t="str">
        <f>E11</f>
        <v>S041 - Sadové úpravy a kácení</v>
      </c>
      <c r="F114" s="394"/>
      <c r="G114" s="394"/>
      <c r="H114" s="394"/>
      <c r="L114" s="12"/>
    </row>
    <row r="115" spans="2:65" s="1" customFormat="1" ht="6.9" customHeight="1">
      <c r="B115" s="12"/>
      <c r="L115" s="12"/>
    </row>
    <row r="116" spans="2:65" s="1" customFormat="1" ht="12" customHeight="1">
      <c r="B116" s="12"/>
      <c r="C116" s="10" t="s">
        <v>20</v>
      </c>
      <c r="F116" s="32" t="str">
        <f>F14</f>
        <v>Praha</v>
      </c>
      <c r="I116" s="10" t="s">
        <v>22</v>
      </c>
      <c r="J116" s="11">
        <f>IF(J14="","",J14)</f>
        <v>45000</v>
      </c>
      <c r="L116" s="12"/>
    </row>
    <row r="117" spans="2:65" s="1" customFormat="1" ht="6.9" customHeight="1">
      <c r="B117" s="12"/>
      <c r="L117" s="12"/>
    </row>
    <row r="118" spans="2:65" s="1" customFormat="1" ht="15.15" customHeight="1">
      <c r="B118" s="12"/>
      <c r="C118" s="10" t="s">
        <v>23</v>
      </c>
      <c r="F118" s="32" t="str">
        <f>E17</f>
        <v>VELTON REAL ESTATE</v>
      </c>
      <c r="I118" s="10" t="s">
        <v>31</v>
      </c>
      <c r="J118" s="8" t="str">
        <f>E23</f>
        <v>ABMV World s.r.o</v>
      </c>
      <c r="L118" s="12"/>
    </row>
    <row r="119" spans="2:65" s="1" customFormat="1" ht="15.15" customHeight="1">
      <c r="B119" s="12"/>
      <c r="C119" s="10" t="s">
        <v>27</v>
      </c>
      <c r="F119" s="32" t="str">
        <f>IF(E20="","",E20)</f>
        <v>DMG Stav a.s.</v>
      </c>
      <c r="I119" s="10" t="s">
        <v>34</v>
      </c>
      <c r="J119" s="8" t="str">
        <f>E26</f>
        <v>QSB s.r.o.</v>
      </c>
      <c r="L119" s="12"/>
    </row>
    <row r="120" spans="2:65" s="1" customFormat="1" ht="10.35" customHeight="1">
      <c r="B120" s="12"/>
      <c r="L120" s="12"/>
    </row>
    <row r="121" spans="2:65" s="2" customFormat="1" ht="29.25" customHeight="1">
      <c r="B121" s="13"/>
      <c r="C121" s="14" t="s">
        <v>196</v>
      </c>
      <c r="D121" s="15" t="s">
        <v>62</v>
      </c>
      <c r="E121" s="15" t="s">
        <v>58</v>
      </c>
      <c r="F121" s="15" t="s">
        <v>59</v>
      </c>
      <c r="G121" s="15" t="s">
        <v>197</v>
      </c>
      <c r="H121" s="15" t="s">
        <v>198</v>
      </c>
      <c r="I121" s="15" t="s">
        <v>199</v>
      </c>
      <c r="J121" s="16" t="s">
        <v>186</v>
      </c>
      <c r="K121" s="79" t="s">
        <v>200</v>
      </c>
      <c r="L121" s="13"/>
      <c r="M121" s="80" t="s">
        <v>1</v>
      </c>
      <c r="N121" s="81" t="s">
        <v>41</v>
      </c>
      <c r="O121" s="81" t="s">
        <v>201</v>
      </c>
      <c r="P121" s="81" t="s">
        <v>202</v>
      </c>
      <c r="Q121" s="81" t="s">
        <v>203</v>
      </c>
      <c r="R121" s="81" t="s">
        <v>204</v>
      </c>
      <c r="S121" s="81" t="s">
        <v>205</v>
      </c>
      <c r="T121" s="96" t="s">
        <v>206</v>
      </c>
    </row>
    <row r="122" spans="2:65" s="1" customFormat="1" ht="23.1" customHeight="1">
      <c r="B122" s="12"/>
      <c r="C122" s="66" t="s">
        <v>207</v>
      </c>
      <c r="J122" s="82">
        <f>BK122</f>
        <v>1552321.95</v>
      </c>
      <c r="L122" s="12"/>
      <c r="M122" s="83"/>
      <c r="N122" s="35"/>
      <c r="O122" s="35"/>
      <c r="P122" s="84">
        <f>P123+P124</f>
        <v>0</v>
      </c>
      <c r="Q122" s="35"/>
      <c r="R122" s="84">
        <f>R123+R124</f>
        <v>153.35500999999999</v>
      </c>
      <c r="S122" s="35"/>
      <c r="T122" s="97">
        <f>T123+T124</f>
        <v>0</v>
      </c>
      <c r="AT122" s="23" t="s">
        <v>76</v>
      </c>
      <c r="AU122" s="23" t="s">
        <v>188</v>
      </c>
      <c r="BK122" s="102">
        <f>BK123+BK124</f>
        <v>1552321.95</v>
      </c>
    </row>
    <row r="123" spans="2:65" s="31" customFormat="1" ht="26.1" customHeight="1">
      <c r="B123" s="67"/>
      <c r="D123" s="68" t="s">
        <v>76</v>
      </c>
      <c r="E123" s="69" t="s">
        <v>352</v>
      </c>
      <c r="F123" s="69" t="s">
        <v>353</v>
      </c>
      <c r="I123" s="85"/>
      <c r="J123" s="86">
        <f>BK123</f>
        <v>0</v>
      </c>
      <c r="L123" s="67"/>
      <c r="M123" s="87"/>
      <c r="P123" s="88">
        <v>0</v>
      </c>
      <c r="R123" s="88">
        <v>0</v>
      </c>
      <c r="T123" s="98">
        <v>0</v>
      </c>
      <c r="AR123" s="68" t="s">
        <v>85</v>
      </c>
      <c r="AT123" s="100" t="s">
        <v>76</v>
      </c>
      <c r="AU123" s="100" t="s">
        <v>77</v>
      </c>
      <c r="AY123" s="68" t="s">
        <v>211</v>
      </c>
      <c r="BK123" s="103">
        <v>0</v>
      </c>
    </row>
    <row r="124" spans="2:65" s="31" customFormat="1" ht="26.1" customHeight="1">
      <c r="B124" s="67"/>
      <c r="D124" s="68" t="s">
        <v>76</v>
      </c>
      <c r="E124" s="69" t="s">
        <v>85</v>
      </c>
      <c r="F124" s="69" t="s">
        <v>354</v>
      </c>
      <c r="I124" s="85"/>
      <c r="J124" s="86">
        <f>BK124</f>
        <v>1552321.95</v>
      </c>
      <c r="L124" s="67"/>
      <c r="M124" s="87"/>
      <c r="P124" s="88">
        <f>SUM(P125:P171)</f>
        <v>0</v>
      </c>
      <c r="R124" s="88">
        <f>SUM(R125:R171)</f>
        <v>153.35500999999999</v>
      </c>
      <c r="T124" s="98">
        <f>SUM(T125:T171)</f>
        <v>0</v>
      </c>
      <c r="AR124" s="68" t="s">
        <v>85</v>
      </c>
      <c r="AT124" s="100" t="s">
        <v>76</v>
      </c>
      <c r="AU124" s="100" t="s">
        <v>77</v>
      </c>
      <c r="AY124" s="68" t="s">
        <v>211</v>
      </c>
      <c r="BK124" s="103">
        <f>SUM(BK125:BK171)</f>
        <v>1552321.95</v>
      </c>
    </row>
    <row r="125" spans="2:65" s="1" customFormat="1" ht="21.75" customHeight="1">
      <c r="B125" s="12"/>
      <c r="C125" s="71" t="s">
        <v>85</v>
      </c>
      <c r="D125" s="71" t="s">
        <v>214</v>
      </c>
      <c r="E125" s="72" t="s">
        <v>5747</v>
      </c>
      <c r="F125" s="73" t="s">
        <v>5748</v>
      </c>
      <c r="G125" s="74" t="s">
        <v>279</v>
      </c>
      <c r="H125" s="75">
        <v>473</v>
      </c>
      <c r="I125" s="90">
        <v>30</v>
      </c>
      <c r="J125" s="91">
        <f t="shared" ref="J125:J171" si="0">ROUND(I125*H125,2)</f>
        <v>14190</v>
      </c>
      <c r="K125" s="92"/>
      <c r="L125" s="12"/>
      <c r="M125" s="93" t="s">
        <v>1</v>
      </c>
      <c r="N125" s="94" t="s">
        <v>42</v>
      </c>
      <c r="P125" s="95">
        <f t="shared" ref="P125:P171" si="1">O125*H125</f>
        <v>0</v>
      </c>
      <c r="Q125" s="95">
        <v>0</v>
      </c>
      <c r="R125" s="95">
        <f t="shared" ref="R125:R171" si="2">Q125*H125</f>
        <v>0</v>
      </c>
      <c r="S125" s="95">
        <v>0</v>
      </c>
      <c r="T125" s="99">
        <f t="shared" ref="T125:T171" si="3">S125*H125</f>
        <v>0</v>
      </c>
      <c r="AR125" s="101" t="s">
        <v>218</v>
      </c>
      <c r="AT125" s="101" t="s">
        <v>214</v>
      </c>
      <c r="AU125" s="101" t="s">
        <v>85</v>
      </c>
      <c r="AY125" s="23" t="s">
        <v>211</v>
      </c>
      <c r="BE125" s="104">
        <f t="shared" ref="BE125:BE171" si="4">IF(N125="základní",J125,0)</f>
        <v>14190</v>
      </c>
      <c r="BF125" s="104">
        <f t="shared" ref="BF125:BF171" si="5">IF(N125="snížená",J125,0)</f>
        <v>0</v>
      </c>
      <c r="BG125" s="104">
        <f t="shared" ref="BG125:BG171" si="6">IF(N125="zákl. přenesená",J125,0)</f>
        <v>0</v>
      </c>
      <c r="BH125" s="104">
        <f t="shared" ref="BH125:BH171" si="7">IF(N125="sníž. přenesená",J125,0)</f>
        <v>0</v>
      </c>
      <c r="BI125" s="104">
        <f t="shared" ref="BI125:BI171" si="8">IF(N125="nulová",J125,0)</f>
        <v>0</v>
      </c>
      <c r="BJ125" s="23" t="s">
        <v>85</v>
      </c>
      <c r="BK125" s="104">
        <f t="shared" ref="BK125:BK171" si="9">ROUND(I125*H125,2)</f>
        <v>14190</v>
      </c>
      <c r="BL125" s="23" t="s">
        <v>218</v>
      </c>
      <c r="BM125" s="101" t="s">
        <v>87</v>
      </c>
    </row>
    <row r="126" spans="2:65" s="1" customFormat="1" ht="24.15" customHeight="1">
      <c r="B126" s="12"/>
      <c r="C126" s="71" t="s">
        <v>87</v>
      </c>
      <c r="D126" s="71" t="s">
        <v>214</v>
      </c>
      <c r="E126" s="72" t="s">
        <v>5749</v>
      </c>
      <c r="F126" s="73" t="s">
        <v>5750</v>
      </c>
      <c r="G126" s="74" t="s">
        <v>357</v>
      </c>
      <c r="H126" s="75">
        <v>219</v>
      </c>
      <c r="I126" s="90">
        <v>60</v>
      </c>
      <c r="J126" s="91">
        <f t="shared" si="0"/>
        <v>13140</v>
      </c>
      <c r="K126" s="92"/>
      <c r="L126" s="12"/>
      <c r="M126" s="93" t="s">
        <v>1</v>
      </c>
      <c r="N126" s="94" t="s">
        <v>42</v>
      </c>
      <c r="P126" s="95">
        <f t="shared" si="1"/>
        <v>0</v>
      </c>
      <c r="Q126" s="95">
        <v>0</v>
      </c>
      <c r="R126" s="95">
        <f t="shared" si="2"/>
        <v>0</v>
      </c>
      <c r="S126" s="95">
        <v>0</v>
      </c>
      <c r="T126" s="99">
        <f t="shared" si="3"/>
        <v>0</v>
      </c>
      <c r="AR126" s="101" t="s">
        <v>218</v>
      </c>
      <c r="AT126" s="101" t="s">
        <v>214</v>
      </c>
      <c r="AU126" s="101" t="s">
        <v>85</v>
      </c>
      <c r="AY126" s="23" t="s">
        <v>211</v>
      </c>
      <c r="BE126" s="104">
        <f t="shared" si="4"/>
        <v>13140</v>
      </c>
      <c r="BF126" s="104">
        <f t="shared" si="5"/>
        <v>0</v>
      </c>
      <c r="BG126" s="104">
        <f t="shared" si="6"/>
        <v>0</v>
      </c>
      <c r="BH126" s="104">
        <f t="shared" si="7"/>
        <v>0</v>
      </c>
      <c r="BI126" s="104">
        <f t="shared" si="8"/>
        <v>0</v>
      </c>
      <c r="BJ126" s="23" t="s">
        <v>85</v>
      </c>
      <c r="BK126" s="104">
        <f t="shared" si="9"/>
        <v>13140</v>
      </c>
      <c r="BL126" s="23" t="s">
        <v>218</v>
      </c>
      <c r="BM126" s="101" t="s">
        <v>218</v>
      </c>
    </row>
    <row r="127" spans="2:65" s="1" customFormat="1" ht="21.75" customHeight="1">
      <c r="B127" s="12"/>
      <c r="C127" s="71" t="s">
        <v>137</v>
      </c>
      <c r="D127" s="71" t="s">
        <v>214</v>
      </c>
      <c r="E127" s="72" t="s">
        <v>5751</v>
      </c>
      <c r="F127" s="73" t="s">
        <v>5752</v>
      </c>
      <c r="G127" s="74" t="s">
        <v>1599</v>
      </c>
      <c r="H127" s="75">
        <v>8</v>
      </c>
      <c r="I127" s="90">
        <v>1000</v>
      </c>
      <c r="J127" s="91">
        <f t="shared" si="0"/>
        <v>8000</v>
      </c>
      <c r="K127" s="92"/>
      <c r="L127" s="12"/>
      <c r="M127" s="93" t="s">
        <v>1</v>
      </c>
      <c r="N127" s="94" t="s">
        <v>42</v>
      </c>
      <c r="P127" s="95">
        <f t="shared" si="1"/>
        <v>0</v>
      </c>
      <c r="Q127" s="95">
        <v>0</v>
      </c>
      <c r="R127" s="95">
        <f t="shared" si="2"/>
        <v>0</v>
      </c>
      <c r="S127" s="95">
        <v>0</v>
      </c>
      <c r="T127" s="99">
        <f t="shared" si="3"/>
        <v>0</v>
      </c>
      <c r="AR127" s="101" t="s">
        <v>218</v>
      </c>
      <c r="AT127" s="101" t="s">
        <v>214</v>
      </c>
      <c r="AU127" s="101" t="s">
        <v>85</v>
      </c>
      <c r="AY127" s="23" t="s">
        <v>211</v>
      </c>
      <c r="BE127" s="104">
        <f t="shared" si="4"/>
        <v>8000</v>
      </c>
      <c r="BF127" s="104">
        <f t="shared" si="5"/>
        <v>0</v>
      </c>
      <c r="BG127" s="104">
        <f t="shared" si="6"/>
        <v>0</v>
      </c>
      <c r="BH127" s="104">
        <f t="shared" si="7"/>
        <v>0</v>
      </c>
      <c r="BI127" s="104">
        <f t="shared" si="8"/>
        <v>0</v>
      </c>
      <c r="BJ127" s="23" t="s">
        <v>85</v>
      </c>
      <c r="BK127" s="104">
        <f t="shared" si="9"/>
        <v>8000</v>
      </c>
      <c r="BL127" s="23" t="s">
        <v>218</v>
      </c>
      <c r="BM127" s="101" t="s">
        <v>239</v>
      </c>
    </row>
    <row r="128" spans="2:65" s="1" customFormat="1" ht="16.5" customHeight="1">
      <c r="B128" s="12"/>
      <c r="C128" s="71" t="s">
        <v>218</v>
      </c>
      <c r="D128" s="71" t="s">
        <v>214</v>
      </c>
      <c r="E128" s="72" t="s">
        <v>5753</v>
      </c>
      <c r="F128" s="73" t="s">
        <v>5754</v>
      </c>
      <c r="G128" s="74" t="s">
        <v>357</v>
      </c>
      <c r="H128" s="75">
        <v>267</v>
      </c>
      <c r="I128" s="90">
        <v>20</v>
      </c>
      <c r="J128" s="91">
        <f t="shared" si="0"/>
        <v>5340</v>
      </c>
      <c r="K128" s="92"/>
      <c r="L128" s="12"/>
      <c r="M128" s="93" t="s">
        <v>1</v>
      </c>
      <c r="N128" s="94" t="s">
        <v>42</v>
      </c>
      <c r="P128" s="95">
        <f t="shared" si="1"/>
        <v>0</v>
      </c>
      <c r="Q128" s="95">
        <v>0</v>
      </c>
      <c r="R128" s="95">
        <f t="shared" si="2"/>
        <v>0</v>
      </c>
      <c r="S128" s="95">
        <v>0</v>
      </c>
      <c r="T128" s="99">
        <f t="shared" si="3"/>
        <v>0</v>
      </c>
      <c r="AR128" s="101" t="s">
        <v>218</v>
      </c>
      <c r="AT128" s="101" t="s">
        <v>214</v>
      </c>
      <c r="AU128" s="101" t="s">
        <v>85</v>
      </c>
      <c r="AY128" s="23" t="s">
        <v>211</v>
      </c>
      <c r="BE128" s="104">
        <f t="shared" si="4"/>
        <v>5340</v>
      </c>
      <c r="BF128" s="104">
        <f t="shared" si="5"/>
        <v>0</v>
      </c>
      <c r="BG128" s="104">
        <f t="shared" si="6"/>
        <v>0</v>
      </c>
      <c r="BH128" s="104">
        <f t="shared" si="7"/>
        <v>0</v>
      </c>
      <c r="BI128" s="104">
        <f t="shared" si="8"/>
        <v>0</v>
      </c>
      <c r="BJ128" s="23" t="s">
        <v>85</v>
      </c>
      <c r="BK128" s="104">
        <f t="shared" si="9"/>
        <v>5340</v>
      </c>
      <c r="BL128" s="23" t="s">
        <v>218</v>
      </c>
      <c r="BM128" s="101" t="s">
        <v>250</v>
      </c>
    </row>
    <row r="129" spans="2:65" s="1" customFormat="1" ht="24.15" customHeight="1">
      <c r="B129" s="12"/>
      <c r="C129" s="71" t="s">
        <v>210</v>
      </c>
      <c r="D129" s="71" t="s">
        <v>214</v>
      </c>
      <c r="E129" s="72" t="s">
        <v>5755</v>
      </c>
      <c r="F129" s="73" t="s">
        <v>5756</v>
      </c>
      <c r="G129" s="74" t="s">
        <v>357</v>
      </c>
      <c r="H129" s="75">
        <v>267</v>
      </c>
      <c r="I129" s="90">
        <v>220</v>
      </c>
      <c r="J129" s="91">
        <f t="shared" si="0"/>
        <v>58740</v>
      </c>
      <c r="K129" s="92"/>
      <c r="L129" s="12"/>
      <c r="M129" s="93" t="s">
        <v>1</v>
      </c>
      <c r="N129" s="94" t="s">
        <v>42</v>
      </c>
      <c r="P129" s="95">
        <f t="shared" si="1"/>
        <v>0</v>
      </c>
      <c r="Q129" s="95">
        <v>0</v>
      </c>
      <c r="R129" s="95">
        <f t="shared" si="2"/>
        <v>0</v>
      </c>
      <c r="S129" s="95">
        <v>0</v>
      </c>
      <c r="T129" s="99">
        <f t="shared" si="3"/>
        <v>0</v>
      </c>
      <c r="AR129" s="101" t="s">
        <v>218</v>
      </c>
      <c r="AT129" s="101" t="s">
        <v>214</v>
      </c>
      <c r="AU129" s="101" t="s">
        <v>85</v>
      </c>
      <c r="AY129" s="23" t="s">
        <v>211</v>
      </c>
      <c r="BE129" s="104">
        <f t="shared" si="4"/>
        <v>58740</v>
      </c>
      <c r="BF129" s="104">
        <f t="shared" si="5"/>
        <v>0</v>
      </c>
      <c r="BG129" s="104">
        <f t="shared" si="6"/>
        <v>0</v>
      </c>
      <c r="BH129" s="104">
        <f t="shared" si="7"/>
        <v>0</v>
      </c>
      <c r="BI129" s="104">
        <f t="shared" si="8"/>
        <v>0</v>
      </c>
      <c r="BJ129" s="23" t="s">
        <v>85</v>
      </c>
      <c r="BK129" s="104">
        <f t="shared" si="9"/>
        <v>58740</v>
      </c>
      <c r="BL129" s="23" t="s">
        <v>218</v>
      </c>
      <c r="BM129" s="101" t="s">
        <v>259</v>
      </c>
    </row>
    <row r="130" spans="2:65" s="1" customFormat="1" ht="16.5" customHeight="1">
      <c r="B130" s="12"/>
      <c r="C130" s="71" t="s">
        <v>239</v>
      </c>
      <c r="D130" s="71" t="s">
        <v>214</v>
      </c>
      <c r="E130" s="72" t="s">
        <v>5757</v>
      </c>
      <c r="F130" s="73" t="s">
        <v>5758</v>
      </c>
      <c r="G130" s="74" t="s">
        <v>279</v>
      </c>
      <c r="H130" s="75">
        <v>473</v>
      </c>
      <c r="I130" s="90">
        <v>40</v>
      </c>
      <c r="J130" s="91">
        <f t="shared" si="0"/>
        <v>18920</v>
      </c>
      <c r="K130" s="92"/>
      <c r="L130" s="12"/>
      <c r="M130" s="93" t="s">
        <v>1</v>
      </c>
      <c r="N130" s="94" t="s">
        <v>42</v>
      </c>
      <c r="P130" s="95">
        <f t="shared" si="1"/>
        <v>0</v>
      </c>
      <c r="Q130" s="95">
        <v>0</v>
      </c>
      <c r="R130" s="95">
        <f t="shared" si="2"/>
        <v>0</v>
      </c>
      <c r="S130" s="95">
        <v>0</v>
      </c>
      <c r="T130" s="99">
        <f t="shared" si="3"/>
        <v>0</v>
      </c>
      <c r="AR130" s="101" t="s">
        <v>218</v>
      </c>
      <c r="AT130" s="101" t="s">
        <v>214</v>
      </c>
      <c r="AU130" s="101" t="s">
        <v>85</v>
      </c>
      <c r="AY130" s="23" t="s">
        <v>211</v>
      </c>
      <c r="BE130" s="104">
        <f t="shared" si="4"/>
        <v>18920</v>
      </c>
      <c r="BF130" s="104">
        <f t="shared" si="5"/>
        <v>0</v>
      </c>
      <c r="BG130" s="104">
        <f t="shared" si="6"/>
        <v>0</v>
      </c>
      <c r="BH130" s="104">
        <f t="shared" si="7"/>
        <v>0</v>
      </c>
      <c r="BI130" s="104">
        <f t="shared" si="8"/>
        <v>0</v>
      </c>
      <c r="BJ130" s="23" t="s">
        <v>85</v>
      </c>
      <c r="BK130" s="104">
        <f t="shared" si="9"/>
        <v>18920</v>
      </c>
      <c r="BL130" s="23" t="s">
        <v>218</v>
      </c>
      <c r="BM130" s="101" t="s">
        <v>273</v>
      </c>
    </row>
    <row r="131" spans="2:65" s="1" customFormat="1" ht="24.15" customHeight="1">
      <c r="B131" s="12"/>
      <c r="C131" s="71" t="s">
        <v>245</v>
      </c>
      <c r="D131" s="71" t="s">
        <v>214</v>
      </c>
      <c r="E131" s="72" t="s">
        <v>5759</v>
      </c>
      <c r="F131" s="73" t="s">
        <v>5760</v>
      </c>
      <c r="G131" s="74" t="s">
        <v>357</v>
      </c>
      <c r="H131" s="75">
        <v>75</v>
      </c>
      <c r="I131" s="90">
        <v>25</v>
      </c>
      <c r="J131" s="91">
        <f t="shared" si="0"/>
        <v>1875</v>
      </c>
      <c r="K131" s="92"/>
      <c r="L131" s="12"/>
      <c r="M131" s="93" t="s">
        <v>1</v>
      </c>
      <c r="N131" s="94" t="s">
        <v>42</v>
      </c>
      <c r="P131" s="95">
        <f t="shared" si="1"/>
        <v>0</v>
      </c>
      <c r="Q131" s="95">
        <v>0</v>
      </c>
      <c r="R131" s="95">
        <f t="shared" si="2"/>
        <v>0</v>
      </c>
      <c r="S131" s="95">
        <v>0</v>
      </c>
      <c r="T131" s="99">
        <f t="shared" si="3"/>
        <v>0</v>
      </c>
      <c r="AR131" s="101" t="s">
        <v>218</v>
      </c>
      <c r="AT131" s="101" t="s">
        <v>214</v>
      </c>
      <c r="AU131" s="101" t="s">
        <v>85</v>
      </c>
      <c r="AY131" s="23" t="s">
        <v>211</v>
      </c>
      <c r="BE131" s="104">
        <f t="shared" si="4"/>
        <v>1875</v>
      </c>
      <c r="BF131" s="104">
        <f t="shared" si="5"/>
        <v>0</v>
      </c>
      <c r="BG131" s="104">
        <f t="shared" si="6"/>
        <v>0</v>
      </c>
      <c r="BH131" s="104">
        <f t="shared" si="7"/>
        <v>0</v>
      </c>
      <c r="BI131" s="104">
        <f t="shared" si="8"/>
        <v>0</v>
      </c>
      <c r="BJ131" s="23" t="s">
        <v>85</v>
      </c>
      <c r="BK131" s="104">
        <f t="shared" si="9"/>
        <v>1875</v>
      </c>
      <c r="BL131" s="23" t="s">
        <v>218</v>
      </c>
      <c r="BM131" s="101" t="s">
        <v>437</v>
      </c>
    </row>
    <row r="132" spans="2:65" s="1" customFormat="1" ht="16.5" customHeight="1">
      <c r="B132" s="12"/>
      <c r="C132" s="71" t="s">
        <v>250</v>
      </c>
      <c r="D132" s="71" t="s">
        <v>214</v>
      </c>
      <c r="E132" s="72" t="s">
        <v>5761</v>
      </c>
      <c r="F132" s="73" t="s">
        <v>5762</v>
      </c>
      <c r="G132" s="74" t="s">
        <v>279</v>
      </c>
      <c r="H132" s="75">
        <v>1336</v>
      </c>
      <c r="I132" s="90">
        <v>150</v>
      </c>
      <c r="J132" s="91">
        <f t="shared" si="0"/>
        <v>200400</v>
      </c>
      <c r="K132" s="92"/>
      <c r="L132" s="12"/>
      <c r="M132" s="93" t="s">
        <v>1</v>
      </c>
      <c r="N132" s="94" t="s">
        <v>42</v>
      </c>
      <c r="P132" s="95">
        <f t="shared" si="1"/>
        <v>0</v>
      </c>
      <c r="Q132" s="95">
        <v>3.0000000000000001E-5</v>
      </c>
      <c r="R132" s="95">
        <f t="shared" si="2"/>
        <v>4.0079999999999998E-2</v>
      </c>
      <c r="S132" s="95">
        <v>0</v>
      </c>
      <c r="T132" s="99">
        <f t="shared" si="3"/>
        <v>0</v>
      </c>
      <c r="AR132" s="101" t="s">
        <v>218</v>
      </c>
      <c r="AT132" s="101" t="s">
        <v>214</v>
      </c>
      <c r="AU132" s="101" t="s">
        <v>85</v>
      </c>
      <c r="AY132" s="23" t="s">
        <v>211</v>
      </c>
      <c r="BE132" s="104">
        <f t="shared" si="4"/>
        <v>200400</v>
      </c>
      <c r="BF132" s="104">
        <f t="shared" si="5"/>
        <v>0</v>
      </c>
      <c r="BG132" s="104">
        <f t="shared" si="6"/>
        <v>0</v>
      </c>
      <c r="BH132" s="104">
        <f t="shared" si="7"/>
        <v>0</v>
      </c>
      <c r="BI132" s="104">
        <f t="shared" si="8"/>
        <v>0</v>
      </c>
      <c r="BJ132" s="23" t="s">
        <v>85</v>
      </c>
      <c r="BK132" s="104">
        <f t="shared" si="9"/>
        <v>200400</v>
      </c>
      <c r="BL132" s="23" t="s">
        <v>218</v>
      </c>
      <c r="BM132" s="101" t="s">
        <v>446</v>
      </c>
    </row>
    <row r="133" spans="2:65" s="1" customFormat="1" ht="21.75" customHeight="1">
      <c r="B133" s="12"/>
      <c r="C133" s="71" t="s">
        <v>255</v>
      </c>
      <c r="D133" s="71" t="s">
        <v>214</v>
      </c>
      <c r="E133" s="72" t="s">
        <v>5763</v>
      </c>
      <c r="F133" s="73" t="s">
        <v>5764</v>
      </c>
      <c r="G133" s="74" t="s">
        <v>279</v>
      </c>
      <c r="H133" s="75">
        <v>1336</v>
      </c>
      <c r="I133" s="90">
        <v>40</v>
      </c>
      <c r="J133" s="91">
        <f t="shared" si="0"/>
        <v>53440</v>
      </c>
      <c r="K133" s="92"/>
      <c r="L133" s="12"/>
      <c r="M133" s="93" t="s">
        <v>1</v>
      </c>
      <c r="N133" s="94" t="s">
        <v>42</v>
      </c>
      <c r="P133" s="95">
        <f t="shared" si="1"/>
        <v>0</v>
      </c>
      <c r="Q133" s="95">
        <v>0</v>
      </c>
      <c r="R133" s="95">
        <f t="shared" si="2"/>
        <v>0</v>
      </c>
      <c r="S133" s="95">
        <v>0</v>
      </c>
      <c r="T133" s="99">
        <f t="shared" si="3"/>
        <v>0</v>
      </c>
      <c r="AR133" s="101" t="s">
        <v>218</v>
      </c>
      <c r="AT133" s="101" t="s">
        <v>214</v>
      </c>
      <c r="AU133" s="101" t="s">
        <v>85</v>
      </c>
      <c r="AY133" s="23" t="s">
        <v>211</v>
      </c>
      <c r="BE133" s="104">
        <f t="shared" si="4"/>
        <v>53440</v>
      </c>
      <c r="BF133" s="104">
        <f t="shared" si="5"/>
        <v>0</v>
      </c>
      <c r="BG133" s="104">
        <f t="shared" si="6"/>
        <v>0</v>
      </c>
      <c r="BH133" s="104">
        <f t="shared" si="7"/>
        <v>0</v>
      </c>
      <c r="BI133" s="104">
        <f t="shared" si="8"/>
        <v>0</v>
      </c>
      <c r="BJ133" s="23" t="s">
        <v>85</v>
      </c>
      <c r="BK133" s="104">
        <f t="shared" si="9"/>
        <v>53440</v>
      </c>
      <c r="BL133" s="23" t="s">
        <v>218</v>
      </c>
      <c r="BM133" s="101" t="s">
        <v>454</v>
      </c>
    </row>
    <row r="134" spans="2:65" s="1" customFormat="1" ht="16.5" customHeight="1">
      <c r="B134" s="12"/>
      <c r="C134" s="71" t="s">
        <v>259</v>
      </c>
      <c r="D134" s="71" t="s">
        <v>214</v>
      </c>
      <c r="E134" s="72" t="s">
        <v>5765</v>
      </c>
      <c r="F134" s="73" t="s">
        <v>5766</v>
      </c>
      <c r="G134" s="74" t="s">
        <v>279</v>
      </c>
      <c r="H134" s="75">
        <v>1336</v>
      </c>
      <c r="I134" s="90">
        <v>1</v>
      </c>
      <c r="J134" s="91">
        <f t="shared" si="0"/>
        <v>1336</v>
      </c>
      <c r="K134" s="92"/>
      <c r="L134" s="12"/>
      <c r="M134" s="93" t="s">
        <v>1</v>
      </c>
      <c r="N134" s="94" t="s">
        <v>42</v>
      </c>
      <c r="P134" s="95">
        <f t="shared" si="1"/>
        <v>0</v>
      </c>
      <c r="Q134" s="95">
        <v>0</v>
      </c>
      <c r="R134" s="95">
        <f t="shared" si="2"/>
        <v>0</v>
      </c>
      <c r="S134" s="95">
        <v>0</v>
      </c>
      <c r="T134" s="99">
        <f t="shared" si="3"/>
        <v>0</v>
      </c>
      <c r="AR134" s="101" t="s">
        <v>218</v>
      </c>
      <c r="AT134" s="101" t="s">
        <v>214</v>
      </c>
      <c r="AU134" s="101" t="s">
        <v>85</v>
      </c>
      <c r="AY134" s="23" t="s">
        <v>211</v>
      </c>
      <c r="BE134" s="104">
        <f t="shared" si="4"/>
        <v>1336</v>
      </c>
      <c r="BF134" s="104">
        <f t="shared" si="5"/>
        <v>0</v>
      </c>
      <c r="BG134" s="104">
        <f t="shared" si="6"/>
        <v>0</v>
      </c>
      <c r="BH134" s="104">
        <f t="shared" si="7"/>
        <v>0</v>
      </c>
      <c r="BI134" s="104">
        <f t="shared" si="8"/>
        <v>0</v>
      </c>
      <c r="BJ134" s="23" t="s">
        <v>85</v>
      </c>
      <c r="BK134" s="104">
        <f t="shared" si="9"/>
        <v>1336</v>
      </c>
      <c r="BL134" s="23" t="s">
        <v>218</v>
      </c>
      <c r="BM134" s="101" t="s">
        <v>465</v>
      </c>
    </row>
    <row r="135" spans="2:65" s="1" customFormat="1" ht="16.5" customHeight="1">
      <c r="B135" s="12"/>
      <c r="C135" s="71" t="s">
        <v>266</v>
      </c>
      <c r="D135" s="71" t="s">
        <v>214</v>
      </c>
      <c r="E135" s="72" t="s">
        <v>5767</v>
      </c>
      <c r="F135" s="73" t="s">
        <v>5768</v>
      </c>
      <c r="G135" s="74" t="s">
        <v>279</v>
      </c>
      <c r="H135" s="75">
        <v>1586</v>
      </c>
      <c r="I135" s="90">
        <v>5</v>
      </c>
      <c r="J135" s="91">
        <f t="shared" si="0"/>
        <v>7930</v>
      </c>
      <c r="K135" s="92"/>
      <c r="L135" s="12"/>
      <c r="M135" s="93" t="s">
        <v>1</v>
      </c>
      <c r="N135" s="94" t="s">
        <v>42</v>
      </c>
      <c r="P135" s="95">
        <f t="shared" si="1"/>
        <v>0</v>
      </c>
      <c r="Q135" s="95">
        <v>0</v>
      </c>
      <c r="R135" s="95">
        <f t="shared" si="2"/>
        <v>0</v>
      </c>
      <c r="S135" s="95">
        <v>0</v>
      </c>
      <c r="T135" s="99">
        <f t="shared" si="3"/>
        <v>0</v>
      </c>
      <c r="AR135" s="101" t="s">
        <v>218</v>
      </c>
      <c r="AT135" s="101" t="s">
        <v>214</v>
      </c>
      <c r="AU135" s="101" t="s">
        <v>85</v>
      </c>
      <c r="AY135" s="23" t="s">
        <v>211</v>
      </c>
      <c r="BE135" s="104">
        <f t="shared" si="4"/>
        <v>7930</v>
      </c>
      <c r="BF135" s="104">
        <f t="shared" si="5"/>
        <v>0</v>
      </c>
      <c r="BG135" s="104">
        <f t="shared" si="6"/>
        <v>0</v>
      </c>
      <c r="BH135" s="104">
        <f t="shared" si="7"/>
        <v>0</v>
      </c>
      <c r="BI135" s="104">
        <f t="shared" si="8"/>
        <v>0</v>
      </c>
      <c r="BJ135" s="23" t="s">
        <v>85</v>
      </c>
      <c r="BK135" s="104">
        <f t="shared" si="9"/>
        <v>7930</v>
      </c>
      <c r="BL135" s="23" t="s">
        <v>218</v>
      </c>
      <c r="BM135" s="101" t="s">
        <v>475</v>
      </c>
    </row>
    <row r="136" spans="2:65" s="1" customFormat="1" ht="16.5" customHeight="1">
      <c r="B136" s="12"/>
      <c r="C136" s="71" t="s">
        <v>273</v>
      </c>
      <c r="D136" s="71" t="s">
        <v>214</v>
      </c>
      <c r="E136" s="72" t="s">
        <v>5769</v>
      </c>
      <c r="F136" s="73" t="s">
        <v>5770</v>
      </c>
      <c r="G136" s="74" t="s">
        <v>394</v>
      </c>
      <c r="H136" s="75">
        <v>0.08</v>
      </c>
      <c r="I136" s="90">
        <v>8000</v>
      </c>
      <c r="J136" s="91">
        <f t="shared" si="0"/>
        <v>640</v>
      </c>
      <c r="K136" s="92"/>
      <c r="L136" s="12"/>
      <c r="M136" s="93" t="s">
        <v>1</v>
      </c>
      <c r="N136" s="94" t="s">
        <v>42</v>
      </c>
      <c r="P136" s="95">
        <f t="shared" si="1"/>
        <v>0</v>
      </c>
      <c r="Q136" s="95">
        <v>0</v>
      </c>
      <c r="R136" s="95">
        <f t="shared" si="2"/>
        <v>0</v>
      </c>
      <c r="S136" s="95">
        <v>0</v>
      </c>
      <c r="T136" s="99">
        <f t="shared" si="3"/>
        <v>0</v>
      </c>
      <c r="AR136" s="101" t="s">
        <v>218</v>
      </c>
      <c r="AT136" s="101" t="s">
        <v>214</v>
      </c>
      <c r="AU136" s="101" t="s">
        <v>85</v>
      </c>
      <c r="AY136" s="23" t="s">
        <v>211</v>
      </c>
      <c r="BE136" s="104">
        <f t="shared" si="4"/>
        <v>640</v>
      </c>
      <c r="BF136" s="104">
        <f t="shared" si="5"/>
        <v>0</v>
      </c>
      <c r="BG136" s="104">
        <f t="shared" si="6"/>
        <v>0</v>
      </c>
      <c r="BH136" s="104">
        <f t="shared" si="7"/>
        <v>0</v>
      </c>
      <c r="BI136" s="104">
        <f t="shared" si="8"/>
        <v>0</v>
      </c>
      <c r="BJ136" s="23" t="s">
        <v>85</v>
      </c>
      <c r="BK136" s="104">
        <f t="shared" si="9"/>
        <v>640</v>
      </c>
      <c r="BL136" s="23" t="s">
        <v>218</v>
      </c>
      <c r="BM136" s="101" t="s">
        <v>486</v>
      </c>
    </row>
    <row r="137" spans="2:65" s="1" customFormat="1" ht="21.75" customHeight="1">
      <c r="B137" s="12"/>
      <c r="C137" s="71" t="s">
        <v>433</v>
      </c>
      <c r="D137" s="71" t="s">
        <v>214</v>
      </c>
      <c r="E137" s="72" t="s">
        <v>5771</v>
      </c>
      <c r="F137" s="73" t="s">
        <v>5772</v>
      </c>
      <c r="G137" s="74" t="s">
        <v>279</v>
      </c>
      <c r="H137" s="75">
        <v>1586</v>
      </c>
      <c r="I137" s="90">
        <v>10</v>
      </c>
      <c r="J137" s="91">
        <f t="shared" si="0"/>
        <v>15860</v>
      </c>
      <c r="K137" s="92"/>
      <c r="L137" s="12"/>
      <c r="M137" s="93" t="s">
        <v>1</v>
      </c>
      <c r="N137" s="94" t="s">
        <v>42</v>
      </c>
      <c r="P137" s="95">
        <f t="shared" si="1"/>
        <v>0</v>
      </c>
      <c r="Q137" s="95">
        <v>0</v>
      </c>
      <c r="R137" s="95">
        <f t="shared" si="2"/>
        <v>0</v>
      </c>
      <c r="S137" s="95">
        <v>0</v>
      </c>
      <c r="T137" s="99">
        <f t="shared" si="3"/>
        <v>0</v>
      </c>
      <c r="AR137" s="101" t="s">
        <v>218</v>
      </c>
      <c r="AT137" s="101" t="s">
        <v>214</v>
      </c>
      <c r="AU137" s="101" t="s">
        <v>85</v>
      </c>
      <c r="AY137" s="23" t="s">
        <v>211</v>
      </c>
      <c r="BE137" s="104">
        <f t="shared" si="4"/>
        <v>15860</v>
      </c>
      <c r="BF137" s="104">
        <f t="shared" si="5"/>
        <v>0</v>
      </c>
      <c r="BG137" s="104">
        <f t="shared" si="6"/>
        <v>0</v>
      </c>
      <c r="BH137" s="104">
        <f t="shared" si="7"/>
        <v>0</v>
      </c>
      <c r="BI137" s="104">
        <f t="shared" si="8"/>
        <v>0</v>
      </c>
      <c r="BJ137" s="23" t="s">
        <v>85</v>
      </c>
      <c r="BK137" s="104">
        <f t="shared" si="9"/>
        <v>15860</v>
      </c>
      <c r="BL137" s="23" t="s">
        <v>218</v>
      </c>
      <c r="BM137" s="101" t="s">
        <v>496</v>
      </c>
    </row>
    <row r="138" spans="2:65" s="1" customFormat="1" ht="21.75" customHeight="1">
      <c r="B138" s="12"/>
      <c r="C138" s="71" t="s">
        <v>437</v>
      </c>
      <c r="D138" s="71" t="s">
        <v>214</v>
      </c>
      <c r="E138" s="72" t="s">
        <v>5773</v>
      </c>
      <c r="F138" s="73" t="s">
        <v>5774</v>
      </c>
      <c r="G138" s="74" t="s">
        <v>1599</v>
      </c>
      <c r="H138" s="75">
        <v>17</v>
      </c>
      <c r="I138" s="90">
        <v>1200</v>
      </c>
      <c r="J138" s="91">
        <f t="shared" si="0"/>
        <v>20400</v>
      </c>
      <c r="K138" s="92"/>
      <c r="L138" s="12"/>
      <c r="M138" s="93" t="s">
        <v>1</v>
      </c>
      <c r="N138" s="94" t="s">
        <v>42</v>
      </c>
      <c r="P138" s="95">
        <f t="shared" si="1"/>
        <v>0</v>
      </c>
      <c r="Q138" s="95">
        <v>0</v>
      </c>
      <c r="R138" s="95">
        <f t="shared" si="2"/>
        <v>0</v>
      </c>
      <c r="S138" s="95">
        <v>0</v>
      </c>
      <c r="T138" s="99">
        <f t="shared" si="3"/>
        <v>0</v>
      </c>
      <c r="AR138" s="101" t="s">
        <v>218</v>
      </c>
      <c r="AT138" s="101" t="s">
        <v>214</v>
      </c>
      <c r="AU138" s="101" t="s">
        <v>85</v>
      </c>
      <c r="AY138" s="23" t="s">
        <v>211</v>
      </c>
      <c r="BE138" s="104">
        <f t="shared" si="4"/>
        <v>20400</v>
      </c>
      <c r="BF138" s="104">
        <f t="shared" si="5"/>
        <v>0</v>
      </c>
      <c r="BG138" s="104">
        <f t="shared" si="6"/>
        <v>0</v>
      </c>
      <c r="BH138" s="104">
        <f t="shared" si="7"/>
        <v>0</v>
      </c>
      <c r="BI138" s="104">
        <f t="shared" si="8"/>
        <v>0</v>
      </c>
      <c r="BJ138" s="23" t="s">
        <v>85</v>
      </c>
      <c r="BK138" s="104">
        <f t="shared" si="9"/>
        <v>20400</v>
      </c>
      <c r="BL138" s="23" t="s">
        <v>218</v>
      </c>
      <c r="BM138" s="101" t="s">
        <v>507</v>
      </c>
    </row>
    <row r="139" spans="2:65" s="1" customFormat="1" ht="21.75" customHeight="1">
      <c r="B139" s="12"/>
      <c r="C139" s="71" t="s">
        <v>8</v>
      </c>
      <c r="D139" s="71" t="s">
        <v>214</v>
      </c>
      <c r="E139" s="72" t="s">
        <v>5775</v>
      </c>
      <c r="F139" s="73" t="s">
        <v>5776</v>
      </c>
      <c r="G139" s="74" t="s">
        <v>1599</v>
      </c>
      <c r="H139" s="75">
        <v>728</v>
      </c>
      <c r="I139" s="90">
        <v>80</v>
      </c>
      <c r="J139" s="91">
        <f t="shared" si="0"/>
        <v>58240</v>
      </c>
      <c r="K139" s="92"/>
      <c r="L139" s="12"/>
      <c r="M139" s="93" t="s">
        <v>1</v>
      </c>
      <c r="N139" s="94" t="s">
        <v>42</v>
      </c>
      <c r="P139" s="95">
        <f t="shared" si="1"/>
        <v>0</v>
      </c>
      <c r="Q139" s="95">
        <v>0</v>
      </c>
      <c r="R139" s="95">
        <f t="shared" si="2"/>
        <v>0</v>
      </c>
      <c r="S139" s="95">
        <v>0</v>
      </c>
      <c r="T139" s="99">
        <f t="shared" si="3"/>
        <v>0</v>
      </c>
      <c r="AR139" s="101" t="s">
        <v>218</v>
      </c>
      <c r="AT139" s="101" t="s">
        <v>214</v>
      </c>
      <c r="AU139" s="101" t="s">
        <v>85</v>
      </c>
      <c r="AY139" s="23" t="s">
        <v>211</v>
      </c>
      <c r="BE139" s="104">
        <f t="shared" si="4"/>
        <v>58240</v>
      </c>
      <c r="BF139" s="104">
        <f t="shared" si="5"/>
        <v>0</v>
      </c>
      <c r="BG139" s="104">
        <f t="shared" si="6"/>
        <v>0</v>
      </c>
      <c r="BH139" s="104">
        <f t="shared" si="7"/>
        <v>0</v>
      </c>
      <c r="BI139" s="104">
        <f t="shared" si="8"/>
        <v>0</v>
      </c>
      <c r="BJ139" s="23" t="s">
        <v>85</v>
      </c>
      <c r="BK139" s="104">
        <f t="shared" si="9"/>
        <v>58240</v>
      </c>
      <c r="BL139" s="23" t="s">
        <v>218</v>
      </c>
      <c r="BM139" s="101" t="s">
        <v>517</v>
      </c>
    </row>
    <row r="140" spans="2:65" s="1" customFormat="1" ht="16.5" customHeight="1">
      <c r="B140" s="12"/>
      <c r="C140" s="71" t="s">
        <v>446</v>
      </c>
      <c r="D140" s="71" t="s">
        <v>214</v>
      </c>
      <c r="E140" s="72" t="s">
        <v>5777</v>
      </c>
      <c r="F140" s="73" t="s">
        <v>5778</v>
      </c>
      <c r="G140" s="74" t="s">
        <v>1599</v>
      </c>
      <c r="H140" s="75">
        <v>17</v>
      </c>
      <c r="I140" s="90">
        <v>630</v>
      </c>
      <c r="J140" s="91">
        <f t="shared" si="0"/>
        <v>10710</v>
      </c>
      <c r="K140" s="92"/>
      <c r="L140" s="12"/>
      <c r="M140" s="93" t="s">
        <v>1</v>
      </c>
      <c r="N140" s="94" t="s">
        <v>42</v>
      </c>
      <c r="P140" s="95">
        <f t="shared" si="1"/>
        <v>0</v>
      </c>
      <c r="Q140" s="95">
        <v>0</v>
      </c>
      <c r="R140" s="95">
        <f t="shared" si="2"/>
        <v>0</v>
      </c>
      <c r="S140" s="95">
        <v>0</v>
      </c>
      <c r="T140" s="99">
        <f t="shared" si="3"/>
        <v>0</v>
      </c>
      <c r="AR140" s="101" t="s">
        <v>218</v>
      </c>
      <c r="AT140" s="101" t="s">
        <v>214</v>
      </c>
      <c r="AU140" s="101" t="s">
        <v>85</v>
      </c>
      <c r="AY140" s="23" t="s">
        <v>211</v>
      </c>
      <c r="BE140" s="104">
        <f t="shared" si="4"/>
        <v>10710</v>
      </c>
      <c r="BF140" s="104">
        <f t="shared" si="5"/>
        <v>0</v>
      </c>
      <c r="BG140" s="104">
        <f t="shared" si="6"/>
        <v>0</v>
      </c>
      <c r="BH140" s="104">
        <f t="shared" si="7"/>
        <v>0</v>
      </c>
      <c r="BI140" s="104">
        <f t="shared" si="8"/>
        <v>0</v>
      </c>
      <c r="BJ140" s="23" t="s">
        <v>85</v>
      </c>
      <c r="BK140" s="104">
        <f t="shared" si="9"/>
        <v>10710</v>
      </c>
      <c r="BL140" s="23" t="s">
        <v>218</v>
      </c>
      <c r="BM140" s="101" t="s">
        <v>527</v>
      </c>
    </row>
    <row r="141" spans="2:65" s="1" customFormat="1" ht="16.5" customHeight="1">
      <c r="B141" s="12"/>
      <c r="C141" s="71" t="s">
        <v>450</v>
      </c>
      <c r="D141" s="71" t="s">
        <v>214</v>
      </c>
      <c r="E141" s="72" t="s">
        <v>5779</v>
      </c>
      <c r="F141" s="73" t="s">
        <v>5780</v>
      </c>
      <c r="G141" s="74" t="s">
        <v>1599</v>
      </c>
      <c r="H141" s="75">
        <v>728</v>
      </c>
      <c r="I141" s="90">
        <v>100</v>
      </c>
      <c r="J141" s="91">
        <f t="shared" si="0"/>
        <v>72800</v>
      </c>
      <c r="K141" s="92"/>
      <c r="L141" s="12"/>
      <c r="M141" s="93" t="s">
        <v>1</v>
      </c>
      <c r="N141" s="94" t="s">
        <v>42</v>
      </c>
      <c r="P141" s="95">
        <f t="shared" si="1"/>
        <v>0</v>
      </c>
      <c r="Q141" s="95">
        <v>0</v>
      </c>
      <c r="R141" s="95">
        <f t="shared" si="2"/>
        <v>0</v>
      </c>
      <c r="S141" s="95">
        <v>0</v>
      </c>
      <c r="T141" s="99">
        <f t="shared" si="3"/>
        <v>0</v>
      </c>
      <c r="AR141" s="101" t="s">
        <v>218</v>
      </c>
      <c r="AT141" s="101" t="s">
        <v>214</v>
      </c>
      <c r="AU141" s="101" t="s">
        <v>85</v>
      </c>
      <c r="AY141" s="23" t="s">
        <v>211</v>
      </c>
      <c r="BE141" s="104">
        <f t="shared" si="4"/>
        <v>72800</v>
      </c>
      <c r="BF141" s="104">
        <f t="shared" si="5"/>
        <v>0</v>
      </c>
      <c r="BG141" s="104">
        <f t="shared" si="6"/>
        <v>0</v>
      </c>
      <c r="BH141" s="104">
        <f t="shared" si="7"/>
        <v>0</v>
      </c>
      <c r="BI141" s="104">
        <f t="shared" si="8"/>
        <v>0</v>
      </c>
      <c r="BJ141" s="23" t="s">
        <v>85</v>
      </c>
      <c r="BK141" s="104">
        <f t="shared" si="9"/>
        <v>72800</v>
      </c>
      <c r="BL141" s="23" t="s">
        <v>218</v>
      </c>
      <c r="BM141" s="101" t="s">
        <v>537</v>
      </c>
    </row>
    <row r="142" spans="2:65" s="1" customFormat="1" ht="16.5" customHeight="1">
      <c r="B142" s="12"/>
      <c r="C142" s="71" t="s">
        <v>454</v>
      </c>
      <c r="D142" s="71" t="s">
        <v>214</v>
      </c>
      <c r="E142" s="72" t="s">
        <v>5781</v>
      </c>
      <c r="F142" s="73" t="s">
        <v>5782</v>
      </c>
      <c r="G142" s="74" t="s">
        <v>279</v>
      </c>
      <c r="H142" s="75">
        <v>287</v>
      </c>
      <c r="I142" s="90">
        <v>200</v>
      </c>
      <c r="J142" s="91">
        <f t="shared" si="0"/>
        <v>57400</v>
      </c>
      <c r="K142" s="92"/>
      <c r="L142" s="12"/>
      <c r="M142" s="93" t="s">
        <v>1</v>
      </c>
      <c r="N142" s="94" t="s">
        <v>42</v>
      </c>
      <c r="P142" s="95">
        <f t="shared" si="1"/>
        <v>0</v>
      </c>
      <c r="Q142" s="95">
        <v>0</v>
      </c>
      <c r="R142" s="95">
        <f t="shared" si="2"/>
        <v>0</v>
      </c>
      <c r="S142" s="95">
        <v>0</v>
      </c>
      <c r="T142" s="99">
        <f t="shared" si="3"/>
        <v>0</v>
      </c>
      <c r="AR142" s="101" t="s">
        <v>218</v>
      </c>
      <c r="AT142" s="101" t="s">
        <v>214</v>
      </c>
      <c r="AU142" s="101" t="s">
        <v>85</v>
      </c>
      <c r="AY142" s="23" t="s">
        <v>211</v>
      </c>
      <c r="BE142" s="104">
        <f t="shared" si="4"/>
        <v>57400</v>
      </c>
      <c r="BF142" s="104">
        <f t="shared" si="5"/>
        <v>0</v>
      </c>
      <c r="BG142" s="104">
        <f t="shared" si="6"/>
        <v>0</v>
      </c>
      <c r="BH142" s="104">
        <f t="shared" si="7"/>
        <v>0</v>
      </c>
      <c r="BI142" s="104">
        <f t="shared" si="8"/>
        <v>0</v>
      </c>
      <c r="BJ142" s="23" t="s">
        <v>85</v>
      </c>
      <c r="BK142" s="104">
        <f t="shared" si="9"/>
        <v>57400</v>
      </c>
      <c r="BL142" s="23" t="s">
        <v>218</v>
      </c>
      <c r="BM142" s="101" t="s">
        <v>551</v>
      </c>
    </row>
    <row r="143" spans="2:65" s="1" customFormat="1" ht="16.5" customHeight="1">
      <c r="B143" s="12"/>
      <c r="C143" s="71" t="s">
        <v>459</v>
      </c>
      <c r="D143" s="71" t="s">
        <v>214</v>
      </c>
      <c r="E143" s="72" t="s">
        <v>5783</v>
      </c>
      <c r="F143" s="73" t="s">
        <v>5784</v>
      </c>
      <c r="G143" s="74" t="s">
        <v>1599</v>
      </c>
      <c r="H143" s="75">
        <v>17</v>
      </c>
      <c r="I143" s="90">
        <v>500</v>
      </c>
      <c r="J143" s="91">
        <f t="shared" si="0"/>
        <v>8500</v>
      </c>
      <c r="K143" s="92"/>
      <c r="L143" s="12"/>
      <c r="M143" s="93" t="s">
        <v>1</v>
      </c>
      <c r="N143" s="94" t="s">
        <v>42</v>
      </c>
      <c r="P143" s="95">
        <f t="shared" si="1"/>
        <v>0</v>
      </c>
      <c r="Q143" s="95">
        <v>5.5999999999999995E-4</v>
      </c>
      <c r="R143" s="95">
        <f t="shared" si="2"/>
        <v>9.5200000000000007E-3</v>
      </c>
      <c r="S143" s="95">
        <v>0</v>
      </c>
      <c r="T143" s="99">
        <f t="shared" si="3"/>
        <v>0</v>
      </c>
      <c r="AR143" s="101" t="s">
        <v>218</v>
      </c>
      <c r="AT143" s="101" t="s">
        <v>214</v>
      </c>
      <c r="AU143" s="101" t="s">
        <v>85</v>
      </c>
      <c r="AY143" s="23" t="s">
        <v>211</v>
      </c>
      <c r="BE143" s="104">
        <f t="shared" si="4"/>
        <v>8500</v>
      </c>
      <c r="BF143" s="104">
        <f t="shared" si="5"/>
        <v>0</v>
      </c>
      <c r="BG143" s="104">
        <f t="shared" si="6"/>
        <v>0</v>
      </c>
      <c r="BH143" s="104">
        <f t="shared" si="7"/>
        <v>0</v>
      </c>
      <c r="BI143" s="104">
        <f t="shared" si="8"/>
        <v>0</v>
      </c>
      <c r="BJ143" s="23" t="s">
        <v>85</v>
      </c>
      <c r="BK143" s="104">
        <f t="shared" si="9"/>
        <v>8500</v>
      </c>
      <c r="BL143" s="23" t="s">
        <v>218</v>
      </c>
      <c r="BM143" s="101" t="s">
        <v>566</v>
      </c>
    </row>
    <row r="144" spans="2:65" s="1" customFormat="1" ht="16.5" customHeight="1">
      <c r="B144" s="12"/>
      <c r="C144" s="71" t="s">
        <v>465</v>
      </c>
      <c r="D144" s="71" t="s">
        <v>214</v>
      </c>
      <c r="E144" s="72" t="s">
        <v>5785</v>
      </c>
      <c r="F144" s="73" t="s">
        <v>5786</v>
      </c>
      <c r="G144" s="74" t="s">
        <v>279</v>
      </c>
      <c r="H144" s="75">
        <v>1300</v>
      </c>
      <c r="I144" s="90">
        <v>30</v>
      </c>
      <c r="J144" s="91">
        <f t="shared" si="0"/>
        <v>39000</v>
      </c>
      <c r="K144" s="92"/>
      <c r="L144" s="12"/>
      <c r="M144" s="93" t="s">
        <v>1</v>
      </c>
      <c r="N144" s="94" t="s">
        <v>42</v>
      </c>
      <c r="P144" s="95">
        <f t="shared" si="1"/>
        <v>0</v>
      </c>
      <c r="Q144" s="95">
        <v>0</v>
      </c>
      <c r="R144" s="95">
        <f t="shared" si="2"/>
        <v>0</v>
      </c>
      <c r="S144" s="95">
        <v>0</v>
      </c>
      <c r="T144" s="99">
        <f t="shared" si="3"/>
        <v>0</v>
      </c>
      <c r="AR144" s="101" t="s">
        <v>218</v>
      </c>
      <c r="AT144" s="101" t="s">
        <v>214</v>
      </c>
      <c r="AU144" s="101" t="s">
        <v>85</v>
      </c>
      <c r="AY144" s="23" t="s">
        <v>211</v>
      </c>
      <c r="BE144" s="104">
        <f t="shared" si="4"/>
        <v>39000</v>
      </c>
      <c r="BF144" s="104">
        <f t="shared" si="5"/>
        <v>0</v>
      </c>
      <c r="BG144" s="104">
        <f t="shared" si="6"/>
        <v>0</v>
      </c>
      <c r="BH144" s="104">
        <f t="shared" si="7"/>
        <v>0</v>
      </c>
      <c r="BI144" s="104">
        <f t="shared" si="8"/>
        <v>0</v>
      </c>
      <c r="BJ144" s="23" t="s">
        <v>85</v>
      </c>
      <c r="BK144" s="104">
        <f t="shared" si="9"/>
        <v>39000</v>
      </c>
      <c r="BL144" s="23" t="s">
        <v>218</v>
      </c>
      <c r="BM144" s="101" t="s">
        <v>578</v>
      </c>
    </row>
    <row r="145" spans="2:65" s="1" customFormat="1" ht="16.5" customHeight="1">
      <c r="B145" s="12"/>
      <c r="C145" s="71" t="s">
        <v>7</v>
      </c>
      <c r="D145" s="71" t="s">
        <v>214</v>
      </c>
      <c r="E145" s="72" t="s">
        <v>5787</v>
      </c>
      <c r="F145" s="73" t="s">
        <v>5788</v>
      </c>
      <c r="G145" s="74" t="s">
        <v>279</v>
      </c>
      <c r="H145" s="75">
        <v>250</v>
      </c>
      <c r="I145" s="90">
        <v>80</v>
      </c>
      <c r="J145" s="91">
        <f t="shared" si="0"/>
        <v>20000</v>
      </c>
      <c r="K145" s="92"/>
      <c r="L145" s="12"/>
      <c r="M145" s="93" t="s">
        <v>1</v>
      </c>
      <c r="N145" s="94" t="s">
        <v>42</v>
      </c>
      <c r="P145" s="95">
        <f t="shared" si="1"/>
        <v>0</v>
      </c>
      <c r="Q145" s="95">
        <v>5.0000000000000001E-4</v>
      </c>
      <c r="R145" s="95">
        <f t="shared" si="2"/>
        <v>0.125</v>
      </c>
      <c r="S145" s="95">
        <v>0</v>
      </c>
      <c r="T145" s="99">
        <f t="shared" si="3"/>
        <v>0</v>
      </c>
      <c r="AR145" s="101" t="s">
        <v>218</v>
      </c>
      <c r="AT145" s="101" t="s">
        <v>214</v>
      </c>
      <c r="AU145" s="101" t="s">
        <v>85</v>
      </c>
      <c r="AY145" s="23" t="s">
        <v>211</v>
      </c>
      <c r="BE145" s="104">
        <f t="shared" si="4"/>
        <v>20000</v>
      </c>
      <c r="BF145" s="104">
        <f t="shared" si="5"/>
        <v>0</v>
      </c>
      <c r="BG145" s="104">
        <f t="shared" si="6"/>
        <v>0</v>
      </c>
      <c r="BH145" s="104">
        <f t="shared" si="7"/>
        <v>0</v>
      </c>
      <c r="BI145" s="104">
        <f t="shared" si="8"/>
        <v>0</v>
      </c>
      <c r="BJ145" s="23" t="s">
        <v>85</v>
      </c>
      <c r="BK145" s="104">
        <f t="shared" si="9"/>
        <v>20000</v>
      </c>
      <c r="BL145" s="23" t="s">
        <v>218</v>
      </c>
      <c r="BM145" s="101" t="s">
        <v>588</v>
      </c>
    </row>
    <row r="146" spans="2:65" s="1" customFormat="1" ht="38.1" customHeight="1">
      <c r="B146" s="12"/>
      <c r="C146" s="71" t="s">
        <v>475</v>
      </c>
      <c r="D146" s="71" t="s">
        <v>214</v>
      </c>
      <c r="E146" s="72" t="s">
        <v>5789</v>
      </c>
      <c r="F146" s="73" t="s">
        <v>5790</v>
      </c>
      <c r="G146" s="74" t="s">
        <v>357</v>
      </c>
      <c r="H146" s="75">
        <v>5</v>
      </c>
      <c r="I146" s="90">
        <v>2200</v>
      </c>
      <c r="J146" s="91">
        <f t="shared" si="0"/>
        <v>11000</v>
      </c>
      <c r="K146" s="92"/>
      <c r="L146" s="12"/>
      <c r="M146" s="93" t="s">
        <v>1</v>
      </c>
      <c r="N146" s="94" t="s">
        <v>42</v>
      </c>
      <c r="P146" s="95">
        <f t="shared" si="1"/>
        <v>0</v>
      </c>
      <c r="Q146" s="95">
        <v>1.6</v>
      </c>
      <c r="R146" s="95">
        <f t="shared" si="2"/>
        <v>8</v>
      </c>
      <c r="S146" s="95">
        <v>0</v>
      </c>
      <c r="T146" s="99">
        <f t="shared" si="3"/>
        <v>0</v>
      </c>
      <c r="AR146" s="101" t="s">
        <v>218</v>
      </c>
      <c r="AT146" s="101" t="s">
        <v>214</v>
      </c>
      <c r="AU146" s="101" t="s">
        <v>85</v>
      </c>
      <c r="AY146" s="23" t="s">
        <v>211</v>
      </c>
      <c r="BE146" s="104">
        <f t="shared" si="4"/>
        <v>11000</v>
      </c>
      <c r="BF146" s="104">
        <f t="shared" si="5"/>
        <v>0</v>
      </c>
      <c r="BG146" s="104">
        <f t="shared" si="6"/>
        <v>0</v>
      </c>
      <c r="BH146" s="104">
        <f t="shared" si="7"/>
        <v>0</v>
      </c>
      <c r="BI146" s="104">
        <f t="shared" si="8"/>
        <v>0</v>
      </c>
      <c r="BJ146" s="23" t="s">
        <v>85</v>
      </c>
      <c r="BK146" s="104">
        <f t="shared" si="9"/>
        <v>11000</v>
      </c>
      <c r="BL146" s="23" t="s">
        <v>218</v>
      </c>
      <c r="BM146" s="101" t="s">
        <v>598</v>
      </c>
    </row>
    <row r="147" spans="2:65" s="1" customFormat="1" ht="16.5" customHeight="1">
      <c r="B147" s="12"/>
      <c r="C147" s="71" t="s">
        <v>481</v>
      </c>
      <c r="D147" s="71" t="s">
        <v>214</v>
      </c>
      <c r="E147" s="72" t="s">
        <v>5791</v>
      </c>
      <c r="F147" s="73" t="s">
        <v>5792</v>
      </c>
      <c r="G147" s="74" t="s">
        <v>279</v>
      </c>
      <c r="H147" s="75">
        <v>262</v>
      </c>
      <c r="I147" s="90">
        <v>900</v>
      </c>
      <c r="J147" s="91">
        <f t="shared" si="0"/>
        <v>235800</v>
      </c>
      <c r="K147" s="92"/>
      <c r="L147" s="12"/>
      <c r="M147" s="93" t="s">
        <v>1</v>
      </c>
      <c r="N147" s="94" t="s">
        <v>42</v>
      </c>
      <c r="P147" s="95">
        <f t="shared" si="1"/>
        <v>0</v>
      </c>
      <c r="Q147" s="95">
        <v>1.9300000000000001E-3</v>
      </c>
      <c r="R147" s="95">
        <f t="shared" si="2"/>
        <v>0.50566</v>
      </c>
      <c r="S147" s="95">
        <v>0</v>
      </c>
      <c r="T147" s="99">
        <f t="shared" si="3"/>
        <v>0</v>
      </c>
      <c r="AR147" s="101" t="s">
        <v>218</v>
      </c>
      <c r="AT147" s="101" t="s">
        <v>214</v>
      </c>
      <c r="AU147" s="101" t="s">
        <v>85</v>
      </c>
      <c r="AY147" s="23" t="s">
        <v>211</v>
      </c>
      <c r="BE147" s="104">
        <f t="shared" si="4"/>
        <v>235800</v>
      </c>
      <c r="BF147" s="104">
        <f t="shared" si="5"/>
        <v>0</v>
      </c>
      <c r="BG147" s="104">
        <f t="shared" si="6"/>
        <v>0</v>
      </c>
      <c r="BH147" s="104">
        <f t="shared" si="7"/>
        <v>0</v>
      </c>
      <c r="BI147" s="104">
        <f t="shared" si="8"/>
        <v>0</v>
      </c>
      <c r="BJ147" s="23" t="s">
        <v>85</v>
      </c>
      <c r="BK147" s="104">
        <f t="shared" si="9"/>
        <v>235800</v>
      </c>
      <c r="BL147" s="23" t="s">
        <v>218</v>
      </c>
      <c r="BM147" s="101" t="s">
        <v>608</v>
      </c>
    </row>
    <row r="148" spans="2:65" s="1" customFormat="1" ht="16.5" customHeight="1">
      <c r="B148" s="12"/>
      <c r="C148" s="71" t="s">
        <v>486</v>
      </c>
      <c r="D148" s="71" t="s">
        <v>214</v>
      </c>
      <c r="E148" s="72" t="s">
        <v>5793</v>
      </c>
      <c r="F148" s="73" t="s">
        <v>5794</v>
      </c>
      <c r="G148" s="74" t="s">
        <v>279</v>
      </c>
      <c r="H148" s="75">
        <v>262</v>
      </c>
      <c r="I148" s="90">
        <v>40</v>
      </c>
      <c r="J148" s="91">
        <f t="shared" si="0"/>
        <v>10480</v>
      </c>
      <c r="K148" s="92"/>
      <c r="L148" s="12"/>
      <c r="M148" s="93" t="s">
        <v>1</v>
      </c>
      <c r="N148" s="94" t="s">
        <v>42</v>
      </c>
      <c r="P148" s="95">
        <f t="shared" si="1"/>
        <v>0</v>
      </c>
      <c r="Q148" s="95">
        <v>1.0000000000000001E-5</v>
      </c>
      <c r="R148" s="95">
        <f t="shared" si="2"/>
        <v>2.6199999999999999E-3</v>
      </c>
      <c r="S148" s="95">
        <v>0</v>
      </c>
      <c r="T148" s="99">
        <f t="shared" si="3"/>
        <v>0</v>
      </c>
      <c r="AR148" s="101" t="s">
        <v>218</v>
      </c>
      <c r="AT148" s="101" t="s">
        <v>214</v>
      </c>
      <c r="AU148" s="101" t="s">
        <v>85</v>
      </c>
      <c r="AY148" s="23" t="s">
        <v>211</v>
      </c>
      <c r="BE148" s="104">
        <f t="shared" si="4"/>
        <v>10480</v>
      </c>
      <c r="BF148" s="104">
        <f t="shared" si="5"/>
        <v>0</v>
      </c>
      <c r="BG148" s="104">
        <f t="shared" si="6"/>
        <v>0</v>
      </c>
      <c r="BH148" s="104">
        <f t="shared" si="7"/>
        <v>0</v>
      </c>
      <c r="BI148" s="104">
        <f t="shared" si="8"/>
        <v>0</v>
      </c>
      <c r="BJ148" s="23" t="s">
        <v>85</v>
      </c>
      <c r="BK148" s="104">
        <f t="shared" si="9"/>
        <v>10480</v>
      </c>
      <c r="BL148" s="23" t="s">
        <v>218</v>
      </c>
      <c r="BM148" s="101" t="s">
        <v>619</v>
      </c>
    </row>
    <row r="149" spans="2:65" s="1" customFormat="1" ht="21.75" customHeight="1">
      <c r="B149" s="12"/>
      <c r="C149" s="71" t="s">
        <v>490</v>
      </c>
      <c r="D149" s="71" t="s">
        <v>214</v>
      </c>
      <c r="E149" s="72" t="s">
        <v>5795</v>
      </c>
      <c r="F149" s="73" t="s">
        <v>5796</v>
      </c>
      <c r="G149" s="74" t="s">
        <v>394</v>
      </c>
      <c r="H149" s="75">
        <v>136.255</v>
      </c>
      <c r="I149" s="90">
        <v>690</v>
      </c>
      <c r="J149" s="91">
        <f t="shared" si="0"/>
        <v>94015.95</v>
      </c>
      <c r="K149" s="92"/>
      <c r="L149" s="12"/>
      <c r="M149" s="93" t="s">
        <v>1</v>
      </c>
      <c r="N149" s="94" t="s">
        <v>42</v>
      </c>
      <c r="P149" s="95">
        <f t="shared" si="1"/>
        <v>0</v>
      </c>
      <c r="Q149" s="95">
        <v>0</v>
      </c>
      <c r="R149" s="95">
        <f t="shared" si="2"/>
        <v>0</v>
      </c>
      <c r="S149" s="95">
        <v>0</v>
      </c>
      <c r="T149" s="99">
        <f t="shared" si="3"/>
        <v>0</v>
      </c>
      <c r="AR149" s="101" t="s">
        <v>218</v>
      </c>
      <c r="AT149" s="101" t="s">
        <v>214</v>
      </c>
      <c r="AU149" s="101" t="s">
        <v>85</v>
      </c>
      <c r="AY149" s="23" t="s">
        <v>211</v>
      </c>
      <c r="BE149" s="104">
        <f t="shared" si="4"/>
        <v>94015.95</v>
      </c>
      <c r="BF149" s="104">
        <f t="shared" si="5"/>
        <v>0</v>
      </c>
      <c r="BG149" s="104">
        <f t="shared" si="6"/>
        <v>0</v>
      </c>
      <c r="BH149" s="104">
        <f t="shared" si="7"/>
        <v>0</v>
      </c>
      <c r="BI149" s="104">
        <f t="shared" si="8"/>
        <v>0</v>
      </c>
      <c r="BJ149" s="23" t="s">
        <v>85</v>
      </c>
      <c r="BK149" s="104">
        <f t="shared" si="9"/>
        <v>94015.95</v>
      </c>
      <c r="BL149" s="23" t="s">
        <v>218</v>
      </c>
      <c r="BM149" s="101" t="s">
        <v>629</v>
      </c>
    </row>
    <row r="150" spans="2:65" s="1" customFormat="1" ht="16.5" customHeight="1">
      <c r="B150" s="12"/>
      <c r="C150" s="71" t="s">
        <v>496</v>
      </c>
      <c r="D150" s="71" t="s">
        <v>214</v>
      </c>
      <c r="E150" s="72" t="s">
        <v>85</v>
      </c>
      <c r="F150" s="73" t="s">
        <v>5797</v>
      </c>
      <c r="G150" s="74" t="s">
        <v>357</v>
      </c>
      <c r="H150" s="75">
        <v>26.7</v>
      </c>
      <c r="I150" s="90">
        <v>1200</v>
      </c>
      <c r="J150" s="91">
        <f t="shared" si="0"/>
        <v>32040</v>
      </c>
      <c r="K150" s="92"/>
      <c r="L150" s="12"/>
      <c r="M150" s="93" t="s">
        <v>1</v>
      </c>
      <c r="N150" s="94" t="s">
        <v>42</v>
      </c>
      <c r="P150" s="95">
        <f t="shared" si="1"/>
        <v>0</v>
      </c>
      <c r="Q150" s="95">
        <v>1.5</v>
      </c>
      <c r="R150" s="95">
        <f t="shared" si="2"/>
        <v>40.049999999999997</v>
      </c>
      <c r="S150" s="95">
        <v>0</v>
      </c>
      <c r="T150" s="99">
        <f t="shared" si="3"/>
        <v>0</v>
      </c>
      <c r="AR150" s="101" t="s">
        <v>218</v>
      </c>
      <c r="AT150" s="101" t="s">
        <v>214</v>
      </c>
      <c r="AU150" s="101" t="s">
        <v>85</v>
      </c>
      <c r="AY150" s="23" t="s">
        <v>211</v>
      </c>
      <c r="BE150" s="104">
        <f t="shared" si="4"/>
        <v>32040</v>
      </c>
      <c r="BF150" s="104">
        <f t="shared" si="5"/>
        <v>0</v>
      </c>
      <c r="BG150" s="104">
        <f t="shared" si="6"/>
        <v>0</v>
      </c>
      <c r="BH150" s="104">
        <f t="shared" si="7"/>
        <v>0</v>
      </c>
      <c r="BI150" s="104">
        <f t="shared" si="8"/>
        <v>0</v>
      </c>
      <c r="BJ150" s="23" t="s">
        <v>85</v>
      </c>
      <c r="BK150" s="104">
        <f t="shared" si="9"/>
        <v>32040</v>
      </c>
      <c r="BL150" s="23" t="s">
        <v>218</v>
      </c>
      <c r="BM150" s="101" t="s">
        <v>639</v>
      </c>
    </row>
    <row r="151" spans="2:65" s="1" customFormat="1" ht="16.5" customHeight="1">
      <c r="B151" s="12"/>
      <c r="C151" s="71" t="s">
        <v>502</v>
      </c>
      <c r="D151" s="71" t="s">
        <v>214</v>
      </c>
      <c r="E151" s="72" t="s">
        <v>87</v>
      </c>
      <c r="F151" s="73" t="s">
        <v>5798</v>
      </c>
      <c r="G151" s="74" t="s">
        <v>357</v>
      </c>
      <c r="H151" s="75">
        <v>75</v>
      </c>
      <c r="I151" s="90">
        <v>2500</v>
      </c>
      <c r="J151" s="91">
        <f t="shared" si="0"/>
        <v>187500</v>
      </c>
      <c r="K151" s="92"/>
      <c r="L151" s="12"/>
      <c r="M151" s="93" t="s">
        <v>1</v>
      </c>
      <c r="N151" s="94" t="s">
        <v>42</v>
      </c>
      <c r="P151" s="95">
        <f t="shared" si="1"/>
        <v>0</v>
      </c>
      <c r="Q151" s="95">
        <v>1</v>
      </c>
      <c r="R151" s="95">
        <f t="shared" si="2"/>
        <v>75</v>
      </c>
      <c r="S151" s="95">
        <v>0</v>
      </c>
      <c r="T151" s="99">
        <f t="shared" si="3"/>
        <v>0</v>
      </c>
      <c r="AR151" s="101" t="s">
        <v>218</v>
      </c>
      <c r="AT151" s="101" t="s">
        <v>214</v>
      </c>
      <c r="AU151" s="101" t="s">
        <v>85</v>
      </c>
      <c r="AY151" s="23" t="s">
        <v>211</v>
      </c>
      <c r="BE151" s="104">
        <f t="shared" si="4"/>
        <v>187500</v>
      </c>
      <c r="BF151" s="104">
        <f t="shared" si="5"/>
        <v>0</v>
      </c>
      <c r="BG151" s="104">
        <f t="shared" si="6"/>
        <v>0</v>
      </c>
      <c r="BH151" s="104">
        <f t="shared" si="7"/>
        <v>0</v>
      </c>
      <c r="BI151" s="104">
        <f t="shared" si="8"/>
        <v>0</v>
      </c>
      <c r="BJ151" s="23" t="s">
        <v>85</v>
      </c>
      <c r="BK151" s="104">
        <f t="shared" si="9"/>
        <v>187500</v>
      </c>
      <c r="BL151" s="23" t="s">
        <v>218</v>
      </c>
      <c r="BM151" s="101" t="s">
        <v>649</v>
      </c>
    </row>
    <row r="152" spans="2:65" s="1" customFormat="1" ht="16.5" customHeight="1">
      <c r="B152" s="12"/>
      <c r="C152" s="71" t="s">
        <v>507</v>
      </c>
      <c r="D152" s="71" t="s">
        <v>214</v>
      </c>
      <c r="E152" s="72" t="s">
        <v>137</v>
      </c>
      <c r="F152" s="73" t="s">
        <v>5799</v>
      </c>
      <c r="G152" s="74" t="s">
        <v>279</v>
      </c>
      <c r="H152" s="75">
        <v>262</v>
      </c>
      <c r="I152" s="90">
        <v>30</v>
      </c>
      <c r="J152" s="91">
        <f t="shared" si="0"/>
        <v>7860</v>
      </c>
      <c r="K152" s="92"/>
      <c r="L152" s="12"/>
      <c r="M152" s="93" t="s">
        <v>1</v>
      </c>
      <c r="N152" s="94" t="s">
        <v>42</v>
      </c>
      <c r="P152" s="95">
        <f t="shared" si="1"/>
        <v>0</v>
      </c>
      <c r="Q152" s="95">
        <v>5.0000000000000001E-4</v>
      </c>
      <c r="R152" s="95">
        <f t="shared" si="2"/>
        <v>0.13100000000000001</v>
      </c>
      <c r="S152" s="95">
        <v>0</v>
      </c>
      <c r="T152" s="99">
        <f t="shared" si="3"/>
        <v>0</v>
      </c>
      <c r="AR152" s="101" t="s">
        <v>218</v>
      </c>
      <c r="AT152" s="101" t="s">
        <v>214</v>
      </c>
      <c r="AU152" s="101" t="s">
        <v>85</v>
      </c>
      <c r="AY152" s="23" t="s">
        <v>211</v>
      </c>
      <c r="BE152" s="104">
        <f t="shared" si="4"/>
        <v>7860</v>
      </c>
      <c r="BF152" s="104">
        <f t="shared" si="5"/>
        <v>0</v>
      </c>
      <c r="BG152" s="104">
        <f t="shared" si="6"/>
        <v>0</v>
      </c>
      <c r="BH152" s="104">
        <f t="shared" si="7"/>
        <v>0</v>
      </c>
      <c r="BI152" s="104">
        <f t="shared" si="8"/>
        <v>0</v>
      </c>
      <c r="BJ152" s="23" t="s">
        <v>85</v>
      </c>
      <c r="BK152" s="104">
        <f t="shared" si="9"/>
        <v>7860</v>
      </c>
      <c r="BL152" s="23" t="s">
        <v>218</v>
      </c>
      <c r="BM152" s="101" t="s">
        <v>660</v>
      </c>
    </row>
    <row r="153" spans="2:65" s="1" customFormat="1" ht="16.5" customHeight="1">
      <c r="B153" s="12"/>
      <c r="C153" s="71" t="s">
        <v>511</v>
      </c>
      <c r="D153" s="71" t="s">
        <v>214</v>
      </c>
      <c r="E153" s="72" t="s">
        <v>218</v>
      </c>
      <c r="F153" s="73" t="s">
        <v>5800</v>
      </c>
      <c r="G153" s="74" t="s">
        <v>357</v>
      </c>
      <c r="H153" s="75">
        <v>46.5</v>
      </c>
      <c r="I153" s="90">
        <v>900</v>
      </c>
      <c r="J153" s="91">
        <f t="shared" si="0"/>
        <v>41850</v>
      </c>
      <c r="K153" s="92"/>
      <c r="L153" s="12"/>
      <c r="M153" s="93" t="s">
        <v>1</v>
      </c>
      <c r="N153" s="94" t="s">
        <v>42</v>
      </c>
      <c r="P153" s="95">
        <f t="shared" si="1"/>
        <v>0</v>
      </c>
      <c r="Q153" s="95">
        <v>0.45</v>
      </c>
      <c r="R153" s="95">
        <f t="shared" si="2"/>
        <v>20.925000000000001</v>
      </c>
      <c r="S153" s="95">
        <v>0</v>
      </c>
      <c r="T153" s="99">
        <f t="shared" si="3"/>
        <v>0</v>
      </c>
      <c r="AR153" s="101" t="s">
        <v>218</v>
      </c>
      <c r="AT153" s="101" t="s">
        <v>214</v>
      </c>
      <c r="AU153" s="101" t="s">
        <v>85</v>
      </c>
      <c r="AY153" s="23" t="s">
        <v>211</v>
      </c>
      <c r="BE153" s="104">
        <f t="shared" si="4"/>
        <v>41850</v>
      </c>
      <c r="BF153" s="104">
        <f t="shared" si="5"/>
        <v>0</v>
      </c>
      <c r="BG153" s="104">
        <f t="shared" si="6"/>
        <v>0</v>
      </c>
      <c r="BH153" s="104">
        <f t="shared" si="7"/>
        <v>0</v>
      </c>
      <c r="BI153" s="104">
        <f t="shared" si="8"/>
        <v>0</v>
      </c>
      <c r="BJ153" s="23" t="s">
        <v>85</v>
      </c>
      <c r="BK153" s="104">
        <f t="shared" si="9"/>
        <v>41850</v>
      </c>
      <c r="BL153" s="23" t="s">
        <v>218</v>
      </c>
      <c r="BM153" s="101" t="s">
        <v>679</v>
      </c>
    </row>
    <row r="154" spans="2:65" s="1" customFormat="1" ht="16.5" customHeight="1">
      <c r="B154" s="12"/>
      <c r="C154" s="71" t="s">
        <v>517</v>
      </c>
      <c r="D154" s="71" t="s">
        <v>214</v>
      </c>
      <c r="E154" s="72" t="s">
        <v>210</v>
      </c>
      <c r="F154" s="73" t="s">
        <v>5801</v>
      </c>
      <c r="G154" s="74" t="s">
        <v>1198</v>
      </c>
      <c r="H154" s="75">
        <v>32.5</v>
      </c>
      <c r="I154" s="90">
        <v>200</v>
      </c>
      <c r="J154" s="91">
        <f t="shared" si="0"/>
        <v>6500</v>
      </c>
      <c r="K154" s="92"/>
      <c r="L154" s="12"/>
      <c r="M154" s="93" t="s">
        <v>1</v>
      </c>
      <c r="N154" s="94" t="s">
        <v>42</v>
      </c>
      <c r="P154" s="95">
        <f t="shared" si="1"/>
        <v>0</v>
      </c>
      <c r="Q154" s="95">
        <v>1E-3</v>
      </c>
      <c r="R154" s="95">
        <f t="shared" si="2"/>
        <v>3.2500000000000001E-2</v>
      </c>
      <c r="S154" s="95">
        <v>0</v>
      </c>
      <c r="T154" s="99">
        <f t="shared" si="3"/>
        <v>0</v>
      </c>
      <c r="AR154" s="101" t="s">
        <v>218</v>
      </c>
      <c r="AT154" s="101" t="s">
        <v>214</v>
      </c>
      <c r="AU154" s="101" t="s">
        <v>85</v>
      </c>
      <c r="AY154" s="23" t="s">
        <v>211</v>
      </c>
      <c r="BE154" s="104">
        <f t="shared" si="4"/>
        <v>6500</v>
      </c>
      <c r="BF154" s="104">
        <f t="shared" si="5"/>
        <v>0</v>
      </c>
      <c r="BG154" s="104">
        <f t="shared" si="6"/>
        <v>0</v>
      </c>
      <c r="BH154" s="104">
        <f t="shared" si="7"/>
        <v>0</v>
      </c>
      <c r="BI154" s="104">
        <f t="shared" si="8"/>
        <v>0</v>
      </c>
      <c r="BJ154" s="23" t="s">
        <v>85</v>
      </c>
      <c r="BK154" s="104">
        <f t="shared" si="9"/>
        <v>6500</v>
      </c>
      <c r="BL154" s="23" t="s">
        <v>218</v>
      </c>
      <c r="BM154" s="101" t="s">
        <v>705</v>
      </c>
    </row>
    <row r="155" spans="2:65" s="1" customFormat="1" ht="16.5" customHeight="1">
      <c r="B155" s="12"/>
      <c r="C155" s="71" t="s">
        <v>522</v>
      </c>
      <c r="D155" s="71" t="s">
        <v>214</v>
      </c>
      <c r="E155" s="72" t="s">
        <v>239</v>
      </c>
      <c r="F155" s="73" t="s">
        <v>5802</v>
      </c>
      <c r="G155" s="74" t="s">
        <v>1198</v>
      </c>
      <c r="H155" s="75">
        <v>80</v>
      </c>
      <c r="I155" s="90">
        <v>30</v>
      </c>
      <c r="J155" s="91">
        <f t="shared" si="0"/>
        <v>2400</v>
      </c>
      <c r="K155" s="92"/>
      <c r="L155" s="12"/>
      <c r="M155" s="93" t="s">
        <v>1</v>
      </c>
      <c r="N155" s="94" t="s">
        <v>42</v>
      </c>
      <c r="P155" s="95">
        <f t="shared" si="1"/>
        <v>0</v>
      </c>
      <c r="Q155" s="95">
        <v>1E-3</v>
      </c>
      <c r="R155" s="95">
        <f t="shared" si="2"/>
        <v>0.08</v>
      </c>
      <c r="S155" s="95">
        <v>0</v>
      </c>
      <c r="T155" s="99">
        <f t="shared" si="3"/>
        <v>0</v>
      </c>
      <c r="AR155" s="101" t="s">
        <v>218</v>
      </c>
      <c r="AT155" s="101" t="s">
        <v>214</v>
      </c>
      <c r="AU155" s="101" t="s">
        <v>85</v>
      </c>
      <c r="AY155" s="23" t="s">
        <v>211</v>
      </c>
      <c r="BE155" s="104">
        <f t="shared" si="4"/>
        <v>2400</v>
      </c>
      <c r="BF155" s="104">
        <f t="shared" si="5"/>
        <v>0</v>
      </c>
      <c r="BG155" s="104">
        <f t="shared" si="6"/>
        <v>0</v>
      </c>
      <c r="BH155" s="104">
        <f t="shared" si="7"/>
        <v>0</v>
      </c>
      <c r="BI155" s="104">
        <f t="shared" si="8"/>
        <v>0</v>
      </c>
      <c r="BJ155" s="23" t="s">
        <v>85</v>
      </c>
      <c r="BK155" s="104">
        <f t="shared" si="9"/>
        <v>2400</v>
      </c>
      <c r="BL155" s="23" t="s">
        <v>218</v>
      </c>
      <c r="BM155" s="101" t="s">
        <v>722</v>
      </c>
    </row>
    <row r="156" spans="2:65" s="1" customFormat="1" ht="16.5" customHeight="1">
      <c r="B156" s="12"/>
      <c r="C156" s="71" t="s">
        <v>527</v>
      </c>
      <c r="D156" s="71" t="s">
        <v>214</v>
      </c>
      <c r="E156" s="72" t="s">
        <v>245</v>
      </c>
      <c r="F156" s="73" t="s">
        <v>5803</v>
      </c>
      <c r="G156" s="74" t="s">
        <v>5804</v>
      </c>
      <c r="H156" s="75">
        <v>0.63</v>
      </c>
      <c r="I156" s="90">
        <v>500</v>
      </c>
      <c r="J156" s="91">
        <f t="shared" si="0"/>
        <v>315</v>
      </c>
      <c r="K156" s="92"/>
      <c r="L156" s="12"/>
      <c r="M156" s="93" t="s">
        <v>1</v>
      </c>
      <c r="N156" s="94" t="s">
        <v>42</v>
      </c>
      <c r="P156" s="95">
        <f t="shared" si="1"/>
        <v>0</v>
      </c>
      <c r="Q156" s="95">
        <v>1E-3</v>
      </c>
      <c r="R156" s="95">
        <f t="shared" si="2"/>
        <v>6.3000000000000003E-4</v>
      </c>
      <c r="S156" s="95">
        <v>0</v>
      </c>
      <c r="T156" s="99">
        <f t="shared" si="3"/>
        <v>0</v>
      </c>
      <c r="AR156" s="101" t="s">
        <v>218</v>
      </c>
      <c r="AT156" s="101" t="s">
        <v>214</v>
      </c>
      <c r="AU156" s="101" t="s">
        <v>85</v>
      </c>
      <c r="AY156" s="23" t="s">
        <v>211</v>
      </c>
      <c r="BE156" s="104">
        <f t="shared" si="4"/>
        <v>315</v>
      </c>
      <c r="BF156" s="104">
        <f t="shared" si="5"/>
        <v>0</v>
      </c>
      <c r="BG156" s="104">
        <f t="shared" si="6"/>
        <v>0</v>
      </c>
      <c r="BH156" s="104">
        <f t="shared" si="7"/>
        <v>0</v>
      </c>
      <c r="BI156" s="104">
        <f t="shared" si="8"/>
        <v>0</v>
      </c>
      <c r="BJ156" s="23" t="s">
        <v>85</v>
      </c>
      <c r="BK156" s="104">
        <f t="shared" si="9"/>
        <v>315</v>
      </c>
      <c r="BL156" s="23" t="s">
        <v>218</v>
      </c>
      <c r="BM156" s="101" t="s">
        <v>756</v>
      </c>
    </row>
    <row r="157" spans="2:65" s="1" customFormat="1" ht="16.5" customHeight="1">
      <c r="B157" s="12"/>
      <c r="C157" s="71" t="s">
        <v>532</v>
      </c>
      <c r="D157" s="71" t="s">
        <v>214</v>
      </c>
      <c r="E157" s="72" t="s">
        <v>250</v>
      </c>
      <c r="F157" s="73" t="s">
        <v>5805</v>
      </c>
      <c r="G157" s="74" t="s">
        <v>808</v>
      </c>
      <c r="H157" s="75">
        <v>51</v>
      </c>
      <c r="I157" s="90">
        <v>100</v>
      </c>
      <c r="J157" s="91">
        <f t="shared" si="0"/>
        <v>5100</v>
      </c>
      <c r="K157" s="92"/>
      <c r="L157" s="12"/>
      <c r="M157" s="93" t="s">
        <v>1</v>
      </c>
      <c r="N157" s="94" t="s">
        <v>42</v>
      </c>
      <c r="P157" s="95">
        <f t="shared" si="1"/>
        <v>0</v>
      </c>
      <c r="Q157" s="95">
        <v>3.0000000000000001E-3</v>
      </c>
      <c r="R157" s="95">
        <f t="shared" si="2"/>
        <v>0.153</v>
      </c>
      <c r="S157" s="95">
        <v>0</v>
      </c>
      <c r="T157" s="99">
        <f t="shared" si="3"/>
        <v>0</v>
      </c>
      <c r="AR157" s="101" t="s">
        <v>218</v>
      </c>
      <c r="AT157" s="101" t="s">
        <v>214</v>
      </c>
      <c r="AU157" s="101" t="s">
        <v>85</v>
      </c>
      <c r="AY157" s="23" t="s">
        <v>211</v>
      </c>
      <c r="BE157" s="104">
        <f t="shared" si="4"/>
        <v>5100</v>
      </c>
      <c r="BF157" s="104">
        <f t="shared" si="5"/>
        <v>0</v>
      </c>
      <c r="BG157" s="104">
        <f t="shared" si="6"/>
        <v>0</v>
      </c>
      <c r="BH157" s="104">
        <f t="shared" si="7"/>
        <v>0</v>
      </c>
      <c r="BI157" s="104">
        <f t="shared" si="8"/>
        <v>0</v>
      </c>
      <c r="BJ157" s="23" t="s">
        <v>85</v>
      </c>
      <c r="BK157" s="104">
        <f t="shared" si="9"/>
        <v>5100</v>
      </c>
      <c r="BL157" s="23" t="s">
        <v>218</v>
      </c>
      <c r="BM157" s="101" t="s">
        <v>805</v>
      </c>
    </row>
    <row r="158" spans="2:65" s="1" customFormat="1" ht="16.5" customHeight="1">
      <c r="B158" s="12"/>
      <c r="C158" s="71" t="s">
        <v>537</v>
      </c>
      <c r="D158" s="71" t="s">
        <v>214</v>
      </c>
      <c r="E158" s="72" t="s">
        <v>255</v>
      </c>
      <c r="F158" s="73" t="s">
        <v>5806</v>
      </c>
      <c r="G158" s="74" t="s">
        <v>808</v>
      </c>
      <c r="H158" s="75">
        <v>1</v>
      </c>
      <c r="I158" s="90">
        <v>5000</v>
      </c>
      <c r="J158" s="91">
        <f t="shared" si="0"/>
        <v>5000</v>
      </c>
      <c r="K158" s="92"/>
      <c r="L158" s="12"/>
      <c r="M158" s="93" t="s">
        <v>1</v>
      </c>
      <c r="N158" s="94" t="s">
        <v>42</v>
      </c>
      <c r="P158" s="95">
        <f t="shared" si="1"/>
        <v>0</v>
      </c>
      <c r="Q158" s="95">
        <v>0.06</v>
      </c>
      <c r="R158" s="95">
        <f t="shared" si="2"/>
        <v>0.06</v>
      </c>
      <c r="S158" s="95">
        <v>0</v>
      </c>
      <c r="T158" s="99">
        <f t="shared" si="3"/>
        <v>0</v>
      </c>
      <c r="AR158" s="101" t="s">
        <v>218</v>
      </c>
      <c r="AT158" s="101" t="s">
        <v>214</v>
      </c>
      <c r="AU158" s="101" t="s">
        <v>85</v>
      </c>
      <c r="AY158" s="23" t="s">
        <v>211</v>
      </c>
      <c r="BE158" s="104">
        <f t="shared" si="4"/>
        <v>5000</v>
      </c>
      <c r="BF158" s="104">
        <f t="shared" si="5"/>
        <v>0</v>
      </c>
      <c r="BG158" s="104">
        <f t="shared" si="6"/>
        <v>0</v>
      </c>
      <c r="BH158" s="104">
        <f t="shared" si="7"/>
        <v>0</v>
      </c>
      <c r="BI158" s="104">
        <f t="shared" si="8"/>
        <v>0</v>
      </c>
      <c r="BJ158" s="23" t="s">
        <v>85</v>
      </c>
      <c r="BK158" s="104">
        <f t="shared" si="9"/>
        <v>5000</v>
      </c>
      <c r="BL158" s="23" t="s">
        <v>218</v>
      </c>
      <c r="BM158" s="101" t="s">
        <v>814</v>
      </c>
    </row>
    <row r="159" spans="2:65" s="1" customFormat="1" ht="16.5" customHeight="1">
      <c r="B159" s="12"/>
      <c r="C159" s="71" t="s">
        <v>542</v>
      </c>
      <c r="D159" s="71" t="s">
        <v>214</v>
      </c>
      <c r="E159" s="72" t="s">
        <v>259</v>
      </c>
      <c r="F159" s="73" t="s">
        <v>5807</v>
      </c>
      <c r="G159" s="74" t="s">
        <v>808</v>
      </c>
      <c r="H159" s="75">
        <v>1</v>
      </c>
      <c r="I159" s="90">
        <v>5000</v>
      </c>
      <c r="J159" s="91">
        <f t="shared" si="0"/>
        <v>5000</v>
      </c>
      <c r="K159" s="92"/>
      <c r="L159" s="12"/>
      <c r="M159" s="93" t="s">
        <v>1</v>
      </c>
      <c r="N159" s="94" t="s">
        <v>42</v>
      </c>
      <c r="P159" s="95">
        <f t="shared" si="1"/>
        <v>0</v>
      </c>
      <c r="Q159" s="95">
        <v>0.06</v>
      </c>
      <c r="R159" s="95">
        <f t="shared" si="2"/>
        <v>0.06</v>
      </c>
      <c r="S159" s="95">
        <v>0</v>
      </c>
      <c r="T159" s="99">
        <f t="shared" si="3"/>
        <v>0</v>
      </c>
      <c r="AR159" s="101" t="s">
        <v>218</v>
      </c>
      <c r="AT159" s="101" t="s">
        <v>214</v>
      </c>
      <c r="AU159" s="101" t="s">
        <v>85</v>
      </c>
      <c r="AY159" s="23" t="s">
        <v>211</v>
      </c>
      <c r="BE159" s="104">
        <f t="shared" si="4"/>
        <v>5000</v>
      </c>
      <c r="BF159" s="104">
        <f t="shared" si="5"/>
        <v>0</v>
      </c>
      <c r="BG159" s="104">
        <f t="shared" si="6"/>
        <v>0</v>
      </c>
      <c r="BH159" s="104">
        <f t="shared" si="7"/>
        <v>0</v>
      </c>
      <c r="BI159" s="104">
        <f t="shared" si="8"/>
        <v>0</v>
      </c>
      <c r="BJ159" s="23" t="s">
        <v>85</v>
      </c>
      <c r="BK159" s="104">
        <f t="shared" si="9"/>
        <v>5000</v>
      </c>
      <c r="BL159" s="23" t="s">
        <v>218</v>
      </c>
      <c r="BM159" s="101" t="s">
        <v>822</v>
      </c>
    </row>
    <row r="160" spans="2:65" s="1" customFormat="1" ht="16.5" customHeight="1">
      <c r="B160" s="12"/>
      <c r="C160" s="71" t="s">
        <v>551</v>
      </c>
      <c r="D160" s="71" t="s">
        <v>214</v>
      </c>
      <c r="E160" s="72" t="s">
        <v>266</v>
      </c>
      <c r="F160" s="73" t="s">
        <v>5808</v>
      </c>
      <c r="G160" s="74" t="s">
        <v>808</v>
      </c>
      <c r="H160" s="75">
        <v>3</v>
      </c>
      <c r="I160" s="90">
        <v>5000</v>
      </c>
      <c r="J160" s="91">
        <f t="shared" si="0"/>
        <v>15000</v>
      </c>
      <c r="K160" s="92"/>
      <c r="L160" s="12"/>
      <c r="M160" s="93" t="s">
        <v>1</v>
      </c>
      <c r="N160" s="94" t="s">
        <v>42</v>
      </c>
      <c r="P160" s="95">
        <f t="shared" si="1"/>
        <v>0</v>
      </c>
      <c r="Q160" s="95">
        <v>0.06</v>
      </c>
      <c r="R160" s="95">
        <f t="shared" si="2"/>
        <v>0.18</v>
      </c>
      <c r="S160" s="95">
        <v>0</v>
      </c>
      <c r="T160" s="99">
        <f t="shared" si="3"/>
        <v>0</v>
      </c>
      <c r="AR160" s="101" t="s">
        <v>218</v>
      </c>
      <c r="AT160" s="101" t="s">
        <v>214</v>
      </c>
      <c r="AU160" s="101" t="s">
        <v>85</v>
      </c>
      <c r="AY160" s="23" t="s">
        <v>211</v>
      </c>
      <c r="BE160" s="104">
        <f t="shared" si="4"/>
        <v>15000</v>
      </c>
      <c r="BF160" s="104">
        <f t="shared" si="5"/>
        <v>0</v>
      </c>
      <c r="BG160" s="104">
        <f t="shared" si="6"/>
        <v>0</v>
      </c>
      <c r="BH160" s="104">
        <f t="shared" si="7"/>
        <v>0</v>
      </c>
      <c r="BI160" s="104">
        <f t="shared" si="8"/>
        <v>0</v>
      </c>
      <c r="BJ160" s="23" t="s">
        <v>85</v>
      </c>
      <c r="BK160" s="104">
        <f t="shared" si="9"/>
        <v>15000</v>
      </c>
      <c r="BL160" s="23" t="s">
        <v>218</v>
      </c>
      <c r="BM160" s="101" t="s">
        <v>830</v>
      </c>
    </row>
    <row r="161" spans="2:65" s="1" customFormat="1" ht="16.5" customHeight="1">
      <c r="B161" s="12"/>
      <c r="C161" s="71" t="s">
        <v>555</v>
      </c>
      <c r="D161" s="71" t="s">
        <v>214</v>
      </c>
      <c r="E161" s="72" t="s">
        <v>273</v>
      </c>
      <c r="F161" s="73" t="s">
        <v>5809</v>
      </c>
      <c r="G161" s="74" t="s">
        <v>808</v>
      </c>
      <c r="H161" s="75">
        <v>4</v>
      </c>
      <c r="I161" s="90">
        <v>5000</v>
      </c>
      <c r="J161" s="91">
        <f t="shared" si="0"/>
        <v>20000</v>
      </c>
      <c r="K161" s="92"/>
      <c r="L161" s="12"/>
      <c r="M161" s="93" t="s">
        <v>1</v>
      </c>
      <c r="N161" s="94" t="s">
        <v>42</v>
      </c>
      <c r="P161" s="95">
        <f t="shared" si="1"/>
        <v>0</v>
      </c>
      <c r="Q161" s="95">
        <v>0.06</v>
      </c>
      <c r="R161" s="95">
        <f t="shared" si="2"/>
        <v>0.24</v>
      </c>
      <c r="S161" s="95">
        <v>0</v>
      </c>
      <c r="T161" s="99">
        <f t="shared" si="3"/>
        <v>0</v>
      </c>
      <c r="AR161" s="101" t="s">
        <v>218</v>
      </c>
      <c r="AT161" s="101" t="s">
        <v>214</v>
      </c>
      <c r="AU161" s="101" t="s">
        <v>85</v>
      </c>
      <c r="AY161" s="23" t="s">
        <v>211</v>
      </c>
      <c r="BE161" s="104">
        <f t="shared" si="4"/>
        <v>20000</v>
      </c>
      <c r="BF161" s="104">
        <f t="shared" si="5"/>
        <v>0</v>
      </c>
      <c r="BG161" s="104">
        <f t="shared" si="6"/>
        <v>0</v>
      </c>
      <c r="BH161" s="104">
        <f t="shared" si="7"/>
        <v>0</v>
      </c>
      <c r="BI161" s="104">
        <f t="shared" si="8"/>
        <v>0</v>
      </c>
      <c r="BJ161" s="23" t="s">
        <v>85</v>
      </c>
      <c r="BK161" s="104">
        <f t="shared" si="9"/>
        <v>20000</v>
      </c>
      <c r="BL161" s="23" t="s">
        <v>218</v>
      </c>
      <c r="BM161" s="101" t="s">
        <v>838</v>
      </c>
    </row>
    <row r="162" spans="2:65" s="1" customFormat="1" ht="16.5" customHeight="1">
      <c r="B162" s="12"/>
      <c r="C162" s="71" t="s">
        <v>566</v>
      </c>
      <c r="D162" s="71" t="s">
        <v>214</v>
      </c>
      <c r="E162" s="72" t="s">
        <v>433</v>
      </c>
      <c r="F162" s="73" t="s">
        <v>5810</v>
      </c>
      <c r="G162" s="74" t="s">
        <v>808</v>
      </c>
      <c r="H162" s="75">
        <v>3</v>
      </c>
      <c r="I162" s="90">
        <v>5000</v>
      </c>
      <c r="J162" s="91">
        <f t="shared" si="0"/>
        <v>15000</v>
      </c>
      <c r="K162" s="92"/>
      <c r="L162" s="12"/>
      <c r="M162" s="93" t="s">
        <v>1</v>
      </c>
      <c r="N162" s="94" t="s">
        <v>42</v>
      </c>
      <c r="P162" s="95">
        <f t="shared" si="1"/>
        <v>0</v>
      </c>
      <c r="Q162" s="95">
        <v>0.06</v>
      </c>
      <c r="R162" s="95">
        <f t="shared" si="2"/>
        <v>0.18</v>
      </c>
      <c r="S162" s="95">
        <v>0</v>
      </c>
      <c r="T162" s="99">
        <f t="shared" si="3"/>
        <v>0</v>
      </c>
      <c r="AR162" s="101" t="s">
        <v>218</v>
      </c>
      <c r="AT162" s="101" t="s">
        <v>214</v>
      </c>
      <c r="AU162" s="101" t="s">
        <v>85</v>
      </c>
      <c r="AY162" s="23" t="s">
        <v>211</v>
      </c>
      <c r="BE162" s="104">
        <f t="shared" si="4"/>
        <v>15000</v>
      </c>
      <c r="BF162" s="104">
        <f t="shared" si="5"/>
        <v>0</v>
      </c>
      <c r="BG162" s="104">
        <f t="shared" si="6"/>
        <v>0</v>
      </c>
      <c r="BH162" s="104">
        <f t="shared" si="7"/>
        <v>0</v>
      </c>
      <c r="BI162" s="104">
        <f t="shared" si="8"/>
        <v>0</v>
      </c>
      <c r="BJ162" s="23" t="s">
        <v>85</v>
      </c>
      <c r="BK162" s="104">
        <f t="shared" si="9"/>
        <v>15000</v>
      </c>
      <c r="BL162" s="23" t="s">
        <v>218</v>
      </c>
      <c r="BM162" s="101" t="s">
        <v>846</v>
      </c>
    </row>
    <row r="163" spans="2:65" s="1" customFormat="1" ht="16.5" customHeight="1">
      <c r="B163" s="12"/>
      <c r="C163" s="71" t="s">
        <v>570</v>
      </c>
      <c r="D163" s="71" t="s">
        <v>214</v>
      </c>
      <c r="E163" s="72" t="s">
        <v>437</v>
      </c>
      <c r="F163" s="73" t="s">
        <v>5811</v>
      </c>
      <c r="G163" s="74" t="s">
        <v>808</v>
      </c>
      <c r="H163" s="75">
        <v>4</v>
      </c>
      <c r="I163" s="90">
        <v>5000</v>
      </c>
      <c r="J163" s="91">
        <f t="shared" si="0"/>
        <v>20000</v>
      </c>
      <c r="K163" s="92"/>
      <c r="L163" s="12"/>
      <c r="M163" s="93" t="s">
        <v>1</v>
      </c>
      <c r="N163" s="94" t="s">
        <v>42</v>
      </c>
      <c r="P163" s="95">
        <f t="shared" si="1"/>
        <v>0</v>
      </c>
      <c r="Q163" s="95">
        <v>0.06</v>
      </c>
      <c r="R163" s="95">
        <f t="shared" si="2"/>
        <v>0.24</v>
      </c>
      <c r="S163" s="95">
        <v>0</v>
      </c>
      <c r="T163" s="99">
        <f t="shared" si="3"/>
        <v>0</v>
      </c>
      <c r="AR163" s="101" t="s">
        <v>218</v>
      </c>
      <c r="AT163" s="101" t="s">
        <v>214</v>
      </c>
      <c r="AU163" s="101" t="s">
        <v>85</v>
      </c>
      <c r="AY163" s="23" t="s">
        <v>211</v>
      </c>
      <c r="BE163" s="104">
        <f t="shared" si="4"/>
        <v>20000</v>
      </c>
      <c r="BF163" s="104">
        <f t="shared" si="5"/>
        <v>0</v>
      </c>
      <c r="BG163" s="104">
        <f t="shared" si="6"/>
        <v>0</v>
      </c>
      <c r="BH163" s="104">
        <f t="shared" si="7"/>
        <v>0</v>
      </c>
      <c r="BI163" s="104">
        <f t="shared" si="8"/>
        <v>0</v>
      </c>
      <c r="BJ163" s="23" t="s">
        <v>85</v>
      </c>
      <c r="BK163" s="104">
        <f t="shared" si="9"/>
        <v>20000</v>
      </c>
      <c r="BL163" s="23" t="s">
        <v>218</v>
      </c>
      <c r="BM163" s="101" t="s">
        <v>854</v>
      </c>
    </row>
    <row r="164" spans="2:65" s="1" customFormat="1" ht="16.5" customHeight="1">
      <c r="B164" s="12"/>
      <c r="C164" s="71" t="s">
        <v>578</v>
      </c>
      <c r="D164" s="71" t="s">
        <v>214</v>
      </c>
      <c r="E164" s="72" t="s">
        <v>8</v>
      </c>
      <c r="F164" s="73" t="s">
        <v>5812</v>
      </c>
      <c r="G164" s="74" t="s">
        <v>808</v>
      </c>
      <c r="H164" s="75">
        <v>1</v>
      </c>
      <c r="I164" s="90">
        <v>5000</v>
      </c>
      <c r="J164" s="91">
        <f t="shared" si="0"/>
        <v>5000</v>
      </c>
      <c r="K164" s="92"/>
      <c r="L164" s="12"/>
      <c r="M164" s="93" t="s">
        <v>1</v>
      </c>
      <c r="N164" s="94" t="s">
        <v>42</v>
      </c>
      <c r="P164" s="95">
        <f t="shared" si="1"/>
        <v>0</v>
      </c>
      <c r="Q164" s="95">
        <v>0.06</v>
      </c>
      <c r="R164" s="95">
        <f t="shared" si="2"/>
        <v>0.06</v>
      </c>
      <c r="S164" s="95">
        <v>0</v>
      </c>
      <c r="T164" s="99">
        <f t="shared" si="3"/>
        <v>0</v>
      </c>
      <c r="AR164" s="101" t="s">
        <v>218</v>
      </c>
      <c r="AT164" s="101" t="s">
        <v>214</v>
      </c>
      <c r="AU164" s="101" t="s">
        <v>85</v>
      </c>
      <c r="AY164" s="23" t="s">
        <v>211</v>
      </c>
      <c r="BE164" s="104">
        <f t="shared" si="4"/>
        <v>5000</v>
      </c>
      <c r="BF164" s="104">
        <f t="shared" si="5"/>
        <v>0</v>
      </c>
      <c r="BG164" s="104">
        <f t="shared" si="6"/>
        <v>0</v>
      </c>
      <c r="BH164" s="104">
        <f t="shared" si="7"/>
        <v>0</v>
      </c>
      <c r="BI164" s="104">
        <f t="shared" si="8"/>
        <v>0</v>
      </c>
      <c r="BJ164" s="23" t="s">
        <v>85</v>
      </c>
      <c r="BK164" s="104">
        <f t="shared" si="9"/>
        <v>5000</v>
      </c>
      <c r="BL164" s="23" t="s">
        <v>218</v>
      </c>
      <c r="BM164" s="101" t="s">
        <v>862</v>
      </c>
    </row>
    <row r="165" spans="2:65" s="1" customFormat="1" ht="16.5" customHeight="1">
      <c r="B165" s="12"/>
      <c r="C165" s="71" t="s">
        <v>582</v>
      </c>
      <c r="D165" s="71" t="s">
        <v>214</v>
      </c>
      <c r="E165" s="72" t="s">
        <v>446</v>
      </c>
      <c r="F165" s="73" t="s">
        <v>5813</v>
      </c>
      <c r="G165" s="74" t="s">
        <v>808</v>
      </c>
      <c r="H165" s="75">
        <v>5</v>
      </c>
      <c r="I165" s="90">
        <v>200</v>
      </c>
      <c r="J165" s="91">
        <f t="shared" si="0"/>
        <v>1000</v>
      </c>
      <c r="K165" s="92"/>
      <c r="L165" s="12"/>
      <c r="M165" s="93" t="s">
        <v>1</v>
      </c>
      <c r="N165" s="94" t="s">
        <v>42</v>
      </c>
      <c r="P165" s="95">
        <f t="shared" si="1"/>
        <v>0</v>
      </c>
      <c r="Q165" s="95">
        <v>0.01</v>
      </c>
      <c r="R165" s="95">
        <f t="shared" si="2"/>
        <v>0.05</v>
      </c>
      <c r="S165" s="95">
        <v>0</v>
      </c>
      <c r="T165" s="99">
        <f t="shared" si="3"/>
        <v>0</v>
      </c>
      <c r="AR165" s="101" t="s">
        <v>218</v>
      </c>
      <c r="AT165" s="101" t="s">
        <v>214</v>
      </c>
      <c r="AU165" s="101" t="s">
        <v>85</v>
      </c>
      <c r="AY165" s="23" t="s">
        <v>211</v>
      </c>
      <c r="BE165" s="104">
        <f t="shared" si="4"/>
        <v>1000</v>
      </c>
      <c r="BF165" s="104">
        <f t="shared" si="5"/>
        <v>0</v>
      </c>
      <c r="BG165" s="104">
        <f t="shared" si="6"/>
        <v>0</v>
      </c>
      <c r="BH165" s="104">
        <f t="shared" si="7"/>
        <v>0</v>
      </c>
      <c r="BI165" s="104">
        <f t="shared" si="8"/>
        <v>0</v>
      </c>
      <c r="BJ165" s="23" t="s">
        <v>85</v>
      </c>
      <c r="BK165" s="104">
        <f t="shared" si="9"/>
        <v>1000</v>
      </c>
      <c r="BL165" s="23" t="s">
        <v>218</v>
      </c>
      <c r="BM165" s="101" t="s">
        <v>883</v>
      </c>
    </row>
    <row r="166" spans="2:65" s="1" customFormat="1" ht="16.5" customHeight="1">
      <c r="B166" s="12"/>
      <c r="C166" s="71" t="s">
        <v>588</v>
      </c>
      <c r="D166" s="71" t="s">
        <v>214</v>
      </c>
      <c r="E166" s="72" t="s">
        <v>450</v>
      </c>
      <c r="F166" s="73" t="s">
        <v>5814</v>
      </c>
      <c r="G166" s="74" t="s">
        <v>808</v>
      </c>
      <c r="H166" s="75">
        <v>13</v>
      </c>
      <c r="I166" s="90">
        <v>200</v>
      </c>
      <c r="J166" s="91">
        <f t="shared" si="0"/>
        <v>2600</v>
      </c>
      <c r="K166" s="92"/>
      <c r="L166" s="12"/>
      <c r="M166" s="93" t="s">
        <v>1</v>
      </c>
      <c r="N166" s="94" t="s">
        <v>42</v>
      </c>
      <c r="P166" s="95">
        <f t="shared" si="1"/>
        <v>0</v>
      </c>
      <c r="Q166" s="95">
        <v>0.01</v>
      </c>
      <c r="R166" s="95">
        <f t="shared" si="2"/>
        <v>0.13</v>
      </c>
      <c r="S166" s="95">
        <v>0</v>
      </c>
      <c r="T166" s="99">
        <f t="shared" si="3"/>
        <v>0</v>
      </c>
      <c r="AR166" s="101" t="s">
        <v>218</v>
      </c>
      <c r="AT166" s="101" t="s">
        <v>214</v>
      </c>
      <c r="AU166" s="101" t="s">
        <v>85</v>
      </c>
      <c r="AY166" s="23" t="s">
        <v>211</v>
      </c>
      <c r="BE166" s="104">
        <f t="shared" si="4"/>
        <v>2600</v>
      </c>
      <c r="BF166" s="104">
        <f t="shared" si="5"/>
        <v>0</v>
      </c>
      <c r="BG166" s="104">
        <f t="shared" si="6"/>
        <v>0</v>
      </c>
      <c r="BH166" s="104">
        <f t="shared" si="7"/>
        <v>0</v>
      </c>
      <c r="BI166" s="104">
        <f t="shared" si="8"/>
        <v>0</v>
      </c>
      <c r="BJ166" s="23" t="s">
        <v>85</v>
      </c>
      <c r="BK166" s="104">
        <f t="shared" si="9"/>
        <v>2600</v>
      </c>
      <c r="BL166" s="23" t="s">
        <v>218</v>
      </c>
      <c r="BM166" s="101" t="s">
        <v>905</v>
      </c>
    </row>
    <row r="167" spans="2:65" s="1" customFormat="1" ht="16.5" customHeight="1">
      <c r="B167" s="12"/>
      <c r="C167" s="71" t="s">
        <v>593</v>
      </c>
      <c r="D167" s="71" t="s">
        <v>214</v>
      </c>
      <c r="E167" s="72" t="s">
        <v>454</v>
      </c>
      <c r="F167" s="73" t="s">
        <v>5815</v>
      </c>
      <c r="G167" s="74" t="s">
        <v>808</v>
      </c>
      <c r="H167" s="75">
        <v>75</v>
      </c>
      <c r="I167" s="90">
        <v>200</v>
      </c>
      <c r="J167" s="91">
        <f t="shared" si="0"/>
        <v>15000</v>
      </c>
      <c r="K167" s="92"/>
      <c r="L167" s="12"/>
      <c r="M167" s="93" t="s">
        <v>1</v>
      </c>
      <c r="N167" s="94" t="s">
        <v>42</v>
      </c>
      <c r="P167" s="95">
        <f t="shared" si="1"/>
        <v>0</v>
      </c>
      <c r="Q167" s="95">
        <v>0.01</v>
      </c>
      <c r="R167" s="95">
        <f t="shared" si="2"/>
        <v>0.75</v>
      </c>
      <c r="S167" s="95">
        <v>0</v>
      </c>
      <c r="T167" s="99">
        <f t="shared" si="3"/>
        <v>0</v>
      </c>
      <c r="AR167" s="101" t="s">
        <v>218</v>
      </c>
      <c r="AT167" s="101" t="s">
        <v>214</v>
      </c>
      <c r="AU167" s="101" t="s">
        <v>85</v>
      </c>
      <c r="AY167" s="23" t="s">
        <v>211</v>
      </c>
      <c r="BE167" s="104">
        <f t="shared" si="4"/>
        <v>15000</v>
      </c>
      <c r="BF167" s="104">
        <f t="shared" si="5"/>
        <v>0</v>
      </c>
      <c r="BG167" s="104">
        <f t="shared" si="6"/>
        <v>0</v>
      </c>
      <c r="BH167" s="104">
        <f t="shared" si="7"/>
        <v>0</v>
      </c>
      <c r="BI167" s="104">
        <f t="shared" si="8"/>
        <v>0</v>
      </c>
      <c r="BJ167" s="23" t="s">
        <v>85</v>
      </c>
      <c r="BK167" s="104">
        <f t="shared" si="9"/>
        <v>15000</v>
      </c>
      <c r="BL167" s="23" t="s">
        <v>218</v>
      </c>
      <c r="BM167" s="101" t="s">
        <v>919</v>
      </c>
    </row>
    <row r="168" spans="2:65" s="1" customFormat="1" ht="16.5" customHeight="1">
      <c r="B168" s="12"/>
      <c r="C168" s="71" t="s">
        <v>598</v>
      </c>
      <c r="D168" s="71" t="s">
        <v>214</v>
      </c>
      <c r="E168" s="72" t="s">
        <v>459</v>
      </c>
      <c r="F168" s="73" t="s">
        <v>5816</v>
      </c>
      <c r="G168" s="74" t="s">
        <v>808</v>
      </c>
      <c r="H168" s="75">
        <v>195</v>
      </c>
      <c r="I168" s="90">
        <v>200</v>
      </c>
      <c r="J168" s="91">
        <f t="shared" si="0"/>
        <v>39000</v>
      </c>
      <c r="K168" s="92"/>
      <c r="L168" s="12"/>
      <c r="M168" s="93" t="s">
        <v>1</v>
      </c>
      <c r="N168" s="94" t="s">
        <v>42</v>
      </c>
      <c r="P168" s="95">
        <f t="shared" si="1"/>
        <v>0</v>
      </c>
      <c r="Q168" s="95">
        <v>0.01</v>
      </c>
      <c r="R168" s="95">
        <f t="shared" si="2"/>
        <v>1.95</v>
      </c>
      <c r="S168" s="95">
        <v>0</v>
      </c>
      <c r="T168" s="99">
        <f t="shared" si="3"/>
        <v>0</v>
      </c>
      <c r="AR168" s="101" t="s">
        <v>218</v>
      </c>
      <c r="AT168" s="101" t="s">
        <v>214</v>
      </c>
      <c r="AU168" s="101" t="s">
        <v>85</v>
      </c>
      <c r="AY168" s="23" t="s">
        <v>211</v>
      </c>
      <c r="BE168" s="104">
        <f t="shared" si="4"/>
        <v>39000</v>
      </c>
      <c r="BF168" s="104">
        <f t="shared" si="5"/>
        <v>0</v>
      </c>
      <c r="BG168" s="104">
        <f t="shared" si="6"/>
        <v>0</v>
      </c>
      <c r="BH168" s="104">
        <f t="shared" si="7"/>
        <v>0</v>
      </c>
      <c r="BI168" s="104">
        <f t="shared" si="8"/>
        <v>0</v>
      </c>
      <c r="BJ168" s="23" t="s">
        <v>85</v>
      </c>
      <c r="BK168" s="104">
        <f t="shared" si="9"/>
        <v>39000</v>
      </c>
      <c r="BL168" s="23" t="s">
        <v>218</v>
      </c>
      <c r="BM168" s="101" t="s">
        <v>935</v>
      </c>
    </row>
    <row r="169" spans="2:65" s="1" customFormat="1" ht="16.5" customHeight="1">
      <c r="B169" s="12"/>
      <c r="C169" s="71" t="s">
        <v>604</v>
      </c>
      <c r="D169" s="71" t="s">
        <v>214</v>
      </c>
      <c r="E169" s="72" t="s">
        <v>465</v>
      </c>
      <c r="F169" s="73" t="s">
        <v>5817</v>
      </c>
      <c r="G169" s="74" t="s">
        <v>808</v>
      </c>
      <c r="H169" s="75">
        <v>80</v>
      </c>
      <c r="I169" s="90">
        <v>200</v>
      </c>
      <c r="J169" s="91">
        <f t="shared" si="0"/>
        <v>16000</v>
      </c>
      <c r="K169" s="92"/>
      <c r="L169" s="12"/>
      <c r="M169" s="93" t="s">
        <v>1</v>
      </c>
      <c r="N169" s="94" t="s">
        <v>42</v>
      </c>
      <c r="P169" s="95">
        <f t="shared" si="1"/>
        <v>0</v>
      </c>
      <c r="Q169" s="95">
        <v>0.01</v>
      </c>
      <c r="R169" s="95">
        <f t="shared" si="2"/>
        <v>0.8</v>
      </c>
      <c r="S169" s="95">
        <v>0</v>
      </c>
      <c r="T169" s="99">
        <f t="shared" si="3"/>
        <v>0</v>
      </c>
      <c r="AR169" s="101" t="s">
        <v>218</v>
      </c>
      <c r="AT169" s="101" t="s">
        <v>214</v>
      </c>
      <c r="AU169" s="101" t="s">
        <v>85</v>
      </c>
      <c r="AY169" s="23" t="s">
        <v>211</v>
      </c>
      <c r="BE169" s="104">
        <f t="shared" si="4"/>
        <v>16000</v>
      </c>
      <c r="BF169" s="104">
        <f t="shared" si="5"/>
        <v>0</v>
      </c>
      <c r="BG169" s="104">
        <f t="shared" si="6"/>
        <v>0</v>
      </c>
      <c r="BH169" s="104">
        <f t="shared" si="7"/>
        <v>0</v>
      </c>
      <c r="BI169" s="104">
        <f t="shared" si="8"/>
        <v>0</v>
      </c>
      <c r="BJ169" s="23" t="s">
        <v>85</v>
      </c>
      <c r="BK169" s="104">
        <f t="shared" si="9"/>
        <v>16000</v>
      </c>
      <c r="BL169" s="23" t="s">
        <v>218</v>
      </c>
      <c r="BM169" s="101" t="s">
        <v>950</v>
      </c>
    </row>
    <row r="170" spans="2:65" s="1" customFormat="1" ht="16.5" customHeight="1">
      <c r="B170" s="12"/>
      <c r="C170" s="71" t="s">
        <v>608</v>
      </c>
      <c r="D170" s="71" t="s">
        <v>214</v>
      </c>
      <c r="E170" s="72" t="s">
        <v>7</v>
      </c>
      <c r="F170" s="73" t="s">
        <v>5818</v>
      </c>
      <c r="G170" s="74" t="s">
        <v>808</v>
      </c>
      <c r="H170" s="75">
        <v>277</v>
      </c>
      <c r="I170" s="90">
        <v>200</v>
      </c>
      <c r="J170" s="91">
        <f t="shared" si="0"/>
        <v>55400</v>
      </c>
      <c r="K170" s="92"/>
      <c r="L170" s="12"/>
      <c r="M170" s="93" t="s">
        <v>1</v>
      </c>
      <c r="N170" s="94" t="s">
        <v>42</v>
      </c>
      <c r="P170" s="95">
        <f t="shared" si="1"/>
        <v>0</v>
      </c>
      <c r="Q170" s="95">
        <v>0.01</v>
      </c>
      <c r="R170" s="95">
        <f t="shared" si="2"/>
        <v>2.77</v>
      </c>
      <c r="S170" s="95">
        <v>0</v>
      </c>
      <c r="T170" s="99">
        <f t="shared" si="3"/>
        <v>0</v>
      </c>
      <c r="AR170" s="101" t="s">
        <v>218</v>
      </c>
      <c r="AT170" s="101" t="s">
        <v>214</v>
      </c>
      <c r="AU170" s="101" t="s">
        <v>85</v>
      </c>
      <c r="AY170" s="23" t="s">
        <v>211</v>
      </c>
      <c r="BE170" s="104">
        <f t="shared" si="4"/>
        <v>55400</v>
      </c>
      <c r="BF170" s="104">
        <f t="shared" si="5"/>
        <v>0</v>
      </c>
      <c r="BG170" s="104">
        <f t="shared" si="6"/>
        <v>0</v>
      </c>
      <c r="BH170" s="104">
        <f t="shared" si="7"/>
        <v>0</v>
      </c>
      <c r="BI170" s="104">
        <f t="shared" si="8"/>
        <v>0</v>
      </c>
      <c r="BJ170" s="23" t="s">
        <v>85</v>
      </c>
      <c r="BK170" s="104">
        <f t="shared" si="9"/>
        <v>55400</v>
      </c>
      <c r="BL170" s="23" t="s">
        <v>218</v>
      </c>
      <c r="BM170" s="101" t="s">
        <v>963</v>
      </c>
    </row>
    <row r="171" spans="2:65" s="1" customFormat="1" ht="16.5" customHeight="1">
      <c r="B171" s="12"/>
      <c r="C171" s="71" t="s">
        <v>614</v>
      </c>
      <c r="D171" s="71" t="s">
        <v>214</v>
      </c>
      <c r="E171" s="72" t="s">
        <v>475</v>
      </c>
      <c r="F171" s="73" t="s">
        <v>5819</v>
      </c>
      <c r="G171" s="74" t="s">
        <v>808</v>
      </c>
      <c r="H171" s="75">
        <v>83</v>
      </c>
      <c r="I171" s="90">
        <v>200</v>
      </c>
      <c r="J171" s="91">
        <f t="shared" si="0"/>
        <v>16600</v>
      </c>
      <c r="K171" s="92"/>
      <c r="L171" s="12"/>
      <c r="M171" s="130" t="s">
        <v>1</v>
      </c>
      <c r="N171" s="131" t="s">
        <v>42</v>
      </c>
      <c r="O171" s="110"/>
      <c r="P171" s="132">
        <f t="shared" si="1"/>
        <v>0</v>
      </c>
      <c r="Q171" s="132">
        <v>0.01</v>
      </c>
      <c r="R171" s="132">
        <f t="shared" si="2"/>
        <v>0.83</v>
      </c>
      <c r="S171" s="132">
        <v>0</v>
      </c>
      <c r="T171" s="134">
        <f t="shared" si="3"/>
        <v>0</v>
      </c>
      <c r="AR171" s="101" t="s">
        <v>218</v>
      </c>
      <c r="AT171" s="101" t="s">
        <v>214</v>
      </c>
      <c r="AU171" s="101" t="s">
        <v>85</v>
      </c>
      <c r="AY171" s="23" t="s">
        <v>211</v>
      </c>
      <c r="BE171" s="104">
        <f t="shared" si="4"/>
        <v>16600</v>
      </c>
      <c r="BF171" s="104">
        <f t="shared" si="5"/>
        <v>0</v>
      </c>
      <c r="BG171" s="104">
        <f t="shared" si="6"/>
        <v>0</v>
      </c>
      <c r="BH171" s="104">
        <f t="shared" si="7"/>
        <v>0</v>
      </c>
      <c r="BI171" s="104">
        <f t="shared" si="8"/>
        <v>0</v>
      </c>
      <c r="BJ171" s="23" t="s">
        <v>85</v>
      </c>
      <c r="BK171" s="104">
        <f t="shared" si="9"/>
        <v>16600</v>
      </c>
      <c r="BL171" s="23" t="s">
        <v>218</v>
      </c>
      <c r="BM171" s="101" t="s">
        <v>993</v>
      </c>
    </row>
    <row r="172" spans="2:65" s="1" customFormat="1" ht="6.9" customHeight="1">
      <c r="B172" s="26"/>
      <c r="C172" s="27"/>
      <c r="D172" s="27"/>
      <c r="E172" s="27"/>
      <c r="F172" s="27"/>
      <c r="G172" s="27"/>
      <c r="H172" s="27"/>
      <c r="I172" s="27"/>
      <c r="J172" s="27"/>
      <c r="K172" s="27"/>
      <c r="L172" s="12"/>
    </row>
  </sheetData>
  <autoFilter ref="C121:K171" xr:uid="{00000000-0009-0000-0000-000018000000}"/>
  <mergeCells count="12">
    <mergeCell ref="L2:V2"/>
    <mergeCell ref="E7:H7"/>
    <mergeCell ref="E9:H9"/>
    <mergeCell ref="E11:H11"/>
    <mergeCell ref="E20:H20"/>
    <mergeCell ref="E112:H112"/>
    <mergeCell ref="E114:H114"/>
    <mergeCell ref="E29:H29"/>
    <mergeCell ref="E85:H85"/>
    <mergeCell ref="E87:H87"/>
    <mergeCell ref="E89:H89"/>
    <mergeCell ref="E110:H11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B2:BM153"/>
  <sheetViews>
    <sheetView showGridLines="0" topLeftCell="A140" workbookViewId="0">
      <selection activeCell="I152" sqref="I152"/>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171</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2" customHeight="1">
      <c r="B8" s="5"/>
      <c r="D8" s="10" t="s">
        <v>182</v>
      </c>
      <c r="L8" s="5"/>
    </row>
    <row r="9" spans="2:46" s="1" customFormat="1" ht="16.5" customHeight="1">
      <c r="B9" s="12"/>
      <c r="E9" s="392" t="s">
        <v>5462</v>
      </c>
      <c r="F9" s="394"/>
      <c r="G9" s="394"/>
      <c r="H9" s="394"/>
      <c r="L9" s="12"/>
    </row>
    <row r="10" spans="2:46" s="1" customFormat="1" ht="12" customHeight="1">
      <c r="B10" s="12"/>
      <c r="D10" s="10" t="s">
        <v>296</v>
      </c>
      <c r="L10" s="12"/>
    </row>
    <row r="11" spans="2:46" s="1" customFormat="1" ht="16.5" customHeight="1">
      <c r="B11" s="12"/>
      <c r="E11" s="381" t="s">
        <v>5820</v>
      </c>
      <c r="F11" s="394"/>
      <c r="G11" s="394"/>
      <c r="H11" s="394"/>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395" t="str">
        <f>'Rekapitulace stavby'!E14</f>
        <v>DMG Stav a.s.</v>
      </c>
      <c r="F20" s="384"/>
      <c r="G20" s="384"/>
      <c r="H20" s="384"/>
      <c r="I20" s="10" t="s">
        <v>26</v>
      </c>
      <c r="J20" s="33" t="str">
        <f>'Rekapitulace stavby'!AN14</f>
        <v>CZ 08004013</v>
      </c>
      <c r="L20" s="12"/>
    </row>
    <row r="21" spans="2:12" s="1" customFormat="1" ht="6.9"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 customHeight="1">
      <c r="B27" s="12"/>
      <c r="L27" s="12"/>
    </row>
    <row r="28" spans="2:12" s="1" customFormat="1" ht="12" customHeight="1">
      <c r="B28" s="12"/>
      <c r="D28" s="10" t="s">
        <v>36</v>
      </c>
      <c r="L28" s="12"/>
    </row>
    <row r="29" spans="2:12" s="28" customFormat="1" ht="16.5" customHeight="1">
      <c r="B29" s="34"/>
      <c r="E29" s="388" t="s">
        <v>1</v>
      </c>
      <c r="F29" s="388"/>
      <c r="G29" s="388"/>
      <c r="H29" s="388"/>
      <c r="L29" s="34"/>
    </row>
    <row r="30" spans="2:12" s="1" customFormat="1" ht="6.9" customHeight="1">
      <c r="B30" s="12"/>
      <c r="L30" s="12"/>
    </row>
    <row r="31" spans="2:12" s="1" customFormat="1" ht="6.9" customHeight="1">
      <c r="B31" s="12"/>
      <c r="D31" s="35"/>
      <c r="E31" s="35"/>
      <c r="F31" s="35"/>
      <c r="G31" s="35"/>
      <c r="H31" s="35"/>
      <c r="I31" s="35"/>
      <c r="J31" s="35"/>
      <c r="K31" s="35"/>
      <c r="L31" s="12"/>
    </row>
    <row r="32" spans="2:12" s="1" customFormat="1" ht="25.35" customHeight="1">
      <c r="B32" s="12"/>
      <c r="D32" s="36" t="s">
        <v>37</v>
      </c>
      <c r="J32" s="51">
        <f>ROUND(J121,2)</f>
        <v>2080855</v>
      </c>
      <c r="L32" s="12"/>
    </row>
    <row r="33" spans="2:12" s="1" customFormat="1" ht="6.9" customHeight="1">
      <c r="B33" s="12"/>
      <c r="D33" s="35"/>
      <c r="E33" s="35"/>
      <c r="F33" s="35"/>
      <c r="G33" s="35"/>
      <c r="H33" s="35"/>
      <c r="I33" s="35"/>
      <c r="J33" s="35"/>
      <c r="K33" s="35"/>
      <c r="L33" s="12"/>
    </row>
    <row r="34" spans="2:12" s="1" customFormat="1" ht="14.4" customHeight="1">
      <c r="B34" s="12"/>
      <c r="F34" s="37" t="s">
        <v>39</v>
      </c>
      <c r="I34" s="37" t="s">
        <v>38</v>
      </c>
      <c r="J34" s="37" t="s">
        <v>40</v>
      </c>
      <c r="L34" s="12"/>
    </row>
    <row r="35" spans="2:12" s="1" customFormat="1" ht="14.4" customHeight="1">
      <c r="B35" s="12"/>
      <c r="D35" s="38" t="s">
        <v>41</v>
      </c>
      <c r="E35" s="10" t="s">
        <v>42</v>
      </c>
      <c r="F35" s="39">
        <f>ROUND((SUM(BE121:BE152)),2)</f>
        <v>2080855</v>
      </c>
      <c r="I35" s="52">
        <v>0.21</v>
      </c>
      <c r="J35" s="39">
        <f>ROUND(((SUM(BE121:BE152))*I35),2)</f>
        <v>436979.55</v>
      </c>
      <c r="L35" s="12"/>
    </row>
    <row r="36" spans="2:12" s="1" customFormat="1" ht="14.4" customHeight="1">
      <c r="B36" s="12"/>
      <c r="E36" s="10" t="s">
        <v>43</v>
      </c>
      <c r="F36" s="39">
        <f>ROUND((SUM(BF121:BF152)),2)</f>
        <v>0</v>
      </c>
      <c r="I36" s="52">
        <v>0.15</v>
      </c>
      <c r="J36" s="39">
        <f>ROUND(((SUM(BF121:BF152))*I36),2)</f>
        <v>0</v>
      </c>
      <c r="L36" s="12"/>
    </row>
    <row r="37" spans="2:12" s="1" customFormat="1" ht="14.4" hidden="1" customHeight="1">
      <c r="B37" s="12"/>
      <c r="E37" s="10" t="s">
        <v>44</v>
      </c>
      <c r="F37" s="39">
        <f>ROUND((SUM(BG121:BG152)),2)</f>
        <v>0</v>
      </c>
      <c r="I37" s="52">
        <v>0.21</v>
      </c>
      <c r="J37" s="39">
        <f>0</f>
        <v>0</v>
      </c>
      <c r="L37" s="12"/>
    </row>
    <row r="38" spans="2:12" s="1" customFormat="1" ht="14.4" hidden="1" customHeight="1">
      <c r="B38" s="12"/>
      <c r="E38" s="10" t="s">
        <v>45</v>
      </c>
      <c r="F38" s="39">
        <f>ROUND((SUM(BH121:BH152)),2)</f>
        <v>0</v>
      </c>
      <c r="I38" s="52">
        <v>0.15</v>
      </c>
      <c r="J38" s="39">
        <f>0</f>
        <v>0</v>
      </c>
      <c r="L38" s="12"/>
    </row>
    <row r="39" spans="2:12" s="1" customFormat="1" ht="14.4" hidden="1" customHeight="1">
      <c r="B39" s="12"/>
      <c r="E39" s="10" t="s">
        <v>46</v>
      </c>
      <c r="F39" s="39">
        <f>ROUND((SUM(BI121:BI152)),2)</f>
        <v>0</v>
      </c>
      <c r="I39" s="52">
        <v>0</v>
      </c>
      <c r="J39" s="39">
        <f>0</f>
        <v>0</v>
      </c>
      <c r="L39" s="12"/>
    </row>
    <row r="40" spans="2:12" s="1" customFormat="1" ht="6.9" customHeight="1">
      <c r="B40" s="12"/>
      <c r="L40" s="12"/>
    </row>
    <row r="41" spans="2:12" s="1" customFormat="1" ht="25.35" customHeight="1">
      <c r="B41" s="12"/>
      <c r="C41" s="40"/>
      <c r="D41" s="41" t="s">
        <v>47</v>
      </c>
      <c r="E41" s="42"/>
      <c r="F41" s="42"/>
      <c r="G41" s="43" t="s">
        <v>48</v>
      </c>
      <c r="H41" s="44" t="s">
        <v>49</v>
      </c>
      <c r="I41" s="42"/>
      <c r="J41" s="53">
        <f>SUM(J32:J39)</f>
        <v>2517834.5499999998</v>
      </c>
      <c r="K41" s="54"/>
      <c r="L41" s="12"/>
    </row>
    <row r="42" spans="2:12" s="1" customFormat="1" ht="14.4" customHeight="1">
      <c r="B42" s="12"/>
      <c r="L42" s="12"/>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s="1" customFormat="1" ht="16.5" customHeight="1">
      <c r="B87" s="12"/>
      <c r="E87" s="392" t="s">
        <v>5462</v>
      </c>
      <c r="F87" s="394"/>
      <c r="G87" s="394"/>
      <c r="H87" s="394"/>
      <c r="L87" s="12"/>
    </row>
    <row r="88" spans="2:12" s="1" customFormat="1" ht="12" customHeight="1">
      <c r="B88" s="12"/>
      <c r="C88" s="10" t="s">
        <v>296</v>
      </c>
      <c r="L88" s="12"/>
    </row>
    <row r="89" spans="2:12" s="1" customFormat="1" ht="16.5" customHeight="1">
      <c r="B89" s="12"/>
      <c r="E89" s="381" t="str">
        <f>E11</f>
        <v>S044 - Drobná venkovná architektura</v>
      </c>
      <c r="F89" s="394"/>
      <c r="G89" s="394"/>
      <c r="H89" s="394"/>
      <c r="L89" s="12"/>
    </row>
    <row r="90" spans="2:12" s="1" customFormat="1" ht="6.9" customHeight="1">
      <c r="B90" s="12"/>
      <c r="L90" s="12"/>
    </row>
    <row r="91" spans="2:12" s="1" customFormat="1" ht="12" customHeight="1">
      <c r="B91" s="12"/>
      <c r="C91" s="10" t="s">
        <v>20</v>
      </c>
      <c r="F91" s="32" t="str">
        <f>F14</f>
        <v>Praha</v>
      </c>
      <c r="I91" s="10" t="s">
        <v>22</v>
      </c>
      <c r="J91" s="11">
        <f>IF(J14="","",J14)</f>
        <v>45000</v>
      </c>
      <c r="L91" s="12"/>
    </row>
    <row r="92" spans="2:12" s="1" customFormat="1" ht="6.9" customHeight="1">
      <c r="B92" s="12"/>
      <c r="L92" s="12"/>
    </row>
    <row r="93" spans="2:12" s="1" customFormat="1" ht="15.15" customHeight="1">
      <c r="B93" s="12"/>
      <c r="C93" s="10" t="s">
        <v>23</v>
      </c>
      <c r="F93" s="32" t="str">
        <f>E17</f>
        <v>VELTON REAL ESTATE</v>
      </c>
      <c r="I93" s="10" t="s">
        <v>31</v>
      </c>
      <c r="J93" s="8" t="str">
        <f>E23</f>
        <v>ABMV World s.r.o</v>
      </c>
      <c r="L93" s="12"/>
    </row>
    <row r="94" spans="2:12" s="1" customFormat="1" ht="15.15"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J121</f>
        <v>2080855</v>
      </c>
      <c r="L98" s="12"/>
      <c r="AU98" s="23" t="s">
        <v>188</v>
      </c>
    </row>
    <row r="99" spans="2:47" s="29" customFormat="1" ht="24.9" customHeight="1">
      <c r="B99" s="60"/>
      <c r="D99" s="61" t="s">
        <v>5821</v>
      </c>
      <c r="E99" s="62"/>
      <c r="F99" s="62"/>
      <c r="G99" s="62"/>
      <c r="H99" s="62"/>
      <c r="I99" s="62"/>
      <c r="J99" s="77">
        <f>J122</f>
        <v>2080855</v>
      </c>
      <c r="L99" s="60"/>
    </row>
    <row r="100" spans="2:47" s="1" customFormat="1" ht="21.75" customHeight="1">
      <c r="B100" s="12"/>
      <c r="L100" s="12"/>
    </row>
    <row r="101" spans="2:47" s="1" customFormat="1" ht="6.9" customHeight="1">
      <c r="B101" s="26"/>
      <c r="C101" s="27"/>
      <c r="D101" s="27"/>
      <c r="E101" s="27"/>
      <c r="F101" s="27"/>
      <c r="G101" s="27"/>
      <c r="H101" s="27"/>
      <c r="I101" s="27"/>
      <c r="J101" s="27"/>
      <c r="K101" s="27"/>
      <c r="L101" s="12"/>
    </row>
    <row r="105" spans="2:47" s="1" customFormat="1" ht="6.9" customHeight="1">
      <c r="B105" s="56"/>
      <c r="C105" s="57"/>
      <c r="D105" s="57"/>
      <c r="E105" s="57"/>
      <c r="F105" s="57"/>
      <c r="G105" s="57"/>
      <c r="H105" s="57"/>
      <c r="I105" s="57"/>
      <c r="J105" s="57"/>
      <c r="K105" s="57"/>
      <c r="L105" s="12"/>
    </row>
    <row r="106" spans="2:47" s="1" customFormat="1" ht="24.9" customHeight="1">
      <c r="B106" s="12"/>
      <c r="C106" s="6" t="s">
        <v>195</v>
      </c>
      <c r="L106" s="12"/>
    </row>
    <row r="107" spans="2:47" s="1" customFormat="1" ht="6.9" customHeight="1">
      <c r="B107" s="12"/>
      <c r="L107" s="12"/>
    </row>
    <row r="108" spans="2:47" s="1" customFormat="1" ht="12" customHeight="1">
      <c r="B108" s="12"/>
      <c r="C108" s="10" t="s">
        <v>16</v>
      </c>
      <c r="L108" s="12"/>
    </row>
    <row r="109" spans="2:47" s="1" customFormat="1" ht="16.5" customHeight="1">
      <c r="B109" s="12"/>
      <c r="E109" s="392" t="str">
        <f>E7</f>
        <v>Bytový soubor Libuše</v>
      </c>
      <c r="F109" s="393"/>
      <c r="G109" s="393"/>
      <c r="H109" s="393"/>
      <c r="L109" s="12"/>
    </row>
    <row r="110" spans="2:47" ht="12" customHeight="1">
      <c r="B110" s="5"/>
      <c r="C110" s="10" t="s">
        <v>182</v>
      </c>
      <c r="L110" s="5"/>
    </row>
    <row r="111" spans="2:47" s="1" customFormat="1" ht="16.5" customHeight="1">
      <c r="B111" s="12"/>
      <c r="E111" s="392" t="s">
        <v>5462</v>
      </c>
      <c r="F111" s="394"/>
      <c r="G111" s="394"/>
      <c r="H111" s="394"/>
      <c r="L111" s="12"/>
    </row>
    <row r="112" spans="2:47" s="1" customFormat="1" ht="12" customHeight="1">
      <c r="B112" s="12"/>
      <c r="C112" s="10" t="s">
        <v>296</v>
      </c>
      <c r="L112" s="12"/>
    </row>
    <row r="113" spans="2:65" s="1" customFormat="1" ht="16.5" customHeight="1">
      <c r="B113" s="12"/>
      <c r="E113" s="381" t="str">
        <f>E11</f>
        <v>S044 - Drobná venkovná architektura</v>
      </c>
      <c r="F113" s="394"/>
      <c r="G113" s="394"/>
      <c r="H113" s="394"/>
      <c r="L113" s="12"/>
    </row>
    <row r="114" spans="2:65" s="1" customFormat="1" ht="6.9" customHeight="1">
      <c r="B114" s="12"/>
      <c r="L114" s="12"/>
    </row>
    <row r="115" spans="2:65" s="1" customFormat="1" ht="12" customHeight="1">
      <c r="B115" s="12"/>
      <c r="C115" s="10" t="s">
        <v>20</v>
      </c>
      <c r="F115" s="32" t="str">
        <f>F14</f>
        <v>Praha</v>
      </c>
      <c r="I115" s="10" t="s">
        <v>22</v>
      </c>
      <c r="J115" s="11">
        <f>IF(J14="","",J14)</f>
        <v>45000</v>
      </c>
      <c r="L115" s="12"/>
    </row>
    <row r="116" spans="2:65" s="1" customFormat="1" ht="6.9" customHeight="1">
      <c r="B116" s="12"/>
      <c r="L116" s="12"/>
    </row>
    <row r="117" spans="2:65" s="1" customFormat="1" ht="15.15" customHeight="1">
      <c r="B117" s="12"/>
      <c r="C117" s="10" t="s">
        <v>23</v>
      </c>
      <c r="F117" s="32" t="str">
        <f>E17</f>
        <v>VELTON REAL ESTATE</v>
      </c>
      <c r="I117" s="10" t="s">
        <v>31</v>
      </c>
      <c r="J117" s="8" t="str">
        <f>E23</f>
        <v>ABMV World s.r.o</v>
      </c>
      <c r="L117" s="12"/>
    </row>
    <row r="118" spans="2:65" s="1" customFormat="1" ht="15.15" customHeight="1">
      <c r="B118" s="12"/>
      <c r="C118" s="10" t="s">
        <v>27</v>
      </c>
      <c r="F118" s="32" t="str">
        <f>IF(E20="","",E20)</f>
        <v>DMG Stav a.s.</v>
      </c>
      <c r="I118" s="10" t="s">
        <v>34</v>
      </c>
      <c r="J118" s="8" t="str">
        <f>E26</f>
        <v>QSB s.r.o.</v>
      </c>
      <c r="L118" s="12"/>
    </row>
    <row r="119" spans="2:65" s="1" customFormat="1" ht="10.35" customHeight="1">
      <c r="B119" s="12"/>
      <c r="L119" s="12"/>
    </row>
    <row r="120" spans="2:65" s="2" customFormat="1" ht="29.25" customHeight="1">
      <c r="B120" s="13"/>
      <c r="C120" s="14" t="s">
        <v>196</v>
      </c>
      <c r="D120" s="15" t="s">
        <v>62</v>
      </c>
      <c r="E120" s="15" t="s">
        <v>58</v>
      </c>
      <c r="F120" s="15" t="s">
        <v>59</v>
      </c>
      <c r="G120" s="15" t="s">
        <v>197</v>
      </c>
      <c r="H120" s="15" t="s">
        <v>198</v>
      </c>
      <c r="I120" s="15" t="s">
        <v>199</v>
      </c>
      <c r="J120" s="16" t="s">
        <v>186</v>
      </c>
      <c r="K120" s="79" t="s">
        <v>200</v>
      </c>
      <c r="L120" s="13"/>
      <c r="M120" s="80" t="s">
        <v>1</v>
      </c>
      <c r="N120" s="81" t="s">
        <v>41</v>
      </c>
      <c r="O120" s="81" t="s">
        <v>201</v>
      </c>
      <c r="P120" s="81" t="s">
        <v>202</v>
      </c>
      <c r="Q120" s="81" t="s">
        <v>203</v>
      </c>
      <c r="R120" s="81" t="s">
        <v>204</v>
      </c>
      <c r="S120" s="81" t="s">
        <v>205</v>
      </c>
      <c r="T120" s="96" t="s">
        <v>206</v>
      </c>
    </row>
    <row r="121" spans="2:65" s="1" customFormat="1" ht="23.1" customHeight="1">
      <c r="B121" s="12"/>
      <c r="C121" s="66" t="s">
        <v>207</v>
      </c>
      <c r="J121" s="82">
        <f>BK121</f>
        <v>2080855</v>
      </c>
      <c r="L121" s="12"/>
      <c r="M121" s="83"/>
      <c r="N121" s="35"/>
      <c r="O121" s="35"/>
      <c r="P121" s="84">
        <f>P122</f>
        <v>0</v>
      </c>
      <c r="Q121" s="35"/>
      <c r="R121" s="84">
        <f>R122</f>
        <v>0</v>
      </c>
      <c r="S121" s="35"/>
      <c r="T121" s="97">
        <f>T122</f>
        <v>0</v>
      </c>
      <c r="AT121" s="23" t="s">
        <v>76</v>
      </c>
      <c r="AU121" s="23" t="s">
        <v>188</v>
      </c>
      <c r="BK121" s="102">
        <f>BK122</f>
        <v>2080855</v>
      </c>
    </row>
    <row r="122" spans="2:65" s="31" customFormat="1" ht="26.1" customHeight="1">
      <c r="B122" s="67"/>
      <c r="D122" s="68" t="s">
        <v>76</v>
      </c>
      <c r="E122" s="69" t="s">
        <v>3830</v>
      </c>
      <c r="F122" s="69" t="s">
        <v>5822</v>
      </c>
      <c r="I122" s="85"/>
      <c r="J122" s="86">
        <f>BK122</f>
        <v>2080855</v>
      </c>
      <c r="L122" s="67"/>
      <c r="M122" s="87"/>
      <c r="P122" s="88">
        <f>SUM(P123:P152)</f>
        <v>0</v>
      </c>
      <c r="R122" s="88">
        <f>SUM(R123:R152)</f>
        <v>0</v>
      </c>
      <c r="T122" s="98">
        <f>SUM(T123:T152)</f>
        <v>0</v>
      </c>
      <c r="AR122" s="68" t="s">
        <v>85</v>
      </c>
      <c r="AT122" s="100" t="s">
        <v>76</v>
      </c>
      <c r="AU122" s="100" t="s">
        <v>77</v>
      </c>
      <c r="AY122" s="68" t="s">
        <v>211</v>
      </c>
      <c r="BK122" s="103">
        <f>SUM(BK123:BK152)</f>
        <v>2080855</v>
      </c>
    </row>
    <row r="123" spans="2:65" s="1" customFormat="1" ht="66.75" customHeight="1">
      <c r="B123" s="12"/>
      <c r="C123" s="71" t="s">
        <v>85</v>
      </c>
      <c r="D123" s="71" t="s">
        <v>214</v>
      </c>
      <c r="E123" s="72" t="s">
        <v>5823</v>
      </c>
      <c r="F123" s="73" t="s">
        <v>5824</v>
      </c>
      <c r="G123" s="74" t="s">
        <v>808</v>
      </c>
      <c r="H123" s="75">
        <v>2</v>
      </c>
      <c r="I123" s="90">
        <v>18000</v>
      </c>
      <c r="J123" s="91">
        <f>ROUND(I123*H123,2)</f>
        <v>36000</v>
      </c>
      <c r="K123" s="92"/>
      <c r="L123" s="12"/>
      <c r="M123" s="93" t="s">
        <v>1</v>
      </c>
      <c r="N123" s="94" t="s">
        <v>42</v>
      </c>
      <c r="P123" s="95">
        <f>O123*H123</f>
        <v>0</v>
      </c>
      <c r="Q123" s="95">
        <v>0</v>
      </c>
      <c r="R123" s="95">
        <f>Q123*H123</f>
        <v>0</v>
      </c>
      <c r="S123" s="95">
        <v>0</v>
      </c>
      <c r="T123" s="99">
        <f>S123*H123</f>
        <v>0</v>
      </c>
      <c r="AR123" s="101" t="s">
        <v>218</v>
      </c>
      <c r="AT123" s="101" t="s">
        <v>214</v>
      </c>
      <c r="AU123" s="101" t="s">
        <v>85</v>
      </c>
      <c r="AY123" s="23" t="s">
        <v>211</v>
      </c>
      <c r="BE123" s="104">
        <f>IF(N123="základní",J123,0)</f>
        <v>36000</v>
      </c>
      <c r="BF123" s="104">
        <f>IF(N123="snížená",J123,0)</f>
        <v>0</v>
      </c>
      <c r="BG123" s="104">
        <f>IF(N123="zákl. přenesená",J123,0)</f>
        <v>0</v>
      </c>
      <c r="BH123" s="104">
        <f>IF(N123="sníž. přenesená",J123,0)</f>
        <v>0</v>
      </c>
      <c r="BI123" s="104">
        <f>IF(N123="nulová",J123,0)</f>
        <v>0</v>
      </c>
      <c r="BJ123" s="23" t="s">
        <v>85</v>
      </c>
      <c r="BK123" s="104">
        <f>ROUND(I123*H123,2)</f>
        <v>36000</v>
      </c>
      <c r="BL123" s="23" t="s">
        <v>218</v>
      </c>
      <c r="BM123" s="101" t="s">
        <v>87</v>
      </c>
    </row>
    <row r="124" spans="2:65" s="1" customFormat="1" ht="19.2">
      <c r="B124" s="12"/>
      <c r="D124" s="105" t="s">
        <v>227</v>
      </c>
      <c r="F124" s="106" t="s">
        <v>5825</v>
      </c>
      <c r="I124" s="107"/>
      <c r="L124" s="12"/>
      <c r="M124" s="108"/>
      <c r="T124" s="111"/>
      <c r="AT124" s="23" t="s">
        <v>227</v>
      </c>
      <c r="AU124" s="23" t="s">
        <v>85</v>
      </c>
    </row>
    <row r="125" spans="2:65" s="1" customFormat="1" ht="66.75" customHeight="1">
      <c r="B125" s="12"/>
      <c r="C125" s="71" t="s">
        <v>87</v>
      </c>
      <c r="D125" s="71" t="s">
        <v>214</v>
      </c>
      <c r="E125" s="72" t="s">
        <v>5826</v>
      </c>
      <c r="F125" s="73" t="s">
        <v>5827</v>
      </c>
      <c r="G125" s="74" t="s">
        <v>808</v>
      </c>
      <c r="H125" s="75">
        <v>1</v>
      </c>
      <c r="I125" s="90">
        <v>28000</v>
      </c>
      <c r="J125" s="91">
        <f>ROUND(I125*H125,2)</f>
        <v>28000</v>
      </c>
      <c r="K125" s="92"/>
      <c r="L125" s="12"/>
      <c r="M125" s="93" t="s">
        <v>1</v>
      </c>
      <c r="N125" s="94" t="s">
        <v>42</v>
      </c>
      <c r="P125" s="95">
        <f>O125*H125</f>
        <v>0</v>
      </c>
      <c r="Q125" s="95">
        <v>0</v>
      </c>
      <c r="R125" s="95">
        <f>Q125*H125</f>
        <v>0</v>
      </c>
      <c r="S125" s="95">
        <v>0</v>
      </c>
      <c r="T125" s="99">
        <f>S125*H125</f>
        <v>0</v>
      </c>
      <c r="AR125" s="101" t="s">
        <v>218</v>
      </c>
      <c r="AT125" s="101" t="s">
        <v>214</v>
      </c>
      <c r="AU125" s="101" t="s">
        <v>85</v>
      </c>
      <c r="AY125" s="23" t="s">
        <v>211</v>
      </c>
      <c r="BE125" s="104">
        <f>IF(N125="základní",J125,0)</f>
        <v>28000</v>
      </c>
      <c r="BF125" s="104">
        <f>IF(N125="snížená",J125,0)</f>
        <v>0</v>
      </c>
      <c r="BG125" s="104">
        <f>IF(N125="zákl. přenesená",J125,0)</f>
        <v>0</v>
      </c>
      <c r="BH125" s="104">
        <f>IF(N125="sníž. přenesená",J125,0)</f>
        <v>0</v>
      </c>
      <c r="BI125" s="104">
        <f>IF(N125="nulová",J125,0)</f>
        <v>0</v>
      </c>
      <c r="BJ125" s="23" t="s">
        <v>85</v>
      </c>
      <c r="BK125" s="104">
        <f>ROUND(I125*H125,2)</f>
        <v>28000</v>
      </c>
      <c r="BL125" s="23" t="s">
        <v>218</v>
      </c>
      <c r="BM125" s="101" t="s">
        <v>218</v>
      </c>
    </row>
    <row r="126" spans="2:65" s="1" customFormat="1" ht="19.2">
      <c r="B126" s="12"/>
      <c r="D126" s="105" t="s">
        <v>227</v>
      </c>
      <c r="F126" s="106" t="s">
        <v>5825</v>
      </c>
      <c r="I126" s="107"/>
      <c r="L126" s="12"/>
      <c r="M126" s="108"/>
      <c r="T126" s="111"/>
      <c r="AT126" s="23" t="s">
        <v>227</v>
      </c>
      <c r="AU126" s="23" t="s">
        <v>85</v>
      </c>
    </row>
    <row r="127" spans="2:65" s="1" customFormat="1" ht="66.75" customHeight="1">
      <c r="B127" s="12"/>
      <c r="C127" s="71" t="s">
        <v>137</v>
      </c>
      <c r="D127" s="71" t="s">
        <v>214</v>
      </c>
      <c r="E127" s="72" t="s">
        <v>5828</v>
      </c>
      <c r="F127" s="73" t="s">
        <v>5829</v>
      </c>
      <c r="G127" s="74" t="s">
        <v>808</v>
      </c>
      <c r="H127" s="75">
        <v>1</v>
      </c>
      <c r="I127" s="90">
        <v>30000</v>
      </c>
      <c r="J127" s="91">
        <f>ROUND(I127*H127,2)</f>
        <v>30000</v>
      </c>
      <c r="K127" s="92"/>
      <c r="L127" s="12"/>
      <c r="M127" s="93" t="s">
        <v>1</v>
      </c>
      <c r="N127" s="94" t="s">
        <v>42</v>
      </c>
      <c r="P127" s="95">
        <f>O127*H127</f>
        <v>0</v>
      </c>
      <c r="Q127" s="95">
        <v>0</v>
      </c>
      <c r="R127" s="95">
        <f>Q127*H127</f>
        <v>0</v>
      </c>
      <c r="S127" s="95">
        <v>0</v>
      </c>
      <c r="T127" s="99">
        <f>S127*H127</f>
        <v>0</v>
      </c>
      <c r="AR127" s="101" t="s">
        <v>218</v>
      </c>
      <c r="AT127" s="101" t="s">
        <v>214</v>
      </c>
      <c r="AU127" s="101" t="s">
        <v>85</v>
      </c>
      <c r="AY127" s="23" t="s">
        <v>211</v>
      </c>
      <c r="BE127" s="104">
        <f>IF(N127="základní",J127,0)</f>
        <v>30000</v>
      </c>
      <c r="BF127" s="104">
        <f>IF(N127="snížená",J127,0)</f>
        <v>0</v>
      </c>
      <c r="BG127" s="104">
        <f>IF(N127="zákl. přenesená",J127,0)</f>
        <v>0</v>
      </c>
      <c r="BH127" s="104">
        <f>IF(N127="sníž. přenesená",J127,0)</f>
        <v>0</v>
      </c>
      <c r="BI127" s="104">
        <f>IF(N127="nulová",J127,0)</f>
        <v>0</v>
      </c>
      <c r="BJ127" s="23" t="s">
        <v>85</v>
      </c>
      <c r="BK127" s="104">
        <f>ROUND(I127*H127,2)</f>
        <v>30000</v>
      </c>
      <c r="BL127" s="23" t="s">
        <v>218</v>
      </c>
      <c r="BM127" s="101" t="s">
        <v>239</v>
      </c>
    </row>
    <row r="128" spans="2:65" s="1" customFormat="1" ht="19.2">
      <c r="B128" s="12"/>
      <c r="D128" s="105" t="s">
        <v>227</v>
      </c>
      <c r="F128" s="106" t="s">
        <v>5825</v>
      </c>
      <c r="I128" s="107"/>
      <c r="L128" s="12"/>
      <c r="M128" s="108"/>
      <c r="T128" s="111"/>
      <c r="AT128" s="23" t="s">
        <v>227</v>
      </c>
      <c r="AU128" s="23" t="s">
        <v>85</v>
      </c>
    </row>
    <row r="129" spans="2:65" s="1" customFormat="1" ht="66.75" customHeight="1">
      <c r="B129" s="12"/>
      <c r="C129" s="71" t="s">
        <v>218</v>
      </c>
      <c r="D129" s="71" t="s">
        <v>214</v>
      </c>
      <c r="E129" s="72" t="s">
        <v>5830</v>
      </c>
      <c r="F129" s="73" t="s">
        <v>5831</v>
      </c>
      <c r="G129" s="74" t="s">
        <v>808</v>
      </c>
      <c r="H129" s="75">
        <v>1</v>
      </c>
      <c r="I129" s="90">
        <v>28000</v>
      </c>
      <c r="J129" s="91">
        <f>ROUND(I129*H129,2)</f>
        <v>28000</v>
      </c>
      <c r="K129" s="92"/>
      <c r="L129" s="12"/>
      <c r="M129" s="93" t="s">
        <v>1</v>
      </c>
      <c r="N129" s="94" t="s">
        <v>42</v>
      </c>
      <c r="P129" s="95">
        <f>O129*H129</f>
        <v>0</v>
      </c>
      <c r="Q129" s="95">
        <v>0</v>
      </c>
      <c r="R129" s="95">
        <f>Q129*H129</f>
        <v>0</v>
      </c>
      <c r="S129" s="95">
        <v>0</v>
      </c>
      <c r="T129" s="99">
        <f>S129*H129</f>
        <v>0</v>
      </c>
      <c r="AR129" s="101" t="s">
        <v>218</v>
      </c>
      <c r="AT129" s="101" t="s">
        <v>214</v>
      </c>
      <c r="AU129" s="101" t="s">
        <v>85</v>
      </c>
      <c r="AY129" s="23" t="s">
        <v>211</v>
      </c>
      <c r="BE129" s="104">
        <f>IF(N129="základní",J129,0)</f>
        <v>28000</v>
      </c>
      <c r="BF129" s="104">
        <f>IF(N129="snížená",J129,0)</f>
        <v>0</v>
      </c>
      <c r="BG129" s="104">
        <f>IF(N129="zákl. přenesená",J129,0)</f>
        <v>0</v>
      </c>
      <c r="BH129" s="104">
        <f>IF(N129="sníž. přenesená",J129,0)</f>
        <v>0</v>
      </c>
      <c r="BI129" s="104">
        <f>IF(N129="nulová",J129,0)</f>
        <v>0</v>
      </c>
      <c r="BJ129" s="23" t="s">
        <v>85</v>
      </c>
      <c r="BK129" s="104">
        <f>ROUND(I129*H129,2)</f>
        <v>28000</v>
      </c>
      <c r="BL129" s="23" t="s">
        <v>218</v>
      </c>
      <c r="BM129" s="101" t="s">
        <v>250</v>
      </c>
    </row>
    <row r="130" spans="2:65" s="1" customFormat="1" ht="19.2">
      <c r="B130" s="12"/>
      <c r="D130" s="105" t="s">
        <v>227</v>
      </c>
      <c r="F130" s="106" t="s">
        <v>5825</v>
      </c>
      <c r="I130" s="107"/>
      <c r="L130" s="12"/>
      <c r="M130" s="108"/>
      <c r="T130" s="111"/>
      <c r="AT130" s="23" t="s">
        <v>227</v>
      </c>
      <c r="AU130" s="23" t="s">
        <v>85</v>
      </c>
    </row>
    <row r="131" spans="2:65" s="1" customFormat="1" ht="66.75" customHeight="1">
      <c r="B131" s="12"/>
      <c r="C131" s="71" t="s">
        <v>210</v>
      </c>
      <c r="D131" s="71" t="s">
        <v>214</v>
      </c>
      <c r="E131" s="72" t="s">
        <v>5832</v>
      </c>
      <c r="F131" s="73" t="s">
        <v>5833</v>
      </c>
      <c r="G131" s="74" t="s">
        <v>431</v>
      </c>
      <c r="H131" s="75">
        <v>1.5</v>
      </c>
      <c r="I131" s="90">
        <v>12000</v>
      </c>
      <c r="J131" s="91">
        <f>ROUND(I131*H131,2)</f>
        <v>18000</v>
      </c>
      <c r="K131" s="92"/>
      <c r="L131" s="12"/>
      <c r="M131" s="93" t="s">
        <v>1</v>
      </c>
      <c r="N131" s="94" t="s">
        <v>42</v>
      </c>
      <c r="P131" s="95">
        <f>O131*H131</f>
        <v>0</v>
      </c>
      <c r="Q131" s="95">
        <v>0</v>
      </c>
      <c r="R131" s="95">
        <f>Q131*H131</f>
        <v>0</v>
      </c>
      <c r="S131" s="95">
        <v>0</v>
      </c>
      <c r="T131" s="99">
        <f>S131*H131</f>
        <v>0</v>
      </c>
      <c r="AR131" s="101" t="s">
        <v>218</v>
      </c>
      <c r="AT131" s="101" t="s">
        <v>214</v>
      </c>
      <c r="AU131" s="101" t="s">
        <v>85</v>
      </c>
      <c r="AY131" s="23" t="s">
        <v>211</v>
      </c>
      <c r="BE131" s="104">
        <f>IF(N131="základní",J131,0)</f>
        <v>18000</v>
      </c>
      <c r="BF131" s="104">
        <f>IF(N131="snížená",J131,0)</f>
        <v>0</v>
      </c>
      <c r="BG131" s="104">
        <f>IF(N131="zákl. přenesená",J131,0)</f>
        <v>0</v>
      </c>
      <c r="BH131" s="104">
        <f>IF(N131="sníž. přenesená",J131,0)</f>
        <v>0</v>
      </c>
      <c r="BI131" s="104">
        <f>IF(N131="nulová",J131,0)</f>
        <v>0</v>
      </c>
      <c r="BJ131" s="23" t="s">
        <v>85</v>
      </c>
      <c r="BK131" s="104">
        <f>ROUND(I131*H131,2)</f>
        <v>18000</v>
      </c>
      <c r="BL131" s="23" t="s">
        <v>218</v>
      </c>
      <c r="BM131" s="101" t="s">
        <v>259</v>
      </c>
    </row>
    <row r="132" spans="2:65" s="1" customFormat="1" ht="19.2">
      <c r="B132" s="12"/>
      <c r="D132" s="105" t="s">
        <v>227</v>
      </c>
      <c r="F132" s="106" t="s">
        <v>5825</v>
      </c>
      <c r="I132" s="107"/>
      <c r="L132" s="12"/>
      <c r="M132" s="108"/>
      <c r="T132" s="111"/>
      <c r="AT132" s="23" t="s">
        <v>227</v>
      </c>
      <c r="AU132" s="23" t="s">
        <v>85</v>
      </c>
    </row>
    <row r="133" spans="2:65" s="1" customFormat="1" ht="62.85" customHeight="1">
      <c r="B133" s="12"/>
      <c r="C133" s="71" t="s">
        <v>239</v>
      </c>
      <c r="D133" s="71" t="s">
        <v>214</v>
      </c>
      <c r="E133" s="72" t="s">
        <v>5834</v>
      </c>
      <c r="F133" s="73" t="s">
        <v>5835</v>
      </c>
      <c r="G133" s="74" t="s">
        <v>431</v>
      </c>
      <c r="H133" s="75">
        <v>27.18</v>
      </c>
      <c r="I133" s="90">
        <v>700</v>
      </c>
      <c r="J133" s="91">
        <f>ROUND(I133*H133,2)</f>
        <v>19026</v>
      </c>
      <c r="K133" s="92"/>
      <c r="L133" s="12"/>
      <c r="M133" s="93" t="s">
        <v>1</v>
      </c>
      <c r="N133" s="94" t="s">
        <v>42</v>
      </c>
      <c r="P133" s="95">
        <f>O133*H133</f>
        <v>0</v>
      </c>
      <c r="Q133" s="95">
        <v>0</v>
      </c>
      <c r="R133" s="95">
        <f>Q133*H133</f>
        <v>0</v>
      </c>
      <c r="S133" s="95">
        <v>0</v>
      </c>
      <c r="T133" s="99">
        <f>S133*H133</f>
        <v>0</v>
      </c>
      <c r="AR133" s="101" t="s">
        <v>218</v>
      </c>
      <c r="AT133" s="101" t="s">
        <v>214</v>
      </c>
      <c r="AU133" s="101" t="s">
        <v>85</v>
      </c>
      <c r="AY133" s="23" t="s">
        <v>211</v>
      </c>
      <c r="BE133" s="104">
        <f>IF(N133="základní",J133,0)</f>
        <v>19026</v>
      </c>
      <c r="BF133" s="104">
        <f>IF(N133="snížená",J133,0)</f>
        <v>0</v>
      </c>
      <c r="BG133" s="104">
        <f>IF(N133="zákl. přenesená",J133,0)</f>
        <v>0</v>
      </c>
      <c r="BH133" s="104">
        <f>IF(N133="sníž. přenesená",J133,0)</f>
        <v>0</v>
      </c>
      <c r="BI133" s="104">
        <f>IF(N133="nulová",J133,0)</f>
        <v>0</v>
      </c>
      <c r="BJ133" s="23" t="s">
        <v>85</v>
      </c>
      <c r="BK133" s="104">
        <f>ROUND(I133*H133,2)</f>
        <v>19026</v>
      </c>
      <c r="BL133" s="23" t="s">
        <v>218</v>
      </c>
      <c r="BM133" s="101" t="s">
        <v>273</v>
      </c>
    </row>
    <row r="134" spans="2:65" s="1" customFormat="1" ht="38.4">
      <c r="B134" s="12"/>
      <c r="D134" s="105" t="s">
        <v>227</v>
      </c>
      <c r="F134" s="106" t="s">
        <v>5836</v>
      </c>
      <c r="I134" s="107"/>
      <c r="L134" s="12"/>
      <c r="M134" s="108"/>
      <c r="T134" s="111"/>
      <c r="AT134" s="23" t="s">
        <v>227</v>
      </c>
      <c r="AU134" s="23" t="s">
        <v>85</v>
      </c>
    </row>
    <row r="135" spans="2:65" s="1" customFormat="1" ht="66.75" customHeight="1">
      <c r="B135" s="12"/>
      <c r="C135" s="71" t="s">
        <v>245</v>
      </c>
      <c r="D135" s="71" t="s">
        <v>214</v>
      </c>
      <c r="E135" s="72" t="s">
        <v>5837</v>
      </c>
      <c r="F135" s="73" t="s">
        <v>5838</v>
      </c>
      <c r="G135" s="74" t="s">
        <v>431</v>
      </c>
      <c r="H135" s="75">
        <v>25.47</v>
      </c>
      <c r="I135" s="90">
        <v>700</v>
      </c>
      <c r="J135" s="91">
        <f>ROUND(I135*H135,2)</f>
        <v>17829</v>
      </c>
      <c r="K135" s="92"/>
      <c r="L135" s="12"/>
      <c r="M135" s="93" t="s">
        <v>1</v>
      </c>
      <c r="N135" s="94" t="s">
        <v>42</v>
      </c>
      <c r="P135" s="95">
        <f>O135*H135</f>
        <v>0</v>
      </c>
      <c r="Q135" s="95">
        <v>0</v>
      </c>
      <c r="R135" s="95">
        <f>Q135*H135</f>
        <v>0</v>
      </c>
      <c r="S135" s="95">
        <v>0</v>
      </c>
      <c r="T135" s="99">
        <f>S135*H135</f>
        <v>0</v>
      </c>
      <c r="AR135" s="101" t="s">
        <v>218</v>
      </c>
      <c r="AT135" s="101" t="s">
        <v>214</v>
      </c>
      <c r="AU135" s="101" t="s">
        <v>85</v>
      </c>
      <c r="AY135" s="23" t="s">
        <v>211</v>
      </c>
      <c r="BE135" s="104">
        <f>IF(N135="základní",J135,0)</f>
        <v>17829</v>
      </c>
      <c r="BF135" s="104">
        <f>IF(N135="snížená",J135,0)</f>
        <v>0</v>
      </c>
      <c r="BG135" s="104">
        <f>IF(N135="zákl. přenesená",J135,0)</f>
        <v>0</v>
      </c>
      <c r="BH135" s="104">
        <f>IF(N135="sníž. přenesená",J135,0)</f>
        <v>0</v>
      </c>
      <c r="BI135" s="104">
        <f>IF(N135="nulová",J135,0)</f>
        <v>0</v>
      </c>
      <c r="BJ135" s="23" t="s">
        <v>85</v>
      </c>
      <c r="BK135" s="104">
        <f>ROUND(I135*H135,2)</f>
        <v>17829</v>
      </c>
      <c r="BL135" s="23" t="s">
        <v>218</v>
      </c>
      <c r="BM135" s="101" t="s">
        <v>437</v>
      </c>
    </row>
    <row r="136" spans="2:65" s="1" customFormat="1" ht="28.8">
      <c r="B136" s="12"/>
      <c r="D136" s="105" t="s">
        <v>227</v>
      </c>
      <c r="F136" s="106" t="s">
        <v>5839</v>
      </c>
      <c r="I136" s="107"/>
      <c r="L136" s="12"/>
      <c r="M136" s="108"/>
      <c r="T136" s="111"/>
      <c r="AT136" s="23" t="s">
        <v>227</v>
      </c>
      <c r="AU136" s="23" t="s">
        <v>85</v>
      </c>
    </row>
    <row r="137" spans="2:65" s="1" customFormat="1" ht="38.1" customHeight="1">
      <c r="B137" s="12"/>
      <c r="C137" s="71" t="s">
        <v>250</v>
      </c>
      <c r="D137" s="71" t="s">
        <v>214</v>
      </c>
      <c r="E137" s="72" t="s">
        <v>5840</v>
      </c>
      <c r="F137" s="73" t="s">
        <v>5841</v>
      </c>
      <c r="G137" s="74" t="s">
        <v>431</v>
      </c>
      <c r="H137" s="75">
        <v>30.25</v>
      </c>
      <c r="I137" s="90">
        <v>8000</v>
      </c>
      <c r="J137" s="91">
        <f>ROUND(I137*H137,2)</f>
        <v>242000</v>
      </c>
      <c r="K137" s="92"/>
      <c r="L137" s="12"/>
      <c r="M137" s="93" t="s">
        <v>1</v>
      </c>
      <c r="N137" s="94" t="s">
        <v>42</v>
      </c>
      <c r="P137" s="95">
        <f>O137*H137</f>
        <v>0</v>
      </c>
      <c r="Q137" s="95">
        <v>0</v>
      </c>
      <c r="R137" s="95">
        <f>Q137*H137</f>
        <v>0</v>
      </c>
      <c r="S137" s="95">
        <v>0</v>
      </c>
      <c r="T137" s="99">
        <f>S137*H137</f>
        <v>0</v>
      </c>
      <c r="AR137" s="101" t="s">
        <v>218</v>
      </c>
      <c r="AT137" s="101" t="s">
        <v>214</v>
      </c>
      <c r="AU137" s="101" t="s">
        <v>85</v>
      </c>
      <c r="AY137" s="23" t="s">
        <v>211</v>
      </c>
      <c r="BE137" s="104">
        <f>IF(N137="základní",J137,0)</f>
        <v>242000</v>
      </c>
      <c r="BF137" s="104">
        <f>IF(N137="snížená",J137,0)</f>
        <v>0</v>
      </c>
      <c r="BG137" s="104">
        <f>IF(N137="zákl. přenesená",J137,0)</f>
        <v>0</v>
      </c>
      <c r="BH137" s="104">
        <f>IF(N137="sníž. přenesená",J137,0)</f>
        <v>0</v>
      </c>
      <c r="BI137" s="104">
        <f>IF(N137="nulová",J137,0)</f>
        <v>0</v>
      </c>
      <c r="BJ137" s="23" t="s">
        <v>85</v>
      </c>
      <c r="BK137" s="104">
        <f>ROUND(I137*H137,2)</f>
        <v>242000</v>
      </c>
      <c r="BL137" s="23" t="s">
        <v>218</v>
      </c>
      <c r="BM137" s="101" t="s">
        <v>446</v>
      </c>
    </row>
    <row r="138" spans="2:65" s="1" customFormat="1" ht="19.2">
      <c r="B138" s="12"/>
      <c r="D138" s="105" t="s">
        <v>227</v>
      </c>
      <c r="F138" s="106" t="s">
        <v>5825</v>
      </c>
      <c r="I138" s="107"/>
      <c r="L138" s="12"/>
      <c r="M138" s="108"/>
      <c r="T138" s="111"/>
      <c r="AT138" s="23" t="s">
        <v>227</v>
      </c>
      <c r="AU138" s="23" t="s">
        <v>85</v>
      </c>
    </row>
    <row r="139" spans="2:65" s="1" customFormat="1" ht="62.85" customHeight="1">
      <c r="B139" s="12"/>
      <c r="C139" s="71" t="s">
        <v>255</v>
      </c>
      <c r="D139" s="71" t="s">
        <v>214</v>
      </c>
      <c r="E139" s="72" t="s">
        <v>5842</v>
      </c>
      <c r="F139" s="73" t="s">
        <v>5843</v>
      </c>
      <c r="G139" s="74" t="s">
        <v>808</v>
      </c>
      <c r="H139" s="75">
        <v>5</v>
      </c>
      <c r="I139" s="90">
        <v>180000</v>
      </c>
      <c r="J139" s="91">
        <f>ROUND(I139*H139,2)</f>
        <v>900000</v>
      </c>
      <c r="K139" s="92"/>
      <c r="L139" s="12"/>
      <c r="M139" s="93" t="s">
        <v>1</v>
      </c>
      <c r="N139" s="94" t="s">
        <v>42</v>
      </c>
      <c r="P139" s="95">
        <f>O139*H139</f>
        <v>0</v>
      </c>
      <c r="Q139" s="95">
        <v>0</v>
      </c>
      <c r="R139" s="95">
        <f>Q139*H139</f>
        <v>0</v>
      </c>
      <c r="S139" s="95">
        <v>0</v>
      </c>
      <c r="T139" s="99">
        <f>S139*H139</f>
        <v>0</v>
      </c>
      <c r="AR139" s="101" t="s">
        <v>218</v>
      </c>
      <c r="AT139" s="101" t="s">
        <v>214</v>
      </c>
      <c r="AU139" s="101" t="s">
        <v>85</v>
      </c>
      <c r="AY139" s="23" t="s">
        <v>211</v>
      </c>
      <c r="BE139" s="104">
        <f>IF(N139="základní",J139,0)</f>
        <v>900000</v>
      </c>
      <c r="BF139" s="104">
        <f>IF(N139="snížená",J139,0)</f>
        <v>0</v>
      </c>
      <c r="BG139" s="104">
        <f>IF(N139="zákl. přenesená",J139,0)</f>
        <v>0</v>
      </c>
      <c r="BH139" s="104">
        <f>IF(N139="sníž. přenesená",J139,0)</f>
        <v>0</v>
      </c>
      <c r="BI139" s="104">
        <f>IF(N139="nulová",J139,0)</f>
        <v>0</v>
      </c>
      <c r="BJ139" s="23" t="s">
        <v>85</v>
      </c>
      <c r="BK139" s="104">
        <f>ROUND(I139*H139,2)</f>
        <v>900000</v>
      </c>
      <c r="BL139" s="23" t="s">
        <v>218</v>
      </c>
      <c r="BM139" s="101" t="s">
        <v>454</v>
      </c>
    </row>
    <row r="140" spans="2:65" s="1" customFormat="1" ht="28.8">
      <c r="B140" s="12"/>
      <c r="D140" s="105" t="s">
        <v>227</v>
      </c>
      <c r="F140" s="106" t="s">
        <v>5844</v>
      </c>
      <c r="I140" s="107"/>
      <c r="L140" s="12"/>
      <c r="M140" s="108"/>
      <c r="T140" s="111"/>
      <c r="AT140" s="23" t="s">
        <v>227</v>
      </c>
      <c r="AU140" s="23" t="s">
        <v>85</v>
      </c>
    </row>
    <row r="141" spans="2:65" s="1" customFormat="1" ht="62.85" customHeight="1">
      <c r="B141" s="12"/>
      <c r="C141" s="71" t="s">
        <v>259</v>
      </c>
      <c r="D141" s="71" t="s">
        <v>214</v>
      </c>
      <c r="E141" s="72" t="s">
        <v>5845</v>
      </c>
      <c r="F141" s="73" t="s">
        <v>5846</v>
      </c>
      <c r="G141" s="74" t="s">
        <v>808</v>
      </c>
      <c r="H141" s="75">
        <v>7</v>
      </c>
      <c r="I141" s="90">
        <v>80000</v>
      </c>
      <c r="J141" s="91">
        <f>ROUND(I141*H141,2)</f>
        <v>560000</v>
      </c>
      <c r="K141" s="92"/>
      <c r="L141" s="12"/>
      <c r="M141" s="93" t="s">
        <v>1</v>
      </c>
      <c r="N141" s="94" t="s">
        <v>42</v>
      </c>
      <c r="P141" s="95">
        <f>O141*H141</f>
        <v>0</v>
      </c>
      <c r="Q141" s="95">
        <v>0</v>
      </c>
      <c r="R141" s="95">
        <f>Q141*H141</f>
        <v>0</v>
      </c>
      <c r="S141" s="95">
        <v>0</v>
      </c>
      <c r="T141" s="99">
        <f>S141*H141</f>
        <v>0</v>
      </c>
      <c r="AR141" s="101" t="s">
        <v>218</v>
      </c>
      <c r="AT141" s="101" t="s">
        <v>214</v>
      </c>
      <c r="AU141" s="101" t="s">
        <v>85</v>
      </c>
      <c r="AY141" s="23" t="s">
        <v>211</v>
      </c>
      <c r="BE141" s="104">
        <f>IF(N141="základní",J141,0)</f>
        <v>560000</v>
      </c>
      <c r="BF141" s="104">
        <f>IF(N141="snížená",J141,0)</f>
        <v>0</v>
      </c>
      <c r="BG141" s="104">
        <f>IF(N141="zákl. přenesená",J141,0)</f>
        <v>0</v>
      </c>
      <c r="BH141" s="104">
        <f>IF(N141="sníž. přenesená",J141,0)</f>
        <v>0</v>
      </c>
      <c r="BI141" s="104">
        <f>IF(N141="nulová",J141,0)</f>
        <v>0</v>
      </c>
      <c r="BJ141" s="23" t="s">
        <v>85</v>
      </c>
      <c r="BK141" s="104">
        <f>ROUND(I141*H141,2)</f>
        <v>560000</v>
      </c>
      <c r="BL141" s="23" t="s">
        <v>218</v>
      </c>
      <c r="BM141" s="101" t="s">
        <v>465</v>
      </c>
    </row>
    <row r="142" spans="2:65" s="1" customFormat="1" ht="28.8">
      <c r="B142" s="12"/>
      <c r="D142" s="105" t="s">
        <v>227</v>
      </c>
      <c r="F142" s="106" t="s">
        <v>5844</v>
      </c>
      <c r="I142" s="107"/>
      <c r="L142" s="12"/>
      <c r="M142" s="108"/>
      <c r="T142" s="111"/>
      <c r="AT142" s="23" t="s">
        <v>227</v>
      </c>
      <c r="AU142" s="23" t="s">
        <v>85</v>
      </c>
    </row>
    <row r="143" spans="2:65" s="1" customFormat="1" ht="66.75" customHeight="1">
      <c r="B143" s="12"/>
      <c r="C143" s="71" t="s">
        <v>266</v>
      </c>
      <c r="D143" s="71" t="s">
        <v>214</v>
      </c>
      <c r="E143" s="72" t="s">
        <v>5847</v>
      </c>
      <c r="F143" s="73" t="s">
        <v>5848</v>
      </c>
      <c r="G143" s="74" t="s">
        <v>808</v>
      </c>
      <c r="H143" s="75">
        <v>6</v>
      </c>
      <c r="I143" s="90">
        <v>11000</v>
      </c>
      <c r="J143" s="91">
        <f>ROUND(I143*H143,2)</f>
        <v>66000</v>
      </c>
      <c r="K143" s="92"/>
      <c r="L143" s="12"/>
      <c r="M143" s="93" t="s">
        <v>1</v>
      </c>
      <c r="N143" s="94" t="s">
        <v>42</v>
      </c>
      <c r="P143" s="95">
        <f>O143*H143</f>
        <v>0</v>
      </c>
      <c r="Q143" s="95">
        <v>0</v>
      </c>
      <c r="R143" s="95">
        <f>Q143*H143</f>
        <v>0</v>
      </c>
      <c r="S143" s="95">
        <v>0</v>
      </c>
      <c r="T143" s="99">
        <f>S143*H143</f>
        <v>0</v>
      </c>
      <c r="AR143" s="101" t="s">
        <v>218</v>
      </c>
      <c r="AT143" s="101" t="s">
        <v>214</v>
      </c>
      <c r="AU143" s="101" t="s">
        <v>85</v>
      </c>
      <c r="AY143" s="23" t="s">
        <v>211</v>
      </c>
      <c r="BE143" s="104">
        <f>IF(N143="základní",J143,0)</f>
        <v>66000</v>
      </c>
      <c r="BF143" s="104">
        <f>IF(N143="snížená",J143,0)</f>
        <v>0</v>
      </c>
      <c r="BG143" s="104">
        <f>IF(N143="zákl. přenesená",J143,0)</f>
        <v>0</v>
      </c>
      <c r="BH143" s="104">
        <f>IF(N143="sníž. přenesená",J143,0)</f>
        <v>0</v>
      </c>
      <c r="BI143" s="104">
        <f>IF(N143="nulová",J143,0)</f>
        <v>0</v>
      </c>
      <c r="BJ143" s="23" t="s">
        <v>85</v>
      </c>
      <c r="BK143" s="104">
        <f>ROUND(I143*H143,2)</f>
        <v>66000</v>
      </c>
      <c r="BL143" s="23" t="s">
        <v>218</v>
      </c>
      <c r="BM143" s="101" t="s">
        <v>475</v>
      </c>
    </row>
    <row r="144" spans="2:65" s="1" customFormat="1" ht="19.2">
      <c r="B144" s="12"/>
      <c r="D144" s="105" t="s">
        <v>227</v>
      </c>
      <c r="F144" s="106" t="s">
        <v>5825</v>
      </c>
      <c r="I144" s="107"/>
      <c r="L144" s="12"/>
      <c r="M144" s="108"/>
      <c r="T144" s="111"/>
      <c r="AT144" s="23" t="s">
        <v>227</v>
      </c>
      <c r="AU144" s="23" t="s">
        <v>85</v>
      </c>
    </row>
    <row r="145" spans="2:65" s="1" customFormat="1" ht="66.75" customHeight="1">
      <c r="B145" s="12"/>
      <c r="C145" s="71" t="s">
        <v>273</v>
      </c>
      <c r="D145" s="71" t="s">
        <v>214</v>
      </c>
      <c r="E145" s="72" t="s">
        <v>5849</v>
      </c>
      <c r="F145" s="73" t="s">
        <v>5850</v>
      </c>
      <c r="G145" s="74" t="s">
        <v>808</v>
      </c>
      <c r="H145" s="75">
        <v>1</v>
      </c>
      <c r="I145" s="90">
        <v>80000</v>
      </c>
      <c r="J145" s="91">
        <f>ROUND(I145*H145,2)</f>
        <v>80000</v>
      </c>
      <c r="K145" s="92"/>
      <c r="L145" s="12"/>
      <c r="M145" s="93" t="s">
        <v>1</v>
      </c>
      <c r="N145" s="94" t="s">
        <v>42</v>
      </c>
      <c r="P145" s="95">
        <f>O145*H145</f>
        <v>0</v>
      </c>
      <c r="Q145" s="95">
        <v>0</v>
      </c>
      <c r="R145" s="95">
        <f>Q145*H145</f>
        <v>0</v>
      </c>
      <c r="S145" s="95">
        <v>0</v>
      </c>
      <c r="T145" s="99">
        <f>S145*H145</f>
        <v>0</v>
      </c>
      <c r="AR145" s="101" t="s">
        <v>218</v>
      </c>
      <c r="AT145" s="101" t="s">
        <v>214</v>
      </c>
      <c r="AU145" s="101" t="s">
        <v>85</v>
      </c>
      <c r="AY145" s="23" t="s">
        <v>211</v>
      </c>
      <c r="BE145" s="104">
        <f>IF(N145="základní",J145,0)</f>
        <v>80000</v>
      </c>
      <c r="BF145" s="104">
        <f>IF(N145="snížená",J145,0)</f>
        <v>0</v>
      </c>
      <c r="BG145" s="104">
        <f>IF(N145="zákl. přenesená",J145,0)</f>
        <v>0</v>
      </c>
      <c r="BH145" s="104">
        <f>IF(N145="sníž. přenesená",J145,0)</f>
        <v>0</v>
      </c>
      <c r="BI145" s="104">
        <f>IF(N145="nulová",J145,0)</f>
        <v>0</v>
      </c>
      <c r="BJ145" s="23" t="s">
        <v>85</v>
      </c>
      <c r="BK145" s="104">
        <f>ROUND(I145*H145,2)</f>
        <v>80000</v>
      </c>
      <c r="BL145" s="23" t="s">
        <v>218</v>
      </c>
      <c r="BM145" s="101" t="s">
        <v>486</v>
      </c>
    </row>
    <row r="146" spans="2:65" s="1" customFormat="1" ht="19.2">
      <c r="B146" s="12"/>
      <c r="D146" s="105" t="s">
        <v>227</v>
      </c>
      <c r="F146" s="106" t="s">
        <v>5825</v>
      </c>
      <c r="I146" s="107"/>
      <c r="L146" s="12"/>
      <c r="M146" s="108"/>
      <c r="T146" s="111"/>
      <c r="AT146" s="23" t="s">
        <v>227</v>
      </c>
      <c r="AU146" s="23" t="s">
        <v>85</v>
      </c>
    </row>
    <row r="147" spans="2:65" s="1" customFormat="1" ht="76.349999999999994" customHeight="1">
      <c r="B147" s="12"/>
      <c r="C147" s="71" t="s">
        <v>433</v>
      </c>
      <c r="D147" s="71" t="s">
        <v>214</v>
      </c>
      <c r="E147" s="72" t="s">
        <v>5851</v>
      </c>
      <c r="F147" s="73" t="s">
        <v>5852</v>
      </c>
      <c r="G147" s="74" t="s">
        <v>808</v>
      </c>
      <c r="H147" s="75">
        <v>2</v>
      </c>
      <c r="I147" s="90">
        <v>15000</v>
      </c>
      <c r="J147" s="91">
        <f>ROUND(I147*H147,2)</f>
        <v>30000</v>
      </c>
      <c r="K147" s="92"/>
      <c r="L147" s="12"/>
      <c r="M147" s="93" t="s">
        <v>1</v>
      </c>
      <c r="N147" s="94" t="s">
        <v>42</v>
      </c>
      <c r="P147" s="95">
        <f>O147*H147</f>
        <v>0</v>
      </c>
      <c r="Q147" s="95">
        <v>0</v>
      </c>
      <c r="R147" s="95">
        <f>Q147*H147</f>
        <v>0</v>
      </c>
      <c r="S147" s="95">
        <v>0</v>
      </c>
      <c r="T147" s="99">
        <f>S147*H147</f>
        <v>0</v>
      </c>
      <c r="AR147" s="101" t="s">
        <v>218</v>
      </c>
      <c r="AT147" s="101" t="s">
        <v>214</v>
      </c>
      <c r="AU147" s="101" t="s">
        <v>85</v>
      </c>
      <c r="AY147" s="23" t="s">
        <v>211</v>
      </c>
      <c r="BE147" s="104">
        <f>IF(N147="základní",J147,0)</f>
        <v>30000</v>
      </c>
      <c r="BF147" s="104">
        <f>IF(N147="snížená",J147,0)</f>
        <v>0</v>
      </c>
      <c r="BG147" s="104">
        <f>IF(N147="zákl. přenesená",J147,0)</f>
        <v>0</v>
      </c>
      <c r="BH147" s="104">
        <f>IF(N147="sníž. přenesená",J147,0)</f>
        <v>0</v>
      </c>
      <c r="BI147" s="104">
        <f>IF(N147="nulová",J147,0)</f>
        <v>0</v>
      </c>
      <c r="BJ147" s="23" t="s">
        <v>85</v>
      </c>
      <c r="BK147" s="104">
        <f>ROUND(I147*H147,2)</f>
        <v>30000</v>
      </c>
      <c r="BL147" s="23" t="s">
        <v>218</v>
      </c>
      <c r="BM147" s="101" t="s">
        <v>496</v>
      </c>
    </row>
    <row r="148" spans="2:65" s="1" customFormat="1" ht="28.8">
      <c r="B148" s="12"/>
      <c r="D148" s="105" t="s">
        <v>227</v>
      </c>
      <c r="F148" s="106" t="s">
        <v>5853</v>
      </c>
      <c r="I148" s="107"/>
      <c r="L148" s="12"/>
      <c r="M148" s="108"/>
      <c r="T148" s="111"/>
      <c r="AT148" s="23" t="s">
        <v>227</v>
      </c>
      <c r="AU148" s="23" t="s">
        <v>85</v>
      </c>
    </row>
    <row r="149" spans="2:65" s="1" customFormat="1" ht="76.349999999999994" customHeight="1">
      <c r="B149" s="12"/>
      <c r="C149" s="71" t="s">
        <v>437</v>
      </c>
      <c r="D149" s="71" t="s">
        <v>214</v>
      </c>
      <c r="E149" s="72" t="s">
        <v>5854</v>
      </c>
      <c r="F149" s="73" t="s">
        <v>5855</v>
      </c>
      <c r="G149" s="74" t="s">
        <v>808</v>
      </c>
      <c r="H149" s="75">
        <v>1</v>
      </c>
      <c r="I149" s="90">
        <v>17000</v>
      </c>
      <c r="J149" s="91">
        <f>ROUND(I149*H149,2)</f>
        <v>17000</v>
      </c>
      <c r="K149" s="92"/>
      <c r="L149" s="12"/>
      <c r="M149" s="93" t="s">
        <v>1</v>
      </c>
      <c r="N149" s="94" t="s">
        <v>42</v>
      </c>
      <c r="P149" s="95">
        <f>O149*H149</f>
        <v>0</v>
      </c>
      <c r="Q149" s="95">
        <v>0</v>
      </c>
      <c r="R149" s="95">
        <f>Q149*H149</f>
        <v>0</v>
      </c>
      <c r="S149" s="95">
        <v>0</v>
      </c>
      <c r="T149" s="99">
        <f>S149*H149</f>
        <v>0</v>
      </c>
      <c r="AR149" s="101" t="s">
        <v>218</v>
      </c>
      <c r="AT149" s="101" t="s">
        <v>214</v>
      </c>
      <c r="AU149" s="101" t="s">
        <v>85</v>
      </c>
      <c r="AY149" s="23" t="s">
        <v>211</v>
      </c>
      <c r="BE149" s="104">
        <f>IF(N149="základní",J149,0)</f>
        <v>17000</v>
      </c>
      <c r="BF149" s="104">
        <f>IF(N149="snížená",J149,0)</f>
        <v>0</v>
      </c>
      <c r="BG149" s="104">
        <f>IF(N149="zákl. přenesená",J149,0)</f>
        <v>0</v>
      </c>
      <c r="BH149" s="104">
        <f>IF(N149="sníž. přenesená",J149,0)</f>
        <v>0</v>
      </c>
      <c r="BI149" s="104">
        <f>IF(N149="nulová",J149,0)</f>
        <v>0</v>
      </c>
      <c r="BJ149" s="23" t="s">
        <v>85</v>
      </c>
      <c r="BK149" s="104">
        <f>ROUND(I149*H149,2)</f>
        <v>17000</v>
      </c>
      <c r="BL149" s="23" t="s">
        <v>218</v>
      </c>
      <c r="BM149" s="101" t="s">
        <v>507</v>
      </c>
    </row>
    <row r="150" spans="2:65" s="1" customFormat="1" ht="19.2">
      <c r="B150" s="12"/>
      <c r="D150" s="105" t="s">
        <v>227</v>
      </c>
      <c r="F150" s="106" t="s">
        <v>5825</v>
      </c>
      <c r="I150" s="107"/>
      <c r="L150" s="12"/>
      <c r="M150" s="108"/>
      <c r="T150" s="111"/>
      <c r="AT150" s="23" t="s">
        <v>227</v>
      </c>
      <c r="AU150" s="23" t="s">
        <v>85</v>
      </c>
    </row>
    <row r="151" spans="2:65" s="1" customFormat="1" ht="66.75" customHeight="1">
      <c r="B151" s="12"/>
      <c r="C151" s="71" t="s">
        <v>8</v>
      </c>
      <c r="D151" s="71" t="s">
        <v>214</v>
      </c>
      <c r="E151" s="72" t="s">
        <v>5856</v>
      </c>
      <c r="F151" s="73" t="s">
        <v>5857</v>
      </c>
      <c r="G151" s="74" t="s">
        <v>808</v>
      </c>
      <c r="H151" s="75">
        <v>1</v>
      </c>
      <c r="I151" s="90">
        <v>9000</v>
      </c>
      <c r="J151" s="91">
        <f>ROUND(I151*H151,2)</f>
        <v>9000</v>
      </c>
      <c r="K151" s="92"/>
      <c r="L151" s="12"/>
      <c r="M151" s="93" t="s">
        <v>1</v>
      </c>
      <c r="N151" s="94" t="s">
        <v>42</v>
      </c>
      <c r="P151" s="95">
        <f>O151*H151</f>
        <v>0</v>
      </c>
      <c r="Q151" s="95">
        <v>0</v>
      </c>
      <c r="R151" s="95">
        <f>Q151*H151</f>
        <v>0</v>
      </c>
      <c r="S151" s="95">
        <v>0</v>
      </c>
      <c r="T151" s="99">
        <f>S151*H151</f>
        <v>0</v>
      </c>
      <c r="AR151" s="101" t="s">
        <v>218</v>
      </c>
      <c r="AT151" s="101" t="s">
        <v>214</v>
      </c>
      <c r="AU151" s="101" t="s">
        <v>85</v>
      </c>
      <c r="AY151" s="23" t="s">
        <v>211</v>
      </c>
      <c r="BE151" s="104">
        <f>IF(N151="základní",J151,0)</f>
        <v>9000</v>
      </c>
      <c r="BF151" s="104">
        <f>IF(N151="snížená",J151,0)</f>
        <v>0</v>
      </c>
      <c r="BG151" s="104">
        <f>IF(N151="zákl. přenesená",J151,0)</f>
        <v>0</v>
      </c>
      <c r="BH151" s="104">
        <f>IF(N151="sníž. přenesená",J151,0)</f>
        <v>0</v>
      </c>
      <c r="BI151" s="104">
        <f>IF(N151="nulová",J151,0)</f>
        <v>0</v>
      </c>
      <c r="BJ151" s="23" t="s">
        <v>85</v>
      </c>
      <c r="BK151" s="104">
        <f>ROUND(I151*H151,2)</f>
        <v>9000</v>
      </c>
      <c r="BL151" s="23" t="s">
        <v>218</v>
      </c>
      <c r="BM151" s="101" t="s">
        <v>517</v>
      </c>
    </row>
    <row r="152" spans="2:65" s="1" customFormat="1" ht="28.8">
      <c r="B152" s="12"/>
      <c r="D152" s="105" t="s">
        <v>227</v>
      </c>
      <c r="F152" s="106" t="s">
        <v>5853</v>
      </c>
      <c r="I152" s="107"/>
      <c r="L152" s="12"/>
      <c r="M152" s="109"/>
      <c r="N152" s="110"/>
      <c r="O152" s="110"/>
      <c r="P152" s="110"/>
      <c r="Q152" s="110"/>
      <c r="R152" s="110"/>
      <c r="S152" s="110"/>
      <c r="T152" s="112"/>
      <c r="AT152" s="23" t="s">
        <v>227</v>
      </c>
      <c r="AU152" s="23" t="s">
        <v>85</v>
      </c>
    </row>
    <row r="153" spans="2:65" s="1" customFormat="1" ht="6.9" customHeight="1">
      <c r="B153" s="26"/>
      <c r="C153" s="27"/>
      <c r="D153" s="27"/>
      <c r="E153" s="27"/>
      <c r="F153" s="27"/>
      <c r="G153" s="27"/>
      <c r="H153" s="27"/>
      <c r="I153" s="27"/>
      <c r="J153" s="27"/>
      <c r="K153" s="27"/>
      <c r="L153" s="12"/>
    </row>
  </sheetData>
  <autoFilter ref="C120:K152" xr:uid="{00000000-0009-0000-0000-000019000000}"/>
  <mergeCells count="12">
    <mergeCell ref="L2:V2"/>
    <mergeCell ref="E7:H7"/>
    <mergeCell ref="E9:H9"/>
    <mergeCell ref="E11:H11"/>
    <mergeCell ref="E20:H20"/>
    <mergeCell ref="E111:H111"/>
    <mergeCell ref="E113:H113"/>
    <mergeCell ref="E29:H29"/>
    <mergeCell ref="E85:H85"/>
    <mergeCell ref="E87:H87"/>
    <mergeCell ref="E89:H89"/>
    <mergeCell ref="E109:H109"/>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B2:BM368"/>
  <sheetViews>
    <sheetView showGridLines="0" topLeftCell="A20" workbookViewId="0">
      <selection activeCell="X138" sqref="X138"/>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174</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2" customHeight="1">
      <c r="B8" s="5"/>
      <c r="D8" s="10" t="s">
        <v>182</v>
      </c>
      <c r="L8" s="5"/>
    </row>
    <row r="9" spans="2:46" s="1" customFormat="1" ht="16.5" customHeight="1">
      <c r="B9" s="12"/>
      <c r="E9" s="392" t="s">
        <v>5462</v>
      </c>
      <c r="F9" s="394"/>
      <c r="G9" s="394"/>
      <c r="H9" s="394"/>
      <c r="L9" s="12"/>
    </row>
    <row r="10" spans="2:46" s="1" customFormat="1" ht="12" customHeight="1">
      <c r="B10" s="12"/>
      <c r="D10" s="10" t="s">
        <v>296</v>
      </c>
      <c r="L10" s="12"/>
    </row>
    <row r="11" spans="2:46" s="1" customFormat="1" ht="16.5" customHeight="1">
      <c r="B11" s="12"/>
      <c r="E11" s="381" t="s">
        <v>5858</v>
      </c>
      <c r="F11" s="394"/>
      <c r="G11" s="394"/>
      <c r="H11" s="394"/>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395" t="str">
        <f>'Rekapitulace stavby'!E14</f>
        <v>DMG Stav a.s.</v>
      </c>
      <c r="F20" s="384"/>
      <c r="G20" s="384"/>
      <c r="H20" s="384"/>
      <c r="I20" s="10" t="s">
        <v>26</v>
      </c>
      <c r="J20" s="33" t="str">
        <f>'Rekapitulace stavby'!AN14</f>
        <v>CZ 08004013</v>
      </c>
      <c r="L20" s="12"/>
    </row>
    <row r="21" spans="2:12" s="1" customFormat="1" ht="6.9"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 customHeight="1">
      <c r="B27" s="12"/>
      <c r="L27" s="12"/>
    </row>
    <row r="28" spans="2:12" s="1" customFormat="1" ht="12" customHeight="1">
      <c r="B28" s="12"/>
      <c r="D28" s="10" t="s">
        <v>36</v>
      </c>
      <c r="L28" s="12"/>
    </row>
    <row r="29" spans="2:12" s="28" customFormat="1" ht="16.5" customHeight="1">
      <c r="B29" s="34"/>
      <c r="E29" s="388" t="s">
        <v>1</v>
      </c>
      <c r="F29" s="388"/>
      <c r="G29" s="388"/>
      <c r="H29" s="388"/>
      <c r="L29" s="34"/>
    </row>
    <row r="30" spans="2:12" s="1" customFormat="1" ht="6.9" customHeight="1">
      <c r="B30" s="12"/>
      <c r="L30" s="12"/>
    </row>
    <row r="31" spans="2:12" s="1" customFormat="1" ht="6.9" customHeight="1">
      <c r="B31" s="12"/>
      <c r="D31" s="35"/>
      <c r="E31" s="35"/>
      <c r="F31" s="35"/>
      <c r="G31" s="35"/>
      <c r="H31" s="35"/>
      <c r="I31" s="35"/>
      <c r="J31" s="35"/>
      <c r="K31" s="35"/>
      <c r="L31" s="12"/>
    </row>
    <row r="32" spans="2:12" s="1" customFormat="1" ht="25.35" customHeight="1">
      <c r="B32" s="12"/>
      <c r="D32" s="36" t="s">
        <v>37</v>
      </c>
      <c r="J32" s="51">
        <f>ROUND(J126,2)</f>
        <v>2726480.47</v>
      </c>
      <c r="L32" s="12"/>
    </row>
    <row r="33" spans="2:12" s="1" customFormat="1" ht="6.9" customHeight="1">
      <c r="B33" s="12"/>
      <c r="D33" s="35"/>
      <c r="E33" s="35"/>
      <c r="F33" s="35"/>
      <c r="G33" s="35"/>
      <c r="H33" s="35"/>
      <c r="I33" s="35"/>
      <c r="J33" s="35"/>
      <c r="K33" s="35"/>
      <c r="L33" s="12"/>
    </row>
    <row r="34" spans="2:12" s="1" customFormat="1" ht="14.4" customHeight="1">
      <c r="B34" s="12"/>
      <c r="F34" s="37" t="s">
        <v>39</v>
      </c>
      <c r="I34" s="37" t="s">
        <v>38</v>
      </c>
      <c r="J34" s="37" t="s">
        <v>40</v>
      </c>
      <c r="L34" s="12"/>
    </row>
    <row r="35" spans="2:12" s="1" customFormat="1" ht="14.4" customHeight="1">
      <c r="B35" s="12"/>
      <c r="D35" s="38" t="s">
        <v>41</v>
      </c>
      <c r="E35" s="10" t="s">
        <v>42</v>
      </c>
      <c r="F35" s="39">
        <f>ROUND((SUM(BE126:BE367)),2)</f>
        <v>2726480.47</v>
      </c>
      <c r="I35" s="52">
        <v>0.21</v>
      </c>
      <c r="J35" s="39">
        <f>ROUND(((SUM(BE126:BE367))*I35),2)</f>
        <v>572560.9</v>
      </c>
      <c r="L35" s="12"/>
    </row>
    <row r="36" spans="2:12" s="1" customFormat="1" ht="14.4" customHeight="1">
      <c r="B36" s="12"/>
      <c r="E36" s="10" t="s">
        <v>43</v>
      </c>
      <c r="F36" s="39">
        <f>ROUND((SUM(BF126:BF367)),2)</f>
        <v>0</v>
      </c>
      <c r="I36" s="52">
        <v>0.15</v>
      </c>
      <c r="J36" s="39">
        <f>ROUND(((SUM(BF126:BF367))*I36),2)</f>
        <v>0</v>
      </c>
      <c r="L36" s="12"/>
    </row>
    <row r="37" spans="2:12" s="1" customFormat="1" ht="14.4" hidden="1" customHeight="1">
      <c r="B37" s="12"/>
      <c r="E37" s="10" t="s">
        <v>44</v>
      </c>
      <c r="F37" s="39">
        <f>ROUND((SUM(BG126:BG367)),2)</f>
        <v>0</v>
      </c>
      <c r="I37" s="52">
        <v>0.21</v>
      </c>
      <c r="J37" s="39">
        <f>0</f>
        <v>0</v>
      </c>
      <c r="L37" s="12"/>
    </row>
    <row r="38" spans="2:12" s="1" customFormat="1" ht="14.4" hidden="1" customHeight="1">
      <c r="B38" s="12"/>
      <c r="E38" s="10" t="s">
        <v>45</v>
      </c>
      <c r="F38" s="39">
        <f>ROUND((SUM(BH126:BH367)),2)</f>
        <v>0</v>
      </c>
      <c r="I38" s="52">
        <v>0.15</v>
      </c>
      <c r="J38" s="39">
        <f>0</f>
        <v>0</v>
      </c>
      <c r="L38" s="12"/>
    </row>
    <row r="39" spans="2:12" s="1" customFormat="1" ht="14.4" hidden="1" customHeight="1">
      <c r="B39" s="12"/>
      <c r="E39" s="10" t="s">
        <v>46</v>
      </c>
      <c r="F39" s="39">
        <f>ROUND((SUM(BI126:BI367)),2)</f>
        <v>0</v>
      </c>
      <c r="I39" s="52">
        <v>0</v>
      </c>
      <c r="J39" s="39">
        <f>0</f>
        <v>0</v>
      </c>
      <c r="L39" s="12"/>
    </row>
    <row r="40" spans="2:12" s="1" customFormat="1" ht="6.9" customHeight="1">
      <c r="B40" s="12"/>
      <c r="L40" s="12"/>
    </row>
    <row r="41" spans="2:12" s="1" customFormat="1" ht="25.35" customHeight="1">
      <c r="B41" s="12"/>
      <c r="C41" s="40"/>
      <c r="D41" s="41" t="s">
        <v>47</v>
      </c>
      <c r="E41" s="42"/>
      <c r="F41" s="42"/>
      <c r="G41" s="43" t="s">
        <v>48</v>
      </c>
      <c r="H41" s="44" t="s">
        <v>49</v>
      </c>
      <c r="I41" s="42"/>
      <c r="J41" s="53">
        <f>SUM(J32:J39)</f>
        <v>3299041.37</v>
      </c>
      <c r="K41" s="54"/>
      <c r="L41" s="12"/>
    </row>
    <row r="42" spans="2:12" s="1" customFormat="1" ht="14.4" customHeight="1">
      <c r="B42" s="12"/>
      <c r="L42" s="12"/>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s="1" customFormat="1" ht="16.5" customHeight="1">
      <c r="B87" s="12"/>
      <c r="E87" s="392" t="s">
        <v>5462</v>
      </c>
      <c r="F87" s="394"/>
      <c r="G87" s="394"/>
      <c r="H87" s="394"/>
      <c r="L87" s="12"/>
    </row>
    <row r="88" spans="2:12" s="1" customFormat="1" ht="12" customHeight="1">
      <c r="B88" s="12"/>
      <c r="C88" s="10" t="s">
        <v>296</v>
      </c>
      <c r="L88" s="12"/>
    </row>
    <row r="89" spans="2:12" s="1" customFormat="1" ht="16.5" customHeight="1">
      <c r="B89" s="12"/>
      <c r="E89" s="381" t="str">
        <f>E11</f>
        <v>SO10 - Komunikace, zpevněné plochy a dopravní značení</v>
      </c>
      <c r="F89" s="394"/>
      <c r="G89" s="394"/>
      <c r="H89" s="394"/>
      <c r="L89" s="12"/>
    </row>
    <row r="90" spans="2:12" s="1" customFormat="1" ht="6.9" customHeight="1">
      <c r="B90" s="12"/>
      <c r="L90" s="12"/>
    </row>
    <row r="91" spans="2:12" s="1" customFormat="1" ht="12" customHeight="1">
      <c r="B91" s="12"/>
      <c r="C91" s="10" t="s">
        <v>20</v>
      </c>
      <c r="F91" s="32" t="str">
        <f>F14</f>
        <v>Praha</v>
      </c>
      <c r="I91" s="10" t="s">
        <v>22</v>
      </c>
      <c r="J91" s="11">
        <f>IF(J14="","",J14)</f>
        <v>45000</v>
      </c>
      <c r="L91" s="12"/>
    </row>
    <row r="92" spans="2:12" s="1" customFormat="1" ht="6.9" customHeight="1">
      <c r="B92" s="12"/>
      <c r="L92" s="12"/>
    </row>
    <row r="93" spans="2:12" s="1" customFormat="1" ht="15.15" customHeight="1">
      <c r="B93" s="12"/>
      <c r="C93" s="10" t="s">
        <v>23</v>
      </c>
      <c r="F93" s="32" t="str">
        <f>E17</f>
        <v>VELTON REAL ESTATE</v>
      </c>
      <c r="I93" s="10" t="s">
        <v>31</v>
      </c>
      <c r="J93" s="8" t="str">
        <f>E23</f>
        <v>ABMV World s.r.o</v>
      </c>
      <c r="L93" s="12"/>
    </row>
    <row r="94" spans="2:12" s="1" customFormat="1" ht="15.15"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J126</f>
        <v>2726480.47</v>
      </c>
      <c r="L98" s="12"/>
      <c r="AU98" s="23" t="s">
        <v>188</v>
      </c>
    </row>
    <row r="99" spans="2:47" s="29" customFormat="1" ht="24.9" customHeight="1">
      <c r="B99" s="60"/>
      <c r="D99" s="61" t="s">
        <v>324</v>
      </c>
      <c r="E99" s="62"/>
      <c r="F99" s="62"/>
      <c r="G99" s="62"/>
      <c r="H99" s="62"/>
      <c r="I99" s="62"/>
      <c r="J99" s="77">
        <f>J127</f>
        <v>2726480.47</v>
      </c>
      <c r="L99" s="60"/>
    </row>
    <row r="100" spans="2:47" s="30" customFormat="1" ht="20.100000000000001" customHeight="1">
      <c r="B100" s="63"/>
      <c r="D100" s="64" t="s">
        <v>325</v>
      </c>
      <c r="E100" s="65"/>
      <c r="F100" s="65"/>
      <c r="G100" s="65"/>
      <c r="H100" s="65"/>
      <c r="I100" s="65"/>
      <c r="J100" s="78">
        <f>J128</f>
        <v>701151.24</v>
      </c>
      <c r="L100" s="63"/>
    </row>
    <row r="101" spans="2:47" s="30" customFormat="1" ht="20.100000000000001" customHeight="1">
      <c r="B101" s="63"/>
      <c r="D101" s="64" t="s">
        <v>5859</v>
      </c>
      <c r="E101" s="65"/>
      <c r="F101" s="65"/>
      <c r="G101" s="65"/>
      <c r="H101" s="65"/>
      <c r="I101" s="65"/>
      <c r="J101" s="78">
        <f>J146</f>
        <v>1397126.93</v>
      </c>
      <c r="L101" s="63"/>
    </row>
    <row r="102" spans="2:47" s="30" customFormat="1" ht="20.100000000000001" customHeight="1">
      <c r="B102" s="63"/>
      <c r="D102" s="64" t="s">
        <v>330</v>
      </c>
      <c r="E102" s="65"/>
      <c r="F102" s="65"/>
      <c r="G102" s="65"/>
      <c r="H102" s="65"/>
      <c r="I102" s="65"/>
      <c r="J102" s="78">
        <f>J252</f>
        <v>515115.38</v>
      </c>
      <c r="L102" s="63"/>
    </row>
    <row r="103" spans="2:47" s="30" customFormat="1" ht="20.100000000000001" customHeight="1">
      <c r="B103" s="63"/>
      <c r="D103" s="64" t="s">
        <v>5860</v>
      </c>
      <c r="E103" s="65"/>
      <c r="F103" s="65"/>
      <c r="G103" s="65"/>
      <c r="H103" s="65"/>
      <c r="I103" s="65"/>
      <c r="J103" s="78">
        <f>J359</f>
        <v>31089.86</v>
      </c>
      <c r="L103" s="63"/>
    </row>
    <row r="104" spans="2:47" s="30" customFormat="1" ht="20.100000000000001" customHeight="1">
      <c r="B104" s="63"/>
      <c r="D104" s="64" t="s">
        <v>331</v>
      </c>
      <c r="E104" s="65"/>
      <c r="F104" s="65"/>
      <c r="G104" s="65"/>
      <c r="H104" s="65"/>
      <c r="I104" s="65"/>
      <c r="J104" s="78">
        <f>J366</f>
        <v>81997.06</v>
      </c>
      <c r="L104" s="63"/>
    </row>
    <row r="105" spans="2:47" s="1" customFormat="1" ht="21.75" customHeight="1">
      <c r="B105" s="12"/>
      <c r="L105" s="12"/>
    </row>
    <row r="106" spans="2:47" s="1" customFormat="1" ht="6.9" customHeight="1">
      <c r="B106" s="26"/>
      <c r="C106" s="27"/>
      <c r="D106" s="27"/>
      <c r="E106" s="27"/>
      <c r="F106" s="27"/>
      <c r="G106" s="27"/>
      <c r="H106" s="27"/>
      <c r="I106" s="27"/>
      <c r="J106" s="27"/>
      <c r="K106" s="27"/>
      <c r="L106" s="12"/>
    </row>
    <row r="110" spans="2:47" s="1" customFormat="1" ht="6.9" customHeight="1">
      <c r="B110" s="56"/>
      <c r="C110" s="57"/>
      <c r="D110" s="57"/>
      <c r="E110" s="57"/>
      <c r="F110" s="57"/>
      <c r="G110" s="57"/>
      <c r="H110" s="57"/>
      <c r="I110" s="57"/>
      <c r="J110" s="57"/>
      <c r="K110" s="57"/>
      <c r="L110" s="12"/>
    </row>
    <row r="111" spans="2:47" s="1" customFormat="1" ht="24.9" customHeight="1">
      <c r="B111" s="12"/>
      <c r="C111" s="6" t="s">
        <v>195</v>
      </c>
      <c r="L111" s="12"/>
    </row>
    <row r="112" spans="2:47" s="1" customFormat="1" ht="6.9" customHeight="1">
      <c r="B112" s="12"/>
      <c r="L112" s="12"/>
    </row>
    <row r="113" spans="2:63" s="1" customFormat="1" ht="12" customHeight="1">
      <c r="B113" s="12"/>
      <c r="C113" s="10" t="s">
        <v>16</v>
      </c>
      <c r="L113" s="12"/>
    </row>
    <row r="114" spans="2:63" s="1" customFormat="1" ht="16.5" customHeight="1">
      <c r="B114" s="12"/>
      <c r="E114" s="392" t="str">
        <f>E7</f>
        <v>Bytový soubor Libuše</v>
      </c>
      <c r="F114" s="393"/>
      <c r="G114" s="393"/>
      <c r="H114" s="393"/>
      <c r="L114" s="12"/>
    </row>
    <row r="115" spans="2:63" ht="12" customHeight="1">
      <c r="B115" s="5"/>
      <c r="C115" s="10" t="s">
        <v>182</v>
      </c>
      <c r="L115" s="5"/>
    </row>
    <row r="116" spans="2:63" s="1" customFormat="1" ht="16.5" customHeight="1">
      <c r="B116" s="12"/>
      <c r="E116" s="392" t="s">
        <v>5462</v>
      </c>
      <c r="F116" s="394"/>
      <c r="G116" s="394"/>
      <c r="H116" s="394"/>
      <c r="L116" s="12"/>
    </row>
    <row r="117" spans="2:63" s="1" customFormat="1" ht="12" customHeight="1">
      <c r="B117" s="12"/>
      <c r="C117" s="10" t="s">
        <v>296</v>
      </c>
      <c r="L117" s="12"/>
    </row>
    <row r="118" spans="2:63" s="1" customFormat="1" ht="16.5" customHeight="1">
      <c r="B118" s="12"/>
      <c r="E118" s="381" t="str">
        <f>E11</f>
        <v>SO10 - Komunikace, zpevněné plochy a dopravní značení</v>
      </c>
      <c r="F118" s="394"/>
      <c r="G118" s="394"/>
      <c r="H118" s="394"/>
      <c r="L118" s="12"/>
    </row>
    <row r="119" spans="2:63" s="1" customFormat="1" ht="6.9" customHeight="1">
      <c r="B119" s="12"/>
      <c r="L119" s="12"/>
    </row>
    <row r="120" spans="2:63" s="1" customFormat="1" ht="12" customHeight="1">
      <c r="B120" s="12"/>
      <c r="C120" s="10" t="s">
        <v>20</v>
      </c>
      <c r="F120" s="32" t="str">
        <f>F14</f>
        <v>Praha</v>
      </c>
      <c r="I120" s="10" t="s">
        <v>22</v>
      </c>
      <c r="J120" s="11">
        <f>IF(J14="","",J14)</f>
        <v>45000</v>
      </c>
      <c r="L120" s="12"/>
    </row>
    <row r="121" spans="2:63" s="1" customFormat="1" ht="6.9" customHeight="1">
      <c r="B121" s="12"/>
      <c r="L121" s="12"/>
    </row>
    <row r="122" spans="2:63" s="1" customFormat="1" ht="15.15" customHeight="1">
      <c r="B122" s="12"/>
      <c r="C122" s="10" t="s">
        <v>23</v>
      </c>
      <c r="F122" s="32" t="str">
        <f>E17</f>
        <v>VELTON REAL ESTATE</v>
      </c>
      <c r="I122" s="10" t="s">
        <v>31</v>
      </c>
      <c r="J122" s="8" t="str">
        <f>E23</f>
        <v>ABMV World s.r.o</v>
      </c>
      <c r="L122" s="12"/>
    </row>
    <row r="123" spans="2:63" s="1" customFormat="1" ht="15.15" customHeight="1">
      <c r="B123" s="12"/>
      <c r="C123" s="10" t="s">
        <v>27</v>
      </c>
      <c r="F123" s="32" t="str">
        <f>IF(E20="","",E20)</f>
        <v>DMG Stav a.s.</v>
      </c>
      <c r="I123" s="10" t="s">
        <v>34</v>
      </c>
      <c r="J123" s="8" t="str">
        <f>E26</f>
        <v>QSB s.r.o.</v>
      </c>
      <c r="L123" s="12"/>
    </row>
    <row r="124" spans="2:63" s="1" customFormat="1" ht="10.35" customHeight="1">
      <c r="B124" s="12"/>
      <c r="L124" s="12"/>
    </row>
    <row r="125" spans="2:63" s="2" customFormat="1" ht="29.25" customHeight="1">
      <c r="B125" s="13"/>
      <c r="C125" s="14" t="s">
        <v>196</v>
      </c>
      <c r="D125" s="15" t="s">
        <v>62</v>
      </c>
      <c r="E125" s="15" t="s">
        <v>58</v>
      </c>
      <c r="F125" s="15" t="s">
        <v>59</v>
      </c>
      <c r="G125" s="15" t="s">
        <v>197</v>
      </c>
      <c r="H125" s="15" t="s">
        <v>198</v>
      </c>
      <c r="I125" s="15" t="s">
        <v>199</v>
      </c>
      <c r="J125" s="16" t="s">
        <v>186</v>
      </c>
      <c r="K125" s="79" t="s">
        <v>200</v>
      </c>
      <c r="L125" s="13"/>
      <c r="M125" s="80" t="s">
        <v>1</v>
      </c>
      <c r="N125" s="81" t="s">
        <v>41</v>
      </c>
      <c r="O125" s="81" t="s">
        <v>201</v>
      </c>
      <c r="P125" s="81" t="s">
        <v>202</v>
      </c>
      <c r="Q125" s="81" t="s">
        <v>203</v>
      </c>
      <c r="R125" s="81" t="s">
        <v>204</v>
      </c>
      <c r="S125" s="81" t="s">
        <v>205</v>
      </c>
      <c r="T125" s="96" t="s">
        <v>206</v>
      </c>
    </row>
    <row r="126" spans="2:63" s="1" customFormat="1" ht="23.1" customHeight="1">
      <c r="B126" s="12"/>
      <c r="C126" s="66" t="s">
        <v>207</v>
      </c>
      <c r="J126" s="82">
        <f>BK126</f>
        <v>2726480.47</v>
      </c>
      <c r="L126" s="12"/>
      <c r="M126" s="83"/>
      <c r="N126" s="35"/>
      <c r="O126" s="35"/>
      <c r="P126" s="84">
        <f>P127</f>
        <v>0</v>
      </c>
      <c r="Q126" s="35"/>
      <c r="R126" s="84">
        <f>R127</f>
        <v>0</v>
      </c>
      <c r="S126" s="35"/>
      <c r="T126" s="97">
        <f>T127</f>
        <v>0</v>
      </c>
      <c r="AT126" s="23" t="s">
        <v>76</v>
      </c>
      <c r="AU126" s="23" t="s">
        <v>188</v>
      </c>
      <c r="BK126" s="102">
        <f>BK127</f>
        <v>2726480.47</v>
      </c>
    </row>
    <row r="127" spans="2:63" s="31" customFormat="1" ht="26.1" customHeight="1">
      <c r="B127" s="67"/>
      <c r="D127" s="68" t="s">
        <v>76</v>
      </c>
      <c r="E127" s="69" t="s">
        <v>352</v>
      </c>
      <c r="F127" s="69" t="s">
        <v>353</v>
      </c>
      <c r="I127" s="85"/>
      <c r="J127" s="86">
        <f>BK127</f>
        <v>2726480.47</v>
      </c>
      <c r="L127" s="67"/>
      <c r="M127" s="87"/>
      <c r="P127" s="88">
        <f>P128+P146+P252+P359+P366</f>
        <v>0</v>
      </c>
      <c r="R127" s="88">
        <f>R128+R146+R252+R359+R366</f>
        <v>0</v>
      </c>
      <c r="T127" s="98">
        <f>T128+T146+T252+T359+T366</f>
        <v>0</v>
      </c>
      <c r="AR127" s="68" t="s">
        <v>85</v>
      </c>
      <c r="AT127" s="100" t="s">
        <v>76</v>
      </c>
      <c r="AU127" s="100" t="s">
        <v>77</v>
      </c>
      <c r="AY127" s="68" t="s">
        <v>211</v>
      </c>
      <c r="BK127" s="103">
        <f>BK128+BK146+BK252+BK359+BK366</f>
        <v>2726480.47</v>
      </c>
    </row>
    <row r="128" spans="2:63" s="31" customFormat="1" ht="23.1" customHeight="1">
      <c r="B128" s="67"/>
      <c r="D128" s="68" t="s">
        <v>76</v>
      </c>
      <c r="E128" s="70" t="s">
        <v>85</v>
      </c>
      <c r="F128" s="70" t="s">
        <v>354</v>
      </c>
      <c r="I128" s="85"/>
      <c r="J128" s="89">
        <f>BK128</f>
        <v>701151.24</v>
      </c>
      <c r="L128" s="67"/>
      <c r="M128" s="87"/>
      <c r="P128" s="88">
        <f>SUM(P129:P145)</f>
        <v>0</v>
      </c>
      <c r="R128" s="88">
        <f>SUM(R129:R145)</f>
        <v>0</v>
      </c>
      <c r="T128" s="98">
        <f>SUM(T129:T145)</f>
        <v>0</v>
      </c>
      <c r="AR128" s="68" t="s">
        <v>85</v>
      </c>
      <c r="AT128" s="100" t="s">
        <v>76</v>
      </c>
      <c r="AU128" s="100" t="s">
        <v>85</v>
      </c>
      <c r="AY128" s="68" t="s">
        <v>211</v>
      </c>
      <c r="BK128" s="103">
        <f>SUM(BK129:BK145)</f>
        <v>701151.24</v>
      </c>
    </row>
    <row r="129" spans="2:65" s="1" customFormat="1" ht="66.75" customHeight="1">
      <c r="B129" s="12"/>
      <c r="C129" s="71" t="s">
        <v>85</v>
      </c>
      <c r="D129" s="71" t="s">
        <v>214</v>
      </c>
      <c r="E129" s="72" t="s">
        <v>5861</v>
      </c>
      <c r="F129" s="73" t="s">
        <v>5862</v>
      </c>
      <c r="G129" s="74" t="s">
        <v>279</v>
      </c>
      <c r="H129" s="75">
        <v>17</v>
      </c>
      <c r="I129" s="145">
        <v>29.7</v>
      </c>
      <c r="J129" s="91">
        <f>ROUND(I129*H129,2)</f>
        <v>504.9</v>
      </c>
      <c r="K129" s="92"/>
      <c r="L129" s="12"/>
      <c r="M129" s="93" t="s">
        <v>1</v>
      </c>
      <c r="N129" s="94" t="s">
        <v>42</v>
      </c>
      <c r="P129" s="95">
        <f>O129*H129</f>
        <v>0</v>
      </c>
      <c r="Q129" s="95">
        <v>0</v>
      </c>
      <c r="R129" s="95">
        <f>Q129*H129</f>
        <v>0</v>
      </c>
      <c r="S129" s="95">
        <v>0</v>
      </c>
      <c r="T129" s="99">
        <f>S129*H129</f>
        <v>0</v>
      </c>
      <c r="AR129" s="101" t="s">
        <v>218</v>
      </c>
      <c r="AT129" s="101" t="s">
        <v>214</v>
      </c>
      <c r="AU129" s="101" t="s">
        <v>87</v>
      </c>
      <c r="AY129" s="23" t="s">
        <v>211</v>
      </c>
      <c r="BE129" s="104">
        <f>IF(N129="základní",J129,0)</f>
        <v>504.9</v>
      </c>
      <c r="BF129" s="104">
        <f>IF(N129="snížená",J129,0)</f>
        <v>0</v>
      </c>
      <c r="BG129" s="104">
        <f>IF(N129="zákl. přenesená",J129,0)</f>
        <v>0</v>
      </c>
      <c r="BH129" s="104">
        <f>IF(N129="sníž. přenesená",J129,0)</f>
        <v>0</v>
      </c>
      <c r="BI129" s="104">
        <f>IF(N129="nulová",J129,0)</f>
        <v>0</v>
      </c>
      <c r="BJ129" s="23" t="s">
        <v>85</v>
      </c>
      <c r="BK129" s="104">
        <f>ROUND(I129*H129,2)</f>
        <v>504.9</v>
      </c>
      <c r="BL129" s="23" t="s">
        <v>218</v>
      </c>
      <c r="BM129" s="101" t="s">
        <v>87</v>
      </c>
    </row>
    <row r="130" spans="2:65" s="1" customFormat="1" ht="66.75" customHeight="1">
      <c r="B130" s="12"/>
      <c r="C130" s="71" t="s">
        <v>87</v>
      </c>
      <c r="D130" s="71" t="s">
        <v>214</v>
      </c>
      <c r="E130" s="72" t="s">
        <v>5863</v>
      </c>
      <c r="F130" s="73" t="s">
        <v>5864</v>
      </c>
      <c r="G130" s="74" t="s">
        <v>279</v>
      </c>
      <c r="H130" s="75">
        <v>92</v>
      </c>
      <c r="I130" s="145">
        <v>63.7</v>
      </c>
      <c r="J130" s="91">
        <f>ROUND(I130*H130,2)</f>
        <v>5860.4</v>
      </c>
      <c r="K130" s="92"/>
      <c r="L130" s="12"/>
      <c r="M130" s="93" t="s">
        <v>1</v>
      </c>
      <c r="N130" s="94" t="s">
        <v>42</v>
      </c>
      <c r="P130" s="95">
        <f>O130*H130</f>
        <v>0</v>
      </c>
      <c r="Q130" s="95">
        <v>0</v>
      </c>
      <c r="R130" s="95">
        <f>Q130*H130</f>
        <v>0</v>
      </c>
      <c r="S130" s="95">
        <v>0</v>
      </c>
      <c r="T130" s="99">
        <f>S130*H130</f>
        <v>0</v>
      </c>
      <c r="AR130" s="101" t="s">
        <v>218</v>
      </c>
      <c r="AT130" s="101" t="s">
        <v>214</v>
      </c>
      <c r="AU130" s="101" t="s">
        <v>87</v>
      </c>
      <c r="AY130" s="23" t="s">
        <v>211</v>
      </c>
      <c r="BE130" s="104">
        <f>IF(N130="základní",J130,0)</f>
        <v>5860.4</v>
      </c>
      <c r="BF130" s="104">
        <f>IF(N130="snížená",J130,0)</f>
        <v>0</v>
      </c>
      <c r="BG130" s="104">
        <f>IF(N130="zákl. přenesená",J130,0)</f>
        <v>0</v>
      </c>
      <c r="BH130" s="104">
        <f>IF(N130="sníž. přenesená",J130,0)</f>
        <v>0</v>
      </c>
      <c r="BI130" s="104">
        <f>IF(N130="nulová",J130,0)</f>
        <v>0</v>
      </c>
      <c r="BJ130" s="23" t="s">
        <v>85</v>
      </c>
      <c r="BK130" s="104">
        <f>ROUND(I130*H130,2)</f>
        <v>5860.4</v>
      </c>
      <c r="BL130" s="23" t="s">
        <v>218</v>
      </c>
      <c r="BM130" s="101" t="s">
        <v>218</v>
      </c>
    </row>
    <row r="131" spans="2:65" s="1" customFormat="1" ht="49.35" customHeight="1">
      <c r="B131" s="12"/>
      <c r="C131" s="71" t="s">
        <v>137</v>
      </c>
      <c r="D131" s="71" t="s">
        <v>214</v>
      </c>
      <c r="E131" s="72" t="s">
        <v>5865</v>
      </c>
      <c r="F131" s="73" t="s">
        <v>5866</v>
      </c>
      <c r="G131" s="74" t="s">
        <v>444</v>
      </c>
      <c r="H131" s="75">
        <v>135</v>
      </c>
      <c r="I131" s="145">
        <v>65.3</v>
      </c>
      <c r="J131" s="91">
        <f>ROUND(I131*H131,2)</f>
        <v>8815.5</v>
      </c>
      <c r="K131" s="92"/>
      <c r="L131" s="12"/>
      <c r="M131" s="93" t="s">
        <v>1</v>
      </c>
      <c r="N131" s="94" t="s">
        <v>42</v>
      </c>
      <c r="P131" s="95">
        <f>O131*H131</f>
        <v>0</v>
      </c>
      <c r="Q131" s="95">
        <v>0</v>
      </c>
      <c r="R131" s="95">
        <f>Q131*H131</f>
        <v>0</v>
      </c>
      <c r="S131" s="95">
        <v>0</v>
      </c>
      <c r="T131" s="99">
        <f>S131*H131</f>
        <v>0</v>
      </c>
      <c r="AR131" s="101" t="s">
        <v>218</v>
      </c>
      <c r="AT131" s="101" t="s">
        <v>214</v>
      </c>
      <c r="AU131" s="101" t="s">
        <v>87</v>
      </c>
      <c r="AY131" s="23" t="s">
        <v>211</v>
      </c>
      <c r="BE131" s="104">
        <f>IF(N131="základní",J131,0)</f>
        <v>8815.5</v>
      </c>
      <c r="BF131" s="104">
        <f>IF(N131="snížená",J131,0)</f>
        <v>0</v>
      </c>
      <c r="BG131" s="104">
        <f>IF(N131="zákl. přenesená",J131,0)</f>
        <v>0</v>
      </c>
      <c r="BH131" s="104">
        <f>IF(N131="sníž. přenesená",J131,0)</f>
        <v>0</v>
      </c>
      <c r="BI131" s="104">
        <f>IF(N131="nulová",J131,0)</f>
        <v>0</v>
      </c>
      <c r="BJ131" s="23" t="s">
        <v>85</v>
      </c>
      <c r="BK131" s="104">
        <f>ROUND(I131*H131,2)</f>
        <v>8815.5</v>
      </c>
      <c r="BL131" s="23" t="s">
        <v>218</v>
      </c>
      <c r="BM131" s="101" t="s">
        <v>239</v>
      </c>
    </row>
    <row r="132" spans="2:65" s="1" customFormat="1" ht="33" customHeight="1">
      <c r="B132" s="12"/>
      <c r="C132" s="71" t="s">
        <v>218</v>
      </c>
      <c r="D132" s="71" t="s">
        <v>214</v>
      </c>
      <c r="E132" s="72" t="s">
        <v>5867</v>
      </c>
      <c r="F132" s="73" t="s">
        <v>5868</v>
      </c>
      <c r="G132" s="74" t="s">
        <v>357</v>
      </c>
      <c r="H132" s="75">
        <v>556.20000000000005</v>
      </c>
      <c r="I132" s="145">
        <v>142</v>
      </c>
      <c r="J132" s="91">
        <f>ROUND(I132*H132,2)</f>
        <v>78980.399999999994</v>
      </c>
      <c r="K132" s="92"/>
      <c r="L132" s="12"/>
      <c r="M132" s="93" t="s">
        <v>1</v>
      </c>
      <c r="N132" s="94" t="s">
        <v>42</v>
      </c>
      <c r="P132" s="95">
        <f>O132*H132</f>
        <v>0</v>
      </c>
      <c r="Q132" s="95">
        <v>0</v>
      </c>
      <c r="R132" s="95">
        <f>Q132*H132</f>
        <v>0</v>
      </c>
      <c r="S132" s="95">
        <v>0</v>
      </c>
      <c r="T132" s="99">
        <f>S132*H132</f>
        <v>0</v>
      </c>
      <c r="AR132" s="101" t="s">
        <v>218</v>
      </c>
      <c r="AT132" s="101" t="s">
        <v>214</v>
      </c>
      <c r="AU132" s="101" t="s">
        <v>87</v>
      </c>
      <c r="AY132" s="23" t="s">
        <v>211</v>
      </c>
      <c r="BE132" s="104">
        <f>IF(N132="základní",J132,0)</f>
        <v>78980.399999999994</v>
      </c>
      <c r="BF132" s="104">
        <f>IF(N132="snížená",J132,0)</f>
        <v>0</v>
      </c>
      <c r="BG132" s="104">
        <f>IF(N132="zákl. přenesená",J132,0)</f>
        <v>0</v>
      </c>
      <c r="BH132" s="104">
        <f>IF(N132="sníž. přenesená",J132,0)</f>
        <v>0</v>
      </c>
      <c r="BI132" s="104">
        <f>IF(N132="nulová",J132,0)</f>
        <v>0</v>
      </c>
      <c r="BJ132" s="23" t="s">
        <v>85</v>
      </c>
      <c r="BK132" s="104">
        <f>ROUND(I132*H132,2)</f>
        <v>78980.399999999994</v>
      </c>
      <c r="BL132" s="23" t="s">
        <v>218</v>
      </c>
      <c r="BM132" s="101" t="s">
        <v>250</v>
      </c>
    </row>
    <row r="133" spans="2:65" s="136" customFormat="1">
      <c r="B133" s="138"/>
      <c r="D133" s="105" t="s">
        <v>365</v>
      </c>
      <c r="E133" s="139" t="s">
        <v>1</v>
      </c>
      <c r="F133" s="140" t="s">
        <v>5869</v>
      </c>
      <c r="H133" s="139" t="s">
        <v>1</v>
      </c>
      <c r="I133" s="146"/>
      <c r="L133" s="138"/>
      <c r="M133" s="147"/>
      <c r="T133" s="150"/>
      <c r="AT133" s="139" t="s">
        <v>365</v>
      </c>
      <c r="AU133" s="139" t="s">
        <v>87</v>
      </c>
      <c r="AV133" s="136" t="s">
        <v>85</v>
      </c>
      <c r="AW133" s="136" t="s">
        <v>33</v>
      </c>
      <c r="AX133" s="136" t="s">
        <v>77</v>
      </c>
      <c r="AY133" s="139" t="s">
        <v>211</v>
      </c>
    </row>
    <row r="134" spans="2:65" s="113" customFormat="1">
      <c r="B134" s="119"/>
      <c r="D134" s="105" t="s">
        <v>365</v>
      </c>
      <c r="E134" s="135" t="s">
        <v>1</v>
      </c>
      <c r="F134" s="120" t="s">
        <v>5870</v>
      </c>
      <c r="H134" s="121">
        <v>441.8</v>
      </c>
      <c r="I134" s="128"/>
      <c r="L134" s="119"/>
      <c r="M134" s="129"/>
      <c r="T134" s="133"/>
      <c r="AT134" s="135" t="s">
        <v>365</v>
      </c>
      <c r="AU134" s="135" t="s">
        <v>87</v>
      </c>
      <c r="AV134" s="113" t="s">
        <v>87</v>
      </c>
      <c r="AW134" s="113" t="s">
        <v>33</v>
      </c>
      <c r="AX134" s="113" t="s">
        <v>77</v>
      </c>
      <c r="AY134" s="135" t="s">
        <v>211</v>
      </c>
    </row>
    <row r="135" spans="2:65" s="136" customFormat="1">
      <c r="B135" s="138"/>
      <c r="D135" s="105" t="s">
        <v>365</v>
      </c>
      <c r="E135" s="139" t="s">
        <v>1</v>
      </c>
      <c r="F135" s="140" t="s">
        <v>5871</v>
      </c>
      <c r="H135" s="139" t="s">
        <v>1</v>
      </c>
      <c r="I135" s="146"/>
      <c r="L135" s="138"/>
      <c r="M135" s="147"/>
      <c r="T135" s="150"/>
      <c r="AT135" s="139" t="s">
        <v>365</v>
      </c>
      <c r="AU135" s="139" t="s">
        <v>87</v>
      </c>
      <c r="AV135" s="136" t="s">
        <v>85</v>
      </c>
      <c r="AW135" s="136" t="s">
        <v>33</v>
      </c>
      <c r="AX135" s="136" t="s">
        <v>77</v>
      </c>
      <c r="AY135" s="139" t="s">
        <v>211</v>
      </c>
    </row>
    <row r="136" spans="2:65" s="113" customFormat="1">
      <c r="B136" s="119"/>
      <c r="D136" s="105" t="s">
        <v>365</v>
      </c>
      <c r="E136" s="135" t="s">
        <v>1</v>
      </c>
      <c r="F136" s="120" t="s">
        <v>5872</v>
      </c>
      <c r="H136" s="121">
        <v>114.4</v>
      </c>
      <c r="I136" s="128"/>
      <c r="L136" s="119"/>
      <c r="M136" s="129"/>
      <c r="T136" s="133"/>
      <c r="AT136" s="135" t="s">
        <v>365</v>
      </c>
      <c r="AU136" s="135" t="s">
        <v>87</v>
      </c>
      <c r="AV136" s="113" t="s">
        <v>87</v>
      </c>
      <c r="AW136" s="113" t="s">
        <v>33</v>
      </c>
      <c r="AX136" s="113" t="s">
        <v>77</v>
      </c>
      <c r="AY136" s="135" t="s">
        <v>211</v>
      </c>
    </row>
    <row r="137" spans="2:65" s="137" customFormat="1">
      <c r="B137" s="141"/>
      <c r="D137" s="105" t="s">
        <v>365</v>
      </c>
      <c r="E137" s="142" t="s">
        <v>1</v>
      </c>
      <c r="F137" s="143" t="s">
        <v>368</v>
      </c>
      <c r="H137" s="144">
        <v>556.20000000000005</v>
      </c>
      <c r="I137" s="148"/>
      <c r="L137" s="141"/>
      <c r="M137" s="149"/>
      <c r="T137" s="151"/>
      <c r="AT137" s="142" t="s">
        <v>365</v>
      </c>
      <c r="AU137" s="142" t="s">
        <v>87</v>
      </c>
      <c r="AV137" s="137" t="s">
        <v>218</v>
      </c>
      <c r="AW137" s="137" t="s">
        <v>33</v>
      </c>
      <c r="AX137" s="137" t="s">
        <v>85</v>
      </c>
      <c r="AY137" s="142" t="s">
        <v>211</v>
      </c>
    </row>
    <row r="138" spans="2:65" s="1" customFormat="1" ht="62.85" customHeight="1">
      <c r="B138" s="12"/>
      <c r="C138" s="71" t="s">
        <v>210</v>
      </c>
      <c r="D138" s="71" t="s">
        <v>214</v>
      </c>
      <c r="E138" s="72" t="s">
        <v>369</v>
      </c>
      <c r="F138" s="73" t="s">
        <v>5556</v>
      </c>
      <c r="G138" s="74" t="s">
        <v>357</v>
      </c>
      <c r="H138" s="75">
        <v>556.20000000000005</v>
      </c>
      <c r="I138" s="145">
        <v>271</v>
      </c>
      <c r="J138" s="91">
        <f>ROUND(I138*H138,2)</f>
        <v>150730.20000000001</v>
      </c>
      <c r="K138" s="92"/>
      <c r="L138" s="12"/>
      <c r="M138" s="93" t="s">
        <v>1</v>
      </c>
      <c r="N138" s="94" t="s">
        <v>42</v>
      </c>
      <c r="P138" s="95">
        <f>O138*H138</f>
        <v>0</v>
      </c>
      <c r="Q138" s="95">
        <v>0</v>
      </c>
      <c r="R138" s="95">
        <f>Q138*H138</f>
        <v>0</v>
      </c>
      <c r="S138" s="95">
        <v>0</v>
      </c>
      <c r="T138" s="99">
        <f>S138*H138</f>
        <v>0</v>
      </c>
      <c r="AR138" s="101" t="s">
        <v>218</v>
      </c>
      <c r="AT138" s="101" t="s">
        <v>214</v>
      </c>
      <c r="AU138" s="101" t="s">
        <v>87</v>
      </c>
      <c r="AY138" s="23" t="s">
        <v>211</v>
      </c>
      <c r="BE138" s="104">
        <f>IF(N138="základní",J138,0)</f>
        <v>150730.20000000001</v>
      </c>
      <c r="BF138" s="104">
        <f>IF(N138="snížená",J138,0)</f>
        <v>0</v>
      </c>
      <c r="BG138" s="104">
        <f>IF(N138="zákl. přenesená",J138,0)</f>
        <v>0</v>
      </c>
      <c r="BH138" s="104">
        <f>IF(N138="sníž. přenesená",J138,0)</f>
        <v>0</v>
      </c>
      <c r="BI138" s="104">
        <f>IF(N138="nulová",J138,0)</f>
        <v>0</v>
      </c>
      <c r="BJ138" s="23" t="s">
        <v>85</v>
      </c>
      <c r="BK138" s="104">
        <f>ROUND(I138*H138,2)</f>
        <v>150730.20000000001</v>
      </c>
      <c r="BL138" s="23" t="s">
        <v>218</v>
      </c>
      <c r="BM138" s="101" t="s">
        <v>259</v>
      </c>
    </row>
    <row r="139" spans="2:65" s="1" customFormat="1" ht="66.75" customHeight="1">
      <c r="B139" s="12"/>
      <c r="C139" s="71" t="s">
        <v>239</v>
      </c>
      <c r="D139" s="71" t="s">
        <v>214</v>
      </c>
      <c r="E139" s="72" t="s">
        <v>375</v>
      </c>
      <c r="F139" s="73" t="s">
        <v>5873</v>
      </c>
      <c r="G139" s="74" t="s">
        <v>357</v>
      </c>
      <c r="H139" s="75">
        <v>5562</v>
      </c>
      <c r="I139" s="145">
        <v>20.5</v>
      </c>
      <c r="J139" s="91">
        <f>ROUND(I139*H139,2)</f>
        <v>114021</v>
      </c>
      <c r="K139" s="92"/>
      <c r="L139" s="12"/>
      <c r="M139" s="93" t="s">
        <v>1</v>
      </c>
      <c r="N139" s="94" t="s">
        <v>42</v>
      </c>
      <c r="P139" s="95">
        <f>O139*H139</f>
        <v>0</v>
      </c>
      <c r="Q139" s="95">
        <v>0</v>
      </c>
      <c r="R139" s="95">
        <f>Q139*H139</f>
        <v>0</v>
      </c>
      <c r="S139" s="95">
        <v>0</v>
      </c>
      <c r="T139" s="99">
        <f>S139*H139</f>
        <v>0</v>
      </c>
      <c r="AR139" s="101" t="s">
        <v>218</v>
      </c>
      <c r="AT139" s="101" t="s">
        <v>214</v>
      </c>
      <c r="AU139" s="101" t="s">
        <v>87</v>
      </c>
      <c r="AY139" s="23" t="s">
        <v>211</v>
      </c>
      <c r="BE139" s="104">
        <f>IF(N139="základní",J139,0)</f>
        <v>114021</v>
      </c>
      <c r="BF139" s="104">
        <f>IF(N139="snížená",J139,0)</f>
        <v>0</v>
      </c>
      <c r="BG139" s="104">
        <f>IF(N139="zákl. přenesená",J139,0)</f>
        <v>0</v>
      </c>
      <c r="BH139" s="104">
        <f>IF(N139="sníž. přenesená",J139,0)</f>
        <v>0</v>
      </c>
      <c r="BI139" s="104">
        <f>IF(N139="nulová",J139,0)</f>
        <v>0</v>
      </c>
      <c r="BJ139" s="23" t="s">
        <v>85</v>
      </c>
      <c r="BK139" s="104">
        <f>ROUND(I139*H139,2)</f>
        <v>114021</v>
      </c>
      <c r="BL139" s="23" t="s">
        <v>218</v>
      </c>
      <c r="BM139" s="101" t="s">
        <v>273</v>
      </c>
    </row>
    <row r="140" spans="2:65" s="113" customFormat="1">
      <c r="B140" s="119"/>
      <c r="D140" s="105" t="s">
        <v>365</v>
      </c>
      <c r="E140" s="135" t="s">
        <v>1</v>
      </c>
      <c r="F140" s="120" t="s">
        <v>5874</v>
      </c>
      <c r="H140" s="121">
        <v>5562</v>
      </c>
      <c r="I140" s="128"/>
      <c r="L140" s="119"/>
      <c r="M140" s="129"/>
      <c r="T140" s="133"/>
      <c r="AT140" s="135" t="s">
        <v>365</v>
      </c>
      <c r="AU140" s="135" t="s">
        <v>87</v>
      </c>
      <c r="AV140" s="113" t="s">
        <v>87</v>
      </c>
      <c r="AW140" s="113" t="s">
        <v>33</v>
      </c>
      <c r="AX140" s="113" t="s">
        <v>77</v>
      </c>
      <c r="AY140" s="135" t="s">
        <v>211</v>
      </c>
    </row>
    <row r="141" spans="2:65" s="137" customFormat="1">
      <c r="B141" s="141"/>
      <c r="D141" s="105" t="s">
        <v>365</v>
      </c>
      <c r="E141" s="142" t="s">
        <v>1</v>
      </c>
      <c r="F141" s="143" t="s">
        <v>368</v>
      </c>
      <c r="H141" s="144">
        <v>5562</v>
      </c>
      <c r="I141" s="148"/>
      <c r="L141" s="141"/>
      <c r="M141" s="149"/>
      <c r="T141" s="151"/>
      <c r="AT141" s="142" t="s">
        <v>365</v>
      </c>
      <c r="AU141" s="142" t="s">
        <v>87</v>
      </c>
      <c r="AV141" s="137" t="s">
        <v>218</v>
      </c>
      <c r="AW141" s="137" t="s">
        <v>33</v>
      </c>
      <c r="AX141" s="137" t="s">
        <v>85</v>
      </c>
      <c r="AY141" s="142" t="s">
        <v>211</v>
      </c>
    </row>
    <row r="142" spans="2:65" s="1" customFormat="1" ht="44.25" customHeight="1">
      <c r="B142" s="12"/>
      <c r="C142" s="71" t="s">
        <v>245</v>
      </c>
      <c r="D142" s="71" t="s">
        <v>214</v>
      </c>
      <c r="E142" s="72" t="s">
        <v>392</v>
      </c>
      <c r="F142" s="73" t="s">
        <v>5875</v>
      </c>
      <c r="G142" s="74" t="s">
        <v>394</v>
      </c>
      <c r="H142" s="75">
        <v>945.54</v>
      </c>
      <c r="I142" s="145">
        <v>294</v>
      </c>
      <c r="J142" s="91">
        <f>ROUND(I142*H142,2)</f>
        <v>277988.76</v>
      </c>
      <c r="K142" s="92"/>
      <c r="L142" s="12"/>
      <c r="M142" s="93" t="s">
        <v>1</v>
      </c>
      <c r="N142" s="94" t="s">
        <v>42</v>
      </c>
      <c r="P142" s="95">
        <f>O142*H142</f>
        <v>0</v>
      </c>
      <c r="Q142" s="95">
        <v>0</v>
      </c>
      <c r="R142" s="95">
        <f>Q142*H142</f>
        <v>0</v>
      </c>
      <c r="S142" s="95">
        <v>0</v>
      </c>
      <c r="T142" s="99">
        <f>S142*H142</f>
        <v>0</v>
      </c>
      <c r="AR142" s="101" t="s">
        <v>218</v>
      </c>
      <c r="AT142" s="101" t="s">
        <v>214</v>
      </c>
      <c r="AU142" s="101" t="s">
        <v>87</v>
      </c>
      <c r="AY142" s="23" t="s">
        <v>211</v>
      </c>
      <c r="BE142" s="104">
        <f>IF(N142="základní",J142,0)</f>
        <v>277988.76</v>
      </c>
      <c r="BF142" s="104">
        <f>IF(N142="snížená",J142,0)</f>
        <v>0</v>
      </c>
      <c r="BG142" s="104">
        <f>IF(N142="zákl. přenesená",J142,0)</f>
        <v>0</v>
      </c>
      <c r="BH142" s="104">
        <f>IF(N142="sníž. přenesená",J142,0)</f>
        <v>0</v>
      </c>
      <c r="BI142" s="104">
        <f>IF(N142="nulová",J142,0)</f>
        <v>0</v>
      </c>
      <c r="BJ142" s="23" t="s">
        <v>85</v>
      </c>
      <c r="BK142" s="104">
        <f>ROUND(I142*H142,2)</f>
        <v>277988.76</v>
      </c>
      <c r="BL142" s="23" t="s">
        <v>218</v>
      </c>
      <c r="BM142" s="101" t="s">
        <v>437</v>
      </c>
    </row>
    <row r="143" spans="2:65" s="113" customFormat="1">
      <c r="B143" s="119"/>
      <c r="D143" s="105" t="s">
        <v>365</v>
      </c>
      <c r="E143" s="135" t="s">
        <v>1</v>
      </c>
      <c r="F143" s="120" t="s">
        <v>5876</v>
      </c>
      <c r="H143" s="121">
        <v>945.54</v>
      </c>
      <c r="I143" s="128"/>
      <c r="L143" s="119"/>
      <c r="M143" s="129"/>
      <c r="T143" s="133"/>
      <c r="AT143" s="135" t="s">
        <v>365</v>
      </c>
      <c r="AU143" s="135" t="s">
        <v>87</v>
      </c>
      <c r="AV143" s="113" t="s">
        <v>87</v>
      </c>
      <c r="AW143" s="113" t="s">
        <v>33</v>
      </c>
      <c r="AX143" s="113" t="s">
        <v>77</v>
      </c>
      <c r="AY143" s="135" t="s">
        <v>211</v>
      </c>
    </row>
    <row r="144" spans="2:65" s="137" customFormat="1">
      <c r="B144" s="141"/>
      <c r="D144" s="105" t="s">
        <v>365</v>
      </c>
      <c r="E144" s="142" t="s">
        <v>1</v>
      </c>
      <c r="F144" s="143" t="s">
        <v>368</v>
      </c>
      <c r="H144" s="144">
        <v>945.54</v>
      </c>
      <c r="I144" s="148"/>
      <c r="L144" s="141"/>
      <c r="M144" s="149"/>
      <c r="T144" s="151"/>
      <c r="AT144" s="142" t="s">
        <v>365</v>
      </c>
      <c r="AU144" s="142" t="s">
        <v>87</v>
      </c>
      <c r="AV144" s="137" t="s">
        <v>218</v>
      </c>
      <c r="AW144" s="137" t="s">
        <v>33</v>
      </c>
      <c r="AX144" s="137" t="s">
        <v>85</v>
      </c>
      <c r="AY144" s="142" t="s">
        <v>211</v>
      </c>
    </row>
    <row r="145" spans="2:65" s="1" customFormat="1" ht="33" customHeight="1">
      <c r="B145" s="12"/>
      <c r="C145" s="71" t="s">
        <v>250</v>
      </c>
      <c r="D145" s="71" t="s">
        <v>214</v>
      </c>
      <c r="E145" s="72" t="s">
        <v>5877</v>
      </c>
      <c r="F145" s="73" t="s">
        <v>5878</v>
      </c>
      <c r="G145" s="74" t="s">
        <v>279</v>
      </c>
      <c r="H145" s="75">
        <v>1316.6</v>
      </c>
      <c r="I145" s="145">
        <v>48.8</v>
      </c>
      <c r="J145" s="91">
        <f>ROUND(I145*H145,2)</f>
        <v>64250.080000000002</v>
      </c>
      <c r="K145" s="92"/>
      <c r="L145" s="12"/>
      <c r="M145" s="93" t="s">
        <v>1</v>
      </c>
      <c r="N145" s="94" t="s">
        <v>42</v>
      </c>
      <c r="P145" s="95">
        <f>O145*H145</f>
        <v>0</v>
      </c>
      <c r="Q145" s="95">
        <v>0</v>
      </c>
      <c r="R145" s="95">
        <f>Q145*H145</f>
        <v>0</v>
      </c>
      <c r="S145" s="95">
        <v>0</v>
      </c>
      <c r="T145" s="99">
        <f>S145*H145</f>
        <v>0</v>
      </c>
      <c r="AR145" s="101" t="s">
        <v>218</v>
      </c>
      <c r="AT145" s="101" t="s">
        <v>214</v>
      </c>
      <c r="AU145" s="101" t="s">
        <v>87</v>
      </c>
      <c r="AY145" s="23" t="s">
        <v>211</v>
      </c>
      <c r="BE145" s="104">
        <f>IF(N145="základní",J145,0)</f>
        <v>64250.080000000002</v>
      </c>
      <c r="BF145" s="104">
        <f>IF(N145="snížená",J145,0)</f>
        <v>0</v>
      </c>
      <c r="BG145" s="104">
        <f>IF(N145="zákl. přenesená",J145,0)</f>
        <v>0</v>
      </c>
      <c r="BH145" s="104">
        <f>IF(N145="sníž. přenesená",J145,0)</f>
        <v>0</v>
      </c>
      <c r="BI145" s="104">
        <f>IF(N145="nulová",J145,0)</f>
        <v>0</v>
      </c>
      <c r="BJ145" s="23" t="s">
        <v>85</v>
      </c>
      <c r="BK145" s="104">
        <f>ROUND(I145*H145,2)</f>
        <v>64250.080000000002</v>
      </c>
      <c r="BL145" s="23" t="s">
        <v>218</v>
      </c>
      <c r="BM145" s="101" t="s">
        <v>446</v>
      </c>
    </row>
    <row r="146" spans="2:65" s="31" customFormat="1" ht="23.1" customHeight="1">
      <c r="B146" s="67"/>
      <c r="D146" s="68" t="s">
        <v>76</v>
      </c>
      <c r="E146" s="70" t="s">
        <v>210</v>
      </c>
      <c r="F146" s="70" t="s">
        <v>5879</v>
      </c>
      <c r="I146" s="85"/>
      <c r="J146" s="89">
        <f>BK146</f>
        <v>1397126.93</v>
      </c>
      <c r="L146" s="67"/>
      <c r="M146" s="87"/>
      <c r="P146" s="88">
        <f>SUM(P147:P251)</f>
        <v>0</v>
      </c>
      <c r="R146" s="88">
        <f>SUM(R147:R251)</f>
        <v>0</v>
      </c>
      <c r="T146" s="98">
        <f>SUM(T147:T251)</f>
        <v>0</v>
      </c>
      <c r="AR146" s="68" t="s">
        <v>85</v>
      </c>
      <c r="AT146" s="100" t="s">
        <v>76</v>
      </c>
      <c r="AU146" s="100" t="s">
        <v>85</v>
      </c>
      <c r="AY146" s="68" t="s">
        <v>211</v>
      </c>
      <c r="BK146" s="103">
        <f>SUM(BK147:BK251)</f>
        <v>1397126.93</v>
      </c>
    </row>
    <row r="147" spans="2:65" s="1" customFormat="1" ht="38.1" customHeight="1">
      <c r="B147" s="12"/>
      <c r="C147" s="71" t="s">
        <v>255</v>
      </c>
      <c r="D147" s="71" t="s">
        <v>214</v>
      </c>
      <c r="E147" s="72" t="s">
        <v>5880</v>
      </c>
      <c r="F147" s="73" t="s">
        <v>5881</v>
      </c>
      <c r="G147" s="74" t="s">
        <v>279</v>
      </c>
      <c r="H147" s="75">
        <v>372</v>
      </c>
      <c r="I147" s="145">
        <v>79.400000000000006</v>
      </c>
      <c r="J147" s="91">
        <f>ROUND(I147*H147,2)</f>
        <v>29536.799999999999</v>
      </c>
      <c r="K147" s="92"/>
      <c r="L147" s="12"/>
      <c r="M147" s="93" t="s">
        <v>1</v>
      </c>
      <c r="N147" s="94" t="s">
        <v>42</v>
      </c>
      <c r="P147" s="95">
        <f>O147*H147</f>
        <v>0</v>
      </c>
      <c r="Q147" s="95">
        <v>0</v>
      </c>
      <c r="R147" s="95">
        <f>Q147*H147</f>
        <v>0</v>
      </c>
      <c r="S147" s="95">
        <v>0</v>
      </c>
      <c r="T147" s="99">
        <f>S147*H147</f>
        <v>0</v>
      </c>
      <c r="AR147" s="101" t="s">
        <v>218</v>
      </c>
      <c r="AT147" s="101" t="s">
        <v>214</v>
      </c>
      <c r="AU147" s="101" t="s">
        <v>87</v>
      </c>
      <c r="AY147" s="23" t="s">
        <v>211</v>
      </c>
      <c r="BE147" s="104">
        <f>IF(N147="základní",J147,0)</f>
        <v>29536.799999999999</v>
      </c>
      <c r="BF147" s="104">
        <f>IF(N147="snížená",J147,0)</f>
        <v>0</v>
      </c>
      <c r="BG147" s="104">
        <f>IF(N147="zákl. přenesená",J147,0)</f>
        <v>0</v>
      </c>
      <c r="BH147" s="104">
        <f>IF(N147="sníž. přenesená",J147,0)</f>
        <v>0</v>
      </c>
      <c r="BI147" s="104">
        <f>IF(N147="nulová",J147,0)</f>
        <v>0</v>
      </c>
      <c r="BJ147" s="23" t="s">
        <v>85</v>
      </c>
      <c r="BK147" s="104">
        <f>ROUND(I147*H147,2)</f>
        <v>29536.799999999999</v>
      </c>
      <c r="BL147" s="23" t="s">
        <v>218</v>
      </c>
      <c r="BM147" s="101" t="s">
        <v>454</v>
      </c>
    </row>
    <row r="148" spans="2:65" s="136" customFormat="1">
      <c r="B148" s="138"/>
      <c r="D148" s="105" t="s">
        <v>365</v>
      </c>
      <c r="E148" s="139" t="s">
        <v>1</v>
      </c>
      <c r="F148" s="140" t="s">
        <v>5882</v>
      </c>
      <c r="H148" s="139" t="s">
        <v>1</v>
      </c>
      <c r="I148" s="146"/>
      <c r="L148" s="138"/>
      <c r="M148" s="147"/>
      <c r="T148" s="150"/>
      <c r="AT148" s="139" t="s">
        <v>365</v>
      </c>
      <c r="AU148" s="139" t="s">
        <v>87</v>
      </c>
      <c r="AV148" s="136" t="s">
        <v>85</v>
      </c>
      <c r="AW148" s="136" t="s">
        <v>33</v>
      </c>
      <c r="AX148" s="136" t="s">
        <v>77</v>
      </c>
      <c r="AY148" s="139" t="s">
        <v>211</v>
      </c>
    </row>
    <row r="149" spans="2:65" s="113" customFormat="1">
      <c r="B149" s="119"/>
      <c r="D149" s="105" t="s">
        <v>365</v>
      </c>
      <c r="E149" s="135" t="s">
        <v>1</v>
      </c>
      <c r="F149" s="120" t="s">
        <v>5883</v>
      </c>
      <c r="H149" s="121">
        <v>252</v>
      </c>
      <c r="I149" s="128"/>
      <c r="L149" s="119"/>
      <c r="M149" s="129"/>
      <c r="T149" s="133"/>
      <c r="AT149" s="135" t="s">
        <v>365</v>
      </c>
      <c r="AU149" s="135" t="s">
        <v>87</v>
      </c>
      <c r="AV149" s="113" t="s">
        <v>87</v>
      </c>
      <c r="AW149" s="113" t="s">
        <v>33</v>
      </c>
      <c r="AX149" s="113" t="s">
        <v>77</v>
      </c>
      <c r="AY149" s="135" t="s">
        <v>211</v>
      </c>
    </row>
    <row r="150" spans="2:65" s="136" customFormat="1">
      <c r="B150" s="138"/>
      <c r="D150" s="105" t="s">
        <v>365</v>
      </c>
      <c r="E150" s="139" t="s">
        <v>1</v>
      </c>
      <c r="F150" s="140" t="s">
        <v>5884</v>
      </c>
      <c r="H150" s="139" t="s">
        <v>1</v>
      </c>
      <c r="I150" s="146"/>
      <c r="L150" s="138"/>
      <c r="M150" s="147"/>
      <c r="T150" s="150"/>
      <c r="AT150" s="139" t="s">
        <v>365</v>
      </c>
      <c r="AU150" s="139" t="s">
        <v>87</v>
      </c>
      <c r="AV150" s="136" t="s">
        <v>85</v>
      </c>
      <c r="AW150" s="136" t="s">
        <v>33</v>
      </c>
      <c r="AX150" s="136" t="s">
        <v>77</v>
      </c>
      <c r="AY150" s="139" t="s">
        <v>211</v>
      </c>
    </row>
    <row r="151" spans="2:65" s="113" customFormat="1">
      <c r="B151" s="119"/>
      <c r="D151" s="105" t="s">
        <v>365</v>
      </c>
      <c r="E151" s="135" t="s">
        <v>1</v>
      </c>
      <c r="F151" s="120" t="s">
        <v>5885</v>
      </c>
      <c r="H151" s="121">
        <v>120</v>
      </c>
      <c r="I151" s="128"/>
      <c r="L151" s="119"/>
      <c r="M151" s="129"/>
      <c r="T151" s="133"/>
      <c r="AT151" s="135" t="s">
        <v>365</v>
      </c>
      <c r="AU151" s="135" t="s">
        <v>87</v>
      </c>
      <c r="AV151" s="113" t="s">
        <v>87</v>
      </c>
      <c r="AW151" s="113" t="s">
        <v>33</v>
      </c>
      <c r="AX151" s="113" t="s">
        <v>77</v>
      </c>
      <c r="AY151" s="135" t="s">
        <v>211</v>
      </c>
    </row>
    <row r="152" spans="2:65" s="137" customFormat="1">
      <c r="B152" s="141"/>
      <c r="D152" s="105" t="s">
        <v>365</v>
      </c>
      <c r="E152" s="142" t="s">
        <v>1</v>
      </c>
      <c r="F152" s="143" t="s">
        <v>368</v>
      </c>
      <c r="H152" s="144">
        <v>372</v>
      </c>
      <c r="I152" s="148"/>
      <c r="L152" s="141"/>
      <c r="M152" s="149"/>
      <c r="T152" s="151"/>
      <c r="AT152" s="142" t="s">
        <v>365</v>
      </c>
      <c r="AU152" s="142" t="s">
        <v>87</v>
      </c>
      <c r="AV152" s="137" t="s">
        <v>218</v>
      </c>
      <c r="AW152" s="137" t="s">
        <v>33</v>
      </c>
      <c r="AX152" s="137" t="s">
        <v>85</v>
      </c>
      <c r="AY152" s="142" t="s">
        <v>211</v>
      </c>
    </row>
    <row r="153" spans="2:65" s="1" customFormat="1" ht="24.15" customHeight="1">
      <c r="B153" s="12"/>
      <c r="C153" s="71" t="s">
        <v>259</v>
      </c>
      <c r="D153" s="71" t="s">
        <v>214</v>
      </c>
      <c r="E153" s="72" t="s">
        <v>5886</v>
      </c>
      <c r="F153" s="73" t="s">
        <v>5562</v>
      </c>
      <c r="G153" s="74" t="s">
        <v>279</v>
      </c>
      <c r="H153" s="75">
        <v>833</v>
      </c>
      <c r="I153" s="145">
        <v>170</v>
      </c>
      <c r="J153" s="91">
        <f>ROUND(I153*H153,2)</f>
        <v>141610</v>
      </c>
      <c r="K153" s="92"/>
      <c r="L153" s="12"/>
      <c r="M153" s="93" t="s">
        <v>1</v>
      </c>
      <c r="N153" s="94" t="s">
        <v>42</v>
      </c>
      <c r="P153" s="95">
        <f>O153*H153</f>
        <v>0</v>
      </c>
      <c r="Q153" s="95">
        <v>0</v>
      </c>
      <c r="R153" s="95">
        <f>Q153*H153</f>
        <v>0</v>
      </c>
      <c r="S153" s="95">
        <v>0</v>
      </c>
      <c r="T153" s="99">
        <f>S153*H153</f>
        <v>0</v>
      </c>
      <c r="AR153" s="101" t="s">
        <v>218</v>
      </c>
      <c r="AT153" s="101" t="s">
        <v>214</v>
      </c>
      <c r="AU153" s="101" t="s">
        <v>87</v>
      </c>
      <c r="AY153" s="23" t="s">
        <v>211</v>
      </c>
      <c r="BE153" s="104">
        <f>IF(N153="základní",J153,0)</f>
        <v>141610</v>
      </c>
      <c r="BF153" s="104">
        <f>IF(N153="snížená",J153,0)</f>
        <v>0</v>
      </c>
      <c r="BG153" s="104">
        <f>IF(N153="zákl. přenesená",J153,0)</f>
        <v>0</v>
      </c>
      <c r="BH153" s="104">
        <f>IF(N153="sníž. přenesená",J153,0)</f>
        <v>0</v>
      </c>
      <c r="BI153" s="104">
        <f>IF(N153="nulová",J153,0)</f>
        <v>0</v>
      </c>
      <c r="BJ153" s="23" t="s">
        <v>85</v>
      </c>
      <c r="BK153" s="104">
        <f>ROUND(I153*H153,2)</f>
        <v>141610</v>
      </c>
      <c r="BL153" s="23" t="s">
        <v>218</v>
      </c>
      <c r="BM153" s="101" t="s">
        <v>465</v>
      </c>
    </row>
    <row r="154" spans="2:65" s="136" customFormat="1">
      <c r="B154" s="138"/>
      <c r="D154" s="105" t="s">
        <v>365</v>
      </c>
      <c r="E154" s="139" t="s">
        <v>1</v>
      </c>
      <c r="F154" s="140" t="s">
        <v>5887</v>
      </c>
      <c r="H154" s="139" t="s">
        <v>1</v>
      </c>
      <c r="I154" s="146"/>
      <c r="L154" s="138"/>
      <c r="M154" s="147"/>
      <c r="T154" s="150"/>
      <c r="AT154" s="139" t="s">
        <v>365</v>
      </c>
      <c r="AU154" s="139" t="s">
        <v>87</v>
      </c>
      <c r="AV154" s="136" t="s">
        <v>85</v>
      </c>
      <c r="AW154" s="136" t="s">
        <v>33</v>
      </c>
      <c r="AX154" s="136" t="s">
        <v>77</v>
      </c>
      <c r="AY154" s="139" t="s">
        <v>211</v>
      </c>
    </row>
    <row r="155" spans="2:65" s="113" customFormat="1">
      <c r="B155" s="119"/>
      <c r="D155" s="105" t="s">
        <v>365</v>
      </c>
      <c r="E155" s="135" t="s">
        <v>1</v>
      </c>
      <c r="F155" s="120" t="s">
        <v>5888</v>
      </c>
      <c r="H155" s="121">
        <v>63</v>
      </c>
      <c r="I155" s="128"/>
      <c r="L155" s="119"/>
      <c r="M155" s="129"/>
      <c r="T155" s="133"/>
      <c r="AT155" s="135" t="s">
        <v>365</v>
      </c>
      <c r="AU155" s="135" t="s">
        <v>87</v>
      </c>
      <c r="AV155" s="113" t="s">
        <v>87</v>
      </c>
      <c r="AW155" s="113" t="s">
        <v>33</v>
      </c>
      <c r="AX155" s="113" t="s">
        <v>77</v>
      </c>
      <c r="AY155" s="135" t="s">
        <v>211</v>
      </c>
    </row>
    <row r="156" spans="2:65" s="136" customFormat="1">
      <c r="B156" s="138"/>
      <c r="D156" s="105" t="s">
        <v>365</v>
      </c>
      <c r="E156" s="139" t="s">
        <v>1</v>
      </c>
      <c r="F156" s="140" t="s">
        <v>5882</v>
      </c>
      <c r="H156" s="139" t="s">
        <v>1</v>
      </c>
      <c r="I156" s="146"/>
      <c r="L156" s="138"/>
      <c r="M156" s="147"/>
      <c r="T156" s="150"/>
      <c r="AT156" s="139" t="s">
        <v>365</v>
      </c>
      <c r="AU156" s="139" t="s">
        <v>87</v>
      </c>
      <c r="AV156" s="136" t="s">
        <v>85</v>
      </c>
      <c r="AW156" s="136" t="s">
        <v>33</v>
      </c>
      <c r="AX156" s="136" t="s">
        <v>77</v>
      </c>
      <c r="AY156" s="139" t="s">
        <v>211</v>
      </c>
    </row>
    <row r="157" spans="2:65" s="113" customFormat="1">
      <c r="B157" s="119"/>
      <c r="D157" s="105" t="s">
        <v>365</v>
      </c>
      <c r="E157" s="135" t="s">
        <v>1</v>
      </c>
      <c r="F157" s="120" t="s">
        <v>5889</v>
      </c>
      <c r="H157" s="121">
        <v>625</v>
      </c>
      <c r="I157" s="128"/>
      <c r="L157" s="119"/>
      <c r="M157" s="129"/>
      <c r="T157" s="133"/>
      <c r="AT157" s="135" t="s">
        <v>365</v>
      </c>
      <c r="AU157" s="135" t="s">
        <v>87</v>
      </c>
      <c r="AV157" s="113" t="s">
        <v>87</v>
      </c>
      <c r="AW157" s="113" t="s">
        <v>33</v>
      </c>
      <c r="AX157" s="113" t="s">
        <v>77</v>
      </c>
      <c r="AY157" s="135" t="s">
        <v>211</v>
      </c>
    </row>
    <row r="158" spans="2:65" s="136" customFormat="1">
      <c r="B158" s="138"/>
      <c r="D158" s="105" t="s">
        <v>365</v>
      </c>
      <c r="E158" s="139" t="s">
        <v>1</v>
      </c>
      <c r="F158" s="140" t="s">
        <v>5890</v>
      </c>
      <c r="H158" s="139" t="s">
        <v>1</v>
      </c>
      <c r="I158" s="146"/>
      <c r="L158" s="138"/>
      <c r="M158" s="147"/>
      <c r="T158" s="150"/>
      <c r="AT158" s="139" t="s">
        <v>365</v>
      </c>
      <c r="AU158" s="139" t="s">
        <v>87</v>
      </c>
      <c r="AV158" s="136" t="s">
        <v>85</v>
      </c>
      <c r="AW158" s="136" t="s">
        <v>33</v>
      </c>
      <c r="AX158" s="136" t="s">
        <v>77</v>
      </c>
      <c r="AY158" s="139" t="s">
        <v>211</v>
      </c>
    </row>
    <row r="159" spans="2:65" s="113" customFormat="1">
      <c r="B159" s="119"/>
      <c r="D159" s="105" t="s">
        <v>365</v>
      </c>
      <c r="E159" s="135" t="s">
        <v>1</v>
      </c>
      <c r="F159" s="120" t="s">
        <v>5891</v>
      </c>
      <c r="H159" s="121">
        <v>145</v>
      </c>
      <c r="I159" s="128"/>
      <c r="L159" s="119"/>
      <c r="M159" s="129"/>
      <c r="T159" s="133"/>
      <c r="AT159" s="135" t="s">
        <v>365</v>
      </c>
      <c r="AU159" s="135" t="s">
        <v>87</v>
      </c>
      <c r="AV159" s="113" t="s">
        <v>87</v>
      </c>
      <c r="AW159" s="113" t="s">
        <v>33</v>
      </c>
      <c r="AX159" s="113" t="s">
        <v>77</v>
      </c>
      <c r="AY159" s="135" t="s">
        <v>211</v>
      </c>
    </row>
    <row r="160" spans="2:65" s="137" customFormat="1">
      <c r="B160" s="141"/>
      <c r="D160" s="105" t="s">
        <v>365</v>
      </c>
      <c r="E160" s="142" t="s">
        <v>1</v>
      </c>
      <c r="F160" s="143" t="s">
        <v>368</v>
      </c>
      <c r="H160" s="144">
        <v>833</v>
      </c>
      <c r="I160" s="148"/>
      <c r="L160" s="141"/>
      <c r="M160" s="149"/>
      <c r="T160" s="151"/>
      <c r="AT160" s="142" t="s">
        <v>365</v>
      </c>
      <c r="AU160" s="142" t="s">
        <v>87</v>
      </c>
      <c r="AV160" s="137" t="s">
        <v>218</v>
      </c>
      <c r="AW160" s="137" t="s">
        <v>33</v>
      </c>
      <c r="AX160" s="137" t="s">
        <v>85</v>
      </c>
      <c r="AY160" s="142" t="s">
        <v>211</v>
      </c>
    </row>
    <row r="161" spans="2:65" s="1" customFormat="1" ht="24.15" customHeight="1">
      <c r="B161" s="12"/>
      <c r="C161" s="71" t="s">
        <v>266</v>
      </c>
      <c r="D161" s="71" t="s">
        <v>214</v>
      </c>
      <c r="E161" s="72" t="s">
        <v>5892</v>
      </c>
      <c r="F161" s="73" t="s">
        <v>5893</v>
      </c>
      <c r="G161" s="74" t="s">
        <v>279</v>
      </c>
      <c r="H161" s="75">
        <v>75</v>
      </c>
      <c r="I161" s="145">
        <v>190</v>
      </c>
      <c r="J161" s="91">
        <f>ROUND(I161*H161,2)</f>
        <v>14250</v>
      </c>
      <c r="K161" s="92"/>
      <c r="L161" s="12"/>
      <c r="M161" s="93" t="s">
        <v>1</v>
      </c>
      <c r="N161" s="94" t="s">
        <v>42</v>
      </c>
      <c r="P161" s="95">
        <f>O161*H161</f>
        <v>0</v>
      </c>
      <c r="Q161" s="95">
        <v>0</v>
      </c>
      <c r="R161" s="95">
        <f>Q161*H161</f>
        <v>0</v>
      </c>
      <c r="S161" s="95">
        <v>0</v>
      </c>
      <c r="T161" s="99">
        <f>S161*H161</f>
        <v>0</v>
      </c>
      <c r="AR161" s="101" t="s">
        <v>218</v>
      </c>
      <c r="AT161" s="101" t="s">
        <v>214</v>
      </c>
      <c r="AU161" s="101" t="s">
        <v>87</v>
      </c>
      <c r="AY161" s="23" t="s">
        <v>211</v>
      </c>
      <c r="BE161" s="104">
        <f>IF(N161="základní",J161,0)</f>
        <v>14250</v>
      </c>
      <c r="BF161" s="104">
        <f>IF(N161="snížená",J161,0)</f>
        <v>0</v>
      </c>
      <c r="BG161" s="104">
        <f>IF(N161="zákl. přenesená",J161,0)</f>
        <v>0</v>
      </c>
      <c r="BH161" s="104">
        <f>IF(N161="sníž. přenesená",J161,0)</f>
        <v>0</v>
      </c>
      <c r="BI161" s="104">
        <f>IF(N161="nulová",J161,0)</f>
        <v>0</v>
      </c>
      <c r="BJ161" s="23" t="s">
        <v>85</v>
      </c>
      <c r="BK161" s="104">
        <f>ROUND(I161*H161,2)</f>
        <v>14250</v>
      </c>
      <c r="BL161" s="23" t="s">
        <v>218</v>
      </c>
      <c r="BM161" s="101" t="s">
        <v>475</v>
      </c>
    </row>
    <row r="162" spans="2:65" s="136" customFormat="1">
      <c r="B162" s="138"/>
      <c r="D162" s="105" t="s">
        <v>365</v>
      </c>
      <c r="E162" s="139" t="s">
        <v>1</v>
      </c>
      <c r="F162" s="140" t="s">
        <v>5894</v>
      </c>
      <c r="H162" s="139" t="s">
        <v>1</v>
      </c>
      <c r="I162" s="146"/>
      <c r="L162" s="138"/>
      <c r="M162" s="147"/>
      <c r="T162" s="150"/>
      <c r="AT162" s="139" t="s">
        <v>365</v>
      </c>
      <c r="AU162" s="139" t="s">
        <v>87</v>
      </c>
      <c r="AV162" s="136" t="s">
        <v>85</v>
      </c>
      <c r="AW162" s="136" t="s">
        <v>33</v>
      </c>
      <c r="AX162" s="136" t="s">
        <v>77</v>
      </c>
      <c r="AY162" s="139" t="s">
        <v>211</v>
      </c>
    </row>
    <row r="163" spans="2:65" s="113" customFormat="1">
      <c r="B163" s="119"/>
      <c r="D163" s="105" t="s">
        <v>365</v>
      </c>
      <c r="E163" s="135" t="s">
        <v>1</v>
      </c>
      <c r="F163" s="120" t="s">
        <v>5895</v>
      </c>
      <c r="H163" s="121">
        <v>75</v>
      </c>
      <c r="I163" s="128"/>
      <c r="L163" s="119"/>
      <c r="M163" s="129"/>
      <c r="T163" s="133"/>
      <c r="AT163" s="135" t="s">
        <v>365</v>
      </c>
      <c r="AU163" s="135" t="s">
        <v>87</v>
      </c>
      <c r="AV163" s="113" t="s">
        <v>87</v>
      </c>
      <c r="AW163" s="113" t="s">
        <v>33</v>
      </c>
      <c r="AX163" s="113" t="s">
        <v>77</v>
      </c>
      <c r="AY163" s="135" t="s">
        <v>211</v>
      </c>
    </row>
    <row r="164" spans="2:65" s="137" customFormat="1">
      <c r="B164" s="141"/>
      <c r="D164" s="105" t="s">
        <v>365</v>
      </c>
      <c r="E164" s="142" t="s">
        <v>1</v>
      </c>
      <c r="F164" s="143" t="s">
        <v>368</v>
      </c>
      <c r="H164" s="144">
        <v>75</v>
      </c>
      <c r="I164" s="148"/>
      <c r="L164" s="141"/>
      <c r="M164" s="149"/>
      <c r="T164" s="151"/>
      <c r="AT164" s="142" t="s">
        <v>365</v>
      </c>
      <c r="AU164" s="142" t="s">
        <v>87</v>
      </c>
      <c r="AV164" s="137" t="s">
        <v>218</v>
      </c>
      <c r="AW164" s="137" t="s">
        <v>33</v>
      </c>
      <c r="AX164" s="137" t="s">
        <v>85</v>
      </c>
      <c r="AY164" s="142" t="s">
        <v>211</v>
      </c>
    </row>
    <row r="165" spans="2:65" s="1" customFormat="1" ht="24.15" customHeight="1">
      <c r="B165" s="12"/>
      <c r="C165" s="71" t="s">
        <v>273</v>
      </c>
      <c r="D165" s="71" t="s">
        <v>214</v>
      </c>
      <c r="E165" s="72" t="s">
        <v>5896</v>
      </c>
      <c r="F165" s="73" t="s">
        <v>5897</v>
      </c>
      <c r="G165" s="74" t="s">
        <v>279</v>
      </c>
      <c r="H165" s="75">
        <v>17</v>
      </c>
      <c r="I165" s="145">
        <v>200</v>
      </c>
      <c r="J165" s="91">
        <f>ROUND(I165*H165,2)</f>
        <v>3400</v>
      </c>
      <c r="K165" s="92"/>
      <c r="L165" s="12"/>
      <c r="M165" s="93" t="s">
        <v>1</v>
      </c>
      <c r="N165" s="94" t="s">
        <v>42</v>
      </c>
      <c r="P165" s="95">
        <f>O165*H165</f>
        <v>0</v>
      </c>
      <c r="Q165" s="95">
        <v>0</v>
      </c>
      <c r="R165" s="95">
        <f>Q165*H165</f>
        <v>0</v>
      </c>
      <c r="S165" s="95">
        <v>0</v>
      </c>
      <c r="T165" s="99">
        <f>S165*H165</f>
        <v>0</v>
      </c>
      <c r="AR165" s="101" t="s">
        <v>218</v>
      </c>
      <c r="AT165" s="101" t="s">
        <v>214</v>
      </c>
      <c r="AU165" s="101" t="s">
        <v>87</v>
      </c>
      <c r="AY165" s="23" t="s">
        <v>211</v>
      </c>
      <c r="BE165" s="104">
        <f>IF(N165="základní",J165,0)</f>
        <v>3400</v>
      </c>
      <c r="BF165" s="104">
        <f>IF(N165="snížená",J165,0)</f>
        <v>0</v>
      </c>
      <c r="BG165" s="104">
        <f>IF(N165="zákl. přenesená",J165,0)</f>
        <v>0</v>
      </c>
      <c r="BH165" s="104">
        <f>IF(N165="sníž. přenesená",J165,0)</f>
        <v>0</v>
      </c>
      <c r="BI165" s="104">
        <f>IF(N165="nulová",J165,0)</f>
        <v>0</v>
      </c>
      <c r="BJ165" s="23" t="s">
        <v>85</v>
      </c>
      <c r="BK165" s="104">
        <f>ROUND(I165*H165,2)</f>
        <v>3400</v>
      </c>
      <c r="BL165" s="23" t="s">
        <v>218</v>
      </c>
      <c r="BM165" s="101" t="s">
        <v>486</v>
      </c>
    </row>
    <row r="166" spans="2:65" s="136" customFormat="1">
      <c r="B166" s="138"/>
      <c r="D166" s="105" t="s">
        <v>365</v>
      </c>
      <c r="E166" s="139" t="s">
        <v>1</v>
      </c>
      <c r="F166" s="140" t="s">
        <v>5882</v>
      </c>
      <c r="H166" s="139" t="s">
        <v>1</v>
      </c>
      <c r="I166" s="146"/>
      <c r="L166" s="138"/>
      <c r="M166" s="147"/>
      <c r="T166" s="150"/>
      <c r="AT166" s="139" t="s">
        <v>365</v>
      </c>
      <c r="AU166" s="139" t="s">
        <v>87</v>
      </c>
      <c r="AV166" s="136" t="s">
        <v>85</v>
      </c>
      <c r="AW166" s="136" t="s">
        <v>33</v>
      </c>
      <c r="AX166" s="136" t="s">
        <v>77</v>
      </c>
      <c r="AY166" s="139" t="s">
        <v>211</v>
      </c>
    </row>
    <row r="167" spans="2:65" s="113" customFormat="1">
      <c r="B167" s="119"/>
      <c r="D167" s="105" t="s">
        <v>365</v>
      </c>
      <c r="E167" s="135" t="s">
        <v>1</v>
      </c>
      <c r="F167" s="120" t="s">
        <v>5898</v>
      </c>
      <c r="H167" s="121">
        <v>17</v>
      </c>
      <c r="I167" s="128"/>
      <c r="L167" s="119"/>
      <c r="M167" s="129"/>
      <c r="T167" s="133"/>
      <c r="AT167" s="135" t="s">
        <v>365</v>
      </c>
      <c r="AU167" s="135" t="s">
        <v>87</v>
      </c>
      <c r="AV167" s="113" t="s">
        <v>87</v>
      </c>
      <c r="AW167" s="113" t="s">
        <v>33</v>
      </c>
      <c r="AX167" s="113" t="s">
        <v>77</v>
      </c>
      <c r="AY167" s="135" t="s">
        <v>211</v>
      </c>
    </row>
    <row r="168" spans="2:65" s="137" customFormat="1">
      <c r="B168" s="141"/>
      <c r="D168" s="105" t="s">
        <v>365</v>
      </c>
      <c r="E168" s="142" t="s">
        <v>1</v>
      </c>
      <c r="F168" s="143" t="s">
        <v>368</v>
      </c>
      <c r="H168" s="144">
        <v>17</v>
      </c>
      <c r="I168" s="148"/>
      <c r="L168" s="141"/>
      <c r="M168" s="149"/>
      <c r="T168" s="151"/>
      <c r="AT168" s="142" t="s">
        <v>365</v>
      </c>
      <c r="AU168" s="142" t="s">
        <v>87</v>
      </c>
      <c r="AV168" s="137" t="s">
        <v>218</v>
      </c>
      <c r="AW168" s="137" t="s">
        <v>33</v>
      </c>
      <c r="AX168" s="137" t="s">
        <v>85</v>
      </c>
      <c r="AY168" s="142" t="s">
        <v>211</v>
      </c>
    </row>
    <row r="169" spans="2:65" s="1" customFormat="1" ht="24.15" customHeight="1">
      <c r="B169" s="12"/>
      <c r="C169" s="71" t="s">
        <v>433</v>
      </c>
      <c r="D169" s="71" t="s">
        <v>214</v>
      </c>
      <c r="E169" s="72" t="s">
        <v>5896</v>
      </c>
      <c r="F169" s="73" t="s">
        <v>5897</v>
      </c>
      <c r="G169" s="74" t="s">
        <v>279</v>
      </c>
      <c r="H169" s="75">
        <v>75</v>
      </c>
      <c r="I169" s="145">
        <v>200</v>
      </c>
      <c r="J169" s="91">
        <f>ROUND(I169*H169,2)</f>
        <v>15000</v>
      </c>
      <c r="K169" s="92"/>
      <c r="L169" s="12"/>
      <c r="M169" s="93" t="s">
        <v>1</v>
      </c>
      <c r="N169" s="94" t="s">
        <v>42</v>
      </c>
      <c r="P169" s="95">
        <f>O169*H169</f>
        <v>0</v>
      </c>
      <c r="Q169" s="95">
        <v>0</v>
      </c>
      <c r="R169" s="95">
        <f>Q169*H169</f>
        <v>0</v>
      </c>
      <c r="S169" s="95">
        <v>0</v>
      </c>
      <c r="T169" s="99">
        <f>S169*H169</f>
        <v>0</v>
      </c>
      <c r="AR169" s="101" t="s">
        <v>218</v>
      </c>
      <c r="AT169" s="101" t="s">
        <v>214</v>
      </c>
      <c r="AU169" s="101" t="s">
        <v>87</v>
      </c>
      <c r="AY169" s="23" t="s">
        <v>211</v>
      </c>
      <c r="BE169" s="104">
        <f>IF(N169="základní",J169,0)</f>
        <v>15000</v>
      </c>
      <c r="BF169" s="104">
        <f>IF(N169="snížená",J169,0)</f>
        <v>0</v>
      </c>
      <c r="BG169" s="104">
        <f>IF(N169="zákl. přenesená",J169,0)</f>
        <v>0</v>
      </c>
      <c r="BH169" s="104">
        <f>IF(N169="sníž. přenesená",J169,0)</f>
        <v>0</v>
      </c>
      <c r="BI169" s="104">
        <f>IF(N169="nulová",J169,0)</f>
        <v>0</v>
      </c>
      <c r="BJ169" s="23" t="s">
        <v>85</v>
      </c>
      <c r="BK169" s="104">
        <f>ROUND(I169*H169,2)</f>
        <v>15000</v>
      </c>
      <c r="BL169" s="23" t="s">
        <v>218</v>
      </c>
      <c r="BM169" s="101" t="s">
        <v>496</v>
      </c>
    </row>
    <row r="170" spans="2:65" s="136" customFormat="1">
      <c r="B170" s="138"/>
      <c r="D170" s="105" t="s">
        <v>365</v>
      </c>
      <c r="E170" s="139" t="s">
        <v>1</v>
      </c>
      <c r="F170" s="140" t="s">
        <v>5894</v>
      </c>
      <c r="H170" s="139" t="s">
        <v>1</v>
      </c>
      <c r="I170" s="146"/>
      <c r="L170" s="138"/>
      <c r="M170" s="147"/>
      <c r="T170" s="150"/>
      <c r="AT170" s="139" t="s">
        <v>365</v>
      </c>
      <c r="AU170" s="139" t="s">
        <v>87</v>
      </c>
      <c r="AV170" s="136" t="s">
        <v>85</v>
      </c>
      <c r="AW170" s="136" t="s">
        <v>33</v>
      </c>
      <c r="AX170" s="136" t="s">
        <v>77</v>
      </c>
      <c r="AY170" s="139" t="s">
        <v>211</v>
      </c>
    </row>
    <row r="171" spans="2:65" s="113" customFormat="1">
      <c r="B171" s="119"/>
      <c r="D171" s="105" t="s">
        <v>365</v>
      </c>
      <c r="E171" s="135" t="s">
        <v>1</v>
      </c>
      <c r="F171" s="120" t="s">
        <v>5895</v>
      </c>
      <c r="H171" s="121">
        <v>75</v>
      </c>
      <c r="I171" s="128"/>
      <c r="L171" s="119"/>
      <c r="M171" s="129"/>
      <c r="T171" s="133"/>
      <c r="AT171" s="135" t="s">
        <v>365</v>
      </c>
      <c r="AU171" s="135" t="s">
        <v>87</v>
      </c>
      <c r="AV171" s="113" t="s">
        <v>87</v>
      </c>
      <c r="AW171" s="113" t="s">
        <v>33</v>
      </c>
      <c r="AX171" s="113" t="s">
        <v>77</v>
      </c>
      <c r="AY171" s="135" t="s">
        <v>211</v>
      </c>
    </row>
    <row r="172" spans="2:65" s="137" customFormat="1">
      <c r="B172" s="141"/>
      <c r="D172" s="105" t="s">
        <v>365</v>
      </c>
      <c r="E172" s="142" t="s">
        <v>1</v>
      </c>
      <c r="F172" s="143" t="s">
        <v>368</v>
      </c>
      <c r="H172" s="144">
        <v>75</v>
      </c>
      <c r="I172" s="148"/>
      <c r="L172" s="141"/>
      <c r="M172" s="149"/>
      <c r="T172" s="151"/>
      <c r="AT172" s="142" t="s">
        <v>365</v>
      </c>
      <c r="AU172" s="142" t="s">
        <v>87</v>
      </c>
      <c r="AV172" s="137" t="s">
        <v>218</v>
      </c>
      <c r="AW172" s="137" t="s">
        <v>33</v>
      </c>
      <c r="AX172" s="137" t="s">
        <v>85</v>
      </c>
      <c r="AY172" s="142" t="s">
        <v>211</v>
      </c>
    </row>
    <row r="173" spans="2:65" s="1" customFormat="1" ht="24.15" customHeight="1">
      <c r="B173" s="12"/>
      <c r="C173" s="71" t="s">
        <v>437</v>
      </c>
      <c r="D173" s="71" t="s">
        <v>214</v>
      </c>
      <c r="E173" s="72" t="s">
        <v>5899</v>
      </c>
      <c r="F173" s="73" t="s">
        <v>5900</v>
      </c>
      <c r="G173" s="74" t="s">
        <v>279</v>
      </c>
      <c r="H173" s="75">
        <v>276</v>
      </c>
      <c r="I173" s="145">
        <v>222</v>
      </c>
      <c r="J173" s="91">
        <f>ROUND(I173*H173,2)</f>
        <v>61272</v>
      </c>
      <c r="K173" s="92"/>
      <c r="L173" s="12"/>
      <c r="M173" s="93" t="s">
        <v>1</v>
      </c>
      <c r="N173" s="94" t="s">
        <v>42</v>
      </c>
      <c r="P173" s="95">
        <f>O173*H173</f>
        <v>0</v>
      </c>
      <c r="Q173" s="95">
        <v>0</v>
      </c>
      <c r="R173" s="95">
        <f>Q173*H173</f>
        <v>0</v>
      </c>
      <c r="S173" s="95">
        <v>0</v>
      </c>
      <c r="T173" s="99">
        <f>S173*H173</f>
        <v>0</v>
      </c>
      <c r="AR173" s="101" t="s">
        <v>218</v>
      </c>
      <c r="AT173" s="101" t="s">
        <v>214</v>
      </c>
      <c r="AU173" s="101" t="s">
        <v>87</v>
      </c>
      <c r="AY173" s="23" t="s">
        <v>211</v>
      </c>
      <c r="BE173" s="104">
        <f>IF(N173="základní",J173,0)</f>
        <v>61272</v>
      </c>
      <c r="BF173" s="104">
        <f>IF(N173="snížená",J173,0)</f>
        <v>0</v>
      </c>
      <c r="BG173" s="104">
        <f>IF(N173="zákl. přenesená",J173,0)</f>
        <v>0</v>
      </c>
      <c r="BH173" s="104">
        <f>IF(N173="sníž. přenesená",J173,0)</f>
        <v>0</v>
      </c>
      <c r="BI173" s="104">
        <f>IF(N173="nulová",J173,0)</f>
        <v>0</v>
      </c>
      <c r="BJ173" s="23" t="s">
        <v>85</v>
      </c>
      <c r="BK173" s="104">
        <f>ROUND(I173*H173,2)</f>
        <v>61272</v>
      </c>
      <c r="BL173" s="23" t="s">
        <v>218</v>
      </c>
      <c r="BM173" s="101" t="s">
        <v>507</v>
      </c>
    </row>
    <row r="174" spans="2:65" s="136" customFormat="1">
      <c r="B174" s="138"/>
      <c r="D174" s="105" t="s">
        <v>365</v>
      </c>
      <c r="E174" s="139" t="s">
        <v>1</v>
      </c>
      <c r="F174" s="140" t="s">
        <v>5882</v>
      </c>
      <c r="H174" s="139" t="s">
        <v>1</v>
      </c>
      <c r="I174" s="146"/>
      <c r="L174" s="138"/>
      <c r="M174" s="147"/>
      <c r="T174" s="150"/>
      <c r="AT174" s="139" t="s">
        <v>365</v>
      </c>
      <c r="AU174" s="139" t="s">
        <v>87</v>
      </c>
      <c r="AV174" s="136" t="s">
        <v>85</v>
      </c>
      <c r="AW174" s="136" t="s">
        <v>33</v>
      </c>
      <c r="AX174" s="136" t="s">
        <v>77</v>
      </c>
      <c r="AY174" s="139" t="s">
        <v>211</v>
      </c>
    </row>
    <row r="175" spans="2:65" s="113" customFormat="1">
      <c r="B175" s="119"/>
      <c r="D175" s="105" t="s">
        <v>365</v>
      </c>
      <c r="E175" s="135" t="s">
        <v>1</v>
      </c>
      <c r="F175" s="120" t="s">
        <v>5883</v>
      </c>
      <c r="H175" s="121">
        <v>252</v>
      </c>
      <c r="I175" s="128"/>
      <c r="L175" s="119"/>
      <c r="M175" s="129"/>
      <c r="T175" s="133"/>
      <c r="AT175" s="135" t="s">
        <v>365</v>
      </c>
      <c r="AU175" s="135" t="s">
        <v>87</v>
      </c>
      <c r="AV175" s="113" t="s">
        <v>87</v>
      </c>
      <c r="AW175" s="113" t="s">
        <v>33</v>
      </c>
      <c r="AX175" s="113" t="s">
        <v>77</v>
      </c>
      <c r="AY175" s="135" t="s">
        <v>211</v>
      </c>
    </row>
    <row r="176" spans="2:65" s="136" customFormat="1">
      <c r="B176" s="138"/>
      <c r="D176" s="105" t="s">
        <v>365</v>
      </c>
      <c r="E176" s="139" t="s">
        <v>1</v>
      </c>
      <c r="F176" s="140" t="s">
        <v>5901</v>
      </c>
      <c r="H176" s="139" t="s">
        <v>1</v>
      </c>
      <c r="I176" s="146"/>
      <c r="L176" s="138"/>
      <c r="M176" s="147"/>
      <c r="T176" s="150"/>
      <c r="AT176" s="139" t="s">
        <v>365</v>
      </c>
      <c r="AU176" s="139" t="s">
        <v>87</v>
      </c>
      <c r="AV176" s="136" t="s">
        <v>85</v>
      </c>
      <c r="AW176" s="136" t="s">
        <v>33</v>
      </c>
      <c r="AX176" s="136" t="s">
        <v>77</v>
      </c>
      <c r="AY176" s="139" t="s">
        <v>211</v>
      </c>
    </row>
    <row r="177" spans="2:65" s="113" customFormat="1">
      <c r="B177" s="119"/>
      <c r="D177" s="105" t="s">
        <v>365</v>
      </c>
      <c r="E177" s="135" t="s">
        <v>1</v>
      </c>
      <c r="F177" s="120" t="s">
        <v>5902</v>
      </c>
      <c r="H177" s="121">
        <v>24</v>
      </c>
      <c r="I177" s="128"/>
      <c r="L177" s="119"/>
      <c r="M177" s="129"/>
      <c r="T177" s="133"/>
      <c r="AT177" s="135" t="s">
        <v>365</v>
      </c>
      <c r="AU177" s="135" t="s">
        <v>87</v>
      </c>
      <c r="AV177" s="113" t="s">
        <v>87</v>
      </c>
      <c r="AW177" s="113" t="s">
        <v>33</v>
      </c>
      <c r="AX177" s="113" t="s">
        <v>77</v>
      </c>
      <c r="AY177" s="135" t="s">
        <v>211</v>
      </c>
    </row>
    <row r="178" spans="2:65" s="137" customFormat="1">
      <c r="B178" s="141"/>
      <c r="D178" s="105" t="s">
        <v>365</v>
      </c>
      <c r="E178" s="142" t="s">
        <v>1</v>
      </c>
      <c r="F178" s="143" t="s">
        <v>368</v>
      </c>
      <c r="H178" s="144">
        <v>276</v>
      </c>
      <c r="I178" s="148"/>
      <c r="L178" s="141"/>
      <c r="M178" s="149"/>
      <c r="T178" s="151"/>
      <c r="AT178" s="142" t="s">
        <v>365</v>
      </c>
      <c r="AU178" s="142" t="s">
        <v>87</v>
      </c>
      <c r="AV178" s="137" t="s">
        <v>218</v>
      </c>
      <c r="AW178" s="137" t="s">
        <v>33</v>
      </c>
      <c r="AX178" s="137" t="s">
        <v>85</v>
      </c>
      <c r="AY178" s="142" t="s">
        <v>211</v>
      </c>
    </row>
    <row r="179" spans="2:65" s="1" customFormat="1" ht="24.15" customHeight="1">
      <c r="B179" s="12"/>
      <c r="C179" s="71" t="s">
        <v>8</v>
      </c>
      <c r="D179" s="71" t="s">
        <v>214</v>
      </c>
      <c r="E179" s="72" t="s">
        <v>5903</v>
      </c>
      <c r="F179" s="73" t="s">
        <v>5904</v>
      </c>
      <c r="G179" s="74" t="s">
        <v>279</v>
      </c>
      <c r="H179" s="75">
        <v>120</v>
      </c>
      <c r="I179" s="145">
        <v>273</v>
      </c>
      <c r="J179" s="91">
        <f>ROUND(I179*H179,2)</f>
        <v>32760</v>
      </c>
      <c r="K179" s="92"/>
      <c r="L179" s="12"/>
      <c r="M179" s="93" t="s">
        <v>1</v>
      </c>
      <c r="N179" s="94" t="s">
        <v>42</v>
      </c>
      <c r="P179" s="95">
        <f>O179*H179</f>
        <v>0</v>
      </c>
      <c r="Q179" s="95">
        <v>0</v>
      </c>
      <c r="R179" s="95">
        <f>Q179*H179</f>
        <v>0</v>
      </c>
      <c r="S179" s="95">
        <v>0</v>
      </c>
      <c r="T179" s="99">
        <f>S179*H179</f>
        <v>0</v>
      </c>
      <c r="AR179" s="101" t="s">
        <v>218</v>
      </c>
      <c r="AT179" s="101" t="s">
        <v>214</v>
      </c>
      <c r="AU179" s="101" t="s">
        <v>87</v>
      </c>
      <c r="AY179" s="23" t="s">
        <v>211</v>
      </c>
      <c r="BE179" s="104">
        <f>IF(N179="základní",J179,0)</f>
        <v>32760</v>
      </c>
      <c r="BF179" s="104">
        <f>IF(N179="snížená",J179,0)</f>
        <v>0</v>
      </c>
      <c r="BG179" s="104">
        <f>IF(N179="zákl. přenesená",J179,0)</f>
        <v>0</v>
      </c>
      <c r="BH179" s="104">
        <f>IF(N179="sníž. přenesená",J179,0)</f>
        <v>0</v>
      </c>
      <c r="BI179" s="104">
        <f>IF(N179="nulová",J179,0)</f>
        <v>0</v>
      </c>
      <c r="BJ179" s="23" t="s">
        <v>85</v>
      </c>
      <c r="BK179" s="104">
        <f>ROUND(I179*H179,2)</f>
        <v>32760</v>
      </c>
      <c r="BL179" s="23" t="s">
        <v>218</v>
      </c>
      <c r="BM179" s="101" t="s">
        <v>517</v>
      </c>
    </row>
    <row r="180" spans="2:65" s="136" customFormat="1">
      <c r="B180" s="138"/>
      <c r="D180" s="105" t="s">
        <v>365</v>
      </c>
      <c r="E180" s="139" t="s">
        <v>1</v>
      </c>
      <c r="F180" s="140" t="s">
        <v>5884</v>
      </c>
      <c r="H180" s="139" t="s">
        <v>1</v>
      </c>
      <c r="I180" s="146"/>
      <c r="L180" s="138"/>
      <c r="M180" s="147"/>
      <c r="T180" s="150"/>
      <c r="AT180" s="139" t="s">
        <v>365</v>
      </c>
      <c r="AU180" s="139" t="s">
        <v>87</v>
      </c>
      <c r="AV180" s="136" t="s">
        <v>85</v>
      </c>
      <c r="AW180" s="136" t="s">
        <v>33</v>
      </c>
      <c r="AX180" s="136" t="s">
        <v>77</v>
      </c>
      <c r="AY180" s="139" t="s">
        <v>211</v>
      </c>
    </row>
    <row r="181" spans="2:65" s="113" customFormat="1">
      <c r="B181" s="119"/>
      <c r="D181" s="105" t="s">
        <v>365</v>
      </c>
      <c r="E181" s="135" t="s">
        <v>1</v>
      </c>
      <c r="F181" s="120" t="s">
        <v>5885</v>
      </c>
      <c r="H181" s="121">
        <v>120</v>
      </c>
      <c r="I181" s="128"/>
      <c r="L181" s="119"/>
      <c r="M181" s="129"/>
      <c r="T181" s="133"/>
      <c r="AT181" s="135" t="s">
        <v>365</v>
      </c>
      <c r="AU181" s="135" t="s">
        <v>87</v>
      </c>
      <c r="AV181" s="113" t="s">
        <v>87</v>
      </c>
      <c r="AW181" s="113" t="s">
        <v>33</v>
      </c>
      <c r="AX181" s="113" t="s">
        <v>77</v>
      </c>
      <c r="AY181" s="135" t="s">
        <v>211</v>
      </c>
    </row>
    <row r="182" spans="2:65" s="137" customFormat="1">
      <c r="B182" s="141"/>
      <c r="D182" s="105" t="s">
        <v>365</v>
      </c>
      <c r="E182" s="142" t="s">
        <v>1</v>
      </c>
      <c r="F182" s="143" t="s">
        <v>368</v>
      </c>
      <c r="H182" s="144">
        <v>120</v>
      </c>
      <c r="I182" s="148"/>
      <c r="L182" s="141"/>
      <c r="M182" s="149"/>
      <c r="T182" s="151"/>
      <c r="AT182" s="142" t="s">
        <v>365</v>
      </c>
      <c r="AU182" s="142" t="s">
        <v>87</v>
      </c>
      <c r="AV182" s="137" t="s">
        <v>218</v>
      </c>
      <c r="AW182" s="137" t="s">
        <v>33</v>
      </c>
      <c r="AX182" s="137" t="s">
        <v>85</v>
      </c>
      <c r="AY182" s="142" t="s">
        <v>211</v>
      </c>
    </row>
    <row r="183" spans="2:65" s="1" customFormat="1" ht="24.15" customHeight="1">
      <c r="B183" s="12"/>
      <c r="C183" s="71" t="s">
        <v>446</v>
      </c>
      <c r="D183" s="71" t="s">
        <v>214</v>
      </c>
      <c r="E183" s="72" t="s">
        <v>5905</v>
      </c>
      <c r="F183" s="73" t="s">
        <v>5906</v>
      </c>
      <c r="G183" s="74" t="s">
        <v>279</v>
      </c>
      <c r="H183" s="75">
        <v>381.2</v>
      </c>
      <c r="I183" s="145">
        <v>330</v>
      </c>
      <c r="J183" s="91">
        <f>ROUND(I183*H183,2)</f>
        <v>125796</v>
      </c>
      <c r="K183" s="92"/>
      <c r="L183" s="12"/>
      <c r="M183" s="93" t="s">
        <v>1</v>
      </c>
      <c r="N183" s="94" t="s">
        <v>42</v>
      </c>
      <c r="P183" s="95">
        <f>O183*H183</f>
        <v>0</v>
      </c>
      <c r="Q183" s="95">
        <v>0</v>
      </c>
      <c r="R183" s="95">
        <f>Q183*H183</f>
        <v>0</v>
      </c>
      <c r="S183" s="95">
        <v>0</v>
      </c>
      <c r="T183" s="99">
        <f>S183*H183</f>
        <v>0</v>
      </c>
      <c r="AR183" s="101" t="s">
        <v>218</v>
      </c>
      <c r="AT183" s="101" t="s">
        <v>214</v>
      </c>
      <c r="AU183" s="101" t="s">
        <v>87</v>
      </c>
      <c r="AY183" s="23" t="s">
        <v>211</v>
      </c>
      <c r="BE183" s="104">
        <f>IF(N183="základní",J183,0)</f>
        <v>125796</v>
      </c>
      <c r="BF183" s="104">
        <f>IF(N183="snížená",J183,0)</f>
        <v>0</v>
      </c>
      <c r="BG183" s="104">
        <f>IF(N183="zákl. přenesená",J183,0)</f>
        <v>0</v>
      </c>
      <c r="BH183" s="104">
        <f>IF(N183="sníž. přenesená",J183,0)</f>
        <v>0</v>
      </c>
      <c r="BI183" s="104">
        <f>IF(N183="nulová",J183,0)</f>
        <v>0</v>
      </c>
      <c r="BJ183" s="23" t="s">
        <v>85</v>
      </c>
      <c r="BK183" s="104">
        <f>ROUND(I183*H183,2)</f>
        <v>125796</v>
      </c>
      <c r="BL183" s="23" t="s">
        <v>218</v>
      </c>
      <c r="BM183" s="101" t="s">
        <v>527</v>
      </c>
    </row>
    <row r="184" spans="2:65" s="136" customFormat="1">
      <c r="B184" s="138"/>
      <c r="D184" s="105" t="s">
        <v>365</v>
      </c>
      <c r="E184" s="139" t="s">
        <v>1</v>
      </c>
      <c r="F184" s="140" t="s">
        <v>5907</v>
      </c>
      <c r="H184" s="139" t="s">
        <v>1</v>
      </c>
      <c r="I184" s="146"/>
      <c r="L184" s="138"/>
      <c r="M184" s="147"/>
      <c r="T184" s="150"/>
      <c r="AT184" s="139" t="s">
        <v>365</v>
      </c>
      <c r="AU184" s="139" t="s">
        <v>87</v>
      </c>
      <c r="AV184" s="136" t="s">
        <v>85</v>
      </c>
      <c r="AW184" s="136" t="s">
        <v>33</v>
      </c>
      <c r="AX184" s="136" t="s">
        <v>77</v>
      </c>
      <c r="AY184" s="139" t="s">
        <v>211</v>
      </c>
    </row>
    <row r="185" spans="2:65" s="113" customFormat="1">
      <c r="B185" s="119"/>
      <c r="D185" s="105" t="s">
        <v>365</v>
      </c>
      <c r="E185" s="135" t="s">
        <v>1</v>
      </c>
      <c r="F185" s="120" t="s">
        <v>5908</v>
      </c>
      <c r="H185" s="121">
        <v>381.2</v>
      </c>
      <c r="I185" s="128"/>
      <c r="L185" s="119"/>
      <c r="M185" s="129"/>
      <c r="T185" s="133"/>
      <c r="AT185" s="135" t="s">
        <v>365</v>
      </c>
      <c r="AU185" s="135" t="s">
        <v>87</v>
      </c>
      <c r="AV185" s="113" t="s">
        <v>87</v>
      </c>
      <c r="AW185" s="113" t="s">
        <v>33</v>
      </c>
      <c r="AX185" s="113" t="s">
        <v>77</v>
      </c>
      <c r="AY185" s="135" t="s">
        <v>211</v>
      </c>
    </row>
    <row r="186" spans="2:65" s="137" customFormat="1">
      <c r="B186" s="141"/>
      <c r="D186" s="105" t="s">
        <v>365</v>
      </c>
      <c r="E186" s="142" t="s">
        <v>1</v>
      </c>
      <c r="F186" s="143" t="s">
        <v>368</v>
      </c>
      <c r="H186" s="144">
        <v>381.2</v>
      </c>
      <c r="I186" s="148"/>
      <c r="L186" s="141"/>
      <c r="M186" s="149"/>
      <c r="T186" s="151"/>
      <c r="AT186" s="142" t="s">
        <v>365</v>
      </c>
      <c r="AU186" s="142" t="s">
        <v>87</v>
      </c>
      <c r="AV186" s="137" t="s">
        <v>218</v>
      </c>
      <c r="AW186" s="137" t="s">
        <v>33</v>
      </c>
      <c r="AX186" s="137" t="s">
        <v>85</v>
      </c>
      <c r="AY186" s="142" t="s">
        <v>211</v>
      </c>
    </row>
    <row r="187" spans="2:65" s="1" customFormat="1" ht="38.1" customHeight="1">
      <c r="B187" s="12"/>
      <c r="C187" s="71" t="s">
        <v>450</v>
      </c>
      <c r="D187" s="71" t="s">
        <v>214</v>
      </c>
      <c r="E187" s="72" t="s">
        <v>5909</v>
      </c>
      <c r="F187" s="73" t="s">
        <v>5910</v>
      </c>
      <c r="G187" s="74" t="s">
        <v>279</v>
      </c>
      <c r="H187" s="75">
        <v>145</v>
      </c>
      <c r="I187" s="145">
        <v>250</v>
      </c>
      <c r="J187" s="91">
        <f>ROUND(I187*H187,2)</f>
        <v>36250</v>
      </c>
      <c r="K187" s="92"/>
      <c r="L187" s="12"/>
      <c r="M187" s="93" t="s">
        <v>1</v>
      </c>
      <c r="N187" s="94" t="s">
        <v>42</v>
      </c>
      <c r="P187" s="95">
        <f>O187*H187</f>
        <v>0</v>
      </c>
      <c r="Q187" s="95">
        <v>0</v>
      </c>
      <c r="R187" s="95">
        <f>Q187*H187</f>
        <v>0</v>
      </c>
      <c r="S187" s="95">
        <v>0</v>
      </c>
      <c r="T187" s="99">
        <f>S187*H187</f>
        <v>0</v>
      </c>
      <c r="AR187" s="101" t="s">
        <v>218</v>
      </c>
      <c r="AT187" s="101" t="s">
        <v>214</v>
      </c>
      <c r="AU187" s="101" t="s">
        <v>87</v>
      </c>
      <c r="AY187" s="23" t="s">
        <v>211</v>
      </c>
      <c r="BE187" s="104">
        <f>IF(N187="základní",J187,0)</f>
        <v>36250</v>
      </c>
      <c r="BF187" s="104">
        <f>IF(N187="snížená",J187,0)</f>
        <v>0</v>
      </c>
      <c r="BG187" s="104">
        <f>IF(N187="zákl. přenesená",J187,0)</f>
        <v>0</v>
      </c>
      <c r="BH187" s="104">
        <f>IF(N187="sníž. přenesená",J187,0)</f>
        <v>0</v>
      </c>
      <c r="BI187" s="104">
        <f>IF(N187="nulová",J187,0)</f>
        <v>0</v>
      </c>
      <c r="BJ187" s="23" t="s">
        <v>85</v>
      </c>
      <c r="BK187" s="104">
        <f>ROUND(I187*H187,2)</f>
        <v>36250</v>
      </c>
      <c r="BL187" s="23" t="s">
        <v>218</v>
      </c>
      <c r="BM187" s="101" t="s">
        <v>537</v>
      </c>
    </row>
    <row r="188" spans="2:65" s="136" customFormat="1">
      <c r="B188" s="138"/>
      <c r="D188" s="105" t="s">
        <v>365</v>
      </c>
      <c r="E188" s="139" t="s">
        <v>1</v>
      </c>
      <c r="F188" s="140" t="s">
        <v>5890</v>
      </c>
      <c r="H188" s="139" t="s">
        <v>1</v>
      </c>
      <c r="I188" s="146"/>
      <c r="L188" s="138"/>
      <c r="M188" s="147"/>
      <c r="T188" s="150"/>
      <c r="AT188" s="139" t="s">
        <v>365</v>
      </c>
      <c r="AU188" s="139" t="s">
        <v>87</v>
      </c>
      <c r="AV188" s="136" t="s">
        <v>85</v>
      </c>
      <c r="AW188" s="136" t="s">
        <v>33</v>
      </c>
      <c r="AX188" s="136" t="s">
        <v>77</v>
      </c>
      <c r="AY188" s="139" t="s">
        <v>211</v>
      </c>
    </row>
    <row r="189" spans="2:65" s="113" customFormat="1">
      <c r="B189" s="119"/>
      <c r="D189" s="105" t="s">
        <v>365</v>
      </c>
      <c r="E189" s="135" t="s">
        <v>1</v>
      </c>
      <c r="F189" s="120" t="s">
        <v>5891</v>
      </c>
      <c r="H189" s="121">
        <v>145</v>
      </c>
      <c r="I189" s="128"/>
      <c r="L189" s="119"/>
      <c r="M189" s="129"/>
      <c r="T189" s="133"/>
      <c r="AT189" s="135" t="s">
        <v>365</v>
      </c>
      <c r="AU189" s="135" t="s">
        <v>87</v>
      </c>
      <c r="AV189" s="113" t="s">
        <v>87</v>
      </c>
      <c r="AW189" s="113" t="s">
        <v>33</v>
      </c>
      <c r="AX189" s="113" t="s">
        <v>77</v>
      </c>
      <c r="AY189" s="135" t="s">
        <v>211</v>
      </c>
    </row>
    <row r="190" spans="2:65" s="137" customFormat="1">
      <c r="B190" s="141"/>
      <c r="D190" s="105" t="s">
        <v>365</v>
      </c>
      <c r="E190" s="142" t="s">
        <v>1</v>
      </c>
      <c r="F190" s="143" t="s">
        <v>368</v>
      </c>
      <c r="H190" s="144">
        <v>145</v>
      </c>
      <c r="I190" s="148"/>
      <c r="L190" s="141"/>
      <c r="M190" s="149"/>
      <c r="T190" s="151"/>
      <c r="AT190" s="142" t="s">
        <v>365</v>
      </c>
      <c r="AU190" s="142" t="s">
        <v>87</v>
      </c>
      <c r="AV190" s="137" t="s">
        <v>218</v>
      </c>
      <c r="AW190" s="137" t="s">
        <v>33</v>
      </c>
      <c r="AX190" s="137" t="s">
        <v>85</v>
      </c>
      <c r="AY190" s="142" t="s">
        <v>211</v>
      </c>
    </row>
    <row r="191" spans="2:65" s="1" customFormat="1" ht="38.1" customHeight="1">
      <c r="B191" s="12"/>
      <c r="C191" s="71" t="s">
        <v>454</v>
      </c>
      <c r="D191" s="71" t="s">
        <v>214</v>
      </c>
      <c r="E191" s="72" t="s">
        <v>5911</v>
      </c>
      <c r="F191" s="73" t="s">
        <v>5912</v>
      </c>
      <c r="G191" s="74" t="s">
        <v>279</v>
      </c>
      <c r="H191" s="75">
        <v>24</v>
      </c>
      <c r="I191" s="145">
        <v>434</v>
      </c>
      <c r="J191" s="91">
        <f>ROUND(I191*H191,2)</f>
        <v>10416</v>
      </c>
      <c r="K191" s="92"/>
      <c r="L191" s="12"/>
      <c r="M191" s="93" t="s">
        <v>1</v>
      </c>
      <c r="N191" s="94" t="s">
        <v>42</v>
      </c>
      <c r="P191" s="95">
        <f>O191*H191</f>
        <v>0</v>
      </c>
      <c r="Q191" s="95">
        <v>0</v>
      </c>
      <c r="R191" s="95">
        <f>Q191*H191</f>
        <v>0</v>
      </c>
      <c r="S191" s="95">
        <v>0</v>
      </c>
      <c r="T191" s="99">
        <f>S191*H191</f>
        <v>0</v>
      </c>
      <c r="AR191" s="101" t="s">
        <v>218</v>
      </c>
      <c r="AT191" s="101" t="s">
        <v>214</v>
      </c>
      <c r="AU191" s="101" t="s">
        <v>87</v>
      </c>
      <c r="AY191" s="23" t="s">
        <v>211</v>
      </c>
      <c r="BE191" s="104">
        <f>IF(N191="základní",J191,0)</f>
        <v>10416</v>
      </c>
      <c r="BF191" s="104">
        <f>IF(N191="snížená",J191,0)</f>
        <v>0</v>
      </c>
      <c r="BG191" s="104">
        <f>IF(N191="zákl. přenesená",J191,0)</f>
        <v>0</v>
      </c>
      <c r="BH191" s="104">
        <f>IF(N191="sníž. přenesená",J191,0)</f>
        <v>0</v>
      </c>
      <c r="BI191" s="104">
        <f>IF(N191="nulová",J191,0)</f>
        <v>0</v>
      </c>
      <c r="BJ191" s="23" t="s">
        <v>85</v>
      </c>
      <c r="BK191" s="104">
        <f>ROUND(I191*H191,2)</f>
        <v>10416</v>
      </c>
      <c r="BL191" s="23" t="s">
        <v>218</v>
      </c>
      <c r="BM191" s="101" t="s">
        <v>551</v>
      </c>
    </row>
    <row r="192" spans="2:65" s="136" customFormat="1">
      <c r="B192" s="138"/>
      <c r="D192" s="105" t="s">
        <v>365</v>
      </c>
      <c r="E192" s="139" t="s">
        <v>1</v>
      </c>
      <c r="F192" s="140" t="s">
        <v>5901</v>
      </c>
      <c r="H192" s="139" t="s">
        <v>1</v>
      </c>
      <c r="I192" s="146"/>
      <c r="L192" s="138"/>
      <c r="M192" s="147"/>
      <c r="T192" s="150"/>
      <c r="AT192" s="139" t="s">
        <v>365</v>
      </c>
      <c r="AU192" s="139" t="s">
        <v>87</v>
      </c>
      <c r="AV192" s="136" t="s">
        <v>85</v>
      </c>
      <c r="AW192" s="136" t="s">
        <v>33</v>
      </c>
      <c r="AX192" s="136" t="s">
        <v>77</v>
      </c>
      <c r="AY192" s="139" t="s">
        <v>211</v>
      </c>
    </row>
    <row r="193" spans="2:65" s="113" customFormat="1">
      <c r="B193" s="119"/>
      <c r="D193" s="105" t="s">
        <v>365</v>
      </c>
      <c r="E193" s="135" t="s">
        <v>1</v>
      </c>
      <c r="F193" s="120" t="s">
        <v>5902</v>
      </c>
      <c r="H193" s="121">
        <v>24</v>
      </c>
      <c r="I193" s="128"/>
      <c r="L193" s="119"/>
      <c r="M193" s="129"/>
      <c r="T193" s="133"/>
      <c r="AT193" s="135" t="s">
        <v>365</v>
      </c>
      <c r="AU193" s="135" t="s">
        <v>87</v>
      </c>
      <c r="AV193" s="113" t="s">
        <v>87</v>
      </c>
      <c r="AW193" s="113" t="s">
        <v>33</v>
      </c>
      <c r="AX193" s="113" t="s">
        <v>77</v>
      </c>
      <c r="AY193" s="135" t="s">
        <v>211</v>
      </c>
    </row>
    <row r="194" spans="2:65" s="137" customFormat="1">
      <c r="B194" s="141"/>
      <c r="D194" s="105" t="s">
        <v>365</v>
      </c>
      <c r="E194" s="142" t="s">
        <v>1</v>
      </c>
      <c r="F194" s="143" t="s">
        <v>368</v>
      </c>
      <c r="H194" s="144">
        <v>24</v>
      </c>
      <c r="I194" s="148"/>
      <c r="L194" s="141"/>
      <c r="M194" s="149"/>
      <c r="T194" s="151"/>
      <c r="AT194" s="142" t="s">
        <v>365</v>
      </c>
      <c r="AU194" s="142" t="s">
        <v>87</v>
      </c>
      <c r="AV194" s="137" t="s">
        <v>218</v>
      </c>
      <c r="AW194" s="137" t="s">
        <v>33</v>
      </c>
      <c r="AX194" s="137" t="s">
        <v>85</v>
      </c>
      <c r="AY194" s="142" t="s">
        <v>211</v>
      </c>
    </row>
    <row r="195" spans="2:65" s="1" customFormat="1" ht="24.15" customHeight="1">
      <c r="B195" s="12"/>
      <c r="C195" s="71" t="s">
        <v>459</v>
      </c>
      <c r="D195" s="71" t="s">
        <v>214</v>
      </c>
      <c r="E195" s="72" t="s">
        <v>5913</v>
      </c>
      <c r="F195" s="73" t="s">
        <v>5566</v>
      </c>
      <c r="G195" s="74" t="s">
        <v>279</v>
      </c>
      <c r="H195" s="75">
        <v>63</v>
      </c>
      <c r="I195" s="145">
        <v>20</v>
      </c>
      <c r="J195" s="91">
        <f>ROUND(I195*H195,2)</f>
        <v>1260</v>
      </c>
      <c r="K195" s="92"/>
      <c r="L195" s="12"/>
      <c r="M195" s="93" t="s">
        <v>1</v>
      </c>
      <c r="N195" s="94" t="s">
        <v>42</v>
      </c>
      <c r="P195" s="95">
        <f>O195*H195</f>
        <v>0</v>
      </c>
      <c r="Q195" s="95">
        <v>0</v>
      </c>
      <c r="R195" s="95">
        <f>Q195*H195</f>
        <v>0</v>
      </c>
      <c r="S195" s="95">
        <v>0</v>
      </c>
      <c r="T195" s="99">
        <f>S195*H195</f>
        <v>0</v>
      </c>
      <c r="AR195" s="101" t="s">
        <v>218</v>
      </c>
      <c r="AT195" s="101" t="s">
        <v>214</v>
      </c>
      <c r="AU195" s="101" t="s">
        <v>87</v>
      </c>
      <c r="AY195" s="23" t="s">
        <v>211</v>
      </c>
      <c r="BE195" s="104">
        <f>IF(N195="základní",J195,0)</f>
        <v>1260</v>
      </c>
      <c r="BF195" s="104">
        <f>IF(N195="snížená",J195,0)</f>
        <v>0</v>
      </c>
      <c r="BG195" s="104">
        <f>IF(N195="zákl. přenesená",J195,0)</f>
        <v>0</v>
      </c>
      <c r="BH195" s="104">
        <f>IF(N195="sníž. přenesená",J195,0)</f>
        <v>0</v>
      </c>
      <c r="BI195" s="104">
        <f>IF(N195="nulová",J195,0)</f>
        <v>0</v>
      </c>
      <c r="BJ195" s="23" t="s">
        <v>85</v>
      </c>
      <c r="BK195" s="104">
        <f>ROUND(I195*H195,2)</f>
        <v>1260</v>
      </c>
      <c r="BL195" s="23" t="s">
        <v>218</v>
      </c>
      <c r="BM195" s="101" t="s">
        <v>566</v>
      </c>
    </row>
    <row r="196" spans="2:65" s="136" customFormat="1">
      <c r="B196" s="138"/>
      <c r="D196" s="105" t="s">
        <v>365</v>
      </c>
      <c r="E196" s="139" t="s">
        <v>1</v>
      </c>
      <c r="F196" s="140" t="s">
        <v>5887</v>
      </c>
      <c r="H196" s="139" t="s">
        <v>1</v>
      </c>
      <c r="I196" s="146"/>
      <c r="L196" s="138"/>
      <c r="M196" s="147"/>
      <c r="T196" s="150"/>
      <c r="AT196" s="139" t="s">
        <v>365</v>
      </c>
      <c r="AU196" s="139" t="s">
        <v>87</v>
      </c>
      <c r="AV196" s="136" t="s">
        <v>85</v>
      </c>
      <c r="AW196" s="136" t="s">
        <v>33</v>
      </c>
      <c r="AX196" s="136" t="s">
        <v>77</v>
      </c>
      <c r="AY196" s="139" t="s">
        <v>211</v>
      </c>
    </row>
    <row r="197" spans="2:65" s="113" customFormat="1">
      <c r="B197" s="119"/>
      <c r="D197" s="105" t="s">
        <v>365</v>
      </c>
      <c r="E197" s="135" t="s">
        <v>1</v>
      </c>
      <c r="F197" s="120" t="s">
        <v>5888</v>
      </c>
      <c r="H197" s="121">
        <v>63</v>
      </c>
      <c r="I197" s="128"/>
      <c r="L197" s="119"/>
      <c r="M197" s="129"/>
      <c r="T197" s="133"/>
      <c r="AT197" s="135" t="s">
        <v>365</v>
      </c>
      <c r="AU197" s="135" t="s">
        <v>87</v>
      </c>
      <c r="AV197" s="113" t="s">
        <v>87</v>
      </c>
      <c r="AW197" s="113" t="s">
        <v>33</v>
      </c>
      <c r="AX197" s="113" t="s">
        <v>77</v>
      </c>
      <c r="AY197" s="135" t="s">
        <v>211</v>
      </c>
    </row>
    <row r="198" spans="2:65" s="137" customFormat="1">
      <c r="B198" s="141"/>
      <c r="D198" s="105" t="s">
        <v>365</v>
      </c>
      <c r="E198" s="142" t="s">
        <v>1</v>
      </c>
      <c r="F198" s="143" t="s">
        <v>368</v>
      </c>
      <c r="H198" s="144">
        <v>63</v>
      </c>
      <c r="I198" s="148"/>
      <c r="L198" s="141"/>
      <c r="M198" s="149"/>
      <c r="T198" s="151"/>
      <c r="AT198" s="142" t="s">
        <v>365</v>
      </c>
      <c r="AU198" s="142" t="s">
        <v>87</v>
      </c>
      <c r="AV198" s="137" t="s">
        <v>218</v>
      </c>
      <c r="AW198" s="137" t="s">
        <v>33</v>
      </c>
      <c r="AX198" s="137" t="s">
        <v>85</v>
      </c>
      <c r="AY198" s="142" t="s">
        <v>211</v>
      </c>
    </row>
    <row r="199" spans="2:65" s="1" customFormat="1" ht="24.15" customHeight="1">
      <c r="B199" s="12"/>
      <c r="C199" s="71" t="s">
        <v>465</v>
      </c>
      <c r="D199" s="71" t="s">
        <v>214</v>
      </c>
      <c r="E199" s="72" t="s">
        <v>5914</v>
      </c>
      <c r="F199" s="73" t="s">
        <v>5915</v>
      </c>
      <c r="G199" s="74" t="s">
        <v>279</v>
      </c>
      <c r="H199" s="75">
        <v>63</v>
      </c>
      <c r="I199" s="145">
        <v>13.9</v>
      </c>
      <c r="J199" s="91">
        <f>ROUND(I199*H199,2)</f>
        <v>875.7</v>
      </c>
      <c r="K199" s="92"/>
      <c r="L199" s="12"/>
      <c r="M199" s="93" t="s">
        <v>1</v>
      </c>
      <c r="N199" s="94" t="s">
        <v>42</v>
      </c>
      <c r="P199" s="95">
        <f>O199*H199</f>
        <v>0</v>
      </c>
      <c r="Q199" s="95">
        <v>0</v>
      </c>
      <c r="R199" s="95">
        <f>Q199*H199</f>
        <v>0</v>
      </c>
      <c r="S199" s="95">
        <v>0</v>
      </c>
      <c r="T199" s="99">
        <f>S199*H199</f>
        <v>0</v>
      </c>
      <c r="AR199" s="101" t="s">
        <v>218</v>
      </c>
      <c r="AT199" s="101" t="s">
        <v>214</v>
      </c>
      <c r="AU199" s="101" t="s">
        <v>87</v>
      </c>
      <c r="AY199" s="23" t="s">
        <v>211</v>
      </c>
      <c r="BE199" s="104">
        <f>IF(N199="základní",J199,0)</f>
        <v>875.7</v>
      </c>
      <c r="BF199" s="104">
        <f>IF(N199="snížená",J199,0)</f>
        <v>0</v>
      </c>
      <c r="BG199" s="104">
        <f>IF(N199="zákl. přenesená",J199,0)</f>
        <v>0</v>
      </c>
      <c r="BH199" s="104">
        <f>IF(N199="sníž. přenesená",J199,0)</f>
        <v>0</v>
      </c>
      <c r="BI199" s="104">
        <f>IF(N199="nulová",J199,0)</f>
        <v>0</v>
      </c>
      <c r="BJ199" s="23" t="s">
        <v>85</v>
      </c>
      <c r="BK199" s="104">
        <f>ROUND(I199*H199,2)</f>
        <v>875.7</v>
      </c>
      <c r="BL199" s="23" t="s">
        <v>218</v>
      </c>
      <c r="BM199" s="101" t="s">
        <v>578</v>
      </c>
    </row>
    <row r="200" spans="2:65" s="136" customFormat="1">
      <c r="B200" s="138"/>
      <c r="D200" s="105" t="s">
        <v>365</v>
      </c>
      <c r="E200" s="139" t="s">
        <v>1</v>
      </c>
      <c r="F200" s="140" t="s">
        <v>5887</v>
      </c>
      <c r="H200" s="139" t="s">
        <v>1</v>
      </c>
      <c r="I200" s="146"/>
      <c r="L200" s="138"/>
      <c r="M200" s="147"/>
      <c r="T200" s="150"/>
      <c r="AT200" s="139" t="s">
        <v>365</v>
      </c>
      <c r="AU200" s="139" t="s">
        <v>87</v>
      </c>
      <c r="AV200" s="136" t="s">
        <v>85</v>
      </c>
      <c r="AW200" s="136" t="s">
        <v>33</v>
      </c>
      <c r="AX200" s="136" t="s">
        <v>77</v>
      </c>
      <c r="AY200" s="139" t="s">
        <v>211</v>
      </c>
    </row>
    <row r="201" spans="2:65" s="113" customFormat="1">
      <c r="B201" s="119"/>
      <c r="D201" s="105" t="s">
        <v>365</v>
      </c>
      <c r="E201" s="135" t="s">
        <v>1</v>
      </c>
      <c r="F201" s="120" t="s">
        <v>5888</v>
      </c>
      <c r="H201" s="121">
        <v>63</v>
      </c>
      <c r="I201" s="128"/>
      <c r="L201" s="119"/>
      <c r="M201" s="129"/>
      <c r="T201" s="133"/>
      <c r="AT201" s="135" t="s">
        <v>365</v>
      </c>
      <c r="AU201" s="135" t="s">
        <v>87</v>
      </c>
      <c r="AV201" s="113" t="s">
        <v>87</v>
      </c>
      <c r="AW201" s="113" t="s">
        <v>33</v>
      </c>
      <c r="AX201" s="113" t="s">
        <v>77</v>
      </c>
      <c r="AY201" s="135" t="s">
        <v>211</v>
      </c>
    </row>
    <row r="202" spans="2:65" s="137" customFormat="1">
      <c r="B202" s="141"/>
      <c r="D202" s="105" t="s">
        <v>365</v>
      </c>
      <c r="E202" s="142" t="s">
        <v>1</v>
      </c>
      <c r="F202" s="143" t="s">
        <v>368</v>
      </c>
      <c r="H202" s="144">
        <v>63</v>
      </c>
      <c r="I202" s="148"/>
      <c r="L202" s="141"/>
      <c r="M202" s="149"/>
      <c r="T202" s="151"/>
      <c r="AT202" s="142" t="s">
        <v>365</v>
      </c>
      <c r="AU202" s="142" t="s">
        <v>87</v>
      </c>
      <c r="AV202" s="137" t="s">
        <v>218</v>
      </c>
      <c r="AW202" s="137" t="s">
        <v>33</v>
      </c>
      <c r="AX202" s="137" t="s">
        <v>85</v>
      </c>
      <c r="AY202" s="142" t="s">
        <v>211</v>
      </c>
    </row>
    <row r="203" spans="2:65" s="1" customFormat="1" ht="49.35" customHeight="1">
      <c r="B203" s="12"/>
      <c r="C203" s="71" t="s">
        <v>7</v>
      </c>
      <c r="D203" s="71" t="s">
        <v>214</v>
      </c>
      <c r="E203" s="72" t="s">
        <v>5916</v>
      </c>
      <c r="F203" s="73" t="s">
        <v>5917</v>
      </c>
      <c r="G203" s="74" t="s">
        <v>279</v>
      </c>
      <c r="H203" s="75">
        <v>63</v>
      </c>
      <c r="I203" s="145">
        <v>254</v>
      </c>
      <c r="J203" s="91">
        <f>ROUND(I203*H203,2)</f>
        <v>16002</v>
      </c>
      <c r="K203" s="92"/>
      <c r="L203" s="12"/>
      <c r="M203" s="93" t="s">
        <v>1</v>
      </c>
      <c r="N203" s="94" t="s">
        <v>42</v>
      </c>
      <c r="P203" s="95">
        <f>O203*H203</f>
        <v>0</v>
      </c>
      <c r="Q203" s="95">
        <v>0</v>
      </c>
      <c r="R203" s="95">
        <f>Q203*H203</f>
        <v>0</v>
      </c>
      <c r="S203" s="95">
        <v>0</v>
      </c>
      <c r="T203" s="99">
        <f>S203*H203</f>
        <v>0</v>
      </c>
      <c r="AR203" s="101" t="s">
        <v>218</v>
      </c>
      <c r="AT203" s="101" t="s">
        <v>214</v>
      </c>
      <c r="AU203" s="101" t="s">
        <v>87</v>
      </c>
      <c r="AY203" s="23" t="s">
        <v>211</v>
      </c>
      <c r="BE203" s="104">
        <f>IF(N203="základní",J203,0)</f>
        <v>16002</v>
      </c>
      <c r="BF203" s="104">
        <f>IF(N203="snížená",J203,0)</f>
        <v>0</v>
      </c>
      <c r="BG203" s="104">
        <f>IF(N203="zákl. přenesená",J203,0)</f>
        <v>0</v>
      </c>
      <c r="BH203" s="104">
        <f>IF(N203="sníž. přenesená",J203,0)</f>
        <v>0</v>
      </c>
      <c r="BI203" s="104">
        <f>IF(N203="nulová",J203,0)</f>
        <v>0</v>
      </c>
      <c r="BJ203" s="23" t="s">
        <v>85</v>
      </c>
      <c r="BK203" s="104">
        <f>ROUND(I203*H203,2)</f>
        <v>16002</v>
      </c>
      <c r="BL203" s="23" t="s">
        <v>218</v>
      </c>
      <c r="BM203" s="101" t="s">
        <v>588</v>
      </c>
    </row>
    <row r="204" spans="2:65" s="136" customFormat="1">
      <c r="B204" s="138"/>
      <c r="D204" s="105" t="s">
        <v>365</v>
      </c>
      <c r="E204" s="139" t="s">
        <v>1</v>
      </c>
      <c r="F204" s="140" t="s">
        <v>5887</v>
      </c>
      <c r="H204" s="139" t="s">
        <v>1</v>
      </c>
      <c r="I204" s="146"/>
      <c r="L204" s="138"/>
      <c r="M204" s="147"/>
      <c r="T204" s="150"/>
      <c r="AT204" s="139" t="s">
        <v>365</v>
      </c>
      <c r="AU204" s="139" t="s">
        <v>87</v>
      </c>
      <c r="AV204" s="136" t="s">
        <v>85</v>
      </c>
      <c r="AW204" s="136" t="s">
        <v>33</v>
      </c>
      <c r="AX204" s="136" t="s">
        <v>77</v>
      </c>
      <c r="AY204" s="139" t="s">
        <v>211</v>
      </c>
    </row>
    <row r="205" spans="2:65" s="113" customFormat="1">
      <c r="B205" s="119"/>
      <c r="D205" s="105" t="s">
        <v>365</v>
      </c>
      <c r="E205" s="135" t="s">
        <v>1</v>
      </c>
      <c r="F205" s="120" t="s">
        <v>5888</v>
      </c>
      <c r="H205" s="121">
        <v>63</v>
      </c>
      <c r="I205" s="128"/>
      <c r="L205" s="119"/>
      <c r="M205" s="129"/>
      <c r="T205" s="133"/>
      <c r="AT205" s="135" t="s">
        <v>365</v>
      </c>
      <c r="AU205" s="135" t="s">
        <v>87</v>
      </c>
      <c r="AV205" s="113" t="s">
        <v>87</v>
      </c>
      <c r="AW205" s="113" t="s">
        <v>33</v>
      </c>
      <c r="AX205" s="113" t="s">
        <v>77</v>
      </c>
      <c r="AY205" s="135" t="s">
        <v>211</v>
      </c>
    </row>
    <row r="206" spans="2:65" s="137" customFormat="1">
      <c r="B206" s="141"/>
      <c r="D206" s="105" t="s">
        <v>365</v>
      </c>
      <c r="E206" s="142" t="s">
        <v>1</v>
      </c>
      <c r="F206" s="143" t="s">
        <v>368</v>
      </c>
      <c r="H206" s="144">
        <v>63</v>
      </c>
      <c r="I206" s="148"/>
      <c r="L206" s="141"/>
      <c r="M206" s="149"/>
      <c r="T206" s="151"/>
      <c r="AT206" s="142" t="s">
        <v>365</v>
      </c>
      <c r="AU206" s="142" t="s">
        <v>87</v>
      </c>
      <c r="AV206" s="137" t="s">
        <v>218</v>
      </c>
      <c r="AW206" s="137" t="s">
        <v>33</v>
      </c>
      <c r="AX206" s="137" t="s">
        <v>85</v>
      </c>
      <c r="AY206" s="142" t="s">
        <v>211</v>
      </c>
    </row>
    <row r="207" spans="2:65" s="1" customFormat="1" ht="44.25" customHeight="1">
      <c r="B207" s="12"/>
      <c r="C207" s="71" t="s">
        <v>475</v>
      </c>
      <c r="D207" s="71" t="s">
        <v>214</v>
      </c>
      <c r="E207" s="72" t="s">
        <v>5918</v>
      </c>
      <c r="F207" s="73" t="s">
        <v>5919</v>
      </c>
      <c r="G207" s="74" t="s">
        <v>279</v>
      </c>
      <c r="H207" s="75">
        <v>63</v>
      </c>
      <c r="I207" s="145">
        <v>354</v>
      </c>
      <c r="J207" s="91">
        <f>ROUND(I207*H207,2)</f>
        <v>22302</v>
      </c>
      <c r="K207" s="92"/>
      <c r="L207" s="12"/>
      <c r="M207" s="93" t="s">
        <v>1</v>
      </c>
      <c r="N207" s="94" t="s">
        <v>42</v>
      </c>
      <c r="P207" s="95">
        <f>O207*H207</f>
        <v>0</v>
      </c>
      <c r="Q207" s="95">
        <v>0</v>
      </c>
      <c r="R207" s="95">
        <f>Q207*H207</f>
        <v>0</v>
      </c>
      <c r="S207" s="95">
        <v>0</v>
      </c>
      <c r="T207" s="99">
        <f>S207*H207</f>
        <v>0</v>
      </c>
      <c r="AR207" s="101" t="s">
        <v>218</v>
      </c>
      <c r="AT207" s="101" t="s">
        <v>214</v>
      </c>
      <c r="AU207" s="101" t="s">
        <v>87</v>
      </c>
      <c r="AY207" s="23" t="s">
        <v>211</v>
      </c>
      <c r="BE207" s="104">
        <f>IF(N207="základní",J207,0)</f>
        <v>22302</v>
      </c>
      <c r="BF207" s="104">
        <f>IF(N207="snížená",J207,0)</f>
        <v>0</v>
      </c>
      <c r="BG207" s="104">
        <f>IF(N207="zákl. přenesená",J207,0)</f>
        <v>0</v>
      </c>
      <c r="BH207" s="104">
        <f>IF(N207="sníž. přenesená",J207,0)</f>
        <v>0</v>
      </c>
      <c r="BI207" s="104">
        <f>IF(N207="nulová",J207,0)</f>
        <v>0</v>
      </c>
      <c r="BJ207" s="23" t="s">
        <v>85</v>
      </c>
      <c r="BK207" s="104">
        <f>ROUND(I207*H207,2)</f>
        <v>22302</v>
      </c>
      <c r="BL207" s="23" t="s">
        <v>218</v>
      </c>
      <c r="BM207" s="101" t="s">
        <v>598</v>
      </c>
    </row>
    <row r="208" spans="2:65" s="136" customFormat="1">
      <c r="B208" s="138"/>
      <c r="D208" s="105" t="s">
        <v>365</v>
      </c>
      <c r="E208" s="139" t="s">
        <v>1</v>
      </c>
      <c r="F208" s="140" t="s">
        <v>5887</v>
      </c>
      <c r="H208" s="139" t="s">
        <v>1</v>
      </c>
      <c r="I208" s="146"/>
      <c r="L208" s="138"/>
      <c r="M208" s="147"/>
      <c r="T208" s="150"/>
      <c r="AT208" s="139" t="s">
        <v>365</v>
      </c>
      <c r="AU208" s="139" t="s">
        <v>87</v>
      </c>
      <c r="AV208" s="136" t="s">
        <v>85</v>
      </c>
      <c r="AW208" s="136" t="s">
        <v>33</v>
      </c>
      <c r="AX208" s="136" t="s">
        <v>77</v>
      </c>
      <c r="AY208" s="139" t="s">
        <v>211</v>
      </c>
    </row>
    <row r="209" spans="2:65" s="113" customFormat="1">
      <c r="B209" s="119"/>
      <c r="D209" s="105" t="s">
        <v>365</v>
      </c>
      <c r="E209" s="135" t="s">
        <v>1</v>
      </c>
      <c r="F209" s="120" t="s">
        <v>5888</v>
      </c>
      <c r="H209" s="121">
        <v>63</v>
      </c>
      <c r="I209" s="128"/>
      <c r="L209" s="119"/>
      <c r="M209" s="129"/>
      <c r="T209" s="133"/>
      <c r="AT209" s="135" t="s">
        <v>365</v>
      </c>
      <c r="AU209" s="135" t="s">
        <v>87</v>
      </c>
      <c r="AV209" s="113" t="s">
        <v>87</v>
      </c>
      <c r="AW209" s="113" t="s">
        <v>33</v>
      </c>
      <c r="AX209" s="113" t="s">
        <v>77</v>
      </c>
      <c r="AY209" s="135" t="s">
        <v>211</v>
      </c>
    </row>
    <row r="210" spans="2:65" s="137" customFormat="1">
      <c r="B210" s="141"/>
      <c r="D210" s="105" t="s">
        <v>365</v>
      </c>
      <c r="E210" s="142" t="s">
        <v>1</v>
      </c>
      <c r="F210" s="143" t="s">
        <v>368</v>
      </c>
      <c r="H210" s="144">
        <v>63</v>
      </c>
      <c r="I210" s="148"/>
      <c r="L210" s="141"/>
      <c r="M210" s="149"/>
      <c r="T210" s="151"/>
      <c r="AT210" s="142" t="s">
        <v>365</v>
      </c>
      <c r="AU210" s="142" t="s">
        <v>87</v>
      </c>
      <c r="AV210" s="137" t="s">
        <v>218</v>
      </c>
      <c r="AW210" s="137" t="s">
        <v>33</v>
      </c>
      <c r="AX210" s="137" t="s">
        <v>85</v>
      </c>
      <c r="AY210" s="142" t="s">
        <v>211</v>
      </c>
    </row>
    <row r="211" spans="2:65" s="1" customFormat="1" ht="24.15" customHeight="1">
      <c r="B211" s="12"/>
      <c r="C211" s="71" t="s">
        <v>481</v>
      </c>
      <c r="D211" s="71" t="s">
        <v>214</v>
      </c>
      <c r="E211" s="72" t="s">
        <v>5920</v>
      </c>
      <c r="F211" s="73" t="s">
        <v>5921</v>
      </c>
      <c r="G211" s="74" t="s">
        <v>279</v>
      </c>
      <c r="H211" s="75">
        <v>145</v>
      </c>
      <c r="I211" s="145">
        <v>1120</v>
      </c>
      <c r="J211" s="91">
        <f>ROUND(I211*H211,2)</f>
        <v>162400</v>
      </c>
      <c r="K211" s="92"/>
      <c r="L211" s="12"/>
      <c r="M211" s="93" t="s">
        <v>1</v>
      </c>
      <c r="N211" s="94" t="s">
        <v>42</v>
      </c>
      <c r="P211" s="95">
        <f>O211*H211</f>
        <v>0</v>
      </c>
      <c r="Q211" s="95">
        <v>0</v>
      </c>
      <c r="R211" s="95">
        <f>Q211*H211</f>
        <v>0</v>
      </c>
      <c r="S211" s="95">
        <v>0</v>
      </c>
      <c r="T211" s="99">
        <f>S211*H211</f>
        <v>0</v>
      </c>
      <c r="AR211" s="101" t="s">
        <v>218</v>
      </c>
      <c r="AT211" s="101" t="s">
        <v>214</v>
      </c>
      <c r="AU211" s="101" t="s">
        <v>87</v>
      </c>
      <c r="AY211" s="23" t="s">
        <v>211</v>
      </c>
      <c r="BE211" s="104">
        <f>IF(N211="základní",J211,0)</f>
        <v>162400</v>
      </c>
      <c r="BF211" s="104">
        <f>IF(N211="snížená",J211,0)</f>
        <v>0</v>
      </c>
      <c r="BG211" s="104">
        <f>IF(N211="zákl. přenesená",J211,0)</f>
        <v>0</v>
      </c>
      <c r="BH211" s="104">
        <f>IF(N211="sníž. přenesená",J211,0)</f>
        <v>0</v>
      </c>
      <c r="BI211" s="104">
        <f>IF(N211="nulová",J211,0)</f>
        <v>0</v>
      </c>
      <c r="BJ211" s="23" t="s">
        <v>85</v>
      </c>
      <c r="BK211" s="104">
        <f>ROUND(I211*H211,2)</f>
        <v>162400</v>
      </c>
      <c r="BL211" s="23" t="s">
        <v>218</v>
      </c>
      <c r="BM211" s="101" t="s">
        <v>608</v>
      </c>
    </row>
    <row r="212" spans="2:65" s="136" customFormat="1">
      <c r="B212" s="138"/>
      <c r="D212" s="105" t="s">
        <v>365</v>
      </c>
      <c r="E212" s="139" t="s">
        <v>1</v>
      </c>
      <c r="F212" s="140" t="s">
        <v>5890</v>
      </c>
      <c r="H212" s="139" t="s">
        <v>1</v>
      </c>
      <c r="I212" s="146"/>
      <c r="L212" s="138"/>
      <c r="M212" s="147"/>
      <c r="T212" s="150"/>
      <c r="AT212" s="139" t="s">
        <v>365</v>
      </c>
      <c r="AU212" s="139" t="s">
        <v>87</v>
      </c>
      <c r="AV212" s="136" t="s">
        <v>85</v>
      </c>
      <c r="AW212" s="136" t="s">
        <v>33</v>
      </c>
      <c r="AX212" s="136" t="s">
        <v>77</v>
      </c>
      <c r="AY212" s="139" t="s">
        <v>211</v>
      </c>
    </row>
    <row r="213" spans="2:65" s="113" customFormat="1">
      <c r="B213" s="119"/>
      <c r="D213" s="105" t="s">
        <v>365</v>
      </c>
      <c r="E213" s="135" t="s">
        <v>1</v>
      </c>
      <c r="F213" s="120" t="s">
        <v>5891</v>
      </c>
      <c r="H213" s="121">
        <v>145</v>
      </c>
      <c r="I213" s="128"/>
      <c r="L213" s="119"/>
      <c r="M213" s="129"/>
      <c r="T213" s="133"/>
      <c r="AT213" s="135" t="s">
        <v>365</v>
      </c>
      <c r="AU213" s="135" t="s">
        <v>87</v>
      </c>
      <c r="AV213" s="113" t="s">
        <v>87</v>
      </c>
      <c r="AW213" s="113" t="s">
        <v>33</v>
      </c>
      <c r="AX213" s="113" t="s">
        <v>77</v>
      </c>
      <c r="AY213" s="135" t="s">
        <v>211</v>
      </c>
    </row>
    <row r="214" spans="2:65" s="137" customFormat="1">
      <c r="B214" s="141"/>
      <c r="D214" s="105" t="s">
        <v>365</v>
      </c>
      <c r="E214" s="142" t="s">
        <v>1</v>
      </c>
      <c r="F214" s="143" t="s">
        <v>368</v>
      </c>
      <c r="H214" s="144">
        <v>145</v>
      </c>
      <c r="I214" s="148"/>
      <c r="L214" s="141"/>
      <c r="M214" s="149"/>
      <c r="T214" s="151"/>
      <c r="AT214" s="142" t="s">
        <v>365</v>
      </c>
      <c r="AU214" s="142" t="s">
        <v>87</v>
      </c>
      <c r="AV214" s="137" t="s">
        <v>218</v>
      </c>
      <c r="AW214" s="137" t="s">
        <v>33</v>
      </c>
      <c r="AX214" s="137" t="s">
        <v>85</v>
      </c>
      <c r="AY214" s="142" t="s">
        <v>211</v>
      </c>
    </row>
    <row r="215" spans="2:65" s="1" customFormat="1" ht="55.5" customHeight="1">
      <c r="B215" s="12"/>
      <c r="C215" s="71" t="s">
        <v>486</v>
      </c>
      <c r="D215" s="71" t="s">
        <v>214</v>
      </c>
      <c r="E215" s="72" t="s">
        <v>5922</v>
      </c>
      <c r="F215" s="73" t="s">
        <v>5923</v>
      </c>
      <c r="G215" s="74" t="s">
        <v>279</v>
      </c>
      <c r="H215" s="75">
        <v>24</v>
      </c>
      <c r="I215" s="145">
        <v>586</v>
      </c>
      <c r="J215" s="91">
        <f>ROUND(I215*H215,2)</f>
        <v>14064</v>
      </c>
      <c r="K215" s="92"/>
      <c r="L215" s="12"/>
      <c r="M215" s="93" t="s">
        <v>1</v>
      </c>
      <c r="N215" s="94" t="s">
        <v>42</v>
      </c>
      <c r="P215" s="95">
        <f>O215*H215</f>
        <v>0</v>
      </c>
      <c r="Q215" s="95">
        <v>0</v>
      </c>
      <c r="R215" s="95">
        <f>Q215*H215</f>
        <v>0</v>
      </c>
      <c r="S215" s="95">
        <v>0</v>
      </c>
      <c r="T215" s="99">
        <f>S215*H215</f>
        <v>0</v>
      </c>
      <c r="AR215" s="101" t="s">
        <v>218</v>
      </c>
      <c r="AT215" s="101" t="s">
        <v>214</v>
      </c>
      <c r="AU215" s="101" t="s">
        <v>87</v>
      </c>
      <c r="AY215" s="23" t="s">
        <v>211</v>
      </c>
      <c r="BE215" s="104">
        <f>IF(N215="základní",J215,0)</f>
        <v>14064</v>
      </c>
      <c r="BF215" s="104">
        <f>IF(N215="snížená",J215,0)</f>
        <v>0</v>
      </c>
      <c r="BG215" s="104">
        <f>IF(N215="zákl. přenesená",J215,0)</f>
        <v>0</v>
      </c>
      <c r="BH215" s="104">
        <f>IF(N215="sníž. přenesená",J215,0)</f>
        <v>0</v>
      </c>
      <c r="BI215" s="104">
        <f>IF(N215="nulová",J215,0)</f>
        <v>0</v>
      </c>
      <c r="BJ215" s="23" t="s">
        <v>85</v>
      </c>
      <c r="BK215" s="104">
        <f>ROUND(I215*H215,2)</f>
        <v>14064</v>
      </c>
      <c r="BL215" s="23" t="s">
        <v>218</v>
      </c>
      <c r="BM215" s="101" t="s">
        <v>619</v>
      </c>
    </row>
    <row r="216" spans="2:65" s="136" customFormat="1">
      <c r="B216" s="138"/>
      <c r="D216" s="105" t="s">
        <v>365</v>
      </c>
      <c r="E216" s="139" t="s">
        <v>1</v>
      </c>
      <c r="F216" s="140" t="s">
        <v>5901</v>
      </c>
      <c r="H216" s="139" t="s">
        <v>1</v>
      </c>
      <c r="I216" s="146"/>
      <c r="L216" s="138"/>
      <c r="M216" s="147"/>
      <c r="T216" s="150"/>
      <c r="AT216" s="139" t="s">
        <v>365</v>
      </c>
      <c r="AU216" s="139" t="s">
        <v>87</v>
      </c>
      <c r="AV216" s="136" t="s">
        <v>85</v>
      </c>
      <c r="AW216" s="136" t="s">
        <v>33</v>
      </c>
      <c r="AX216" s="136" t="s">
        <v>77</v>
      </c>
      <c r="AY216" s="139" t="s">
        <v>211</v>
      </c>
    </row>
    <row r="217" spans="2:65" s="113" customFormat="1">
      <c r="B217" s="119"/>
      <c r="D217" s="105" t="s">
        <v>365</v>
      </c>
      <c r="E217" s="135" t="s">
        <v>1</v>
      </c>
      <c r="F217" s="120" t="s">
        <v>5902</v>
      </c>
      <c r="H217" s="121">
        <v>24</v>
      </c>
      <c r="I217" s="128"/>
      <c r="L217" s="119"/>
      <c r="M217" s="129"/>
      <c r="T217" s="133"/>
      <c r="AT217" s="135" t="s">
        <v>365</v>
      </c>
      <c r="AU217" s="135" t="s">
        <v>87</v>
      </c>
      <c r="AV217" s="113" t="s">
        <v>87</v>
      </c>
      <c r="AW217" s="113" t="s">
        <v>33</v>
      </c>
      <c r="AX217" s="113" t="s">
        <v>77</v>
      </c>
      <c r="AY217" s="135" t="s">
        <v>211</v>
      </c>
    </row>
    <row r="218" spans="2:65" s="137" customFormat="1">
      <c r="B218" s="141"/>
      <c r="D218" s="105" t="s">
        <v>365</v>
      </c>
      <c r="E218" s="142" t="s">
        <v>1</v>
      </c>
      <c r="F218" s="143" t="s">
        <v>368</v>
      </c>
      <c r="H218" s="144">
        <v>24</v>
      </c>
      <c r="I218" s="148"/>
      <c r="L218" s="141"/>
      <c r="M218" s="149"/>
      <c r="T218" s="151"/>
      <c r="AT218" s="142" t="s">
        <v>365</v>
      </c>
      <c r="AU218" s="142" t="s">
        <v>87</v>
      </c>
      <c r="AV218" s="137" t="s">
        <v>218</v>
      </c>
      <c r="AW218" s="137" t="s">
        <v>33</v>
      </c>
      <c r="AX218" s="137" t="s">
        <v>85</v>
      </c>
      <c r="AY218" s="142" t="s">
        <v>211</v>
      </c>
    </row>
    <row r="219" spans="2:65" s="1" customFormat="1" ht="16.5" customHeight="1">
      <c r="B219" s="12"/>
      <c r="C219" s="114" t="s">
        <v>490</v>
      </c>
      <c r="D219" s="114" t="s">
        <v>438</v>
      </c>
      <c r="E219" s="115" t="s">
        <v>5924</v>
      </c>
      <c r="F219" s="116" t="s">
        <v>5925</v>
      </c>
      <c r="G219" s="117" t="s">
        <v>279</v>
      </c>
      <c r="H219" s="118">
        <v>24.48</v>
      </c>
      <c r="I219" s="152">
        <v>635</v>
      </c>
      <c r="J219" s="123">
        <f>ROUND(I219*H219,2)</f>
        <v>15544.8</v>
      </c>
      <c r="K219" s="124"/>
      <c r="L219" s="125"/>
      <c r="M219" s="126" t="s">
        <v>1</v>
      </c>
      <c r="N219" s="127" t="s">
        <v>42</v>
      </c>
      <c r="P219" s="95">
        <f>O219*H219</f>
        <v>0</v>
      </c>
      <c r="Q219" s="95">
        <v>0</v>
      </c>
      <c r="R219" s="95">
        <f>Q219*H219</f>
        <v>0</v>
      </c>
      <c r="S219" s="95">
        <v>0</v>
      </c>
      <c r="T219" s="99">
        <f>S219*H219</f>
        <v>0</v>
      </c>
      <c r="AR219" s="101" t="s">
        <v>250</v>
      </c>
      <c r="AT219" s="101" t="s">
        <v>438</v>
      </c>
      <c r="AU219" s="101" t="s">
        <v>87</v>
      </c>
      <c r="AY219" s="23" t="s">
        <v>211</v>
      </c>
      <c r="BE219" s="104">
        <f>IF(N219="základní",J219,0)</f>
        <v>15544.8</v>
      </c>
      <c r="BF219" s="104">
        <f>IF(N219="snížená",J219,0)</f>
        <v>0</v>
      </c>
      <c r="BG219" s="104">
        <f>IF(N219="zákl. přenesená",J219,0)</f>
        <v>0</v>
      </c>
      <c r="BH219" s="104">
        <f>IF(N219="sníž. přenesená",J219,0)</f>
        <v>0</v>
      </c>
      <c r="BI219" s="104">
        <f>IF(N219="nulová",J219,0)</f>
        <v>0</v>
      </c>
      <c r="BJ219" s="23" t="s">
        <v>85</v>
      </c>
      <c r="BK219" s="104">
        <f>ROUND(I219*H219,2)</f>
        <v>15544.8</v>
      </c>
      <c r="BL219" s="23" t="s">
        <v>218</v>
      </c>
      <c r="BM219" s="101" t="s">
        <v>629</v>
      </c>
    </row>
    <row r="220" spans="2:65" s="1" customFormat="1" ht="28.8">
      <c r="B220" s="12"/>
      <c r="D220" s="105" t="s">
        <v>227</v>
      </c>
      <c r="F220" s="106" t="s">
        <v>5926</v>
      </c>
      <c r="I220" s="107"/>
      <c r="L220" s="12"/>
      <c r="M220" s="108"/>
      <c r="T220" s="111"/>
      <c r="AT220" s="23" t="s">
        <v>227</v>
      </c>
      <c r="AU220" s="23" t="s">
        <v>87</v>
      </c>
    </row>
    <row r="221" spans="2:65" s="113" customFormat="1">
      <c r="B221" s="119"/>
      <c r="D221" s="105" t="s">
        <v>365</v>
      </c>
      <c r="E221" s="135" t="s">
        <v>1</v>
      </c>
      <c r="F221" s="120" t="s">
        <v>5927</v>
      </c>
      <c r="H221" s="121">
        <v>24.48</v>
      </c>
      <c r="I221" s="128"/>
      <c r="L221" s="119"/>
      <c r="M221" s="129"/>
      <c r="T221" s="133"/>
      <c r="AT221" s="135" t="s">
        <v>365</v>
      </c>
      <c r="AU221" s="135" t="s">
        <v>87</v>
      </c>
      <c r="AV221" s="113" t="s">
        <v>87</v>
      </c>
      <c r="AW221" s="113" t="s">
        <v>33</v>
      </c>
      <c r="AX221" s="113" t="s">
        <v>77</v>
      </c>
      <c r="AY221" s="135" t="s">
        <v>211</v>
      </c>
    </row>
    <row r="222" spans="2:65" s="137" customFormat="1">
      <c r="B222" s="141"/>
      <c r="D222" s="105" t="s">
        <v>365</v>
      </c>
      <c r="E222" s="142" t="s">
        <v>1</v>
      </c>
      <c r="F222" s="143" t="s">
        <v>368</v>
      </c>
      <c r="H222" s="144">
        <v>24.48</v>
      </c>
      <c r="I222" s="148"/>
      <c r="L222" s="141"/>
      <c r="M222" s="149"/>
      <c r="T222" s="151"/>
      <c r="AT222" s="142" t="s">
        <v>365</v>
      </c>
      <c r="AU222" s="142" t="s">
        <v>87</v>
      </c>
      <c r="AV222" s="137" t="s">
        <v>218</v>
      </c>
      <c r="AW222" s="137" t="s">
        <v>33</v>
      </c>
      <c r="AX222" s="137" t="s">
        <v>85</v>
      </c>
      <c r="AY222" s="142" t="s">
        <v>211</v>
      </c>
    </row>
    <row r="223" spans="2:65" s="1" customFormat="1" ht="76.349999999999994" customHeight="1">
      <c r="B223" s="12"/>
      <c r="C223" s="71" t="s">
        <v>496</v>
      </c>
      <c r="D223" s="71" t="s">
        <v>214</v>
      </c>
      <c r="E223" s="72" t="s">
        <v>5928</v>
      </c>
      <c r="F223" s="73" t="s">
        <v>5929</v>
      </c>
      <c r="G223" s="74" t="s">
        <v>279</v>
      </c>
      <c r="H223" s="75">
        <v>700</v>
      </c>
      <c r="I223" s="145">
        <v>276</v>
      </c>
      <c r="J223" s="91">
        <f>ROUND(I223*H223,2)</f>
        <v>193200</v>
      </c>
      <c r="K223" s="92"/>
      <c r="L223" s="12"/>
      <c r="M223" s="93" t="s">
        <v>1</v>
      </c>
      <c r="N223" s="94" t="s">
        <v>42</v>
      </c>
      <c r="P223" s="95">
        <f>O223*H223</f>
        <v>0</v>
      </c>
      <c r="Q223" s="95">
        <v>0</v>
      </c>
      <c r="R223" s="95">
        <f>Q223*H223</f>
        <v>0</v>
      </c>
      <c r="S223" s="95">
        <v>0</v>
      </c>
      <c r="T223" s="99">
        <f>S223*H223</f>
        <v>0</v>
      </c>
      <c r="AR223" s="101" t="s">
        <v>218</v>
      </c>
      <c r="AT223" s="101" t="s">
        <v>214</v>
      </c>
      <c r="AU223" s="101" t="s">
        <v>87</v>
      </c>
      <c r="AY223" s="23" t="s">
        <v>211</v>
      </c>
      <c r="BE223" s="104">
        <f>IF(N223="základní",J223,0)</f>
        <v>193200</v>
      </c>
      <c r="BF223" s="104">
        <f>IF(N223="snížená",J223,0)</f>
        <v>0</v>
      </c>
      <c r="BG223" s="104">
        <f>IF(N223="zákl. přenesená",J223,0)</f>
        <v>0</v>
      </c>
      <c r="BH223" s="104">
        <f>IF(N223="sníž. přenesená",J223,0)</f>
        <v>0</v>
      </c>
      <c r="BI223" s="104">
        <f>IF(N223="nulová",J223,0)</f>
        <v>0</v>
      </c>
      <c r="BJ223" s="23" t="s">
        <v>85</v>
      </c>
      <c r="BK223" s="104">
        <f>ROUND(I223*H223,2)</f>
        <v>193200</v>
      </c>
      <c r="BL223" s="23" t="s">
        <v>218</v>
      </c>
      <c r="BM223" s="101" t="s">
        <v>639</v>
      </c>
    </row>
    <row r="224" spans="2:65" s="136" customFormat="1">
      <c r="B224" s="138"/>
      <c r="D224" s="105" t="s">
        <v>365</v>
      </c>
      <c r="E224" s="139" t="s">
        <v>1</v>
      </c>
      <c r="F224" s="140" t="s">
        <v>5882</v>
      </c>
      <c r="H224" s="139" t="s">
        <v>1</v>
      </c>
      <c r="I224" s="146"/>
      <c r="L224" s="138"/>
      <c r="M224" s="147"/>
      <c r="T224" s="150"/>
      <c r="AT224" s="139" t="s">
        <v>365</v>
      </c>
      <c r="AU224" s="139" t="s">
        <v>87</v>
      </c>
      <c r="AV224" s="136" t="s">
        <v>85</v>
      </c>
      <c r="AW224" s="136" t="s">
        <v>33</v>
      </c>
      <c r="AX224" s="136" t="s">
        <v>77</v>
      </c>
      <c r="AY224" s="139" t="s">
        <v>211</v>
      </c>
    </row>
    <row r="225" spans="2:65" s="113" customFormat="1">
      <c r="B225" s="119"/>
      <c r="D225" s="105" t="s">
        <v>365</v>
      </c>
      <c r="E225" s="135" t="s">
        <v>1</v>
      </c>
      <c r="F225" s="120" t="s">
        <v>5930</v>
      </c>
      <c r="H225" s="121">
        <v>700</v>
      </c>
      <c r="I225" s="128"/>
      <c r="L225" s="119"/>
      <c r="M225" s="129"/>
      <c r="T225" s="133"/>
      <c r="AT225" s="135" t="s">
        <v>365</v>
      </c>
      <c r="AU225" s="135" t="s">
        <v>87</v>
      </c>
      <c r="AV225" s="113" t="s">
        <v>87</v>
      </c>
      <c r="AW225" s="113" t="s">
        <v>33</v>
      </c>
      <c r="AX225" s="113" t="s">
        <v>77</v>
      </c>
      <c r="AY225" s="135" t="s">
        <v>211</v>
      </c>
    </row>
    <row r="226" spans="2:65" s="137" customFormat="1">
      <c r="B226" s="141"/>
      <c r="D226" s="105" t="s">
        <v>365</v>
      </c>
      <c r="E226" s="142" t="s">
        <v>1</v>
      </c>
      <c r="F226" s="143" t="s">
        <v>368</v>
      </c>
      <c r="H226" s="144">
        <v>700</v>
      </c>
      <c r="I226" s="148"/>
      <c r="L226" s="141"/>
      <c r="M226" s="149"/>
      <c r="T226" s="151"/>
      <c r="AT226" s="142" t="s">
        <v>365</v>
      </c>
      <c r="AU226" s="142" t="s">
        <v>87</v>
      </c>
      <c r="AV226" s="137" t="s">
        <v>218</v>
      </c>
      <c r="AW226" s="137" t="s">
        <v>33</v>
      </c>
      <c r="AX226" s="137" t="s">
        <v>85</v>
      </c>
      <c r="AY226" s="142" t="s">
        <v>211</v>
      </c>
    </row>
    <row r="227" spans="2:65" s="1" customFormat="1" ht="21.75" customHeight="1">
      <c r="B227" s="12"/>
      <c r="C227" s="114" t="s">
        <v>502</v>
      </c>
      <c r="D227" s="114" t="s">
        <v>438</v>
      </c>
      <c r="E227" s="115" t="s">
        <v>5931</v>
      </c>
      <c r="F227" s="116" t="s">
        <v>5932</v>
      </c>
      <c r="G227" s="117" t="s">
        <v>279</v>
      </c>
      <c r="H227" s="118">
        <v>691.85</v>
      </c>
      <c r="I227" s="152">
        <v>295</v>
      </c>
      <c r="J227" s="123">
        <f>ROUND(I227*H227,2)</f>
        <v>204095.75</v>
      </c>
      <c r="K227" s="124"/>
      <c r="L227" s="125"/>
      <c r="M227" s="126" t="s">
        <v>1</v>
      </c>
      <c r="N227" s="127" t="s">
        <v>42</v>
      </c>
      <c r="P227" s="95">
        <f>O227*H227</f>
        <v>0</v>
      </c>
      <c r="Q227" s="95">
        <v>0</v>
      </c>
      <c r="R227" s="95">
        <f>Q227*H227</f>
        <v>0</v>
      </c>
      <c r="S227" s="95">
        <v>0</v>
      </c>
      <c r="T227" s="99">
        <f>S227*H227</f>
        <v>0</v>
      </c>
      <c r="AR227" s="101" t="s">
        <v>250</v>
      </c>
      <c r="AT227" s="101" t="s">
        <v>438</v>
      </c>
      <c r="AU227" s="101" t="s">
        <v>87</v>
      </c>
      <c r="AY227" s="23" t="s">
        <v>211</v>
      </c>
      <c r="BE227" s="104">
        <f>IF(N227="základní",J227,0)</f>
        <v>204095.75</v>
      </c>
      <c r="BF227" s="104">
        <f>IF(N227="snížená",J227,0)</f>
        <v>0</v>
      </c>
      <c r="BG227" s="104">
        <f>IF(N227="zákl. přenesená",J227,0)</f>
        <v>0</v>
      </c>
      <c r="BH227" s="104">
        <f>IF(N227="sníž. přenesená",J227,0)</f>
        <v>0</v>
      </c>
      <c r="BI227" s="104">
        <f>IF(N227="nulová",J227,0)</f>
        <v>0</v>
      </c>
      <c r="BJ227" s="23" t="s">
        <v>85</v>
      </c>
      <c r="BK227" s="104">
        <f>ROUND(I227*H227,2)</f>
        <v>204095.75</v>
      </c>
      <c r="BL227" s="23" t="s">
        <v>218</v>
      </c>
      <c r="BM227" s="101" t="s">
        <v>649</v>
      </c>
    </row>
    <row r="228" spans="2:65" s="1" customFormat="1" ht="24.15" customHeight="1">
      <c r="B228" s="12"/>
      <c r="C228" s="114" t="s">
        <v>507</v>
      </c>
      <c r="D228" s="114" t="s">
        <v>438</v>
      </c>
      <c r="E228" s="115" t="s">
        <v>5933</v>
      </c>
      <c r="F228" s="116" t="s">
        <v>5934</v>
      </c>
      <c r="G228" s="117" t="s">
        <v>279</v>
      </c>
      <c r="H228" s="118">
        <v>15.45</v>
      </c>
      <c r="I228" s="152">
        <v>502</v>
      </c>
      <c r="J228" s="123">
        <f>ROUND(I228*H228,2)</f>
        <v>7755.9</v>
      </c>
      <c r="K228" s="124"/>
      <c r="L228" s="125"/>
      <c r="M228" s="126" t="s">
        <v>1</v>
      </c>
      <c r="N228" s="127" t="s">
        <v>42</v>
      </c>
      <c r="P228" s="95">
        <f>O228*H228</f>
        <v>0</v>
      </c>
      <c r="Q228" s="95">
        <v>0</v>
      </c>
      <c r="R228" s="95">
        <f>Q228*H228</f>
        <v>0</v>
      </c>
      <c r="S228" s="95">
        <v>0</v>
      </c>
      <c r="T228" s="99">
        <f>S228*H228</f>
        <v>0</v>
      </c>
      <c r="AR228" s="101" t="s">
        <v>250</v>
      </c>
      <c r="AT228" s="101" t="s">
        <v>438</v>
      </c>
      <c r="AU228" s="101" t="s">
        <v>87</v>
      </c>
      <c r="AY228" s="23" t="s">
        <v>211</v>
      </c>
      <c r="BE228" s="104">
        <f>IF(N228="základní",J228,0)</f>
        <v>7755.9</v>
      </c>
      <c r="BF228" s="104">
        <f>IF(N228="snížená",J228,0)</f>
        <v>0</v>
      </c>
      <c r="BG228" s="104">
        <f>IF(N228="zákl. přenesená",J228,0)</f>
        <v>0</v>
      </c>
      <c r="BH228" s="104">
        <f>IF(N228="sníž. přenesená",J228,0)</f>
        <v>0</v>
      </c>
      <c r="BI228" s="104">
        <f>IF(N228="nulová",J228,0)</f>
        <v>0</v>
      </c>
      <c r="BJ228" s="23" t="s">
        <v>85</v>
      </c>
      <c r="BK228" s="104">
        <f>ROUND(I228*H228,2)</f>
        <v>7755.9</v>
      </c>
      <c r="BL228" s="23" t="s">
        <v>218</v>
      </c>
      <c r="BM228" s="101" t="s">
        <v>660</v>
      </c>
    </row>
    <row r="229" spans="2:65" s="113" customFormat="1">
      <c r="B229" s="119"/>
      <c r="D229" s="105" t="s">
        <v>365</v>
      </c>
      <c r="E229" s="135" t="s">
        <v>1</v>
      </c>
      <c r="F229" s="120" t="s">
        <v>5935</v>
      </c>
      <c r="H229" s="121">
        <v>15.45</v>
      </c>
      <c r="I229" s="128"/>
      <c r="L229" s="119"/>
      <c r="M229" s="129"/>
      <c r="T229" s="133"/>
      <c r="AT229" s="135" t="s">
        <v>365</v>
      </c>
      <c r="AU229" s="135" t="s">
        <v>87</v>
      </c>
      <c r="AV229" s="113" t="s">
        <v>87</v>
      </c>
      <c r="AW229" s="113" t="s">
        <v>33</v>
      </c>
      <c r="AX229" s="113" t="s">
        <v>77</v>
      </c>
      <c r="AY229" s="135" t="s">
        <v>211</v>
      </c>
    </row>
    <row r="230" spans="2:65" s="137" customFormat="1">
      <c r="B230" s="141"/>
      <c r="D230" s="105" t="s">
        <v>365</v>
      </c>
      <c r="E230" s="142" t="s">
        <v>1</v>
      </c>
      <c r="F230" s="143" t="s">
        <v>368</v>
      </c>
      <c r="H230" s="144">
        <v>15.45</v>
      </c>
      <c r="I230" s="148"/>
      <c r="L230" s="141"/>
      <c r="M230" s="149"/>
      <c r="T230" s="151"/>
      <c r="AT230" s="142" t="s">
        <v>365</v>
      </c>
      <c r="AU230" s="142" t="s">
        <v>87</v>
      </c>
      <c r="AV230" s="137" t="s">
        <v>218</v>
      </c>
      <c r="AW230" s="137" t="s">
        <v>33</v>
      </c>
      <c r="AX230" s="137" t="s">
        <v>85</v>
      </c>
      <c r="AY230" s="142" t="s">
        <v>211</v>
      </c>
    </row>
    <row r="231" spans="2:65" s="1" customFormat="1" ht="76.349999999999994" customHeight="1">
      <c r="B231" s="12"/>
      <c r="C231" s="71" t="s">
        <v>511</v>
      </c>
      <c r="D231" s="71" t="s">
        <v>214</v>
      </c>
      <c r="E231" s="72" t="s">
        <v>5936</v>
      </c>
      <c r="F231" s="73" t="s">
        <v>5937</v>
      </c>
      <c r="G231" s="74" t="s">
        <v>279</v>
      </c>
      <c r="H231" s="75">
        <v>252</v>
      </c>
      <c r="I231" s="145">
        <v>315</v>
      </c>
      <c r="J231" s="91">
        <f>ROUND(I231*H231,2)</f>
        <v>79380</v>
      </c>
      <c r="K231" s="92"/>
      <c r="L231" s="12"/>
      <c r="M231" s="93" t="s">
        <v>1</v>
      </c>
      <c r="N231" s="94" t="s">
        <v>42</v>
      </c>
      <c r="P231" s="95">
        <f>O231*H231</f>
        <v>0</v>
      </c>
      <c r="Q231" s="95">
        <v>0</v>
      </c>
      <c r="R231" s="95">
        <f>Q231*H231</f>
        <v>0</v>
      </c>
      <c r="S231" s="95">
        <v>0</v>
      </c>
      <c r="T231" s="99">
        <f>S231*H231</f>
        <v>0</v>
      </c>
      <c r="AR231" s="101" t="s">
        <v>218</v>
      </c>
      <c r="AT231" s="101" t="s">
        <v>214</v>
      </c>
      <c r="AU231" s="101" t="s">
        <v>87</v>
      </c>
      <c r="AY231" s="23" t="s">
        <v>211</v>
      </c>
      <c r="BE231" s="104">
        <f>IF(N231="základní",J231,0)</f>
        <v>79380</v>
      </c>
      <c r="BF231" s="104">
        <f>IF(N231="snížená",J231,0)</f>
        <v>0</v>
      </c>
      <c r="BG231" s="104">
        <f>IF(N231="zákl. přenesená",J231,0)</f>
        <v>0</v>
      </c>
      <c r="BH231" s="104">
        <f>IF(N231="sníž. přenesená",J231,0)</f>
        <v>0</v>
      </c>
      <c r="BI231" s="104">
        <f>IF(N231="nulová",J231,0)</f>
        <v>0</v>
      </c>
      <c r="BJ231" s="23" t="s">
        <v>85</v>
      </c>
      <c r="BK231" s="104">
        <f>ROUND(I231*H231,2)</f>
        <v>79380</v>
      </c>
      <c r="BL231" s="23" t="s">
        <v>218</v>
      </c>
      <c r="BM231" s="101" t="s">
        <v>679</v>
      </c>
    </row>
    <row r="232" spans="2:65" s="136" customFormat="1">
      <c r="B232" s="138"/>
      <c r="D232" s="105" t="s">
        <v>365</v>
      </c>
      <c r="E232" s="139" t="s">
        <v>1</v>
      </c>
      <c r="F232" s="140" t="s">
        <v>5882</v>
      </c>
      <c r="H232" s="139" t="s">
        <v>1</v>
      </c>
      <c r="I232" s="146"/>
      <c r="L232" s="138"/>
      <c r="M232" s="147"/>
      <c r="T232" s="150"/>
      <c r="AT232" s="139" t="s">
        <v>365</v>
      </c>
      <c r="AU232" s="139" t="s">
        <v>87</v>
      </c>
      <c r="AV232" s="136" t="s">
        <v>85</v>
      </c>
      <c r="AW232" s="136" t="s">
        <v>33</v>
      </c>
      <c r="AX232" s="136" t="s">
        <v>77</v>
      </c>
      <c r="AY232" s="139" t="s">
        <v>211</v>
      </c>
    </row>
    <row r="233" spans="2:65" s="113" customFormat="1">
      <c r="B233" s="119"/>
      <c r="D233" s="105" t="s">
        <v>365</v>
      </c>
      <c r="E233" s="135" t="s">
        <v>1</v>
      </c>
      <c r="F233" s="120" t="s">
        <v>5938</v>
      </c>
      <c r="H233" s="121">
        <v>252</v>
      </c>
      <c r="I233" s="128"/>
      <c r="L233" s="119"/>
      <c r="M233" s="129"/>
      <c r="T233" s="133"/>
      <c r="AT233" s="135" t="s">
        <v>365</v>
      </c>
      <c r="AU233" s="135" t="s">
        <v>87</v>
      </c>
      <c r="AV233" s="113" t="s">
        <v>87</v>
      </c>
      <c r="AW233" s="113" t="s">
        <v>33</v>
      </c>
      <c r="AX233" s="113" t="s">
        <v>77</v>
      </c>
      <c r="AY233" s="135" t="s">
        <v>211</v>
      </c>
    </row>
    <row r="234" spans="2:65" s="137" customFormat="1">
      <c r="B234" s="141"/>
      <c r="D234" s="105" t="s">
        <v>365</v>
      </c>
      <c r="E234" s="142" t="s">
        <v>1</v>
      </c>
      <c r="F234" s="143" t="s">
        <v>368</v>
      </c>
      <c r="H234" s="144">
        <v>252</v>
      </c>
      <c r="I234" s="148"/>
      <c r="L234" s="141"/>
      <c r="M234" s="149"/>
      <c r="T234" s="151"/>
      <c r="AT234" s="142" t="s">
        <v>365</v>
      </c>
      <c r="AU234" s="142" t="s">
        <v>87</v>
      </c>
      <c r="AV234" s="137" t="s">
        <v>218</v>
      </c>
      <c r="AW234" s="137" t="s">
        <v>33</v>
      </c>
      <c r="AX234" s="137" t="s">
        <v>85</v>
      </c>
      <c r="AY234" s="142" t="s">
        <v>211</v>
      </c>
    </row>
    <row r="235" spans="2:65" s="1" customFormat="1" ht="21.75" customHeight="1">
      <c r="B235" s="12"/>
      <c r="C235" s="114" t="s">
        <v>517</v>
      </c>
      <c r="D235" s="114" t="s">
        <v>438</v>
      </c>
      <c r="E235" s="115" t="s">
        <v>5939</v>
      </c>
      <c r="F235" s="116" t="s">
        <v>5940</v>
      </c>
      <c r="G235" s="117" t="s">
        <v>279</v>
      </c>
      <c r="H235" s="118">
        <v>214.2</v>
      </c>
      <c r="I235" s="152">
        <v>377</v>
      </c>
      <c r="J235" s="123">
        <f>ROUND(I235*H235,2)</f>
        <v>80753.399999999994</v>
      </c>
      <c r="K235" s="124"/>
      <c r="L235" s="125"/>
      <c r="M235" s="126" t="s">
        <v>1</v>
      </c>
      <c r="N235" s="127" t="s">
        <v>42</v>
      </c>
      <c r="P235" s="95">
        <f>O235*H235</f>
        <v>0</v>
      </c>
      <c r="Q235" s="95">
        <v>0</v>
      </c>
      <c r="R235" s="95">
        <f>Q235*H235</f>
        <v>0</v>
      </c>
      <c r="S235" s="95">
        <v>0</v>
      </c>
      <c r="T235" s="99">
        <f>S235*H235</f>
        <v>0</v>
      </c>
      <c r="AR235" s="101" t="s">
        <v>250</v>
      </c>
      <c r="AT235" s="101" t="s">
        <v>438</v>
      </c>
      <c r="AU235" s="101" t="s">
        <v>87</v>
      </c>
      <c r="AY235" s="23" t="s">
        <v>211</v>
      </c>
      <c r="BE235" s="104">
        <f>IF(N235="základní",J235,0)</f>
        <v>80753.399999999994</v>
      </c>
      <c r="BF235" s="104">
        <f>IF(N235="snížená",J235,0)</f>
        <v>0</v>
      </c>
      <c r="BG235" s="104">
        <f>IF(N235="zákl. přenesená",J235,0)</f>
        <v>0</v>
      </c>
      <c r="BH235" s="104">
        <f>IF(N235="sníž. přenesená",J235,0)</f>
        <v>0</v>
      </c>
      <c r="BI235" s="104">
        <f>IF(N235="nulová",J235,0)</f>
        <v>0</v>
      </c>
      <c r="BJ235" s="23" t="s">
        <v>85</v>
      </c>
      <c r="BK235" s="104">
        <f>ROUND(I235*H235,2)</f>
        <v>80753.399999999994</v>
      </c>
      <c r="BL235" s="23" t="s">
        <v>218</v>
      </c>
      <c r="BM235" s="101" t="s">
        <v>705</v>
      </c>
    </row>
    <row r="236" spans="2:65" s="113" customFormat="1">
      <c r="B236" s="119"/>
      <c r="D236" s="105" t="s">
        <v>365</v>
      </c>
      <c r="E236" s="135" t="s">
        <v>1</v>
      </c>
      <c r="F236" s="120" t="s">
        <v>5941</v>
      </c>
      <c r="H236" s="121">
        <v>214.2</v>
      </c>
      <c r="I236" s="128"/>
      <c r="L236" s="119"/>
      <c r="M236" s="129"/>
      <c r="T236" s="133"/>
      <c r="AT236" s="135" t="s">
        <v>365</v>
      </c>
      <c r="AU236" s="135" t="s">
        <v>87</v>
      </c>
      <c r="AV236" s="113" t="s">
        <v>87</v>
      </c>
      <c r="AW236" s="113" t="s">
        <v>33</v>
      </c>
      <c r="AX236" s="113" t="s">
        <v>77</v>
      </c>
      <c r="AY236" s="135" t="s">
        <v>211</v>
      </c>
    </row>
    <row r="237" spans="2:65" s="137" customFormat="1">
      <c r="B237" s="141"/>
      <c r="D237" s="105" t="s">
        <v>365</v>
      </c>
      <c r="E237" s="142" t="s">
        <v>1</v>
      </c>
      <c r="F237" s="143" t="s">
        <v>368</v>
      </c>
      <c r="H237" s="144">
        <v>214.2</v>
      </c>
      <c r="I237" s="148"/>
      <c r="L237" s="141"/>
      <c r="M237" s="149"/>
      <c r="T237" s="151"/>
      <c r="AT237" s="142" t="s">
        <v>365</v>
      </c>
      <c r="AU237" s="142" t="s">
        <v>87</v>
      </c>
      <c r="AV237" s="137" t="s">
        <v>218</v>
      </c>
      <c r="AW237" s="137" t="s">
        <v>33</v>
      </c>
      <c r="AX237" s="137" t="s">
        <v>85</v>
      </c>
      <c r="AY237" s="142" t="s">
        <v>211</v>
      </c>
    </row>
    <row r="238" spans="2:65" s="1" customFormat="1" ht="24.15" customHeight="1">
      <c r="B238" s="12"/>
      <c r="C238" s="114" t="s">
        <v>522</v>
      </c>
      <c r="D238" s="114" t="s">
        <v>438</v>
      </c>
      <c r="E238" s="115" t="s">
        <v>5942</v>
      </c>
      <c r="F238" s="116" t="s">
        <v>5943</v>
      </c>
      <c r="G238" s="117" t="s">
        <v>279</v>
      </c>
      <c r="H238" s="118">
        <v>43.26</v>
      </c>
      <c r="I238" s="152">
        <v>652</v>
      </c>
      <c r="J238" s="123">
        <f>ROUND(I238*H238,2)</f>
        <v>28205.52</v>
      </c>
      <c r="K238" s="124"/>
      <c r="L238" s="125"/>
      <c r="M238" s="126" t="s">
        <v>1</v>
      </c>
      <c r="N238" s="127" t="s">
        <v>42</v>
      </c>
      <c r="P238" s="95">
        <f>O238*H238</f>
        <v>0</v>
      </c>
      <c r="Q238" s="95">
        <v>0</v>
      </c>
      <c r="R238" s="95">
        <f>Q238*H238</f>
        <v>0</v>
      </c>
      <c r="S238" s="95">
        <v>0</v>
      </c>
      <c r="T238" s="99">
        <f>S238*H238</f>
        <v>0</v>
      </c>
      <c r="AR238" s="101" t="s">
        <v>250</v>
      </c>
      <c r="AT238" s="101" t="s">
        <v>438</v>
      </c>
      <c r="AU238" s="101" t="s">
        <v>87</v>
      </c>
      <c r="AY238" s="23" t="s">
        <v>211</v>
      </c>
      <c r="BE238" s="104">
        <f>IF(N238="základní",J238,0)</f>
        <v>28205.52</v>
      </c>
      <c r="BF238" s="104">
        <f>IF(N238="snížená",J238,0)</f>
        <v>0</v>
      </c>
      <c r="BG238" s="104">
        <f>IF(N238="zákl. přenesená",J238,0)</f>
        <v>0</v>
      </c>
      <c r="BH238" s="104">
        <f>IF(N238="sníž. přenesená",J238,0)</f>
        <v>0</v>
      </c>
      <c r="BI238" s="104">
        <f>IF(N238="nulová",J238,0)</f>
        <v>0</v>
      </c>
      <c r="BJ238" s="23" t="s">
        <v>85</v>
      </c>
      <c r="BK238" s="104">
        <f>ROUND(I238*H238,2)</f>
        <v>28205.52</v>
      </c>
      <c r="BL238" s="23" t="s">
        <v>218</v>
      </c>
      <c r="BM238" s="101" t="s">
        <v>722</v>
      </c>
    </row>
    <row r="239" spans="2:65" s="113" customFormat="1">
      <c r="B239" s="119"/>
      <c r="D239" s="105" t="s">
        <v>365</v>
      </c>
      <c r="E239" s="135" t="s">
        <v>1</v>
      </c>
      <c r="F239" s="120" t="s">
        <v>5944</v>
      </c>
      <c r="H239" s="121">
        <v>43.26</v>
      </c>
      <c r="I239" s="128"/>
      <c r="L239" s="119"/>
      <c r="M239" s="129"/>
      <c r="T239" s="133"/>
      <c r="AT239" s="135" t="s">
        <v>365</v>
      </c>
      <c r="AU239" s="135" t="s">
        <v>87</v>
      </c>
      <c r="AV239" s="113" t="s">
        <v>87</v>
      </c>
      <c r="AW239" s="113" t="s">
        <v>33</v>
      </c>
      <c r="AX239" s="113" t="s">
        <v>77</v>
      </c>
      <c r="AY239" s="135" t="s">
        <v>211</v>
      </c>
    </row>
    <row r="240" spans="2:65" s="137" customFormat="1">
      <c r="B240" s="141"/>
      <c r="D240" s="105" t="s">
        <v>365</v>
      </c>
      <c r="E240" s="142" t="s">
        <v>1</v>
      </c>
      <c r="F240" s="143" t="s">
        <v>368</v>
      </c>
      <c r="H240" s="144">
        <v>43.26</v>
      </c>
      <c r="I240" s="148"/>
      <c r="L240" s="141"/>
      <c r="M240" s="149"/>
      <c r="T240" s="151"/>
      <c r="AT240" s="142" t="s">
        <v>365</v>
      </c>
      <c r="AU240" s="142" t="s">
        <v>87</v>
      </c>
      <c r="AV240" s="137" t="s">
        <v>218</v>
      </c>
      <c r="AW240" s="137" t="s">
        <v>33</v>
      </c>
      <c r="AX240" s="137" t="s">
        <v>85</v>
      </c>
      <c r="AY240" s="142" t="s">
        <v>211</v>
      </c>
    </row>
    <row r="241" spans="2:65" s="1" customFormat="1" ht="76.349999999999994" customHeight="1">
      <c r="B241" s="12"/>
      <c r="C241" s="71" t="s">
        <v>527</v>
      </c>
      <c r="D241" s="71" t="s">
        <v>214</v>
      </c>
      <c r="E241" s="72" t="s">
        <v>5945</v>
      </c>
      <c r="F241" s="73" t="s">
        <v>5946</v>
      </c>
      <c r="G241" s="74" t="s">
        <v>279</v>
      </c>
      <c r="H241" s="75">
        <v>17</v>
      </c>
      <c r="I241" s="145">
        <v>336</v>
      </c>
      <c r="J241" s="91">
        <f>ROUND(I241*H241,2)</f>
        <v>5712</v>
      </c>
      <c r="K241" s="92"/>
      <c r="L241" s="12"/>
      <c r="M241" s="93" t="s">
        <v>1</v>
      </c>
      <c r="N241" s="94" t="s">
        <v>42</v>
      </c>
      <c r="P241" s="95">
        <f>O241*H241</f>
        <v>0</v>
      </c>
      <c r="Q241" s="95">
        <v>0</v>
      </c>
      <c r="R241" s="95">
        <f>Q241*H241</f>
        <v>0</v>
      </c>
      <c r="S241" s="95">
        <v>0</v>
      </c>
      <c r="T241" s="99">
        <f>S241*H241</f>
        <v>0</v>
      </c>
      <c r="AR241" s="101" t="s">
        <v>218</v>
      </c>
      <c r="AT241" s="101" t="s">
        <v>214</v>
      </c>
      <c r="AU241" s="101" t="s">
        <v>87</v>
      </c>
      <c r="AY241" s="23" t="s">
        <v>211</v>
      </c>
      <c r="BE241" s="104">
        <f>IF(N241="základní",J241,0)</f>
        <v>5712</v>
      </c>
      <c r="BF241" s="104">
        <f>IF(N241="snížená",J241,0)</f>
        <v>0</v>
      </c>
      <c r="BG241" s="104">
        <f>IF(N241="zákl. přenesená",J241,0)</f>
        <v>0</v>
      </c>
      <c r="BH241" s="104">
        <f>IF(N241="sníž. přenesená",J241,0)</f>
        <v>0</v>
      </c>
      <c r="BI241" s="104">
        <f>IF(N241="nulová",J241,0)</f>
        <v>0</v>
      </c>
      <c r="BJ241" s="23" t="s">
        <v>85</v>
      </c>
      <c r="BK241" s="104">
        <f>ROUND(I241*H241,2)</f>
        <v>5712</v>
      </c>
      <c r="BL241" s="23" t="s">
        <v>218</v>
      </c>
      <c r="BM241" s="101" t="s">
        <v>756</v>
      </c>
    </row>
    <row r="242" spans="2:65" s="1" customFormat="1" ht="16.5" customHeight="1">
      <c r="B242" s="12"/>
      <c r="C242" s="114" t="s">
        <v>532</v>
      </c>
      <c r="D242" s="114" t="s">
        <v>438</v>
      </c>
      <c r="E242" s="115" t="s">
        <v>5947</v>
      </c>
      <c r="F242" s="116" t="s">
        <v>5948</v>
      </c>
      <c r="G242" s="117" t="s">
        <v>279</v>
      </c>
      <c r="H242" s="118">
        <v>17.510000000000002</v>
      </c>
      <c r="I242" s="152">
        <v>449</v>
      </c>
      <c r="J242" s="123">
        <f>ROUND(I242*H242,2)</f>
        <v>7861.99</v>
      </c>
      <c r="K242" s="124"/>
      <c r="L242" s="125"/>
      <c r="M242" s="126" t="s">
        <v>1</v>
      </c>
      <c r="N242" s="127" t="s">
        <v>42</v>
      </c>
      <c r="P242" s="95">
        <f>O242*H242</f>
        <v>0</v>
      </c>
      <c r="Q242" s="95">
        <v>0</v>
      </c>
      <c r="R242" s="95">
        <f>Q242*H242</f>
        <v>0</v>
      </c>
      <c r="S242" s="95">
        <v>0</v>
      </c>
      <c r="T242" s="99">
        <f>S242*H242</f>
        <v>0</v>
      </c>
      <c r="AR242" s="101" t="s">
        <v>250</v>
      </c>
      <c r="AT242" s="101" t="s">
        <v>438</v>
      </c>
      <c r="AU242" s="101" t="s">
        <v>87</v>
      </c>
      <c r="AY242" s="23" t="s">
        <v>211</v>
      </c>
      <c r="BE242" s="104">
        <f>IF(N242="základní",J242,0)</f>
        <v>7861.99</v>
      </c>
      <c r="BF242" s="104">
        <f>IF(N242="snížená",J242,0)</f>
        <v>0</v>
      </c>
      <c r="BG242" s="104">
        <f>IF(N242="zákl. přenesená",J242,0)</f>
        <v>0</v>
      </c>
      <c r="BH242" s="104">
        <f>IF(N242="sníž. přenesená",J242,0)</f>
        <v>0</v>
      </c>
      <c r="BI242" s="104">
        <f>IF(N242="nulová",J242,0)</f>
        <v>0</v>
      </c>
      <c r="BJ242" s="23" t="s">
        <v>85</v>
      </c>
      <c r="BK242" s="104">
        <f>ROUND(I242*H242,2)</f>
        <v>7861.99</v>
      </c>
      <c r="BL242" s="23" t="s">
        <v>218</v>
      </c>
      <c r="BM242" s="101" t="s">
        <v>805</v>
      </c>
    </row>
    <row r="243" spans="2:65" s="113" customFormat="1">
      <c r="B243" s="119"/>
      <c r="D243" s="105" t="s">
        <v>365</v>
      </c>
      <c r="E243" s="135" t="s">
        <v>1</v>
      </c>
      <c r="F243" s="120" t="s">
        <v>5949</v>
      </c>
      <c r="H243" s="121">
        <v>17.510000000000002</v>
      </c>
      <c r="I243" s="128"/>
      <c r="L243" s="119"/>
      <c r="M243" s="129"/>
      <c r="T243" s="133"/>
      <c r="AT243" s="135" t="s">
        <v>365</v>
      </c>
      <c r="AU243" s="135" t="s">
        <v>87</v>
      </c>
      <c r="AV243" s="113" t="s">
        <v>87</v>
      </c>
      <c r="AW243" s="113" t="s">
        <v>33</v>
      </c>
      <c r="AX243" s="113" t="s">
        <v>77</v>
      </c>
      <c r="AY243" s="135" t="s">
        <v>211</v>
      </c>
    </row>
    <row r="244" spans="2:65" s="137" customFormat="1">
      <c r="B244" s="141"/>
      <c r="D244" s="105" t="s">
        <v>365</v>
      </c>
      <c r="E244" s="142" t="s">
        <v>1</v>
      </c>
      <c r="F244" s="143" t="s">
        <v>368</v>
      </c>
      <c r="H244" s="144">
        <v>17.510000000000002</v>
      </c>
      <c r="I244" s="148"/>
      <c r="L244" s="141"/>
      <c r="M244" s="149"/>
      <c r="T244" s="151"/>
      <c r="AT244" s="142" t="s">
        <v>365</v>
      </c>
      <c r="AU244" s="142" t="s">
        <v>87</v>
      </c>
      <c r="AV244" s="137" t="s">
        <v>218</v>
      </c>
      <c r="AW244" s="137" t="s">
        <v>33</v>
      </c>
      <c r="AX244" s="137" t="s">
        <v>85</v>
      </c>
      <c r="AY244" s="142" t="s">
        <v>211</v>
      </c>
    </row>
    <row r="245" spans="2:65" s="1" customFormat="1" ht="66.75" customHeight="1">
      <c r="B245" s="12"/>
      <c r="C245" s="71" t="s">
        <v>537</v>
      </c>
      <c r="D245" s="71" t="s">
        <v>214</v>
      </c>
      <c r="E245" s="72" t="s">
        <v>5950</v>
      </c>
      <c r="F245" s="73" t="s">
        <v>5951</v>
      </c>
      <c r="G245" s="74" t="s">
        <v>279</v>
      </c>
      <c r="H245" s="75">
        <v>120</v>
      </c>
      <c r="I245" s="145">
        <v>257</v>
      </c>
      <c r="J245" s="91">
        <f>ROUND(I245*H245,2)</f>
        <v>30840</v>
      </c>
      <c r="K245" s="92"/>
      <c r="L245" s="12"/>
      <c r="M245" s="93" t="s">
        <v>1</v>
      </c>
      <c r="N245" s="94" t="s">
        <v>42</v>
      </c>
      <c r="P245" s="95">
        <f>O245*H245</f>
        <v>0</v>
      </c>
      <c r="Q245" s="95">
        <v>0</v>
      </c>
      <c r="R245" s="95">
        <f>Q245*H245</f>
        <v>0</v>
      </c>
      <c r="S245" s="95">
        <v>0</v>
      </c>
      <c r="T245" s="99">
        <f>S245*H245</f>
        <v>0</v>
      </c>
      <c r="AR245" s="101" t="s">
        <v>218</v>
      </c>
      <c r="AT245" s="101" t="s">
        <v>214</v>
      </c>
      <c r="AU245" s="101" t="s">
        <v>87</v>
      </c>
      <c r="AY245" s="23" t="s">
        <v>211</v>
      </c>
      <c r="BE245" s="104">
        <f>IF(N245="základní",J245,0)</f>
        <v>30840</v>
      </c>
      <c r="BF245" s="104">
        <f>IF(N245="snížená",J245,0)</f>
        <v>0</v>
      </c>
      <c r="BG245" s="104">
        <f>IF(N245="zákl. přenesená",J245,0)</f>
        <v>0</v>
      </c>
      <c r="BH245" s="104">
        <f>IF(N245="sníž. přenesená",J245,0)</f>
        <v>0</v>
      </c>
      <c r="BI245" s="104">
        <f>IF(N245="nulová",J245,0)</f>
        <v>0</v>
      </c>
      <c r="BJ245" s="23" t="s">
        <v>85</v>
      </c>
      <c r="BK245" s="104">
        <f>ROUND(I245*H245,2)</f>
        <v>30840</v>
      </c>
      <c r="BL245" s="23" t="s">
        <v>218</v>
      </c>
      <c r="BM245" s="101" t="s">
        <v>814</v>
      </c>
    </row>
    <row r="246" spans="2:65" s="136" customFormat="1">
      <c r="B246" s="138"/>
      <c r="D246" s="105" t="s">
        <v>365</v>
      </c>
      <c r="E246" s="139" t="s">
        <v>1</v>
      </c>
      <c r="F246" s="140" t="s">
        <v>5884</v>
      </c>
      <c r="H246" s="139" t="s">
        <v>1</v>
      </c>
      <c r="I246" s="146"/>
      <c r="L246" s="138"/>
      <c r="M246" s="147"/>
      <c r="T246" s="150"/>
      <c r="AT246" s="139" t="s">
        <v>365</v>
      </c>
      <c r="AU246" s="139" t="s">
        <v>87</v>
      </c>
      <c r="AV246" s="136" t="s">
        <v>85</v>
      </c>
      <c r="AW246" s="136" t="s">
        <v>33</v>
      </c>
      <c r="AX246" s="136" t="s">
        <v>77</v>
      </c>
      <c r="AY246" s="139" t="s">
        <v>211</v>
      </c>
    </row>
    <row r="247" spans="2:65" s="113" customFormat="1">
      <c r="B247" s="119"/>
      <c r="D247" s="105" t="s">
        <v>365</v>
      </c>
      <c r="E247" s="135" t="s">
        <v>1</v>
      </c>
      <c r="F247" s="120" t="s">
        <v>5885</v>
      </c>
      <c r="H247" s="121">
        <v>120</v>
      </c>
      <c r="I247" s="128"/>
      <c r="L247" s="119"/>
      <c r="M247" s="129"/>
      <c r="T247" s="133"/>
      <c r="AT247" s="135" t="s">
        <v>365</v>
      </c>
      <c r="AU247" s="135" t="s">
        <v>87</v>
      </c>
      <c r="AV247" s="113" t="s">
        <v>87</v>
      </c>
      <c r="AW247" s="113" t="s">
        <v>33</v>
      </c>
      <c r="AX247" s="113" t="s">
        <v>77</v>
      </c>
      <c r="AY247" s="135" t="s">
        <v>211</v>
      </c>
    </row>
    <row r="248" spans="2:65" s="137" customFormat="1">
      <c r="B248" s="141"/>
      <c r="D248" s="105" t="s">
        <v>365</v>
      </c>
      <c r="E248" s="142" t="s">
        <v>1</v>
      </c>
      <c r="F248" s="143" t="s">
        <v>368</v>
      </c>
      <c r="H248" s="144">
        <v>120</v>
      </c>
      <c r="I248" s="148"/>
      <c r="L248" s="141"/>
      <c r="M248" s="149"/>
      <c r="T248" s="151"/>
      <c r="AT248" s="142" t="s">
        <v>365</v>
      </c>
      <c r="AU248" s="142" t="s">
        <v>87</v>
      </c>
      <c r="AV248" s="137" t="s">
        <v>218</v>
      </c>
      <c r="AW248" s="137" t="s">
        <v>33</v>
      </c>
      <c r="AX248" s="137" t="s">
        <v>85</v>
      </c>
      <c r="AY248" s="142" t="s">
        <v>211</v>
      </c>
    </row>
    <row r="249" spans="2:65" s="1" customFormat="1" ht="24.15" customHeight="1">
      <c r="B249" s="12"/>
      <c r="C249" s="114" t="s">
        <v>542</v>
      </c>
      <c r="D249" s="114" t="s">
        <v>438</v>
      </c>
      <c r="E249" s="115" t="s">
        <v>5952</v>
      </c>
      <c r="F249" s="116" t="s">
        <v>5953</v>
      </c>
      <c r="G249" s="117" t="s">
        <v>279</v>
      </c>
      <c r="H249" s="118">
        <v>122.4</v>
      </c>
      <c r="I249" s="152">
        <v>462.28</v>
      </c>
      <c r="J249" s="123">
        <f>ROUND(I249*H249,2)</f>
        <v>56583.07</v>
      </c>
      <c r="K249" s="124"/>
      <c r="L249" s="125"/>
      <c r="M249" s="126" t="s">
        <v>1</v>
      </c>
      <c r="N249" s="127" t="s">
        <v>42</v>
      </c>
      <c r="P249" s="95">
        <f>O249*H249</f>
        <v>0</v>
      </c>
      <c r="Q249" s="95">
        <v>0</v>
      </c>
      <c r="R249" s="95">
        <f>Q249*H249</f>
        <v>0</v>
      </c>
      <c r="S249" s="95">
        <v>0</v>
      </c>
      <c r="T249" s="99">
        <f>S249*H249</f>
        <v>0</v>
      </c>
      <c r="AR249" s="101" t="s">
        <v>250</v>
      </c>
      <c r="AT249" s="101" t="s">
        <v>438</v>
      </c>
      <c r="AU249" s="101" t="s">
        <v>87</v>
      </c>
      <c r="AY249" s="23" t="s">
        <v>211</v>
      </c>
      <c r="BE249" s="104">
        <f>IF(N249="základní",J249,0)</f>
        <v>56583.07</v>
      </c>
      <c r="BF249" s="104">
        <f>IF(N249="snížená",J249,0)</f>
        <v>0</v>
      </c>
      <c r="BG249" s="104">
        <f>IF(N249="zákl. přenesená",J249,0)</f>
        <v>0</v>
      </c>
      <c r="BH249" s="104">
        <f>IF(N249="sníž. přenesená",J249,0)</f>
        <v>0</v>
      </c>
      <c r="BI249" s="104">
        <f>IF(N249="nulová",J249,0)</f>
        <v>0</v>
      </c>
      <c r="BJ249" s="23" t="s">
        <v>85</v>
      </c>
      <c r="BK249" s="104">
        <f>ROUND(I249*H249,2)</f>
        <v>56583.07</v>
      </c>
      <c r="BL249" s="23" t="s">
        <v>218</v>
      </c>
      <c r="BM249" s="101" t="s">
        <v>822</v>
      </c>
    </row>
    <row r="250" spans="2:65" s="113" customFormat="1">
      <c r="B250" s="119"/>
      <c r="D250" s="105" t="s">
        <v>365</v>
      </c>
      <c r="E250" s="135" t="s">
        <v>1</v>
      </c>
      <c r="F250" s="120" t="s">
        <v>5954</v>
      </c>
      <c r="H250" s="121">
        <v>122.4</v>
      </c>
      <c r="I250" s="128"/>
      <c r="L250" s="119"/>
      <c r="M250" s="129"/>
      <c r="T250" s="133"/>
      <c r="AT250" s="135" t="s">
        <v>365</v>
      </c>
      <c r="AU250" s="135" t="s">
        <v>87</v>
      </c>
      <c r="AV250" s="113" t="s">
        <v>87</v>
      </c>
      <c r="AW250" s="113" t="s">
        <v>33</v>
      </c>
      <c r="AX250" s="113" t="s">
        <v>77</v>
      </c>
      <c r="AY250" s="135" t="s">
        <v>211</v>
      </c>
    </row>
    <row r="251" spans="2:65" s="137" customFormat="1">
      <c r="B251" s="141"/>
      <c r="D251" s="105" t="s">
        <v>365</v>
      </c>
      <c r="E251" s="142" t="s">
        <v>1</v>
      </c>
      <c r="F251" s="143" t="s">
        <v>368</v>
      </c>
      <c r="H251" s="144">
        <v>122.4</v>
      </c>
      <c r="I251" s="148"/>
      <c r="L251" s="141"/>
      <c r="M251" s="149"/>
      <c r="T251" s="151"/>
      <c r="AT251" s="142" t="s">
        <v>365</v>
      </c>
      <c r="AU251" s="142" t="s">
        <v>87</v>
      </c>
      <c r="AV251" s="137" t="s">
        <v>218</v>
      </c>
      <c r="AW251" s="137" t="s">
        <v>33</v>
      </c>
      <c r="AX251" s="137" t="s">
        <v>85</v>
      </c>
      <c r="AY251" s="142" t="s">
        <v>211</v>
      </c>
    </row>
    <row r="252" spans="2:65" s="31" customFormat="1" ht="23.1" customHeight="1">
      <c r="B252" s="67"/>
      <c r="D252" s="68" t="s">
        <v>76</v>
      </c>
      <c r="E252" s="70" t="s">
        <v>255</v>
      </c>
      <c r="F252" s="70" t="s">
        <v>1311</v>
      </c>
      <c r="I252" s="85"/>
      <c r="J252" s="89">
        <f>BK252</f>
        <v>515115.38</v>
      </c>
      <c r="L252" s="67"/>
      <c r="M252" s="87"/>
      <c r="P252" s="88">
        <f>SUM(P253:P358)</f>
        <v>0</v>
      </c>
      <c r="R252" s="88">
        <f>SUM(R253:R358)</f>
        <v>0</v>
      </c>
      <c r="T252" s="98">
        <f>SUM(T253:T358)</f>
        <v>0</v>
      </c>
      <c r="AR252" s="68" t="s">
        <v>85</v>
      </c>
      <c r="AT252" s="100" t="s">
        <v>76</v>
      </c>
      <c r="AU252" s="100" t="s">
        <v>85</v>
      </c>
      <c r="AY252" s="68" t="s">
        <v>211</v>
      </c>
      <c r="BK252" s="103">
        <f>SUM(BK253:BK358)</f>
        <v>515115.38</v>
      </c>
    </row>
    <row r="253" spans="2:65" s="1" customFormat="1" ht="24.15" customHeight="1">
      <c r="B253" s="12"/>
      <c r="C253" s="71" t="s">
        <v>551</v>
      </c>
      <c r="D253" s="71" t="s">
        <v>214</v>
      </c>
      <c r="E253" s="72" t="s">
        <v>5431</v>
      </c>
      <c r="F253" s="73" t="s">
        <v>5432</v>
      </c>
      <c r="G253" s="74" t="s">
        <v>1599</v>
      </c>
      <c r="H253" s="75">
        <v>11</v>
      </c>
      <c r="I253" s="145">
        <v>222</v>
      </c>
      <c r="J253" s="91">
        <f>ROUND(I253*H253,2)</f>
        <v>2442</v>
      </c>
      <c r="K253" s="92"/>
      <c r="L253" s="12"/>
      <c r="M253" s="93" t="s">
        <v>1</v>
      </c>
      <c r="N253" s="94" t="s">
        <v>42</v>
      </c>
      <c r="P253" s="95">
        <f>O253*H253</f>
        <v>0</v>
      </c>
      <c r="Q253" s="95">
        <v>0</v>
      </c>
      <c r="R253" s="95">
        <f>Q253*H253</f>
        <v>0</v>
      </c>
      <c r="S253" s="95">
        <v>0</v>
      </c>
      <c r="T253" s="99">
        <f>S253*H253</f>
        <v>0</v>
      </c>
      <c r="AR253" s="101" t="s">
        <v>218</v>
      </c>
      <c r="AT253" s="101" t="s">
        <v>214</v>
      </c>
      <c r="AU253" s="101" t="s">
        <v>87</v>
      </c>
      <c r="AY253" s="23" t="s">
        <v>211</v>
      </c>
      <c r="BE253" s="104">
        <f>IF(N253="základní",J253,0)</f>
        <v>2442</v>
      </c>
      <c r="BF253" s="104">
        <f>IF(N253="snížená",J253,0)</f>
        <v>0</v>
      </c>
      <c r="BG253" s="104">
        <f>IF(N253="zákl. přenesená",J253,0)</f>
        <v>0</v>
      </c>
      <c r="BH253" s="104">
        <f>IF(N253="sníž. přenesená",J253,0)</f>
        <v>0</v>
      </c>
      <c r="BI253" s="104">
        <f>IF(N253="nulová",J253,0)</f>
        <v>0</v>
      </c>
      <c r="BJ253" s="23" t="s">
        <v>85</v>
      </c>
      <c r="BK253" s="104">
        <f>ROUND(I253*H253,2)</f>
        <v>2442</v>
      </c>
      <c r="BL253" s="23" t="s">
        <v>218</v>
      </c>
      <c r="BM253" s="101" t="s">
        <v>830</v>
      </c>
    </row>
    <row r="254" spans="2:65" s="113" customFormat="1">
      <c r="B254" s="119"/>
      <c r="D254" s="105" t="s">
        <v>365</v>
      </c>
      <c r="E254" s="135" t="s">
        <v>1</v>
      </c>
      <c r="F254" s="120" t="s">
        <v>5955</v>
      </c>
      <c r="H254" s="121">
        <v>11</v>
      </c>
      <c r="I254" s="128"/>
      <c r="L254" s="119"/>
      <c r="M254" s="129"/>
      <c r="T254" s="133"/>
      <c r="AT254" s="135" t="s">
        <v>365</v>
      </c>
      <c r="AU254" s="135" t="s">
        <v>87</v>
      </c>
      <c r="AV254" s="113" t="s">
        <v>87</v>
      </c>
      <c r="AW254" s="113" t="s">
        <v>33</v>
      </c>
      <c r="AX254" s="113" t="s">
        <v>77</v>
      </c>
      <c r="AY254" s="135" t="s">
        <v>211</v>
      </c>
    </row>
    <row r="255" spans="2:65" s="137" customFormat="1">
      <c r="B255" s="141"/>
      <c r="D255" s="105" t="s">
        <v>365</v>
      </c>
      <c r="E255" s="142" t="s">
        <v>1</v>
      </c>
      <c r="F255" s="143" t="s">
        <v>368</v>
      </c>
      <c r="H255" s="144">
        <v>11</v>
      </c>
      <c r="I255" s="148"/>
      <c r="L255" s="141"/>
      <c r="M255" s="149"/>
      <c r="T255" s="151"/>
      <c r="AT255" s="142" t="s">
        <v>365</v>
      </c>
      <c r="AU255" s="142" t="s">
        <v>87</v>
      </c>
      <c r="AV255" s="137" t="s">
        <v>218</v>
      </c>
      <c r="AW255" s="137" t="s">
        <v>33</v>
      </c>
      <c r="AX255" s="137" t="s">
        <v>85</v>
      </c>
      <c r="AY255" s="142" t="s">
        <v>211</v>
      </c>
    </row>
    <row r="256" spans="2:65" s="1" customFormat="1" ht="16.5" customHeight="1">
      <c r="B256" s="12"/>
      <c r="C256" s="114" t="s">
        <v>555</v>
      </c>
      <c r="D256" s="114" t="s">
        <v>438</v>
      </c>
      <c r="E256" s="115" t="s">
        <v>5956</v>
      </c>
      <c r="F256" s="116" t="s">
        <v>5957</v>
      </c>
      <c r="G256" s="117" t="s">
        <v>1599</v>
      </c>
      <c r="H256" s="118">
        <v>1</v>
      </c>
      <c r="I256" s="152">
        <v>815</v>
      </c>
      <c r="J256" s="123">
        <f>ROUND(I256*H256,2)</f>
        <v>815</v>
      </c>
      <c r="K256" s="124"/>
      <c r="L256" s="125"/>
      <c r="M256" s="126" t="s">
        <v>1</v>
      </c>
      <c r="N256" s="127" t="s">
        <v>42</v>
      </c>
      <c r="P256" s="95">
        <f>O256*H256</f>
        <v>0</v>
      </c>
      <c r="Q256" s="95">
        <v>0</v>
      </c>
      <c r="R256" s="95">
        <f>Q256*H256</f>
        <v>0</v>
      </c>
      <c r="S256" s="95">
        <v>0</v>
      </c>
      <c r="T256" s="99">
        <f>S256*H256</f>
        <v>0</v>
      </c>
      <c r="AR256" s="101" t="s">
        <v>250</v>
      </c>
      <c r="AT256" s="101" t="s">
        <v>438</v>
      </c>
      <c r="AU256" s="101" t="s">
        <v>87</v>
      </c>
      <c r="AY256" s="23" t="s">
        <v>211</v>
      </c>
      <c r="BE256" s="104">
        <f>IF(N256="základní",J256,0)</f>
        <v>815</v>
      </c>
      <c r="BF256" s="104">
        <f>IF(N256="snížená",J256,0)</f>
        <v>0</v>
      </c>
      <c r="BG256" s="104">
        <f>IF(N256="zákl. přenesená",J256,0)</f>
        <v>0</v>
      </c>
      <c r="BH256" s="104">
        <f>IF(N256="sníž. přenesená",J256,0)</f>
        <v>0</v>
      </c>
      <c r="BI256" s="104">
        <f>IF(N256="nulová",J256,0)</f>
        <v>0</v>
      </c>
      <c r="BJ256" s="23" t="s">
        <v>85</v>
      </c>
      <c r="BK256" s="104">
        <f>ROUND(I256*H256,2)</f>
        <v>815</v>
      </c>
      <c r="BL256" s="23" t="s">
        <v>218</v>
      </c>
      <c r="BM256" s="101" t="s">
        <v>838</v>
      </c>
    </row>
    <row r="257" spans="2:65" s="136" customFormat="1">
      <c r="B257" s="138"/>
      <c r="D257" s="105" t="s">
        <v>365</v>
      </c>
      <c r="E257" s="139" t="s">
        <v>1</v>
      </c>
      <c r="F257" s="140" t="s">
        <v>5958</v>
      </c>
      <c r="H257" s="139" t="s">
        <v>1</v>
      </c>
      <c r="I257" s="146"/>
      <c r="L257" s="138"/>
      <c r="M257" s="147"/>
      <c r="T257" s="150"/>
      <c r="AT257" s="139" t="s">
        <v>365</v>
      </c>
      <c r="AU257" s="139" t="s">
        <v>87</v>
      </c>
      <c r="AV257" s="136" t="s">
        <v>85</v>
      </c>
      <c r="AW257" s="136" t="s">
        <v>33</v>
      </c>
      <c r="AX257" s="136" t="s">
        <v>77</v>
      </c>
      <c r="AY257" s="139" t="s">
        <v>211</v>
      </c>
    </row>
    <row r="258" spans="2:65" s="113" customFormat="1">
      <c r="B258" s="119"/>
      <c r="D258" s="105" t="s">
        <v>365</v>
      </c>
      <c r="E258" s="135" t="s">
        <v>1</v>
      </c>
      <c r="F258" s="120" t="s">
        <v>85</v>
      </c>
      <c r="H258" s="121">
        <v>1</v>
      </c>
      <c r="I258" s="128"/>
      <c r="L258" s="119"/>
      <c r="M258" s="129"/>
      <c r="T258" s="133"/>
      <c r="AT258" s="135" t="s">
        <v>365</v>
      </c>
      <c r="AU258" s="135" t="s">
        <v>87</v>
      </c>
      <c r="AV258" s="113" t="s">
        <v>87</v>
      </c>
      <c r="AW258" s="113" t="s">
        <v>33</v>
      </c>
      <c r="AX258" s="113" t="s">
        <v>77</v>
      </c>
      <c r="AY258" s="135" t="s">
        <v>211</v>
      </c>
    </row>
    <row r="259" spans="2:65" s="137" customFormat="1">
      <c r="B259" s="141"/>
      <c r="D259" s="105" t="s">
        <v>365</v>
      </c>
      <c r="E259" s="142" t="s">
        <v>1</v>
      </c>
      <c r="F259" s="143" t="s">
        <v>368</v>
      </c>
      <c r="H259" s="144">
        <v>1</v>
      </c>
      <c r="I259" s="148"/>
      <c r="L259" s="141"/>
      <c r="M259" s="149"/>
      <c r="T259" s="151"/>
      <c r="AT259" s="142" t="s">
        <v>365</v>
      </c>
      <c r="AU259" s="142" t="s">
        <v>87</v>
      </c>
      <c r="AV259" s="137" t="s">
        <v>218</v>
      </c>
      <c r="AW259" s="137" t="s">
        <v>33</v>
      </c>
      <c r="AX259" s="137" t="s">
        <v>85</v>
      </c>
      <c r="AY259" s="142" t="s">
        <v>211</v>
      </c>
    </row>
    <row r="260" spans="2:65" s="1" customFormat="1" ht="24.15" customHeight="1">
      <c r="B260" s="12"/>
      <c r="C260" s="114" t="s">
        <v>566</v>
      </c>
      <c r="D260" s="114" t="s">
        <v>438</v>
      </c>
      <c r="E260" s="115" t="s">
        <v>5959</v>
      </c>
      <c r="F260" s="116" t="s">
        <v>5960</v>
      </c>
      <c r="G260" s="117" t="s">
        <v>1599</v>
      </c>
      <c r="H260" s="118">
        <v>3</v>
      </c>
      <c r="I260" s="152">
        <v>927</v>
      </c>
      <c r="J260" s="123">
        <f>ROUND(I260*H260,2)</f>
        <v>2781</v>
      </c>
      <c r="K260" s="124"/>
      <c r="L260" s="125"/>
      <c r="M260" s="126" t="s">
        <v>1</v>
      </c>
      <c r="N260" s="127" t="s">
        <v>42</v>
      </c>
      <c r="P260" s="95">
        <f>O260*H260</f>
        <v>0</v>
      </c>
      <c r="Q260" s="95">
        <v>0</v>
      </c>
      <c r="R260" s="95">
        <f>Q260*H260</f>
        <v>0</v>
      </c>
      <c r="S260" s="95">
        <v>0</v>
      </c>
      <c r="T260" s="99">
        <f>S260*H260</f>
        <v>0</v>
      </c>
      <c r="AR260" s="101" t="s">
        <v>250</v>
      </c>
      <c r="AT260" s="101" t="s">
        <v>438</v>
      </c>
      <c r="AU260" s="101" t="s">
        <v>87</v>
      </c>
      <c r="AY260" s="23" t="s">
        <v>211</v>
      </c>
      <c r="BE260" s="104">
        <f>IF(N260="základní",J260,0)</f>
        <v>2781</v>
      </c>
      <c r="BF260" s="104">
        <f>IF(N260="snížená",J260,0)</f>
        <v>0</v>
      </c>
      <c r="BG260" s="104">
        <f>IF(N260="zákl. přenesená",J260,0)</f>
        <v>0</v>
      </c>
      <c r="BH260" s="104">
        <f>IF(N260="sníž. přenesená",J260,0)</f>
        <v>0</v>
      </c>
      <c r="BI260" s="104">
        <f>IF(N260="nulová",J260,0)</f>
        <v>0</v>
      </c>
      <c r="BJ260" s="23" t="s">
        <v>85</v>
      </c>
      <c r="BK260" s="104">
        <f>ROUND(I260*H260,2)</f>
        <v>2781</v>
      </c>
      <c r="BL260" s="23" t="s">
        <v>218</v>
      </c>
      <c r="BM260" s="101" t="s">
        <v>846</v>
      </c>
    </row>
    <row r="261" spans="2:65" s="136" customFormat="1">
      <c r="B261" s="138"/>
      <c r="D261" s="105" t="s">
        <v>365</v>
      </c>
      <c r="E261" s="139" t="s">
        <v>1</v>
      </c>
      <c r="F261" s="140" t="s">
        <v>5961</v>
      </c>
      <c r="H261" s="139" t="s">
        <v>1</v>
      </c>
      <c r="I261" s="146"/>
      <c r="L261" s="138"/>
      <c r="M261" s="147"/>
      <c r="T261" s="150"/>
      <c r="AT261" s="139" t="s">
        <v>365</v>
      </c>
      <c r="AU261" s="139" t="s">
        <v>87</v>
      </c>
      <c r="AV261" s="136" t="s">
        <v>85</v>
      </c>
      <c r="AW261" s="136" t="s">
        <v>33</v>
      </c>
      <c r="AX261" s="136" t="s">
        <v>77</v>
      </c>
      <c r="AY261" s="139" t="s">
        <v>211</v>
      </c>
    </row>
    <row r="262" spans="2:65" s="113" customFormat="1">
      <c r="B262" s="119"/>
      <c r="D262" s="105" t="s">
        <v>365</v>
      </c>
      <c r="E262" s="135" t="s">
        <v>1</v>
      </c>
      <c r="F262" s="120" t="s">
        <v>5962</v>
      </c>
      <c r="H262" s="121">
        <v>3</v>
      </c>
      <c r="I262" s="128"/>
      <c r="L262" s="119"/>
      <c r="M262" s="129"/>
      <c r="T262" s="133"/>
      <c r="AT262" s="135" t="s">
        <v>365</v>
      </c>
      <c r="AU262" s="135" t="s">
        <v>87</v>
      </c>
      <c r="AV262" s="113" t="s">
        <v>87</v>
      </c>
      <c r="AW262" s="113" t="s">
        <v>33</v>
      </c>
      <c r="AX262" s="113" t="s">
        <v>77</v>
      </c>
      <c r="AY262" s="135" t="s">
        <v>211</v>
      </c>
    </row>
    <row r="263" spans="2:65" s="137" customFormat="1">
      <c r="B263" s="141"/>
      <c r="D263" s="105" t="s">
        <v>365</v>
      </c>
      <c r="E263" s="142" t="s">
        <v>1</v>
      </c>
      <c r="F263" s="143" t="s">
        <v>368</v>
      </c>
      <c r="H263" s="144">
        <v>3</v>
      </c>
      <c r="I263" s="148"/>
      <c r="L263" s="141"/>
      <c r="M263" s="149"/>
      <c r="T263" s="151"/>
      <c r="AT263" s="142" t="s">
        <v>365</v>
      </c>
      <c r="AU263" s="142" t="s">
        <v>87</v>
      </c>
      <c r="AV263" s="137" t="s">
        <v>218</v>
      </c>
      <c r="AW263" s="137" t="s">
        <v>33</v>
      </c>
      <c r="AX263" s="137" t="s">
        <v>85</v>
      </c>
      <c r="AY263" s="142" t="s">
        <v>211</v>
      </c>
    </row>
    <row r="264" spans="2:65" s="1" customFormat="1" ht="24.15" customHeight="1">
      <c r="B264" s="12"/>
      <c r="C264" s="114" t="s">
        <v>570</v>
      </c>
      <c r="D264" s="114" t="s">
        <v>438</v>
      </c>
      <c r="E264" s="115" t="s">
        <v>5963</v>
      </c>
      <c r="F264" s="116" t="s">
        <v>5964</v>
      </c>
      <c r="G264" s="117" t="s">
        <v>1599</v>
      </c>
      <c r="H264" s="118">
        <v>2</v>
      </c>
      <c r="I264" s="152">
        <v>647</v>
      </c>
      <c r="J264" s="123">
        <f>ROUND(I264*H264,2)</f>
        <v>1294</v>
      </c>
      <c r="K264" s="124"/>
      <c r="L264" s="125"/>
      <c r="M264" s="126" t="s">
        <v>1</v>
      </c>
      <c r="N264" s="127" t="s">
        <v>42</v>
      </c>
      <c r="P264" s="95">
        <f>O264*H264</f>
        <v>0</v>
      </c>
      <c r="Q264" s="95">
        <v>0</v>
      </c>
      <c r="R264" s="95">
        <f>Q264*H264</f>
        <v>0</v>
      </c>
      <c r="S264" s="95">
        <v>0</v>
      </c>
      <c r="T264" s="99">
        <f>S264*H264</f>
        <v>0</v>
      </c>
      <c r="AR264" s="101" t="s">
        <v>250</v>
      </c>
      <c r="AT264" s="101" t="s">
        <v>438</v>
      </c>
      <c r="AU264" s="101" t="s">
        <v>87</v>
      </c>
      <c r="AY264" s="23" t="s">
        <v>211</v>
      </c>
      <c r="BE264" s="104">
        <f>IF(N264="základní",J264,0)</f>
        <v>1294</v>
      </c>
      <c r="BF264" s="104">
        <f>IF(N264="snížená",J264,0)</f>
        <v>0</v>
      </c>
      <c r="BG264" s="104">
        <f>IF(N264="zákl. přenesená",J264,0)</f>
        <v>0</v>
      </c>
      <c r="BH264" s="104">
        <f>IF(N264="sníž. přenesená",J264,0)</f>
        <v>0</v>
      </c>
      <c r="BI264" s="104">
        <f>IF(N264="nulová",J264,0)</f>
        <v>0</v>
      </c>
      <c r="BJ264" s="23" t="s">
        <v>85</v>
      </c>
      <c r="BK264" s="104">
        <f>ROUND(I264*H264,2)</f>
        <v>1294</v>
      </c>
      <c r="BL264" s="23" t="s">
        <v>218</v>
      </c>
      <c r="BM264" s="101" t="s">
        <v>854</v>
      </c>
    </row>
    <row r="265" spans="2:65" s="136" customFormat="1">
      <c r="B265" s="138"/>
      <c r="D265" s="105" t="s">
        <v>365</v>
      </c>
      <c r="E265" s="139" t="s">
        <v>1</v>
      </c>
      <c r="F265" s="140" t="s">
        <v>5965</v>
      </c>
      <c r="H265" s="139" t="s">
        <v>1</v>
      </c>
      <c r="I265" s="146"/>
      <c r="L265" s="138"/>
      <c r="M265" s="147"/>
      <c r="T265" s="150"/>
      <c r="AT265" s="139" t="s">
        <v>365</v>
      </c>
      <c r="AU265" s="139" t="s">
        <v>87</v>
      </c>
      <c r="AV265" s="136" t="s">
        <v>85</v>
      </c>
      <c r="AW265" s="136" t="s">
        <v>33</v>
      </c>
      <c r="AX265" s="136" t="s">
        <v>77</v>
      </c>
      <c r="AY265" s="139" t="s">
        <v>211</v>
      </c>
    </row>
    <row r="266" spans="2:65" s="113" customFormat="1">
      <c r="B266" s="119"/>
      <c r="D266" s="105" t="s">
        <v>365</v>
      </c>
      <c r="E266" s="135" t="s">
        <v>1</v>
      </c>
      <c r="F266" s="120" t="s">
        <v>87</v>
      </c>
      <c r="H266" s="121">
        <v>2</v>
      </c>
      <c r="I266" s="128"/>
      <c r="L266" s="119"/>
      <c r="M266" s="129"/>
      <c r="T266" s="133"/>
      <c r="AT266" s="135" t="s">
        <v>365</v>
      </c>
      <c r="AU266" s="135" t="s">
        <v>87</v>
      </c>
      <c r="AV266" s="113" t="s">
        <v>87</v>
      </c>
      <c r="AW266" s="113" t="s">
        <v>33</v>
      </c>
      <c r="AX266" s="113" t="s">
        <v>77</v>
      </c>
      <c r="AY266" s="135" t="s">
        <v>211</v>
      </c>
    </row>
    <row r="267" spans="2:65" s="137" customFormat="1">
      <c r="B267" s="141"/>
      <c r="D267" s="105" t="s">
        <v>365</v>
      </c>
      <c r="E267" s="142" t="s">
        <v>1</v>
      </c>
      <c r="F267" s="143" t="s">
        <v>368</v>
      </c>
      <c r="H267" s="144">
        <v>2</v>
      </c>
      <c r="I267" s="148"/>
      <c r="L267" s="141"/>
      <c r="M267" s="149"/>
      <c r="T267" s="151"/>
      <c r="AT267" s="142" t="s">
        <v>365</v>
      </c>
      <c r="AU267" s="142" t="s">
        <v>87</v>
      </c>
      <c r="AV267" s="137" t="s">
        <v>218</v>
      </c>
      <c r="AW267" s="137" t="s">
        <v>33</v>
      </c>
      <c r="AX267" s="137" t="s">
        <v>85</v>
      </c>
      <c r="AY267" s="142" t="s">
        <v>211</v>
      </c>
    </row>
    <row r="268" spans="2:65" s="1" customFormat="1" ht="24.15" customHeight="1">
      <c r="B268" s="12"/>
      <c r="C268" s="114" t="s">
        <v>578</v>
      </c>
      <c r="D268" s="114" t="s">
        <v>438</v>
      </c>
      <c r="E268" s="115" t="s">
        <v>5433</v>
      </c>
      <c r="F268" s="116" t="s">
        <v>5434</v>
      </c>
      <c r="G268" s="117" t="s">
        <v>1599</v>
      </c>
      <c r="H268" s="118">
        <v>1</v>
      </c>
      <c r="I268" s="152">
        <v>792</v>
      </c>
      <c r="J268" s="123">
        <f>ROUND(I268*H268,2)</f>
        <v>792</v>
      </c>
      <c r="K268" s="124"/>
      <c r="L268" s="125"/>
      <c r="M268" s="126" t="s">
        <v>1</v>
      </c>
      <c r="N268" s="127" t="s">
        <v>42</v>
      </c>
      <c r="P268" s="95">
        <f>O268*H268</f>
        <v>0</v>
      </c>
      <c r="Q268" s="95">
        <v>0</v>
      </c>
      <c r="R268" s="95">
        <f>Q268*H268</f>
        <v>0</v>
      </c>
      <c r="S268" s="95">
        <v>0</v>
      </c>
      <c r="T268" s="99">
        <f>S268*H268</f>
        <v>0</v>
      </c>
      <c r="AR268" s="101" t="s">
        <v>250</v>
      </c>
      <c r="AT268" s="101" t="s">
        <v>438</v>
      </c>
      <c r="AU268" s="101" t="s">
        <v>87</v>
      </c>
      <c r="AY268" s="23" t="s">
        <v>211</v>
      </c>
      <c r="BE268" s="104">
        <f>IF(N268="základní",J268,0)</f>
        <v>792</v>
      </c>
      <c r="BF268" s="104">
        <f>IF(N268="snížená",J268,0)</f>
        <v>0</v>
      </c>
      <c r="BG268" s="104">
        <f>IF(N268="zákl. přenesená",J268,0)</f>
        <v>0</v>
      </c>
      <c r="BH268" s="104">
        <f>IF(N268="sníž. přenesená",J268,0)</f>
        <v>0</v>
      </c>
      <c r="BI268" s="104">
        <f>IF(N268="nulová",J268,0)</f>
        <v>0</v>
      </c>
      <c r="BJ268" s="23" t="s">
        <v>85</v>
      </c>
      <c r="BK268" s="104">
        <f>ROUND(I268*H268,2)</f>
        <v>792</v>
      </c>
      <c r="BL268" s="23" t="s">
        <v>218</v>
      </c>
      <c r="BM268" s="101" t="s">
        <v>862</v>
      </c>
    </row>
    <row r="269" spans="2:65" s="136" customFormat="1">
      <c r="B269" s="138"/>
      <c r="D269" s="105" t="s">
        <v>365</v>
      </c>
      <c r="E269" s="139" t="s">
        <v>1</v>
      </c>
      <c r="F269" s="140" t="s">
        <v>5435</v>
      </c>
      <c r="H269" s="139" t="s">
        <v>1</v>
      </c>
      <c r="I269" s="146"/>
      <c r="L269" s="138"/>
      <c r="M269" s="147"/>
      <c r="T269" s="150"/>
      <c r="AT269" s="139" t="s">
        <v>365</v>
      </c>
      <c r="AU269" s="139" t="s">
        <v>87</v>
      </c>
      <c r="AV269" s="136" t="s">
        <v>85</v>
      </c>
      <c r="AW269" s="136" t="s">
        <v>33</v>
      </c>
      <c r="AX269" s="136" t="s">
        <v>77</v>
      </c>
      <c r="AY269" s="139" t="s">
        <v>211</v>
      </c>
    </row>
    <row r="270" spans="2:65" s="113" customFormat="1">
      <c r="B270" s="119"/>
      <c r="D270" s="105" t="s">
        <v>365</v>
      </c>
      <c r="E270" s="135" t="s">
        <v>1</v>
      </c>
      <c r="F270" s="120" t="s">
        <v>85</v>
      </c>
      <c r="H270" s="121">
        <v>1</v>
      </c>
      <c r="I270" s="128"/>
      <c r="L270" s="119"/>
      <c r="M270" s="129"/>
      <c r="T270" s="133"/>
      <c r="AT270" s="135" t="s">
        <v>365</v>
      </c>
      <c r="AU270" s="135" t="s">
        <v>87</v>
      </c>
      <c r="AV270" s="113" t="s">
        <v>87</v>
      </c>
      <c r="AW270" s="113" t="s">
        <v>33</v>
      </c>
      <c r="AX270" s="113" t="s">
        <v>77</v>
      </c>
      <c r="AY270" s="135" t="s">
        <v>211</v>
      </c>
    </row>
    <row r="271" spans="2:65" s="137" customFormat="1">
      <c r="B271" s="141"/>
      <c r="D271" s="105" t="s">
        <v>365</v>
      </c>
      <c r="E271" s="142" t="s">
        <v>1</v>
      </c>
      <c r="F271" s="143" t="s">
        <v>368</v>
      </c>
      <c r="H271" s="144">
        <v>1</v>
      </c>
      <c r="I271" s="148"/>
      <c r="L271" s="141"/>
      <c r="M271" s="149"/>
      <c r="T271" s="151"/>
      <c r="AT271" s="142" t="s">
        <v>365</v>
      </c>
      <c r="AU271" s="142" t="s">
        <v>87</v>
      </c>
      <c r="AV271" s="137" t="s">
        <v>218</v>
      </c>
      <c r="AW271" s="137" t="s">
        <v>33</v>
      </c>
      <c r="AX271" s="137" t="s">
        <v>85</v>
      </c>
      <c r="AY271" s="142" t="s">
        <v>211</v>
      </c>
    </row>
    <row r="272" spans="2:65" s="1" customFormat="1" ht="21.75" customHeight="1">
      <c r="B272" s="12"/>
      <c r="C272" s="114" t="s">
        <v>582</v>
      </c>
      <c r="D272" s="114" t="s">
        <v>438</v>
      </c>
      <c r="E272" s="115" t="s">
        <v>5966</v>
      </c>
      <c r="F272" s="116" t="s">
        <v>5967</v>
      </c>
      <c r="G272" s="117" t="s">
        <v>1599</v>
      </c>
      <c r="H272" s="118">
        <v>1</v>
      </c>
      <c r="I272" s="152">
        <v>793</v>
      </c>
      <c r="J272" s="123">
        <f>ROUND(I272*H272,2)</f>
        <v>793</v>
      </c>
      <c r="K272" s="124"/>
      <c r="L272" s="125"/>
      <c r="M272" s="126" t="s">
        <v>1</v>
      </c>
      <c r="N272" s="127" t="s">
        <v>42</v>
      </c>
      <c r="P272" s="95">
        <f>O272*H272</f>
        <v>0</v>
      </c>
      <c r="Q272" s="95">
        <v>0</v>
      </c>
      <c r="R272" s="95">
        <f>Q272*H272</f>
        <v>0</v>
      </c>
      <c r="S272" s="95">
        <v>0</v>
      </c>
      <c r="T272" s="99">
        <f>S272*H272</f>
        <v>0</v>
      </c>
      <c r="AR272" s="101" t="s">
        <v>250</v>
      </c>
      <c r="AT272" s="101" t="s">
        <v>438</v>
      </c>
      <c r="AU272" s="101" t="s">
        <v>87</v>
      </c>
      <c r="AY272" s="23" t="s">
        <v>211</v>
      </c>
      <c r="BE272" s="104">
        <f>IF(N272="základní",J272,0)</f>
        <v>793</v>
      </c>
      <c r="BF272" s="104">
        <f>IF(N272="snížená",J272,0)</f>
        <v>0</v>
      </c>
      <c r="BG272" s="104">
        <f>IF(N272="zákl. přenesená",J272,0)</f>
        <v>0</v>
      </c>
      <c r="BH272" s="104">
        <f>IF(N272="sníž. přenesená",J272,0)</f>
        <v>0</v>
      </c>
      <c r="BI272" s="104">
        <f>IF(N272="nulová",J272,0)</f>
        <v>0</v>
      </c>
      <c r="BJ272" s="23" t="s">
        <v>85</v>
      </c>
      <c r="BK272" s="104">
        <f>ROUND(I272*H272,2)</f>
        <v>793</v>
      </c>
      <c r="BL272" s="23" t="s">
        <v>218</v>
      </c>
      <c r="BM272" s="101" t="s">
        <v>883</v>
      </c>
    </row>
    <row r="273" spans="2:65" s="136" customFormat="1">
      <c r="B273" s="138"/>
      <c r="D273" s="105" t="s">
        <v>365</v>
      </c>
      <c r="E273" s="139" t="s">
        <v>1</v>
      </c>
      <c r="F273" s="140" t="s">
        <v>5968</v>
      </c>
      <c r="H273" s="139" t="s">
        <v>1</v>
      </c>
      <c r="I273" s="146"/>
      <c r="L273" s="138"/>
      <c r="M273" s="147"/>
      <c r="T273" s="150"/>
      <c r="AT273" s="139" t="s">
        <v>365</v>
      </c>
      <c r="AU273" s="139" t="s">
        <v>87</v>
      </c>
      <c r="AV273" s="136" t="s">
        <v>85</v>
      </c>
      <c r="AW273" s="136" t="s">
        <v>33</v>
      </c>
      <c r="AX273" s="136" t="s">
        <v>77</v>
      </c>
      <c r="AY273" s="139" t="s">
        <v>211</v>
      </c>
    </row>
    <row r="274" spans="2:65" s="113" customFormat="1">
      <c r="B274" s="119"/>
      <c r="D274" s="105" t="s">
        <v>365</v>
      </c>
      <c r="E274" s="135" t="s">
        <v>1</v>
      </c>
      <c r="F274" s="120" t="s">
        <v>85</v>
      </c>
      <c r="H274" s="121">
        <v>1</v>
      </c>
      <c r="I274" s="128"/>
      <c r="L274" s="119"/>
      <c r="M274" s="129"/>
      <c r="T274" s="133"/>
      <c r="AT274" s="135" t="s">
        <v>365</v>
      </c>
      <c r="AU274" s="135" t="s">
        <v>87</v>
      </c>
      <c r="AV274" s="113" t="s">
        <v>87</v>
      </c>
      <c r="AW274" s="113" t="s">
        <v>33</v>
      </c>
      <c r="AX274" s="113" t="s">
        <v>77</v>
      </c>
      <c r="AY274" s="135" t="s">
        <v>211</v>
      </c>
    </row>
    <row r="275" spans="2:65" s="137" customFormat="1">
      <c r="B275" s="141"/>
      <c r="D275" s="105" t="s">
        <v>365</v>
      </c>
      <c r="E275" s="142" t="s">
        <v>1</v>
      </c>
      <c r="F275" s="143" t="s">
        <v>368</v>
      </c>
      <c r="H275" s="144">
        <v>1</v>
      </c>
      <c r="I275" s="148"/>
      <c r="L275" s="141"/>
      <c r="M275" s="149"/>
      <c r="T275" s="151"/>
      <c r="AT275" s="142" t="s">
        <v>365</v>
      </c>
      <c r="AU275" s="142" t="s">
        <v>87</v>
      </c>
      <c r="AV275" s="137" t="s">
        <v>218</v>
      </c>
      <c r="AW275" s="137" t="s">
        <v>33</v>
      </c>
      <c r="AX275" s="137" t="s">
        <v>85</v>
      </c>
      <c r="AY275" s="142" t="s">
        <v>211</v>
      </c>
    </row>
    <row r="276" spans="2:65" s="1" customFormat="1" ht="16.5" customHeight="1">
      <c r="B276" s="12"/>
      <c r="C276" s="114" t="s">
        <v>588</v>
      </c>
      <c r="D276" s="114" t="s">
        <v>438</v>
      </c>
      <c r="E276" s="115" t="s">
        <v>5969</v>
      </c>
      <c r="F276" s="116" t="s">
        <v>5970</v>
      </c>
      <c r="G276" s="117" t="s">
        <v>1599</v>
      </c>
      <c r="H276" s="118">
        <v>1</v>
      </c>
      <c r="I276" s="152">
        <v>449</v>
      </c>
      <c r="J276" s="123">
        <f>ROUND(I276*H276,2)</f>
        <v>449</v>
      </c>
      <c r="K276" s="124"/>
      <c r="L276" s="125"/>
      <c r="M276" s="126" t="s">
        <v>1</v>
      </c>
      <c r="N276" s="127" t="s">
        <v>42</v>
      </c>
      <c r="P276" s="95">
        <f>O276*H276</f>
        <v>0</v>
      </c>
      <c r="Q276" s="95">
        <v>0</v>
      </c>
      <c r="R276" s="95">
        <f>Q276*H276</f>
        <v>0</v>
      </c>
      <c r="S276" s="95">
        <v>0</v>
      </c>
      <c r="T276" s="99">
        <f>S276*H276</f>
        <v>0</v>
      </c>
      <c r="AR276" s="101" t="s">
        <v>250</v>
      </c>
      <c r="AT276" s="101" t="s">
        <v>438</v>
      </c>
      <c r="AU276" s="101" t="s">
        <v>87</v>
      </c>
      <c r="AY276" s="23" t="s">
        <v>211</v>
      </c>
      <c r="BE276" s="104">
        <f>IF(N276="základní",J276,0)</f>
        <v>449</v>
      </c>
      <c r="BF276" s="104">
        <f>IF(N276="snížená",J276,0)</f>
        <v>0</v>
      </c>
      <c r="BG276" s="104">
        <f>IF(N276="zákl. přenesená",J276,0)</f>
        <v>0</v>
      </c>
      <c r="BH276" s="104">
        <f>IF(N276="sníž. přenesená",J276,0)</f>
        <v>0</v>
      </c>
      <c r="BI276" s="104">
        <f>IF(N276="nulová",J276,0)</f>
        <v>0</v>
      </c>
      <c r="BJ276" s="23" t="s">
        <v>85</v>
      </c>
      <c r="BK276" s="104">
        <f>ROUND(I276*H276,2)</f>
        <v>449</v>
      </c>
      <c r="BL276" s="23" t="s">
        <v>218</v>
      </c>
      <c r="BM276" s="101" t="s">
        <v>905</v>
      </c>
    </row>
    <row r="277" spans="2:65" s="136" customFormat="1">
      <c r="B277" s="138"/>
      <c r="D277" s="105" t="s">
        <v>365</v>
      </c>
      <c r="E277" s="139" t="s">
        <v>1</v>
      </c>
      <c r="F277" s="140" t="s">
        <v>5971</v>
      </c>
      <c r="H277" s="139" t="s">
        <v>1</v>
      </c>
      <c r="I277" s="146"/>
      <c r="L277" s="138"/>
      <c r="M277" s="147"/>
      <c r="T277" s="150"/>
      <c r="AT277" s="139" t="s">
        <v>365</v>
      </c>
      <c r="AU277" s="139" t="s">
        <v>87</v>
      </c>
      <c r="AV277" s="136" t="s">
        <v>85</v>
      </c>
      <c r="AW277" s="136" t="s">
        <v>33</v>
      </c>
      <c r="AX277" s="136" t="s">
        <v>77</v>
      </c>
      <c r="AY277" s="139" t="s">
        <v>211</v>
      </c>
    </row>
    <row r="278" spans="2:65" s="113" customFormat="1">
      <c r="B278" s="119"/>
      <c r="D278" s="105" t="s">
        <v>365</v>
      </c>
      <c r="E278" s="135" t="s">
        <v>1</v>
      </c>
      <c r="F278" s="120" t="s">
        <v>85</v>
      </c>
      <c r="H278" s="121">
        <v>1</v>
      </c>
      <c r="I278" s="128"/>
      <c r="L278" s="119"/>
      <c r="M278" s="129"/>
      <c r="T278" s="133"/>
      <c r="AT278" s="135" t="s">
        <v>365</v>
      </c>
      <c r="AU278" s="135" t="s">
        <v>87</v>
      </c>
      <c r="AV278" s="113" t="s">
        <v>87</v>
      </c>
      <c r="AW278" s="113" t="s">
        <v>33</v>
      </c>
      <c r="AX278" s="113" t="s">
        <v>77</v>
      </c>
      <c r="AY278" s="135" t="s">
        <v>211</v>
      </c>
    </row>
    <row r="279" spans="2:65" s="137" customFormat="1">
      <c r="B279" s="141"/>
      <c r="D279" s="105" t="s">
        <v>365</v>
      </c>
      <c r="E279" s="142" t="s">
        <v>1</v>
      </c>
      <c r="F279" s="143" t="s">
        <v>368</v>
      </c>
      <c r="H279" s="144">
        <v>1</v>
      </c>
      <c r="I279" s="148"/>
      <c r="L279" s="141"/>
      <c r="M279" s="149"/>
      <c r="T279" s="151"/>
      <c r="AT279" s="142" t="s">
        <v>365</v>
      </c>
      <c r="AU279" s="142" t="s">
        <v>87</v>
      </c>
      <c r="AV279" s="137" t="s">
        <v>218</v>
      </c>
      <c r="AW279" s="137" t="s">
        <v>33</v>
      </c>
      <c r="AX279" s="137" t="s">
        <v>85</v>
      </c>
      <c r="AY279" s="142" t="s">
        <v>211</v>
      </c>
    </row>
    <row r="280" spans="2:65" s="1" customFormat="1" ht="16.5" customHeight="1">
      <c r="B280" s="12"/>
      <c r="C280" s="114" t="s">
        <v>593</v>
      </c>
      <c r="D280" s="114" t="s">
        <v>438</v>
      </c>
      <c r="E280" s="115" t="s">
        <v>5972</v>
      </c>
      <c r="F280" s="116" t="s">
        <v>5973</v>
      </c>
      <c r="G280" s="117" t="s">
        <v>1599</v>
      </c>
      <c r="H280" s="118">
        <v>1</v>
      </c>
      <c r="I280" s="152">
        <v>815</v>
      </c>
      <c r="J280" s="123">
        <f>ROUND(I280*H280,2)</f>
        <v>815</v>
      </c>
      <c r="K280" s="124"/>
      <c r="L280" s="125"/>
      <c r="M280" s="126" t="s">
        <v>1</v>
      </c>
      <c r="N280" s="127" t="s">
        <v>42</v>
      </c>
      <c r="P280" s="95">
        <f>O280*H280</f>
        <v>0</v>
      </c>
      <c r="Q280" s="95">
        <v>0</v>
      </c>
      <c r="R280" s="95">
        <f>Q280*H280</f>
        <v>0</v>
      </c>
      <c r="S280" s="95">
        <v>0</v>
      </c>
      <c r="T280" s="99">
        <f>S280*H280</f>
        <v>0</v>
      </c>
      <c r="AR280" s="101" t="s">
        <v>250</v>
      </c>
      <c r="AT280" s="101" t="s">
        <v>438</v>
      </c>
      <c r="AU280" s="101" t="s">
        <v>87</v>
      </c>
      <c r="AY280" s="23" t="s">
        <v>211</v>
      </c>
      <c r="BE280" s="104">
        <f>IF(N280="základní",J280,0)</f>
        <v>815</v>
      </c>
      <c r="BF280" s="104">
        <f>IF(N280="snížená",J280,0)</f>
        <v>0</v>
      </c>
      <c r="BG280" s="104">
        <f>IF(N280="zákl. přenesená",J280,0)</f>
        <v>0</v>
      </c>
      <c r="BH280" s="104">
        <f>IF(N280="sníž. přenesená",J280,0)</f>
        <v>0</v>
      </c>
      <c r="BI280" s="104">
        <f>IF(N280="nulová",J280,0)</f>
        <v>0</v>
      </c>
      <c r="BJ280" s="23" t="s">
        <v>85</v>
      </c>
      <c r="BK280" s="104">
        <f>ROUND(I280*H280,2)</f>
        <v>815</v>
      </c>
      <c r="BL280" s="23" t="s">
        <v>218</v>
      </c>
      <c r="BM280" s="101" t="s">
        <v>919</v>
      </c>
    </row>
    <row r="281" spans="2:65" s="136" customFormat="1">
      <c r="B281" s="138"/>
      <c r="D281" s="105" t="s">
        <v>365</v>
      </c>
      <c r="E281" s="139" t="s">
        <v>1</v>
      </c>
      <c r="F281" s="140" t="s">
        <v>4947</v>
      </c>
      <c r="H281" s="139" t="s">
        <v>1</v>
      </c>
      <c r="I281" s="146"/>
      <c r="L281" s="138"/>
      <c r="M281" s="147"/>
      <c r="T281" s="150"/>
      <c r="AT281" s="139" t="s">
        <v>365</v>
      </c>
      <c r="AU281" s="139" t="s">
        <v>87</v>
      </c>
      <c r="AV281" s="136" t="s">
        <v>85</v>
      </c>
      <c r="AW281" s="136" t="s">
        <v>33</v>
      </c>
      <c r="AX281" s="136" t="s">
        <v>77</v>
      </c>
      <c r="AY281" s="139" t="s">
        <v>211</v>
      </c>
    </row>
    <row r="282" spans="2:65" s="113" customFormat="1">
      <c r="B282" s="119"/>
      <c r="D282" s="105" t="s">
        <v>365</v>
      </c>
      <c r="E282" s="135" t="s">
        <v>1</v>
      </c>
      <c r="F282" s="120" t="s">
        <v>85</v>
      </c>
      <c r="H282" s="121">
        <v>1</v>
      </c>
      <c r="I282" s="128"/>
      <c r="L282" s="119"/>
      <c r="M282" s="129"/>
      <c r="T282" s="133"/>
      <c r="AT282" s="135" t="s">
        <v>365</v>
      </c>
      <c r="AU282" s="135" t="s">
        <v>87</v>
      </c>
      <c r="AV282" s="113" t="s">
        <v>87</v>
      </c>
      <c r="AW282" s="113" t="s">
        <v>33</v>
      </c>
      <c r="AX282" s="113" t="s">
        <v>77</v>
      </c>
      <c r="AY282" s="135" t="s">
        <v>211</v>
      </c>
    </row>
    <row r="283" spans="2:65" s="137" customFormat="1">
      <c r="B283" s="141"/>
      <c r="D283" s="105" t="s">
        <v>365</v>
      </c>
      <c r="E283" s="142" t="s">
        <v>1</v>
      </c>
      <c r="F283" s="143" t="s">
        <v>368</v>
      </c>
      <c r="H283" s="144">
        <v>1</v>
      </c>
      <c r="I283" s="148"/>
      <c r="L283" s="141"/>
      <c r="M283" s="149"/>
      <c r="T283" s="151"/>
      <c r="AT283" s="142" t="s">
        <v>365</v>
      </c>
      <c r="AU283" s="142" t="s">
        <v>87</v>
      </c>
      <c r="AV283" s="137" t="s">
        <v>218</v>
      </c>
      <c r="AW283" s="137" t="s">
        <v>33</v>
      </c>
      <c r="AX283" s="137" t="s">
        <v>85</v>
      </c>
      <c r="AY283" s="142" t="s">
        <v>211</v>
      </c>
    </row>
    <row r="284" spans="2:65" s="1" customFormat="1" ht="16.5" customHeight="1">
      <c r="B284" s="12"/>
      <c r="C284" s="114" t="s">
        <v>598</v>
      </c>
      <c r="D284" s="114" t="s">
        <v>438</v>
      </c>
      <c r="E284" s="115" t="s">
        <v>5974</v>
      </c>
      <c r="F284" s="116" t="s">
        <v>5975</v>
      </c>
      <c r="G284" s="117" t="s">
        <v>1599</v>
      </c>
      <c r="H284" s="118">
        <v>2</v>
      </c>
      <c r="I284" s="152">
        <v>966</v>
      </c>
      <c r="J284" s="123">
        <f>ROUND(I284*H284,2)</f>
        <v>1932</v>
      </c>
      <c r="K284" s="124"/>
      <c r="L284" s="125"/>
      <c r="M284" s="126" t="s">
        <v>1</v>
      </c>
      <c r="N284" s="127" t="s">
        <v>42</v>
      </c>
      <c r="P284" s="95">
        <f>O284*H284</f>
        <v>0</v>
      </c>
      <c r="Q284" s="95">
        <v>0</v>
      </c>
      <c r="R284" s="95">
        <f>Q284*H284</f>
        <v>0</v>
      </c>
      <c r="S284" s="95">
        <v>0</v>
      </c>
      <c r="T284" s="99">
        <f>S284*H284</f>
        <v>0</v>
      </c>
      <c r="AR284" s="101" t="s">
        <v>250</v>
      </c>
      <c r="AT284" s="101" t="s">
        <v>438</v>
      </c>
      <c r="AU284" s="101" t="s">
        <v>87</v>
      </c>
      <c r="AY284" s="23" t="s">
        <v>211</v>
      </c>
      <c r="BE284" s="104">
        <f>IF(N284="základní",J284,0)</f>
        <v>1932</v>
      </c>
      <c r="BF284" s="104">
        <f>IF(N284="snížená",J284,0)</f>
        <v>0</v>
      </c>
      <c r="BG284" s="104">
        <f>IF(N284="zákl. přenesená",J284,0)</f>
        <v>0</v>
      </c>
      <c r="BH284" s="104">
        <f>IF(N284="sníž. přenesená",J284,0)</f>
        <v>0</v>
      </c>
      <c r="BI284" s="104">
        <f>IF(N284="nulová",J284,0)</f>
        <v>0</v>
      </c>
      <c r="BJ284" s="23" t="s">
        <v>85</v>
      </c>
      <c r="BK284" s="104">
        <f>ROUND(I284*H284,2)</f>
        <v>1932</v>
      </c>
      <c r="BL284" s="23" t="s">
        <v>218</v>
      </c>
      <c r="BM284" s="101" t="s">
        <v>935</v>
      </c>
    </row>
    <row r="285" spans="2:65" s="136" customFormat="1">
      <c r="B285" s="138"/>
      <c r="D285" s="105" t="s">
        <v>365</v>
      </c>
      <c r="E285" s="139" t="s">
        <v>1</v>
      </c>
      <c r="F285" s="140" t="s">
        <v>5976</v>
      </c>
      <c r="H285" s="139" t="s">
        <v>1</v>
      </c>
      <c r="I285" s="146"/>
      <c r="L285" s="138"/>
      <c r="M285" s="147"/>
      <c r="T285" s="150"/>
      <c r="AT285" s="139" t="s">
        <v>365</v>
      </c>
      <c r="AU285" s="139" t="s">
        <v>87</v>
      </c>
      <c r="AV285" s="136" t="s">
        <v>85</v>
      </c>
      <c r="AW285" s="136" t="s">
        <v>33</v>
      </c>
      <c r="AX285" s="136" t="s">
        <v>77</v>
      </c>
      <c r="AY285" s="139" t="s">
        <v>211</v>
      </c>
    </row>
    <row r="286" spans="2:65" s="113" customFormat="1">
      <c r="B286" s="119"/>
      <c r="D286" s="105" t="s">
        <v>365</v>
      </c>
      <c r="E286" s="135" t="s">
        <v>1</v>
      </c>
      <c r="F286" s="120" t="s">
        <v>87</v>
      </c>
      <c r="H286" s="121">
        <v>2</v>
      </c>
      <c r="I286" s="128"/>
      <c r="L286" s="119"/>
      <c r="M286" s="129"/>
      <c r="T286" s="133"/>
      <c r="AT286" s="135" t="s">
        <v>365</v>
      </c>
      <c r="AU286" s="135" t="s">
        <v>87</v>
      </c>
      <c r="AV286" s="113" t="s">
        <v>87</v>
      </c>
      <c r="AW286" s="113" t="s">
        <v>33</v>
      </c>
      <c r="AX286" s="113" t="s">
        <v>77</v>
      </c>
      <c r="AY286" s="135" t="s">
        <v>211</v>
      </c>
    </row>
    <row r="287" spans="2:65" s="137" customFormat="1">
      <c r="B287" s="141"/>
      <c r="D287" s="105" t="s">
        <v>365</v>
      </c>
      <c r="E287" s="142" t="s">
        <v>1</v>
      </c>
      <c r="F287" s="143" t="s">
        <v>368</v>
      </c>
      <c r="H287" s="144">
        <v>2</v>
      </c>
      <c r="I287" s="148"/>
      <c r="L287" s="141"/>
      <c r="M287" s="149"/>
      <c r="T287" s="151"/>
      <c r="AT287" s="142" t="s">
        <v>365</v>
      </c>
      <c r="AU287" s="142" t="s">
        <v>87</v>
      </c>
      <c r="AV287" s="137" t="s">
        <v>218</v>
      </c>
      <c r="AW287" s="137" t="s">
        <v>33</v>
      </c>
      <c r="AX287" s="137" t="s">
        <v>85</v>
      </c>
      <c r="AY287" s="142" t="s">
        <v>211</v>
      </c>
    </row>
    <row r="288" spans="2:65" s="1" customFormat="1" ht="24.15" customHeight="1">
      <c r="B288" s="12"/>
      <c r="C288" s="71" t="s">
        <v>604</v>
      </c>
      <c r="D288" s="71" t="s">
        <v>214</v>
      </c>
      <c r="E288" s="72" t="s">
        <v>5977</v>
      </c>
      <c r="F288" s="73" t="s">
        <v>5978</v>
      </c>
      <c r="G288" s="74" t="s">
        <v>1599</v>
      </c>
      <c r="H288" s="75">
        <v>2</v>
      </c>
      <c r="I288" s="145">
        <v>371</v>
      </c>
      <c r="J288" s="91">
        <f>ROUND(I288*H288,2)</f>
        <v>742</v>
      </c>
      <c r="K288" s="92"/>
      <c r="L288" s="12"/>
      <c r="M288" s="93" t="s">
        <v>1</v>
      </c>
      <c r="N288" s="94" t="s">
        <v>42</v>
      </c>
      <c r="P288" s="95">
        <f>O288*H288</f>
        <v>0</v>
      </c>
      <c r="Q288" s="95">
        <v>0</v>
      </c>
      <c r="R288" s="95">
        <f>Q288*H288</f>
        <v>0</v>
      </c>
      <c r="S288" s="95">
        <v>0</v>
      </c>
      <c r="T288" s="99">
        <f>S288*H288</f>
        <v>0</v>
      </c>
      <c r="AR288" s="101" t="s">
        <v>218</v>
      </c>
      <c r="AT288" s="101" t="s">
        <v>214</v>
      </c>
      <c r="AU288" s="101" t="s">
        <v>87</v>
      </c>
      <c r="AY288" s="23" t="s">
        <v>211</v>
      </c>
      <c r="BE288" s="104">
        <f>IF(N288="základní",J288,0)</f>
        <v>742</v>
      </c>
      <c r="BF288" s="104">
        <f>IF(N288="snížená",J288,0)</f>
        <v>0</v>
      </c>
      <c r="BG288" s="104">
        <f>IF(N288="zákl. přenesená",J288,0)</f>
        <v>0</v>
      </c>
      <c r="BH288" s="104">
        <f>IF(N288="sníž. přenesená",J288,0)</f>
        <v>0</v>
      </c>
      <c r="BI288" s="104">
        <f>IF(N288="nulová",J288,0)</f>
        <v>0</v>
      </c>
      <c r="BJ288" s="23" t="s">
        <v>85</v>
      </c>
      <c r="BK288" s="104">
        <f>ROUND(I288*H288,2)</f>
        <v>742</v>
      </c>
      <c r="BL288" s="23" t="s">
        <v>218</v>
      </c>
      <c r="BM288" s="101" t="s">
        <v>950</v>
      </c>
    </row>
    <row r="289" spans="2:65" s="113" customFormat="1">
      <c r="B289" s="119"/>
      <c r="D289" s="105" t="s">
        <v>365</v>
      </c>
      <c r="E289" s="135" t="s">
        <v>1</v>
      </c>
      <c r="F289" s="120" t="s">
        <v>5979</v>
      </c>
      <c r="H289" s="121">
        <v>2</v>
      </c>
      <c r="I289" s="128"/>
      <c r="L289" s="119"/>
      <c r="M289" s="129"/>
      <c r="T289" s="133"/>
      <c r="AT289" s="135" t="s">
        <v>365</v>
      </c>
      <c r="AU289" s="135" t="s">
        <v>87</v>
      </c>
      <c r="AV289" s="113" t="s">
        <v>87</v>
      </c>
      <c r="AW289" s="113" t="s">
        <v>33</v>
      </c>
      <c r="AX289" s="113" t="s">
        <v>77</v>
      </c>
      <c r="AY289" s="135" t="s">
        <v>211</v>
      </c>
    </row>
    <row r="290" spans="2:65" s="137" customFormat="1">
      <c r="B290" s="141"/>
      <c r="D290" s="105" t="s">
        <v>365</v>
      </c>
      <c r="E290" s="142" t="s">
        <v>1</v>
      </c>
      <c r="F290" s="143" t="s">
        <v>368</v>
      </c>
      <c r="H290" s="144">
        <v>2</v>
      </c>
      <c r="I290" s="148"/>
      <c r="L290" s="141"/>
      <c r="M290" s="149"/>
      <c r="T290" s="151"/>
      <c r="AT290" s="142" t="s">
        <v>365</v>
      </c>
      <c r="AU290" s="142" t="s">
        <v>87</v>
      </c>
      <c r="AV290" s="137" t="s">
        <v>218</v>
      </c>
      <c r="AW290" s="137" t="s">
        <v>33</v>
      </c>
      <c r="AX290" s="137" t="s">
        <v>85</v>
      </c>
      <c r="AY290" s="142" t="s">
        <v>211</v>
      </c>
    </row>
    <row r="291" spans="2:65" s="1" customFormat="1" ht="16.5" customHeight="1">
      <c r="B291" s="12"/>
      <c r="C291" s="114" t="s">
        <v>608</v>
      </c>
      <c r="D291" s="114" t="s">
        <v>438</v>
      </c>
      <c r="E291" s="115" t="s">
        <v>5980</v>
      </c>
      <c r="F291" s="116" t="s">
        <v>5981</v>
      </c>
      <c r="G291" s="117" t="s">
        <v>1599</v>
      </c>
      <c r="H291" s="118">
        <v>2</v>
      </c>
      <c r="I291" s="152">
        <v>2710</v>
      </c>
      <c r="J291" s="123">
        <f>ROUND(I291*H291,2)</f>
        <v>5420</v>
      </c>
      <c r="K291" s="124"/>
      <c r="L291" s="125"/>
      <c r="M291" s="126" t="s">
        <v>1</v>
      </c>
      <c r="N291" s="127" t="s">
        <v>42</v>
      </c>
      <c r="P291" s="95">
        <f>O291*H291</f>
        <v>0</v>
      </c>
      <c r="Q291" s="95">
        <v>0</v>
      </c>
      <c r="R291" s="95">
        <f>Q291*H291</f>
        <v>0</v>
      </c>
      <c r="S291" s="95">
        <v>0</v>
      </c>
      <c r="T291" s="99">
        <f>S291*H291</f>
        <v>0</v>
      </c>
      <c r="AR291" s="101" t="s">
        <v>250</v>
      </c>
      <c r="AT291" s="101" t="s">
        <v>438</v>
      </c>
      <c r="AU291" s="101" t="s">
        <v>87</v>
      </c>
      <c r="AY291" s="23" t="s">
        <v>211</v>
      </c>
      <c r="BE291" s="104">
        <f>IF(N291="základní",J291,0)</f>
        <v>5420</v>
      </c>
      <c r="BF291" s="104">
        <f>IF(N291="snížená",J291,0)</f>
        <v>0</v>
      </c>
      <c r="BG291" s="104">
        <f>IF(N291="zákl. přenesená",J291,0)</f>
        <v>0</v>
      </c>
      <c r="BH291" s="104">
        <f>IF(N291="sníž. přenesená",J291,0)</f>
        <v>0</v>
      </c>
      <c r="BI291" s="104">
        <f>IF(N291="nulová",J291,0)</f>
        <v>0</v>
      </c>
      <c r="BJ291" s="23" t="s">
        <v>85</v>
      </c>
      <c r="BK291" s="104">
        <f>ROUND(I291*H291,2)</f>
        <v>5420</v>
      </c>
      <c r="BL291" s="23" t="s">
        <v>218</v>
      </c>
      <c r="BM291" s="101" t="s">
        <v>963</v>
      </c>
    </row>
    <row r="292" spans="2:65" s="136" customFormat="1">
      <c r="B292" s="138"/>
      <c r="D292" s="105" t="s">
        <v>365</v>
      </c>
      <c r="E292" s="139" t="s">
        <v>1</v>
      </c>
      <c r="F292" s="140" t="s">
        <v>5982</v>
      </c>
      <c r="H292" s="139" t="s">
        <v>1</v>
      </c>
      <c r="I292" s="146"/>
      <c r="L292" s="138"/>
      <c r="M292" s="147"/>
      <c r="T292" s="150"/>
      <c r="AT292" s="139" t="s">
        <v>365</v>
      </c>
      <c r="AU292" s="139" t="s">
        <v>87</v>
      </c>
      <c r="AV292" s="136" t="s">
        <v>85</v>
      </c>
      <c r="AW292" s="136" t="s">
        <v>33</v>
      </c>
      <c r="AX292" s="136" t="s">
        <v>77</v>
      </c>
      <c r="AY292" s="139" t="s">
        <v>211</v>
      </c>
    </row>
    <row r="293" spans="2:65" s="113" customFormat="1">
      <c r="B293" s="119"/>
      <c r="D293" s="105" t="s">
        <v>365</v>
      </c>
      <c r="E293" s="135" t="s">
        <v>1</v>
      </c>
      <c r="F293" s="120" t="s">
        <v>5979</v>
      </c>
      <c r="H293" s="121">
        <v>2</v>
      </c>
      <c r="I293" s="128"/>
      <c r="L293" s="119"/>
      <c r="M293" s="129"/>
      <c r="T293" s="133"/>
      <c r="AT293" s="135" t="s">
        <v>365</v>
      </c>
      <c r="AU293" s="135" t="s">
        <v>87</v>
      </c>
      <c r="AV293" s="113" t="s">
        <v>87</v>
      </c>
      <c r="AW293" s="113" t="s">
        <v>33</v>
      </c>
      <c r="AX293" s="113" t="s">
        <v>77</v>
      </c>
      <c r="AY293" s="135" t="s">
        <v>211</v>
      </c>
    </row>
    <row r="294" spans="2:65" s="137" customFormat="1">
      <c r="B294" s="141"/>
      <c r="D294" s="105" t="s">
        <v>365</v>
      </c>
      <c r="E294" s="142" t="s">
        <v>1</v>
      </c>
      <c r="F294" s="143" t="s">
        <v>368</v>
      </c>
      <c r="H294" s="144">
        <v>2</v>
      </c>
      <c r="I294" s="148"/>
      <c r="L294" s="141"/>
      <c r="M294" s="149"/>
      <c r="T294" s="151"/>
      <c r="AT294" s="142" t="s">
        <v>365</v>
      </c>
      <c r="AU294" s="142" t="s">
        <v>87</v>
      </c>
      <c r="AV294" s="137" t="s">
        <v>218</v>
      </c>
      <c r="AW294" s="137" t="s">
        <v>33</v>
      </c>
      <c r="AX294" s="137" t="s">
        <v>85</v>
      </c>
      <c r="AY294" s="142" t="s">
        <v>211</v>
      </c>
    </row>
    <row r="295" spans="2:65" s="1" customFormat="1" ht="24.15" customHeight="1">
      <c r="B295" s="12"/>
      <c r="C295" s="71" t="s">
        <v>614</v>
      </c>
      <c r="D295" s="71" t="s">
        <v>214</v>
      </c>
      <c r="E295" s="72" t="s">
        <v>5436</v>
      </c>
      <c r="F295" s="73" t="s">
        <v>5437</v>
      </c>
      <c r="G295" s="74" t="s">
        <v>1599</v>
      </c>
      <c r="H295" s="75">
        <v>13</v>
      </c>
      <c r="I295" s="145">
        <v>293</v>
      </c>
      <c r="J295" s="91">
        <f>ROUND(I295*H295,2)</f>
        <v>3809</v>
      </c>
      <c r="K295" s="92"/>
      <c r="L295" s="12"/>
      <c r="M295" s="93" t="s">
        <v>1</v>
      </c>
      <c r="N295" s="94" t="s">
        <v>42</v>
      </c>
      <c r="P295" s="95">
        <f>O295*H295</f>
        <v>0</v>
      </c>
      <c r="Q295" s="95">
        <v>0</v>
      </c>
      <c r="R295" s="95">
        <f>Q295*H295</f>
        <v>0</v>
      </c>
      <c r="S295" s="95">
        <v>0</v>
      </c>
      <c r="T295" s="99">
        <f>S295*H295</f>
        <v>0</v>
      </c>
      <c r="AR295" s="101" t="s">
        <v>218</v>
      </c>
      <c r="AT295" s="101" t="s">
        <v>214</v>
      </c>
      <c r="AU295" s="101" t="s">
        <v>87</v>
      </c>
      <c r="AY295" s="23" t="s">
        <v>211</v>
      </c>
      <c r="BE295" s="104">
        <f>IF(N295="základní",J295,0)</f>
        <v>3809</v>
      </c>
      <c r="BF295" s="104">
        <f>IF(N295="snížená",J295,0)</f>
        <v>0</v>
      </c>
      <c r="BG295" s="104">
        <f>IF(N295="zákl. přenesená",J295,0)</f>
        <v>0</v>
      </c>
      <c r="BH295" s="104">
        <f>IF(N295="sníž. přenesená",J295,0)</f>
        <v>0</v>
      </c>
      <c r="BI295" s="104">
        <f>IF(N295="nulová",J295,0)</f>
        <v>0</v>
      </c>
      <c r="BJ295" s="23" t="s">
        <v>85</v>
      </c>
      <c r="BK295" s="104">
        <f>ROUND(I295*H295,2)</f>
        <v>3809</v>
      </c>
      <c r="BL295" s="23" t="s">
        <v>218</v>
      </c>
      <c r="BM295" s="101" t="s">
        <v>993</v>
      </c>
    </row>
    <row r="296" spans="2:65" s="113" customFormat="1">
      <c r="B296" s="119"/>
      <c r="D296" s="105" t="s">
        <v>365</v>
      </c>
      <c r="E296" s="135" t="s">
        <v>1</v>
      </c>
      <c r="F296" s="120" t="s">
        <v>5983</v>
      </c>
      <c r="H296" s="121">
        <v>13</v>
      </c>
      <c r="I296" s="128"/>
      <c r="L296" s="119"/>
      <c r="M296" s="129"/>
      <c r="T296" s="133"/>
      <c r="AT296" s="135" t="s">
        <v>365</v>
      </c>
      <c r="AU296" s="135" t="s">
        <v>87</v>
      </c>
      <c r="AV296" s="113" t="s">
        <v>87</v>
      </c>
      <c r="AW296" s="113" t="s">
        <v>33</v>
      </c>
      <c r="AX296" s="113" t="s">
        <v>77</v>
      </c>
      <c r="AY296" s="135" t="s">
        <v>211</v>
      </c>
    </row>
    <row r="297" spans="2:65" s="137" customFormat="1">
      <c r="B297" s="141"/>
      <c r="D297" s="105" t="s">
        <v>365</v>
      </c>
      <c r="E297" s="142" t="s">
        <v>1</v>
      </c>
      <c r="F297" s="143" t="s">
        <v>368</v>
      </c>
      <c r="H297" s="144">
        <v>13</v>
      </c>
      <c r="I297" s="148"/>
      <c r="L297" s="141"/>
      <c r="M297" s="149"/>
      <c r="T297" s="151"/>
      <c r="AT297" s="142" t="s">
        <v>365</v>
      </c>
      <c r="AU297" s="142" t="s">
        <v>87</v>
      </c>
      <c r="AV297" s="137" t="s">
        <v>218</v>
      </c>
      <c r="AW297" s="137" t="s">
        <v>33</v>
      </c>
      <c r="AX297" s="137" t="s">
        <v>85</v>
      </c>
      <c r="AY297" s="142" t="s">
        <v>211</v>
      </c>
    </row>
    <row r="298" spans="2:65" s="1" customFormat="1" ht="21.75" customHeight="1">
      <c r="B298" s="12"/>
      <c r="C298" s="114" t="s">
        <v>619</v>
      </c>
      <c r="D298" s="114" t="s">
        <v>438</v>
      </c>
      <c r="E298" s="115" t="s">
        <v>5438</v>
      </c>
      <c r="F298" s="116" t="s">
        <v>5439</v>
      </c>
      <c r="G298" s="117" t="s">
        <v>1599</v>
      </c>
      <c r="H298" s="118">
        <v>13</v>
      </c>
      <c r="I298" s="152">
        <v>532</v>
      </c>
      <c r="J298" s="123">
        <f>ROUND(I298*H298,2)</f>
        <v>6916</v>
      </c>
      <c r="K298" s="124"/>
      <c r="L298" s="125"/>
      <c r="M298" s="126" t="s">
        <v>1</v>
      </c>
      <c r="N298" s="127" t="s">
        <v>42</v>
      </c>
      <c r="P298" s="95">
        <f>O298*H298</f>
        <v>0</v>
      </c>
      <c r="Q298" s="95">
        <v>0</v>
      </c>
      <c r="R298" s="95">
        <f>Q298*H298</f>
        <v>0</v>
      </c>
      <c r="S298" s="95">
        <v>0</v>
      </c>
      <c r="T298" s="99">
        <f>S298*H298</f>
        <v>0</v>
      </c>
      <c r="AR298" s="101" t="s">
        <v>250</v>
      </c>
      <c r="AT298" s="101" t="s">
        <v>438</v>
      </c>
      <c r="AU298" s="101" t="s">
        <v>87</v>
      </c>
      <c r="AY298" s="23" t="s">
        <v>211</v>
      </c>
      <c r="BE298" s="104">
        <f>IF(N298="základní",J298,0)</f>
        <v>6916</v>
      </c>
      <c r="BF298" s="104">
        <f>IF(N298="snížená",J298,0)</f>
        <v>0</v>
      </c>
      <c r="BG298" s="104">
        <f>IF(N298="zákl. přenesená",J298,0)</f>
        <v>0</v>
      </c>
      <c r="BH298" s="104">
        <f>IF(N298="sníž. přenesená",J298,0)</f>
        <v>0</v>
      </c>
      <c r="BI298" s="104">
        <f>IF(N298="nulová",J298,0)</f>
        <v>0</v>
      </c>
      <c r="BJ298" s="23" t="s">
        <v>85</v>
      </c>
      <c r="BK298" s="104">
        <f>ROUND(I298*H298,2)</f>
        <v>6916</v>
      </c>
      <c r="BL298" s="23" t="s">
        <v>218</v>
      </c>
      <c r="BM298" s="101" t="s">
        <v>1001</v>
      </c>
    </row>
    <row r="299" spans="2:65" s="1" customFormat="1" ht="33" customHeight="1">
      <c r="B299" s="12"/>
      <c r="C299" s="71" t="s">
        <v>624</v>
      </c>
      <c r="D299" s="71" t="s">
        <v>214</v>
      </c>
      <c r="E299" s="72" t="s">
        <v>5440</v>
      </c>
      <c r="F299" s="73" t="s">
        <v>5441</v>
      </c>
      <c r="G299" s="74" t="s">
        <v>444</v>
      </c>
      <c r="H299" s="75">
        <v>25</v>
      </c>
      <c r="I299" s="145">
        <v>38.299999999999997</v>
      </c>
      <c r="J299" s="91">
        <f>ROUND(I299*H299,2)</f>
        <v>957.5</v>
      </c>
      <c r="K299" s="92"/>
      <c r="L299" s="12"/>
      <c r="M299" s="93" t="s">
        <v>1</v>
      </c>
      <c r="N299" s="94" t="s">
        <v>42</v>
      </c>
      <c r="P299" s="95">
        <f>O299*H299</f>
        <v>0</v>
      </c>
      <c r="Q299" s="95">
        <v>0</v>
      </c>
      <c r="R299" s="95">
        <f>Q299*H299</f>
        <v>0</v>
      </c>
      <c r="S299" s="95">
        <v>0</v>
      </c>
      <c r="T299" s="99">
        <f>S299*H299</f>
        <v>0</v>
      </c>
      <c r="AR299" s="101" t="s">
        <v>218</v>
      </c>
      <c r="AT299" s="101" t="s">
        <v>214</v>
      </c>
      <c r="AU299" s="101" t="s">
        <v>87</v>
      </c>
      <c r="AY299" s="23" t="s">
        <v>211</v>
      </c>
      <c r="BE299" s="104">
        <f>IF(N299="základní",J299,0)</f>
        <v>957.5</v>
      </c>
      <c r="BF299" s="104">
        <f>IF(N299="snížená",J299,0)</f>
        <v>0</v>
      </c>
      <c r="BG299" s="104">
        <f>IF(N299="zákl. přenesená",J299,0)</f>
        <v>0</v>
      </c>
      <c r="BH299" s="104">
        <f>IF(N299="sníž. přenesená",J299,0)</f>
        <v>0</v>
      </c>
      <c r="BI299" s="104">
        <f>IF(N299="nulová",J299,0)</f>
        <v>0</v>
      </c>
      <c r="BJ299" s="23" t="s">
        <v>85</v>
      </c>
      <c r="BK299" s="104">
        <f>ROUND(I299*H299,2)</f>
        <v>957.5</v>
      </c>
      <c r="BL299" s="23" t="s">
        <v>218</v>
      </c>
      <c r="BM299" s="101" t="s">
        <v>1028</v>
      </c>
    </row>
    <row r="300" spans="2:65" s="136" customFormat="1">
      <c r="B300" s="138"/>
      <c r="D300" s="105" t="s">
        <v>365</v>
      </c>
      <c r="E300" s="139" t="s">
        <v>1</v>
      </c>
      <c r="F300" s="140" t="s">
        <v>5442</v>
      </c>
      <c r="H300" s="139" t="s">
        <v>1</v>
      </c>
      <c r="I300" s="146"/>
      <c r="L300" s="138"/>
      <c r="M300" s="147"/>
      <c r="T300" s="150"/>
      <c r="AT300" s="139" t="s">
        <v>365</v>
      </c>
      <c r="AU300" s="139" t="s">
        <v>87</v>
      </c>
      <c r="AV300" s="136" t="s">
        <v>85</v>
      </c>
      <c r="AW300" s="136" t="s">
        <v>33</v>
      </c>
      <c r="AX300" s="136" t="s">
        <v>77</v>
      </c>
      <c r="AY300" s="139" t="s">
        <v>211</v>
      </c>
    </row>
    <row r="301" spans="2:65" s="113" customFormat="1">
      <c r="B301" s="119"/>
      <c r="D301" s="105" t="s">
        <v>365</v>
      </c>
      <c r="E301" s="135" t="s">
        <v>1</v>
      </c>
      <c r="F301" s="120" t="s">
        <v>5984</v>
      </c>
      <c r="H301" s="121">
        <v>25</v>
      </c>
      <c r="I301" s="128"/>
      <c r="L301" s="119"/>
      <c r="M301" s="129"/>
      <c r="T301" s="133"/>
      <c r="AT301" s="135" t="s">
        <v>365</v>
      </c>
      <c r="AU301" s="135" t="s">
        <v>87</v>
      </c>
      <c r="AV301" s="113" t="s">
        <v>87</v>
      </c>
      <c r="AW301" s="113" t="s">
        <v>33</v>
      </c>
      <c r="AX301" s="113" t="s">
        <v>77</v>
      </c>
      <c r="AY301" s="135" t="s">
        <v>211</v>
      </c>
    </row>
    <row r="302" spans="2:65" s="137" customFormat="1">
      <c r="B302" s="141"/>
      <c r="D302" s="105" t="s">
        <v>365</v>
      </c>
      <c r="E302" s="142" t="s">
        <v>1</v>
      </c>
      <c r="F302" s="143" t="s">
        <v>368</v>
      </c>
      <c r="H302" s="144">
        <v>25</v>
      </c>
      <c r="I302" s="148"/>
      <c r="L302" s="141"/>
      <c r="M302" s="149"/>
      <c r="T302" s="151"/>
      <c r="AT302" s="142" t="s">
        <v>365</v>
      </c>
      <c r="AU302" s="142" t="s">
        <v>87</v>
      </c>
      <c r="AV302" s="137" t="s">
        <v>218</v>
      </c>
      <c r="AW302" s="137" t="s">
        <v>33</v>
      </c>
      <c r="AX302" s="137" t="s">
        <v>85</v>
      </c>
      <c r="AY302" s="142" t="s">
        <v>211</v>
      </c>
    </row>
    <row r="303" spans="2:65" s="1" customFormat="1" ht="33" customHeight="1">
      <c r="B303" s="12"/>
      <c r="C303" s="71" t="s">
        <v>629</v>
      </c>
      <c r="D303" s="71" t="s">
        <v>214</v>
      </c>
      <c r="E303" s="72" t="s">
        <v>5985</v>
      </c>
      <c r="F303" s="73" t="s">
        <v>5986</v>
      </c>
      <c r="G303" s="74" t="s">
        <v>444</v>
      </c>
      <c r="H303" s="75">
        <v>9</v>
      </c>
      <c r="I303" s="145">
        <v>54.5</v>
      </c>
      <c r="J303" s="91">
        <f>ROUND(I303*H303,2)</f>
        <v>490.5</v>
      </c>
      <c r="K303" s="92"/>
      <c r="L303" s="12"/>
      <c r="M303" s="93" t="s">
        <v>1</v>
      </c>
      <c r="N303" s="94" t="s">
        <v>42</v>
      </c>
      <c r="P303" s="95">
        <f>O303*H303</f>
        <v>0</v>
      </c>
      <c r="Q303" s="95">
        <v>0</v>
      </c>
      <c r="R303" s="95">
        <f>Q303*H303</f>
        <v>0</v>
      </c>
      <c r="S303" s="95">
        <v>0</v>
      </c>
      <c r="T303" s="99">
        <f>S303*H303</f>
        <v>0</v>
      </c>
      <c r="AR303" s="101" t="s">
        <v>218</v>
      </c>
      <c r="AT303" s="101" t="s">
        <v>214</v>
      </c>
      <c r="AU303" s="101" t="s">
        <v>87</v>
      </c>
      <c r="AY303" s="23" t="s">
        <v>211</v>
      </c>
      <c r="BE303" s="104">
        <f>IF(N303="základní",J303,0)</f>
        <v>490.5</v>
      </c>
      <c r="BF303" s="104">
        <f>IF(N303="snížená",J303,0)</f>
        <v>0</v>
      </c>
      <c r="BG303" s="104">
        <f>IF(N303="zákl. přenesená",J303,0)</f>
        <v>0</v>
      </c>
      <c r="BH303" s="104">
        <f>IF(N303="sníž. přenesená",J303,0)</f>
        <v>0</v>
      </c>
      <c r="BI303" s="104">
        <f>IF(N303="nulová",J303,0)</f>
        <v>0</v>
      </c>
      <c r="BJ303" s="23" t="s">
        <v>85</v>
      </c>
      <c r="BK303" s="104">
        <f>ROUND(I303*H303,2)</f>
        <v>490.5</v>
      </c>
      <c r="BL303" s="23" t="s">
        <v>218</v>
      </c>
      <c r="BM303" s="101" t="s">
        <v>92</v>
      </c>
    </row>
    <row r="304" spans="2:65" s="136" customFormat="1">
      <c r="B304" s="138"/>
      <c r="D304" s="105" t="s">
        <v>365</v>
      </c>
      <c r="E304" s="139" t="s">
        <v>1</v>
      </c>
      <c r="F304" s="140" t="s">
        <v>5987</v>
      </c>
      <c r="H304" s="139" t="s">
        <v>1</v>
      </c>
      <c r="I304" s="146"/>
      <c r="L304" s="138"/>
      <c r="M304" s="147"/>
      <c r="T304" s="150"/>
      <c r="AT304" s="139" t="s">
        <v>365</v>
      </c>
      <c r="AU304" s="139" t="s">
        <v>87</v>
      </c>
      <c r="AV304" s="136" t="s">
        <v>85</v>
      </c>
      <c r="AW304" s="136" t="s">
        <v>33</v>
      </c>
      <c r="AX304" s="136" t="s">
        <v>77</v>
      </c>
      <c r="AY304" s="139" t="s">
        <v>211</v>
      </c>
    </row>
    <row r="305" spans="2:65" s="113" customFormat="1">
      <c r="B305" s="119"/>
      <c r="D305" s="105" t="s">
        <v>365</v>
      </c>
      <c r="E305" s="135" t="s">
        <v>1</v>
      </c>
      <c r="F305" s="120" t="s">
        <v>5988</v>
      </c>
      <c r="H305" s="121">
        <v>9</v>
      </c>
      <c r="I305" s="128"/>
      <c r="L305" s="119"/>
      <c r="M305" s="129"/>
      <c r="T305" s="133"/>
      <c r="AT305" s="135" t="s">
        <v>365</v>
      </c>
      <c r="AU305" s="135" t="s">
        <v>87</v>
      </c>
      <c r="AV305" s="113" t="s">
        <v>87</v>
      </c>
      <c r="AW305" s="113" t="s">
        <v>33</v>
      </c>
      <c r="AX305" s="113" t="s">
        <v>77</v>
      </c>
      <c r="AY305" s="135" t="s">
        <v>211</v>
      </c>
    </row>
    <row r="306" spans="2:65" s="137" customFormat="1">
      <c r="B306" s="141"/>
      <c r="D306" s="105" t="s">
        <v>365</v>
      </c>
      <c r="E306" s="142" t="s">
        <v>1</v>
      </c>
      <c r="F306" s="143" t="s">
        <v>368</v>
      </c>
      <c r="H306" s="144">
        <v>9</v>
      </c>
      <c r="I306" s="148"/>
      <c r="L306" s="141"/>
      <c r="M306" s="149"/>
      <c r="T306" s="151"/>
      <c r="AT306" s="142" t="s">
        <v>365</v>
      </c>
      <c r="AU306" s="142" t="s">
        <v>87</v>
      </c>
      <c r="AV306" s="137" t="s">
        <v>218</v>
      </c>
      <c r="AW306" s="137" t="s">
        <v>33</v>
      </c>
      <c r="AX306" s="137" t="s">
        <v>85</v>
      </c>
      <c r="AY306" s="142" t="s">
        <v>211</v>
      </c>
    </row>
    <row r="307" spans="2:65" s="1" customFormat="1" ht="33" customHeight="1">
      <c r="B307" s="12"/>
      <c r="C307" s="71" t="s">
        <v>634</v>
      </c>
      <c r="D307" s="71" t="s">
        <v>214</v>
      </c>
      <c r="E307" s="72" t="s">
        <v>5989</v>
      </c>
      <c r="F307" s="73" t="s">
        <v>5990</v>
      </c>
      <c r="G307" s="74" t="s">
        <v>444</v>
      </c>
      <c r="H307" s="75">
        <v>15</v>
      </c>
      <c r="I307" s="145">
        <v>54.5</v>
      </c>
      <c r="J307" s="91">
        <f>ROUND(I307*H307,2)</f>
        <v>817.5</v>
      </c>
      <c r="K307" s="92"/>
      <c r="L307" s="12"/>
      <c r="M307" s="93" t="s">
        <v>1</v>
      </c>
      <c r="N307" s="94" t="s">
        <v>42</v>
      </c>
      <c r="P307" s="95">
        <f>O307*H307</f>
        <v>0</v>
      </c>
      <c r="Q307" s="95">
        <v>0</v>
      </c>
      <c r="R307" s="95">
        <f>Q307*H307</f>
        <v>0</v>
      </c>
      <c r="S307" s="95">
        <v>0</v>
      </c>
      <c r="T307" s="99">
        <f>S307*H307</f>
        <v>0</v>
      </c>
      <c r="AR307" s="101" t="s">
        <v>218</v>
      </c>
      <c r="AT307" s="101" t="s">
        <v>214</v>
      </c>
      <c r="AU307" s="101" t="s">
        <v>87</v>
      </c>
      <c r="AY307" s="23" t="s">
        <v>211</v>
      </c>
      <c r="BE307" s="104">
        <f>IF(N307="základní",J307,0)</f>
        <v>817.5</v>
      </c>
      <c r="BF307" s="104">
        <f>IF(N307="snížená",J307,0)</f>
        <v>0</v>
      </c>
      <c r="BG307" s="104">
        <f>IF(N307="zákl. přenesená",J307,0)</f>
        <v>0</v>
      </c>
      <c r="BH307" s="104">
        <f>IF(N307="sníž. přenesená",J307,0)</f>
        <v>0</v>
      </c>
      <c r="BI307" s="104">
        <f>IF(N307="nulová",J307,0)</f>
        <v>0</v>
      </c>
      <c r="BJ307" s="23" t="s">
        <v>85</v>
      </c>
      <c r="BK307" s="104">
        <f>ROUND(I307*H307,2)</f>
        <v>817.5</v>
      </c>
      <c r="BL307" s="23" t="s">
        <v>218</v>
      </c>
      <c r="BM307" s="101" t="s">
        <v>1049</v>
      </c>
    </row>
    <row r="308" spans="2:65" s="136" customFormat="1">
      <c r="B308" s="138"/>
      <c r="D308" s="105" t="s">
        <v>365</v>
      </c>
      <c r="E308" s="139" t="s">
        <v>1</v>
      </c>
      <c r="F308" s="140" t="s">
        <v>5991</v>
      </c>
      <c r="H308" s="139" t="s">
        <v>1</v>
      </c>
      <c r="I308" s="146"/>
      <c r="L308" s="138"/>
      <c r="M308" s="147"/>
      <c r="T308" s="150"/>
      <c r="AT308" s="139" t="s">
        <v>365</v>
      </c>
      <c r="AU308" s="139" t="s">
        <v>87</v>
      </c>
      <c r="AV308" s="136" t="s">
        <v>85</v>
      </c>
      <c r="AW308" s="136" t="s">
        <v>33</v>
      </c>
      <c r="AX308" s="136" t="s">
        <v>77</v>
      </c>
      <c r="AY308" s="139" t="s">
        <v>211</v>
      </c>
    </row>
    <row r="309" spans="2:65" s="113" customFormat="1">
      <c r="B309" s="119"/>
      <c r="D309" s="105" t="s">
        <v>365</v>
      </c>
      <c r="E309" s="135" t="s">
        <v>1</v>
      </c>
      <c r="F309" s="120" t="s">
        <v>5992</v>
      </c>
      <c r="H309" s="121">
        <v>15</v>
      </c>
      <c r="I309" s="128"/>
      <c r="L309" s="119"/>
      <c r="M309" s="129"/>
      <c r="T309" s="133"/>
      <c r="AT309" s="135" t="s">
        <v>365</v>
      </c>
      <c r="AU309" s="135" t="s">
        <v>87</v>
      </c>
      <c r="AV309" s="113" t="s">
        <v>87</v>
      </c>
      <c r="AW309" s="113" t="s">
        <v>33</v>
      </c>
      <c r="AX309" s="113" t="s">
        <v>77</v>
      </c>
      <c r="AY309" s="135" t="s">
        <v>211</v>
      </c>
    </row>
    <row r="310" spans="2:65" s="137" customFormat="1">
      <c r="B310" s="141"/>
      <c r="D310" s="105" t="s">
        <v>365</v>
      </c>
      <c r="E310" s="142" t="s">
        <v>1</v>
      </c>
      <c r="F310" s="143" t="s">
        <v>368</v>
      </c>
      <c r="H310" s="144">
        <v>15</v>
      </c>
      <c r="I310" s="148"/>
      <c r="L310" s="141"/>
      <c r="M310" s="149"/>
      <c r="T310" s="151"/>
      <c r="AT310" s="142" t="s">
        <v>365</v>
      </c>
      <c r="AU310" s="142" t="s">
        <v>87</v>
      </c>
      <c r="AV310" s="137" t="s">
        <v>218</v>
      </c>
      <c r="AW310" s="137" t="s">
        <v>33</v>
      </c>
      <c r="AX310" s="137" t="s">
        <v>85</v>
      </c>
      <c r="AY310" s="142" t="s">
        <v>211</v>
      </c>
    </row>
    <row r="311" spans="2:65" s="1" customFormat="1" ht="33" customHeight="1">
      <c r="B311" s="12"/>
      <c r="C311" s="71" t="s">
        <v>639</v>
      </c>
      <c r="D311" s="71" t="s">
        <v>214</v>
      </c>
      <c r="E311" s="72" t="s">
        <v>5993</v>
      </c>
      <c r="F311" s="73" t="s">
        <v>5994</v>
      </c>
      <c r="G311" s="74" t="s">
        <v>444</v>
      </c>
      <c r="H311" s="75">
        <v>16</v>
      </c>
      <c r="I311" s="145">
        <v>74.400000000000006</v>
      </c>
      <c r="J311" s="91">
        <f>ROUND(I311*H311,2)</f>
        <v>1190.4000000000001</v>
      </c>
      <c r="K311" s="92"/>
      <c r="L311" s="12"/>
      <c r="M311" s="93" t="s">
        <v>1</v>
      </c>
      <c r="N311" s="94" t="s">
        <v>42</v>
      </c>
      <c r="P311" s="95">
        <f>O311*H311</f>
        <v>0</v>
      </c>
      <c r="Q311" s="95">
        <v>0</v>
      </c>
      <c r="R311" s="95">
        <f>Q311*H311</f>
        <v>0</v>
      </c>
      <c r="S311" s="95">
        <v>0</v>
      </c>
      <c r="T311" s="99">
        <f>S311*H311</f>
        <v>0</v>
      </c>
      <c r="AR311" s="101" t="s">
        <v>218</v>
      </c>
      <c r="AT311" s="101" t="s">
        <v>214</v>
      </c>
      <c r="AU311" s="101" t="s">
        <v>87</v>
      </c>
      <c r="AY311" s="23" t="s">
        <v>211</v>
      </c>
      <c r="BE311" s="104">
        <f>IF(N311="základní",J311,0)</f>
        <v>1190.4000000000001</v>
      </c>
      <c r="BF311" s="104">
        <f>IF(N311="snížená",J311,0)</f>
        <v>0</v>
      </c>
      <c r="BG311" s="104">
        <f>IF(N311="zákl. přenesená",J311,0)</f>
        <v>0</v>
      </c>
      <c r="BH311" s="104">
        <f>IF(N311="sníž. přenesená",J311,0)</f>
        <v>0</v>
      </c>
      <c r="BI311" s="104">
        <f>IF(N311="nulová",J311,0)</f>
        <v>0</v>
      </c>
      <c r="BJ311" s="23" t="s">
        <v>85</v>
      </c>
      <c r="BK311" s="104">
        <f>ROUND(I311*H311,2)</f>
        <v>1190.4000000000001</v>
      </c>
      <c r="BL311" s="23" t="s">
        <v>218</v>
      </c>
      <c r="BM311" s="101" t="s">
        <v>1058</v>
      </c>
    </row>
    <row r="312" spans="2:65" s="136" customFormat="1">
      <c r="B312" s="138"/>
      <c r="D312" s="105" t="s">
        <v>365</v>
      </c>
      <c r="E312" s="139" t="s">
        <v>1</v>
      </c>
      <c r="F312" s="140" t="s">
        <v>5995</v>
      </c>
      <c r="H312" s="139" t="s">
        <v>1</v>
      </c>
      <c r="I312" s="146"/>
      <c r="L312" s="138"/>
      <c r="M312" s="147"/>
      <c r="T312" s="150"/>
      <c r="AT312" s="139" t="s">
        <v>365</v>
      </c>
      <c r="AU312" s="139" t="s">
        <v>87</v>
      </c>
      <c r="AV312" s="136" t="s">
        <v>85</v>
      </c>
      <c r="AW312" s="136" t="s">
        <v>33</v>
      </c>
      <c r="AX312" s="136" t="s">
        <v>77</v>
      </c>
      <c r="AY312" s="139" t="s">
        <v>211</v>
      </c>
    </row>
    <row r="313" spans="2:65" s="113" customFormat="1">
      <c r="B313" s="119"/>
      <c r="D313" s="105" t="s">
        <v>365</v>
      </c>
      <c r="E313" s="135" t="s">
        <v>1</v>
      </c>
      <c r="F313" s="120" t="s">
        <v>5996</v>
      </c>
      <c r="H313" s="121">
        <v>16</v>
      </c>
      <c r="I313" s="128"/>
      <c r="L313" s="119"/>
      <c r="M313" s="129"/>
      <c r="T313" s="133"/>
      <c r="AT313" s="135" t="s">
        <v>365</v>
      </c>
      <c r="AU313" s="135" t="s">
        <v>87</v>
      </c>
      <c r="AV313" s="113" t="s">
        <v>87</v>
      </c>
      <c r="AW313" s="113" t="s">
        <v>33</v>
      </c>
      <c r="AX313" s="113" t="s">
        <v>77</v>
      </c>
      <c r="AY313" s="135" t="s">
        <v>211</v>
      </c>
    </row>
    <row r="314" spans="2:65" s="137" customFormat="1">
      <c r="B314" s="141"/>
      <c r="D314" s="105" t="s">
        <v>365</v>
      </c>
      <c r="E314" s="142" t="s">
        <v>1</v>
      </c>
      <c r="F314" s="143" t="s">
        <v>368</v>
      </c>
      <c r="H314" s="144">
        <v>16</v>
      </c>
      <c r="I314" s="148"/>
      <c r="L314" s="141"/>
      <c r="M314" s="149"/>
      <c r="T314" s="151"/>
      <c r="AT314" s="142" t="s">
        <v>365</v>
      </c>
      <c r="AU314" s="142" t="s">
        <v>87</v>
      </c>
      <c r="AV314" s="137" t="s">
        <v>218</v>
      </c>
      <c r="AW314" s="137" t="s">
        <v>33</v>
      </c>
      <c r="AX314" s="137" t="s">
        <v>85</v>
      </c>
      <c r="AY314" s="142" t="s">
        <v>211</v>
      </c>
    </row>
    <row r="315" spans="2:65" s="1" customFormat="1" ht="38.1" customHeight="1">
      <c r="B315" s="12"/>
      <c r="C315" s="71" t="s">
        <v>644</v>
      </c>
      <c r="D315" s="71" t="s">
        <v>214</v>
      </c>
      <c r="E315" s="72" t="s">
        <v>5444</v>
      </c>
      <c r="F315" s="73" t="s">
        <v>5445</v>
      </c>
      <c r="G315" s="74" t="s">
        <v>279</v>
      </c>
      <c r="H315" s="75">
        <v>28</v>
      </c>
      <c r="I315" s="145">
        <v>348</v>
      </c>
      <c r="J315" s="91">
        <f>ROUND(I315*H315,2)</f>
        <v>9744</v>
      </c>
      <c r="K315" s="92"/>
      <c r="L315" s="12"/>
      <c r="M315" s="93" t="s">
        <v>1</v>
      </c>
      <c r="N315" s="94" t="s">
        <v>42</v>
      </c>
      <c r="P315" s="95">
        <f>O315*H315</f>
        <v>0</v>
      </c>
      <c r="Q315" s="95">
        <v>0</v>
      </c>
      <c r="R315" s="95">
        <f>Q315*H315</f>
        <v>0</v>
      </c>
      <c r="S315" s="95">
        <v>0</v>
      </c>
      <c r="T315" s="99">
        <f>S315*H315</f>
        <v>0</v>
      </c>
      <c r="AR315" s="101" t="s">
        <v>218</v>
      </c>
      <c r="AT315" s="101" t="s">
        <v>214</v>
      </c>
      <c r="AU315" s="101" t="s">
        <v>87</v>
      </c>
      <c r="AY315" s="23" t="s">
        <v>211</v>
      </c>
      <c r="BE315" s="104">
        <f>IF(N315="základní",J315,0)</f>
        <v>9744</v>
      </c>
      <c r="BF315" s="104">
        <f>IF(N315="snížená",J315,0)</f>
        <v>0</v>
      </c>
      <c r="BG315" s="104">
        <f>IF(N315="zákl. přenesená",J315,0)</f>
        <v>0</v>
      </c>
      <c r="BH315" s="104">
        <f>IF(N315="sníž. přenesená",J315,0)</f>
        <v>0</v>
      </c>
      <c r="BI315" s="104">
        <f>IF(N315="nulová",J315,0)</f>
        <v>0</v>
      </c>
      <c r="BJ315" s="23" t="s">
        <v>85</v>
      </c>
      <c r="BK315" s="104">
        <f>ROUND(I315*H315,2)</f>
        <v>9744</v>
      </c>
      <c r="BL315" s="23" t="s">
        <v>218</v>
      </c>
      <c r="BM315" s="101" t="s">
        <v>1067</v>
      </c>
    </row>
    <row r="316" spans="2:65" s="136" customFormat="1">
      <c r="B316" s="138"/>
      <c r="D316" s="105" t="s">
        <v>365</v>
      </c>
      <c r="E316" s="139" t="s">
        <v>1</v>
      </c>
      <c r="F316" s="140" t="s">
        <v>5997</v>
      </c>
      <c r="H316" s="139" t="s">
        <v>1</v>
      </c>
      <c r="I316" s="146"/>
      <c r="L316" s="138"/>
      <c r="M316" s="147"/>
      <c r="T316" s="150"/>
      <c r="AT316" s="139" t="s">
        <v>365</v>
      </c>
      <c r="AU316" s="139" t="s">
        <v>87</v>
      </c>
      <c r="AV316" s="136" t="s">
        <v>85</v>
      </c>
      <c r="AW316" s="136" t="s">
        <v>33</v>
      </c>
      <c r="AX316" s="136" t="s">
        <v>77</v>
      </c>
      <c r="AY316" s="139" t="s">
        <v>211</v>
      </c>
    </row>
    <row r="317" spans="2:65" s="113" customFormat="1">
      <c r="B317" s="119"/>
      <c r="D317" s="105" t="s">
        <v>365</v>
      </c>
      <c r="E317" s="135" t="s">
        <v>1</v>
      </c>
      <c r="F317" s="120" t="s">
        <v>5998</v>
      </c>
      <c r="H317" s="121">
        <v>28</v>
      </c>
      <c r="I317" s="128"/>
      <c r="L317" s="119"/>
      <c r="M317" s="129"/>
      <c r="T317" s="133"/>
      <c r="AT317" s="135" t="s">
        <v>365</v>
      </c>
      <c r="AU317" s="135" t="s">
        <v>87</v>
      </c>
      <c r="AV317" s="113" t="s">
        <v>87</v>
      </c>
      <c r="AW317" s="113" t="s">
        <v>33</v>
      </c>
      <c r="AX317" s="113" t="s">
        <v>77</v>
      </c>
      <c r="AY317" s="135" t="s">
        <v>211</v>
      </c>
    </row>
    <row r="318" spans="2:65" s="137" customFormat="1">
      <c r="B318" s="141"/>
      <c r="D318" s="105" t="s">
        <v>365</v>
      </c>
      <c r="E318" s="142" t="s">
        <v>1</v>
      </c>
      <c r="F318" s="143" t="s">
        <v>368</v>
      </c>
      <c r="H318" s="144">
        <v>28</v>
      </c>
      <c r="I318" s="148"/>
      <c r="L318" s="141"/>
      <c r="M318" s="149"/>
      <c r="T318" s="151"/>
      <c r="AT318" s="142" t="s">
        <v>365</v>
      </c>
      <c r="AU318" s="142" t="s">
        <v>87</v>
      </c>
      <c r="AV318" s="137" t="s">
        <v>218</v>
      </c>
      <c r="AW318" s="137" t="s">
        <v>33</v>
      </c>
      <c r="AX318" s="137" t="s">
        <v>85</v>
      </c>
      <c r="AY318" s="142" t="s">
        <v>211</v>
      </c>
    </row>
    <row r="319" spans="2:65" s="1" customFormat="1" ht="24.15" customHeight="1">
      <c r="B319" s="12"/>
      <c r="C319" s="71" t="s">
        <v>649</v>
      </c>
      <c r="D319" s="71" t="s">
        <v>214</v>
      </c>
      <c r="E319" s="72" t="s">
        <v>5448</v>
      </c>
      <c r="F319" s="73" t="s">
        <v>5449</v>
      </c>
      <c r="G319" s="74" t="s">
        <v>1599</v>
      </c>
      <c r="H319" s="75">
        <v>3</v>
      </c>
      <c r="I319" s="145">
        <v>574</v>
      </c>
      <c r="J319" s="91">
        <f>ROUND(I319*H319,2)</f>
        <v>1722</v>
      </c>
      <c r="K319" s="92"/>
      <c r="L319" s="12"/>
      <c r="M319" s="93" t="s">
        <v>1</v>
      </c>
      <c r="N319" s="94" t="s">
        <v>42</v>
      </c>
      <c r="P319" s="95">
        <f>O319*H319</f>
        <v>0</v>
      </c>
      <c r="Q319" s="95">
        <v>0</v>
      </c>
      <c r="R319" s="95">
        <f>Q319*H319</f>
        <v>0</v>
      </c>
      <c r="S319" s="95">
        <v>0</v>
      </c>
      <c r="T319" s="99">
        <f>S319*H319</f>
        <v>0</v>
      </c>
      <c r="AR319" s="101" t="s">
        <v>218</v>
      </c>
      <c r="AT319" s="101" t="s">
        <v>214</v>
      </c>
      <c r="AU319" s="101" t="s">
        <v>87</v>
      </c>
      <c r="AY319" s="23" t="s">
        <v>211</v>
      </c>
      <c r="BE319" s="104">
        <f>IF(N319="základní",J319,0)</f>
        <v>1722</v>
      </c>
      <c r="BF319" s="104">
        <f>IF(N319="snížená",J319,0)</f>
        <v>0</v>
      </c>
      <c r="BG319" s="104">
        <f>IF(N319="zákl. přenesená",J319,0)</f>
        <v>0</v>
      </c>
      <c r="BH319" s="104">
        <f>IF(N319="sníž. přenesená",J319,0)</f>
        <v>0</v>
      </c>
      <c r="BI319" s="104">
        <f>IF(N319="nulová",J319,0)</f>
        <v>0</v>
      </c>
      <c r="BJ319" s="23" t="s">
        <v>85</v>
      </c>
      <c r="BK319" s="104">
        <f>ROUND(I319*H319,2)</f>
        <v>1722</v>
      </c>
      <c r="BL319" s="23" t="s">
        <v>218</v>
      </c>
      <c r="BM319" s="101" t="s">
        <v>1083</v>
      </c>
    </row>
    <row r="320" spans="2:65" s="136" customFormat="1">
      <c r="B320" s="138"/>
      <c r="D320" s="105" t="s">
        <v>365</v>
      </c>
      <c r="E320" s="139" t="s">
        <v>1</v>
      </c>
      <c r="F320" s="140" t="s">
        <v>5450</v>
      </c>
      <c r="H320" s="139" t="s">
        <v>1</v>
      </c>
      <c r="I320" s="146"/>
      <c r="L320" s="138"/>
      <c r="M320" s="147"/>
      <c r="T320" s="150"/>
      <c r="AT320" s="139" t="s">
        <v>365</v>
      </c>
      <c r="AU320" s="139" t="s">
        <v>87</v>
      </c>
      <c r="AV320" s="136" t="s">
        <v>85</v>
      </c>
      <c r="AW320" s="136" t="s">
        <v>33</v>
      </c>
      <c r="AX320" s="136" t="s">
        <v>77</v>
      </c>
      <c r="AY320" s="139" t="s">
        <v>211</v>
      </c>
    </row>
    <row r="321" spans="2:65" s="113" customFormat="1">
      <c r="B321" s="119"/>
      <c r="D321" s="105" t="s">
        <v>365</v>
      </c>
      <c r="E321" s="135" t="s">
        <v>1</v>
      </c>
      <c r="F321" s="120" t="s">
        <v>85</v>
      </c>
      <c r="H321" s="121">
        <v>1</v>
      </c>
      <c r="I321" s="128"/>
      <c r="L321" s="119"/>
      <c r="M321" s="129"/>
      <c r="T321" s="133"/>
      <c r="AT321" s="135" t="s">
        <v>365</v>
      </c>
      <c r="AU321" s="135" t="s">
        <v>87</v>
      </c>
      <c r="AV321" s="113" t="s">
        <v>87</v>
      </c>
      <c r="AW321" s="113" t="s">
        <v>33</v>
      </c>
      <c r="AX321" s="113" t="s">
        <v>77</v>
      </c>
      <c r="AY321" s="135" t="s">
        <v>211</v>
      </c>
    </row>
    <row r="322" spans="2:65" s="136" customFormat="1">
      <c r="B322" s="138"/>
      <c r="D322" s="105" t="s">
        <v>365</v>
      </c>
      <c r="E322" s="139" t="s">
        <v>1</v>
      </c>
      <c r="F322" s="140" t="s">
        <v>5999</v>
      </c>
      <c r="H322" s="139" t="s">
        <v>1</v>
      </c>
      <c r="I322" s="146"/>
      <c r="L322" s="138"/>
      <c r="M322" s="147"/>
      <c r="T322" s="150"/>
      <c r="AT322" s="139" t="s">
        <v>365</v>
      </c>
      <c r="AU322" s="139" t="s">
        <v>87</v>
      </c>
      <c r="AV322" s="136" t="s">
        <v>85</v>
      </c>
      <c r="AW322" s="136" t="s">
        <v>33</v>
      </c>
      <c r="AX322" s="136" t="s">
        <v>77</v>
      </c>
      <c r="AY322" s="139" t="s">
        <v>211</v>
      </c>
    </row>
    <row r="323" spans="2:65" s="113" customFormat="1">
      <c r="B323" s="119"/>
      <c r="D323" s="105" t="s">
        <v>365</v>
      </c>
      <c r="E323" s="135" t="s">
        <v>1</v>
      </c>
      <c r="F323" s="120" t="s">
        <v>87</v>
      </c>
      <c r="H323" s="121">
        <v>2</v>
      </c>
      <c r="I323" s="128"/>
      <c r="L323" s="119"/>
      <c r="M323" s="129"/>
      <c r="T323" s="133"/>
      <c r="AT323" s="135" t="s">
        <v>365</v>
      </c>
      <c r="AU323" s="135" t="s">
        <v>87</v>
      </c>
      <c r="AV323" s="113" t="s">
        <v>87</v>
      </c>
      <c r="AW323" s="113" t="s">
        <v>33</v>
      </c>
      <c r="AX323" s="113" t="s">
        <v>77</v>
      </c>
      <c r="AY323" s="135" t="s">
        <v>211</v>
      </c>
    </row>
    <row r="324" spans="2:65" s="137" customFormat="1">
      <c r="B324" s="141"/>
      <c r="D324" s="105" t="s">
        <v>365</v>
      </c>
      <c r="E324" s="142" t="s">
        <v>1</v>
      </c>
      <c r="F324" s="143" t="s">
        <v>368</v>
      </c>
      <c r="H324" s="144">
        <v>3</v>
      </c>
      <c r="I324" s="148"/>
      <c r="L324" s="141"/>
      <c r="M324" s="149"/>
      <c r="T324" s="151"/>
      <c r="AT324" s="142" t="s">
        <v>365</v>
      </c>
      <c r="AU324" s="142" t="s">
        <v>87</v>
      </c>
      <c r="AV324" s="137" t="s">
        <v>218</v>
      </c>
      <c r="AW324" s="137" t="s">
        <v>33</v>
      </c>
      <c r="AX324" s="137" t="s">
        <v>85</v>
      </c>
      <c r="AY324" s="142" t="s">
        <v>211</v>
      </c>
    </row>
    <row r="325" spans="2:65" s="1" customFormat="1" ht="38.1" customHeight="1">
      <c r="B325" s="12"/>
      <c r="C325" s="71" t="s">
        <v>654</v>
      </c>
      <c r="D325" s="71" t="s">
        <v>214</v>
      </c>
      <c r="E325" s="72" t="s">
        <v>5451</v>
      </c>
      <c r="F325" s="73" t="s">
        <v>5452</v>
      </c>
      <c r="G325" s="74" t="s">
        <v>444</v>
      </c>
      <c r="H325" s="75">
        <v>65</v>
      </c>
      <c r="I325" s="145">
        <v>6.31</v>
      </c>
      <c r="J325" s="91">
        <f>ROUND(I325*H325,2)</f>
        <v>410.15</v>
      </c>
      <c r="K325" s="92"/>
      <c r="L325" s="12"/>
      <c r="M325" s="93" t="s">
        <v>1</v>
      </c>
      <c r="N325" s="94" t="s">
        <v>42</v>
      </c>
      <c r="P325" s="95">
        <f>O325*H325</f>
        <v>0</v>
      </c>
      <c r="Q325" s="95">
        <v>0</v>
      </c>
      <c r="R325" s="95">
        <f>Q325*H325</f>
        <v>0</v>
      </c>
      <c r="S325" s="95">
        <v>0</v>
      </c>
      <c r="T325" s="99">
        <f>S325*H325</f>
        <v>0</v>
      </c>
      <c r="AR325" s="101" t="s">
        <v>218</v>
      </c>
      <c r="AT325" s="101" t="s">
        <v>214</v>
      </c>
      <c r="AU325" s="101" t="s">
        <v>87</v>
      </c>
      <c r="AY325" s="23" t="s">
        <v>211</v>
      </c>
      <c r="BE325" s="104">
        <f>IF(N325="základní",J325,0)</f>
        <v>410.15</v>
      </c>
      <c r="BF325" s="104">
        <f>IF(N325="snížená",J325,0)</f>
        <v>0</v>
      </c>
      <c r="BG325" s="104">
        <f>IF(N325="zákl. přenesená",J325,0)</f>
        <v>0</v>
      </c>
      <c r="BH325" s="104">
        <f>IF(N325="sníž. přenesená",J325,0)</f>
        <v>0</v>
      </c>
      <c r="BI325" s="104">
        <f>IF(N325="nulová",J325,0)</f>
        <v>0</v>
      </c>
      <c r="BJ325" s="23" t="s">
        <v>85</v>
      </c>
      <c r="BK325" s="104">
        <f>ROUND(I325*H325,2)</f>
        <v>410.15</v>
      </c>
      <c r="BL325" s="23" t="s">
        <v>218</v>
      </c>
      <c r="BM325" s="101" t="s">
        <v>1098</v>
      </c>
    </row>
    <row r="326" spans="2:65" s="113" customFormat="1">
      <c r="B326" s="119"/>
      <c r="D326" s="105" t="s">
        <v>365</v>
      </c>
      <c r="E326" s="135" t="s">
        <v>1</v>
      </c>
      <c r="F326" s="120" t="s">
        <v>6000</v>
      </c>
      <c r="H326" s="121">
        <v>65</v>
      </c>
      <c r="I326" s="128"/>
      <c r="L326" s="119"/>
      <c r="M326" s="129"/>
      <c r="T326" s="133"/>
      <c r="AT326" s="135" t="s">
        <v>365</v>
      </c>
      <c r="AU326" s="135" t="s">
        <v>87</v>
      </c>
      <c r="AV326" s="113" t="s">
        <v>87</v>
      </c>
      <c r="AW326" s="113" t="s">
        <v>33</v>
      </c>
      <c r="AX326" s="113" t="s">
        <v>77</v>
      </c>
      <c r="AY326" s="135" t="s">
        <v>211</v>
      </c>
    </row>
    <row r="327" spans="2:65" s="137" customFormat="1">
      <c r="B327" s="141"/>
      <c r="D327" s="105" t="s">
        <v>365</v>
      </c>
      <c r="E327" s="142" t="s">
        <v>1</v>
      </c>
      <c r="F327" s="143" t="s">
        <v>368</v>
      </c>
      <c r="H327" s="144">
        <v>65</v>
      </c>
      <c r="I327" s="148"/>
      <c r="L327" s="141"/>
      <c r="M327" s="149"/>
      <c r="T327" s="151"/>
      <c r="AT327" s="142" t="s">
        <v>365</v>
      </c>
      <c r="AU327" s="142" t="s">
        <v>87</v>
      </c>
      <c r="AV327" s="137" t="s">
        <v>218</v>
      </c>
      <c r="AW327" s="137" t="s">
        <v>33</v>
      </c>
      <c r="AX327" s="137" t="s">
        <v>85</v>
      </c>
      <c r="AY327" s="142" t="s">
        <v>211</v>
      </c>
    </row>
    <row r="328" spans="2:65" s="1" customFormat="1" ht="38.1" customHeight="1">
      <c r="B328" s="12"/>
      <c r="C328" s="71" t="s">
        <v>660</v>
      </c>
      <c r="D328" s="71" t="s">
        <v>214</v>
      </c>
      <c r="E328" s="72" t="s">
        <v>5453</v>
      </c>
      <c r="F328" s="73" t="s">
        <v>5454</v>
      </c>
      <c r="G328" s="74" t="s">
        <v>279</v>
      </c>
      <c r="H328" s="75">
        <v>31</v>
      </c>
      <c r="I328" s="145">
        <v>32</v>
      </c>
      <c r="J328" s="91">
        <f>ROUND(I328*H328,2)</f>
        <v>992</v>
      </c>
      <c r="K328" s="92"/>
      <c r="L328" s="12"/>
      <c r="M328" s="93" t="s">
        <v>1</v>
      </c>
      <c r="N328" s="94" t="s">
        <v>42</v>
      </c>
      <c r="P328" s="95">
        <f>O328*H328</f>
        <v>0</v>
      </c>
      <c r="Q328" s="95">
        <v>0</v>
      </c>
      <c r="R328" s="95">
        <f>Q328*H328</f>
        <v>0</v>
      </c>
      <c r="S328" s="95">
        <v>0</v>
      </c>
      <c r="T328" s="99">
        <f>S328*H328</f>
        <v>0</v>
      </c>
      <c r="AR328" s="101" t="s">
        <v>218</v>
      </c>
      <c r="AT328" s="101" t="s">
        <v>214</v>
      </c>
      <c r="AU328" s="101" t="s">
        <v>87</v>
      </c>
      <c r="AY328" s="23" t="s">
        <v>211</v>
      </c>
      <c r="BE328" s="104">
        <f>IF(N328="základní",J328,0)</f>
        <v>992</v>
      </c>
      <c r="BF328" s="104">
        <f>IF(N328="snížená",J328,0)</f>
        <v>0</v>
      </c>
      <c r="BG328" s="104">
        <f>IF(N328="zákl. přenesená",J328,0)</f>
        <v>0</v>
      </c>
      <c r="BH328" s="104">
        <f>IF(N328="sníž. přenesená",J328,0)</f>
        <v>0</v>
      </c>
      <c r="BI328" s="104">
        <f>IF(N328="nulová",J328,0)</f>
        <v>0</v>
      </c>
      <c r="BJ328" s="23" t="s">
        <v>85</v>
      </c>
      <c r="BK328" s="104">
        <f>ROUND(I328*H328,2)</f>
        <v>992</v>
      </c>
      <c r="BL328" s="23" t="s">
        <v>218</v>
      </c>
      <c r="BM328" s="101" t="s">
        <v>1112</v>
      </c>
    </row>
    <row r="329" spans="2:65" s="113" customFormat="1">
      <c r="B329" s="119"/>
      <c r="D329" s="105" t="s">
        <v>365</v>
      </c>
      <c r="E329" s="135" t="s">
        <v>1</v>
      </c>
      <c r="F329" s="120" t="s">
        <v>6001</v>
      </c>
      <c r="H329" s="121">
        <v>31</v>
      </c>
      <c r="I329" s="128"/>
      <c r="L329" s="119"/>
      <c r="M329" s="129"/>
      <c r="T329" s="133"/>
      <c r="AT329" s="135" t="s">
        <v>365</v>
      </c>
      <c r="AU329" s="135" t="s">
        <v>87</v>
      </c>
      <c r="AV329" s="113" t="s">
        <v>87</v>
      </c>
      <c r="AW329" s="113" t="s">
        <v>33</v>
      </c>
      <c r="AX329" s="113" t="s">
        <v>77</v>
      </c>
      <c r="AY329" s="135" t="s">
        <v>211</v>
      </c>
    </row>
    <row r="330" spans="2:65" s="137" customFormat="1">
      <c r="B330" s="141"/>
      <c r="D330" s="105" t="s">
        <v>365</v>
      </c>
      <c r="E330" s="142" t="s">
        <v>1</v>
      </c>
      <c r="F330" s="143" t="s">
        <v>368</v>
      </c>
      <c r="H330" s="144">
        <v>31</v>
      </c>
      <c r="I330" s="148"/>
      <c r="L330" s="141"/>
      <c r="M330" s="149"/>
      <c r="T330" s="151"/>
      <c r="AT330" s="142" t="s">
        <v>365</v>
      </c>
      <c r="AU330" s="142" t="s">
        <v>87</v>
      </c>
      <c r="AV330" s="137" t="s">
        <v>218</v>
      </c>
      <c r="AW330" s="137" t="s">
        <v>33</v>
      </c>
      <c r="AX330" s="137" t="s">
        <v>85</v>
      </c>
      <c r="AY330" s="142" t="s">
        <v>211</v>
      </c>
    </row>
    <row r="331" spans="2:65" s="1" customFormat="1" ht="49.35" customHeight="1">
      <c r="B331" s="12"/>
      <c r="C331" s="71" t="s">
        <v>665</v>
      </c>
      <c r="D331" s="71" t="s">
        <v>214</v>
      </c>
      <c r="E331" s="72" t="s">
        <v>6002</v>
      </c>
      <c r="F331" s="73" t="s">
        <v>6003</v>
      </c>
      <c r="G331" s="74" t="s">
        <v>444</v>
      </c>
      <c r="H331" s="75">
        <v>81</v>
      </c>
      <c r="I331" s="145">
        <v>277</v>
      </c>
      <c r="J331" s="91">
        <f>ROUND(I331*H331,2)</f>
        <v>22437</v>
      </c>
      <c r="K331" s="92"/>
      <c r="L331" s="12"/>
      <c r="M331" s="93" t="s">
        <v>1</v>
      </c>
      <c r="N331" s="94" t="s">
        <v>42</v>
      </c>
      <c r="P331" s="95">
        <f>O331*H331</f>
        <v>0</v>
      </c>
      <c r="Q331" s="95">
        <v>0</v>
      </c>
      <c r="R331" s="95">
        <f>Q331*H331</f>
        <v>0</v>
      </c>
      <c r="S331" s="95">
        <v>0</v>
      </c>
      <c r="T331" s="99">
        <f>S331*H331</f>
        <v>0</v>
      </c>
      <c r="AR331" s="101" t="s">
        <v>218</v>
      </c>
      <c r="AT331" s="101" t="s">
        <v>214</v>
      </c>
      <c r="AU331" s="101" t="s">
        <v>87</v>
      </c>
      <c r="AY331" s="23" t="s">
        <v>211</v>
      </c>
      <c r="BE331" s="104">
        <f>IF(N331="základní",J331,0)</f>
        <v>22437</v>
      </c>
      <c r="BF331" s="104">
        <f>IF(N331="snížená",J331,0)</f>
        <v>0</v>
      </c>
      <c r="BG331" s="104">
        <f>IF(N331="zákl. přenesená",J331,0)</f>
        <v>0</v>
      </c>
      <c r="BH331" s="104">
        <f>IF(N331="sníž. přenesená",J331,0)</f>
        <v>0</v>
      </c>
      <c r="BI331" s="104">
        <f>IF(N331="nulová",J331,0)</f>
        <v>0</v>
      </c>
      <c r="BJ331" s="23" t="s">
        <v>85</v>
      </c>
      <c r="BK331" s="104">
        <f>ROUND(I331*H331,2)</f>
        <v>22437</v>
      </c>
      <c r="BL331" s="23" t="s">
        <v>218</v>
      </c>
      <c r="BM331" s="101" t="s">
        <v>1129</v>
      </c>
    </row>
    <row r="332" spans="2:65" s="113" customFormat="1">
      <c r="B332" s="119"/>
      <c r="D332" s="105" t="s">
        <v>365</v>
      </c>
      <c r="E332" s="135" t="s">
        <v>1</v>
      </c>
      <c r="F332" s="120" t="s">
        <v>6004</v>
      </c>
      <c r="H332" s="121">
        <v>81</v>
      </c>
      <c r="I332" s="128"/>
      <c r="L332" s="119"/>
      <c r="M332" s="129"/>
      <c r="T332" s="133"/>
      <c r="AT332" s="135" t="s">
        <v>365</v>
      </c>
      <c r="AU332" s="135" t="s">
        <v>87</v>
      </c>
      <c r="AV332" s="113" t="s">
        <v>87</v>
      </c>
      <c r="AW332" s="113" t="s">
        <v>33</v>
      </c>
      <c r="AX332" s="113" t="s">
        <v>77</v>
      </c>
      <c r="AY332" s="135" t="s">
        <v>211</v>
      </c>
    </row>
    <row r="333" spans="2:65" s="137" customFormat="1">
      <c r="B333" s="141"/>
      <c r="D333" s="105" t="s">
        <v>365</v>
      </c>
      <c r="E333" s="142" t="s">
        <v>1</v>
      </c>
      <c r="F333" s="143" t="s">
        <v>368</v>
      </c>
      <c r="H333" s="144">
        <v>81</v>
      </c>
      <c r="I333" s="148"/>
      <c r="L333" s="141"/>
      <c r="M333" s="149"/>
      <c r="T333" s="151"/>
      <c r="AT333" s="142" t="s">
        <v>365</v>
      </c>
      <c r="AU333" s="142" t="s">
        <v>87</v>
      </c>
      <c r="AV333" s="137" t="s">
        <v>218</v>
      </c>
      <c r="AW333" s="137" t="s">
        <v>33</v>
      </c>
      <c r="AX333" s="137" t="s">
        <v>85</v>
      </c>
      <c r="AY333" s="142" t="s">
        <v>211</v>
      </c>
    </row>
    <row r="334" spans="2:65" s="1" customFormat="1" ht="16.5" customHeight="1">
      <c r="B334" s="12"/>
      <c r="C334" s="114" t="s">
        <v>679</v>
      </c>
      <c r="D334" s="114" t="s">
        <v>438</v>
      </c>
      <c r="E334" s="115" t="s">
        <v>6005</v>
      </c>
      <c r="F334" s="116" t="s">
        <v>6006</v>
      </c>
      <c r="G334" s="117" t="s">
        <v>444</v>
      </c>
      <c r="H334" s="118">
        <v>11.22</v>
      </c>
      <c r="I334" s="152">
        <v>187</v>
      </c>
      <c r="J334" s="123">
        <f>ROUND(I334*H334,2)</f>
        <v>2098.14</v>
      </c>
      <c r="K334" s="124"/>
      <c r="L334" s="125"/>
      <c r="M334" s="126" t="s">
        <v>1</v>
      </c>
      <c r="N334" s="127" t="s">
        <v>42</v>
      </c>
      <c r="P334" s="95">
        <f>O334*H334</f>
        <v>0</v>
      </c>
      <c r="Q334" s="95">
        <v>0</v>
      </c>
      <c r="R334" s="95">
        <f>Q334*H334</f>
        <v>0</v>
      </c>
      <c r="S334" s="95">
        <v>0</v>
      </c>
      <c r="T334" s="99">
        <f>S334*H334</f>
        <v>0</v>
      </c>
      <c r="AR334" s="101" t="s">
        <v>250</v>
      </c>
      <c r="AT334" s="101" t="s">
        <v>438</v>
      </c>
      <c r="AU334" s="101" t="s">
        <v>87</v>
      </c>
      <c r="AY334" s="23" t="s">
        <v>211</v>
      </c>
      <c r="BE334" s="104">
        <f>IF(N334="základní",J334,0)</f>
        <v>2098.14</v>
      </c>
      <c r="BF334" s="104">
        <f>IF(N334="snížená",J334,0)</f>
        <v>0</v>
      </c>
      <c r="BG334" s="104">
        <f>IF(N334="zákl. přenesená",J334,0)</f>
        <v>0</v>
      </c>
      <c r="BH334" s="104">
        <f>IF(N334="sníž. přenesená",J334,0)</f>
        <v>0</v>
      </c>
      <c r="BI334" s="104">
        <f>IF(N334="nulová",J334,0)</f>
        <v>0</v>
      </c>
      <c r="BJ334" s="23" t="s">
        <v>85</v>
      </c>
      <c r="BK334" s="104">
        <f>ROUND(I334*H334,2)</f>
        <v>2098.14</v>
      </c>
      <c r="BL334" s="23" t="s">
        <v>218</v>
      </c>
      <c r="BM334" s="101" t="s">
        <v>1141</v>
      </c>
    </row>
    <row r="335" spans="2:65" s="113" customFormat="1">
      <c r="B335" s="119"/>
      <c r="D335" s="105" t="s">
        <v>365</v>
      </c>
      <c r="E335" s="135" t="s">
        <v>1</v>
      </c>
      <c r="F335" s="120" t="s">
        <v>6007</v>
      </c>
      <c r="H335" s="121">
        <v>11.22</v>
      </c>
      <c r="I335" s="128"/>
      <c r="L335" s="119"/>
      <c r="M335" s="129"/>
      <c r="T335" s="133"/>
      <c r="AT335" s="135" t="s">
        <v>365</v>
      </c>
      <c r="AU335" s="135" t="s">
        <v>87</v>
      </c>
      <c r="AV335" s="113" t="s">
        <v>87</v>
      </c>
      <c r="AW335" s="113" t="s">
        <v>33</v>
      </c>
      <c r="AX335" s="113" t="s">
        <v>77</v>
      </c>
      <c r="AY335" s="135" t="s">
        <v>211</v>
      </c>
    </row>
    <row r="336" spans="2:65" s="137" customFormat="1">
      <c r="B336" s="141"/>
      <c r="D336" s="105" t="s">
        <v>365</v>
      </c>
      <c r="E336" s="142" t="s">
        <v>1</v>
      </c>
      <c r="F336" s="143" t="s">
        <v>368</v>
      </c>
      <c r="H336" s="144">
        <v>11.22</v>
      </c>
      <c r="I336" s="148"/>
      <c r="L336" s="141"/>
      <c r="M336" s="149"/>
      <c r="T336" s="151"/>
      <c r="AT336" s="142" t="s">
        <v>365</v>
      </c>
      <c r="AU336" s="142" t="s">
        <v>87</v>
      </c>
      <c r="AV336" s="137" t="s">
        <v>218</v>
      </c>
      <c r="AW336" s="137" t="s">
        <v>33</v>
      </c>
      <c r="AX336" s="137" t="s">
        <v>85</v>
      </c>
      <c r="AY336" s="142" t="s">
        <v>211</v>
      </c>
    </row>
    <row r="337" spans="2:65" s="1" customFormat="1" ht="16.5" customHeight="1">
      <c r="B337" s="12"/>
      <c r="C337" s="114" t="s">
        <v>694</v>
      </c>
      <c r="D337" s="114" t="s">
        <v>438</v>
      </c>
      <c r="E337" s="115" t="s">
        <v>6008</v>
      </c>
      <c r="F337" s="116" t="s">
        <v>6009</v>
      </c>
      <c r="G337" s="117" t="s">
        <v>444</v>
      </c>
      <c r="H337" s="118">
        <v>69.36</v>
      </c>
      <c r="I337" s="152">
        <v>162</v>
      </c>
      <c r="J337" s="123">
        <f>ROUND(I337*H337,2)</f>
        <v>11236.32</v>
      </c>
      <c r="K337" s="124"/>
      <c r="L337" s="125"/>
      <c r="M337" s="126" t="s">
        <v>1</v>
      </c>
      <c r="N337" s="127" t="s">
        <v>42</v>
      </c>
      <c r="P337" s="95">
        <f>O337*H337</f>
        <v>0</v>
      </c>
      <c r="Q337" s="95">
        <v>0</v>
      </c>
      <c r="R337" s="95">
        <f>Q337*H337</f>
        <v>0</v>
      </c>
      <c r="S337" s="95">
        <v>0</v>
      </c>
      <c r="T337" s="99">
        <f>S337*H337</f>
        <v>0</v>
      </c>
      <c r="AR337" s="101" t="s">
        <v>250</v>
      </c>
      <c r="AT337" s="101" t="s">
        <v>438</v>
      </c>
      <c r="AU337" s="101" t="s">
        <v>87</v>
      </c>
      <c r="AY337" s="23" t="s">
        <v>211</v>
      </c>
      <c r="BE337" s="104">
        <f>IF(N337="základní",J337,0)</f>
        <v>11236.32</v>
      </c>
      <c r="BF337" s="104">
        <f>IF(N337="snížená",J337,0)</f>
        <v>0</v>
      </c>
      <c r="BG337" s="104">
        <f>IF(N337="zákl. přenesená",J337,0)</f>
        <v>0</v>
      </c>
      <c r="BH337" s="104">
        <f>IF(N337="sníž. přenesená",J337,0)</f>
        <v>0</v>
      </c>
      <c r="BI337" s="104">
        <f>IF(N337="nulová",J337,0)</f>
        <v>0</v>
      </c>
      <c r="BJ337" s="23" t="s">
        <v>85</v>
      </c>
      <c r="BK337" s="104">
        <f>ROUND(I337*H337,2)</f>
        <v>11236.32</v>
      </c>
      <c r="BL337" s="23" t="s">
        <v>218</v>
      </c>
      <c r="BM337" s="101" t="s">
        <v>1153</v>
      </c>
    </row>
    <row r="338" spans="2:65" s="113" customFormat="1">
      <c r="B338" s="119"/>
      <c r="D338" s="105" t="s">
        <v>365</v>
      </c>
      <c r="E338" s="135" t="s">
        <v>1</v>
      </c>
      <c r="F338" s="120" t="s">
        <v>6010</v>
      </c>
      <c r="H338" s="121">
        <v>69.36</v>
      </c>
      <c r="I338" s="128"/>
      <c r="L338" s="119"/>
      <c r="M338" s="129"/>
      <c r="T338" s="133"/>
      <c r="AT338" s="135" t="s">
        <v>365</v>
      </c>
      <c r="AU338" s="135" t="s">
        <v>87</v>
      </c>
      <c r="AV338" s="113" t="s">
        <v>87</v>
      </c>
      <c r="AW338" s="113" t="s">
        <v>33</v>
      </c>
      <c r="AX338" s="113" t="s">
        <v>77</v>
      </c>
      <c r="AY338" s="135" t="s">
        <v>211</v>
      </c>
    </row>
    <row r="339" spans="2:65" s="137" customFormat="1">
      <c r="B339" s="141"/>
      <c r="D339" s="105" t="s">
        <v>365</v>
      </c>
      <c r="E339" s="142" t="s">
        <v>1</v>
      </c>
      <c r="F339" s="143" t="s">
        <v>368</v>
      </c>
      <c r="H339" s="144">
        <v>69.36</v>
      </c>
      <c r="I339" s="148"/>
      <c r="L339" s="141"/>
      <c r="M339" s="149"/>
      <c r="T339" s="151"/>
      <c r="AT339" s="142" t="s">
        <v>365</v>
      </c>
      <c r="AU339" s="142" t="s">
        <v>87</v>
      </c>
      <c r="AV339" s="137" t="s">
        <v>218</v>
      </c>
      <c r="AW339" s="137" t="s">
        <v>33</v>
      </c>
      <c r="AX339" s="137" t="s">
        <v>85</v>
      </c>
      <c r="AY339" s="142" t="s">
        <v>211</v>
      </c>
    </row>
    <row r="340" spans="2:65" s="1" customFormat="1" ht="24.15" customHeight="1">
      <c r="B340" s="12"/>
      <c r="C340" s="114" t="s">
        <v>705</v>
      </c>
      <c r="D340" s="114" t="s">
        <v>438</v>
      </c>
      <c r="E340" s="115" t="s">
        <v>6011</v>
      </c>
      <c r="F340" s="116" t="s">
        <v>6012</v>
      </c>
      <c r="G340" s="117" t="s">
        <v>444</v>
      </c>
      <c r="H340" s="118">
        <v>2.04</v>
      </c>
      <c r="I340" s="152">
        <v>415</v>
      </c>
      <c r="J340" s="123">
        <f>ROUND(I340*H340,2)</f>
        <v>846.6</v>
      </c>
      <c r="K340" s="124"/>
      <c r="L340" s="125"/>
      <c r="M340" s="126" t="s">
        <v>1</v>
      </c>
      <c r="N340" s="127" t="s">
        <v>42</v>
      </c>
      <c r="P340" s="95">
        <f>O340*H340</f>
        <v>0</v>
      </c>
      <c r="Q340" s="95">
        <v>0</v>
      </c>
      <c r="R340" s="95">
        <f>Q340*H340</f>
        <v>0</v>
      </c>
      <c r="S340" s="95">
        <v>0</v>
      </c>
      <c r="T340" s="99">
        <f>S340*H340</f>
        <v>0</v>
      </c>
      <c r="AR340" s="101" t="s">
        <v>250</v>
      </c>
      <c r="AT340" s="101" t="s">
        <v>438</v>
      </c>
      <c r="AU340" s="101" t="s">
        <v>87</v>
      </c>
      <c r="AY340" s="23" t="s">
        <v>211</v>
      </c>
      <c r="BE340" s="104">
        <f>IF(N340="základní",J340,0)</f>
        <v>846.6</v>
      </c>
      <c r="BF340" s="104">
        <f>IF(N340="snížená",J340,0)</f>
        <v>0</v>
      </c>
      <c r="BG340" s="104">
        <f>IF(N340="zákl. přenesená",J340,0)</f>
        <v>0</v>
      </c>
      <c r="BH340" s="104">
        <f>IF(N340="sníž. přenesená",J340,0)</f>
        <v>0</v>
      </c>
      <c r="BI340" s="104">
        <f>IF(N340="nulová",J340,0)</f>
        <v>0</v>
      </c>
      <c r="BJ340" s="23" t="s">
        <v>85</v>
      </c>
      <c r="BK340" s="104">
        <f>ROUND(I340*H340,2)</f>
        <v>846.6</v>
      </c>
      <c r="BL340" s="23" t="s">
        <v>218</v>
      </c>
      <c r="BM340" s="101" t="s">
        <v>1167</v>
      </c>
    </row>
    <row r="341" spans="2:65" s="113" customFormat="1">
      <c r="B341" s="119"/>
      <c r="D341" s="105" t="s">
        <v>365</v>
      </c>
      <c r="E341" s="135" t="s">
        <v>1</v>
      </c>
      <c r="F341" s="120" t="s">
        <v>6013</v>
      </c>
      <c r="H341" s="121">
        <v>2.04</v>
      </c>
      <c r="I341" s="128"/>
      <c r="L341" s="119"/>
      <c r="M341" s="129"/>
      <c r="T341" s="133"/>
      <c r="AT341" s="135" t="s">
        <v>365</v>
      </c>
      <c r="AU341" s="135" t="s">
        <v>87</v>
      </c>
      <c r="AV341" s="113" t="s">
        <v>87</v>
      </c>
      <c r="AW341" s="113" t="s">
        <v>33</v>
      </c>
      <c r="AX341" s="113" t="s">
        <v>77</v>
      </c>
      <c r="AY341" s="135" t="s">
        <v>211</v>
      </c>
    </row>
    <row r="342" spans="2:65" s="137" customFormat="1">
      <c r="B342" s="141"/>
      <c r="D342" s="105" t="s">
        <v>365</v>
      </c>
      <c r="E342" s="142" t="s">
        <v>1</v>
      </c>
      <c r="F342" s="143" t="s">
        <v>368</v>
      </c>
      <c r="H342" s="144">
        <v>2.04</v>
      </c>
      <c r="I342" s="148"/>
      <c r="L342" s="141"/>
      <c r="M342" s="149"/>
      <c r="T342" s="151"/>
      <c r="AT342" s="142" t="s">
        <v>365</v>
      </c>
      <c r="AU342" s="142" t="s">
        <v>87</v>
      </c>
      <c r="AV342" s="137" t="s">
        <v>218</v>
      </c>
      <c r="AW342" s="137" t="s">
        <v>33</v>
      </c>
      <c r="AX342" s="137" t="s">
        <v>85</v>
      </c>
      <c r="AY342" s="142" t="s">
        <v>211</v>
      </c>
    </row>
    <row r="343" spans="2:65" s="1" customFormat="1" ht="49.35" customHeight="1">
      <c r="B343" s="12"/>
      <c r="C343" s="71" t="s">
        <v>713</v>
      </c>
      <c r="D343" s="71" t="s">
        <v>214</v>
      </c>
      <c r="E343" s="72" t="s">
        <v>6014</v>
      </c>
      <c r="F343" s="73" t="s">
        <v>6015</v>
      </c>
      <c r="G343" s="74" t="s">
        <v>444</v>
      </c>
      <c r="H343" s="75">
        <v>275</v>
      </c>
      <c r="I343" s="145">
        <v>237</v>
      </c>
      <c r="J343" s="91">
        <f>ROUND(I343*H343,2)</f>
        <v>65175</v>
      </c>
      <c r="K343" s="92"/>
      <c r="L343" s="12"/>
      <c r="M343" s="93" t="s">
        <v>1</v>
      </c>
      <c r="N343" s="94" t="s">
        <v>42</v>
      </c>
      <c r="P343" s="95">
        <f>O343*H343</f>
        <v>0</v>
      </c>
      <c r="Q343" s="95">
        <v>0</v>
      </c>
      <c r="R343" s="95">
        <f>Q343*H343</f>
        <v>0</v>
      </c>
      <c r="S343" s="95">
        <v>0</v>
      </c>
      <c r="T343" s="99">
        <f>S343*H343</f>
        <v>0</v>
      </c>
      <c r="AR343" s="101" t="s">
        <v>218</v>
      </c>
      <c r="AT343" s="101" t="s">
        <v>214</v>
      </c>
      <c r="AU343" s="101" t="s">
        <v>87</v>
      </c>
      <c r="AY343" s="23" t="s">
        <v>211</v>
      </c>
      <c r="BE343" s="104">
        <f>IF(N343="základní",J343,0)</f>
        <v>65175</v>
      </c>
      <c r="BF343" s="104">
        <f>IF(N343="snížená",J343,0)</f>
        <v>0</v>
      </c>
      <c r="BG343" s="104">
        <f>IF(N343="zákl. přenesená",J343,0)</f>
        <v>0</v>
      </c>
      <c r="BH343" s="104">
        <f>IF(N343="sníž. přenesená",J343,0)</f>
        <v>0</v>
      </c>
      <c r="BI343" s="104">
        <f>IF(N343="nulová",J343,0)</f>
        <v>0</v>
      </c>
      <c r="BJ343" s="23" t="s">
        <v>85</v>
      </c>
      <c r="BK343" s="104">
        <f>ROUND(I343*H343,2)</f>
        <v>65175</v>
      </c>
      <c r="BL343" s="23" t="s">
        <v>218</v>
      </c>
      <c r="BM343" s="101" t="s">
        <v>1179</v>
      </c>
    </row>
    <row r="344" spans="2:65" s="1" customFormat="1" ht="16.5" customHeight="1">
      <c r="B344" s="12"/>
      <c r="C344" s="114" t="s">
        <v>722</v>
      </c>
      <c r="D344" s="114" t="s">
        <v>438</v>
      </c>
      <c r="E344" s="115" t="s">
        <v>6016</v>
      </c>
      <c r="F344" s="116" t="s">
        <v>6017</v>
      </c>
      <c r="G344" s="117" t="s">
        <v>444</v>
      </c>
      <c r="H344" s="118">
        <v>280.5</v>
      </c>
      <c r="I344" s="152">
        <v>138</v>
      </c>
      <c r="J344" s="123">
        <f>ROUND(I344*H344,2)</f>
        <v>38709</v>
      </c>
      <c r="K344" s="124"/>
      <c r="L344" s="125"/>
      <c r="M344" s="126" t="s">
        <v>1</v>
      </c>
      <c r="N344" s="127" t="s">
        <v>42</v>
      </c>
      <c r="P344" s="95">
        <f>O344*H344</f>
        <v>0</v>
      </c>
      <c r="Q344" s="95">
        <v>0</v>
      </c>
      <c r="R344" s="95">
        <f>Q344*H344</f>
        <v>0</v>
      </c>
      <c r="S344" s="95">
        <v>0</v>
      </c>
      <c r="T344" s="99">
        <f>S344*H344</f>
        <v>0</v>
      </c>
      <c r="AR344" s="101" t="s">
        <v>250</v>
      </c>
      <c r="AT344" s="101" t="s">
        <v>438</v>
      </c>
      <c r="AU344" s="101" t="s">
        <v>87</v>
      </c>
      <c r="AY344" s="23" t="s">
        <v>211</v>
      </c>
      <c r="BE344" s="104">
        <f>IF(N344="základní",J344,0)</f>
        <v>38709</v>
      </c>
      <c r="BF344" s="104">
        <f>IF(N344="snížená",J344,0)</f>
        <v>0</v>
      </c>
      <c r="BG344" s="104">
        <f>IF(N344="zákl. přenesená",J344,0)</f>
        <v>0</v>
      </c>
      <c r="BH344" s="104">
        <f>IF(N344="sníž. přenesená",J344,0)</f>
        <v>0</v>
      </c>
      <c r="BI344" s="104">
        <f>IF(N344="nulová",J344,0)</f>
        <v>0</v>
      </c>
      <c r="BJ344" s="23" t="s">
        <v>85</v>
      </c>
      <c r="BK344" s="104">
        <f>ROUND(I344*H344,2)</f>
        <v>38709</v>
      </c>
      <c r="BL344" s="23" t="s">
        <v>218</v>
      </c>
      <c r="BM344" s="101" t="s">
        <v>1187</v>
      </c>
    </row>
    <row r="345" spans="2:65" s="113" customFormat="1">
      <c r="B345" s="119"/>
      <c r="D345" s="105" t="s">
        <v>365</v>
      </c>
      <c r="E345" s="135" t="s">
        <v>1</v>
      </c>
      <c r="F345" s="120" t="s">
        <v>6018</v>
      </c>
      <c r="H345" s="121">
        <v>280.5</v>
      </c>
      <c r="I345" s="128"/>
      <c r="L345" s="119"/>
      <c r="M345" s="129"/>
      <c r="T345" s="133"/>
      <c r="AT345" s="135" t="s">
        <v>365</v>
      </c>
      <c r="AU345" s="135" t="s">
        <v>87</v>
      </c>
      <c r="AV345" s="113" t="s">
        <v>87</v>
      </c>
      <c r="AW345" s="113" t="s">
        <v>33</v>
      </c>
      <c r="AX345" s="113" t="s">
        <v>77</v>
      </c>
      <c r="AY345" s="135" t="s">
        <v>211</v>
      </c>
    </row>
    <row r="346" spans="2:65" s="137" customFormat="1">
      <c r="B346" s="141"/>
      <c r="D346" s="105" t="s">
        <v>365</v>
      </c>
      <c r="E346" s="142" t="s">
        <v>1</v>
      </c>
      <c r="F346" s="143" t="s">
        <v>368</v>
      </c>
      <c r="H346" s="144">
        <v>280.5</v>
      </c>
      <c r="I346" s="148"/>
      <c r="L346" s="141"/>
      <c r="M346" s="149"/>
      <c r="T346" s="151"/>
      <c r="AT346" s="142" t="s">
        <v>365</v>
      </c>
      <c r="AU346" s="142" t="s">
        <v>87</v>
      </c>
      <c r="AV346" s="137" t="s">
        <v>218</v>
      </c>
      <c r="AW346" s="137" t="s">
        <v>33</v>
      </c>
      <c r="AX346" s="137" t="s">
        <v>85</v>
      </c>
      <c r="AY346" s="142" t="s">
        <v>211</v>
      </c>
    </row>
    <row r="347" spans="2:65" s="1" customFormat="1" ht="49.35" customHeight="1">
      <c r="B347" s="12"/>
      <c r="C347" s="71" t="s">
        <v>727</v>
      </c>
      <c r="D347" s="71" t="s">
        <v>214</v>
      </c>
      <c r="E347" s="72" t="s">
        <v>6019</v>
      </c>
      <c r="F347" s="73" t="s">
        <v>6020</v>
      </c>
      <c r="G347" s="74" t="s">
        <v>444</v>
      </c>
      <c r="H347" s="75">
        <v>142</v>
      </c>
      <c r="I347" s="145">
        <v>308</v>
      </c>
      <c r="J347" s="91">
        <f>ROUND(I347*H347,2)</f>
        <v>43736</v>
      </c>
      <c r="K347" s="92"/>
      <c r="L347" s="12"/>
      <c r="M347" s="93" t="s">
        <v>1</v>
      </c>
      <c r="N347" s="94" t="s">
        <v>42</v>
      </c>
      <c r="P347" s="95">
        <f>O347*H347</f>
        <v>0</v>
      </c>
      <c r="Q347" s="95">
        <v>0</v>
      </c>
      <c r="R347" s="95">
        <f>Q347*H347</f>
        <v>0</v>
      </c>
      <c r="S347" s="95">
        <v>0</v>
      </c>
      <c r="T347" s="99">
        <f>S347*H347</f>
        <v>0</v>
      </c>
      <c r="AR347" s="101" t="s">
        <v>218</v>
      </c>
      <c r="AT347" s="101" t="s">
        <v>214</v>
      </c>
      <c r="AU347" s="101" t="s">
        <v>87</v>
      </c>
      <c r="AY347" s="23" t="s">
        <v>211</v>
      </c>
      <c r="BE347" s="104">
        <f>IF(N347="základní",J347,0)</f>
        <v>43736</v>
      </c>
      <c r="BF347" s="104">
        <f>IF(N347="snížená",J347,0)</f>
        <v>0</v>
      </c>
      <c r="BG347" s="104">
        <f>IF(N347="zákl. přenesená",J347,0)</f>
        <v>0</v>
      </c>
      <c r="BH347" s="104">
        <f>IF(N347="sníž. přenesená",J347,0)</f>
        <v>0</v>
      </c>
      <c r="BI347" s="104">
        <f>IF(N347="nulová",J347,0)</f>
        <v>0</v>
      </c>
      <c r="BJ347" s="23" t="s">
        <v>85</v>
      </c>
      <c r="BK347" s="104">
        <f>ROUND(I347*H347,2)</f>
        <v>43736</v>
      </c>
      <c r="BL347" s="23" t="s">
        <v>218</v>
      </c>
      <c r="BM347" s="101" t="s">
        <v>1195</v>
      </c>
    </row>
    <row r="348" spans="2:65" s="1" customFormat="1" ht="16.5" customHeight="1">
      <c r="B348" s="12"/>
      <c r="C348" s="114" t="s">
        <v>756</v>
      </c>
      <c r="D348" s="114" t="s">
        <v>438</v>
      </c>
      <c r="E348" s="115" t="s">
        <v>6021</v>
      </c>
      <c r="F348" s="116" t="s">
        <v>6022</v>
      </c>
      <c r="G348" s="117" t="s">
        <v>444</v>
      </c>
      <c r="H348" s="118">
        <v>144.84</v>
      </c>
      <c r="I348" s="152">
        <v>1510</v>
      </c>
      <c r="J348" s="123">
        <f>ROUND(I348*H348,2)</f>
        <v>218708.4</v>
      </c>
      <c r="K348" s="124"/>
      <c r="L348" s="125"/>
      <c r="M348" s="126" t="s">
        <v>1</v>
      </c>
      <c r="N348" s="127" t="s">
        <v>42</v>
      </c>
      <c r="P348" s="95">
        <f>O348*H348</f>
        <v>0</v>
      </c>
      <c r="Q348" s="95">
        <v>0</v>
      </c>
      <c r="R348" s="95">
        <f>Q348*H348</f>
        <v>0</v>
      </c>
      <c r="S348" s="95">
        <v>0</v>
      </c>
      <c r="T348" s="99">
        <f>S348*H348</f>
        <v>0</v>
      </c>
      <c r="AR348" s="101" t="s">
        <v>250</v>
      </c>
      <c r="AT348" s="101" t="s">
        <v>438</v>
      </c>
      <c r="AU348" s="101" t="s">
        <v>87</v>
      </c>
      <c r="AY348" s="23" t="s">
        <v>211</v>
      </c>
      <c r="BE348" s="104">
        <f>IF(N348="základní",J348,0)</f>
        <v>218708.4</v>
      </c>
      <c r="BF348" s="104">
        <f>IF(N348="snížená",J348,0)</f>
        <v>0</v>
      </c>
      <c r="BG348" s="104">
        <f>IF(N348="zákl. přenesená",J348,0)</f>
        <v>0</v>
      </c>
      <c r="BH348" s="104">
        <f>IF(N348="sníž. přenesená",J348,0)</f>
        <v>0</v>
      </c>
      <c r="BI348" s="104">
        <f>IF(N348="nulová",J348,0)</f>
        <v>0</v>
      </c>
      <c r="BJ348" s="23" t="s">
        <v>85</v>
      </c>
      <c r="BK348" s="104">
        <f>ROUND(I348*H348,2)</f>
        <v>218708.4</v>
      </c>
      <c r="BL348" s="23" t="s">
        <v>218</v>
      </c>
      <c r="BM348" s="101" t="s">
        <v>1211</v>
      </c>
    </row>
    <row r="349" spans="2:65" s="113" customFormat="1">
      <c r="B349" s="119"/>
      <c r="D349" s="105" t="s">
        <v>365</v>
      </c>
      <c r="E349" s="135" t="s">
        <v>1</v>
      </c>
      <c r="F349" s="120" t="s">
        <v>6023</v>
      </c>
      <c r="H349" s="121">
        <v>144.84</v>
      </c>
      <c r="I349" s="128"/>
      <c r="L349" s="119"/>
      <c r="M349" s="129"/>
      <c r="T349" s="133"/>
      <c r="AT349" s="135" t="s">
        <v>365</v>
      </c>
      <c r="AU349" s="135" t="s">
        <v>87</v>
      </c>
      <c r="AV349" s="113" t="s">
        <v>87</v>
      </c>
      <c r="AW349" s="113" t="s">
        <v>33</v>
      </c>
      <c r="AX349" s="113" t="s">
        <v>77</v>
      </c>
      <c r="AY349" s="135" t="s">
        <v>211</v>
      </c>
    </row>
    <row r="350" spans="2:65" s="137" customFormat="1">
      <c r="B350" s="141"/>
      <c r="D350" s="105" t="s">
        <v>365</v>
      </c>
      <c r="E350" s="142" t="s">
        <v>1</v>
      </c>
      <c r="F350" s="143" t="s">
        <v>368</v>
      </c>
      <c r="H350" s="144">
        <v>144.84</v>
      </c>
      <c r="I350" s="148"/>
      <c r="L350" s="141"/>
      <c r="M350" s="149"/>
      <c r="T350" s="151"/>
      <c r="AT350" s="142" t="s">
        <v>365</v>
      </c>
      <c r="AU350" s="142" t="s">
        <v>87</v>
      </c>
      <c r="AV350" s="137" t="s">
        <v>218</v>
      </c>
      <c r="AW350" s="137" t="s">
        <v>33</v>
      </c>
      <c r="AX350" s="137" t="s">
        <v>85</v>
      </c>
      <c r="AY350" s="142" t="s">
        <v>211</v>
      </c>
    </row>
    <row r="351" spans="2:65" s="1" customFormat="1" ht="16.5" customHeight="1">
      <c r="B351" s="12"/>
      <c r="C351" s="71" t="s">
        <v>760</v>
      </c>
      <c r="D351" s="71" t="s">
        <v>214</v>
      </c>
      <c r="E351" s="72" t="s">
        <v>5455</v>
      </c>
      <c r="F351" s="73" t="s">
        <v>5456</v>
      </c>
      <c r="G351" s="74" t="s">
        <v>444</v>
      </c>
      <c r="H351" s="75">
        <v>29.28</v>
      </c>
      <c r="I351" s="145">
        <v>1432.27</v>
      </c>
      <c r="J351" s="91">
        <f>ROUND(I351*H351,2)</f>
        <v>41936.870000000003</v>
      </c>
      <c r="K351" s="92"/>
      <c r="L351" s="12"/>
      <c r="M351" s="93" t="s">
        <v>1</v>
      </c>
      <c r="N351" s="94" t="s">
        <v>42</v>
      </c>
      <c r="P351" s="95">
        <f>O351*H351</f>
        <v>0</v>
      </c>
      <c r="Q351" s="95">
        <v>0</v>
      </c>
      <c r="R351" s="95">
        <f>Q351*H351</f>
        <v>0</v>
      </c>
      <c r="S351" s="95">
        <v>0</v>
      </c>
      <c r="T351" s="99">
        <f>S351*H351</f>
        <v>0</v>
      </c>
      <c r="AR351" s="101" t="s">
        <v>218</v>
      </c>
      <c r="AT351" s="101" t="s">
        <v>214</v>
      </c>
      <c r="AU351" s="101" t="s">
        <v>87</v>
      </c>
      <c r="AY351" s="23" t="s">
        <v>211</v>
      </c>
      <c r="BE351" s="104">
        <f>IF(N351="základní",J351,0)</f>
        <v>41936.870000000003</v>
      </c>
      <c r="BF351" s="104">
        <f>IF(N351="snížená",J351,0)</f>
        <v>0</v>
      </c>
      <c r="BG351" s="104">
        <f>IF(N351="zákl. přenesená",J351,0)</f>
        <v>0</v>
      </c>
      <c r="BH351" s="104">
        <f>IF(N351="sníž. přenesená",J351,0)</f>
        <v>0</v>
      </c>
      <c r="BI351" s="104">
        <f>IF(N351="nulová",J351,0)</f>
        <v>0</v>
      </c>
      <c r="BJ351" s="23" t="s">
        <v>85</v>
      </c>
      <c r="BK351" s="104">
        <f>ROUND(I351*H351,2)</f>
        <v>41936.870000000003</v>
      </c>
      <c r="BL351" s="23" t="s">
        <v>218</v>
      </c>
      <c r="BM351" s="101" t="s">
        <v>1224</v>
      </c>
    </row>
    <row r="352" spans="2:65" s="1" customFormat="1" ht="19.2">
      <c r="B352" s="12"/>
      <c r="D352" s="105" t="s">
        <v>227</v>
      </c>
      <c r="F352" s="106" t="s">
        <v>5457</v>
      </c>
      <c r="I352" s="107"/>
      <c r="L352" s="12"/>
      <c r="M352" s="108"/>
      <c r="T352" s="111"/>
      <c r="AT352" s="23" t="s">
        <v>227</v>
      </c>
      <c r="AU352" s="23" t="s">
        <v>87</v>
      </c>
    </row>
    <row r="353" spans="2:65" s="113" customFormat="1">
      <c r="B353" s="119"/>
      <c r="D353" s="105" t="s">
        <v>365</v>
      </c>
      <c r="E353" s="135" t="s">
        <v>1</v>
      </c>
      <c r="F353" s="120" t="s">
        <v>6024</v>
      </c>
      <c r="H353" s="121">
        <v>29.28</v>
      </c>
      <c r="I353" s="128"/>
      <c r="L353" s="119"/>
      <c r="M353" s="129"/>
      <c r="T353" s="133"/>
      <c r="AT353" s="135" t="s">
        <v>365</v>
      </c>
      <c r="AU353" s="135" t="s">
        <v>87</v>
      </c>
      <c r="AV353" s="113" t="s">
        <v>87</v>
      </c>
      <c r="AW353" s="113" t="s">
        <v>33</v>
      </c>
      <c r="AX353" s="113" t="s">
        <v>77</v>
      </c>
      <c r="AY353" s="135" t="s">
        <v>211</v>
      </c>
    </row>
    <row r="354" spans="2:65" s="137" customFormat="1">
      <c r="B354" s="141"/>
      <c r="D354" s="105" t="s">
        <v>365</v>
      </c>
      <c r="E354" s="142" t="s">
        <v>1</v>
      </c>
      <c r="F354" s="143" t="s">
        <v>368</v>
      </c>
      <c r="H354" s="144">
        <v>29.28</v>
      </c>
      <c r="I354" s="148"/>
      <c r="L354" s="141"/>
      <c r="M354" s="149"/>
      <c r="T354" s="151"/>
      <c r="AT354" s="142" t="s">
        <v>365</v>
      </c>
      <c r="AU354" s="142" t="s">
        <v>87</v>
      </c>
      <c r="AV354" s="137" t="s">
        <v>218</v>
      </c>
      <c r="AW354" s="137" t="s">
        <v>33</v>
      </c>
      <c r="AX354" s="137" t="s">
        <v>85</v>
      </c>
      <c r="AY354" s="142" t="s">
        <v>211</v>
      </c>
    </row>
    <row r="355" spans="2:65" s="1" customFormat="1" ht="24.15" customHeight="1">
      <c r="B355" s="12"/>
      <c r="C355" s="71" t="s">
        <v>805</v>
      </c>
      <c r="D355" s="71" t="s">
        <v>214</v>
      </c>
      <c r="E355" s="72" t="s">
        <v>6025</v>
      </c>
      <c r="F355" s="73" t="s">
        <v>6026</v>
      </c>
      <c r="G355" s="74" t="s">
        <v>279</v>
      </c>
      <c r="H355" s="75">
        <v>120</v>
      </c>
      <c r="I355" s="145">
        <v>81.900000000000006</v>
      </c>
      <c r="J355" s="91">
        <f>ROUND(I355*H355,2)</f>
        <v>9828</v>
      </c>
      <c r="K355" s="92"/>
      <c r="L355" s="12"/>
      <c r="M355" s="93" t="s">
        <v>1</v>
      </c>
      <c r="N355" s="94" t="s">
        <v>42</v>
      </c>
      <c r="P355" s="95">
        <f>O355*H355</f>
        <v>0</v>
      </c>
      <c r="Q355" s="95">
        <v>0</v>
      </c>
      <c r="R355" s="95">
        <f>Q355*H355</f>
        <v>0</v>
      </c>
      <c r="S355" s="95">
        <v>0</v>
      </c>
      <c r="T355" s="99">
        <f>S355*H355</f>
        <v>0</v>
      </c>
      <c r="AR355" s="101" t="s">
        <v>218</v>
      </c>
      <c r="AT355" s="101" t="s">
        <v>214</v>
      </c>
      <c r="AU355" s="101" t="s">
        <v>87</v>
      </c>
      <c r="AY355" s="23" t="s">
        <v>211</v>
      </c>
      <c r="BE355" s="104">
        <f>IF(N355="základní",J355,0)</f>
        <v>9828</v>
      </c>
      <c r="BF355" s="104">
        <f>IF(N355="snížená",J355,0)</f>
        <v>0</v>
      </c>
      <c r="BG355" s="104">
        <f>IF(N355="zákl. přenesená",J355,0)</f>
        <v>0</v>
      </c>
      <c r="BH355" s="104">
        <f>IF(N355="sníž. přenesená",J355,0)</f>
        <v>0</v>
      </c>
      <c r="BI355" s="104">
        <f>IF(N355="nulová",J355,0)</f>
        <v>0</v>
      </c>
      <c r="BJ355" s="23" t="s">
        <v>85</v>
      </c>
      <c r="BK355" s="104">
        <f>ROUND(I355*H355,2)</f>
        <v>9828</v>
      </c>
      <c r="BL355" s="23" t="s">
        <v>218</v>
      </c>
      <c r="BM355" s="101" t="s">
        <v>1239</v>
      </c>
    </row>
    <row r="356" spans="2:65" s="1" customFormat="1" ht="28.8">
      <c r="B356" s="12"/>
      <c r="D356" s="105" t="s">
        <v>227</v>
      </c>
      <c r="F356" s="106" t="s">
        <v>6027</v>
      </c>
      <c r="I356" s="107"/>
      <c r="L356" s="12"/>
      <c r="M356" s="108"/>
      <c r="T356" s="111"/>
      <c r="AT356" s="23" t="s">
        <v>227</v>
      </c>
      <c r="AU356" s="23" t="s">
        <v>87</v>
      </c>
    </row>
    <row r="357" spans="2:65" s="1" customFormat="1" ht="24.15" customHeight="1">
      <c r="B357" s="12"/>
      <c r="C357" s="71" t="s">
        <v>810</v>
      </c>
      <c r="D357" s="71" t="s">
        <v>214</v>
      </c>
      <c r="E357" s="72" t="s">
        <v>6028</v>
      </c>
      <c r="F357" s="73" t="s">
        <v>6029</v>
      </c>
      <c r="G357" s="74" t="s">
        <v>444</v>
      </c>
      <c r="H357" s="75">
        <v>120</v>
      </c>
      <c r="I357" s="145">
        <v>92</v>
      </c>
      <c r="J357" s="91">
        <f>ROUND(I357*H357,2)</f>
        <v>11040</v>
      </c>
      <c r="K357" s="92"/>
      <c r="L357" s="12"/>
      <c r="M357" s="93" t="s">
        <v>1</v>
      </c>
      <c r="N357" s="94" t="s">
        <v>42</v>
      </c>
      <c r="P357" s="95">
        <f>O357*H357</f>
        <v>0</v>
      </c>
      <c r="Q357" s="95">
        <v>0</v>
      </c>
      <c r="R357" s="95">
        <f>Q357*H357</f>
        <v>0</v>
      </c>
      <c r="S357" s="95">
        <v>0</v>
      </c>
      <c r="T357" s="99">
        <f>S357*H357</f>
        <v>0</v>
      </c>
      <c r="AR357" s="101" t="s">
        <v>218</v>
      </c>
      <c r="AT357" s="101" t="s">
        <v>214</v>
      </c>
      <c r="AU357" s="101" t="s">
        <v>87</v>
      </c>
      <c r="AY357" s="23" t="s">
        <v>211</v>
      </c>
      <c r="BE357" s="104">
        <f>IF(N357="základní",J357,0)</f>
        <v>11040</v>
      </c>
      <c r="BF357" s="104">
        <f>IF(N357="snížená",J357,0)</f>
        <v>0</v>
      </c>
      <c r="BG357" s="104">
        <f>IF(N357="zákl. přenesená",J357,0)</f>
        <v>0</v>
      </c>
      <c r="BH357" s="104">
        <f>IF(N357="sníž. přenesená",J357,0)</f>
        <v>0</v>
      </c>
      <c r="BI357" s="104">
        <f>IF(N357="nulová",J357,0)</f>
        <v>0</v>
      </c>
      <c r="BJ357" s="23" t="s">
        <v>85</v>
      </c>
      <c r="BK357" s="104">
        <f>ROUND(I357*H357,2)</f>
        <v>11040</v>
      </c>
      <c r="BL357" s="23" t="s">
        <v>218</v>
      </c>
      <c r="BM357" s="101" t="s">
        <v>1260</v>
      </c>
    </row>
    <row r="358" spans="2:65" s="1" customFormat="1" ht="66.75" customHeight="1">
      <c r="B358" s="12"/>
      <c r="C358" s="71" t="s">
        <v>814</v>
      </c>
      <c r="D358" s="71" t="s">
        <v>214</v>
      </c>
      <c r="E358" s="72" t="s">
        <v>6030</v>
      </c>
      <c r="F358" s="73" t="s">
        <v>6031</v>
      </c>
      <c r="G358" s="74" t="s">
        <v>444</v>
      </c>
      <c r="H358" s="75">
        <v>8</v>
      </c>
      <c r="I358" s="145">
        <v>505</v>
      </c>
      <c r="J358" s="91">
        <f>ROUND(I358*H358,2)</f>
        <v>4040</v>
      </c>
      <c r="K358" s="92"/>
      <c r="L358" s="12"/>
      <c r="M358" s="93" t="s">
        <v>1</v>
      </c>
      <c r="N358" s="94" t="s">
        <v>42</v>
      </c>
      <c r="P358" s="95">
        <f>O358*H358</f>
        <v>0</v>
      </c>
      <c r="Q358" s="95">
        <v>0</v>
      </c>
      <c r="R358" s="95">
        <f>Q358*H358</f>
        <v>0</v>
      </c>
      <c r="S358" s="95">
        <v>0</v>
      </c>
      <c r="T358" s="99">
        <f>S358*H358</f>
        <v>0</v>
      </c>
      <c r="AR358" s="101" t="s">
        <v>218</v>
      </c>
      <c r="AT358" s="101" t="s">
        <v>214</v>
      </c>
      <c r="AU358" s="101" t="s">
        <v>87</v>
      </c>
      <c r="AY358" s="23" t="s">
        <v>211</v>
      </c>
      <c r="BE358" s="104">
        <f>IF(N358="základní",J358,0)</f>
        <v>4040</v>
      </c>
      <c r="BF358" s="104">
        <f>IF(N358="snížená",J358,0)</f>
        <v>0</v>
      </c>
      <c r="BG358" s="104">
        <f>IF(N358="zákl. přenesená",J358,0)</f>
        <v>0</v>
      </c>
      <c r="BH358" s="104">
        <f>IF(N358="sníž. přenesená",J358,0)</f>
        <v>0</v>
      </c>
      <c r="BI358" s="104">
        <f>IF(N358="nulová",J358,0)</f>
        <v>0</v>
      </c>
      <c r="BJ358" s="23" t="s">
        <v>85</v>
      </c>
      <c r="BK358" s="104">
        <f>ROUND(I358*H358,2)</f>
        <v>4040</v>
      </c>
      <c r="BL358" s="23" t="s">
        <v>218</v>
      </c>
      <c r="BM358" s="101" t="s">
        <v>1269</v>
      </c>
    </row>
    <row r="359" spans="2:65" s="31" customFormat="1" ht="23.1" customHeight="1">
      <c r="B359" s="67"/>
      <c r="D359" s="68" t="s">
        <v>76</v>
      </c>
      <c r="E359" s="70" t="s">
        <v>6032</v>
      </c>
      <c r="F359" s="70" t="s">
        <v>6033</v>
      </c>
      <c r="I359" s="85"/>
      <c r="J359" s="89">
        <f>BK359</f>
        <v>31089.86</v>
      </c>
      <c r="L359" s="67"/>
      <c r="M359" s="87"/>
      <c r="P359" s="88">
        <f>SUM(P360:P365)</f>
        <v>0</v>
      </c>
      <c r="R359" s="88">
        <f>SUM(R360:R365)</f>
        <v>0</v>
      </c>
      <c r="T359" s="98">
        <f>SUM(T360:T365)</f>
        <v>0</v>
      </c>
      <c r="AR359" s="68" t="s">
        <v>85</v>
      </c>
      <c r="AT359" s="100" t="s">
        <v>76</v>
      </c>
      <c r="AU359" s="100" t="s">
        <v>85</v>
      </c>
      <c r="AY359" s="68" t="s">
        <v>211</v>
      </c>
      <c r="BK359" s="103">
        <f>SUM(BK360:BK365)</f>
        <v>31089.86</v>
      </c>
    </row>
    <row r="360" spans="2:65" s="1" customFormat="1" ht="38.1" customHeight="1">
      <c r="B360" s="12"/>
      <c r="C360" s="71" t="s">
        <v>818</v>
      </c>
      <c r="D360" s="71" t="s">
        <v>214</v>
      </c>
      <c r="E360" s="72" t="s">
        <v>6034</v>
      </c>
      <c r="F360" s="73" t="s">
        <v>6035</v>
      </c>
      <c r="G360" s="74" t="s">
        <v>394</v>
      </c>
      <c r="H360" s="75">
        <v>52.615000000000002</v>
      </c>
      <c r="I360" s="145">
        <v>51.7</v>
      </c>
      <c r="J360" s="91">
        <f>ROUND(I360*H360,2)</f>
        <v>2720.2</v>
      </c>
      <c r="K360" s="92"/>
      <c r="L360" s="12"/>
      <c r="M360" s="93" t="s">
        <v>1</v>
      </c>
      <c r="N360" s="94" t="s">
        <v>42</v>
      </c>
      <c r="P360" s="95">
        <f>O360*H360</f>
        <v>0</v>
      </c>
      <c r="Q360" s="95">
        <v>0</v>
      </c>
      <c r="R360" s="95">
        <f>Q360*H360</f>
        <v>0</v>
      </c>
      <c r="S360" s="95">
        <v>0</v>
      </c>
      <c r="T360" s="99">
        <f>S360*H360</f>
        <v>0</v>
      </c>
      <c r="AR360" s="101" t="s">
        <v>218</v>
      </c>
      <c r="AT360" s="101" t="s">
        <v>214</v>
      </c>
      <c r="AU360" s="101" t="s">
        <v>87</v>
      </c>
      <c r="AY360" s="23" t="s">
        <v>211</v>
      </c>
      <c r="BE360" s="104">
        <f>IF(N360="základní",J360,0)</f>
        <v>2720.2</v>
      </c>
      <c r="BF360" s="104">
        <f>IF(N360="snížená",J360,0)</f>
        <v>0</v>
      </c>
      <c r="BG360" s="104">
        <f>IF(N360="zákl. přenesená",J360,0)</f>
        <v>0</v>
      </c>
      <c r="BH360" s="104">
        <f>IF(N360="sníž. přenesená",J360,0)</f>
        <v>0</v>
      </c>
      <c r="BI360" s="104">
        <f>IF(N360="nulová",J360,0)</f>
        <v>0</v>
      </c>
      <c r="BJ360" s="23" t="s">
        <v>85</v>
      </c>
      <c r="BK360" s="104">
        <f>ROUND(I360*H360,2)</f>
        <v>2720.2</v>
      </c>
      <c r="BL360" s="23" t="s">
        <v>218</v>
      </c>
      <c r="BM360" s="101" t="s">
        <v>1277</v>
      </c>
    </row>
    <row r="361" spans="2:65" s="1" customFormat="1" ht="38.1" customHeight="1">
      <c r="B361" s="12"/>
      <c r="C361" s="71" t="s">
        <v>822</v>
      </c>
      <c r="D361" s="71" t="s">
        <v>214</v>
      </c>
      <c r="E361" s="72" t="s">
        <v>6036</v>
      </c>
      <c r="F361" s="73" t="s">
        <v>6037</v>
      </c>
      <c r="G361" s="74" t="s">
        <v>394</v>
      </c>
      <c r="H361" s="75">
        <v>999.68499999999995</v>
      </c>
      <c r="I361" s="145">
        <v>13</v>
      </c>
      <c r="J361" s="91">
        <f>ROUND(I361*H361,2)</f>
        <v>12995.91</v>
      </c>
      <c r="K361" s="92"/>
      <c r="L361" s="12"/>
      <c r="M361" s="93" t="s">
        <v>1</v>
      </c>
      <c r="N361" s="94" t="s">
        <v>42</v>
      </c>
      <c r="P361" s="95">
        <f>O361*H361</f>
        <v>0</v>
      </c>
      <c r="Q361" s="95">
        <v>0</v>
      </c>
      <c r="R361" s="95">
        <f>Q361*H361</f>
        <v>0</v>
      </c>
      <c r="S361" s="95">
        <v>0</v>
      </c>
      <c r="T361" s="99">
        <f>S361*H361</f>
        <v>0</v>
      </c>
      <c r="AR361" s="101" t="s">
        <v>218</v>
      </c>
      <c r="AT361" s="101" t="s">
        <v>214</v>
      </c>
      <c r="AU361" s="101" t="s">
        <v>87</v>
      </c>
      <c r="AY361" s="23" t="s">
        <v>211</v>
      </c>
      <c r="BE361" s="104">
        <f>IF(N361="základní",J361,0)</f>
        <v>12995.91</v>
      </c>
      <c r="BF361" s="104">
        <f>IF(N361="snížená",J361,0)</f>
        <v>0</v>
      </c>
      <c r="BG361" s="104">
        <f>IF(N361="zákl. přenesená",J361,0)</f>
        <v>0</v>
      </c>
      <c r="BH361" s="104">
        <f>IF(N361="sníž. přenesená",J361,0)</f>
        <v>0</v>
      </c>
      <c r="BI361" s="104">
        <f>IF(N361="nulová",J361,0)</f>
        <v>0</v>
      </c>
      <c r="BJ361" s="23" t="s">
        <v>85</v>
      </c>
      <c r="BK361" s="104">
        <f>ROUND(I361*H361,2)</f>
        <v>12995.91</v>
      </c>
      <c r="BL361" s="23" t="s">
        <v>218</v>
      </c>
      <c r="BM361" s="101" t="s">
        <v>1296</v>
      </c>
    </row>
    <row r="362" spans="2:65" s="113" customFormat="1">
      <c r="B362" s="119"/>
      <c r="D362" s="105" t="s">
        <v>365</v>
      </c>
      <c r="E362" s="135" t="s">
        <v>1</v>
      </c>
      <c r="F362" s="120" t="s">
        <v>6038</v>
      </c>
      <c r="H362" s="121">
        <v>999.68499999999995</v>
      </c>
      <c r="I362" s="128"/>
      <c r="L362" s="119"/>
      <c r="M362" s="129"/>
      <c r="T362" s="133"/>
      <c r="AT362" s="135" t="s">
        <v>365</v>
      </c>
      <c r="AU362" s="135" t="s">
        <v>87</v>
      </c>
      <c r="AV362" s="113" t="s">
        <v>87</v>
      </c>
      <c r="AW362" s="113" t="s">
        <v>33</v>
      </c>
      <c r="AX362" s="113" t="s">
        <v>77</v>
      </c>
      <c r="AY362" s="135" t="s">
        <v>211</v>
      </c>
    </row>
    <row r="363" spans="2:65" s="137" customFormat="1">
      <c r="B363" s="141"/>
      <c r="D363" s="105" t="s">
        <v>365</v>
      </c>
      <c r="E363" s="142" t="s">
        <v>1</v>
      </c>
      <c r="F363" s="143" t="s">
        <v>368</v>
      </c>
      <c r="H363" s="144">
        <v>999.68499999999995</v>
      </c>
      <c r="I363" s="148"/>
      <c r="L363" s="141"/>
      <c r="M363" s="149"/>
      <c r="T363" s="151"/>
      <c r="AT363" s="142" t="s">
        <v>365</v>
      </c>
      <c r="AU363" s="142" t="s">
        <v>87</v>
      </c>
      <c r="AV363" s="137" t="s">
        <v>218</v>
      </c>
      <c r="AW363" s="137" t="s">
        <v>33</v>
      </c>
      <c r="AX363" s="137" t="s">
        <v>85</v>
      </c>
      <c r="AY363" s="142" t="s">
        <v>211</v>
      </c>
    </row>
    <row r="364" spans="2:65" s="1" customFormat="1" ht="44.25" customHeight="1">
      <c r="B364" s="12"/>
      <c r="C364" s="71" t="s">
        <v>826</v>
      </c>
      <c r="D364" s="71" t="s">
        <v>214</v>
      </c>
      <c r="E364" s="72" t="s">
        <v>6039</v>
      </c>
      <c r="F364" s="73" t="s">
        <v>6040</v>
      </c>
      <c r="G364" s="74" t="s">
        <v>394</v>
      </c>
      <c r="H364" s="75">
        <v>32.094999999999999</v>
      </c>
      <c r="I364" s="145">
        <v>170</v>
      </c>
      <c r="J364" s="91">
        <f>ROUND(I364*H364,2)</f>
        <v>5456.15</v>
      </c>
      <c r="K364" s="92"/>
      <c r="L364" s="12"/>
      <c r="M364" s="93" t="s">
        <v>1</v>
      </c>
      <c r="N364" s="94" t="s">
        <v>42</v>
      </c>
      <c r="P364" s="95">
        <f>O364*H364</f>
        <v>0</v>
      </c>
      <c r="Q364" s="95">
        <v>0</v>
      </c>
      <c r="R364" s="95">
        <f>Q364*H364</f>
        <v>0</v>
      </c>
      <c r="S364" s="95">
        <v>0</v>
      </c>
      <c r="T364" s="99">
        <f>S364*H364</f>
        <v>0</v>
      </c>
      <c r="AR364" s="101" t="s">
        <v>218</v>
      </c>
      <c r="AT364" s="101" t="s">
        <v>214</v>
      </c>
      <c r="AU364" s="101" t="s">
        <v>87</v>
      </c>
      <c r="AY364" s="23" t="s">
        <v>211</v>
      </c>
      <c r="BE364" s="104">
        <f>IF(N364="základní",J364,0)</f>
        <v>5456.15</v>
      </c>
      <c r="BF364" s="104">
        <f>IF(N364="snížená",J364,0)</f>
        <v>0</v>
      </c>
      <c r="BG364" s="104">
        <f>IF(N364="zákl. přenesená",J364,0)</f>
        <v>0</v>
      </c>
      <c r="BH364" s="104">
        <f>IF(N364="sníž. přenesená",J364,0)</f>
        <v>0</v>
      </c>
      <c r="BI364" s="104">
        <f>IF(N364="nulová",J364,0)</f>
        <v>0</v>
      </c>
      <c r="BJ364" s="23" t="s">
        <v>85</v>
      </c>
      <c r="BK364" s="104">
        <f>ROUND(I364*H364,2)</f>
        <v>5456.15</v>
      </c>
      <c r="BL364" s="23" t="s">
        <v>218</v>
      </c>
      <c r="BM364" s="101" t="s">
        <v>1312</v>
      </c>
    </row>
    <row r="365" spans="2:65" s="1" customFormat="1" ht="44.25" customHeight="1">
      <c r="B365" s="12"/>
      <c r="C365" s="71" t="s">
        <v>830</v>
      </c>
      <c r="D365" s="71" t="s">
        <v>214</v>
      </c>
      <c r="E365" s="72" t="s">
        <v>6041</v>
      </c>
      <c r="F365" s="73" t="s">
        <v>6042</v>
      </c>
      <c r="G365" s="74" t="s">
        <v>394</v>
      </c>
      <c r="H365" s="75">
        <v>20.239999999999998</v>
      </c>
      <c r="I365" s="145">
        <v>490</v>
      </c>
      <c r="J365" s="91">
        <f>ROUND(I365*H365,2)</f>
        <v>9917.6</v>
      </c>
      <c r="K365" s="92"/>
      <c r="L365" s="12"/>
      <c r="M365" s="93" t="s">
        <v>1</v>
      </c>
      <c r="N365" s="94" t="s">
        <v>42</v>
      </c>
      <c r="P365" s="95">
        <f>O365*H365</f>
        <v>0</v>
      </c>
      <c r="Q365" s="95">
        <v>0</v>
      </c>
      <c r="R365" s="95">
        <f>Q365*H365</f>
        <v>0</v>
      </c>
      <c r="S365" s="95">
        <v>0</v>
      </c>
      <c r="T365" s="99">
        <f>S365*H365</f>
        <v>0</v>
      </c>
      <c r="AR365" s="101" t="s">
        <v>218</v>
      </c>
      <c r="AT365" s="101" t="s">
        <v>214</v>
      </c>
      <c r="AU365" s="101" t="s">
        <v>87</v>
      </c>
      <c r="AY365" s="23" t="s">
        <v>211</v>
      </c>
      <c r="BE365" s="104">
        <f>IF(N365="základní",J365,0)</f>
        <v>9917.6</v>
      </c>
      <c r="BF365" s="104">
        <f>IF(N365="snížená",J365,0)</f>
        <v>0</v>
      </c>
      <c r="BG365" s="104">
        <f>IF(N365="zákl. přenesená",J365,0)</f>
        <v>0</v>
      </c>
      <c r="BH365" s="104">
        <f>IF(N365="sníž. přenesená",J365,0)</f>
        <v>0</v>
      </c>
      <c r="BI365" s="104">
        <f>IF(N365="nulová",J365,0)</f>
        <v>0</v>
      </c>
      <c r="BJ365" s="23" t="s">
        <v>85</v>
      </c>
      <c r="BK365" s="104">
        <f>ROUND(I365*H365,2)</f>
        <v>9917.6</v>
      </c>
      <c r="BL365" s="23" t="s">
        <v>218</v>
      </c>
      <c r="BM365" s="101" t="s">
        <v>1323</v>
      </c>
    </row>
    <row r="366" spans="2:65" s="31" customFormat="1" ht="23.1" customHeight="1">
      <c r="B366" s="67"/>
      <c r="D366" s="68" t="s">
        <v>76</v>
      </c>
      <c r="E366" s="70" t="s">
        <v>1639</v>
      </c>
      <c r="F366" s="70" t="s">
        <v>1640</v>
      </c>
      <c r="I366" s="85"/>
      <c r="J366" s="89">
        <f>BK366</f>
        <v>81997.06</v>
      </c>
      <c r="L366" s="67"/>
      <c r="M366" s="87"/>
      <c r="P366" s="88">
        <f>P367</f>
        <v>0</v>
      </c>
      <c r="R366" s="88">
        <f>R367</f>
        <v>0</v>
      </c>
      <c r="T366" s="98">
        <f>T367</f>
        <v>0</v>
      </c>
      <c r="AR366" s="68" t="s">
        <v>85</v>
      </c>
      <c r="AT366" s="100" t="s">
        <v>76</v>
      </c>
      <c r="AU366" s="100" t="s">
        <v>85</v>
      </c>
      <c r="AY366" s="68" t="s">
        <v>211</v>
      </c>
      <c r="BK366" s="103">
        <f>BK367</f>
        <v>81997.06</v>
      </c>
    </row>
    <row r="367" spans="2:65" s="1" customFormat="1" ht="38.1" customHeight="1">
      <c r="B367" s="12"/>
      <c r="C367" s="71" t="s">
        <v>834</v>
      </c>
      <c r="D367" s="71" t="s">
        <v>214</v>
      </c>
      <c r="E367" s="72" t="s">
        <v>5460</v>
      </c>
      <c r="F367" s="73" t="s">
        <v>5461</v>
      </c>
      <c r="G367" s="74" t="s">
        <v>394</v>
      </c>
      <c r="H367" s="75">
        <v>379.61599999999999</v>
      </c>
      <c r="I367" s="145">
        <v>216</v>
      </c>
      <c r="J367" s="91">
        <f>ROUND(I367*H367,2)</f>
        <v>81997.06</v>
      </c>
      <c r="K367" s="92"/>
      <c r="L367" s="12"/>
      <c r="M367" s="130" t="s">
        <v>1</v>
      </c>
      <c r="N367" s="131" t="s">
        <v>42</v>
      </c>
      <c r="O367" s="110"/>
      <c r="P367" s="132">
        <f>O367*H367</f>
        <v>0</v>
      </c>
      <c r="Q367" s="132">
        <v>0</v>
      </c>
      <c r="R367" s="132">
        <f>Q367*H367</f>
        <v>0</v>
      </c>
      <c r="S367" s="132">
        <v>0</v>
      </c>
      <c r="T367" s="134">
        <f>S367*H367</f>
        <v>0</v>
      </c>
      <c r="AR367" s="101" t="s">
        <v>218</v>
      </c>
      <c r="AT367" s="101" t="s">
        <v>214</v>
      </c>
      <c r="AU367" s="101" t="s">
        <v>87</v>
      </c>
      <c r="AY367" s="23" t="s">
        <v>211</v>
      </c>
      <c r="BE367" s="104">
        <f>IF(N367="základní",J367,0)</f>
        <v>81997.06</v>
      </c>
      <c r="BF367" s="104">
        <f>IF(N367="snížená",J367,0)</f>
        <v>0</v>
      </c>
      <c r="BG367" s="104">
        <f>IF(N367="zákl. přenesená",J367,0)</f>
        <v>0</v>
      </c>
      <c r="BH367" s="104">
        <f>IF(N367="sníž. přenesená",J367,0)</f>
        <v>0</v>
      </c>
      <c r="BI367" s="104">
        <f>IF(N367="nulová",J367,0)</f>
        <v>0</v>
      </c>
      <c r="BJ367" s="23" t="s">
        <v>85</v>
      </c>
      <c r="BK367" s="104">
        <f>ROUND(I367*H367,2)</f>
        <v>81997.06</v>
      </c>
      <c r="BL367" s="23" t="s">
        <v>218</v>
      </c>
      <c r="BM367" s="101" t="s">
        <v>1332</v>
      </c>
    </row>
    <row r="368" spans="2:65" s="1" customFormat="1" ht="6.9" customHeight="1">
      <c r="B368" s="26"/>
      <c r="C368" s="27"/>
      <c r="D368" s="27"/>
      <c r="E368" s="27"/>
      <c r="F368" s="27"/>
      <c r="G368" s="27"/>
      <c r="H368" s="27"/>
      <c r="I368" s="27"/>
      <c r="J368" s="27"/>
      <c r="K368" s="27"/>
      <c r="L368" s="12"/>
    </row>
  </sheetData>
  <autoFilter ref="C125:K367" xr:uid="{00000000-0009-0000-0000-00001A000000}"/>
  <mergeCells count="12">
    <mergeCell ref="L2:V2"/>
    <mergeCell ref="E7:H7"/>
    <mergeCell ref="E9:H9"/>
    <mergeCell ref="E11:H11"/>
    <mergeCell ref="E20:H20"/>
    <mergeCell ref="E116:H116"/>
    <mergeCell ref="E118:H118"/>
    <mergeCell ref="E29:H29"/>
    <mergeCell ref="E85:H85"/>
    <mergeCell ref="E87:H87"/>
    <mergeCell ref="E89:H89"/>
    <mergeCell ref="E114:H114"/>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B2:BM149"/>
  <sheetViews>
    <sheetView showGridLines="0" topLeftCell="A114" workbookViewId="0">
      <selection activeCell="I149" sqref="I149"/>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177</v>
      </c>
    </row>
    <row r="3" spans="2:46" ht="6.9" customHeight="1">
      <c r="B3" s="3"/>
      <c r="C3" s="4"/>
      <c r="D3" s="4"/>
      <c r="E3" s="4"/>
      <c r="F3" s="4"/>
      <c r="G3" s="4"/>
      <c r="H3" s="4"/>
      <c r="I3" s="4"/>
      <c r="J3" s="4"/>
      <c r="K3" s="4"/>
      <c r="L3" s="5"/>
      <c r="AT3" s="23" t="s">
        <v>85</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2" customHeight="1">
      <c r="B8" s="5"/>
      <c r="D8" s="10" t="s">
        <v>182</v>
      </c>
      <c r="L8" s="5"/>
    </row>
    <row r="9" spans="2:46" s="1" customFormat="1" ht="16.5" customHeight="1">
      <c r="B9" s="12"/>
      <c r="E9" s="392" t="s">
        <v>5462</v>
      </c>
      <c r="F9" s="394"/>
      <c r="G9" s="394"/>
      <c r="H9" s="394"/>
      <c r="L9" s="12"/>
    </row>
    <row r="10" spans="2:46" s="1" customFormat="1" ht="12" customHeight="1">
      <c r="B10" s="12"/>
      <c r="D10" s="10" t="s">
        <v>296</v>
      </c>
      <c r="L10" s="12"/>
    </row>
    <row r="11" spans="2:46" s="1" customFormat="1" ht="16.5" customHeight="1">
      <c r="B11" s="12"/>
      <c r="E11" s="381" t="s">
        <v>6043</v>
      </c>
      <c r="F11" s="394"/>
      <c r="G11" s="394"/>
      <c r="H11" s="394"/>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395" t="str">
        <f>'Rekapitulace stavby'!E14</f>
        <v>DMG Stav a.s.</v>
      </c>
      <c r="F20" s="384"/>
      <c r="G20" s="384"/>
      <c r="H20" s="384"/>
      <c r="I20" s="10" t="s">
        <v>26</v>
      </c>
      <c r="J20" s="33" t="str">
        <f>'Rekapitulace stavby'!AN14</f>
        <v>CZ 08004013</v>
      </c>
      <c r="L20" s="12"/>
    </row>
    <row r="21" spans="2:12" s="1" customFormat="1" ht="6.9"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 customHeight="1">
      <c r="B27" s="12"/>
      <c r="L27" s="12"/>
    </row>
    <row r="28" spans="2:12" s="1" customFormat="1" ht="12" customHeight="1">
      <c r="B28" s="12"/>
      <c r="D28" s="10" t="s">
        <v>36</v>
      </c>
      <c r="L28" s="12"/>
    </row>
    <row r="29" spans="2:12" s="28" customFormat="1" ht="16.5" customHeight="1">
      <c r="B29" s="34"/>
      <c r="E29" s="388" t="s">
        <v>1</v>
      </c>
      <c r="F29" s="388"/>
      <c r="G29" s="388"/>
      <c r="H29" s="388"/>
      <c r="L29" s="34"/>
    </row>
    <row r="30" spans="2:12" s="1" customFormat="1" ht="6.9" customHeight="1">
      <c r="B30" s="12"/>
      <c r="L30" s="12"/>
    </row>
    <row r="31" spans="2:12" s="1" customFormat="1" ht="6.9" customHeight="1">
      <c r="B31" s="12"/>
      <c r="D31" s="35"/>
      <c r="E31" s="35"/>
      <c r="F31" s="35"/>
      <c r="G31" s="35"/>
      <c r="H31" s="35"/>
      <c r="I31" s="35"/>
      <c r="J31" s="35"/>
      <c r="K31" s="35"/>
      <c r="L31" s="12"/>
    </row>
    <row r="32" spans="2:12" s="1" customFormat="1" ht="25.35" customHeight="1">
      <c r="B32" s="12"/>
      <c r="D32" s="36" t="s">
        <v>37</v>
      </c>
      <c r="J32" s="51">
        <f>ROUND(J125,2)</f>
        <v>530700</v>
      </c>
      <c r="L32" s="12"/>
    </row>
    <row r="33" spans="2:12" s="1" customFormat="1" ht="6.9" customHeight="1">
      <c r="B33" s="12"/>
      <c r="D33" s="35"/>
      <c r="E33" s="35"/>
      <c r="F33" s="35"/>
      <c r="G33" s="35"/>
      <c r="H33" s="35"/>
      <c r="I33" s="35"/>
      <c r="J33" s="35"/>
      <c r="K33" s="35"/>
      <c r="L33" s="12"/>
    </row>
    <row r="34" spans="2:12" s="1" customFormat="1" ht="14.4" customHeight="1">
      <c r="B34" s="12"/>
      <c r="F34" s="37" t="s">
        <v>39</v>
      </c>
      <c r="I34" s="37" t="s">
        <v>38</v>
      </c>
      <c r="J34" s="37" t="s">
        <v>40</v>
      </c>
      <c r="L34" s="12"/>
    </row>
    <row r="35" spans="2:12" s="1" customFormat="1" ht="14.4" customHeight="1">
      <c r="B35" s="12"/>
      <c r="D35" s="38" t="s">
        <v>41</v>
      </c>
      <c r="E35" s="10" t="s">
        <v>42</v>
      </c>
      <c r="F35" s="39">
        <f>ROUND((SUM(BE125:BE148)),2)</f>
        <v>0</v>
      </c>
      <c r="I35" s="52">
        <v>0.21</v>
      </c>
      <c r="J35" s="39">
        <f>ROUND(((SUM(BE125:BE148))*I35),2)</f>
        <v>0</v>
      </c>
      <c r="L35" s="12"/>
    </row>
    <row r="36" spans="2:12" s="1" customFormat="1" ht="14.4" customHeight="1">
      <c r="B36" s="12"/>
      <c r="E36" s="10" t="s">
        <v>43</v>
      </c>
      <c r="F36" s="39">
        <f>ROUND((SUM(BF125:BF148)),2)</f>
        <v>530700</v>
      </c>
      <c r="I36" s="52">
        <v>0.15</v>
      </c>
      <c r="J36" s="39">
        <f>ROUND(((SUM(BF125:BF148))*I36),2)</f>
        <v>79605</v>
      </c>
      <c r="L36" s="12"/>
    </row>
    <row r="37" spans="2:12" s="1" customFormat="1" ht="14.4" hidden="1" customHeight="1">
      <c r="B37" s="12"/>
      <c r="E37" s="10" t="s">
        <v>44</v>
      </c>
      <c r="F37" s="39">
        <f>ROUND((SUM(BG125:BG148)),2)</f>
        <v>0</v>
      </c>
      <c r="I37" s="52">
        <v>0.21</v>
      </c>
      <c r="J37" s="39">
        <f>0</f>
        <v>0</v>
      </c>
      <c r="L37" s="12"/>
    </row>
    <row r="38" spans="2:12" s="1" customFormat="1" ht="14.4" hidden="1" customHeight="1">
      <c r="B38" s="12"/>
      <c r="E38" s="10" t="s">
        <v>45</v>
      </c>
      <c r="F38" s="39">
        <f>ROUND((SUM(BH125:BH148)),2)</f>
        <v>0</v>
      </c>
      <c r="I38" s="52">
        <v>0.15</v>
      </c>
      <c r="J38" s="39">
        <f>0</f>
        <v>0</v>
      </c>
      <c r="L38" s="12"/>
    </row>
    <row r="39" spans="2:12" s="1" customFormat="1" ht="14.4" hidden="1" customHeight="1">
      <c r="B39" s="12"/>
      <c r="E39" s="10" t="s">
        <v>46</v>
      </c>
      <c r="F39" s="39">
        <f>ROUND((SUM(BI125:BI148)),2)</f>
        <v>0</v>
      </c>
      <c r="I39" s="52">
        <v>0</v>
      </c>
      <c r="J39" s="39">
        <f>0</f>
        <v>0</v>
      </c>
      <c r="L39" s="12"/>
    </row>
    <row r="40" spans="2:12" s="1" customFormat="1" ht="6.9" customHeight="1">
      <c r="B40" s="12"/>
      <c r="L40" s="12"/>
    </row>
    <row r="41" spans="2:12" s="1" customFormat="1" ht="25.35" customHeight="1">
      <c r="B41" s="12"/>
      <c r="C41" s="40"/>
      <c r="D41" s="41" t="s">
        <v>47</v>
      </c>
      <c r="E41" s="42"/>
      <c r="F41" s="42"/>
      <c r="G41" s="43" t="s">
        <v>48</v>
      </c>
      <c r="H41" s="44" t="s">
        <v>49</v>
      </c>
      <c r="I41" s="42"/>
      <c r="J41" s="53">
        <f>SUM(J32:J39)</f>
        <v>610305</v>
      </c>
      <c r="K41" s="54"/>
      <c r="L41" s="12"/>
    </row>
    <row r="42" spans="2:12" s="1" customFormat="1" ht="14.4" customHeight="1">
      <c r="B42" s="12"/>
      <c r="L42" s="12"/>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s="1" customFormat="1" ht="16.5" customHeight="1">
      <c r="B87" s="12"/>
      <c r="E87" s="392" t="s">
        <v>5462</v>
      </c>
      <c r="F87" s="394"/>
      <c r="G87" s="394"/>
      <c r="H87" s="394"/>
      <c r="L87" s="12"/>
    </row>
    <row r="88" spans="2:12" s="1" customFormat="1" ht="12" customHeight="1">
      <c r="B88" s="12"/>
      <c r="C88" s="10" t="s">
        <v>296</v>
      </c>
      <c r="L88" s="12"/>
    </row>
    <row r="89" spans="2:12" s="1" customFormat="1" ht="16.5" customHeight="1">
      <c r="B89" s="12"/>
      <c r="E89" s="381" t="str">
        <f>E11</f>
        <v>SO21 - Venkovní osvětlení</v>
      </c>
      <c r="F89" s="394"/>
      <c r="G89" s="394"/>
      <c r="H89" s="394"/>
      <c r="L89" s="12"/>
    </row>
    <row r="90" spans="2:12" s="1" customFormat="1" ht="6.9" customHeight="1">
      <c r="B90" s="12"/>
      <c r="L90" s="12"/>
    </row>
    <row r="91" spans="2:12" s="1" customFormat="1" ht="12" customHeight="1">
      <c r="B91" s="12"/>
      <c r="C91" s="10" t="s">
        <v>20</v>
      </c>
      <c r="F91" s="32" t="str">
        <f>F14</f>
        <v>Praha</v>
      </c>
      <c r="I91" s="10" t="s">
        <v>22</v>
      </c>
      <c r="J91" s="11">
        <f>IF(J14="","",J14)</f>
        <v>45000</v>
      </c>
      <c r="L91" s="12"/>
    </row>
    <row r="92" spans="2:12" s="1" customFormat="1" ht="6.9" customHeight="1">
      <c r="B92" s="12"/>
      <c r="L92" s="12"/>
    </row>
    <row r="93" spans="2:12" s="1" customFormat="1" ht="15.15" customHeight="1">
      <c r="B93" s="12"/>
      <c r="C93" s="10" t="s">
        <v>23</v>
      </c>
      <c r="F93" s="32" t="str">
        <f>E17</f>
        <v>VELTON REAL ESTATE</v>
      </c>
      <c r="I93" s="10" t="s">
        <v>31</v>
      </c>
      <c r="J93" s="8" t="str">
        <f>E23</f>
        <v>ABMV World s.r.o</v>
      </c>
      <c r="L93" s="12"/>
    </row>
    <row r="94" spans="2:12" s="1" customFormat="1" ht="15.15"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J125</f>
        <v>530700</v>
      </c>
      <c r="L98" s="12"/>
      <c r="AU98" s="23" t="s">
        <v>188</v>
      </c>
    </row>
    <row r="99" spans="2:47" s="29" customFormat="1" ht="24.9" customHeight="1">
      <c r="B99" s="60"/>
      <c r="D99" s="61" t="s">
        <v>4917</v>
      </c>
      <c r="E99" s="62"/>
      <c r="F99" s="62"/>
      <c r="G99" s="62"/>
      <c r="H99" s="62"/>
      <c r="I99" s="62"/>
      <c r="J99" s="77">
        <f>J126</f>
        <v>530700</v>
      </c>
      <c r="L99" s="60"/>
    </row>
    <row r="100" spans="2:47" s="30" customFormat="1" ht="20.100000000000001" customHeight="1">
      <c r="B100" s="63"/>
      <c r="D100" s="64" t="s">
        <v>4921</v>
      </c>
      <c r="E100" s="65"/>
      <c r="F100" s="65"/>
      <c r="G100" s="65"/>
      <c r="H100" s="65"/>
      <c r="I100" s="65"/>
      <c r="J100" s="78">
        <f>J127</f>
        <v>25000</v>
      </c>
      <c r="L100" s="63"/>
    </row>
    <row r="101" spans="2:47" s="30" customFormat="1" ht="20.100000000000001" customHeight="1">
      <c r="B101" s="63"/>
      <c r="D101" s="64" t="s">
        <v>6044</v>
      </c>
      <c r="E101" s="65"/>
      <c r="F101" s="65"/>
      <c r="G101" s="65"/>
      <c r="H101" s="65"/>
      <c r="I101" s="65"/>
      <c r="J101" s="78">
        <f>J131</f>
        <v>404300</v>
      </c>
      <c r="L101" s="63"/>
    </row>
    <row r="102" spans="2:47" s="30" customFormat="1" ht="20.100000000000001" customHeight="1">
      <c r="B102" s="63"/>
      <c r="D102" s="64" t="s">
        <v>4922</v>
      </c>
      <c r="E102" s="65"/>
      <c r="F102" s="65"/>
      <c r="G102" s="65"/>
      <c r="H102" s="65"/>
      <c r="I102" s="65"/>
      <c r="J102" s="78">
        <f>J138</f>
        <v>41400</v>
      </c>
      <c r="L102" s="63"/>
    </row>
    <row r="103" spans="2:47" s="30" customFormat="1" ht="20.100000000000001" customHeight="1">
      <c r="B103" s="63"/>
      <c r="D103" s="64" t="s">
        <v>4923</v>
      </c>
      <c r="E103" s="65"/>
      <c r="F103" s="65"/>
      <c r="G103" s="65"/>
      <c r="H103" s="65"/>
      <c r="I103" s="65"/>
      <c r="J103" s="78">
        <f>J141</f>
        <v>60000</v>
      </c>
      <c r="L103" s="63"/>
    </row>
    <row r="104" spans="2:47" s="1" customFormat="1" ht="21.75" customHeight="1">
      <c r="B104" s="12"/>
      <c r="L104" s="12"/>
    </row>
    <row r="105" spans="2:47" s="1" customFormat="1" ht="6.9" customHeight="1">
      <c r="B105" s="26"/>
      <c r="C105" s="27"/>
      <c r="D105" s="27"/>
      <c r="E105" s="27"/>
      <c r="F105" s="27"/>
      <c r="G105" s="27"/>
      <c r="H105" s="27"/>
      <c r="I105" s="27"/>
      <c r="J105" s="27"/>
      <c r="K105" s="27"/>
      <c r="L105" s="12"/>
    </row>
    <row r="109" spans="2:47" s="1" customFormat="1" ht="6.9" customHeight="1">
      <c r="B109" s="56"/>
      <c r="C109" s="57"/>
      <c r="D109" s="57"/>
      <c r="E109" s="57"/>
      <c r="F109" s="57"/>
      <c r="G109" s="57"/>
      <c r="H109" s="57"/>
      <c r="I109" s="57"/>
      <c r="J109" s="57"/>
      <c r="K109" s="57"/>
      <c r="L109" s="12"/>
    </row>
    <row r="110" spans="2:47" s="1" customFormat="1" ht="24.9" customHeight="1">
      <c r="B110" s="12"/>
      <c r="C110" s="6" t="s">
        <v>195</v>
      </c>
      <c r="L110" s="12"/>
    </row>
    <row r="111" spans="2:47" s="1" customFormat="1" ht="6.9" customHeight="1">
      <c r="B111" s="12"/>
      <c r="L111" s="12"/>
    </row>
    <row r="112" spans="2:47" s="1" customFormat="1" ht="12" customHeight="1">
      <c r="B112" s="12"/>
      <c r="C112" s="10" t="s">
        <v>16</v>
      </c>
      <c r="L112" s="12"/>
    </row>
    <row r="113" spans="2:65" s="1" customFormat="1" ht="16.5" customHeight="1">
      <c r="B113" s="12"/>
      <c r="E113" s="392" t="str">
        <f>E7</f>
        <v>Bytový soubor Libuše</v>
      </c>
      <c r="F113" s="393"/>
      <c r="G113" s="393"/>
      <c r="H113" s="393"/>
      <c r="L113" s="12"/>
    </row>
    <row r="114" spans="2:65" ht="12" customHeight="1">
      <c r="B114" s="5"/>
      <c r="C114" s="10" t="s">
        <v>182</v>
      </c>
      <c r="L114" s="5"/>
    </row>
    <row r="115" spans="2:65" s="1" customFormat="1" ht="16.5" customHeight="1">
      <c r="B115" s="12"/>
      <c r="E115" s="392" t="s">
        <v>5462</v>
      </c>
      <c r="F115" s="394"/>
      <c r="G115" s="394"/>
      <c r="H115" s="394"/>
      <c r="L115" s="12"/>
    </row>
    <row r="116" spans="2:65" s="1" customFormat="1" ht="12" customHeight="1">
      <c r="B116" s="12"/>
      <c r="C116" s="10" t="s">
        <v>296</v>
      </c>
      <c r="L116" s="12"/>
    </row>
    <row r="117" spans="2:65" s="1" customFormat="1" ht="16.5" customHeight="1">
      <c r="B117" s="12"/>
      <c r="E117" s="381" t="str">
        <f>E11</f>
        <v>SO21 - Venkovní osvětlení</v>
      </c>
      <c r="F117" s="394"/>
      <c r="G117" s="394"/>
      <c r="H117" s="394"/>
      <c r="L117" s="12"/>
    </row>
    <row r="118" spans="2:65" s="1" customFormat="1" ht="6.9" customHeight="1">
      <c r="B118" s="12"/>
      <c r="L118" s="12"/>
    </row>
    <row r="119" spans="2:65" s="1" customFormat="1" ht="12" customHeight="1">
      <c r="B119" s="12"/>
      <c r="C119" s="10" t="s">
        <v>20</v>
      </c>
      <c r="F119" s="32" t="str">
        <f>F14</f>
        <v>Praha</v>
      </c>
      <c r="I119" s="10" t="s">
        <v>22</v>
      </c>
      <c r="J119" s="11">
        <f>IF(J14="","",J14)</f>
        <v>45000</v>
      </c>
      <c r="L119" s="12"/>
    </row>
    <row r="120" spans="2:65" s="1" customFormat="1" ht="6.9" customHeight="1">
      <c r="B120" s="12"/>
      <c r="L120" s="12"/>
    </row>
    <row r="121" spans="2:65" s="1" customFormat="1" ht="15.15" customHeight="1">
      <c r="B121" s="12"/>
      <c r="C121" s="10" t="s">
        <v>23</v>
      </c>
      <c r="F121" s="32" t="str">
        <f>E17</f>
        <v>VELTON REAL ESTATE</v>
      </c>
      <c r="I121" s="10" t="s">
        <v>31</v>
      </c>
      <c r="J121" s="8" t="str">
        <f>E23</f>
        <v>ABMV World s.r.o</v>
      </c>
      <c r="L121" s="12"/>
    </row>
    <row r="122" spans="2:65" s="1" customFormat="1" ht="15.15" customHeight="1">
      <c r="B122" s="12"/>
      <c r="C122" s="10" t="s">
        <v>27</v>
      </c>
      <c r="F122" s="32" t="str">
        <f>IF(E20="","",E20)</f>
        <v>DMG Stav a.s.</v>
      </c>
      <c r="I122" s="10" t="s">
        <v>34</v>
      </c>
      <c r="J122" s="8" t="str">
        <f>E26</f>
        <v>QSB s.r.o.</v>
      </c>
      <c r="L122" s="12"/>
    </row>
    <row r="123" spans="2:65" s="1" customFormat="1" ht="10.35" customHeight="1">
      <c r="B123" s="12"/>
      <c r="L123" s="12"/>
    </row>
    <row r="124" spans="2:65" s="2" customFormat="1" ht="29.25" customHeight="1">
      <c r="B124" s="13"/>
      <c r="C124" s="14" t="s">
        <v>196</v>
      </c>
      <c r="D124" s="15" t="s">
        <v>62</v>
      </c>
      <c r="E124" s="15" t="s">
        <v>58</v>
      </c>
      <c r="F124" s="15" t="s">
        <v>59</v>
      </c>
      <c r="G124" s="15" t="s">
        <v>197</v>
      </c>
      <c r="H124" s="15" t="s">
        <v>198</v>
      </c>
      <c r="I124" s="15" t="s">
        <v>199</v>
      </c>
      <c r="J124" s="16" t="s">
        <v>186</v>
      </c>
      <c r="K124" s="79" t="s">
        <v>200</v>
      </c>
      <c r="L124" s="13"/>
      <c r="M124" s="80" t="s">
        <v>1</v>
      </c>
      <c r="N124" s="81" t="s">
        <v>41</v>
      </c>
      <c r="O124" s="81" t="s">
        <v>201</v>
      </c>
      <c r="P124" s="81" t="s">
        <v>202</v>
      </c>
      <c r="Q124" s="81" t="s">
        <v>203</v>
      </c>
      <c r="R124" s="81" t="s">
        <v>204</v>
      </c>
      <c r="S124" s="81" t="s">
        <v>205</v>
      </c>
      <c r="T124" s="96" t="s">
        <v>206</v>
      </c>
    </row>
    <row r="125" spans="2:65" s="1" customFormat="1" ht="23.1" customHeight="1">
      <c r="B125" s="12"/>
      <c r="C125" s="66" t="s">
        <v>207</v>
      </c>
      <c r="J125" s="82">
        <f>BK125</f>
        <v>530700</v>
      </c>
      <c r="L125" s="12"/>
      <c r="M125" s="83"/>
      <c r="N125" s="35"/>
      <c r="O125" s="35"/>
      <c r="P125" s="84">
        <f>P126</f>
        <v>0</v>
      </c>
      <c r="Q125" s="35"/>
      <c r="R125" s="84">
        <f>R126</f>
        <v>0.17399999999999999</v>
      </c>
      <c r="S125" s="35"/>
      <c r="T125" s="97">
        <f>T126</f>
        <v>0</v>
      </c>
      <c r="AT125" s="23" t="s">
        <v>76</v>
      </c>
      <c r="AU125" s="23" t="s">
        <v>188</v>
      </c>
      <c r="BK125" s="102">
        <f>BK126</f>
        <v>530700</v>
      </c>
    </row>
    <row r="126" spans="2:65" s="31" customFormat="1" ht="26.1" customHeight="1">
      <c r="B126" s="67"/>
      <c r="D126" s="68" t="s">
        <v>76</v>
      </c>
      <c r="E126" s="69" t="s">
        <v>352</v>
      </c>
      <c r="F126" s="69" t="s">
        <v>352</v>
      </c>
      <c r="I126" s="85"/>
      <c r="J126" s="86">
        <f>BK126</f>
        <v>530700</v>
      </c>
      <c r="L126" s="67"/>
      <c r="M126" s="87"/>
      <c r="P126" s="88">
        <f>P127+P131+P138+P141</f>
        <v>0</v>
      </c>
      <c r="R126" s="88">
        <f>R127+R131+R138+R141</f>
        <v>0.17399999999999999</v>
      </c>
      <c r="T126" s="98">
        <f>T127+T131+T138+T141</f>
        <v>0</v>
      </c>
      <c r="AR126" s="68" t="s">
        <v>85</v>
      </c>
      <c r="AT126" s="100" t="s">
        <v>76</v>
      </c>
      <c r="AU126" s="100" t="s">
        <v>77</v>
      </c>
      <c r="AY126" s="68" t="s">
        <v>211</v>
      </c>
      <c r="BK126" s="103">
        <f>BK127+BK131+BK138+BK141</f>
        <v>530700</v>
      </c>
    </row>
    <row r="127" spans="2:65" s="31" customFormat="1" ht="23.1" customHeight="1">
      <c r="B127" s="67"/>
      <c r="D127" s="68" t="s">
        <v>76</v>
      </c>
      <c r="E127" s="70" t="s">
        <v>5139</v>
      </c>
      <c r="F127" s="70" t="s">
        <v>1</v>
      </c>
      <c r="I127" s="85"/>
      <c r="J127" s="89">
        <f>BK127</f>
        <v>25000</v>
      </c>
      <c r="L127" s="67"/>
      <c r="M127" s="87"/>
      <c r="P127" s="88">
        <f>SUM(P128:P130)</f>
        <v>0</v>
      </c>
      <c r="R127" s="88">
        <f>SUM(R128:R130)</f>
        <v>0.10199999999999999</v>
      </c>
      <c r="T127" s="98">
        <f>SUM(T128:T130)</f>
        <v>0</v>
      </c>
      <c r="AR127" s="68" t="s">
        <v>85</v>
      </c>
      <c r="AT127" s="100" t="s">
        <v>76</v>
      </c>
      <c r="AU127" s="100" t="s">
        <v>85</v>
      </c>
      <c r="AY127" s="68" t="s">
        <v>211</v>
      </c>
      <c r="BK127" s="103">
        <f>SUM(BK128:BK130)</f>
        <v>25000</v>
      </c>
    </row>
    <row r="128" spans="2:65" s="1" customFormat="1" ht="33" customHeight="1">
      <c r="B128" s="12"/>
      <c r="C128" s="71" t="s">
        <v>85</v>
      </c>
      <c r="D128" s="71" t="s">
        <v>214</v>
      </c>
      <c r="E128" s="72" t="s">
        <v>5178</v>
      </c>
      <c r="F128" s="73" t="s">
        <v>5179</v>
      </c>
      <c r="G128" s="74" t="s">
        <v>444</v>
      </c>
      <c r="H128" s="75">
        <v>500</v>
      </c>
      <c r="I128" s="90">
        <v>26</v>
      </c>
      <c r="J128" s="91">
        <f>ROUND(I128*H128,2)</f>
        <v>13000</v>
      </c>
      <c r="K128" s="92"/>
      <c r="L128" s="12"/>
      <c r="M128" s="93" t="s">
        <v>1</v>
      </c>
      <c r="N128" s="94" t="s">
        <v>43</v>
      </c>
      <c r="P128" s="95">
        <f>O128*H128</f>
        <v>0</v>
      </c>
      <c r="Q128" s="95">
        <v>0</v>
      </c>
      <c r="R128" s="95">
        <f>Q128*H128</f>
        <v>0</v>
      </c>
      <c r="S128" s="95">
        <v>0</v>
      </c>
      <c r="T128" s="99">
        <f>S128*H128</f>
        <v>0</v>
      </c>
      <c r="AR128" s="101" t="s">
        <v>446</v>
      </c>
      <c r="AT128" s="101" t="s">
        <v>214</v>
      </c>
      <c r="AU128" s="101" t="s">
        <v>87</v>
      </c>
      <c r="AY128" s="23" t="s">
        <v>211</v>
      </c>
      <c r="BE128" s="104">
        <f>IF(N128="základní",J128,0)</f>
        <v>0</v>
      </c>
      <c r="BF128" s="104">
        <f>IF(N128="snížená",J128,0)</f>
        <v>13000</v>
      </c>
      <c r="BG128" s="104">
        <f>IF(N128="zákl. přenesená",J128,0)</f>
        <v>0</v>
      </c>
      <c r="BH128" s="104">
        <f>IF(N128="sníž. přenesená",J128,0)</f>
        <v>0</v>
      </c>
      <c r="BI128" s="104">
        <f>IF(N128="nulová",J128,0)</f>
        <v>0</v>
      </c>
      <c r="BJ128" s="23" t="s">
        <v>87</v>
      </c>
      <c r="BK128" s="104">
        <f>ROUND(I128*H128,2)</f>
        <v>13000</v>
      </c>
      <c r="BL128" s="23" t="s">
        <v>446</v>
      </c>
      <c r="BM128" s="101" t="s">
        <v>6045</v>
      </c>
    </row>
    <row r="129" spans="2:65" s="1" customFormat="1" ht="21.75" customHeight="1">
      <c r="B129" s="12"/>
      <c r="C129" s="114" t="s">
        <v>87</v>
      </c>
      <c r="D129" s="114" t="s">
        <v>438</v>
      </c>
      <c r="E129" s="115" t="s">
        <v>5185</v>
      </c>
      <c r="F129" s="116" t="s">
        <v>5186</v>
      </c>
      <c r="G129" s="117" t="s">
        <v>444</v>
      </c>
      <c r="H129" s="118">
        <v>600</v>
      </c>
      <c r="I129" s="122">
        <v>20</v>
      </c>
      <c r="J129" s="123">
        <f>ROUND(I129*H129,2)</f>
        <v>12000</v>
      </c>
      <c r="K129" s="124"/>
      <c r="L129" s="125"/>
      <c r="M129" s="126" t="s">
        <v>1</v>
      </c>
      <c r="N129" s="127" t="s">
        <v>43</v>
      </c>
      <c r="P129" s="95">
        <f>O129*H129</f>
        <v>0</v>
      </c>
      <c r="Q129" s="95">
        <v>1.7000000000000001E-4</v>
      </c>
      <c r="R129" s="95">
        <f>Q129*H129</f>
        <v>0.10199999999999999</v>
      </c>
      <c r="S129" s="95">
        <v>0</v>
      </c>
      <c r="T129" s="99">
        <f>S129*H129</f>
        <v>0</v>
      </c>
      <c r="AR129" s="101" t="s">
        <v>527</v>
      </c>
      <c r="AT129" s="101" t="s">
        <v>438</v>
      </c>
      <c r="AU129" s="101" t="s">
        <v>87</v>
      </c>
      <c r="AY129" s="23" t="s">
        <v>211</v>
      </c>
      <c r="BE129" s="104">
        <f>IF(N129="základní",J129,0)</f>
        <v>0</v>
      </c>
      <c r="BF129" s="104">
        <f>IF(N129="snížená",J129,0)</f>
        <v>12000</v>
      </c>
      <c r="BG129" s="104">
        <f>IF(N129="zákl. přenesená",J129,0)</f>
        <v>0</v>
      </c>
      <c r="BH129" s="104">
        <f>IF(N129="sníž. přenesená",J129,0)</f>
        <v>0</v>
      </c>
      <c r="BI129" s="104">
        <f>IF(N129="nulová",J129,0)</f>
        <v>0</v>
      </c>
      <c r="BJ129" s="23" t="s">
        <v>87</v>
      </c>
      <c r="BK129" s="104">
        <f>ROUND(I129*H129,2)</f>
        <v>12000</v>
      </c>
      <c r="BL129" s="23" t="s">
        <v>446</v>
      </c>
      <c r="BM129" s="101" t="s">
        <v>6046</v>
      </c>
    </row>
    <row r="130" spans="2:65" s="113" customFormat="1">
      <c r="B130" s="119"/>
      <c r="D130" s="105" t="s">
        <v>365</v>
      </c>
      <c r="F130" s="120" t="s">
        <v>6047</v>
      </c>
      <c r="H130" s="121">
        <v>600</v>
      </c>
      <c r="I130" s="128"/>
      <c r="L130" s="119"/>
      <c r="M130" s="129"/>
      <c r="T130" s="133"/>
      <c r="AT130" s="135" t="s">
        <v>365</v>
      </c>
      <c r="AU130" s="135" t="s">
        <v>87</v>
      </c>
      <c r="AV130" s="113" t="s">
        <v>87</v>
      </c>
      <c r="AW130" s="113" t="s">
        <v>4</v>
      </c>
      <c r="AX130" s="113" t="s">
        <v>85</v>
      </c>
      <c r="AY130" s="135" t="s">
        <v>211</v>
      </c>
    </row>
    <row r="131" spans="2:65" s="31" customFormat="1" ht="23.1" customHeight="1">
      <c r="B131" s="67"/>
      <c r="D131" s="68" t="s">
        <v>76</v>
      </c>
      <c r="E131" s="70" t="s">
        <v>4924</v>
      </c>
      <c r="F131" s="70" t="s">
        <v>6048</v>
      </c>
      <c r="I131" s="85"/>
      <c r="J131" s="89">
        <f>BK131</f>
        <v>404300</v>
      </c>
      <c r="L131" s="67"/>
      <c r="M131" s="87"/>
      <c r="P131" s="88">
        <f>SUM(P132:P137)</f>
        <v>0</v>
      </c>
      <c r="R131" s="88">
        <f>SUM(R132:R137)</f>
        <v>0</v>
      </c>
      <c r="T131" s="98">
        <f>SUM(T132:T137)</f>
        <v>0</v>
      </c>
      <c r="AR131" s="68" t="s">
        <v>85</v>
      </c>
      <c r="AT131" s="100" t="s">
        <v>76</v>
      </c>
      <c r="AU131" s="100" t="s">
        <v>85</v>
      </c>
      <c r="AY131" s="68" t="s">
        <v>211</v>
      </c>
      <c r="BK131" s="103">
        <f>SUM(BK132:BK137)</f>
        <v>404300</v>
      </c>
    </row>
    <row r="132" spans="2:65" s="1" customFormat="1" ht="24.15" customHeight="1">
      <c r="B132" s="12"/>
      <c r="C132" s="114" t="s">
        <v>137</v>
      </c>
      <c r="D132" s="114" t="s">
        <v>438</v>
      </c>
      <c r="E132" s="115" t="s">
        <v>6049</v>
      </c>
      <c r="F132" s="116" t="s">
        <v>6050</v>
      </c>
      <c r="G132" s="117" t="s">
        <v>808</v>
      </c>
      <c r="H132" s="118">
        <v>21</v>
      </c>
      <c r="I132" s="122">
        <v>2500</v>
      </c>
      <c r="J132" s="123">
        <f t="shared" ref="J132:J137" si="0">ROUND(I132*H132,2)</f>
        <v>52500</v>
      </c>
      <c r="K132" s="124"/>
      <c r="L132" s="125"/>
      <c r="M132" s="126" t="s">
        <v>1</v>
      </c>
      <c r="N132" s="127" t="s">
        <v>43</v>
      </c>
      <c r="P132" s="95">
        <f t="shared" ref="P132:P137" si="1">O132*H132</f>
        <v>0</v>
      </c>
      <c r="Q132" s="95">
        <v>0</v>
      </c>
      <c r="R132" s="95">
        <f t="shared" ref="R132:R137" si="2">Q132*H132</f>
        <v>0</v>
      </c>
      <c r="S132" s="95">
        <v>0</v>
      </c>
      <c r="T132" s="99">
        <f t="shared" ref="T132:T137" si="3">S132*H132</f>
        <v>0</v>
      </c>
      <c r="AR132" s="101" t="s">
        <v>250</v>
      </c>
      <c r="AT132" s="101" t="s">
        <v>438</v>
      </c>
      <c r="AU132" s="101" t="s">
        <v>87</v>
      </c>
      <c r="AY132" s="23" t="s">
        <v>211</v>
      </c>
      <c r="BE132" s="104">
        <f t="shared" ref="BE132:BE137" si="4">IF(N132="základní",J132,0)</f>
        <v>0</v>
      </c>
      <c r="BF132" s="104">
        <f t="shared" ref="BF132:BF137" si="5">IF(N132="snížená",J132,0)</f>
        <v>52500</v>
      </c>
      <c r="BG132" s="104">
        <f t="shared" ref="BG132:BG137" si="6">IF(N132="zákl. přenesená",J132,0)</f>
        <v>0</v>
      </c>
      <c r="BH132" s="104">
        <f t="shared" ref="BH132:BH137" si="7">IF(N132="sníž. přenesená",J132,0)</f>
        <v>0</v>
      </c>
      <c r="BI132" s="104">
        <f t="shared" ref="BI132:BI137" si="8">IF(N132="nulová",J132,0)</f>
        <v>0</v>
      </c>
      <c r="BJ132" s="23" t="s">
        <v>87</v>
      </c>
      <c r="BK132" s="104">
        <f t="shared" ref="BK132:BK137" si="9">ROUND(I132*H132,2)</f>
        <v>52500</v>
      </c>
      <c r="BL132" s="23" t="s">
        <v>218</v>
      </c>
      <c r="BM132" s="101" t="s">
        <v>6051</v>
      </c>
    </row>
    <row r="133" spans="2:65" s="1" customFormat="1" ht="16.5" customHeight="1">
      <c r="B133" s="12"/>
      <c r="C133" s="114" t="s">
        <v>218</v>
      </c>
      <c r="D133" s="114" t="s">
        <v>438</v>
      </c>
      <c r="E133" s="115" t="s">
        <v>6052</v>
      </c>
      <c r="F133" s="116" t="s">
        <v>6053</v>
      </c>
      <c r="G133" s="117" t="s">
        <v>808</v>
      </c>
      <c r="H133" s="118">
        <v>21</v>
      </c>
      <c r="I133" s="122">
        <v>800</v>
      </c>
      <c r="J133" s="123">
        <f t="shared" si="0"/>
        <v>16800</v>
      </c>
      <c r="K133" s="124"/>
      <c r="L133" s="125"/>
      <c r="M133" s="126" t="s">
        <v>1</v>
      </c>
      <c r="N133" s="127" t="s">
        <v>43</v>
      </c>
      <c r="P133" s="95">
        <f t="shared" si="1"/>
        <v>0</v>
      </c>
      <c r="Q133" s="95">
        <v>0</v>
      </c>
      <c r="R133" s="95">
        <f t="shared" si="2"/>
        <v>0</v>
      </c>
      <c r="S133" s="95">
        <v>0</v>
      </c>
      <c r="T133" s="99">
        <f t="shared" si="3"/>
        <v>0</v>
      </c>
      <c r="AR133" s="101" t="s">
        <v>250</v>
      </c>
      <c r="AT133" s="101" t="s">
        <v>438</v>
      </c>
      <c r="AU133" s="101" t="s">
        <v>87</v>
      </c>
      <c r="AY133" s="23" t="s">
        <v>211</v>
      </c>
      <c r="BE133" s="104">
        <f t="shared" si="4"/>
        <v>0</v>
      </c>
      <c r="BF133" s="104">
        <f t="shared" si="5"/>
        <v>16800</v>
      </c>
      <c r="BG133" s="104">
        <f t="shared" si="6"/>
        <v>0</v>
      </c>
      <c r="BH133" s="104">
        <f t="shared" si="7"/>
        <v>0</v>
      </c>
      <c r="BI133" s="104">
        <f t="shared" si="8"/>
        <v>0</v>
      </c>
      <c r="BJ133" s="23" t="s">
        <v>87</v>
      </c>
      <c r="BK133" s="104">
        <f t="shared" si="9"/>
        <v>16800</v>
      </c>
      <c r="BL133" s="23" t="s">
        <v>218</v>
      </c>
      <c r="BM133" s="101" t="s">
        <v>6054</v>
      </c>
    </row>
    <row r="134" spans="2:65" s="1" customFormat="1" ht="16.5" customHeight="1">
      <c r="B134" s="12"/>
      <c r="C134" s="114" t="s">
        <v>210</v>
      </c>
      <c r="D134" s="114" t="s">
        <v>438</v>
      </c>
      <c r="E134" s="115" t="s">
        <v>6055</v>
      </c>
      <c r="F134" s="116" t="s">
        <v>6056</v>
      </c>
      <c r="G134" s="117" t="s">
        <v>808</v>
      </c>
      <c r="H134" s="118">
        <v>21</v>
      </c>
      <c r="I134" s="122">
        <v>800</v>
      </c>
      <c r="J134" s="123">
        <f t="shared" si="0"/>
        <v>16800</v>
      </c>
      <c r="K134" s="124"/>
      <c r="L134" s="125"/>
      <c r="M134" s="126" t="s">
        <v>1</v>
      </c>
      <c r="N134" s="127" t="s">
        <v>43</v>
      </c>
      <c r="P134" s="95">
        <f t="shared" si="1"/>
        <v>0</v>
      </c>
      <c r="Q134" s="95">
        <v>0</v>
      </c>
      <c r="R134" s="95">
        <f t="shared" si="2"/>
        <v>0</v>
      </c>
      <c r="S134" s="95">
        <v>0</v>
      </c>
      <c r="T134" s="99">
        <f t="shared" si="3"/>
        <v>0</v>
      </c>
      <c r="AR134" s="101" t="s">
        <v>250</v>
      </c>
      <c r="AT134" s="101" t="s">
        <v>438</v>
      </c>
      <c r="AU134" s="101" t="s">
        <v>87</v>
      </c>
      <c r="AY134" s="23" t="s">
        <v>211</v>
      </c>
      <c r="BE134" s="104">
        <f t="shared" si="4"/>
        <v>0</v>
      </c>
      <c r="BF134" s="104">
        <f t="shared" si="5"/>
        <v>16800</v>
      </c>
      <c r="BG134" s="104">
        <f t="shared" si="6"/>
        <v>0</v>
      </c>
      <c r="BH134" s="104">
        <f t="shared" si="7"/>
        <v>0</v>
      </c>
      <c r="BI134" s="104">
        <f t="shared" si="8"/>
        <v>0</v>
      </c>
      <c r="BJ134" s="23" t="s">
        <v>87</v>
      </c>
      <c r="BK134" s="104">
        <f t="shared" si="9"/>
        <v>16800</v>
      </c>
      <c r="BL134" s="23" t="s">
        <v>218</v>
      </c>
      <c r="BM134" s="101" t="s">
        <v>6057</v>
      </c>
    </row>
    <row r="135" spans="2:65" s="1" customFormat="1" ht="16.5" customHeight="1">
      <c r="B135" s="12"/>
      <c r="C135" s="114" t="s">
        <v>239</v>
      </c>
      <c r="D135" s="114" t="s">
        <v>438</v>
      </c>
      <c r="E135" s="115" t="s">
        <v>6058</v>
      </c>
      <c r="F135" s="116" t="s">
        <v>6059</v>
      </c>
      <c r="G135" s="117" t="s">
        <v>808</v>
      </c>
      <c r="H135" s="118">
        <v>19</v>
      </c>
      <c r="I135" s="122">
        <v>10000</v>
      </c>
      <c r="J135" s="123">
        <f t="shared" si="0"/>
        <v>190000</v>
      </c>
      <c r="K135" s="124"/>
      <c r="L135" s="125"/>
      <c r="M135" s="126" t="s">
        <v>1</v>
      </c>
      <c r="N135" s="127" t="s">
        <v>43</v>
      </c>
      <c r="P135" s="95">
        <f t="shared" si="1"/>
        <v>0</v>
      </c>
      <c r="Q135" s="95">
        <v>0</v>
      </c>
      <c r="R135" s="95">
        <f t="shared" si="2"/>
        <v>0</v>
      </c>
      <c r="S135" s="95">
        <v>0</v>
      </c>
      <c r="T135" s="99">
        <f t="shared" si="3"/>
        <v>0</v>
      </c>
      <c r="AR135" s="101" t="s">
        <v>250</v>
      </c>
      <c r="AT135" s="101" t="s">
        <v>438</v>
      </c>
      <c r="AU135" s="101" t="s">
        <v>87</v>
      </c>
      <c r="AY135" s="23" t="s">
        <v>211</v>
      </c>
      <c r="BE135" s="104">
        <f t="shared" si="4"/>
        <v>0</v>
      </c>
      <c r="BF135" s="104">
        <f t="shared" si="5"/>
        <v>190000</v>
      </c>
      <c r="BG135" s="104">
        <f t="shared" si="6"/>
        <v>0</v>
      </c>
      <c r="BH135" s="104">
        <f t="shared" si="7"/>
        <v>0</v>
      </c>
      <c r="BI135" s="104">
        <f t="shared" si="8"/>
        <v>0</v>
      </c>
      <c r="BJ135" s="23" t="s">
        <v>87</v>
      </c>
      <c r="BK135" s="104">
        <f t="shared" si="9"/>
        <v>190000</v>
      </c>
      <c r="BL135" s="23" t="s">
        <v>218</v>
      </c>
      <c r="BM135" s="101" t="s">
        <v>6060</v>
      </c>
    </row>
    <row r="136" spans="2:65" s="1" customFormat="1" ht="16.5" customHeight="1">
      <c r="B136" s="12"/>
      <c r="C136" s="114" t="s">
        <v>245</v>
      </c>
      <c r="D136" s="114" t="s">
        <v>438</v>
      </c>
      <c r="E136" s="115" t="s">
        <v>6061</v>
      </c>
      <c r="F136" s="116" t="s">
        <v>6062</v>
      </c>
      <c r="G136" s="117" t="s">
        <v>808</v>
      </c>
      <c r="H136" s="118">
        <v>19</v>
      </c>
      <c r="I136" s="122">
        <v>2300</v>
      </c>
      <c r="J136" s="123">
        <f t="shared" si="0"/>
        <v>43700</v>
      </c>
      <c r="K136" s="124"/>
      <c r="L136" s="125"/>
      <c r="M136" s="126" t="s">
        <v>1</v>
      </c>
      <c r="N136" s="127" t="s">
        <v>43</v>
      </c>
      <c r="P136" s="95">
        <f t="shared" si="1"/>
        <v>0</v>
      </c>
      <c r="Q136" s="95">
        <v>0</v>
      </c>
      <c r="R136" s="95">
        <f t="shared" si="2"/>
        <v>0</v>
      </c>
      <c r="S136" s="95">
        <v>0</v>
      </c>
      <c r="T136" s="99">
        <f t="shared" si="3"/>
        <v>0</v>
      </c>
      <c r="AR136" s="101" t="s">
        <v>250</v>
      </c>
      <c r="AT136" s="101" t="s">
        <v>438</v>
      </c>
      <c r="AU136" s="101" t="s">
        <v>87</v>
      </c>
      <c r="AY136" s="23" t="s">
        <v>211</v>
      </c>
      <c r="BE136" s="104">
        <f t="shared" si="4"/>
        <v>0</v>
      </c>
      <c r="BF136" s="104">
        <f t="shared" si="5"/>
        <v>43700</v>
      </c>
      <c r="BG136" s="104">
        <f t="shared" si="6"/>
        <v>0</v>
      </c>
      <c r="BH136" s="104">
        <f t="shared" si="7"/>
        <v>0</v>
      </c>
      <c r="BI136" s="104">
        <f t="shared" si="8"/>
        <v>0</v>
      </c>
      <c r="BJ136" s="23" t="s">
        <v>87</v>
      </c>
      <c r="BK136" s="104">
        <f t="shared" si="9"/>
        <v>43700</v>
      </c>
      <c r="BL136" s="23" t="s">
        <v>218</v>
      </c>
      <c r="BM136" s="101" t="s">
        <v>6063</v>
      </c>
    </row>
    <row r="137" spans="2:65" s="1" customFormat="1" ht="33" customHeight="1">
      <c r="B137" s="12"/>
      <c r="C137" s="114" t="s">
        <v>250</v>
      </c>
      <c r="D137" s="114" t="s">
        <v>438</v>
      </c>
      <c r="E137" s="115" t="s">
        <v>6064</v>
      </c>
      <c r="F137" s="116" t="s">
        <v>6065</v>
      </c>
      <c r="G137" s="117" t="s">
        <v>808</v>
      </c>
      <c r="H137" s="118">
        <v>13</v>
      </c>
      <c r="I137" s="122">
        <v>6500</v>
      </c>
      <c r="J137" s="123">
        <f t="shared" si="0"/>
        <v>84500</v>
      </c>
      <c r="K137" s="124"/>
      <c r="L137" s="125"/>
      <c r="M137" s="126" t="s">
        <v>1</v>
      </c>
      <c r="N137" s="127" t="s">
        <v>43</v>
      </c>
      <c r="P137" s="95">
        <f t="shared" si="1"/>
        <v>0</v>
      </c>
      <c r="Q137" s="95">
        <v>0</v>
      </c>
      <c r="R137" s="95">
        <f t="shared" si="2"/>
        <v>0</v>
      </c>
      <c r="S137" s="95">
        <v>0</v>
      </c>
      <c r="T137" s="99">
        <f t="shared" si="3"/>
        <v>0</v>
      </c>
      <c r="AR137" s="101" t="s">
        <v>250</v>
      </c>
      <c r="AT137" s="101" t="s">
        <v>438</v>
      </c>
      <c r="AU137" s="101" t="s">
        <v>87</v>
      </c>
      <c r="AY137" s="23" t="s">
        <v>211</v>
      </c>
      <c r="BE137" s="104">
        <f t="shared" si="4"/>
        <v>0</v>
      </c>
      <c r="BF137" s="104">
        <f t="shared" si="5"/>
        <v>84500</v>
      </c>
      <c r="BG137" s="104">
        <f t="shared" si="6"/>
        <v>0</v>
      </c>
      <c r="BH137" s="104">
        <f t="shared" si="7"/>
        <v>0</v>
      </c>
      <c r="BI137" s="104">
        <f t="shared" si="8"/>
        <v>0</v>
      </c>
      <c r="BJ137" s="23" t="s">
        <v>87</v>
      </c>
      <c r="BK137" s="104">
        <f t="shared" si="9"/>
        <v>84500</v>
      </c>
      <c r="BL137" s="23" t="s">
        <v>218</v>
      </c>
      <c r="BM137" s="101" t="s">
        <v>6066</v>
      </c>
    </row>
    <row r="138" spans="2:65" s="31" customFormat="1" ht="23.1" customHeight="1">
      <c r="B138" s="67"/>
      <c r="D138" s="68" t="s">
        <v>76</v>
      </c>
      <c r="E138" s="70" t="s">
        <v>5253</v>
      </c>
      <c r="F138" s="70" t="s">
        <v>5254</v>
      </c>
      <c r="I138" s="85"/>
      <c r="J138" s="89">
        <f>BK138</f>
        <v>41400</v>
      </c>
      <c r="L138" s="67"/>
      <c r="M138" s="87"/>
      <c r="P138" s="88">
        <f>SUM(P139:P140)</f>
        <v>0</v>
      </c>
      <c r="R138" s="88">
        <f>SUM(R139:R140)</f>
        <v>7.1999999999999995E-2</v>
      </c>
      <c r="T138" s="98">
        <f>SUM(T139:T140)</f>
        <v>0</v>
      </c>
      <c r="AR138" s="68" t="s">
        <v>85</v>
      </c>
      <c r="AT138" s="100" t="s">
        <v>76</v>
      </c>
      <c r="AU138" s="100" t="s">
        <v>85</v>
      </c>
      <c r="AY138" s="68" t="s">
        <v>211</v>
      </c>
      <c r="BK138" s="103">
        <f>SUM(BK139:BK140)</f>
        <v>41400</v>
      </c>
    </row>
    <row r="139" spans="2:65" s="1" customFormat="1" ht="24.15" customHeight="1">
      <c r="B139" s="12"/>
      <c r="C139" s="71" t="s">
        <v>255</v>
      </c>
      <c r="D139" s="71" t="s">
        <v>214</v>
      </c>
      <c r="E139" s="72" t="s">
        <v>5273</v>
      </c>
      <c r="F139" s="73" t="s">
        <v>5274</v>
      </c>
      <c r="G139" s="74" t="s">
        <v>444</v>
      </c>
      <c r="H139" s="75">
        <v>600</v>
      </c>
      <c r="I139" s="90">
        <v>40</v>
      </c>
      <c r="J139" s="91">
        <f>ROUND(I139*H139,2)</f>
        <v>24000</v>
      </c>
      <c r="K139" s="92"/>
      <c r="L139" s="12"/>
      <c r="M139" s="93" t="s">
        <v>1</v>
      </c>
      <c r="N139" s="94" t="s">
        <v>43</v>
      </c>
      <c r="P139" s="95">
        <f>O139*H139</f>
        <v>0</v>
      </c>
      <c r="Q139" s="95">
        <v>0</v>
      </c>
      <c r="R139" s="95">
        <f>Q139*H139</f>
        <v>0</v>
      </c>
      <c r="S139" s="95">
        <v>0</v>
      </c>
      <c r="T139" s="99">
        <f>S139*H139</f>
        <v>0</v>
      </c>
      <c r="AR139" s="101" t="s">
        <v>446</v>
      </c>
      <c r="AT139" s="101" t="s">
        <v>214</v>
      </c>
      <c r="AU139" s="101" t="s">
        <v>87</v>
      </c>
      <c r="AY139" s="23" t="s">
        <v>211</v>
      </c>
      <c r="BE139" s="104">
        <f>IF(N139="základní",J139,0)</f>
        <v>0</v>
      </c>
      <c r="BF139" s="104">
        <f>IF(N139="snížená",J139,0)</f>
        <v>24000</v>
      </c>
      <c r="BG139" s="104">
        <f>IF(N139="zákl. přenesená",J139,0)</f>
        <v>0</v>
      </c>
      <c r="BH139" s="104">
        <f>IF(N139="sníž. přenesená",J139,0)</f>
        <v>0</v>
      </c>
      <c r="BI139" s="104">
        <f>IF(N139="nulová",J139,0)</f>
        <v>0</v>
      </c>
      <c r="BJ139" s="23" t="s">
        <v>87</v>
      </c>
      <c r="BK139" s="104">
        <f>ROUND(I139*H139,2)</f>
        <v>24000</v>
      </c>
      <c r="BL139" s="23" t="s">
        <v>446</v>
      </c>
      <c r="BM139" s="101" t="s">
        <v>6067</v>
      </c>
    </row>
    <row r="140" spans="2:65" s="1" customFormat="1" ht="21.75" customHeight="1">
      <c r="B140" s="12"/>
      <c r="C140" s="114" t="s">
        <v>259</v>
      </c>
      <c r="D140" s="114" t="s">
        <v>438</v>
      </c>
      <c r="E140" s="115" t="s">
        <v>5276</v>
      </c>
      <c r="F140" s="116" t="s">
        <v>5277</v>
      </c>
      <c r="G140" s="117" t="s">
        <v>444</v>
      </c>
      <c r="H140" s="118">
        <v>600</v>
      </c>
      <c r="I140" s="122">
        <v>29</v>
      </c>
      <c r="J140" s="123">
        <f>ROUND(I140*H140,2)</f>
        <v>17400</v>
      </c>
      <c r="K140" s="124"/>
      <c r="L140" s="125"/>
      <c r="M140" s="126" t="s">
        <v>1</v>
      </c>
      <c r="N140" s="127" t="s">
        <v>43</v>
      </c>
      <c r="P140" s="95">
        <f>O140*H140</f>
        <v>0</v>
      </c>
      <c r="Q140" s="95">
        <v>1.2E-4</v>
      </c>
      <c r="R140" s="95">
        <f>Q140*H140</f>
        <v>7.1999999999999995E-2</v>
      </c>
      <c r="S140" s="95">
        <v>0</v>
      </c>
      <c r="T140" s="99">
        <f>S140*H140</f>
        <v>0</v>
      </c>
      <c r="AR140" s="101" t="s">
        <v>527</v>
      </c>
      <c r="AT140" s="101" t="s">
        <v>438</v>
      </c>
      <c r="AU140" s="101" t="s">
        <v>87</v>
      </c>
      <c r="AY140" s="23" t="s">
        <v>211</v>
      </c>
      <c r="BE140" s="104">
        <f>IF(N140="základní",J140,0)</f>
        <v>0</v>
      </c>
      <c r="BF140" s="104">
        <f>IF(N140="snížená",J140,0)</f>
        <v>17400</v>
      </c>
      <c r="BG140" s="104">
        <f>IF(N140="zákl. přenesená",J140,0)</f>
        <v>0</v>
      </c>
      <c r="BH140" s="104">
        <f>IF(N140="sníž. přenesená",J140,0)</f>
        <v>0</v>
      </c>
      <c r="BI140" s="104">
        <f>IF(N140="nulová",J140,0)</f>
        <v>0</v>
      </c>
      <c r="BJ140" s="23" t="s">
        <v>87</v>
      </c>
      <c r="BK140" s="104">
        <f>ROUND(I140*H140,2)</f>
        <v>17400</v>
      </c>
      <c r="BL140" s="23" t="s">
        <v>446</v>
      </c>
      <c r="BM140" s="101" t="s">
        <v>6068</v>
      </c>
    </row>
    <row r="141" spans="2:65" s="31" customFormat="1" ht="23.1" customHeight="1">
      <c r="B141" s="67"/>
      <c r="D141" s="68" t="s">
        <v>76</v>
      </c>
      <c r="E141" s="70" t="s">
        <v>5282</v>
      </c>
      <c r="F141" s="70" t="s">
        <v>3917</v>
      </c>
      <c r="I141" s="85"/>
      <c r="J141" s="89">
        <f>BK141</f>
        <v>60000</v>
      </c>
      <c r="L141" s="67"/>
      <c r="M141" s="87"/>
      <c r="P141" s="88">
        <f>SUM(P142:P148)</f>
        <v>0</v>
      </c>
      <c r="R141" s="88">
        <f>SUM(R142:R148)</f>
        <v>0</v>
      </c>
      <c r="T141" s="98">
        <f>SUM(T142:T148)</f>
        <v>0</v>
      </c>
      <c r="AR141" s="68" t="s">
        <v>218</v>
      </c>
      <c r="AT141" s="100" t="s">
        <v>76</v>
      </c>
      <c r="AU141" s="100" t="s">
        <v>85</v>
      </c>
      <c r="AY141" s="68" t="s">
        <v>211</v>
      </c>
      <c r="BK141" s="103">
        <f>SUM(BK142:BK148)</f>
        <v>60000</v>
      </c>
    </row>
    <row r="142" spans="2:65" s="1" customFormat="1" ht="24.15" customHeight="1">
      <c r="B142" s="12"/>
      <c r="C142" s="71" t="s">
        <v>433</v>
      </c>
      <c r="D142" s="71" t="s">
        <v>214</v>
      </c>
      <c r="E142" s="72" t="s">
        <v>5294</v>
      </c>
      <c r="F142" s="73" t="s">
        <v>5295</v>
      </c>
      <c r="G142" s="74" t="s">
        <v>1599</v>
      </c>
      <c r="H142" s="75">
        <v>1</v>
      </c>
      <c r="I142" s="90">
        <v>10000</v>
      </c>
      <c r="J142" s="91">
        <f t="shared" ref="J142:J148" si="10">ROUND(I142*H142,2)</f>
        <v>10000</v>
      </c>
      <c r="K142" s="92"/>
      <c r="L142" s="12"/>
      <c r="M142" s="93" t="s">
        <v>1</v>
      </c>
      <c r="N142" s="94" t="s">
        <v>43</v>
      </c>
      <c r="P142" s="95">
        <f t="shared" ref="P142:P148" si="11">O142*H142</f>
        <v>0</v>
      </c>
      <c r="Q142" s="95">
        <v>0</v>
      </c>
      <c r="R142" s="95">
        <f t="shared" ref="R142:R148" si="12">Q142*H142</f>
        <v>0</v>
      </c>
      <c r="S142" s="95">
        <v>0</v>
      </c>
      <c r="T142" s="99">
        <f t="shared" ref="T142:T148" si="13">S142*H142</f>
        <v>0</v>
      </c>
      <c r="AR142" s="101" t="s">
        <v>446</v>
      </c>
      <c r="AT142" s="101" t="s">
        <v>214</v>
      </c>
      <c r="AU142" s="101" t="s">
        <v>87</v>
      </c>
      <c r="AY142" s="23" t="s">
        <v>211</v>
      </c>
      <c r="BE142" s="104">
        <f t="shared" ref="BE142:BE148" si="14">IF(N142="základní",J142,0)</f>
        <v>0</v>
      </c>
      <c r="BF142" s="104">
        <f t="shared" ref="BF142:BF148" si="15">IF(N142="snížená",J142,0)</f>
        <v>10000</v>
      </c>
      <c r="BG142" s="104">
        <f t="shared" ref="BG142:BG148" si="16">IF(N142="zákl. přenesená",J142,0)</f>
        <v>0</v>
      </c>
      <c r="BH142" s="104">
        <f t="shared" ref="BH142:BH148" si="17">IF(N142="sníž. přenesená",J142,0)</f>
        <v>0</v>
      </c>
      <c r="BI142" s="104">
        <f t="shared" ref="BI142:BI148" si="18">IF(N142="nulová",J142,0)</f>
        <v>0</v>
      </c>
      <c r="BJ142" s="23" t="s">
        <v>87</v>
      </c>
      <c r="BK142" s="104">
        <f t="shared" ref="BK142:BK148" si="19">ROUND(I142*H142,2)</f>
        <v>10000</v>
      </c>
      <c r="BL142" s="23" t="s">
        <v>446</v>
      </c>
      <c r="BM142" s="101" t="s">
        <v>6069</v>
      </c>
    </row>
    <row r="143" spans="2:65" s="1" customFormat="1" ht="16.5" customHeight="1">
      <c r="B143" s="12"/>
      <c r="C143" s="71" t="s">
        <v>437</v>
      </c>
      <c r="D143" s="71" t="s">
        <v>214</v>
      </c>
      <c r="E143" s="72" t="s">
        <v>5283</v>
      </c>
      <c r="F143" s="73" t="s">
        <v>5284</v>
      </c>
      <c r="G143" s="74" t="s">
        <v>4204</v>
      </c>
      <c r="H143" s="75">
        <v>5</v>
      </c>
      <c r="I143" s="90">
        <v>500</v>
      </c>
      <c r="J143" s="91">
        <f t="shared" si="10"/>
        <v>2500</v>
      </c>
      <c r="K143" s="92"/>
      <c r="L143" s="12"/>
      <c r="M143" s="93" t="s">
        <v>1</v>
      </c>
      <c r="N143" s="94" t="s">
        <v>43</v>
      </c>
      <c r="P143" s="95">
        <f t="shared" si="11"/>
        <v>0</v>
      </c>
      <c r="Q143" s="95">
        <v>0</v>
      </c>
      <c r="R143" s="95">
        <f t="shared" si="12"/>
        <v>0</v>
      </c>
      <c r="S143" s="95">
        <v>0</v>
      </c>
      <c r="T143" s="99">
        <f t="shared" si="13"/>
        <v>0</v>
      </c>
      <c r="AR143" s="101" t="s">
        <v>2681</v>
      </c>
      <c r="AT143" s="101" t="s">
        <v>214</v>
      </c>
      <c r="AU143" s="101" t="s">
        <v>87</v>
      </c>
      <c r="AY143" s="23" t="s">
        <v>211</v>
      </c>
      <c r="BE143" s="104">
        <f t="shared" si="14"/>
        <v>0</v>
      </c>
      <c r="BF143" s="104">
        <f t="shared" si="15"/>
        <v>2500</v>
      </c>
      <c r="BG143" s="104">
        <f t="shared" si="16"/>
        <v>0</v>
      </c>
      <c r="BH143" s="104">
        <f t="shared" si="17"/>
        <v>0</v>
      </c>
      <c r="BI143" s="104">
        <f t="shared" si="18"/>
        <v>0</v>
      </c>
      <c r="BJ143" s="23" t="s">
        <v>87</v>
      </c>
      <c r="BK143" s="104">
        <f t="shared" si="19"/>
        <v>2500</v>
      </c>
      <c r="BL143" s="23" t="s">
        <v>2681</v>
      </c>
      <c r="BM143" s="101" t="s">
        <v>6070</v>
      </c>
    </row>
    <row r="144" spans="2:65" s="1" customFormat="1" ht="16.5" customHeight="1">
      <c r="B144" s="12"/>
      <c r="C144" s="71" t="s">
        <v>8</v>
      </c>
      <c r="D144" s="71" t="s">
        <v>214</v>
      </c>
      <c r="E144" s="72" t="s">
        <v>5286</v>
      </c>
      <c r="F144" s="73" t="s">
        <v>5287</v>
      </c>
      <c r="G144" s="74" t="s">
        <v>4204</v>
      </c>
      <c r="H144" s="75">
        <v>15</v>
      </c>
      <c r="I144" s="90">
        <v>500</v>
      </c>
      <c r="J144" s="91">
        <f t="shared" si="10"/>
        <v>7500</v>
      </c>
      <c r="K144" s="92"/>
      <c r="L144" s="12"/>
      <c r="M144" s="93" t="s">
        <v>1</v>
      </c>
      <c r="N144" s="94" t="s">
        <v>43</v>
      </c>
      <c r="P144" s="95">
        <f t="shared" si="11"/>
        <v>0</v>
      </c>
      <c r="Q144" s="95">
        <v>0</v>
      </c>
      <c r="R144" s="95">
        <f t="shared" si="12"/>
        <v>0</v>
      </c>
      <c r="S144" s="95">
        <v>0</v>
      </c>
      <c r="T144" s="99">
        <f t="shared" si="13"/>
        <v>0</v>
      </c>
      <c r="AR144" s="101" t="s">
        <v>2681</v>
      </c>
      <c r="AT144" s="101" t="s">
        <v>214</v>
      </c>
      <c r="AU144" s="101" t="s">
        <v>87</v>
      </c>
      <c r="AY144" s="23" t="s">
        <v>211</v>
      </c>
      <c r="BE144" s="104">
        <f t="shared" si="14"/>
        <v>0</v>
      </c>
      <c r="BF144" s="104">
        <f t="shared" si="15"/>
        <v>7500</v>
      </c>
      <c r="BG144" s="104">
        <f t="shared" si="16"/>
        <v>0</v>
      </c>
      <c r="BH144" s="104">
        <f t="shared" si="17"/>
        <v>0</v>
      </c>
      <c r="BI144" s="104">
        <f t="shared" si="18"/>
        <v>0</v>
      </c>
      <c r="BJ144" s="23" t="s">
        <v>87</v>
      </c>
      <c r="BK144" s="104">
        <f t="shared" si="19"/>
        <v>7500</v>
      </c>
      <c r="BL144" s="23" t="s">
        <v>2681</v>
      </c>
      <c r="BM144" s="101" t="s">
        <v>6071</v>
      </c>
    </row>
    <row r="145" spans="2:65" s="1" customFormat="1" ht="24.15" customHeight="1">
      <c r="B145" s="12"/>
      <c r="C145" s="114" t="s">
        <v>446</v>
      </c>
      <c r="D145" s="114" t="s">
        <v>438</v>
      </c>
      <c r="E145" s="115" t="s">
        <v>4800</v>
      </c>
      <c r="F145" s="116" t="s">
        <v>5289</v>
      </c>
      <c r="G145" s="117" t="s">
        <v>234</v>
      </c>
      <c r="H145" s="118">
        <v>1</v>
      </c>
      <c r="I145" s="122">
        <v>5000</v>
      </c>
      <c r="J145" s="123">
        <f t="shared" si="10"/>
        <v>5000</v>
      </c>
      <c r="K145" s="124"/>
      <c r="L145" s="125"/>
      <c r="M145" s="126" t="s">
        <v>1</v>
      </c>
      <c r="N145" s="127" t="s">
        <v>43</v>
      </c>
      <c r="P145" s="95">
        <f t="shared" si="11"/>
        <v>0</v>
      </c>
      <c r="Q145" s="95">
        <v>0</v>
      </c>
      <c r="R145" s="95">
        <f t="shared" si="12"/>
        <v>0</v>
      </c>
      <c r="S145" s="95">
        <v>0</v>
      </c>
      <c r="T145" s="99">
        <f t="shared" si="13"/>
        <v>0</v>
      </c>
      <c r="AR145" s="101" t="s">
        <v>250</v>
      </c>
      <c r="AT145" s="101" t="s">
        <v>438</v>
      </c>
      <c r="AU145" s="101" t="s">
        <v>87</v>
      </c>
      <c r="AY145" s="23" t="s">
        <v>211</v>
      </c>
      <c r="BE145" s="104">
        <f t="shared" si="14"/>
        <v>0</v>
      </c>
      <c r="BF145" s="104">
        <f t="shared" si="15"/>
        <v>5000</v>
      </c>
      <c r="BG145" s="104">
        <f t="shared" si="16"/>
        <v>0</v>
      </c>
      <c r="BH145" s="104">
        <f t="shared" si="17"/>
        <v>0</v>
      </c>
      <c r="BI145" s="104">
        <f t="shared" si="18"/>
        <v>0</v>
      </c>
      <c r="BJ145" s="23" t="s">
        <v>87</v>
      </c>
      <c r="BK145" s="104">
        <f t="shared" si="19"/>
        <v>5000</v>
      </c>
      <c r="BL145" s="23" t="s">
        <v>218</v>
      </c>
      <c r="BM145" s="101" t="s">
        <v>6072</v>
      </c>
    </row>
    <row r="146" spans="2:65" s="1" customFormat="1" ht="16.5" customHeight="1">
      <c r="B146" s="12"/>
      <c r="C146" s="71" t="s">
        <v>450</v>
      </c>
      <c r="D146" s="71" t="s">
        <v>214</v>
      </c>
      <c r="E146" s="72" t="s">
        <v>5291</v>
      </c>
      <c r="F146" s="73" t="s">
        <v>5292</v>
      </c>
      <c r="G146" s="74" t="s">
        <v>234</v>
      </c>
      <c r="H146" s="75">
        <v>1</v>
      </c>
      <c r="I146" s="90">
        <v>10000</v>
      </c>
      <c r="J146" s="91">
        <f t="shared" si="10"/>
        <v>10000</v>
      </c>
      <c r="K146" s="92"/>
      <c r="L146" s="12"/>
      <c r="M146" s="93" t="s">
        <v>1</v>
      </c>
      <c r="N146" s="94" t="s">
        <v>43</v>
      </c>
      <c r="P146" s="95">
        <f t="shared" si="11"/>
        <v>0</v>
      </c>
      <c r="Q146" s="95">
        <v>0</v>
      </c>
      <c r="R146" s="95">
        <f t="shared" si="12"/>
        <v>0</v>
      </c>
      <c r="S146" s="95">
        <v>0</v>
      </c>
      <c r="T146" s="99">
        <f t="shared" si="13"/>
        <v>0</v>
      </c>
      <c r="AR146" s="101" t="s">
        <v>218</v>
      </c>
      <c r="AT146" s="101" t="s">
        <v>214</v>
      </c>
      <c r="AU146" s="101" t="s">
        <v>87</v>
      </c>
      <c r="AY146" s="23" t="s">
        <v>211</v>
      </c>
      <c r="BE146" s="104">
        <f t="shared" si="14"/>
        <v>0</v>
      </c>
      <c r="BF146" s="104">
        <f t="shared" si="15"/>
        <v>10000</v>
      </c>
      <c r="BG146" s="104">
        <f t="shared" si="16"/>
        <v>0</v>
      </c>
      <c r="BH146" s="104">
        <f t="shared" si="17"/>
        <v>0</v>
      </c>
      <c r="BI146" s="104">
        <f t="shared" si="18"/>
        <v>0</v>
      </c>
      <c r="BJ146" s="23" t="s">
        <v>87</v>
      </c>
      <c r="BK146" s="104">
        <f t="shared" si="19"/>
        <v>10000</v>
      </c>
      <c r="BL146" s="23" t="s">
        <v>218</v>
      </c>
      <c r="BM146" s="101" t="s">
        <v>6073</v>
      </c>
    </row>
    <row r="147" spans="2:65" s="1" customFormat="1" ht="16.5" customHeight="1">
      <c r="B147" s="12"/>
      <c r="C147" s="71" t="s">
        <v>454</v>
      </c>
      <c r="D147" s="71" t="s">
        <v>214</v>
      </c>
      <c r="E147" s="72" t="s">
        <v>5305</v>
      </c>
      <c r="F147" s="73" t="s">
        <v>5306</v>
      </c>
      <c r="G147" s="74" t="s">
        <v>234</v>
      </c>
      <c r="H147" s="75">
        <v>1</v>
      </c>
      <c r="I147" s="90">
        <v>15000</v>
      </c>
      <c r="J147" s="91">
        <f t="shared" si="10"/>
        <v>15000</v>
      </c>
      <c r="K147" s="92"/>
      <c r="L147" s="12"/>
      <c r="M147" s="93" t="s">
        <v>1</v>
      </c>
      <c r="N147" s="94" t="s">
        <v>43</v>
      </c>
      <c r="P147" s="95">
        <f t="shared" si="11"/>
        <v>0</v>
      </c>
      <c r="Q147" s="95">
        <v>0</v>
      </c>
      <c r="R147" s="95">
        <f t="shared" si="12"/>
        <v>0</v>
      </c>
      <c r="S147" s="95">
        <v>0</v>
      </c>
      <c r="T147" s="99">
        <f t="shared" si="13"/>
        <v>0</v>
      </c>
      <c r="AR147" s="101" t="s">
        <v>2681</v>
      </c>
      <c r="AT147" s="101" t="s">
        <v>214</v>
      </c>
      <c r="AU147" s="101" t="s">
        <v>87</v>
      </c>
      <c r="AY147" s="23" t="s">
        <v>211</v>
      </c>
      <c r="BE147" s="104">
        <f t="shared" si="14"/>
        <v>0</v>
      </c>
      <c r="BF147" s="104">
        <f t="shared" si="15"/>
        <v>15000</v>
      </c>
      <c r="BG147" s="104">
        <f t="shared" si="16"/>
        <v>0</v>
      </c>
      <c r="BH147" s="104">
        <f t="shared" si="17"/>
        <v>0</v>
      </c>
      <c r="BI147" s="104">
        <f t="shared" si="18"/>
        <v>0</v>
      </c>
      <c r="BJ147" s="23" t="s">
        <v>87</v>
      </c>
      <c r="BK147" s="104">
        <f t="shared" si="19"/>
        <v>15000</v>
      </c>
      <c r="BL147" s="23" t="s">
        <v>2681</v>
      </c>
      <c r="BM147" s="101" t="s">
        <v>6074</v>
      </c>
    </row>
    <row r="148" spans="2:65" s="1" customFormat="1" ht="16.5" customHeight="1">
      <c r="B148" s="12"/>
      <c r="C148" s="71" t="s">
        <v>459</v>
      </c>
      <c r="D148" s="71" t="s">
        <v>214</v>
      </c>
      <c r="E148" s="72" t="s">
        <v>5308</v>
      </c>
      <c r="F148" s="73" t="s">
        <v>5309</v>
      </c>
      <c r="G148" s="74" t="s">
        <v>234</v>
      </c>
      <c r="H148" s="75">
        <v>1</v>
      </c>
      <c r="I148" s="90">
        <v>10000</v>
      </c>
      <c r="J148" s="91">
        <f t="shared" si="10"/>
        <v>10000</v>
      </c>
      <c r="K148" s="92"/>
      <c r="L148" s="12"/>
      <c r="M148" s="130" t="s">
        <v>1</v>
      </c>
      <c r="N148" s="131" t="s">
        <v>43</v>
      </c>
      <c r="O148" s="110"/>
      <c r="P148" s="132">
        <f t="shared" si="11"/>
        <v>0</v>
      </c>
      <c r="Q148" s="132">
        <v>0</v>
      </c>
      <c r="R148" s="132">
        <f t="shared" si="12"/>
        <v>0</v>
      </c>
      <c r="S148" s="132">
        <v>0</v>
      </c>
      <c r="T148" s="134">
        <f t="shared" si="13"/>
        <v>0</v>
      </c>
      <c r="AR148" s="101" t="s">
        <v>2681</v>
      </c>
      <c r="AT148" s="101" t="s">
        <v>214</v>
      </c>
      <c r="AU148" s="101" t="s">
        <v>87</v>
      </c>
      <c r="AY148" s="23" t="s">
        <v>211</v>
      </c>
      <c r="BE148" s="104">
        <f t="shared" si="14"/>
        <v>0</v>
      </c>
      <c r="BF148" s="104">
        <f t="shared" si="15"/>
        <v>10000</v>
      </c>
      <c r="BG148" s="104">
        <f t="shared" si="16"/>
        <v>0</v>
      </c>
      <c r="BH148" s="104">
        <f t="shared" si="17"/>
        <v>0</v>
      </c>
      <c r="BI148" s="104">
        <f t="shared" si="18"/>
        <v>0</v>
      </c>
      <c r="BJ148" s="23" t="s">
        <v>87</v>
      </c>
      <c r="BK148" s="104">
        <f t="shared" si="19"/>
        <v>10000</v>
      </c>
      <c r="BL148" s="23" t="s">
        <v>2681</v>
      </c>
      <c r="BM148" s="101" t="s">
        <v>6075</v>
      </c>
    </row>
    <row r="149" spans="2:65" s="1" customFormat="1" ht="6.9" customHeight="1">
      <c r="B149" s="26"/>
      <c r="C149" s="27"/>
      <c r="D149" s="27"/>
      <c r="E149" s="27"/>
      <c r="F149" s="27"/>
      <c r="G149" s="27"/>
      <c r="H149" s="27"/>
      <c r="I149" s="27"/>
      <c r="J149" s="27"/>
      <c r="K149" s="27"/>
      <c r="L149" s="12"/>
    </row>
  </sheetData>
  <autoFilter ref="C124:K148" xr:uid="{00000000-0009-0000-0000-00001B000000}"/>
  <mergeCells count="12">
    <mergeCell ref="L2:V2"/>
    <mergeCell ref="E7:H7"/>
    <mergeCell ref="E9:H9"/>
    <mergeCell ref="E11:H11"/>
    <mergeCell ref="E20:H20"/>
    <mergeCell ref="E115:H115"/>
    <mergeCell ref="E117:H117"/>
    <mergeCell ref="E29:H29"/>
    <mergeCell ref="E85:H85"/>
    <mergeCell ref="E87:H87"/>
    <mergeCell ref="E89:H89"/>
    <mergeCell ref="E113:H113"/>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B2:BM142"/>
  <sheetViews>
    <sheetView showGridLines="0" topLeftCell="A102" workbookViewId="0">
      <selection activeCell="I141" sqref="I141"/>
    </sheetView>
  </sheetViews>
  <sheetFormatPr defaultColWidth="8.7109375" defaultRowHeight="10.199999999999999"/>
  <cols>
    <col min="1" max="1" width="8.140625" customWidth="1"/>
    <col min="2" max="2" width="1.140625" customWidth="1"/>
    <col min="3" max="4" width="4.140625" customWidth="1"/>
    <col min="5" max="5" width="17.140625" customWidth="1"/>
    <col min="6" max="6" width="50.7109375" customWidth="1"/>
    <col min="7" max="7" width="7.42578125" customWidth="1"/>
    <col min="8" max="8" width="14" customWidth="1"/>
    <col min="9" max="9" width="15.7109375" customWidth="1"/>
    <col min="10" max="10" width="22.140625" customWidth="1"/>
    <col min="11" max="11" width="22.140625" hidden="1" customWidth="1"/>
    <col min="12" max="12" width="9.140625" customWidth="1"/>
    <col min="13" max="13" width="10.7109375" hidden="1" customWidth="1"/>
    <col min="14" max="14" width="9.140625" hidden="1"/>
    <col min="15" max="20" width="14.140625" hidden="1" customWidth="1"/>
    <col min="21" max="21" width="16.140625" hidden="1" customWidth="1"/>
    <col min="22" max="22" width="12.140625" customWidth="1"/>
    <col min="23" max="23" width="16.140625" customWidth="1"/>
    <col min="24" max="24" width="12.140625" customWidth="1"/>
    <col min="25" max="25" width="15" customWidth="1"/>
    <col min="26" max="26" width="11" customWidth="1"/>
    <col min="27" max="27" width="15" customWidth="1"/>
    <col min="28" max="28" width="16.140625" customWidth="1"/>
    <col min="29" max="29" width="11" customWidth="1"/>
    <col min="30" max="30" width="15" customWidth="1"/>
    <col min="31" max="31" width="16.140625" customWidth="1"/>
    <col min="44" max="65" width="9.140625" hidden="1"/>
  </cols>
  <sheetData>
    <row r="2" spans="2:46" ht="36.9" customHeight="1">
      <c r="L2" s="383"/>
      <c r="M2" s="383"/>
      <c r="N2" s="383"/>
      <c r="O2" s="383"/>
      <c r="P2" s="383"/>
      <c r="Q2" s="383"/>
      <c r="R2" s="383"/>
      <c r="S2" s="383"/>
      <c r="T2" s="383"/>
      <c r="U2" s="383"/>
      <c r="V2" s="383"/>
      <c r="AT2" s="23" t="s">
        <v>180</v>
      </c>
    </row>
    <row r="3" spans="2:46" ht="6.9" customHeight="1">
      <c r="B3" s="3"/>
      <c r="C3" s="4"/>
      <c r="D3" s="4"/>
      <c r="E3" s="4"/>
      <c r="F3" s="4"/>
      <c r="G3" s="4"/>
      <c r="H3" s="4"/>
      <c r="I3" s="4"/>
      <c r="J3" s="4"/>
      <c r="K3" s="4"/>
      <c r="L3" s="5"/>
      <c r="AT3" s="23" t="s">
        <v>87</v>
      </c>
    </row>
    <row r="4" spans="2:46" ht="24.9" customHeight="1">
      <c r="B4" s="5"/>
      <c r="D4" s="6" t="s">
        <v>181</v>
      </c>
      <c r="L4" s="5"/>
      <c r="M4" s="50" t="s">
        <v>10</v>
      </c>
      <c r="AT4" s="23" t="s">
        <v>4</v>
      </c>
    </row>
    <row r="5" spans="2:46" ht="6.9" customHeight="1">
      <c r="B5" s="5"/>
      <c r="L5" s="5"/>
    </row>
    <row r="6" spans="2:46" ht="12" customHeight="1">
      <c r="B6" s="5"/>
      <c r="D6" s="10" t="s">
        <v>16</v>
      </c>
      <c r="L6" s="5"/>
    </row>
    <row r="7" spans="2:46" ht="16.5" customHeight="1">
      <c r="B7" s="5"/>
      <c r="E7" s="392" t="str">
        <f>'Rekapitulace stavby'!K6</f>
        <v>Bytový soubor Libuše</v>
      </c>
      <c r="F7" s="393"/>
      <c r="G7" s="393"/>
      <c r="H7" s="393"/>
      <c r="L7" s="5"/>
    </row>
    <row r="8" spans="2:46" ht="12" customHeight="1">
      <c r="B8" s="5"/>
      <c r="D8" s="10" t="s">
        <v>182</v>
      </c>
      <c r="L8" s="5"/>
    </row>
    <row r="9" spans="2:46" s="1" customFormat="1" ht="16.5" customHeight="1">
      <c r="B9" s="12"/>
      <c r="E9" s="392" t="s">
        <v>5462</v>
      </c>
      <c r="F9" s="394"/>
      <c r="G9" s="394"/>
      <c r="H9" s="394"/>
      <c r="L9" s="12"/>
    </row>
    <row r="10" spans="2:46" s="1" customFormat="1" ht="12" customHeight="1">
      <c r="B10" s="12"/>
      <c r="D10" s="10" t="s">
        <v>296</v>
      </c>
      <c r="L10" s="12"/>
    </row>
    <row r="11" spans="2:46" s="1" customFormat="1" ht="16.5" customHeight="1">
      <c r="B11" s="12"/>
      <c r="E11" s="381" t="s">
        <v>6076</v>
      </c>
      <c r="F11" s="394"/>
      <c r="G11" s="394"/>
      <c r="H11" s="394"/>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395" t="str">
        <f>'Rekapitulace stavby'!E14</f>
        <v>DMG Stav a.s.</v>
      </c>
      <c r="F20" s="384"/>
      <c r="G20" s="384"/>
      <c r="H20" s="384"/>
      <c r="I20" s="10" t="s">
        <v>26</v>
      </c>
      <c r="J20" s="33" t="str">
        <f>'Rekapitulace stavby'!AN14</f>
        <v>CZ 08004013</v>
      </c>
      <c r="L20" s="12"/>
    </row>
    <row r="21" spans="2:12" s="1" customFormat="1" ht="6.9"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 customHeight="1">
      <c r="B27" s="12"/>
      <c r="L27" s="12"/>
    </row>
    <row r="28" spans="2:12" s="1" customFormat="1" ht="12" customHeight="1">
      <c r="B28" s="12"/>
      <c r="D28" s="10" t="s">
        <v>36</v>
      </c>
      <c r="L28" s="12"/>
    </row>
    <row r="29" spans="2:12" s="28" customFormat="1" ht="16.5" customHeight="1">
      <c r="B29" s="34"/>
      <c r="E29" s="388" t="s">
        <v>1</v>
      </c>
      <c r="F29" s="388"/>
      <c r="G29" s="388"/>
      <c r="H29" s="388"/>
      <c r="L29" s="34"/>
    </row>
    <row r="30" spans="2:12" s="1" customFormat="1" ht="6.9" customHeight="1">
      <c r="B30" s="12"/>
      <c r="L30" s="12"/>
    </row>
    <row r="31" spans="2:12" s="1" customFormat="1" ht="6.9" customHeight="1">
      <c r="B31" s="12"/>
      <c r="D31" s="35"/>
      <c r="E31" s="35"/>
      <c r="F31" s="35"/>
      <c r="G31" s="35"/>
      <c r="H31" s="35"/>
      <c r="I31" s="35"/>
      <c r="J31" s="35"/>
      <c r="K31" s="35"/>
      <c r="L31" s="12"/>
    </row>
    <row r="32" spans="2:12" s="1" customFormat="1" ht="25.35" customHeight="1">
      <c r="B32" s="12"/>
      <c r="D32" s="36" t="s">
        <v>37</v>
      </c>
      <c r="J32" s="51">
        <f>ROUND(J123,2)</f>
        <v>420840</v>
      </c>
      <c r="L32" s="12"/>
    </row>
    <row r="33" spans="2:12" s="1" customFormat="1" ht="6.9" customHeight="1">
      <c r="B33" s="12"/>
      <c r="D33" s="35"/>
      <c r="E33" s="35"/>
      <c r="F33" s="35"/>
      <c r="G33" s="35"/>
      <c r="H33" s="35"/>
      <c r="I33" s="35"/>
      <c r="J33" s="35"/>
      <c r="K33" s="35"/>
      <c r="L33" s="12"/>
    </row>
    <row r="34" spans="2:12" s="1" customFormat="1" ht="14.4" customHeight="1">
      <c r="B34" s="12"/>
      <c r="F34" s="37" t="s">
        <v>39</v>
      </c>
      <c r="I34" s="37" t="s">
        <v>38</v>
      </c>
      <c r="J34" s="37" t="s">
        <v>40</v>
      </c>
      <c r="L34" s="12"/>
    </row>
    <row r="35" spans="2:12" s="1" customFormat="1" ht="14.4" customHeight="1">
      <c r="B35" s="12"/>
      <c r="D35" s="38" t="s">
        <v>41</v>
      </c>
      <c r="E35" s="10" t="s">
        <v>42</v>
      </c>
      <c r="F35" s="39">
        <f>ROUND((SUM(BE123:BE141)),2)</f>
        <v>420840</v>
      </c>
      <c r="I35" s="52">
        <v>0.21</v>
      </c>
      <c r="J35" s="39">
        <f>ROUND(((SUM(BE123:BE141))*I35),2)</f>
        <v>88376.4</v>
      </c>
      <c r="L35" s="12"/>
    </row>
    <row r="36" spans="2:12" s="1" customFormat="1" ht="14.4" customHeight="1">
      <c r="B36" s="12"/>
      <c r="E36" s="10" t="s">
        <v>43</v>
      </c>
      <c r="F36" s="39">
        <f>ROUND((SUM(BF123:BF141)),2)</f>
        <v>0</v>
      </c>
      <c r="I36" s="52">
        <v>0.15</v>
      </c>
      <c r="J36" s="39">
        <f>ROUND(((SUM(BF123:BF141))*I36),2)</f>
        <v>0</v>
      </c>
      <c r="L36" s="12"/>
    </row>
    <row r="37" spans="2:12" s="1" customFormat="1" ht="14.4" hidden="1" customHeight="1">
      <c r="B37" s="12"/>
      <c r="E37" s="10" t="s">
        <v>44</v>
      </c>
      <c r="F37" s="39">
        <f>ROUND((SUM(BG123:BG141)),2)</f>
        <v>0</v>
      </c>
      <c r="I37" s="52">
        <v>0.21</v>
      </c>
      <c r="J37" s="39">
        <f>0</f>
        <v>0</v>
      </c>
      <c r="L37" s="12"/>
    </row>
    <row r="38" spans="2:12" s="1" customFormat="1" ht="14.4" hidden="1" customHeight="1">
      <c r="B38" s="12"/>
      <c r="E38" s="10" t="s">
        <v>45</v>
      </c>
      <c r="F38" s="39">
        <f>ROUND((SUM(BH123:BH141)),2)</f>
        <v>0</v>
      </c>
      <c r="I38" s="52">
        <v>0.15</v>
      </c>
      <c r="J38" s="39">
        <f>0</f>
        <v>0</v>
      </c>
      <c r="L38" s="12"/>
    </row>
    <row r="39" spans="2:12" s="1" customFormat="1" ht="14.4" hidden="1" customHeight="1">
      <c r="B39" s="12"/>
      <c r="E39" s="10" t="s">
        <v>46</v>
      </c>
      <c r="F39" s="39">
        <f>ROUND((SUM(BI123:BI141)),2)</f>
        <v>0</v>
      </c>
      <c r="I39" s="52">
        <v>0</v>
      </c>
      <c r="J39" s="39">
        <f>0</f>
        <v>0</v>
      </c>
      <c r="L39" s="12"/>
    </row>
    <row r="40" spans="2:12" s="1" customFormat="1" ht="6.9" customHeight="1">
      <c r="B40" s="12"/>
      <c r="L40" s="12"/>
    </row>
    <row r="41" spans="2:12" s="1" customFormat="1" ht="25.35" customHeight="1">
      <c r="B41" s="12"/>
      <c r="C41" s="40"/>
      <c r="D41" s="41" t="s">
        <v>47</v>
      </c>
      <c r="E41" s="42"/>
      <c r="F41" s="42"/>
      <c r="G41" s="43" t="s">
        <v>48</v>
      </c>
      <c r="H41" s="44" t="s">
        <v>49</v>
      </c>
      <c r="I41" s="42"/>
      <c r="J41" s="53">
        <f>SUM(J32:J39)</f>
        <v>509216.4</v>
      </c>
      <c r="K41" s="54"/>
      <c r="L41" s="12"/>
    </row>
    <row r="42" spans="2:12" s="1" customFormat="1" ht="14.4" customHeight="1">
      <c r="B42" s="12"/>
      <c r="L42" s="12"/>
    </row>
    <row r="43" spans="2:12" ht="14.4" customHeight="1">
      <c r="B43" s="5"/>
      <c r="L43" s="5"/>
    </row>
    <row r="44" spans="2:12" ht="14.4" customHeight="1">
      <c r="B44" s="5"/>
      <c r="L44" s="5"/>
    </row>
    <row r="45" spans="2:12" ht="14.4" customHeight="1">
      <c r="B45" s="5"/>
      <c r="L45" s="5"/>
    </row>
    <row r="46" spans="2:12" ht="14.4" customHeight="1">
      <c r="B46" s="5"/>
      <c r="L46" s="5"/>
    </row>
    <row r="47" spans="2:12" ht="14.4" customHeight="1">
      <c r="B47" s="5"/>
      <c r="L47" s="5"/>
    </row>
    <row r="48" spans="2:12" ht="14.4" customHeight="1">
      <c r="B48" s="5"/>
      <c r="L48" s="5"/>
    </row>
    <row r="49" spans="2:12" ht="14.4" customHeight="1">
      <c r="B49" s="5"/>
      <c r="L49" s="5"/>
    </row>
    <row r="50" spans="2:12" s="1" customFormat="1" ht="14.4"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3.2">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3.2">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3.2">
      <c r="B76" s="12"/>
      <c r="D76" s="47" t="s">
        <v>52</v>
      </c>
      <c r="E76" s="48"/>
      <c r="F76" s="49" t="s">
        <v>53</v>
      </c>
      <c r="G76" s="47" t="s">
        <v>52</v>
      </c>
      <c r="H76" s="48"/>
      <c r="I76" s="48"/>
      <c r="J76" s="55" t="s">
        <v>53</v>
      </c>
      <c r="K76" s="48"/>
      <c r="L76" s="12"/>
    </row>
    <row r="77" spans="2:12" s="1" customFormat="1" ht="14.4" customHeight="1">
      <c r="B77" s="26"/>
      <c r="C77" s="27"/>
      <c r="D77" s="27"/>
      <c r="E77" s="27"/>
      <c r="F77" s="27"/>
      <c r="G77" s="27"/>
      <c r="H77" s="27"/>
      <c r="I77" s="27"/>
      <c r="J77" s="27"/>
      <c r="K77" s="27"/>
      <c r="L77" s="12"/>
    </row>
    <row r="81" spans="2:12" s="1" customFormat="1" ht="6.9" customHeight="1">
      <c r="B81" s="56"/>
      <c r="C81" s="57"/>
      <c r="D81" s="57"/>
      <c r="E81" s="57"/>
      <c r="F81" s="57"/>
      <c r="G81" s="57"/>
      <c r="H81" s="57"/>
      <c r="I81" s="57"/>
      <c r="J81" s="57"/>
      <c r="K81" s="57"/>
      <c r="L81" s="12"/>
    </row>
    <row r="82" spans="2:12" s="1" customFormat="1" ht="24.9" customHeight="1">
      <c r="B82" s="12"/>
      <c r="C82" s="6" t="s">
        <v>184</v>
      </c>
      <c r="L82" s="12"/>
    </row>
    <row r="83" spans="2:12" s="1" customFormat="1" ht="6.9" customHeight="1">
      <c r="B83" s="12"/>
      <c r="L83" s="12"/>
    </row>
    <row r="84" spans="2:12" s="1" customFormat="1" ht="12" customHeight="1">
      <c r="B84" s="12"/>
      <c r="C84" s="10" t="s">
        <v>16</v>
      </c>
      <c r="L84" s="12"/>
    </row>
    <row r="85" spans="2:12" s="1" customFormat="1" ht="16.5" customHeight="1">
      <c r="B85" s="12"/>
      <c r="E85" s="392" t="str">
        <f>E7</f>
        <v>Bytový soubor Libuše</v>
      </c>
      <c r="F85" s="393"/>
      <c r="G85" s="393"/>
      <c r="H85" s="393"/>
      <c r="L85" s="12"/>
    </row>
    <row r="86" spans="2:12" ht="12" customHeight="1">
      <c r="B86" s="5"/>
      <c r="C86" s="10" t="s">
        <v>182</v>
      </c>
      <c r="L86" s="5"/>
    </row>
    <row r="87" spans="2:12" s="1" customFormat="1" ht="16.5" customHeight="1">
      <c r="B87" s="12"/>
      <c r="E87" s="392" t="s">
        <v>5462</v>
      </c>
      <c r="F87" s="394"/>
      <c r="G87" s="394"/>
      <c r="H87" s="394"/>
      <c r="L87" s="12"/>
    </row>
    <row r="88" spans="2:12" s="1" customFormat="1" ht="12" customHeight="1">
      <c r="B88" s="12"/>
      <c r="C88" s="10" t="s">
        <v>296</v>
      </c>
      <c r="L88" s="12"/>
    </row>
    <row r="89" spans="2:12" s="1" customFormat="1" ht="16.5" customHeight="1">
      <c r="B89" s="12"/>
      <c r="E89" s="381" t="str">
        <f>E11</f>
        <v>SO31 - Příprava území</v>
      </c>
      <c r="F89" s="394"/>
      <c r="G89" s="394"/>
      <c r="H89" s="394"/>
      <c r="L89" s="12"/>
    </row>
    <row r="90" spans="2:12" s="1" customFormat="1" ht="6.9" customHeight="1">
      <c r="B90" s="12"/>
      <c r="L90" s="12"/>
    </row>
    <row r="91" spans="2:12" s="1" customFormat="1" ht="12" customHeight="1">
      <c r="B91" s="12"/>
      <c r="C91" s="10" t="s">
        <v>20</v>
      </c>
      <c r="F91" s="32" t="str">
        <f>F14</f>
        <v>Praha</v>
      </c>
      <c r="I91" s="10" t="s">
        <v>22</v>
      </c>
      <c r="J91" s="11">
        <f>IF(J14="","",J14)</f>
        <v>45000</v>
      </c>
      <c r="L91" s="12"/>
    </row>
    <row r="92" spans="2:12" s="1" customFormat="1" ht="6.9" customHeight="1">
      <c r="B92" s="12"/>
      <c r="L92" s="12"/>
    </row>
    <row r="93" spans="2:12" s="1" customFormat="1" ht="15.15" customHeight="1">
      <c r="B93" s="12"/>
      <c r="C93" s="10" t="s">
        <v>23</v>
      </c>
      <c r="F93" s="32" t="str">
        <f>E17</f>
        <v>VELTON REAL ESTATE</v>
      </c>
      <c r="I93" s="10" t="s">
        <v>31</v>
      </c>
      <c r="J93" s="8" t="str">
        <f>E23</f>
        <v>ABMV World s.r.o</v>
      </c>
      <c r="L93" s="12"/>
    </row>
    <row r="94" spans="2:12" s="1" customFormat="1" ht="15.15"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J123</f>
        <v>420840</v>
      </c>
      <c r="L98" s="12"/>
      <c r="AU98" s="23" t="s">
        <v>188</v>
      </c>
    </row>
    <row r="99" spans="2:47" s="29" customFormat="1" ht="24.9" customHeight="1">
      <c r="B99" s="60"/>
      <c r="D99" s="61" t="s">
        <v>4917</v>
      </c>
      <c r="E99" s="62"/>
      <c r="F99" s="62"/>
      <c r="G99" s="62"/>
      <c r="H99" s="62"/>
      <c r="I99" s="62"/>
      <c r="J99" s="77">
        <f>J124</f>
        <v>420840</v>
      </c>
      <c r="L99" s="60"/>
    </row>
    <row r="100" spans="2:47" s="30" customFormat="1" ht="20.100000000000001" customHeight="1">
      <c r="B100" s="63"/>
      <c r="D100" s="64" t="s">
        <v>6077</v>
      </c>
      <c r="E100" s="65"/>
      <c r="F100" s="65"/>
      <c r="G100" s="65"/>
      <c r="H100" s="65"/>
      <c r="I100" s="65"/>
      <c r="J100" s="78">
        <f>J125</f>
        <v>52500</v>
      </c>
      <c r="L100" s="63"/>
    </row>
    <row r="101" spans="2:47" s="30" customFormat="1" ht="20.100000000000001" customHeight="1">
      <c r="B101" s="63"/>
      <c r="D101" s="64" t="s">
        <v>6078</v>
      </c>
      <c r="E101" s="65"/>
      <c r="F101" s="65"/>
      <c r="G101" s="65"/>
      <c r="H101" s="65"/>
      <c r="I101" s="65"/>
      <c r="J101" s="78">
        <f>J127</f>
        <v>368340</v>
      </c>
      <c r="L101" s="63"/>
    </row>
    <row r="102" spans="2:47" s="1" customFormat="1" ht="21.75" customHeight="1">
      <c r="B102" s="12"/>
      <c r="L102" s="12"/>
    </row>
    <row r="103" spans="2:47" s="1" customFormat="1" ht="6.9" customHeight="1">
      <c r="B103" s="26"/>
      <c r="C103" s="27"/>
      <c r="D103" s="27"/>
      <c r="E103" s="27"/>
      <c r="F103" s="27"/>
      <c r="G103" s="27"/>
      <c r="H103" s="27"/>
      <c r="I103" s="27"/>
      <c r="J103" s="27"/>
      <c r="K103" s="27"/>
      <c r="L103" s="12"/>
    </row>
    <row r="107" spans="2:47" s="1" customFormat="1" ht="6.9" customHeight="1">
      <c r="B107" s="56"/>
      <c r="C107" s="57"/>
      <c r="D107" s="57"/>
      <c r="E107" s="57"/>
      <c r="F107" s="57"/>
      <c r="G107" s="57"/>
      <c r="H107" s="57"/>
      <c r="I107" s="57"/>
      <c r="J107" s="57"/>
      <c r="K107" s="57"/>
      <c r="L107" s="12"/>
    </row>
    <row r="108" spans="2:47" s="1" customFormat="1" ht="24.9" customHeight="1">
      <c r="B108" s="12"/>
      <c r="C108" s="6" t="s">
        <v>195</v>
      </c>
      <c r="L108" s="12"/>
    </row>
    <row r="109" spans="2:47" s="1" customFormat="1" ht="6.9" customHeight="1">
      <c r="B109" s="12"/>
      <c r="L109" s="12"/>
    </row>
    <row r="110" spans="2:47" s="1" customFormat="1" ht="12" customHeight="1">
      <c r="B110" s="12"/>
      <c r="C110" s="10" t="s">
        <v>16</v>
      </c>
      <c r="L110" s="12"/>
    </row>
    <row r="111" spans="2:47" s="1" customFormat="1" ht="16.5" customHeight="1">
      <c r="B111" s="12"/>
      <c r="E111" s="392" t="str">
        <f>E7</f>
        <v>Bytový soubor Libuše</v>
      </c>
      <c r="F111" s="393"/>
      <c r="G111" s="393"/>
      <c r="H111" s="393"/>
      <c r="L111" s="12"/>
    </row>
    <row r="112" spans="2:47" ht="12" customHeight="1">
      <c r="B112" s="5"/>
      <c r="C112" s="10" t="s">
        <v>182</v>
      </c>
      <c r="L112" s="5"/>
    </row>
    <row r="113" spans="2:65" s="1" customFormat="1" ht="16.5" customHeight="1">
      <c r="B113" s="12"/>
      <c r="E113" s="392" t="s">
        <v>5462</v>
      </c>
      <c r="F113" s="394"/>
      <c r="G113" s="394"/>
      <c r="H113" s="394"/>
      <c r="L113" s="12"/>
    </row>
    <row r="114" spans="2:65" s="1" customFormat="1" ht="12" customHeight="1">
      <c r="B114" s="12"/>
      <c r="C114" s="10" t="s">
        <v>296</v>
      </c>
      <c r="L114" s="12"/>
    </row>
    <row r="115" spans="2:65" s="1" customFormat="1" ht="16.5" customHeight="1">
      <c r="B115" s="12"/>
      <c r="E115" s="381" t="str">
        <f>E11</f>
        <v>SO31 - Příprava území</v>
      </c>
      <c r="F115" s="394"/>
      <c r="G115" s="394"/>
      <c r="H115" s="394"/>
      <c r="L115" s="12"/>
    </row>
    <row r="116" spans="2:65" s="1" customFormat="1" ht="6.9" customHeight="1">
      <c r="B116" s="12"/>
      <c r="L116" s="12"/>
    </row>
    <row r="117" spans="2:65" s="1" customFormat="1" ht="12" customHeight="1">
      <c r="B117" s="12"/>
      <c r="C117" s="10" t="s">
        <v>20</v>
      </c>
      <c r="F117" s="32" t="str">
        <f>F14</f>
        <v>Praha</v>
      </c>
      <c r="I117" s="10" t="s">
        <v>22</v>
      </c>
      <c r="J117" s="11">
        <f>IF(J14="","",J14)</f>
        <v>45000</v>
      </c>
      <c r="L117" s="12"/>
    </row>
    <row r="118" spans="2:65" s="1" customFormat="1" ht="6.9" customHeight="1">
      <c r="B118" s="12"/>
      <c r="L118" s="12"/>
    </row>
    <row r="119" spans="2:65" s="1" customFormat="1" ht="15.15" customHeight="1">
      <c r="B119" s="12"/>
      <c r="C119" s="10" t="s">
        <v>23</v>
      </c>
      <c r="F119" s="32" t="str">
        <f>E17</f>
        <v>VELTON REAL ESTATE</v>
      </c>
      <c r="I119" s="10" t="s">
        <v>31</v>
      </c>
      <c r="J119" s="8" t="str">
        <f>E23</f>
        <v>ABMV World s.r.o</v>
      </c>
      <c r="L119" s="12"/>
    </row>
    <row r="120" spans="2:65" s="1" customFormat="1" ht="15.15" customHeight="1">
      <c r="B120" s="12"/>
      <c r="C120" s="10" t="s">
        <v>27</v>
      </c>
      <c r="F120" s="32" t="str">
        <f>IF(E20="","",E20)</f>
        <v>DMG Stav a.s.</v>
      </c>
      <c r="I120" s="10" t="s">
        <v>34</v>
      </c>
      <c r="J120" s="8" t="str">
        <f>E26</f>
        <v>QSB s.r.o.</v>
      </c>
      <c r="L120" s="12"/>
    </row>
    <row r="121" spans="2:65" s="1" customFormat="1" ht="10.35" customHeight="1">
      <c r="B121" s="12"/>
      <c r="L121" s="12"/>
    </row>
    <row r="122" spans="2:65" s="2" customFormat="1" ht="29.25" customHeight="1">
      <c r="B122" s="13"/>
      <c r="C122" s="14" t="s">
        <v>196</v>
      </c>
      <c r="D122" s="15" t="s">
        <v>62</v>
      </c>
      <c r="E122" s="15" t="s">
        <v>58</v>
      </c>
      <c r="F122" s="15" t="s">
        <v>59</v>
      </c>
      <c r="G122" s="15" t="s">
        <v>197</v>
      </c>
      <c r="H122" s="15" t="s">
        <v>198</v>
      </c>
      <c r="I122" s="15" t="s">
        <v>199</v>
      </c>
      <c r="J122" s="16" t="s">
        <v>186</v>
      </c>
      <c r="K122" s="79" t="s">
        <v>200</v>
      </c>
      <c r="L122" s="13"/>
      <c r="M122" s="80" t="s">
        <v>1</v>
      </c>
      <c r="N122" s="81" t="s">
        <v>41</v>
      </c>
      <c r="O122" s="81" t="s">
        <v>201</v>
      </c>
      <c r="P122" s="81" t="s">
        <v>202</v>
      </c>
      <c r="Q122" s="81" t="s">
        <v>203</v>
      </c>
      <c r="R122" s="81" t="s">
        <v>204</v>
      </c>
      <c r="S122" s="81" t="s">
        <v>205</v>
      </c>
      <c r="T122" s="96" t="s">
        <v>206</v>
      </c>
    </row>
    <row r="123" spans="2:65" s="1" customFormat="1" ht="23.1" customHeight="1">
      <c r="B123" s="12"/>
      <c r="C123" s="66" t="s">
        <v>207</v>
      </c>
      <c r="J123" s="82">
        <f>BK123</f>
        <v>420840</v>
      </c>
      <c r="L123" s="12"/>
      <c r="M123" s="83"/>
      <c r="N123" s="35"/>
      <c r="O123" s="35"/>
      <c r="P123" s="84">
        <f>P124</f>
        <v>0</v>
      </c>
      <c r="Q123" s="35"/>
      <c r="R123" s="84">
        <f>R124</f>
        <v>0</v>
      </c>
      <c r="S123" s="35"/>
      <c r="T123" s="97">
        <f>T124</f>
        <v>0</v>
      </c>
      <c r="AT123" s="23" t="s">
        <v>76</v>
      </c>
      <c r="AU123" s="23" t="s">
        <v>188</v>
      </c>
      <c r="BK123" s="102">
        <f>BK124</f>
        <v>420840</v>
      </c>
    </row>
    <row r="124" spans="2:65" s="31" customFormat="1" ht="26.1" customHeight="1">
      <c r="B124" s="67"/>
      <c r="D124" s="68" t="s">
        <v>76</v>
      </c>
      <c r="E124" s="69" t="s">
        <v>352</v>
      </c>
      <c r="F124" s="69" t="s">
        <v>352</v>
      </c>
      <c r="I124" s="85"/>
      <c r="J124" s="86">
        <f>BK124</f>
        <v>420840</v>
      </c>
      <c r="L124" s="67"/>
      <c r="M124" s="87"/>
      <c r="P124" s="88">
        <f>P125+P127</f>
        <v>0</v>
      </c>
      <c r="R124" s="88">
        <f>R125+R127</f>
        <v>0</v>
      </c>
      <c r="T124" s="98">
        <f>T125+T127</f>
        <v>0</v>
      </c>
      <c r="AR124" s="68" t="s">
        <v>85</v>
      </c>
      <c r="AT124" s="100" t="s">
        <v>76</v>
      </c>
      <c r="AU124" s="100" t="s">
        <v>77</v>
      </c>
      <c r="AY124" s="68" t="s">
        <v>211</v>
      </c>
      <c r="BK124" s="103">
        <f>BK125+BK127</f>
        <v>420840</v>
      </c>
    </row>
    <row r="125" spans="2:65" s="31" customFormat="1" ht="23.1" customHeight="1">
      <c r="B125" s="67"/>
      <c r="D125" s="68" t="s">
        <v>76</v>
      </c>
      <c r="E125" s="70" t="s">
        <v>6079</v>
      </c>
      <c r="F125" s="70" t="s">
        <v>6080</v>
      </c>
      <c r="I125" s="85"/>
      <c r="J125" s="89">
        <f>BK125</f>
        <v>52500</v>
      </c>
      <c r="L125" s="67"/>
      <c r="M125" s="87"/>
      <c r="P125" s="88">
        <f>P126</f>
        <v>0</v>
      </c>
      <c r="R125" s="88">
        <f>R126</f>
        <v>0</v>
      </c>
      <c r="T125" s="98">
        <f>T126</f>
        <v>0</v>
      </c>
      <c r="AR125" s="68" t="s">
        <v>85</v>
      </c>
      <c r="AT125" s="100" t="s">
        <v>76</v>
      </c>
      <c r="AU125" s="100" t="s">
        <v>85</v>
      </c>
      <c r="AY125" s="68" t="s">
        <v>211</v>
      </c>
      <c r="BK125" s="103">
        <f>BK126</f>
        <v>52500</v>
      </c>
    </row>
    <row r="126" spans="2:65" s="1" customFormat="1" ht="38.1" customHeight="1">
      <c r="B126" s="12"/>
      <c r="C126" s="71" t="s">
        <v>85</v>
      </c>
      <c r="D126" s="71" t="s">
        <v>214</v>
      </c>
      <c r="E126" s="72" t="s">
        <v>6081</v>
      </c>
      <c r="F126" s="73" t="s">
        <v>6082</v>
      </c>
      <c r="G126" s="74" t="s">
        <v>279</v>
      </c>
      <c r="H126" s="75">
        <v>150</v>
      </c>
      <c r="I126" s="90">
        <v>350</v>
      </c>
      <c r="J126" s="91">
        <f>ROUND(I126*H126,2)</f>
        <v>52500</v>
      </c>
      <c r="K126" s="92"/>
      <c r="L126" s="12"/>
      <c r="M126" s="93" t="s">
        <v>1</v>
      </c>
      <c r="N126" s="94" t="s">
        <v>42</v>
      </c>
      <c r="P126" s="95">
        <f>O126*H126</f>
        <v>0</v>
      </c>
      <c r="Q126" s="95">
        <v>0</v>
      </c>
      <c r="R126" s="95">
        <f>Q126*H126</f>
        <v>0</v>
      </c>
      <c r="S126" s="95">
        <v>0</v>
      </c>
      <c r="T126" s="99">
        <f>S126*H126</f>
        <v>0</v>
      </c>
      <c r="AR126" s="101" t="s">
        <v>218</v>
      </c>
      <c r="AT126" s="101" t="s">
        <v>214</v>
      </c>
      <c r="AU126" s="101" t="s">
        <v>87</v>
      </c>
      <c r="AY126" s="23" t="s">
        <v>211</v>
      </c>
      <c r="BE126" s="104">
        <f>IF(N126="základní",J126,0)</f>
        <v>52500</v>
      </c>
      <c r="BF126" s="104">
        <f>IF(N126="snížená",J126,0)</f>
        <v>0</v>
      </c>
      <c r="BG126" s="104">
        <f>IF(N126="zákl. přenesená",J126,0)</f>
        <v>0</v>
      </c>
      <c r="BH126" s="104">
        <f>IF(N126="sníž. přenesená",J126,0)</f>
        <v>0</v>
      </c>
      <c r="BI126" s="104">
        <f>IF(N126="nulová",J126,0)</f>
        <v>0</v>
      </c>
      <c r="BJ126" s="23" t="s">
        <v>85</v>
      </c>
      <c r="BK126" s="104">
        <f>ROUND(I126*H126,2)</f>
        <v>52500</v>
      </c>
      <c r="BL126" s="23" t="s">
        <v>218</v>
      </c>
      <c r="BM126" s="101" t="s">
        <v>6083</v>
      </c>
    </row>
    <row r="127" spans="2:65" s="31" customFormat="1" ht="23.1" customHeight="1">
      <c r="B127" s="67"/>
      <c r="D127" s="68" t="s">
        <v>76</v>
      </c>
      <c r="E127" s="70" t="s">
        <v>6084</v>
      </c>
      <c r="F127" s="70" t="s">
        <v>6085</v>
      </c>
      <c r="I127" s="85"/>
      <c r="J127" s="89">
        <f>BK127</f>
        <v>368340</v>
      </c>
      <c r="L127" s="67"/>
      <c r="M127" s="87"/>
      <c r="P127" s="88">
        <f>SUM(P128:P141)</f>
        <v>0</v>
      </c>
      <c r="R127" s="88">
        <f>SUM(R128:R141)</f>
        <v>0</v>
      </c>
      <c r="T127" s="98">
        <f>SUM(T128:T141)</f>
        <v>0</v>
      </c>
      <c r="AR127" s="68" t="s">
        <v>85</v>
      </c>
      <c r="AT127" s="100" t="s">
        <v>76</v>
      </c>
      <c r="AU127" s="100" t="s">
        <v>85</v>
      </c>
      <c r="AY127" s="68" t="s">
        <v>211</v>
      </c>
      <c r="BK127" s="103">
        <f>SUM(BK128:BK141)</f>
        <v>368340</v>
      </c>
    </row>
    <row r="128" spans="2:65" s="1" customFormat="1" ht="16.5" customHeight="1">
      <c r="B128" s="12"/>
      <c r="C128" s="71" t="s">
        <v>87</v>
      </c>
      <c r="D128" s="71" t="s">
        <v>214</v>
      </c>
      <c r="E128" s="72" t="s">
        <v>6086</v>
      </c>
      <c r="F128" s="73" t="s">
        <v>6087</v>
      </c>
      <c r="G128" s="74" t="s">
        <v>444</v>
      </c>
      <c r="H128" s="75">
        <v>8</v>
      </c>
      <c r="I128" s="90">
        <v>1000</v>
      </c>
      <c r="J128" s="91">
        <f>ROUND(I128*H128,2)</f>
        <v>8000</v>
      </c>
      <c r="K128" s="92"/>
      <c r="L128" s="12"/>
      <c r="M128" s="93" t="s">
        <v>1</v>
      </c>
      <c r="N128" s="94" t="s">
        <v>42</v>
      </c>
      <c r="P128" s="95">
        <f>O128*H128</f>
        <v>0</v>
      </c>
      <c r="Q128" s="95">
        <v>0</v>
      </c>
      <c r="R128" s="95">
        <f>Q128*H128</f>
        <v>0</v>
      </c>
      <c r="S128" s="95">
        <v>0</v>
      </c>
      <c r="T128" s="99">
        <f>S128*H128</f>
        <v>0</v>
      </c>
      <c r="AR128" s="101" t="s">
        <v>218</v>
      </c>
      <c r="AT128" s="101" t="s">
        <v>214</v>
      </c>
      <c r="AU128" s="101" t="s">
        <v>87</v>
      </c>
      <c r="AY128" s="23" t="s">
        <v>211</v>
      </c>
      <c r="BE128" s="104">
        <f>IF(N128="základní",J128,0)</f>
        <v>8000</v>
      </c>
      <c r="BF128" s="104">
        <f>IF(N128="snížená",J128,0)</f>
        <v>0</v>
      </c>
      <c r="BG128" s="104">
        <f>IF(N128="zákl. přenesená",J128,0)</f>
        <v>0</v>
      </c>
      <c r="BH128" s="104">
        <f>IF(N128="sníž. přenesená",J128,0)</f>
        <v>0</v>
      </c>
      <c r="BI128" s="104">
        <f>IF(N128="nulová",J128,0)</f>
        <v>0</v>
      </c>
      <c r="BJ128" s="23" t="s">
        <v>85</v>
      </c>
      <c r="BK128" s="104">
        <f>ROUND(I128*H128,2)</f>
        <v>8000</v>
      </c>
      <c r="BL128" s="23" t="s">
        <v>218</v>
      </c>
      <c r="BM128" s="101" t="s">
        <v>6088</v>
      </c>
    </row>
    <row r="129" spans="2:65" s="1" customFormat="1" ht="57.6">
      <c r="B129" s="12"/>
      <c r="D129" s="105" t="s">
        <v>227</v>
      </c>
      <c r="F129" s="106" t="s">
        <v>6089</v>
      </c>
      <c r="I129" s="107"/>
      <c r="L129" s="12"/>
      <c r="M129" s="108"/>
      <c r="T129" s="111"/>
      <c r="AT129" s="23" t="s">
        <v>227</v>
      </c>
      <c r="AU129" s="23" t="s">
        <v>87</v>
      </c>
    </row>
    <row r="130" spans="2:65" s="1" customFormat="1" ht="16.5" customHeight="1">
      <c r="B130" s="12"/>
      <c r="C130" s="71" t="s">
        <v>137</v>
      </c>
      <c r="D130" s="71" t="s">
        <v>214</v>
      </c>
      <c r="E130" s="72" t="s">
        <v>6090</v>
      </c>
      <c r="F130" s="73" t="s">
        <v>6091</v>
      </c>
      <c r="G130" s="74" t="s">
        <v>444</v>
      </c>
      <c r="H130" s="75">
        <v>174</v>
      </c>
      <c r="I130" s="90">
        <v>700</v>
      </c>
      <c r="J130" s="91">
        <f>ROUND(I130*H130,2)</f>
        <v>121800</v>
      </c>
      <c r="K130" s="92"/>
      <c r="L130" s="12"/>
      <c r="M130" s="93" t="s">
        <v>1</v>
      </c>
      <c r="N130" s="94" t="s">
        <v>42</v>
      </c>
      <c r="P130" s="95">
        <f>O130*H130</f>
        <v>0</v>
      </c>
      <c r="Q130" s="95">
        <v>0</v>
      </c>
      <c r="R130" s="95">
        <f>Q130*H130</f>
        <v>0</v>
      </c>
      <c r="S130" s="95">
        <v>0</v>
      </c>
      <c r="T130" s="99">
        <f>S130*H130</f>
        <v>0</v>
      </c>
      <c r="AR130" s="101" t="s">
        <v>218</v>
      </c>
      <c r="AT130" s="101" t="s">
        <v>214</v>
      </c>
      <c r="AU130" s="101" t="s">
        <v>87</v>
      </c>
      <c r="AY130" s="23" t="s">
        <v>211</v>
      </c>
      <c r="BE130" s="104">
        <f>IF(N130="základní",J130,0)</f>
        <v>121800</v>
      </c>
      <c r="BF130" s="104">
        <f>IF(N130="snížená",J130,0)</f>
        <v>0</v>
      </c>
      <c r="BG130" s="104">
        <f>IF(N130="zákl. přenesená",J130,0)</f>
        <v>0</v>
      </c>
      <c r="BH130" s="104">
        <f>IF(N130="sníž. přenesená",J130,0)</f>
        <v>0</v>
      </c>
      <c r="BI130" s="104">
        <f>IF(N130="nulová",J130,0)</f>
        <v>0</v>
      </c>
      <c r="BJ130" s="23" t="s">
        <v>85</v>
      </c>
      <c r="BK130" s="104">
        <f>ROUND(I130*H130,2)</f>
        <v>121800</v>
      </c>
      <c r="BL130" s="23" t="s">
        <v>218</v>
      </c>
      <c r="BM130" s="101" t="s">
        <v>6092</v>
      </c>
    </row>
    <row r="131" spans="2:65" s="1" customFormat="1" ht="57.6">
      <c r="B131" s="12"/>
      <c r="D131" s="105" t="s">
        <v>227</v>
      </c>
      <c r="F131" s="106" t="s">
        <v>6093</v>
      </c>
      <c r="I131" s="107"/>
      <c r="L131" s="12"/>
      <c r="M131" s="108"/>
      <c r="T131" s="111"/>
      <c r="AT131" s="23" t="s">
        <v>227</v>
      </c>
      <c r="AU131" s="23" t="s">
        <v>87</v>
      </c>
    </row>
    <row r="132" spans="2:65" s="1" customFormat="1" ht="16.5" customHeight="1">
      <c r="B132" s="12"/>
      <c r="C132" s="71" t="s">
        <v>218</v>
      </c>
      <c r="D132" s="71" t="s">
        <v>214</v>
      </c>
      <c r="E132" s="72" t="s">
        <v>6094</v>
      </c>
      <c r="F132" s="73" t="s">
        <v>6095</v>
      </c>
      <c r="G132" s="74" t="s">
        <v>279</v>
      </c>
      <c r="H132" s="75">
        <v>672</v>
      </c>
      <c r="I132" s="90">
        <v>300</v>
      </c>
      <c r="J132" s="91">
        <f>ROUND(I132*H132,2)</f>
        <v>201600</v>
      </c>
      <c r="K132" s="92"/>
      <c r="L132" s="12"/>
      <c r="M132" s="93" t="s">
        <v>1</v>
      </c>
      <c r="N132" s="94" t="s">
        <v>42</v>
      </c>
      <c r="P132" s="95">
        <f>O132*H132</f>
        <v>0</v>
      </c>
      <c r="Q132" s="95">
        <v>0</v>
      </c>
      <c r="R132" s="95">
        <f>Q132*H132</f>
        <v>0</v>
      </c>
      <c r="S132" s="95">
        <v>0</v>
      </c>
      <c r="T132" s="99">
        <f>S132*H132</f>
        <v>0</v>
      </c>
      <c r="AR132" s="101" t="s">
        <v>218</v>
      </c>
      <c r="AT132" s="101" t="s">
        <v>214</v>
      </c>
      <c r="AU132" s="101" t="s">
        <v>87</v>
      </c>
      <c r="AY132" s="23" t="s">
        <v>211</v>
      </c>
      <c r="BE132" s="104">
        <f>IF(N132="základní",J132,0)</f>
        <v>201600</v>
      </c>
      <c r="BF132" s="104">
        <f>IF(N132="snížená",J132,0)</f>
        <v>0</v>
      </c>
      <c r="BG132" s="104">
        <f>IF(N132="zákl. přenesená",J132,0)</f>
        <v>0</v>
      </c>
      <c r="BH132" s="104">
        <f>IF(N132="sníž. přenesená",J132,0)</f>
        <v>0</v>
      </c>
      <c r="BI132" s="104">
        <f>IF(N132="nulová",J132,0)</f>
        <v>0</v>
      </c>
      <c r="BJ132" s="23" t="s">
        <v>85</v>
      </c>
      <c r="BK132" s="104">
        <f>ROUND(I132*H132,2)</f>
        <v>201600</v>
      </c>
      <c r="BL132" s="23" t="s">
        <v>218</v>
      </c>
      <c r="BM132" s="101" t="s">
        <v>6096</v>
      </c>
    </row>
    <row r="133" spans="2:65" s="1" customFormat="1" ht="86.4">
      <c r="B133" s="12"/>
      <c r="D133" s="105" t="s">
        <v>227</v>
      </c>
      <c r="F133" s="106" t="s">
        <v>6097</v>
      </c>
      <c r="I133" s="107"/>
      <c r="L133" s="12"/>
      <c r="M133" s="108"/>
      <c r="T133" s="111"/>
      <c r="AT133" s="23" t="s">
        <v>227</v>
      </c>
      <c r="AU133" s="23" t="s">
        <v>87</v>
      </c>
    </row>
    <row r="134" spans="2:65" s="1" customFormat="1" ht="21.75" customHeight="1">
      <c r="B134" s="12"/>
      <c r="C134" s="71" t="s">
        <v>210</v>
      </c>
      <c r="D134" s="71" t="s">
        <v>214</v>
      </c>
      <c r="E134" s="72" t="s">
        <v>6098</v>
      </c>
      <c r="F134" s="73" t="s">
        <v>6099</v>
      </c>
      <c r="G134" s="74" t="s">
        <v>279</v>
      </c>
      <c r="H134" s="75">
        <v>50</v>
      </c>
      <c r="I134" s="90">
        <v>290</v>
      </c>
      <c r="J134" s="91">
        <f>ROUND(I134*H134,2)</f>
        <v>14500</v>
      </c>
      <c r="K134" s="92"/>
      <c r="L134" s="12"/>
      <c r="M134" s="93" t="s">
        <v>1</v>
      </c>
      <c r="N134" s="94" t="s">
        <v>42</v>
      </c>
      <c r="P134" s="95">
        <f>O134*H134</f>
        <v>0</v>
      </c>
      <c r="Q134" s="95">
        <v>0</v>
      </c>
      <c r="R134" s="95">
        <f>Q134*H134</f>
        <v>0</v>
      </c>
      <c r="S134" s="95">
        <v>0</v>
      </c>
      <c r="T134" s="99">
        <f>S134*H134</f>
        <v>0</v>
      </c>
      <c r="AR134" s="101" t="s">
        <v>218</v>
      </c>
      <c r="AT134" s="101" t="s">
        <v>214</v>
      </c>
      <c r="AU134" s="101" t="s">
        <v>87</v>
      </c>
      <c r="AY134" s="23" t="s">
        <v>211</v>
      </c>
      <c r="BE134" s="104">
        <f>IF(N134="základní",J134,0)</f>
        <v>14500</v>
      </c>
      <c r="BF134" s="104">
        <f>IF(N134="snížená",J134,0)</f>
        <v>0</v>
      </c>
      <c r="BG134" s="104">
        <f>IF(N134="zákl. přenesená",J134,0)</f>
        <v>0</v>
      </c>
      <c r="BH134" s="104">
        <f>IF(N134="sníž. přenesená",J134,0)</f>
        <v>0</v>
      </c>
      <c r="BI134" s="104">
        <f>IF(N134="nulová",J134,0)</f>
        <v>0</v>
      </c>
      <c r="BJ134" s="23" t="s">
        <v>85</v>
      </c>
      <c r="BK134" s="104">
        <f>ROUND(I134*H134,2)</f>
        <v>14500</v>
      </c>
      <c r="BL134" s="23" t="s">
        <v>218</v>
      </c>
      <c r="BM134" s="101" t="s">
        <v>6100</v>
      </c>
    </row>
    <row r="135" spans="2:65" s="1" customFormat="1" ht="38.4">
      <c r="B135" s="12"/>
      <c r="D135" s="105" t="s">
        <v>227</v>
      </c>
      <c r="F135" s="106" t="s">
        <v>6101</v>
      </c>
      <c r="I135" s="107"/>
      <c r="L135" s="12"/>
      <c r="M135" s="108"/>
      <c r="T135" s="111"/>
      <c r="AT135" s="23" t="s">
        <v>227</v>
      </c>
      <c r="AU135" s="23" t="s">
        <v>87</v>
      </c>
    </row>
    <row r="136" spans="2:65" s="1" customFormat="1" ht="16.5" customHeight="1">
      <c r="B136" s="12"/>
      <c r="C136" s="71" t="s">
        <v>239</v>
      </c>
      <c r="D136" s="71" t="s">
        <v>214</v>
      </c>
      <c r="E136" s="72" t="s">
        <v>6102</v>
      </c>
      <c r="F136" s="73" t="s">
        <v>6103</v>
      </c>
      <c r="G136" s="74" t="s">
        <v>234</v>
      </c>
      <c r="H136" s="75">
        <v>1</v>
      </c>
      <c r="I136" s="90">
        <v>8000</v>
      </c>
      <c r="J136" s="91">
        <f>ROUND(I136*H136,2)</f>
        <v>8000</v>
      </c>
      <c r="K136" s="92"/>
      <c r="L136" s="12"/>
      <c r="M136" s="93" t="s">
        <v>1</v>
      </c>
      <c r="N136" s="94" t="s">
        <v>42</v>
      </c>
      <c r="P136" s="95">
        <f>O136*H136</f>
        <v>0</v>
      </c>
      <c r="Q136" s="95">
        <v>0</v>
      </c>
      <c r="R136" s="95">
        <f>Q136*H136</f>
        <v>0</v>
      </c>
      <c r="S136" s="95">
        <v>0</v>
      </c>
      <c r="T136" s="99">
        <f>S136*H136</f>
        <v>0</v>
      </c>
      <c r="AR136" s="101" t="s">
        <v>218</v>
      </c>
      <c r="AT136" s="101" t="s">
        <v>214</v>
      </c>
      <c r="AU136" s="101" t="s">
        <v>87</v>
      </c>
      <c r="AY136" s="23" t="s">
        <v>211</v>
      </c>
      <c r="BE136" s="104">
        <f>IF(N136="základní",J136,0)</f>
        <v>8000</v>
      </c>
      <c r="BF136" s="104">
        <f>IF(N136="snížená",J136,0)</f>
        <v>0</v>
      </c>
      <c r="BG136" s="104">
        <f>IF(N136="zákl. přenesená",J136,0)</f>
        <v>0</v>
      </c>
      <c r="BH136" s="104">
        <f>IF(N136="sníž. přenesená",J136,0)</f>
        <v>0</v>
      </c>
      <c r="BI136" s="104">
        <f>IF(N136="nulová",J136,0)</f>
        <v>0</v>
      </c>
      <c r="BJ136" s="23" t="s">
        <v>85</v>
      </c>
      <c r="BK136" s="104">
        <f>ROUND(I136*H136,2)</f>
        <v>8000</v>
      </c>
      <c r="BL136" s="23" t="s">
        <v>218</v>
      </c>
      <c r="BM136" s="101" t="s">
        <v>6104</v>
      </c>
    </row>
    <row r="137" spans="2:65" s="1" customFormat="1" ht="48">
      <c r="B137" s="12"/>
      <c r="D137" s="105" t="s">
        <v>227</v>
      </c>
      <c r="F137" s="106" t="s">
        <v>6105</v>
      </c>
      <c r="I137" s="107"/>
      <c r="L137" s="12"/>
      <c r="M137" s="108"/>
      <c r="T137" s="111"/>
      <c r="AT137" s="23" t="s">
        <v>227</v>
      </c>
      <c r="AU137" s="23" t="s">
        <v>87</v>
      </c>
    </row>
    <row r="138" spans="2:65" s="1" customFormat="1" ht="16.5" customHeight="1">
      <c r="B138" s="12"/>
      <c r="C138" s="71" t="s">
        <v>245</v>
      </c>
      <c r="D138" s="71" t="s">
        <v>214</v>
      </c>
      <c r="E138" s="72" t="s">
        <v>6106</v>
      </c>
      <c r="F138" s="73" t="s">
        <v>6107</v>
      </c>
      <c r="G138" s="74" t="s">
        <v>808</v>
      </c>
      <c r="H138" s="75">
        <v>2</v>
      </c>
      <c r="I138" s="90">
        <v>500</v>
      </c>
      <c r="J138" s="91">
        <f>ROUND(I138*H138,2)</f>
        <v>1000</v>
      </c>
      <c r="K138" s="92"/>
      <c r="L138" s="12"/>
      <c r="M138" s="93" t="s">
        <v>1</v>
      </c>
      <c r="N138" s="94" t="s">
        <v>42</v>
      </c>
      <c r="P138" s="95">
        <f>O138*H138</f>
        <v>0</v>
      </c>
      <c r="Q138" s="95">
        <v>0</v>
      </c>
      <c r="R138" s="95">
        <f>Q138*H138</f>
        <v>0</v>
      </c>
      <c r="S138" s="95">
        <v>0</v>
      </c>
      <c r="T138" s="99">
        <f>S138*H138</f>
        <v>0</v>
      </c>
      <c r="AR138" s="101" t="s">
        <v>218</v>
      </c>
      <c r="AT138" s="101" t="s">
        <v>214</v>
      </c>
      <c r="AU138" s="101" t="s">
        <v>87</v>
      </c>
      <c r="AY138" s="23" t="s">
        <v>211</v>
      </c>
      <c r="BE138" s="104">
        <f>IF(N138="základní",J138,0)</f>
        <v>1000</v>
      </c>
      <c r="BF138" s="104">
        <f>IF(N138="snížená",J138,0)</f>
        <v>0</v>
      </c>
      <c r="BG138" s="104">
        <f>IF(N138="zákl. přenesená",J138,0)</f>
        <v>0</v>
      </c>
      <c r="BH138" s="104">
        <f>IF(N138="sníž. přenesená",J138,0)</f>
        <v>0</v>
      </c>
      <c r="BI138" s="104">
        <f>IF(N138="nulová",J138,0)</f>
        <v>0</v>
      </c>
      <c r="BJ138" s="23" t="s">
        <v>85</v>
      </c>
      <c r="BK138" s="104">
        <f>ROUND(I138*H138,2)</f>
        <v>1000</v>
      </c>
      <c r="BL138" s="23" t="s">
        <v>218</v>
      </c>
      <c r="BM138" s="101" t="s">
        <v>6108</v>
      </c>
    </row>
    <row r="139" spans="2:65" s="1" customFormat="1" ht="28.8">
      <c r="B139" s="12"/>
      <c r="D139" s="105" t="s">
        <v>227</v>
      </c>
      <c r="F139" s="106" t="s">
        <v>6109</v>
      </c>
      <c r="I139" s="107"/>
      <c r="L139" s="12"/>
      <c r="M139" s="108"/>
      <c r="T139" s="111"/>
      <c r="AT139" s="23" t="s">
        <v>227</v>
      </c>
      <c r="AU139" s="23" t="s">
        <v>87</v>
      </c>
    </row>
    <row r="140" spans="2:65" s="1" customFormat="1" ht="21.75" customHeight="1">
      <c r="B140" s="12"/>
      <c r="C140" s="71" t="s">
        <v>250</v>
      </c>
      <c r="D140" s="71" t="s">
        <v>214</v>
      </c>
      <c r="E140" s="72" t="s">
        <v>6110</v>
      </c>
      <c r="F140" s="73" t="s">
        <v>6111</v>
      </c>
      <c r="G140" s="74" t="s">
        <v>279</v>
      </c>
      <c r="H140" s="75">
        <v>672</v>
      </c>
      <c r="I140" s="90">
        <v>20</v>
      </c>
      <c r="J140" s="91">
        <f>ROUND(I140*H140,2)</f>
        <v>13440</v>
      </c>
      <c r="K140" s="92"/>
      <c r="L140" s="12"/>
      <c r="M140" s="93" t="s">
        <v>1</v>
      </c>
      <c r="N140" s="94" t="s">
        <v>42</v>
      </c>
      <c r="P140" s="95">
        <f>O140*H140</f>
        <v>0</v>
      </c>
      <c r="Q140" s="95">
        <v>0</v>
      </c>
      <c r="R140" s="95">
        <f>Q140*H140</f>
        <v>0</v>
      </c>
      <c r="S140" s="95">
        <v>0</v>
      </c>
      <c r="T140" s="99">
        <f>S140*H140</f>
        <v>0</v>
      </c>
      <c r="AR140" s="101" t="s">
        <v>218</v>
      </c>
      <c r="AT140" s="101" t="s">
        <v>214</v>
      </c>
      <c r="AU140" s="101" t="s">
        <v>87</v>
      </c>
      <c r="AY140" s="23" t="s">
        <v>211</v>
      </c>
      <c r="BE140" s="104">
        <f>IF(N140="základní",J140,0)</f>
        <v>13440</v>
      </c>
      <c r="BF140" s="104">
        <f>IF(N140="snížená",J140,0)</f>
        <v>0</v>
      </c>
      <c r="BG140" s="104">
        <f>IF(N140="zákl. přenesená",J140,0)</f>
        <v>0</v>
      </c>
      <c r="BH140" s="104">
        <f>IF(N140="sníž. přenesená",J140,0)</f>
        <v>0</v>
      </c>
      <c r="BI140" s="104">
        <f>IF(N140="nulová",J140,0)</f>
        <v>0</v>
      </c>
      <c r="BJ140" s="23" t="s">
        <v>85</v>
      </c>
      <c r="BK140" s="104">
        <f>ROUND(I140*H140,2)</f>
        <v>13440</v>
      </c>
      <c r="BL140" s="23" t="s">
        <v>218</v>
      </c>
      <c r="BM140" s="101" t="s">
        <v>6112</v>
      </c>
    </row>
    <row r="141" spans="2:65" s="1" customFormat="1" ht="28.8">
      <c r="B141" s="12"/>
      <c r="D141" s="105" t="s">
        <v>227</v>
      </c>
      <c r="F141" s="106" t="s">
        <v>6109</v>
      </c>
      <c r="I141" s="107"/>
      <c r="L141" s="12"/>
      <c r="M141" s="109"/>
      <c r="N141" s="110"/>
      <c r="O141" s="110"/>
      <c r="P141" s="110"/>
      <c r="Q141" s="110"/>
      <c r="R141" s="110"/>
      <c r="S141" s="110"/>
      <c r="T141" s="112"/>
      <c r="AT141" s="23" t="s">
        <v>227</v>
      </c>
      <c r="AU141" s="23" t="s">
        <v>87</v>
      </c>
    </row>
    <row r="142" spans="2:65" s="1" customFormat="1" ht="6.9" customHeight="1">
      <c r="B142" s="26"/>
      <c r="C142" s="27"/>
      <c r="D142" s="27"/>
      <c r="E142" s="27"/>
      <c r="F142" s="27"/>
      <c r="G142" s="27"/>
      <c r="H142" s="27"/>
      <c r="I142" s="27"/>
      <c r="J142" s="27"/>
      <c r="K142" s="27"/>
      <c r="L142" s="12"/>
    </row>
  </sheetData>
  <autoFilter ref="C122:K141" xr:uid="{00000000-0009-0000-0000-00001C000000}"/>
  <mergeCells count="12">
    <mergeCell ref="L2:V2"/>
    <mergeCell ref="E7:H7"/>
    <mergeCell ref="E9:H9"/>
    <mergeCell ref="E11:H11"/>
    <mergeCell ref="E20:H20"/>
    <mergeCell ref="E113:H113"/>
    <mergeCell ref="E115:H115"/>
    <mergeCell ref="E29:H29"/>
    <mergeCell ref="E85:H85"/>
    <mergeCell ref="E87:H87"/>
    <mergeCell ref="E89:H89"/>
    <mergeCell ref="E111:H111"/>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B1:H270"/>
  <sheetViews>
    <sheetView showGridLines="0" topLeftCell="A10" workbookViewId="0">
      <selection activeCell="I19" sqref="I19"/>
    </sheetView>
  </sheetViews>
  <sheetFormatPr defaultColWidth="8.7109375" defaultRowHeight="10.199999999999999"/>
  <cols>
    <col min="1" max="1" width="8.140625" customWidth="1"/>
    <col min="2" max="2" width="1.7109375" customWidth="1"/>
    <col min="3" max="3" width="25" customWidth="1"/>
    <col min="4" max="4" width="75.7109375" customWidth="1"/>
    <col min="5" max="5" width="13.140625" customWidth="1"/>
    <col min="6" max="6" width="20" customWidth="1"/>
    <col min="7" max="7" width="1.7109375" customWidth="1"/>
    <col min="8" max="8" width="8.140625" customWidth="1"/>
  </cols>
  <sheetData>
    <row r="1" spans="2:8" ht="11.25" customHeight="1"/>
    <row r="2" spans="2:8" ht="36.9" customHeight="1"/>
    <row r="3" spans="2:8" ht="6.9" customHeight="1">
      <c r="B3" s="3"/>
      <c r="C3" s="4"/>
      <c r="D3" s="4"/>
      <c r="E3" s="4"/>
      <c r="F3" s="4"/>
      <c r="G3" s="4"/>
      <c r="H3" s="5"/>
    </row>
    <row r="4" spans="2:8" ht="24.9" customHeight="1">
      <c r="B4" s="5"/>
      <c r="C4" s="6" t="s">
        <v>6113</v>
      </c>
      <c r="H4" s="5"/>
    </row>
    <row r="5" spans="2:8" ht="12" customHeight="1">
      <c r="B5" s="5"/>
      <c r="C5" s="7" t="s">
        <v>13</v>
      </c>
      <c r="D5" s="388" t="s">
        <v>14</v>
      </c>
      <c r="E5" s="383"/>
      <c r="F5" s="383"/>
      <c r="H5" s="5"/>
    </row>
    <row r="6" spans="2:8" ht="36.9" customHeight="1">
      <c r="B6" s="5"/>
      <c r="C6" s="9" t="s">
        <v>16</v>
      </c>
      <c r="D6" s="385" t="s">
        <v>17</v>
      </c>
      <c r="E6" s="383"/>
      <c r="F6" s="383"/>
      <c r="H6" s="5"/>
    </row>
    <row r="7" spans="2:8" ht="16.5" customHeight="1">
      <c r="B7" s="5"/>
      <c r="C7" s="10" t="s">
        <v>22</v>
      </c>
      <c r="D7" s="11">
        <f>'Rekapitulace stavby'!AN8</f>
        <v>45000</v>
      </c>
      <c r="H7" s="5"/>
    </row>
    <row r="8" spans="2:8" s="1" customFormat="1" ht="11.1" customHeight="1">
      <c r="B8" s="12"/>
      <c r="H8" s="12"/>
    </row>
    <row r="9" spans="2:8" s="2" customFormat="1" ht="29.25" customHeight="1">
      <c r="B9" s="13"/>
      <c r="C9" s="14" t="s">
        <v>58</v>
      </c>
      <c r="D9" s="15" t="s">
        <v>59</v>
      </c>
      <c r="E9" s="15" t="s">
        <v>197</v>
      </c>
      <c r="F9" s="16" t="s">
        <v>6114</v>
      </c>
      <c r="H9" s="13"/>
    </row>
    <row r="10" spans="2:8" s="1" customFormat="1" ht="26.4" customHeight="1">
      <c r="B10" s="12"/>
      <c r="C10" s="17" t="s">
        <v>6115</v>
      </c>
      <c r="D10" s="17" t="s">
        <v>93</v>
      </c>
      <c r="H10" s="12"/>
    </row>
    <row r="11" spans="2:8" s="1" customFormat="1" ht="17.100000000000001" customHeight="1">
      <c r="B11" s="12"/>
      <c r="C11" s="18" t="s">
        <v>278</v>
      </c>
      <c r="D11" s="19" t="s">
        <v>1</v>
      </c>
      <c r="E11" s="20" t="s">
        <v>279</v>
      </c>
      <c r="F11" s="21">
        <v>181.94</v>
      </c>
      <c r="H11" s="12"/>
    </row>
    <row r="12" spans="2:8" s="1" customFormat="1" ht="17.100000000000001" customHeight="1">
      <c r="B12" s="12"/>
      <c r="C12" s="22" t="s">
        <v>1</v>
      </c>
      <c r="D12" s="22" t="s">
        <v>3275</v>
      </c>
      <c r="E12" s="23" t="s">
        <v>1</v>
      </c>
      <c r="F12" s="24">
        <v>0</v>
      </c>
      <c r="H12" s="12"/>
    </row>
    <row r="13" spans="2:8" s="1" customFormat="1" ht="17.100000000000001" customHeight="1">
      <c r="B13" s="12"/>
      <c r="C13" s="22" t="s">
        <v>1</v>
      </c>
      <c r="D13" s="22" t="s">
        <v>3276</v>
      </c>
      <c r="E13" s="23" t="s">
        <v>1</v>
      </c>
      <c r="F13" s="24">
        <v>46.39</v>
      </c>
      <c r="H13" s="12"/>
    </row>
    <row r="14" spans="2:8" s="1" customFormat="1" ht="17.100000000000001" customHeight="1">
      <c r="B14" s="12"/>
      <c r="C14" s="22" t="s">
        <v>1</v>
      </c>
      <c r="D14" s="22" t="s">
        <v>3277</v>
      </c>
      <c r="E14" s="23" t="s">
        <v>1</v>
      </c>
      <c r="F14" s="24">
        <v>50.01</v>
      </c>
      <c r="H14" s="12"/>
    </row>
    <row r="15" spans="2:8" s="1" customFormat="1" ht="17.100000000000001" customHeight="1">
      <c r="B15" s="12"/>
      <c r="C15" s="22" t="s">
        <v>1</v>
      </c>
      <c r="D15" s="22" t="s">
        <v>3278</v>
      </c>
      <c r="E15" s="23" t="s">
        <v>1</v>
      </c>
      <c r="F15" s="24">
        <v>42.89</v>
      </c>
      <c r="H15" s="12"/>
    </row>
    <row r="16" spans="2:8" s="1" customFormat="1" ht="17.100000000000001" customHeight="1">
      <c r="B16" s="12"/>
      <c r="C16" s="22" t="s">
        <v>1</v>
      </c>
      <c r="D16" s="22" t="s">
        <v>3279</v>
      </c>
      <c r="E16" s="23" t="s">
        <v>1</v>
      </c>
      <c r="F16" s="24">
        <v>42.65</v>
      </c>
      <c r="H16" s="12"/>
    </row>
    <row r="17" spans="2:8" s="1" customFormat="1" ht="17.100000000000001" customHeight="1">
      <c r="B17" s="12"/>
      <c r="C17" s="22" t="s">
        <v>278</v>
      </c>
      <c r="D17" s="22" t="s">
        <v>741</v>
      </c>
      <c r="E17" s="23" t="s">
        <v>1</v>
      </c>
      <c r="F17" s="24">
        <v>181.94</v>
      </c>
      <c r="H17" s="12"/>
    </row>
    <row r="18" spans="2:8" s="1" customFormat="1" ht="17.100000000000001" customHeight="1">
      <c r="B18" s="12"/>
      <c r="C18" s="25" t="s">
        <v>6116</v>
      </c>
      <c r="H18" s="12"/>
    </row>
    <row r="19" spans="2:8" s="1" customFormat="1" ht="30.6">
      <c r="B19" s="12"/>
      <c r="C19" s="22" t="s">
        <v>3272</v>
      </c>
      <c r="D19" s="22" t="s">
        <v>3273</v>
      </c>
      <c r="E19" s="23" t="s">
        <v>279</v>
      </c>
      <c r="F19" s="24">
        <v>181.94</v>
      </c>
      <c r="H19" s="12"/>
    </row>
    <row r="20" spans="2:8" s="1" customFormat="1" ht="30.6">
      <c r="B20" s="12"/>
      <c r="C20" s="22" t="s">
        <v>1207</v>
      </c>
      <c r="D20" s="22" t="s">
        <v>1208</v>
      </c>
      <c r="E20" s="23" t="s">
        <v>279</v>
      </c>
      <c r="F20" s="24">
        <v>352.04</v>
      </c>
      <c r="H20" s="12"/>
    </row>
    <row r="21" spans="2:8" s="1" customFormat="1" ht="17.100000000000001" customHeight="1">
      <c r="B21" s="12"/>
      <c r="C21" s="18" t="s">
        <v>6117</v>
      </c>
      <c r="D21" s="19" t="s">
        <v>1</v>
      </c>
      <c r="E21" s="20" t="s">
        <v>279</v>
      </c>
      <c r="F21" s="21">
        <v>1114.92</v>
      </c>
      <c r="H21" s="12"/>
    </row>
    <row r="22" spans="2:8" s="1" customFormat="1" ht="17.100000000000001" customHeight="1">
      <c r="B22" s="12"/>
      <c r="C22" s="18" t="s">
        <v>3591</v>
      </c>
      <c r="D22" s="19" t="s">
        <v>1</v>
      </c>
      <c r="E22" s="20" t="s">
        <v>279</v>
      </c>
      <c r="F22" s="21">
        <v>233.24</v>
      </c>
      <c r="H22" s="12"/>
    </row>
    <row r="23" spans="2:8" s="1" customFormat="1" ht="17.100000000000001" customHeight="1">
      <c r="B23" s="12"/>
      <c r="C23" s="22" t="s">
        <v>1</v>
      </c>
      <c r="D23" s="22" t="s">
        <v>3586</v>
      </c>
      <c r="E23" s="23" t="s">
        <v>1</v>
      </c>
      <c r="F23" s="24">
        <v>0</v>
      </c>
      <c r="H23" s="12"/>
    </row>
    <row r="24" spans="2:8" s="1" customFormat="1" ht="17.100000000000001" customHeight="1">
      <c r="B24" s="12"/>
      <c r="C24" s="22" t="s">
        <v>1</v>
      </c>
      <c r="D24" s="22" t="s">
        <v>866</v>
      </c>
      <c r="E24" s="23" t="s">
        <v>1</v>
      </c>
      <c r="F24" s="24">
        <v>0</v>
      </c>
      <c r="H24" s="12"/>
    </row>
    <row r="25" spans="2:8" s="1" customFormat="1" ht="17.100000000000001" customHeight="1">
      <c r="B25" s="12"/>
      <c r="C25" s="22" t="s">
        <v>1</v>
      </c>
      <c r="D25" s="22" t="s">
        <v>3587</v>
      </c>
      <c r="E25" s="23" t="s">
        <v>1</v>
      </c>
      <c r="F25" s="24">
        <v>42.64</v>
      </c>
      <c r="H25" s="12"/>
    </row>
    <row r="26" spans="2:8" s="1" customFormat="1" ht="17.100000000000001" customHeight="1">
      <c r="B26" s="12"/>
      <c r="C26" s="22" t="s">
        <v>1</v>
      </c>
      <c r="D26" s="22" t="s">
        <v>868</v>
      </c>
      <c r="E26" s="23" t="s">
        <v>1</v>
      </c>
      <c r="F26" s="24">
        <v>0</v>
      </c>
      <c r="H26" s="12"/>
    </row>
    <row r="27" spans="2:8" s="1" customFormat="1" ht="17.100000000000001" customHeight="1">
      <c r="B27" s="12"/>
      <c r="C27" s="22" t="s">
        <v>1</v>
      </c>
      <c r="D27" s="22" t="s">
        <v>3588</v>
      </c>
      <c r="E27" s="23" t="s">
        <v>1</v>
      </c>
      <c r="F27" s="24">
        <v>65.790000000000006</v>
      </c>
      <c r="H27" s="12"/>
    </row>
    <row r="28" spans="2:8" s="1" customFormat="1" ht="17.100000000000001" customHeight="1">
      <c r="B28" s="12"/>
      <c r="C28" s="22" t="s">
        <v>1</v>
      </c>
      <c r="D28" s="22" t="s">
        <v>870</v>
      </c>
      <c r="E28" s="23" t="s">
        <v>1</v>
      </c>
      <c r="F28" s="24">
        <v>0</v>
      </c>
      <c r="H28" s="12"/>
    </row>
    <row r="29" spans="2:8" s="1" customFormat="1" ht="17.100000000000001" customHeight="1">
      <c r="B29" s="12"/>
      <c r="C29" s="22" t="s">
        <v>1</v>
      </c>
      <c r="D29" s="22" t="s">
        <v>3589</v>
      </c>
      <c r="E29" s="23" t="s">
        <v>1</v>
      </c>
      <c r="F29" s="24">
        <v>56.76</v>
      </c>
      <c r="H29" s="12"/>
    </row>
    <row r="30" spans="2:8" s="1" customFormat="1" ht="17.100000000000001" customHeight="1">
      <c r="B30" s="12"/>
      <c r="C30" s="22" t="s">
        <v>1</v>
      </c>
      <c r="D30" s="22" t="s">
        <v>872</v>
      </c>
      <c r="E30" s="23" t="s">
        <v>1</v>
      </c>
      <c r="F30" s="24">
        <v>0</v>
      </c>
      <c r="H30" s="12"/>
    </row>
    <row r="31" spans="2:8" s="1" customFormat="1" ht="17.100000000000001" customHeight="1">
      <c r="B31" s="12"/>
      <c r="C31" s="22" t="s">
        <v>1</v>
      </c>
      <c r="D31" s="22" t="s">
        <v>3590</v>
      </c>
      <c r="E31" s="23" t="s">
        <v>1</v>
      </c>
      <c r="F31" s="24">
        <v>68.05</v>
      </c>
      <c r="H31" s="12"/>
    </row>
    <row r="32" spans="2:8" s="1" customFormat="1" ht="17.100000000000001" customHeight="1">
      <c r="B32" s="12"/>
      <c r="C32" s="22" t="s">
        <v>3591</v>
      </c>
      <c r="D32" s="22" t="s">
        <v>741</v>
      </c>
      <c r="E32" s="23" t="s">
        <v>1</v>
      </c>
      <c r="F32" s="24">
        <v>233.24</v>
      </c>
      <c r="H32" s="12"/>
    </row>
    <row r="33" spans="2:8" s="1" customFormat="1" ht="17.100000000000001" customHeight="1">
      <c r="B33" s="12"/>
      <c r="C33" s="18" t="s">
        <v>3595</v>
      </c>
      <c r="D33" s="19" t="s">
        <v>1</v>
      </c>
      <c r="E33" s="20" t="s">
        <v>279</v>
      </c>
      <c r="F33" s="21">
        <v>5.33</v>
      </c>
      <c r="H33" s="12"/>
    </row>
    <row r="34" spans="2:8" s="1" customFormat="1" ht="17.100000000000001" customHeight="1">
      <c r="B34" s="12"/>
      <c r="C34" s="22" t="s">
        <v>1</v>
      </c>
      <c r="D34" s="22" t="s">
        <v>3594</v>
      </c>
      <c r="E34" s="23" t="s">
        <v>1</v>
      </c>
      <c r="F34" s="24">
        <v>0</v>
      </c>
      <c r="H34" s="12"/>
    </row>
    <row r="35" spans="2:8" s="1" customFormat="1" ht="17.100000000000001" customHeight="1">
      <c r="B35" s="12"/>
      <c r="C35" s="22" t="s">
        <v>1</v>
      </c>
      <c r="D35" s="22" t="s">
        <v>866</v>
      </c>
      <c r="E35" s="23" t="s">
        <v>1</v>
      </c>
      <c r="F35" s="24">
        <v>0</v>
      </c>
      <c r="H35" s="12"/>
    </row>
    <row r="36" spans="2:8" s="1" customFormat="1" ht="17.100000000000001" customHeight="1">
      <c r="B36" s="12"/>
      <c r="C36" s="22" t="s">
        <v>3595</v>
      </c>
      <c r="D36" s="22" t="s">
        <v>3596</v>
      </c>
      <c r="E36" s="23" t="s">
        <v>1</v>
      </c>
      <c r="F36" s="24">
        <v>5.33</v>
      </c>
      <c r="H36" s="12"/>
    </row>
    <row r="37" spans="2:8" s="1" customFormat="1" ht="17.100000000000001" customHeight="1">
      <c r="B37" s="12"/>
      <c r="C37" s="18" t="s">
        <v>281</v>
      </c>
      <c r="D37" s="19" t="s">
        <v>1</v>
      </c>
      <c r="E37" s="20" t="s">
        <v>279</v>
      </c>
      <c r="F37" s="21">
        <v>1058.4000000000001</v>
      </c>
      <c r="H37" s="12"/>
    </row>
    <row r="38" spans="2:8" s="1" customFormat="1" ht="17.100000000000001" customHeight="1">
      <c r="B38" s="12"/>
      <c r="C38" s="22" t="s">
        <v>1</v>
      </c>
      <c r="D38" s="22" t="s">
        <v>2932</v>
      </c>
      <c r="E38" s="23" t="s">
        <v>1</v>
      </c>
      <c r="F38" s="24">
        <v>0</v>
      </c>
      <c r="H38" s="12"/>
    </row>
    <row r="39" spans="2:8" s="1" customFormat="1" ht="17.100000000000001" customHeight="1">
      <c r="B39" s="12"/>
      <c r="C39" s="22" t="s">
        <v>1</v>
      </c>
      <c r="D39" s="22" t="s">
        <v>669</v>
      </c>
      <c r="E39" s="23" t="s">
        <v>1</v>
      </c>
      <c r="F39" s="24">
        <v>0</v>
      </c>
      <c r="H39" s="12"/>
    </row>
    <row r="40" spans="2:8" s="1" customFormat="1" ht="17.100000000000001" customHeight="1">
      <c r="B40" s="12"/>
      <c r="C40" s="22" t="s">
        <v>281</v>
      </c>
      <c r="D40" s="22" t="s">
        <v>2933</v>
      </c>
      <c r="E40" s="23" t="s">
        <v>1</v>
      </c>
      <c r="F40" s="24">
        <v>1058.4000000000001</v>
      </c>
      <c r="H40" s="12"/>
    </row>
    <row r="41" spans="2:8" s="1" customFormat="1" ht="17.100000000000001" customHeight="1">
      <c r="B41" s="12"/>
      <c r="C41" s="25" t="s">
        <v>6116</v>
      </c>
      <c r="H41" s="12"/>
    </row>
    <row r="42" spans="2:8" s="1" customFormat="1" ht="17.100000000000001" customHeight="1">
      <c r="B42" s="12"/>
      <c r="C42" s="22" t="s">
        <v>2929</v>
      </c>
      <c r="D42" s="22" t="s">
        <v>2930</v>
      </c>
      <c r="E42" s="23" t="s">
        <v>279</v>
      </c>
      <c r="F42" s="24">
        <v>1058.4000000000001</v>
      </c>
      <c r="H42" s="12"/>
    </row>
    <row r="43" spans="2:8" s="1" customFormat="1" ht="17.100000000000001" customHeight="1">
      <c r="B43" s="12"/>
      <c r="C43" s="22" t="s">
        <v>1221</v>
      </c>
      <c r="D43" s="22" t="s">
        <v>1222</v>
      </c>
      <c r="E43" s="23" t="s">
        <v>279</v>
      </c>
      <c r="F43" s="24">
        <v>3672.49</v>
      </c>
      <c r="H43" s="12"/>
    </row>
    <row r="44" spans="2:8" s="1" customFormat="1" ht="17.100000000000001" customHeight="1">
      <c r="B44" s="12"/>
      <c r="C44" s="22" t="s">
        <v>2940</v>
      </c>
      <c r="D44" s="22" t="s">
        <v>2941</v>
      </c>
      <c r="E44" s="23" t="s">
        <v>279</v>
      </c>
      <c r="F44" s="24">
        <v>3672.49</v>
      </c>
      <c r="H44" s="12"/>
    </row>
    <row r="45" spans="2:8" s="1" customFormat="1" ht="17.100000000000001" customHeight="1">
      <c r="B45" s="12"/>
      <c r="C45" s="22" t="s">
        <v>1212</v>
      </c>
      <c r="D45" s="22" t="s">
        <v>1213</v>
      </c>
      <c r="E45" s="23" t="s">
        <v>357</v>
      </c>
      <c r="F45" s="24">
        <v>146.899</v>
      </c>
      <c r="H45" s="12"/>
    </row>
    <row r="46" spans="2:8" s="1" customFormat="1" ht="30.6">
      <c r="B46" s="12"/>
      <c r="C46" s="22" t="s">
        <v>1266</v>
      </c>
      <c r="D46" s="22" t="s">
        <v>1267</v>
      </c>
      <c r="E46" s="23" t="s">
        <v>279</v>
      </c>
      <c r="F46" s="24">
        <v>1058.4000000000001</v>
      </c>
      <c r="H46" s="12"/>
    </row>
    <row r="47" spans="2:8" s="1" customFormat="1" ht="17.100000000000001" customHeight="1">
      <c r="B47" s="12"/>
      <c r="C47" s="18" t="s">
        <v>283</v>
      </c>
      <c r="D47" s="19" t="s">
        <v>1</v>
      </c>
      <c r="E47" s="20" t="s">
        <v>279</v>
      </c>
      <c r="F47" s="21">
        <v>405.86</v>
      </c>
      <c r="H47" s="12"/>
    </row>
    <row r="48" spans="2:8" s="1" customFormat="1" ht="17.100000000000001" customHeight="1">
      <c r="B48" s="12"/>
      <c r="C48" s="22" t="s">
        <v>1</v>
      </c>
      <c r="D48" s="22" t="s">
        <v>1283</v>
      </c>
      <c r="E48" s="23" t="s">
        <v>1</v>
      </c>
      <c r="F48" s="24">
        <v>0</v>
      </c>
      <c r="H48" s="12"/>
    </row>
    <row r="49" spans="2:8" s="1" customFormat="1" ht="17.100000000000001" customHeight="1">
      <c r="B49" s="12"/>
      <c r="C49" s="22" t="s">
        <v>1</v>
      </c>
      <c r="D49" s="22" t="s">
        <v>2943</v>
      </c>
      <c r="E49" s="23" t="s">
        <v>1</v>
      </c>
      <c r="F49" s="24">
        <v>215.46</v>
      </c>
      <c r="H49" s="12"/>
    </row>
    <row r="50" spans="2:8" s="1" customFormat="1" ht="17.100000000000001" customHeight="1">
      <c r="B50" s="12"/>
      <c r="C50" s="22" t="s">
        <v>1</v>
      </c>
      <c r="D50" s="22" t="s">
        <v>2944</v>
      </c>
      <c r="E50" s="23" t="s">
        <v>1</v>
      </c>
      <c r="F50" s="24">
        <v>64.31</v>
      </c>
      <c r="H50" s="12"/>
    </row>
    <row r="51" spans="2:8" s="1" customFormat="1" ht="17.100000000000001" customHeight="1">
      <c r="B51" s="12"/>
      <c r="C51" s="22" t="s">
        <v>1</v>
      </c>
      <c r="D51" s="22" t="s">
        <v>2945</v>
      </c>
      <c r="E51" s="23" t="s">
        <v>1</v>
      </c>
      <c r="F51" s="24">
        <v>56.42</v>
      </c>
      <c r="H51" s="12"/>
    </row>
    <row r="52" spans="2:8" s="1" customFormat="1" ht="17.100000000000001" customHeight="1">
      <c r="B52" s="12"/>
      <c r="C52" s="22" t="s">
        <v>1</v>
      </c>
      <c r="D52" s="22" t="s">
        <v>2946</v>
      </c>
      <c r="E52" s="23" t="s">
        <v>1</v>
      </c>
      <c r="F52" s="24">
        <v>69.67</v>
      </c>
      <c r="H52" s="12"/>
    </row>
    <row r="53" spans="2:8" s="1" customFormat="1" ht="17.100000000000001" customHeight="1">
      <c r="B53" s="12"/>
      <c r="C53" s="22" t="s">
        <v>283</v>
      </c>
      <c r="D53" s="22" t="s">
        <v>741</v>
      </c>
      <c r="E53" s="23" t="s">
        <v>1</v>
      </c>
      <c r="F53" s="24">
        <v>405.86</v>
      </c>
      <c r="H53" s="12"/>
    </row>
    <row r="54" spans="2:8" s="1" customFormat="1" ht="17.100000000000001" customHeight="1">
      <c r="B54" s="12"/>
      <c r="C54" s="25" t="s">
        <v>6116</v>
      </c>
      <c r="H54" s="12"/>
    </row>
    <row r="55" spans="2:8" s="1" customFormat="1" ht="17.100000000000001" customHeight="1">
      <c r="B55" s="12"/>
      <c r="C55" s="22" t="s">
        <v>2940</v>
      </c>
      <c r="D55" s="22" t="s">
        <v>2941</v>
      </c>
      <c r="E55" s="23" t="s">
        <v>279</v>
      </c>
      <c r="F55" s="24">
        <v>3672.49</v>
      </c>
      <c r="H55" s="12"/>
    </row>
    <row r="56" spans="2:8" s="1" customFormat="1" ht="17.100000000000001" customHeight="1">
      <c r="B56" s="12"/>
      <c r="C56" s="22" t="s">
        <v>1221</v>
      </c>
      <c r="D56" s="22" t="s">
        <v>1222</v>
      </c>
      <c r="E56" s="23" t="s">
        <v>279</v>
      </c>
      <c r="F56" s="24">
        <v>3672.49</v>
      </c>
      <c r="H56" s="12"/>
    </row>
    <row r="57" spans="2:8" s="1" customFormat="1" ht="17.100000000000001" customHeight="1">
      <c r="B57" s="12"/>
      <c r="C57" s="22" t="s">
        <v>1212</v>
      </c>
      <c r="D57" s="22" t="s">
        <v>1213</v>
      </c>
      <c r="E57" s="23" t="s">
        <v>357</v>
      </c>
      <c r="F57" s="24">
        <v>146.899</v>
      </c>
      <c r="H57" s="12"/>
    </row>
    <row r="58" spans="2:8" s="1" customFormat="1" ht="30.6">
      <c r="B58" s="12"/>
      <c r="C58" s="22" t="s">
        <v>1270</v>
      </c>
      <c r="D58" s="22" t="s">
        <v>1271</v>
      </c>
      <c r="E58" s="23" t="s">
        <v>279</v>
      </c>
      <c r="F58" s="24">
        <v>983.36</v>
      </c>
      <c r="H58" s="12"/>
    </row>
    <row r="59" spans="2:8" s="1" customFormat="1" ht="17.100000000000001" customHeight="1">
      <c r="B59" s="12"/>
      <c r="C59" s="18" t="s">
        <v>285</v>
      </c>
      <c r="D59" s="19" t="s">
        <v>1</v>
      </c>
      <c r="E59" s="20" t="s">
        <v>279</v>
      </c>
      <c r="F59" s="21">
        <v>461.5</v>
      </c>
      <c r="H59" s="12"/>
    </row>
    <row r="60" spans="2:8" s="1" customFormat="1" ht="17.100000000000001" customHeight="1">
      <c r="B60" s="12"/>
      <c r="C60" s="22" t="s">
        <v>1</v>
      </c>
      <c r="D60" s="22" t="s">
        <v>1285</v>
      </c>
      <c r="E60" s="23" t="s">
        <v>1</v>
      </c>
      <c r="F60" s="24">
        <v>0</v>
      </c>
      <c r="H60" s="12"/>
    </row>
    <row r="61" spans="2:8" s="1" customFormat="1" ht="17.100000000000001" customHeight="1">
      <c r="B61" s="12"/>
      <c r="C61" s="22" t="s">
        <v>1</v>
      </c>
      <c r="D61" s="22" t="s">
        <v>2947</v>
      </c>
      <c r="E61" s="23" t="s">
        <v>1</v>
      </c>
      <c r="F61" s="24">
        <v>165.13</v>
      </c>
      <c r="H61" s="12"/>
    </row>
    <row r="62" spans="2:8" s="1" customFormat="1" ht="17.100000000000001" customHeight="1">
      <c r="B62" s="12"/>
      <c r="C62" s="22" t="s">
        <v>1</v>
      </c>
      <c r="D62" s="22" t="s">
        <v>2948</v>
      </c>
      <c r="E62" s="23" t="s">
        <v>1</v>
      </c>
      <c r="F62" s="24">
        <v>132.62</v>
      </c>
      <c r="H62" s="12"/>
    </row>
    <row r="63" spans="2:8" s="1" customFormat="1" ht="17.100000000000001" customHeight="1">
      <c r="B63" s="12"/>
      <c r="C63" s="22" t="s">
        <v>1</v>
      </c>
      <c r="D63" s="22" t="s">
        <v>2949</v>
      </c>
      <c r="E63" s="23" t="s">
        <v>1</v>
      </c>
      <c r="F63" s="24">
        <v>163.75</v>
      </c>
      <c r="H63" s="12"/>
    </row>
    <row r="64" spans="2:8" s="1" customFormat="1" ht="17.100000000000001" customHeight="1">
      <c r="B64" s="12"/>
      <c r="C64" s="22" t="s">
        <v>285</v>
      </c>
      <c r="D64" s="22" t="s">
        <v>741</v>
      </c>
      <c r="E64" s="23" t="s">
        <v>1</v>
      </c>
      <c r="F64" s="24">
        <v>461.5</v>
      </c>
      <c r="H64" s="12"/>
    </row>
    <row r="65" spans="2:8" s="1" customFormat="1" ht="17.100000000000001" customHeight="1">
      <c r="B65" s="12"/>
      <c r="C65" s="25" t="s">
        <v>6116</v>
      </c>
      <c r="H65" s="12"/>
    </row>
    <row r="66" spans="2:8" s="1" customFormat="1" ht="17.100000000000001" customHeight="1">
      <c r="B66" s="12"/>
      <c r="C66" s="22" t="s">
        <v>2940</v>
      </c>
      <c r="D66" s="22" t="s">
        <v>2941</v>
      </c>
      <c r="E66" s="23" t="s">
        <v>279</v>
      </c>
      <c r="F66" s="24">
        <v>3672.49</v>
      </c>
      <c r="H66" s="12"/>
    </row>
    <row r="67" spans="2:8" s="1" customFormat="1" ht="17.100000000000001" customHeight="1">
      <c r="B67" s="12"/>
      <c r="C67" s="22" t="s">
        <v>1221</v>
      </c>
      <c r="D67" s="22" t="s">
        <v>1222</v>
      </c>
      <c r="E67" s="23" t="s">
        <v>279</v>
      </c>
      <c r="F67" s="24">
        <v>3672.49</v>
      </c>
      <c r="H67" s="12"/>
    </row>
    <row r="68" spans="2:8" s="1" customFormat="1" ht="17.100000000000001" customHeight="1">
      <c r="B68" s="12"/>
      <c r="C68" s="22" t="s">
        <v>1212</v>
      </c>
      <c r="D68" s="22" t="s">
        <v>1213</v>
      </c>
      <c r="E68" s="23" t="s">
        <v>357</v>
      </c>
      <c r="F68" s="24">
        <v>146.899</v>
      </c>
      <c r="H68" s="12"/>
    </row>
    <row r="69" spans="2:8" s="1" customFormat="1" ht="17.100000000000001" customHeight="1">
      <c r="B69" s="12"/>
      <c r="C69" s="22" t="s">
        <v>1274</v>
      </c>
      <c r="D69" s="22" t="s">
        <v>1275</v>
      </c>
      <c r="E69" s="23" t="s">
        <v>279</v>
      </c>
      <c r="F69" s="24">
        <v>1630.73</v>
      </c>
      <c r="H69" s="12"/>
    </row>
    <row r="70" spans="2:8" s="1" customFormat="1" ht="17.100000000000001" customHeight="1">
      <c r="B70" s="12"/>
      <c r="C70" s="18" t="s">
        <v>287</v>
      </c>
      <c r="D70" s="19" t="s">
        <v>1</v>
      </c>
      <c r="E70" s="20" t="s">
        <v>279</v>
      </c>
      <c r="F70" s="21">
        <v>577.5</v>
      </c>
      <c r="H70" s="12"/>
    </row>
    <row r="71" spans="2:8" s="1" customFormat="1" ht="17.100000000000001" customHeight="1">
      <c r="B71" s="12"/>
      <c r="C71" s="22" t="s">
        <v>1</v>
      </c>
      <c r="D71" s="22" t="s">
        <v>1287</v>
      </c>
      <c r="E71" s="23" t="s">
        <v>1</v>
      </c>
      <c r="F71" s="24">
        <v>0</v>
      </c>
      <c r="H71" s="12"/>
    </row>
    <row r="72" spans="2:8" s="1" customFormat="1" ht="17.100000000000001" customHeight="1">
      <c r="B72" s="12"/>
      <c r="C72" s="22" t="s">
        <v>1</v>
      </c>
      <c r="D72" s="22" t="s">
        <v>2950</v>
      </c>
      <c r="E72" s="23" t="s">
        <v>1</v>
      </c>
      <c r="F72" s="24">
        <v>125.35</v>
      </c>
      <c r="H72" s="12"/>
    </row>
    <row r="73" spans="2:8" s="1" customFormat="1" ht="17.100000000000001" customHeight="1">
      <c r="B73" s="12"/>
      <c r="C73" s="22" t="s">
        <v>1</v>
      </c>
      <c r="D73" s="22" t="s">
        <v>2951</v>
      </c>
      <c r="E73" s="23" t="s">
        <v>1</v>
      </c>
      <c r="F73" s="24">
        <v>153.85</v>
      </c>
      <c r="H73" s="12"/>
    </row>
    <row r="74" spans="2:8" s="1" customFormat="1" ht="17.100000000000001" customHeight="1">
      <c r="B74" s="12"/>
      <c r="C74" s="22" t="s">
        <v>1</v>
      </c>
      <c r="D74" s="22" t="s">
        <v>2952</v>
      </c>
      <c r="E74" s="23" t="s">
        <v>1</v>
      </c>
      <c r="F74" s="24">
        <v>113.78</v>
      </c>
      <c r="H74" s="12"/>
    </row>
    <row r="75" spans="2:8" s="1" customFormat="1" ht="17.100000000000001" customHeight="1">
      <c r="B75" s="12"/>
      <c r="C75" s="22" t="s">
        <v>1</v>
      </c>
      <c r="D75" s="22" t="s">
        <v>2953</v>
      </c>
      <c r="E75" s="23" t="s">
        <v>1</v>
      </c>
      <c r="F75" s="24">
        <v>184.52</v>
      </c>
      <c r="H75" s="12"/>
    </row>
    <row r="76" spans="2:8" s="1" customFormat="1" ht="17.100000000000001" customHeight="1">
      <c r="B76" s="12"/>
      <c r="C76" s="22" t="s">
        <v>287</v>
      </c>
      <c r="D76" s="22" t="s">
        <v>741</v>
      </c>
      <c r="E76" s="23" t="s">
        <v>1</v>
      </c>
      <c r="F76" s="24">
        <v>577.5</v>
      </c>
      <c r="H76" s="12"/>
    </row>
    <row r="77" spans="2:8" s="1" customFormat="1" ht="17.100000000000001" customHeight="1">
      <c r="B77" s="12"/>
      <c r="C77" s="25" t="s">
        <v>6116</v>
      </c>
      <c r="H77" s="12"/>
    </row>
    <row r="78" spans="2:8" s="1" customFormat="1" ht="17.100000000000001" customHeight="1">
      <c r="B78" s="12"/>
      <c r="C78" s="22" t="s">
        <v>2940</v>
      </c>
      <c r="D78" s="22" t="s">
        <v>2941</v>
      </c>
      <c r="E78" s="23" t="s">
        <v>279</v>
      </c>
      <c r="F78" s="24">
        <v>3672.49</v>
      </c>
      <c r="H78" s="12"/>
    </row>
    <row r="79" spans="2:8" s="1" customFormat="1" ht="17.100000000000001" customHeight="1">
      <c r="B79" s="12"/>
      <c r="C79" s="22" t="s">
        <v>1221</v>
      </c>
      <c r="D79" s="22" t="s">
        <v>1222</v>
      </c>
      <c r="E79" s="23" t="s">
        <v>279</v>
      </c>
      <c r="F79" s="24">
        <v>3672.49</v>
      </c>
      <c r="H79" s="12"/>
    </row>
    <row r="80" spans="2:8" s="1" customFormat="1" ht="17.100000000000001" customHeight="1">
      <c r="B80" s="12"/>
      <c r="C80" s="22" t="s">
        <v>1212</v>
      </c>
      <c r="D80" s="22" t="s">
        <v>1213</v>
      </c>
      <c r="E80" s="23" t="s">
        <v>357</v>
      </c>
      <c r="F80" s="24">
        <v>146.899</v>
      </c>
      <c r="H80" s="12"/>
    </row>
    <row r="81" spans="2:8" s="1" customFormat="1" ht="30.6">
      <c r="B81" s="12"/>
      <c r="C81" s="22" t="s">
        <v>1270</v>
      </c>
      <c r="D81" s="22" t="s">
        <v>1271</v>
      </c>
      <c r="E81" s="23" t="s">
        <v>279</v>
      </c>
      <c r="F81" s="24">
        <v>983.36</v>
      </c>
      <c r="H81" s="12"/>
    </row>
    <row r="82" spans="2:8" s="1" customFormat="1" ht="17.100000000000001" customHeight="1">
      <c r="B82" s="12"/>
      <c r="C82" s="18" t="s">
        <v>289</v>
      </c>
      <c r="D82" s="19" t="s">
        <v>1</v>
      </c>
      <c r="E82" s="20" t="s">
        <v>279</v>
      </c>
      <c r="F82" s="21">
        <v>1169.23</v>
      </c>
      <c r="H82" s="12"/>
    </row>
    <row r="83" spans="2:8" s="1" customFormat="1" ht="17.100000000000001" customHeight="1">
      <c r="B83" s="12"/>
      <c r="C83" s="22" t="s">
        <v>1</v>
      </c>
      <c r="D83" s="22" t="s">
        <v>1289</v>
      </c>
      <c r="E83" s="23" t="s">
        <v>1</v>
      </c>
      <c r="F83" s="24">
        <v>0</v>
      </c>
      <c r="H83" s="12"/>
    </row>
    <row r="84" spans="2:8" s="1" customFormat="1" ht="17.100000000000001" customHeight="1">
      <c r="B84" s="12"/>
      <c r="C84" s="22" t="s">
        <v>1</v>
      </c>
      <c r="D84" s="22" t="s">
        <v>2954</v>
      </c>
      <c r="E84" s="23" t="s">
        <v>1</v>
      </c>
      <c r="F84" s="24">
        <v>256.47000000000003</v>
      </c>
      <c r="H84" s="12"/>
    </row>
    <row r="85" spans="2:8" s="1" customFormat="1" ht="17.100000000000001" customHeight="1">
      <c r="B85" s="12"/>
      <c r="C85" s="22" t="s">
        <v>1</v>
      </c>
      <c r="D85" s="22" t="s">
        <v>2955</v>
      </c>
      <c r="E85" s="23" t="s">
        <v>1</v>
      </c>
      <c r="F85" s="24">
        <v>312.43</v>
      </c>
      <c r="H85" s="12"/>
    </row>
    <row r="86" spans="2:8" s="1" customFormat="1" ht="17.100000000000001" customHeight="1">
      <c r="B86" s="12"/>
      <c r="C86" s="22" t="s">
        <v>1</v>
      </c>
      <c r="D86" s="22" t="s">
        <v>2956</v>
      </c>
      <c r="E86" s="23" t="s">
        <v>1</v>
      </c>
      <c r="F86" s="24">
        <v>273.64999999999998</v>
      </c>
      <c r="H86" s="12"/>
    </row>
    <row r="87" spans="2:8" s="1" customFormat="1" ht="17.100000000000001" customHeight="1">
      <c r="B87" s="12"/>
      <c r="C87" s="22" t="s">
        <v>1</v>
      </c>
      <c r="D87" s="22" t="s">
        <v>2957</v>
      </c>
      <c r="E87" s="23" t="s">
        <v>1</v>
      </c>
      <c r="F87" s="24">
        <v>326.68</v>
      </c>
      <c r="H87" s="12"/>
    </row>
    <row r="88" spans="2:8" s="1" customFormat="1" ht="17.100000000000001" customHeight="1">
      <c r="B88" s="12"/>
      <c r="C88" s="22" t="s">
        <v>289</v>
      </c>
      <c r="D88" s="22" t="s">
        <v>741</v>
      </c>
      <c r="E88" s="23" t="s">
        <v>1</v>
      </c>
      <c r="F88" s="24">
        <v>1169.23</v>
      </c>
      <c r="H88" s="12"/>
    </row>
    <row r="89" spans="2:8" s="1" customFormat="1" ht="17.100000000000001" customHeight="1">
      <c r="B89" s="12"/>
      <c r="C89" s="25" t="s">
        <v>6116</v>
      </c>
      <c r="H89" s="12"/>
    </row>
    <row r="90" spans="2:8" s="1" customFormat="1" ht="17.100000000000001" customHeight="1">
      <c r="B90" s="12"/>
      <c r="C90" s="22" t="s">
        <v>2940</v>
      </c>
      <c r="D90" s="22" t="s">
        <v>2941</v>
      </c>
      <c r="E90" s="23" t="s">
        <v>279</v>
      </c>
      <c r="F90" s="24">
        <v>3672.49</v>
      </c>
      <c r="H90" s="12"/>
    </row>
    <row r="91" spans="2:8" s="1" customFormat="1" ht="17.100000000000001" customHeight="1">
      <c r="B91" s="12"/>
      <c r="C91" s="22" t="s">
        <v>1221</v>
      </c>
      <c r="D91" s="22" t="s">
        <v>1222</v>
      </c>
      <c r="E91" s="23" t="s">
        <v>279</v>
      </c>
      <c r="F91" s="24">
        <v>3672.49</v>
      </c>
      <c r="H91" s="12"/>
    </row>
    <row r="92" spans="2:8" s="1" customFormat="1" ht="17.100000000000001" customHeight="1">
      <c r="B92" s="12"/>
      <c r="C92" s="22" t="s">
        <v>1212</v>
      </c>
      <c r="D92" s="22" t="s">
        <v>1213</v>
      </c>
      <c r="E92" s="23" t="s">
        <v>357</v>
      </c>
      <c r="F92" s="24">
        <v>146.899</v>
      </c>
      <c r="H92" s="12"/>
    </row>
    <row r="93" spans="2:8" s="1" customFormat="1" ht="17.100000000000001" customHeight="1">
      <c r="B93" s="12"/>
      <c r="C93" s="22" t="s">
        <v>1274</v>
      </c>
      <c r="D93" s="22" t="s">
        <v>1275</v>
      </c>
      <c r="E93" s="23" t="s">
        <v>279</v>
      </c>
      <c r="F93" s="24">
        <v>1630.73</v>
      </c>
      <c r="H93" s="12"/>
    </row>
    <row r="94" spans="2:8" s="1" customFormat="1" ht="17.100000000000001" customHeight="1">
      <c r="B94" s="12"/>
      <c r="C94" s="18" t="s">
        <v>6118</v>
      </c>
      <c r="D94" s="19" t="s">
        <v>1</v>
      </c>
      <c r="E94" s="20" t="s">
        <v>279</v>
      </c>
      <c r="F94" s="21">
        <v>231.07</v>
      </c>
      <c r="H94" s="12"/>
    </row>
    <row r="95" spans="2:8" s="1" customFormat="1" ht="17.100000000000001" customHeight="1">
      <c r="B95" s="12"/>
      <c r="C95" s="22" t="s">
        <v>1</v>
      </c>
      <c r="D95" s="22" t="s">
        <v>6119</v>
      </c>
      <c r="E95" s="23" t="s">
        <v>1</v>
      </c>
      <c r="F95" s="24">
        <v>0</v>
      </c>
      <c r="H95" s="12"/>
    </row>
    <row r="96" spans="2:8" s="1" customFormat="1" ht="17.100000000000001" customHeight="1">
      <c r="B96" s="12"/>
      <c r="C96" s="22" t="s">
        <v>1</v>
      </c>
      <c r="D96" s="22" t="s">
        <v>866</v>
      </c>
      <c r="E96" s="23" t="s">
        <v>1</v>
      </c>
      <c r="F96" s="24">
        <v>0</v>
      </c>
      <c r="H96" s="12"/>
    </row>
    <row r="97" spans="2:8" s="1" customFormat="1" ht="17.100000000000001" customHeight="1">
      <c r="B97" s="12"/>
      <c r="C97" s="22" t="s">
        <v>1</v>
      </c>
      <c r="D97" s="22" t="s">
        <v>6120</v>
      </c>
      <c r="E97" s="23" t="s">
        <v>1</v>
      </c>
      <c r="F97" s="24">
        <v>44.48</v>
      </c>
      <c r="H97" s="12"/>
    </row>
    <row r="98" spans="2:8" s="1" customFormat="1" ht="17.100000000000001" customHeight="1">
      <c r="B98" s="12"/>
      <c r="C98" s="22" t="s">
        <v>1</v>
      </c>
      <c r="D98" s="22" t="s">
        <v>868</v>
      </c>
      <c r="E98" s="23" t="s">
        <v>1</v>
      </c>
      <c r="F98" s="24">
        <v>0</v>
      </c>
      <c r="H98" s="12"/>
    </row>
    <row r="99" spans="2:8" s="1" customFormat="1" ht="17.100000000000001" customHeight="1">
      <c r="B99" s="12"/>
      <c r="C99" s="22" t="s">
        <v>1</v>
      </c>
      <c r="D99" s="22" t="s">
        <v>6121</v>
      </c>
      <c r="E99" s="23" t="s">
        <v>1</v>
      </c>
      <c r="F99" s="24">
        <v>63.27</v>
      </c>
      <c r="H99" s="12"/>
    </row>
    <row r="100" spans="2:8" s="1" customFormat="1" ht="17.100000000000001" customHeight="1">
      <c r="B100" s="12"/>
      <c r="C100" s="22" t="s">
        <v>1</v>
      </c>
      <c r="D100" s="22" t="s">
        <v>870</v>
      </c>
      <c r="E100" s="23" t="s">
        <v>1</v>
      </c>
      <c r="F100" s="24">
        <v>0</v>
      </c>
      <c r="H100" s="12"/>
    </row>
    <row r="101" spans="2:8" s="1" customFormat="1" ht="17.100000000000001" customHeight="1">
      <c r="B101" s="12"/>
      <c r="C101" s="22" t="s">
        <v>1</v>
      </c>
      <c r="D101" s="22" t="s">
        <v>6122</v>
      </c>
      <c r="E101" s="23" t="s">
        <v>1</v>
      </c>
      <c r="F101" s="24">
        <v>55.27</v>
      </c>
      <c r="H101" s="12"/>
    </row>
    <row r="102" spans="2:8" s="1" customFormat="1" ht="17.100000000000001" customHeight="1">
      <c r="B102" s="12"/>
      <c r="C102" s="22" t="s">
        <v>1</v>
      </c>
      <c r="D102" s="22" t="s">
        <v>872</v>
      </c>
      <c r="E102" s="23" t="s">
        <v>1</v>
      </c>
      <c r="F102" s="24">
        <v>0</v>
      </c>
      <c r="H102" s="12"/>
    </row>
    <row r="103" spans="2:8" s="1" customFormat="1" ht="17.100000000000001" customHeight="1">
      <c r="B103" s="12"/>
      <c r="C103" s="22" t="s">
        <v>1</v>
      </c>
      <c r="D103" s="22" t="s">
        <v>3590</v>
      </c>
      <c r="E103" s="23" t="s">
        <v>1</v>
      </c>
      <c r="F103" s="24">
        <v>68.05</v>
      </c>
      <c r="H103" s="12"/>
    </row>
    <row r="104" spans="2:8" s="1" customFormat="1" ht="17.100000000000001" customHeight="1">
      <c r="B104" s="12"/>
      <c r="C104" s="22" t="s">
        <v>6118</v>
      </c>
      <c r="D104" s="22" t="s">
        <v>368</v>
      </c>
      <c r="E104" s="23" t="s">
        <v>1</v>
      </c>
      <c r="F104" s="24">
        <v>231.07</v>
      </c>
      <c r="H104" s="12"/>
    </row>
    <row r="105" spans="2:8" s="1" customFormat="1" ht="17.100000000000001" customHeight="1">
      <c r="B105" s="12"/>
      <c r="C105" s="18" t="s">
        <v>291</v>
      </c>
      <c r="D105" s="19" t="s">
        <v>1</v>
      </c>
      <c r="E105" s="20" t="s">
        <v>279</v>
      </c>
      <c r="F105" s="21">
        <v>730.85</v>
      </c>
      <c r="H105" s="12"/>
    </row>
    <row r="106" spans="2:8" s="1" customFormat="1" ht="17.100000000000001" customHeight="1">
      <c r="B106" s="12"/>
      <c r="C106" s="22" t="s">
        <v>1</v>
      </c>
      <c r="D106" s="22" t="s">
        <v>3420</v>
      </c>
      <c r="E106" s="23" t="s">
        <v>1</v>
      </c>
      <c r="F106" s="24">
        <v>0</v>
      </c>
      <c r="H106" s="12"/>
    </row>
    <row r="107" spans="2:8" s="1" customFormat="1" ht="17.100000000000001" customHeight="1">
      <c r="B107" s="12"/>
      <c r="C107" s="22" t="s">
        <v>1</v>
      </c>
      <c r="D107" s="22" t="s">
        <v>3421</v>
      </c>
      <c r="E107" s="23" t="s">
        <v>1</v>
      </c>
      <c r="F107" s="24">
        <v>164.78</v>
      </c>
      <c r="H107" s="12"/>
    </row>
    <row r="108" spans="2:8" s="1" customFormat="1" ht="17.100000000000001" customHeight="1">
      <c r="B108" s="12"/>
      <c r="C108" s="22" t="s">
        <v>1</v>
      </c>
      <c r="D108" s="22" t="s">
        <v>3422</v>
      </c>
      <c r="E108" s="23" t="s">
        <v>1</v>
      </c>
      <c r="F108" s="24">
        <v>200.69</v>
      </c>
      <c r="H108" s="12"/>
    </row>
    <row r="109" spans="2:8" s="1" customFormat="1" ht="17.100000000000001" customHeight="1">
      <c r="B109" s="12"/>
      <c r="C109" s="22" t="s">
        <v>1</v>
      </c>
      <c r="D109" s="22" t="s">
        <v>3423</v>
      </c>
      <c r="E109" s="23" t="s">
        <v>1</v>
      </c>
      <c r="F109" s="24">
        <v>153.47999999999999</v>
      </c>
      <c r="H109" s="12"/>
    </row>
    <row r="110" spans="2:8" s="1" customFormat="1" ht="17.100000000000001" customHeight="1">
      <c r="B110" s="12"/>
      <c r="C110" s="22" t="s">
        <v>1</v>
      </c>
      <c r="D110" s="22" t="s">
        <v>3424</v>
      </c>
      <c r="E110" s="23" t="s">
        <v>1</v>
      </c>
      <c r="F110" s="24">
        <v>211.9</v>
      </c>
      <c r="H110" s="12"/>
    </row>
    <row r="111" spans="2:8" s="1" customFormat="1" ht="17.100000000000001" customHeight="1">
      <c r="B111" s="12"/>
      <c r="C111" s="22" t="s">
        <v>291</v>
      </c>
      <c r="D111" s="22" t="s">
        <v>368</v>
      </c>
      <c r="E111" s="23" t="s">
        <v>1</v>
      </c>
      <c r="F111" s="24">
        <v>730.85</v>
      </c>
      <c r="H111" s="12"/>
    </row>
    <row r="112" spans="2:8" s="1" customFormat="1" ht="17.100000000000001" customHeight="1">
      <c r="B112" s="12"/>
      <c r="C112" s="18" t="s">
        <v>294</v>
      </c>
      <c r="D112" s="19" t="s">
        <v>1</v>
      </c>
      <c r="E112" s="20" t="s">
        <v>279</v>
      </c>
      <c r="F112" s="21">
        <v>247.51</v>
      </c>
      <c r="H112" s="12"/>
    </row>
    <row r="113" spans="2:8" s="1" customFormat="1" ht="17.100000000000001" customHeight="1">
      <c r="B113" s="12"/>
      <c r="C113" s="22" t="s">
        <v>1</v>
      </c>
      <c r="D113" s="22" t="s">
        <v>2853</v>
      </c>
      <c r="E113" s="23" t="s">
        <v>1</v>
      </c>
      <c r="F113" s="24">
        <v>0</v>
      </c>
      <c r="H113" s="12"/>
    </row>
    <row r="114" spans="2:8" s="1" customFormat="1" ht="17.100000000000001" customHeight="1">
      <c r="B114" s="12"/>
      <c r="C114" s="22" t="s">
        <v>1</v>
      </c>
      <c r="D114" s="22" t="s">
        <v>2854</v>
      </c>
      <c r="E114" s="23" t="s">
        <v>1</v>
      </c>
      <c r="F114" s="24">
        <v>106.47</v>
      </c>
      <c r="H114" s="12"/>
    </row>
    <row r="115" spans="2:8" s="1" customFormat="1" ht="17.100000000000001" customHeight="1">
      <c r="B115" s="12"/>
      <c r="C115" s="22" t="s">
        <v>1</v>
      </c>
      <c r="D115" s="22" t="s">
        <v>2855</v>
      </c>
      <c r="E115" s="23" t="s">
        <v>1</v>
      </c>
      <c r="F115" s="24">
        <v>51</v>
      </c>
      <c r="H115" s="12"/>
    </row>
    <row r="116" spans="2:8" s="1" customFormat="1" ht="17.100000000000001" customHeight="1">
      <c r="B116" s="12"/>
      <c r="C116" s="22" t="s">
        <v>1</v>
      </c>
      <c r="D116" s="22" t="s">
        <v>2856</v>
      </c>
      <c r="E116" s="23" t="s">
        <v>1</v>
      </c>
      <c r="F116" s="24">
        <v>61.19</v>
      </c>
      <c r="H116" s="12"/>
    </row>
    <row r="117" spans="2:8" s="1" customFormat="1" ht="17.100000000000001" customHeight="1">
      <c r="B117" s="12"/>
      <c r="C117" s="22" t="s">
        <v>1</v>
      </c>
      <c r="D117" s="22" t="s">
        <v>2857</v>
      </c>
      <c r="E117" s="23" t="s">
        <v>1</v>
      </c>
      <c r="F117" s="24">
        <v>28.85</v>
      </c>
      <c r="H117" s="12"/>
    </row>
    <row r="118" spans="2:8" s="1" customFormat="1" ht="17.100000000000001" customHeight="1">
      <c r="B118" s="12"/>
      <c r="C118" s="22" t="s">
        <v>294</v>
      </c>
      <c r="D118" s="22" t="s">
        <v>741</v>
      </c>
      <c r="E118" s="23" t="s">
        <v>1</v>
      </c>
      <c r="F118" s="24">
        <v>247.51</v>
      </c>
      <c r="H118" s="12"/>
    </row>
    <row r="119" spans="2:8" s="1" customFormat="1" ht="17.100000000000001" customHeight="1">
      <c r="B119" s="12"/>
      <c r="C119" s="25" t="s">
        <v>6116</v>
      </c>
      <c r="H119" s="12"/>
    </row>
    <row r="120" spans="2:8" s="1" customFormat="1" ht="17.100000000000001" customHeight="1">
      <c r="B120" s="12"/>
      <c r="C120" s="22" t="s">
        <v>2850</v>
      </c>
      <c r="D120" s="22" t="s">
        <v>2851</v>
      </c>
      <c r="E120" s="23" t="s">
        <v>279</v>
      </c>
      <c r="F120" s="24">
        <v>280.48</v>
      </c>
      <c r="H120" s="12"/>
    </row>
    <row r="121" spans="2:8" s="1" customFormat="1" ht="17.100000000000001" customHeight="1">
      <c r="B121" s="12"/>
      <c r="C121" s="22" t="s">
        <v>2871</v>
      </c>
      <c r="D121" s="22" t="s">
        <v>2872</v>
      </c>
      <c r="E121" s="23" t="s">
        <v>279</v>
      </c>
      <c r="F121" s="24">
        <v>1328.192</v>
      </c>
      <c r="H121" s="12"/>
    </row>
    <row r="122" spans="2:8" s="1" customFormat="1" ht="20.399999999999999">
      <c r="B122" s="12"/>
      <c r="C122" s="22" t="s">
        <v>2880</v>
      </c>
      <c r="D122" s="22" t="s">
        <v>2881</v>
      </c>
      <c r="E122" s="23" t="s">
        <v>279</v>
      </c>
      <c r="F122" s="24">
        <v>972.47</v>
      </c>
      <c r="H122" s="12"/>
    </row>
    <row r="123" spans="2:8" s="1" customFormat="1" ht="20.399999999999999">
      <c r="B123" s="12"/>
      <c r="C123" s="22" t="s">
        <v>3134</v>
      </c>
      <c r="D123" s="22" t="s">
        <v>3135</v>
      </c>
      <c r="E123" s="23" t="s">
        <v>279</v>
      </c>
      <c r="F123" s="24">
        <v>1047.1300000000001</v>
      </c>
      <c r="H123" s="12"/>
    </row>
    <row r="124" spans="2:8" s="1" customFormat="1" ht="17.100000000000001" customHeight="1">
      <c r="B124" s="12"/>
      <c r="C124" s="22" t="s">
        <v>1613</v>
      </c>
      <c r="D124" s="22" t="s">
        <v>1614</v>
      </c>
      <c r="E124" s="23" t="s">
        <v>279</v>
      </c>
      <c r="F124" s="24">
        <v>496.61</v>
      </c>
      <c r="H124" s="12"/>
    </row>
    <row r="125" spans="2:8" s="1" customFormat="1" ht="17.100000000000001" customHeight="1">
      <c r="B125" s="12"/>
      <c r="C125" s="22" t="s">
        <v>1625</v>
      </c>
      <c r="D125" s="22" t="s">
        <v>1626</v>
      </c>
      <c r="E125" s="23" t="s">
        <v>279</v>
      </c>
      <c r="F125" s="24">
        <v>2084.5320000000002</v>
      </c>
      <c r="H125" s="12"/>
    </row>
    <row r="126" spans="2:8" s="1" customFormat="1" ht="17.100000000000001" customHeight="1">
      <c r="B126" s="12"/>
      <c r="C126" s="22" t="s">
        <v>3077</v>
      </c>
      <c r="D126" s="22" t="s">
        <v>3078</v>
      </c>
      <c r="E126" s="23" t="s">
        <v>279</v>
      </c>
      <c r="F126" s="24">
        <v>813.99099999999999</v>
      </c>
      <c r="H126" s="12"/>
    </row>
    <row r="127" spans="2:8" s="1" customFormat="1" ht="17.100000000000001" customHeight="1">
      <c r="B127" s="12"/>
      <c r="C127" s="22" t="s">
        <v>3072</v>
      </c>
      <c r="D127" s="22" t="s">
        <v>3073</v>
      </c>
      <c r="E127" s="23" t="s">
        <v>279</v>
      </c>
      <c r="F127" s="24">
        <v>252.46</v>
      </c>
      <c r="H127" s="12"/>
    </row>
    <row r="128" spans="2:8" s="1" customFormat="1" ht="17.100000000000001" customHeight="1">
      <c r="B128" s="12"/>
      <c r="C128" s="18" t="s">
        <v>297</v>
      </c>
      <c r="D128" s="19" t="s">
        <v>1</v>
      </c>
      <c r="E128" s="20" t="s">
        <v>279</v>
      </c>
      <c r="F128" s="21">
        <v>431.26</v>
      </c>
      <c r="H128" s="12"/>
    </row>
    <row r="129" spans="2:8" s="1" customFormat="1" ht="17.100000000000001" customHeight="1">
      <c r="B129" s="12"/>
      <c r="C129" s="22" t="s">
        <v>1</v>
      </c>
      <c r="D129" s="22" t="s">
        <v>2883</v>
      </c>
      <c r="E129" s="23" t="s">
        <v>1</v>
      </c>
      <c r="F129" s="24">
        <v>431.26</v>
      </c>
      <c r="H129" s="12"/>
    </row>
    <row r="130" spans="2:8" s="1" customFormat="1" ht="17.100000000000001" customHeight="1">
      <c r="B130" s="12"/>
      <c r="C130" s="22" t="s">
        <v>297</v>
      </c>
      <c r="D130" s="22" t="s">
        <v>741</v>
      </c>
      <c r="E130" s="23" t="s">
        <v>1</v>
      </c>
      <c r="F130" s="24">
        <v>431.26</v>
      </c>
      <c r="H130" s="12"/>
    </row>
    <row r="131" spans="2:8" s="1" customFormat="1" ht="17.100000000000001" customHeight="1">
      <c r="B131" s="12"/>
      <c r="C131" s="25" t="s">
        <v>6116</v>
      </c>
      <c r="H131" s="12"/>
    </row>
    <row r="132" spans="2:8" s="1" customFormat="1" ht="20.399999999999999">
      <c r="B132" s="12"/>
      <c r="C132" s="22" t="s">
        <v>2880</v>
      </c>
      <c r="D132" s="22" t="s">
        <v>2881</v>
      </c>
      <c r="E132" s="23" t="s">
        <v>279</v>
      </c>
      <c r="F132" s="24">
        <v>972.47</v>
      </c>
      <c r="H132" s="12"/>
    </row>
    <row r="133" spans="2:8" s="1" customFormat="1" ht="17.100000000000001" customHeight="1">
      <c r="B133" s="12"/>
      <c r="C133" s="22" t="s">
        <v>2871</v>
      </c>
      <c r="D133" s="22" t="s">
        <v>2872</v>
      </c>
      <c r="E133" s="23" t="s">
        <v>279</v>
      </c>
      <c r="F133" s="24">
        <v>1328.192</v>
      </c>
      <c r="H133" s="12"/>
    </row>
    <row r="134" spans="2:8" s="1" customFormat="1" ht="20.399999999999999">
      <c r="B134" s="12"/>
      <c r="C134" s="22" t="s">
        <v>3134</v>
      </c>
      <c r="D134" s="22" t="s">
        <v>3135</v>
      </c>
      <c r="E134" s="23" t="s">
        <v>279</v>
      </c>
      <c r="F134" s="24">
        <v>1047.1300000000001</v>
      </c>
      <c r="H134" s="12"/>
    </row>
    <row r="135" spans="2:8" s="1" customFormat="1" ht="17.100000000000001" customHeight="1">
      <c r="B135" s="12"/>
      <c r="C135" s="22" t="s">
        <v>1625</v>
      </c>
      <c r="D135" s="22" t="s">
        <v>1626</v>
      </c>
      <c r="E135" s="23" t="s">
        <v>279</v>
      </c>
      <c r="F135" s="24">
        <v>2084.5320000000002</v>
      </c>
      <c r="H135" s="12"/>
    </row>
    <row r="136" spans="2:8" s="1" customFormat="1" ht="17.100000000000001" customHeight="1">
      <c r="B136" s="12"/>
      <c r="C136" s="22" t="s">
        <v>3077</v>
      </c>
      <c r="D136" s="22" t="s">
        <v>3078</v>
      </c>
      <c r="E136" s="23" t="s">
        <v>279</v>
      </c>
      <c r="F136" s="24">
        <v>813.99099999999999</v>
      </c>
      <c r="H136" s="12"/>
    </row>
    <row r="137" spans="2:8" s="1" customFormat="1" ht="17.100000000000001" customHeight="1">
      <c r="B137" s="12"/>
      <c r="C137" s="18" t="s">
        <v>300</v>
      </c>
      <c r="D137" s="19" t="s">
        <v>1</v>
      </c>
      <c r="E137" s="20" t="s">
        <v>279</v>
      </c>
      <c r="F137" s="21">
        <v>44.6</v>
      </c>
      <c r="H137" s="12"/>
    </row>
    <row r="138" spans="2:8" s="1" customFormat="1" ht="17.100000000000001" customHeight="1">
      <c r="B138" s="12"/>
      <c r="C138" s="22" t="s">
        <v>1</v>
      </c>
      <c r="D138" s="22" t="s">
        <v>2884</v>
      </c>
      <c r="E138" s="23" t="s">
        <v>1</v>
      </c>
      <c r="F138" s="24">
        <v>0</v>
      </c>
      <c r="H138" s="12"/>
    </row>
    <row r="139" spans="2:8" s="1" customFormat="1" ht="17.100000000000001" customHeight="1">
      <c r="B139" s="12"/>
      <c r="C139" s="22" t="s">
        <v>1</v>
      </c>
      <c r="D139" s="22" t="s">
        <v>2885</v>
      </c>
      <c r="E139" s="23" t="s">
        <v>1</v>
      </c>
      <c r="F139" s="24">
        <v>8.3800000000000008</v>
      </c>
      <c r="H139" s="12"/>
    </row>
    <row r="140" spans="2:8" s="1" customFormat="1" ht="17.100000000000001" customHeight="1">
      <c r="B140" s="12"/>
      <c r="C140" s="22" t="s">
        <v>1</v>
      </c>
      <c r="D140" s="22" t="s">
        <v>2886</v>
      </c>
      <c r="E140" s="23" t="s">
        <v>1</v>
      </c>
      <c r="F140" s="24">
        <v>11.8</v>
      </c>
      <c r="H140" s="12"/>
    </row>
    <row r="141" spans="2:8" s="1" customFormat="1" ht="17.100000000000001" customHeight="1">
      <c r="B141" s="12"/>
      <c r="C141" s="22" t="s">
        <v>1</v>
      </c>
      <c r="D141" s="22" t="s">
        <v>2887</v>
      </c>
      <c r="E141" s="23" t="s">
        <v>1</v>
      </c>
      <c r="F141" s="24">
        <v>12.27</v>
      </c>
      <c r="H141" s="12"/>
    </row>
    <row r="142" spans="2:8" s="1" customFormat="1" ht="17.100000000000001" customHeight="1">
      <c r="B142" s="12"/>
      <c r="C142" s="22" t="s">
        <v>1</v>
      </c>
      <c r="D142" s="22" t="s">
        <v>2888</v>
      </c>
      <c r="E142" s="23" t="s">
        <v>1</v>
      </c>
      <c r="F142" s="24">
        <v>12.15</v>
      </c>
      <c r="H142" s="12"/>
    </row>
    <row r="143" spans="2:8" s="1" customFormat="1" ht="17.100000000000001" customHeight="1">
      <c r="B143" s="12"/>
      <c r="C143" s="22" t="s">
        <v>300</v>
      </c>
      <c r="D143" s="22" t="s">
        <v>741</v>
      </c>
      <c r="E143" s="23" t="s">
        <v>1</v>
      </c>
      <c r="F143" s="24">
        <v>44.6</v>
      </c>
      <c r="H143" s="12"/>
    </row>
    <row r="144" spans="2:8" s="1" customFormat="1" ht="17.100000000000001" customHeight="1">
      <c r="B144" s="12"/>
      <c r="C144" s="25" t="s">
        <v>6116</v>
      </c>
      <c r="H144" s="12"/>
    </row>
    <row r="145" spans="2:8" s="1" customFormat="1" ht="20.399999999999999">
      <c r="B145" s="12"/>
      <c r="C145" s="22" t="s">
        <v>2880</v>
      </c>
      <c r="D145" s="22" t="s">
        <v>2881</v>
      </c>
      <c r="E145" s="23" t="s">
        <v>279</v>
      </c>
      <c r="F145" s="24">
        <v>972.47</v>
      </c>
      <c r="H145" s="12"/>
    </row>
    <row r="146" spans="2:8" s="1" customFormat="1" ht="17.100000000000001" customHeight="1">
      <c r="B146" s="12"/>
      <c r="C146" s="22" t="s">
        <v>2871</v>
      </c>
      <c r="D146" s="22" t="s">
        <v>2872</v>
      </c>
      <c r="E146" s="23" t="s">
        <v>279</v>
      </c>
      <c r="F146" s="24">
        <v>1328.192</v>
      </c>
      <c r="H146" s="12"/>
    </row>
    <row r="147" spans="2:8" s="1" customFormat="1" ht="20.399999999999999">
      <c r="B147" s="12"/>
      <c r="C147" s="22" t="s">
        <v>3134</v>
      </c>
      <c r="D147" s="22" t="s">
        <v>3135</v>
      </c>
      <c r="E147" s="23" t="s">
        <v>279</v>
      </c>
      <c r="F147" s="24">
        <v>1047.1300000000001</v>
      </c>
      <c r="H147" s="12"/>
    </row>
    <row r="148" spans="2:8" s="1" customFormat="1" ht="17.100000000000001" customHeight="1">
      <c r="B148" s="12"/>
      <c r="C148" s="22" t="s">
        <v>1625</v>
      </c>
      <c r="D148" s="22" t="s">
        <v>1626</v>
      </c>
      <c r="E148" s="23" t="s">
        <v>279</v>
      </c>
      <c r="F148" s="24">
        <v>2084.5320000000002</v>
      </c>
      <c r="H148" s="12"/>
    </row>
    <row r="149" spans="2:8" s="1" customFormat="1" ht="17.100000000000001" customHeight="1">
      <c r="B149" s="12"/>
      <c r="C149" s="22" t="s">
        <v>3077</v>
      </c>
      <c r="D149" s="22" t="s">
        <v>3078</v>
      </c>
      <c r="E149" s="23" t="s">
        <v>279</v>
      </c>
      <c r="F149" s="24">
        <v>813.99099999999999</v>
      </c>
      <c r="H149" s="12"/>
    </row>
    <row r="150" spans="2:8" s="1" customFormat="1" ht="20.399999999999999">
      <c r="B150" s="12"/>
      <c r="C150" s="22" t="s">
        <v>3092</v>
      </c>
      <c r="D150" s="22" t="s">
        <v>3093</v>
      </c>
      <c r="E150" s="23" t="s">
        <v>279</v>
      </c>
      <c r="F150" s="24">
        <v>155.27500000000001</v>
      </c>
      <c r="H150" s="12"/>
    </row>
    <row r="151" spans="2:8" s="1" customFormat="1" ht="17.100000000000001" customHeight="1">
      <c r="B151" s="12"/>
      <c r="C151" s="18" t="s">
        <v>302</v>
      </c>
      <c r="D151" s="19" t="s">
        <v>1</v>
      </c>
      <c r="E151" s="20" t="s">
        <v>279</v>
      </c>
      <c r="F151" s="21">
        <v>32.97</v>
      </c>
      <c r="H151" s="12"/>
    </row>
    <row r="152" spans="2:8" s="1" customFormat="1" ht="17.100000000000001" customHeight="1">
      <c r="B152" s="12"/>
      <c r="C152" s="22" t="s">
        <v>1</v>
      </c>
      <c r="D152" s="22" t="s">
        <v>1616</v>
      </c>
      <c r="E152" s="23" t="s">
        <v>1</v>
      </c>
      <c r="F152" s="24">
        <v>0</v>
      </c>
      <c r="H152" s="12"/>
    </row>
    <row r="153" spans="2:8" s="1" customFormat="1" ht="17.100000000000001" customHeight="1">
      <c r="B153" s="12"/>
      <c r="C153" s="22" t="s">
        <v>302</v>
      </c>
      <c r="D153" s="22" t="s">
        <v>1617</v>
      </c>
      <c r="E153" s="23" t="s">
        <v>1</v>
      </c>
      <c r="F153" s="24">
        <v>32.97</v>
      </c>
      <c r="H153" s="12"/>
    </row>
    <row r="154" spans="2:8" s="1" customFormat="1" ht="17.100000000000001" customHeight="1">
      <c r="B154" s="12"/>
      <c r="C154" s="25" t="s">
        <v>6116</v>
      </c>
      <c r="H154" s="12"/>
    </row>
    <row r="155" spans="2:8" s="1" customFormat="1" ht="17.100000000000001" customHeight="1">
      <c r="B155" s="12"/>
      <c r="C155" s="22" t="s">
        <v>1613</v>
      </c>
      <c r="D155" s="22" t="s">
        <v>1614</v>
      </c>
      <c r="E155" s="23" t="s">
        <v>279</v>
      </c>
      <c r="F155" s="24">
        <v>496.61</v>
      </c>
      <c r="H155" s="12"/>
    </row>
    <row r="156" spans="2:8" s="1" customFormat="1" ht="17.100000000000001" customHeight="1">
      <c r="B156" s="12"/>
      <c r="C156" s="22" t="s">
        <v>2850</v>
      </c>
      <c r="D156" s="22" t="s">
        <v>2851</v>
      </c>
      <c r="E156" s="23" t="s">
        <v>279</v>
      </c>
      <c r="F156" s="24">
        <v>280.48</v>
      </c>
      <c r="H156" s="12"/>
    </row>
    <row r="157" spans="2:8" s="1" customFormat="1" ht="17.100000000000001" customHeight="1">
      <c r="B157" s="12"/>
      <c r="C157" s="22" t="s">
        <v>2871</v>
      </c>
      <c r="D157" s="22" t="s">
        <v>2872</v>
      </c>
      <c r="E157" s="23" t="s">
        <v>279</v>
      </c>
      <c r="F157" s="24">
        <v>1328.192</v>
      </c>
      <c r="H157" s="12"/>
    </row>
    <row r="158" spans="2:8" s="1" customFormat="1" ht="20.399999999999999">
      <c r="B158" s="12"/>
      <c r="C158" s="22" t="s">
        <v>2880</v>
      </c>
      <c r="D158" s="22" t="s">
        <v>2881</v>
      </c>
      <c r="E158" s="23" t="s">
        <v>279</v>
      </c>
      <c r="F158" s="24">
        <v>972.47</v>
      </c>
      <c r="H158" s="12"/>
    </row>
    <row r="159" spans="2:8" s="1" customFormat="1" ht="20.399999999999999">
      <c r="B159" s="12"/>
      <c r="C159" s="22" t="s">
        <v>3134</v>
      </c>
      <c r="D159" s="22" t="s">
        <v>3135</v>
      </c>
      <c r="E159" s="23" t="s">
        <v>279</v>
      </c>
      <c r="F159" s="24">
        <v>1047.1300000000001</v>
      </c>
      <c r="H159" s="12"/>
    </row>
    <row r="160" spans="2:8" s="1" customFormat="1" ht="17.100000000000001" customHeight="1">
      <c r="B160" s="12"/>
      <c r="C160" s="22" t="s">
        <v>1625</v>
      </c>
      <c r="D160" s="22" t="s">
        <v>1626</v>
      </c>
      <c r="E160" s="23" t="s">
        <v>279</v>
      </c>
      <c r="F160" s="24">
        <v>2084.5320000000002</v>
      </c>
      <c r="H160" s="12"/>
    </row>
    <row r="161" spans="2:8" s="1" customFormat="1" ht="17.100000000000001" customHeight="1">
      <c r="B161" s="12"/>
      <c r="C161" s="22" t="s">
        <v>3082</v>
      </c>
      <c r="D161" s="22" t="s">
        <v>3083</v>
      </c>
      <c r="E161" s="23" t="s">
        <v>279</v>
      </c>
      <c r="F161" s="24">
        <v>33.628999999999998</v>
      </c>
      <c r="H161" s="12"/>
    </row>
    <row r="162" spans="2:8" s="1" customFormat="1" ht="20.399999999999999">
      <c r="B162" s="12"/>
      <c r="C162" s="22" t="s">
        <v>3092</v>
      </c>
      <c r="D162" s="22" t="s">
        <v>3093</v>
      </c>
      <c r="E162" s="23" t="s">
        <v>279</v>
      </c>
      <c r="F162" s="24">
        <v>155.27500000000001</v>
      </c>
      <c r="H162" s="12"/>
    </row>
    <row r="163" spans="2:8" s="1" customFormat="1" ht="17.100000000000001" customHeight="1">
      <c r="B163" s="12"/>
      <c r="C163" s="18" t="s">
        <v>304</v>
      </c>
      <c r="D163" s="19" t="s">
        <v>1</v>
      </c>
      <c r="E163" s="20" t="s">
        <v>279</v>
      </c>
      <c r="F163" s="21">
        <v>185.99</v>
      </c>
      <c r="H163" s="12"/>
    </row>
    <row r="164" spans="2:8" s="1" customFormat="1" ht="17.100000000000001" customHeight="1">
      <c r="B164" s="12"/>
      <c r="C164" s="22" t="s">
        <v>1</v>
      </c>
      <c r="D164" s="22" t="s">
        <v>1618</v>
      </c>
      <c r="E164" s="23" t="s">
        <v>1</v>
      </c>
      <c r="F164" s="24">
        <v>0</v>
      </c>
      <c r="H164" s="12"/>
    </row>
    <row r="165" spans="2:8" s="1" customFormat="1" ht="17.100000000000001" customHeight="1">
      <c r="B165" s="12"/>
      <c r="C165" s="22" t="s">
        <v>1</v>
      </c>
      <c r="D165" s="22" t="s">
        <v>1619</v>
      </c>
      <c r="E165" s="23" t="s">
        <v>1</v>
      </c>
      <c r="F165" s="24">
        <v>55.12</v>
      </c>
      <c r="H165" s="12"/>
    </row>
    <row r="166" spans="2:8" s="1" customFormat="1" ht="17.100000000000001" customHeight="1">
      <c r="B166" s="12"/>
      <c r="C166" s="22" t="s">
        <v>1</v>
      </c>
      <c r="D166" s="22" t="s">
        <v>1620</v>
      </c>
      <c r="E166" s="23" t="s">
        <v>1</v>
      </c>
      <c r="F166" s="24">
        <v>28.48</v>
      </c>
      <c r="H166" s="12"/>
    </row>
    <row r="167" spans="2:8" s="1" customFormat="1" ht="17.100000000000001" customHeight="1">
      <c r="B167" s="12"/>
      <c r="C167" s="22" t="s">
        <v>1</v>
      </c>
      <c r="D167" s="22" t="s">
        <v>1621</v>
      </c>
      <c r="E167" s="23" t="s">
        <v>1</v>
      </c>
      <c r="F167" s="24">
        <v>53.27</v>
      </c>
      <c r="H167" s="12"/>
    </row>
    <row r="168" spans="2:8" s="1" customFormat="1" ht="17.100000000000001" customHeight="1">
      <c r="B168" s="12"/>
      <c r="C168" s="22" t="s">
        <v>1</v>
      </c>
      <c r="D168" s="22" t="s">
        <v>1622</v>
      </c>
      <c r="E168" s="23" t="s">
        <v>1</v>
      </c>
      <c r="F168" s="24">
        <v>49.12</v>
      </c>
      <c r="H168" s="12"/>
    </row>
    <row r="169" spans="2:8" s="1" customFormat="1" ht="17.100000000000001" customHeight="1">
      <c r="B169" s="12"/>
      <c r="C169" s="22" t="s">
        <v>304</v>
      </c>
      <c r="D169" s="22" t="s">
        <v>741</v>
      </c>
      <c r="E169" s="23" t="s">
        <v>1</v>
      </c>
      <c r="F169" s="24">
        <v>185.99</v>
      </c>
      <c r="H169" s="12"/>
    </row>
    <row r="170" spans="2:8" s="1" customFormat="1" ht="17.100000000000001" customHeight="1">
      <c r="B170" s="12"/>
      <c r="C170" s="25" t="s">
        <v>6116</v>
      </c>
      <c r="H170" s="12"/>
    </row>
    <row r="171" spans="2:8" s="1" customFormat="1" ht="17.100000000000001" customHeight="1">
      <c r="B171" s="12"/>
      <c r="C171" s="22" t="s">
        <v>1613</v>
      </c>
      <c r="D171" s="22" t="s">
        <v>1614</v>
      </c>
      <c r="E171" s="23" t="s">
        <v>279</v>
      </c>
      <c r="F171" s="24">
        <v>496.61</v>
      </c>
      <c r="H171" s="12"/>
    </row>
    <row r="172" spans="2:8" s="1" customFormat="1" ht="17.100000000000001" customHeight="1">
      <c r="B172" s="12"/>
      <c r="C172" s="22" t="s">
        <v>2871</v>
      </c>
      <c r="D172" s="22" t="s">
        <v>2872</v>
      </c>
      <c r="E172" s="23" t="s">
        <v>279</v>
      </c>
      <c r="F172" s="24">
        <v>1328.192</v>
      </c>
      <c r="H172" s="12"/>
    </row>
    <row r="173" spans="2:8" s="1" customFormat="1" ht="20.399999999999999">
      <c r="B173" s="12"/>
      <c r="C173" s="22" t="s">
        <v>2880</v>
      </c>
      <c r="D173" s="22" t="s">
        <v>2881</v>
      </c>
      <c r="E173" s="23" t="s">
        <v>279</v>
      </c>
      <c r="F173" s="24">
        <v>972.47</v>
      </c>
      <c r="H173" s="12"/>
    </row>
    <row r="174" spans="2:8" s="1" customFormat="1" ht="20.399999999999999">
      <c r="B174" s="12"/>
      <c r="C174" s="22" t="s">
        <v>3134</v>
      </c>
      <c r="D174" s="22" t="s">
        <v>3135</v>
      </c>
      <c r="E174" s="23" t="s">
        <v>279</v>
      </c>
      <c r="F174" s="24">
        <v>1047.1300000000001</v>
      </c>
      <c r="H174" s="12"/>
    </row>
    <row r="175" spans="2:8" s="1" customFormat="1" ht="17.100000000000001" customHeight="1">
      <c r="B175" s="12"/>
      <c r="C175" s="22" t="s">
        <v>1625</v>
      </c>
      <c r="D175" s="22" t="s">
        <v>1626</v>
      </c>
      <c r="E175" s="23" t="s">
        <v>279</v>
      </c>
      <c r="F175" s="24">
        <v>2084.5320000000002</v>
      </c>
      <c r="H175" s="12"/>
    </row>
    <row r="176" spans="2:8" s="1" customFormat="1" ht="17.100000000000001" customHeight="1">
      <c r="B176" s="12"/>
      <c r="C176" s="22" t="s">
        <v>3087</v>
      </c>
      <c r="D176" s="22" t="s">
        <v>3088</v>
      </c>
      <c r="E176" s="23" t="s">
        <v>279</v>
      </c>
      <c r="F176" s="24">
        <v>189.71</v>
      </c>
      <c r="H176" s="12"/>
    </row>
    <row r="177" spans="2:8" s="1" customFormat="1" ht="20.399999999999999">
      <c r="B177" s="12"/>
      <c r="C177" s="22" t="s">
        <v>3097</v>
      </c>
      <c r="D177" s="22" t="s">
        <v>3098</v>
      </c>
      <c r="E177" s="23" t="s">
        <v>279</v>
      </c>
      <c r="F177" s="24">
        <v>189.71</v>
      </c>
      <c r="H177" s="12"/>
    </row>
    <row r="178" spans="2:8" s="1" customFormat="1" ht="17.100000000000001" customHeight="1">
      <c r="B178" s="12"/>
      <c r="C178" s="18" t="s">
        <v>306</v>
      </c>
      <c r="D178" s="19" t="s">
        <v>1</v>
      </c>
      <c r="E178" s="20" t="s">
        <v>279</v>
      </c>
      <c r="F178" s="21">
        <v>74.66</v>
      </c>
      <c r="H178" s="12"/>
    </row>
    <row r="179" spans="2:8" s="1" customFormat="1" ht="17.100000000000001" customHeight="1">
      <c r="B179" s="12"/>
      <c r="C179" s="22" t="s">
        <v>1</v>
      </c>
      <c r="D179" s="22" t="s">
        <v>1632</v>
      </c>
      <c r="E179" s="23" t="s">
        <v>1</v>
      </c>
      <c r="F179" s="24">
        <v>0</v>
      </c>
      <c r="H179" s="12"/>
    </row>
    <row r="180" spans="2:8" s="1" customFormat="1" ht="17.100000000000001" customHeight="1">
      <c r="B180" s="12"/>
      <c r="C180" s="22" t="s">
        <v>1</v>
      </c>
      <c r="D180" s="22" t="s">
        <v>1633</v>
      </c>
      <c r="E180" s="23" t="s">
        <v>1</v>
      </c>
      <c r="F180" s="24">
        <v>18.190000000000001</v>
      </c>
      <c r="H180" s="12"/>
    </row>
    <row r="181" spans="2:8" s="1" customFormat="1" ht="17.100000000000001" customHeight="1">
      <c r="B181" s="12"/>
      <c r="C181" s="22" t="s">
        <v>1</v>
      </c>
      <c r="D181" s="22" t="s">
        <v>1634</v>
      </c>
      <c r="E181" s="23" t="s">
        <v>1</v>
      </c>
      <c r="F181" s="24">
        <v>18.2</v>
      </c>
      <c r="H181" s="12"/>
    </row>
    <row r="182" spans="2:8" s="1" customFormat="1" ht="17.100000000000001" customHeight="1">
      <c r="B182" s="12"/>
      <c r="C182" s="22" t="s">
        <v>1</v>
      </c>
      <c r="D182" s="22" t="s">
        <v>1635</v>
      </c>
      <c r="E182" s="23" t="s">
        <v>1</v>
      </c>
      <c r="F182" s="24">
        <v>19.170000000000002</v>
      </c>
      <c r="H182" s="12"/>
    </row>
    <row r="183" spans="2:8" s="1" customFormat="1" ht="17.100000000000001" customHeight="1">
      <c r="B183" s="12"/>
      <c r="C183" s="22" t="s">
        <v>1</v>
      </c>
      <c r="D183" s="22" t="s">
        <v>1636</v>
      </c>
      <c r="E183" s="23" t="s">
        <v>1</v>
      </c>
      <c r="F183" s="24">
        <v>19.100000000000001</v>
      </c>
      <c r="H183" s="12"/>
    </row>
    <row r="184" spans="2:8" s="1" customFormat="1" ht="17.100000000000001" customHeight="1">
      <c r="B184" s="12"/>
      <c r="C184" s="22" t="s">
        <v>306</v>
      </c>
      <c r="D184" s="22" t="s">
        <v>741</v>
      </c>
      <c r="E184" s="23" t="s">
        <v>1</v>
      </c>
      <c r="F184" s="24">
        <v>74.66</v>
      </c>
      <c r="H184" s="12"/>
    </row>
    <row r="185" spans="2:8" s="1" customFormat="1" ht="17.100000000000001" customHeight="1">
      <c r="B185" s="12"/>
      <c r="C185" s="25" t="s">
        <v>6116</v>
      </c>
      <c r="H185" s="12"/>
    </row>
    <row r="186" spans="2:8" s="1" customFormat="1" ht="17.100000000000001" customHeight="1">
      <c r="B186" s="12"/>
      <c r="C186" s="22" t="s">
        <v>1625</v>
      </c>
      <c r="D186" s="22" t="s">
        <v>1626</v>
      </c>
      <c r="E186" s="23" t="s">
        <v>279</v>
      </c>
      <c r="F186" s="24">
        <v>2084.5320000000002</v>
      </c>
      <c r="H186" s="12"/>
    </row>
    <row r="187" spans="2:8" s="1" customFormat="1" ht="17.100000000000001" customHeight="1">
      <c r="B187" s="12"/>
      <c r="C187" s="22" t="s">
        <v>2871</v>
      </c>
      <c r="D187" s="22" t="s">
        <v>2872</v>
      </c>
      <c r="E187" s="23" t="s">
        <v>279</v>
      </c>
      <c r="F187" s="24">
        <v>1328.192</v>
      </c>
      <c r="H187" s="12"/>
    </row>
    <row r="188" spans="2:8" s="1" customFormat="1" ht="20.399999999999999">
      <c r="B188" s="12"/>
      <c r="C188" s="22" t="s">
        <v>2895</v>
      </c>
      <c r="D188" s="22" t="s">
        <v>2881</v>
      </c>
      <c r="E188" s="23" t="s">
        <v>279</v>
      </c>
      <c r="F188" s="24">
        <v>74.66</v>
      </c>
      <c r="H188" s="12"/>
    </row>
    <row r="189" spans="2:8" s="1" customFormat="1" ht="20.399999999999999">
      <c r="B189" s="12"/>
      <c r="C189" s="22" t="s">
        <v>3134</v>
      </c>
      <c r="D189" s="22" t="s">
        <v>3135</v>
      </c>
      <c r="E189" s="23" t="s">
        <v>279</v>
      </c>
      <c r="F189" s="24">
        <v>1047.1300000000001</v>
      </c>
      <c r="H189" s="12"/>
    </row>
    <row r="190" spans="2:8" s="1" customFormat="1" ht="17.100000000000001" customHeight="1">
      <c r="B190" s="12"/>
      <c r="C190" s="22" t="s">
        <v>3077</v>
      </c>
      <c r="D190" s="22" t="s">
        <v>3078</v>
      </c>
      <c r="E190" s="23" t="s">
        <v>279</v>
      </c>
      <c r="F190" s="24">
        <v>813.99099999999999</v>
      </c>
      <c r="H190" s="12"/>
    </row>
    <row r="191" spans="2:8" s="1" customFormat="1" ht="20.399999999999999">
      <c r="B191" s="12"/>
      <c r="C191" s="22" t="s">
        <v>3092</v>
      </c>
      <c r="D191" s="22" t="s">
        <v>3093</v>
      </c>
      <c r="E191" s="23" t="s">
        <v>279</v>
      </c>
      <c r="F191" s="24">
        <v>155.27500000000001</v>
      </c>
      <c r="H191" s="12"/>
    </row>
    <row r="192" spans="2:8" s="1" customFormat="1" ht="17.100000000000001" customHeight="1">
      <c r="B192" s="12"/>
      <c r="C192" s="18" t="s">
        <v>308</v>
      </c>
      <c r="D192" s="19" t="s">
        <v>1</v>
      </c>
      <c r="E192" s="20" t="s">
        <v>279</v>
      </c>
      <c r="F192" s="21">
        <v>30.14</v>
      </c>
      <c r="H192" s="12"/>
    </row>
    <row r="193" spans="2:8" s="1" customFormat="1" ht="17.100000000000001" customHeight="1">
      <c r="B193" s="12"/>
      <c r="C193" s="22" t="s">
        <v>1</v>
      </c>
      <c r="D193" s="22" t="s">
        <v>987</v>
      </c>
      <c r="E193" s="23" t="s">
        <v>1</v>
      </c>
      <c r="F193" s="24">
        <v>0</v>
      </c>
      <c r="H193" s="12"/>
    </row>
    <row r="194" spans="2:8" s="1" customFormat="1" ht="17.100000000000001" customHeight="1">
      <c r="B194" s="12"/>
      <c r="C194" s="22" t="s">
        <v>308</v>
      </c>
      <c r="D194" s="22" t="s">
        <v>1623</v>
      </c>
      <c r="E194" s="23" t="s">
        <v>1</v>
      </c>
      <c r="F194" s="24">
        <v>30.14</v>
      </c>
      <c r="H194" s="12"/>
    </row>
    <row r="195" spans="2:8" s="1" customFormat="1" ht="17.100000000000001" customHeight="1">
      <c r="B195" s="12"/>
      <c r="C195" s="25" t="s">
        <v>6116</v>
      </c>
      <c r="H195" s="12"/>
    </row>
    <row r="196" spans="2:8" s="1" customFormat="1" ht="17.100000000000001" customHeight="1">
      <c r="B196" s="12"/>
      <c r="C196" s="22" t="s">
        <v>1613</v>
      </c>
      <c r="D196" s="22" t="s">
        <v>1614</v>
      </c>
      <c r="E196" s="23" t="s">
        <v>279</v>
      </c>
      <c r="F196" s="24">
        <v>496.61</v>
      </c>
      <c r="H196" s="12"/>
    </row>
    <row r="197" spans="2:8" s="1" customFormat="1" ht="17.100000000000001" customHeight="1">
      <c r="B197" s="12"/>
      <c r="C197" s="22" t="s">
        <v>2871</v>
      </c>
      <c r="D197" s="22" t="s">
        <v>2872</v>
      </c>
      <c r="E197" s="23" t="s">
        <v>279</v>
      </c>
      <c r="F197" s="24">
        <v>1328.192</v>
      </c>
      <c r="H197" s="12"/>
    </row>
    <row r="198" spans="2:8" s="1" customFormat="1" ht="20.399999999999999">
      <c r="B198" s="12"/>
      <c r="C198" s="22" t="s">
        <v>2880</v>
      </c>
      <c r="D198" s="22" t="s">
        <v>2881</v>
      </c>
      <c r="E198" s="23" t="s">
        <v>279</v>
      </c>
      <c r="F198" s="24">
        <v>972.47</v>
      </c>
      <c r="H198" s="12"/>
    </row>
    <row r="199" spans="2:8" s="1" customFormat="1" ht="20.399999999999999">
      <c r="B199" s="12"/>
      <c r="C199" s="22" t="s">
        <v>3134</v>
      </c>
      <c r="D199" s="22" t="s">
        <v>3135</v>
      </c>
      <c r="E199" s="23" t="s">
        <v>279</v>
      </c>
      <c r="F199" s="24">
        <v>1047.1300000000001</v>
      </c>
      <c r="H199" s="12"/>
    </row>
    <row r="200" spans="2:8" s="1" customFormat="1" ht="17.100000000000001" customHeight="1">
      <c r="B200" s="12"/>
      <c r="C200" s="22" t="s">
        <v>1625</v>
      </c>
      <c r="D200" s="22" t="s">
        <v>1626</v>
      </c>
      <c r="E200" s="23" t="s">
        <v>279</v>
      </c>
      <c r="F200" s="24">
        <v>2084.5320000000002</v>
      </c>
      <c r="H200" s="12"/>
    </row>
    <row r="201" spans="2:8" s="1" customFormat="1" ht="17.100000000000001" customHeight="1">
      <c r="B201" s="12"/>
      <c r="C201" s="22" t="s">
        <v>3101</v>
      </c>
      <c r="D201" s="22" t="s">
        <v>3102</v>
      </c>
      <c r="E201" s="23" t="s">
        <v>279</v>
      </c>
      <c r="F201" s="24">
        <v>30.742999999999999</v>
      </c>
      <c r="H201" s="12"/>
    </row>
    <row r="202" spans="2:8" s="1" customFormat="1" ht="20.399999999999999">
      <c r="B202" s="12"/>
      <c r="C202" s="22" t="s">
        <v>3106</v>
      </c>
      <c r="D202" s="22" t="s">
        <v>3107</v>
      </c>
      <c r="E202" s="23" t="s">
        <v>279</v>
      </c>
      <c r="F202" s="24">
        <v>30.742999999999999</v>
      </c>
      <c r="H202" s="12"/>
    </row>
    <row r="203" spans="2:8" s="1" customFormat="1" ht="17.100000000000001" customHeight="1">
      <c r="B203" s="12"/>
      <c r="C203" s="18" t="s">
        <v>310</v>
      </c>
      <c r="D203" s="19" t="s">
        <v>1</v>
      </c>
      <c r="E203" s="20" t="s">
        <v>279</v>
      </c>
      <c r="F203" s="21">
        <v>1217.07</v>
      </c>
      <c r="H203" s="12"/>
    </row>
    <row r="204" spans="2:8" s="1" customFormat="1" ht="17.100000000000001" customHeight="1">
      <c r="B204" s="12"/>
      <c r="C204" s="22" t="s">
        <v>1</v>
      </c>
      <c r="D204" s="22" t="s">
        <v>1243</v>
      </c>
      <c r="E204" s="23" t="s">
        <v>1</v>
      </c>
      <c r="F204" s="24">
        <v>0</v>
      </c>
      <c r="H204" s="12"/>
    </row>
    <row r="205" spans="2:8" s="1" customFormat="1" ht="17.100000000000001" customHeight="1">
      <c r="B205" s="12"/>
      <c r="C205" s="22" t="s">
        <v>1</v>
      </c>
      <c r="D205" s="22" t="s">
        <v>669</v>
      </c>
      <c r="E205" s="23" t="s">
        <v>1</v>
      </c>
      <c r="F205" s="24">
        <v>0</v>
      </c>
      <c r="H205" s="12"/>
    </row>
    <row r="206" spans="2:8" s="1" customFormat="1" ht="17.100000000000001" customHeight="1">
      <c r="B206" s="12"/>
      <c r="C206" s="22" t="s">
        <v>310</v>
      </c>
      <c r="D206" s="22" t="s">
        <v>1244</v>
      </c>
      <c r="E206" s="23" t="s">
        <v>1</v>
      </c>
      <c r="F206" s="24">
        <v>1217.07</v>
      </c>
      <c r="H206" s="12"/>
    </row>
    <row r="207" spans="2:8" s="1" customFormat="1" ht="17.100000000000001" customHeight="1">
      <c r="B207" s="12"/>
      <c r="C207" s="25" t="s">
        <v>6116</v>
      </c>
      <c r="H207" s="12"/>
    </row>
    <row r="208" spans="2:8" s="1" customFormat="1" ht="20.399999999999999">
      <c r="B208" s="12"/>
      <c r="C208" s="22" t="s">
        <v>1240</v>
      </c>
      <c r="D208" s="22" t="s">
        <v>1241</v>
      </c>
      <c r="E208" s="23" t="s">
        <v>279</v>
      </c>
      <c r="F208" s="24">
        <v>1217.07</v>
      </c>
      <c r="H208" s="12"/>
    </row>
    <row r="209" spans="2:8" s="1" customFormat="1" ht="20.399999999999999">
      <c r="B209" s="12"/>
      <c r="C209" s="22" t="s">
        <v>3807</v>
      </c>
      <c r="D209" s="22" t="s">
        <v>3808</v>
      </c>
      <c r="E209" s="23" t="s">
        <v>279</v>
      </c>
      <c r="F209" s="24">
        <v>10971.07</v>
      </c>
      <c r="H209" s="12"/>
    </row>
    <row r="210" spans="2:8" s="1" customFormat="1" ht="17.100000000000001" customHeight="1">
      <c r="B210" s="12"/>
      <c r="C210" s="18" t="s">
        <v>312</v>
      </c>
      <c r="D210" s="19" t="s">
        <v>1</v>
      </c>
      <c r="E210" s="20" t="s">
        <v>279</v>
      </c>
      <c r="F210" s="21">
        <v>281.06200000000001</v>
      </c>
      <c r="H210" s="12"/>
    </row>
    <row r="211" spans="2:8" s="1" customFormat="1" ht="17.100000000000001" customHeight="1">
      <c r="B211" s="12"/>
      <c r="C211" s="22" t="s">
        <v>1</v>
      </c>
      <c r="D211" s="22" t="s">
        <v>1637</v>
      </c>
      <c r="E211" s="23" t="s">
        <v>1</v>
      </c>
      <c r="F211" s="24">
        <v>0</v>
      </c>
      <c r="H211" s="12"/>
    </row>
    <row r="212" spans="2:8" s="1" customFormat="1" ht="17.100000000000001" customHeight="1">
      <c r="B212" s="12"/>
      <c r="C212" s="22" t="s">
        <v>1</v>
      </c>
      <c r="D212" s="22" t="s">
        <v>1638</v>
      </c>
      <c r="E212" s="23" t="s">
        <v>1</v>
      </c>
      <c r="F212" s="24">
        <v>281.06200000000001</v>
      </c>
      <c r="H212" s="12"/>
    </row>
    <row r="213" spans="2:8" s="1" customFormat="1" ht="17.100000000000001" customHeight="1">
      <c r="B213" s="12"/>
      <c r="C213" s="22" t="s">
        <v>312</v>
      </c>
      <c r="D213" s="22" t="s">
        <v>741</v>
      </c>
      <c r="E213" s="23" t="s">
        <v>1</v>
      </c>
      <c r="F213" s="24">
        <v>281.06200000000001</v>
      </c>
      <c r="H213" s="12"/>
    </row>
    <row r="214" spans="2:8" s="1" customFormat="1" ht="17.100000000000001" customHeight="1">
      <c r="B214" s="12"/>
      <c r="C214" s="25" t="s">
        <v>6116</v>
      </c>
      <c r="H214" s="12"/>
    </row>
    <row r="215" spans="2:8" s="1" customFormat="1" ht="17.100000000000001" customHeight="1">
      <c r="B215" s="12"/>
      <c r="C215" s="22" t="s">
        <v>1625</v>
      </c>
      <c r="D215" s="22" t="s">
        <v>1626</v>
      </c>
      <c r="E215" s="23" t="s">
        <v>279</v>
      </c>
      <c r="F215" s="24">
        <v>2084.5320000000002</v>
      </c>
      <c r="H215" s="12"/>
    </row>
    <row r="216" spans="2:8" s="1" customFormat="1" ht="17.100000000000001" customHeight="1">
      <c r="B216" s="12"/>
      <c r="C216" s="22" t="s">
        <v>2871</v>
      </c>
      <c r="D216" s="22" t="s">
        <v>2872</v>
      </c>
      <c r="E216" s="23" t="s">
        <v>279</v>
      </c>
      <c r="F216" s="24">
        <v>1328.192</v>
      </c>
      <c r="H216" s="12"/>
    </row>
    <row r="217" spans="2:8" s="1" customFormat="1" ht="17.100000000000001" customHeight="1">
      <c r="B217" s="12"/>
      <c r="C217" s="18" t="s">
        <v>314</v>
      </c>
      <c r="D217" s="19" t="s">
        <v>1</v>
      </c>
      <c r="E217" s="20" t="s">
        <v>279</v>
      </c>
      <c r="F217" s="21">
        <v>84.525000000000006</v>
      </c>
      <c r="H217" s="12"/>
    </row>
    <row r="218" spans="2:8" s="1" customFormat="1" ht="17.100000000000001" customHeight="1">
      <c r="B218" s="12"/>
      <c r="C218" s="22" t="s">
        <v>1</v>
      </c>
      <c r="D218" s="22" t="s">
        <v>878</v>
      </c>
      <c r="E218" s="23" t="s">
        <v>1</v>
      </c>
      <c r="F218" s="24">
        <v>0</v>
      </c>
      <c r="H218" s="12"/>
    </row>
    <row r="219" spans="2:8" s="1" customFormat="1" ht="17.100000000000001" customHeight="1">
      <c r="B219" s="12"/>
      <c r="C219" s="22" t="s">
        <v>1</v>
      </c>
      <c r="D219" s="22" t="s">
        <v>879</v>
      </c>
      <c r="E219" s="23" t="s">
        <v>1</v>
      </c>
      <c r="F219" s="24">
        <v>28.047000000000001</v>
      </c>
      <c r="H219" s="12"/>
    </row>
    <row r="220" spans="2:8" s="1" customFormat="1" ht="17.100000000000001" customHeight="1">
      <c r="B220" s="12"/>
      <c r="C220" s="22" t="s">
        <v>1</v>
      </c>
      <c r="D220" s="22" t="s">
        <v>880</v>
      </c>
      <c r="E220" s="23" t="s">
        <v>1</v>
      </c>
      <c r="F220" s="24">
        <v>25.114999999999998</v>
      </c>
      <c r="H220" s="12"/>
    </row>
    <row r="221" spans="2:8" s="1" customFormat="1" ht="17.100000000000001" customHeight="1">
      <c r="B221" s="12"/>
      <c r="C221" s="22" t="s">
        <v>1</v>
      </c>
      <c r="D221" s="22" t="s">
        <v>881</v>
      </c>
      <c r="E221" s="23" t="s">
        <v>1</v>
      </c>
      <c r="F221" s="24">
        <v>7.3529999999999998</v>
      </c>
      <c r="H221" s="12"/>
    </row>
    <row r="222" spans="2:8" s="1" customFormat="1" ht="17.100000000000001" customHeight="1">
      <c r="B222" s="12"/>
      <c r="C222" s="22" t="s">
        <v>1</v>
      </c>
      <c r="D222" s="22" t="s">
        <v>882</v>
      </c>
      <c r="E222" s="23" t="s">
        <v>1</v>
      </c>
      <c r="F222" s="24">
        <v>24.01</v>
      </c>
      <c r="H222" s="12"/>
    </row>
    <row r="223" spans="2:8" s="1" customFormat="1" ht="17.100000000000001" customHeight="1">
      <c r="B223" s="12"/>
      <c r="C223" s="22" t="s">
        <v>314</v>
      </c>
      <c r="D223" s="22" t="s">
        <v>741</v>
      </c>
      <c r="E223" s="23" t="s">
        <v>1</v>
      </c>
      <c r="F223" s="24">
        <v>84.525000000000006</v>
      </c>
      <c r="H223" s="12"/>
    </row>
    <row r="224" spans="2:8" s="1" customFormat="1" ht="17.100000000000001" customHeight="1">
      <c r="B224" s="12"/>
      <c r="C224" s="25" t="s">
        <v>6116</v>
      </c>
      <c r="H224" s="12"/>
    </row>
    <row r="225" spans="2:8" s="1" customFormat="1" ht="20.399999999999999">
      <c r="B225" s="12"/>
      <c r="C225" s="22" t="s">
        <v>875</v>
      </c>
      <c r="D225" s="22" t="s">
        <v>876</v>
      </c>
      <c r="E225" s="23" t="s">
        <v>279</v>
      </c>
      <c r="F225" s="24">
        <v>84.525000000000006</v>
      </c>
      <c r="H225" s="12"/>
    </row>
    <row r="226" spans="2:8" s="1" customFormat="1" ht="17.100000000000001" customHeight="1">
      <c r="B226" s="12"/>
      <c r="C226" s="22" t="s">
        <v>3005</v>
      </c>
      <c r="D226" s="22" t="s">
        <v>3006</v>
      </c>
      <c r="E226" s="23" t="s">
        <v>279</v>
      </c>
      <c r="F226" s="24">
        <v>86.215999999999994</v>
      </c>
      <c r="H226" s="12"/>
    </row>
    <row r="227" spans="2:8" s="1" customFormat="1" ht="17.100000000000001" customHeight="1">
      <c r="B227" s="12"/>
      <c r="C227" s="18" t="s">
        <v>316</v>
      </c>
      <c r="D227" s="19" t="s">
        <v>1</v>
      </c>
      <c r="E227" s="20" t="s">
        <v>279</v>
      </c>
      <c r="F227" s="21">
        <v>71.016000000000005</v>
      </c>
      <c r="H227" s="12"/>
    </row>
    <row r="228" spans="2:8" s="1" customFormat="1" ht="17.100000000000001" customHeight="1">
      <c r="B228" s="12"/>
      <c r="C228" s="22" t="s">
        <v>1</v>
      </c>
      <c r="D228" s="22" t="s">
        <v>3256</v>
      </c>
      <c r="E228" s="23" t="s">
        <v>1</v>
      </c>
      <c r="F228" s="24">
        <v>0</v>
      </c>
      <c r="H228" s="12"/>
    </row>
    <row r="229" spans="2:8" s="1" customFormat="1" ht="17.100000000000001" customHeight="1">
      <c r="B229" s="12"/>
      <c r="C229" s="22" t="s">
        <v>1</v>
      </c>
      <c r="D229" s="22" t="s">
        <v>3257</v>
      </c>
      <c r="E229" s="23" t="s">
        <v>1</v>
      </c>
      <c r="F229" s="24">
        <v>20.88</v>
      </c>
      <c r="H229" s="12"/>
    </row>
    <row r="230" spans="2:8" s="1" customFormat="1" ht="17.100000000000001" customHeight="1">
      <c r="B230" s="12"/>
      <c r="C230" s="22" t="s">
        <v>1</v>
      </c>
      <c r="D230" s="22" t="s">
        <v>3258</v>
      </c>
      <c r="E230" s="23" t="s">
        <v>1</v>
      </c>
      <c r="F230" s="24">
        <v>18.52</v>
      </c>
      <c r="H230" s="12"/>
    </row>
    <row r="231" spans="2:8" s="1" customFormat="1" ht="17.100000000000001" customHeight="1">
      <c r="B231" s="12"/>
      <c r="C231" s="22" t="s">
        <v>1</v>
      </c>
      <c r="D231" s="22" t="s">
        <v>3259</v>
      </c>
      <c r="E231" s="23" t="s">
        <v>1</v>
      </c>
      <c r="F231" s="24">
        <v>8.1359999999999992</v>
      </c>
      <c r="H231" s="12"/>
    </row>
    <row r="232" spans="2:8" s="1" customFormat="1" ht="17.100000000000001" customHeight="1">
      <c r="B232" s="12"/>
      <c r="C232" s="22" t="s">
        <v>1</v>
      </c>
      <c r="D232" s="22" t="s">
        <v>3260</v>
      </c>
      <c r="E232" s="23" t="s">
        <v>1</v>
      </c>
      <c r="F232" s="24">
        <v>23.48</v>
      </c>
      <c r="H232" s="12"/>
    </row>
    <row r="233" spans="2:8" s="1" customFormat="1" ht="17.100000000000001" customHeight="1">
      <c r="B233" s="12"/>
      <c r="C233" s="22" t="s">
        <v>316</v>
      </c>
      <c r="D233" s="22" t="s">
        <v>741</v>
      </c>
      <c r="E233" s="23" t="s">
        <v>1</v>
      </c>
      <c r="F233" s="24">
        <v>71.016000000000005</v>
      </c>
      <c r="H233" s="12"/>
    </row>
    <row r="234" spans="2:8" s="1" customFormat="1" ht="17.100000000000001" customHeight="1">
      <c r="B234" s="12"/>
      <c r="C234" s="25" t="s">
        <v>6116</v>
      </c>
      <c r="H234" s="12"/>
    </row>
    <row r="235" spans="2:8" s="1" customFormat="1" ht="30.6">
      <c r="B235" s="12"/>
      <c r="C235" s="22" t="s">
        <v>3253</v>
      </c>
      <c r="D235" s="22" t="s">
        <v>3254</v>
      </c>
      <c r="E235" s="23" t="s">
        <v>279</v>
      </c>
      <c r="F235" s="24">
        <v>254.61600000000001</v>
      </c>
      <c r="H235" s="12"/>
    </row>
    <row r="236" spans="2:8" s="1" customFormat="1" ht="20.399999999999999">
      <c r="B236" s="12"/>
      <c r="C236" s="22" t="s">
        <v>1261</v>
      </c>
      <c r="D236" s="22" t="s">
        <v>1262</v>
      </c>
      <c r="E236" s="23" t="s">
        <v>279</v>
      </c>
      <c r="F236" s="24">
        <v>112.70699999999999</v>
      </c>
      <c r="H236" s="12"/>
    </row>
    <row r="237" spans="2:8" s="1" customFormat="1" ht="17.100000000000001" customHeight="1">
      <c r="B237" s="12"/>
      <c r="C237" s="18" t="s">
        <v>318</v>
      </c>
      <c r="D237" s="19" t="s">
        <v>1</v>
      </c>
      <c r="E237" s="20" t="s">
        <v>279</v>
      </c>
      <c r="F237" s="21">
        <v>28.829000000000001</v>
      </c>
      <c r="H237" s="12"/>
    </row>
    <row r="238" spans="2:8" s="1" customFormat="1" ht="17.100000000000001" customHeight="1">
      <c r="B238" s="12"/>
      <c r="C238" s="22" t="s">
        <v>1</v>
      </c>
      <c r="D238" s="22" t="s">
        <v>3051</v>
      </c>
      <c r="E238" s="23" t="s">
        <v>1</v>
      </c>
      <c r="F238" s="24">
        <v>0</v>
      </c>
      <c r="H238" s="12"/>
    </row>
    <row r="239" spans="2:8" s="1" customFormat="1" ht="17.100000000000001" customHeight="1">
      <c r="B239" s="12"/>
      <c r="C239" s="22" t="s">
        <v>1</v>
      </c>
      <c r="D239" s="22" t="s">
        <v>3052</v>
      </c>
      <c r="E239" s="23" t="s">
        <v>1</v>
      </c>
      <c r="F239" s="24">
        <v>7.2549999999999999</v>
      </c>
      <c r="H239" s="12"/>
    </row>
    <row r="240" spans="2:8" s="1" customFormat="1" ht="17.100000000000001" customHeight="1">
      <c r="B240" s="12"/>
      <c r="C240" s="22" t="s">
        <v>1</v>
      </c>
      <c r="D240" s="22" t="s">
        <v>3053</v>
      </c>
      <c r="E240" s="23" t="s">
        <v>1</v>
      </c>
      <c r="F240" s="24">
        <v>8.1</v>
      </c>
      <c r="H240" s="12"/>
    </row>
    <row r="241" spans="2:8" s="1" customFormat="1" ht="17.100000000000001" customHeight="1">
      <c r="B241" s="12"/>
      <c r="C241" s="22" t="s">
        <v>1</v>
      </c>
      <c r="D241" s="22" t="s">
        <v>3054</v>
      </c>
      <c r="E241" s="23" t="s">
        <v>1</v>
      </c>
      <c r="F241" s="24">
        <v>5.2</v>
      </c>
      <c r="H241" s="12"/>
    </row>
    <row r="242" spans="2:8" s="1" customFormat="1" ht="17.100000000000001" customHeight="1">
      <c r="B242" s="12"/>
      <c r="C242" s="22" t="s">
        <v>1</v>
      </c>
      <c r="D242" s="22" t="s">
        <v>3055</v>
      </c>
      <c r="E242" s="23" t="s">
        <v>1</v>
      </c>
      <c r="F242" s="24">
        <v>8.2739999999999991</v>
      </c>
      <c r="H242" s="12"/>
    </row>
    <row r="243" spans="2:8" s="1" customFormat="1" ht="17.100000000000001" customHeight="1">
      <c r="B243" s="12"/>
      <c r="C243" s="22" t="s">
        <v>318</v>
      </c>
      <c r="D243" s="22" t="s">
        <v>368</v>
      </c>
      <c r="E243" s="23" t="s">
        <v>1</v>
      </c>
      <c r="F243" s="24">
        <v>28.829000000000001</v>
      </c>
      <c r="H243" s="12"/>
    </row>
    <row r="244" spans="2:8" s="1" customFormat="1" ht="17.100000000000001" customHeight="1">
      <c r="B244" s="12"/>
      <c r="C244" s="25" t="s">
        <v>6116</v>
      </c>
      <c r="H244" s="12"/>
    </row>
    <row r="245" spans="2:8" s="1" customFormat="1" ht="17.100000000000001" customHeight="1">
      <c r="B245" s="12"/>
      <c r="C245" s="22" t="s">
        <v>3048</v>
      </c>
      <c r="D245" s="22" t="s">
        <v>3049</v>
      </c>
      <c r="E245" s="23" t="s">
        <v>279</v>
      </c>
      <c r="F245" s="24">
        <v>28.829000000000001</v>
      </c>
      <c r="H245" s="12"/>
    </row>
    <row r="246" spans="2:8" s="1" customFormat="1" ht="20.399999999999999">
      <c r="B246" s="12"/>
      <c r="C246" s="22" t="s">
        <v>1261</v>
      </c>
      <c r="D246" s="22" t="s">
        <v>1262</v>
      </c>
      <c r="E246" s="23" t="s">
        <v>279</v>
      </c>
      <c r="F246" s="24">
        <v>112.70699999999999</v>
      </c>
      <c r="H246" s="12"/>
    </row>
    <row r="247" spans="2:8" s="1" customFormat="1" ht="17.100000000000001" customHeight="1">
      <c r="B247" s="12"/>
      <c r="C247" s="18" t="s">
        <v>320</v>
      </c>
      <c r="D247" s="19" t="s">
        <v>1</v>
      </c>
      <c r="E247" s="20" t="s">
        <v>279</v>
      </c>
      <c r="F247" s="21">
        <v>12.862</v>
      </c>
      <c r="H247" s="12"/>
    </row>
    <row r="248" spans="2:8" s="1" customFormat="1" ht="17.100000000000001" customHeight="1">
      <c r="B248" s="12"/>
      <c r="C248" s="22" t="s">
        <v>1</v>
      </c>
      <c r="D248" s="22" t="s">
        <v>3061</v>
      </c>
      <c r="E248" s="23" t="s">
        <v>1</v>
      </c>
      <c r="F248" s="24">
        <v>0</v>
      </c>
      <c r="H248" s="12"/>
    </row>
    <row r="249" spans="2:8" s="1" customFormat="1" ht="17.100000000000001" customHeight="1">
      <c r="B249" s="12"/>
      <c r="C249" s="22" t="s">
        <v>1</v>
      </c>
      <c r="D249" s="22" t="s">
        <v>3062</v>
      </c>
      <c r="E249" s="23" t="s">
        <v>1</v>
      </c>
      <c r="F249" s="24">
        <v>4.718</v>
      </c>
      <c r="H249" s="12"/>
    </row>
    <row r="250" spans="2:8" s="1" customFormat="1" ht="17.100000000000001" customHeight="1">
      <c r="B250" s="12"/>
      <c r="C250" s="22" t="s">
        <v>1</v>
      </c>
      <c r="D250" s="22" t="s">
        <v>3063</v>
      </c>
      <c r="E250" s="23" t="s">
        <v>1</v>
      </c>
      <c r="F250" s="24">
        <v>3.7690000000000001</v>
      </c>
      <c r="H250" s="12"/>
    </row>
    <row r="251" spans="2:8" s="1" customFormat="1" ht="17.100000000000001" customHeight="1">
      <c r="B251" s="12"/>
      <c r="C251" s="22" t="s">
        <v>1</v>
      </c>
      <c r="D251" s="22" t="s">
        <v>3064</v>
      </c>
      <c r="E251" s="23" t="s">
        <v>1</v>
      </c>
      <c r="F251" s="24">
        <v>0.40799999999999997</v>
      </c>
      <c r="H251" s="12"/>
    </row>
    <row r="252" spans="2:8" s="1" customFormat="1" ht="17.100000000000001" customHeight="1">
      <c r="B252" s="12"/>
      <c r="C252" s="22" t="s">
        <v>1</v>
      </c>
      <c r="D252" s="22" t="s">
        <v>3065</v>
      </c>
      <c r="E252" s="23" t="s">
        <v>1</v>
      </c>
      <c r="F252" s="24">
        <v>3.9670000000000001</v>
      </c>
      <c r="H252" s="12"/>
    </row>
    <row r="253" spans="2:8" s="1" customFormat="1" ht="17.100000000000001" customHeight="1">
      <c r="B253" s="12"/>
      <c r="C253" s="22" t="s">
        <v>320</v>
      </c>
      <c r="D253" s="22" t="s">
        <v>741</v>
      </c>
      <c r="E253" s="23" t="s">
        <v>1</v>
      </c>
      <c r="F253" s="24">
        <v>12.862</v>
      </c>
      <c r="H253" s="12"/>
    </row>
    <row r="254" spans="2:8" s="1" customFormat="1" ht="17.100000000000001" customHeight="1">
      <c r="B254" s="12"/>
      <c r="C254" s="25" t="s">
        <v>6116</v>
      </c>
      <c r="H254" s="12"/>
    </row>
    <row r="255" spans="2:8" s="1" customFormat="1" ht="17.100000000000001" customHeight="1">
      <c r="B255" s="12"/>
      <c r="C255" s="22" t="s">
        <v>3058</v>
      </c>
      <c r="D255" s="22" t="s">
        <v>3059</v>
      </c>
      <c r="E255" s="23" t="s">
        <v>279</v>
      </c>
      <c r="F255" s="24">
        <v>12.862</v>
      </c>
      <c r="H255" s="12"/>
    </row>
    <row r="256" spans="2:8" s="1" customFormat="1" ht="20.399999999999999">
      <c r="B256" s="12"/>
      <c r="C256" s="22" t="s">
        <v>1261</v>
      </c>
      <c r="D256" s="22" t="s">
        <v>1262</v>
      </c>
      <c r="E256" s="23" t="s">
        <v>279</v>
      </c>
      <c r="F256" s="24">
        <v>112.70699999999999</v>
      </c>
      <c r="H256" s="12"/>
    </row>
    <row r="257" spans="2:8" s="1" customFormat="1" ht="17.100000000000001" customHeight="1">
      <c r="B257" s="12"/>
      <c r="C257" s="18" t="s">
        <v>322</v>
      </c>
      <c r="D257" s="19" t="s">
        <v>1</v>
      </c>
      <c r="E257" s="20" t="s">
        <v>279</v>
      </c>
      <c r="F257" s="21">
        <v>183.6</v>
      </c>
      <c r="H257" s="12"/>
    </row>
    <row r="258" spans="2:8" s="1" customFormat="1" ht="17.100000000000001" customHeight="1">
      <c r="B258" s="12"/>
      <c r="C258" s="22" t="s">
        <v>1</v>
      </c>
      <c r="D258" s="22" t="s">
        <v>3233</v>
      </c>
      <c r="E258" s="23" t="s">
        <v>1</v>
      </c>
      <c r="F258" s="24">
        <v>0</v>
      </c>
      <c r="H258" s="12"/>
    </row>
    <row r="259" spans="2:8" s="1" customFormat="1" ht="17.100000000000001" customHeight="1">
      <c r="B259" s="12"/>
      <c r="C259" s="22" t="s">
        <v>1</v>
      </c>
      <c r="D259" s="22" t="s">
        <v>3234</v>
      </c>
      <c r="E259" s="23" t="s">
        <v>1</v>
      </c>
      <c r="F259" s="24">
        <v>46.57</v>
      </c>
      <c r="H259" s="12"/>
    </row>
    <row r="260" spans="2:8" s="1" customFormat="1" ht="17.100000000000001" customHeight="1">
      <c r="B260" s="12"/>
      <c r="C260" s="22" t="s">
        <v>1</v>
      </c>
      <c r="D260" s="22" t="s">
        <v>3235</v>
      </c>
      <c r="E260" s="23" t="s">
        <v>1</v>
      </c>
      <c r="F260" s="24">
        <v>51.85</v>
      </c>
      <c r="H260" s="12"/>
    </row>
    <row r="261" spans="2:8" s="1" customFormat="1" ht="17.100000000000001" customHeight="1">
      <c r="B261" s="12"/>
      <c r="C261" s="22" t="s">
        <v>1</v>
      </c>
      <c r="D261" s="22" t="s">
        <v>3236</v>
      </c>
      <c r="E261" s="23" t="s">
        <v>1</v>
      </c>
      <c r="F261" s="24">
        <v>30.85</v>
      </c>
      <c r="H261" s="12"/>
    </row>
    <row r="262" spans="2:8" s="1" customFormat="1" ht="17.100000000000001" customHeight="1">
      <c r="B262" s="12"/>
      <c r="C262" s="22" t="s">
        <v>1</v>
      </c>
      <c r="D262" s="22" t="s">
        <v>3237</v>
      </c>
      <c r="E262" s="23" t="s">
        <v>1</v>
      </c>
      <c r="F262" s="24">
        <v>54.33</v>
      </c>
      <c r="H262" s="12"/>
    </row>
    <row r="263" spans="2:8" s="1" customFormat="1" ht="17.100000000000001" customHeight="1">
      <c r="B263" s="12"/>
      <c r="C263" s="22" t="s">
        <v>322</v>
      </c>
      <c r="D263" s="22" t="s">
        <v>741</v>
      </c>
      <c r="E263" s="23" t="s">
        <v>1</v>
      </c>
      <c r="F263" s="24">
        <v>183.6</v>
      </c>
      <c r="H263" s="12"/>
    </row>
    <row r="264" spans="2:8" s="1" customFormat="1" ht="17.100000000000001" customHeight="1">
      <c r="B264" s="12"/>
      <c r="C264" s="25" t="s">
        <v>6116</v>
      </c>
      <c r="H264" s="12"/>
    </row>
    <row r="265" spans="2:8" s="1" customFormat="1" ht="40.799999999999997">
      <c r="B265" s="12"/>
      <c r="C265" s="22" t="s">
        <v>3230</v>
      </c>
      <c r="D265" s="22" t="s">
        <v>3231</v>
      </c>
      <c r="E265" s="23" t="s">
        <v>279</v>
      </c>
      <c r="F265" s="24">
        <v>183.6</v>
      </c>
      <c r="H265" s="12"/>
    </row>
    <row r="266" spans="2:8" s="1" customFormat="1" ht="20.399999999999999">
      <c r="B266" s="12"/>
      <c r="C266" s="22" t="s">
        <v>3696</v>
      </c>
      <c r="D266" s="22" t="s">
        <v>3697</v>
      </c>
      <c r="E266" s="23" t="s">
        <v>279</v>
      </c>
      <c r="F266" s="24">
        <v>2428.2600000000002</v>
      </c>
      <c r="H266" s="12"/>
    </row>
    <row r="267" spans="2:8" s="1" customFormat="1" ht="20.399999999999999">
      <c r="B267" s="12"/>
      <c r="C267" s="22" t="s">
        <v>3239</v>
      </c>
      <c r="D267" s="22" t="s">
        <v>3240</v>
      </c>
      <c r="E267" s="23" t="s">
        <v>279</v>
      </c>
      <c r="F267" s="24">
        <v>183.6</v>
      </c>
      <c r="H267" s="12"/>
    </row>
    <row r="268" spans="2:8" s="1" customFormat="1" ht="20.399999999999999">
      <c r="B268" s="12"/>
      <c r="C268" s="22" t="s">
        <v>3709</v>
      </c>
      <c r="D268" s="22" t="s">
        <v>3710</v>
      </c>
      <c r="E268" s="23" t="s">
        <v>1599</v>
      </c>
      <c r="F268" s="24">
        <v>135987.38</v>
      </c>
      <c r="H268" s="12"/>
    </row>
    <row r="269" spans="2:8" s="1" customFormat="1" ht="7.35" customHeight="1">
      <c r="B269" s="26"/>
      <c r="C269" s="27"/>
      <c r="D269" s="27"/>
      <c r="E269" s="27"/>
      <c r="F269" s="27"/>
      <c r="G269" s="27"/>
      <c r="H269" s="12"/>
    </row>
    <row r="270" spans="2:8" s="1" customFormat="1"/>
  </sheetData>
  <mergeCells count="2">
    <mergeCell ref="D5:F5"/>
    <mergeCell ref="D6:F6"/>
  </mergeCells>
  <pageMargins left="0.7" right="0.7" top="0.78740157499999996" bottom="0.78740157499999996" header="0.3" footer="0.3"/>
  <pageSetup paperSize="9" fitToHeight="100" orientation="portrait" blackAndWhite="1"/>
  <headerFooter>
    <oddFooter>&amp;CStrana &amp;P z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30</vt:i4>
      </vt:variant>
      <vt:variant>
        <vt:lpstr>Pojmenované oblasti</vt:lpstr>
      </vt:variant>
      <vt:variant>
        <vt:i4>60</vt:i4>
      </vt:variant>
    </vt:vector>
  </HeadingPairs>
  <TitlesOfParts>
    <vt:vector size="90" baseType="lpstr">
      <vt:lpstr>Rekapitulace stavby</vt:lpstr>
      <vt:lpstr>00 - Vedlejší a ostatní n...</vt:lpstr>
      <vt:lpstr>100 - Architektonicko-sta...</vt:lpstr>
      <vt:lpstr>D1.410 - ZTI - Kanalizace</vt:lpstr>
      <vt:lpstr>D1.420 - ZTI - Vodovod</vt:lpstr>
      <vt:lpstr>D1.430 - ZTI - Plynovod</vt:lpstr>
      <vt:lpstr>D1.510 - Vzduchotechnika</vt:lpstr>
      <vt:lpstr>D1.520 - Rozvody chladu</vt:lpstr>
      <vt:lpstr>D1.530 - ÚT - Rozvody tepla</vt:lpstr>
      <vt:lpstr>D1.610 - Uzemnění a hromo...</vt:lpstr>
      <vt:lpstr>D1.620 - Silnoproudá elek...</vt:lpstr>
      <vt:lpstr>D1.700 - Slaboproudé elek...</vt:lpstr>
      <vt:lpstr>D1.901 - Osobní výtahy</vt:lpstr>
      <vt:lpstr>D1.902 - Vnitřní dopravní...</vt:lpstr>
      <vt:lpstr>IO01 - Přípojka vodovodu</vt:lpstr>
      <vt:lpstr>IO02 - Přípojka plynovodu</vt:lpstr>
      <vt:lpstr>IO03 - Přípojka dešťové k...</vt:lpstr>
      <vt:lpstr>IO04 - Přípojka splaškové...</vt:lpstr>
      <vt:lpstr>IO05 - PRE</vt:lpstr>
      <vt:lpstr>IO06 - CETIN</vt:lpstr>
      <vt:lpstr>IO07 - Veřejné osvětlení</vt:lpstr>
      <vt:lpstr>IOX - Přeložky</vt:lpstr>
      <vt:lpstr>IOX05 - přeložka PRE</vt:lpstr>
      <vt:lpstr>IOX06 - přeložka CETIN</vt:lpstr>
      <vt:lpstr>S041 - Sadové úpravy a ká...</vt:lpstr>
      <vt:lpstr>S044 - Drobná venkovná ar...</vt:lpstr>
      <vt:lpstr>SO10 - Komunikace, zpevně...</vt:lpstr>
      <vt:lpstr>SO21 - Venkovní osvětlení</vt:lpstr>
      <vt:lpstr>SO31 - Příprava území</vt:lpstr>
      <vt:lpstr>Seznam figur</vt:lpstr>
      <vt:lpstr>'00 - Vedlejší a ostatní n...'!Názvy_tisku</vt:lpstr>
      <vt:lpstr>'100 - Architektonicko-sta...'!Názvy_tisku</vt:lpstr>
      <vt:lpstr>'D1.410 - ZTI - Kanalizace'!Názvy_tisku</vt:lpstr>
      <vt:lpstr>'D1.420 - ZTI - Vodovod'!Názvy_tisku</vt:lpstr>
      <vt:lpstr>'D1.430 - ZTI - Plynovod'!Názvy_tisku</vt:lpstr>
      <vt:lpstr>'D1.510 - Vzduchotechnika'!Názvy_tisku</vt:lpstr>
      <vt:lpstr>'D1.520 - Rozvody chladu'!Názvy_tisku</vt:lpstr>
      <vt:lpstr>'D1.530 - ÚT - Rozvody tepla'!Názvy_tisku</vt:lpstr>
      <vt:lpstr>'D1.610 - Uzemnění a hromo...'!Názvy_tisku</vt:lpstr>
      <vt:lpstr>'D1.620 - Silnoproudá elek...'!Názvy_tisku</vt:lpstr>
      <vt:lpstr>'D1.700 - Slaboproudé elek...'!Názvy_tisku</vt:lpstr>
      <vt:lpstr>'D1.901 - Osobní výtahy'!Názvy_tisku</vt:lpstr>
      <vt:lpstr>'D1.902 - Vnitřní dopravní...'!Názvy_tisku</vt:lpstr>
      <vt:lpstr>'IO01 - Přípojka vodovodu'!Názvy_tisku</vt:lpstr>
      <vt:lpstr>'IO02 - Přípojka plynovodu'!Názvy_tisku</vt:lpstr>
      <vt:lpstr>'IO03 - Přípojka dešťové k...'!Názvy_tisku</vt:lpstr>
      <vt:lpstr>'IO04 - Přípojka splaškové...'!Názvy_tisku</vt:lpstr>
      <vt:lpstr>'IO05 - PRE'!Názvy_tisku</vt:lpstr>
      <vt:lpstr>'IO06 - CETIN'!Názvy_tisku</vt:lpstr>
      <vt:lpstr>'IO07 - Veřejné osvětlení'!Názvy_tisku</vt:lpstr>
      <vt:lpstr>'IOX - Přeložky'!Názvy_tisku</vt:lpstr>
      <vt:lpstr>'IOX05 - přeložka PRE'!Názvy_tisku</vt:lpstr>
      <vt:lpstr>'IOX06 - přeložka CETIN'!Názvy_tisku</vt:lpstr>
      <vt:lpstr>'Rekapitulace stavby'!Názvy_tisku</vt:lpstr>
      <vt:lpstr>'S041 - Sadové úpravy a ká...'!Názvy_tisku</vt:lpstr>
      <vt:lpstr>'S044 - Drobná venkovná ar...'!Názvy_tisku</vt:lpstr>
      <vt:lpstr>'Seznam figur'!Názvy_tisku</vt:lpstr>
      <vt:lpstr>'SO10 - Komunikace, zpevně...'!Názvy_tisku</vt:lpstr>
      <vt:lpstr>'SO21 - Venkovní osvětlení'!Názvy_tisku</vt:lpstr>
      <vt:lpstr>'SO31 - Příprava území'!Názvy_tisku</vt:lpstr>
      <vt:lpstr>'00 - Vedlejší a ostatní n...'!Oblast_tisku</vt:lpstr>
      <vt:lpstr>'100 - Architektonicko-sta...'!Oblast_tisku</vt:lpstr>
      <vt:lpstr>'D1.410 - ZTI - Kanalizace'!Oblast_tisku</vt:lpstr>
      <vt:lpstr>'D1.420 - ZTI - Vodovod'!Oblast_tisku</vt:lpstr>
      <vt:lpstr>'D1.430 - ZTI - Plynovod'!Oblast_tisku</vt:lpstr>
      <vt:lpstr>'D1.510 - Vzduchotechnika'!Oblast_tisku</vt:lpstr>
      <vt:lpstr>'D1.520 - Rozvody chladu'!Oblast_tisku</vt:lpstr>
      <vt:lpstr>'D1.530 - ÚT - Rozvody tepla'!Oblast_tisku</vt:lpstr>
      <vt:lpstr>'D1.610 - Uzemnění a hromo...'!Oblast_tisku</vt:lpstr>
      <vt:lpstr>'D1.620 - Silnoproudá elek...'!Oblast_tisku</vt:lpstr>
      <vt:lpstr>'D1.700 - Slaboproudé elek...'!Oblast_tisku</vt:lpstr>
      <vt:lpstr>'D1.901 - Osobní výtahy'!Oblast_tisku</vt:lpstr>
      <vt:lpstr>'D1.902 - Vnitřní dopravní...'!Oblast_tisku</vt:lpstr>
      <vt:lpstr>'IO01 - Přípojka vodovodu'!Oblast_tisku</vt:lpstr>
      <vt:lpstr>'IO02 - Přípojka plynovodu'!Oblast_tisku</vt:lpstr>
      <vt:lpstr>'IO03 - Přípojka dešťové k...'!Oblast_tisku</vt:lpstr>
      <vt:lpstr>'IO04 - Přípojka splaškové...'!Oblast_tisku</vt:lpstr>
      <vt:lpstr>'IO05 - PRE'!Oblast_tisku</vt:lpstr>
      <vt:lpstr>'IO06 - CETIN'!Oblast_tisku</vt:lpstr>
      <vt:lpstr>'IO07 - Veřejné osvětlení'!Oblast_tisku</vt:lpstr>
      <vt:lpstr>'IOX - Přeložky'!Oblast_tisku</vt:lpstr>
      <vt:lpstr>'IOX05 - přeložka PRE'!Oblast_tisku</vt:lpstr>
      <vt:lpstr>'IOX06 - přeložka CETIN'!Oblast_tisku</vt:lpstr>
      <vt:lpstr>'Rekapitulace stavby'!Oblast_tisku</vt:lpstr>
      <vt:lpstr>'S041 - Sadové úpravy a ká...'!Oblast_tisku</vt:lpstr>
      <vt:lpstr>'S044 - Drobná venkovná ar...'!Oblast_tisku</vt:lpstr>
      <vt:lpstr>'Seznam figur'!Oblast_tisku</vt:lpstr>
      <vt:lpstr>'SO10 - Komunikace, zpevně...'!Oblast_tisku</vt:lpstr>
      <vt:lpstr>'SO21 - Venkovní osvětlení'!Oblast_tisku</vt:lpstr>
      <vt:lpstr>'SO31 - Příprava území'!Oblast_tisku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Váňa</dc:creator>
  <cp:lastModifiedBy>Prokopov, Oleksandr</cp:lastModifiedBy>
  <dcterms:created xsi:type="dcterms:W3CDTF">2021-12-10T11:51:00Z</dcterms:created>
  <dcterms:modified xsi:type="dcterms:W3CDTF">2026-04-23T09:28:24Z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D076938F61484B91B6CFC3C14A544508_12</vt:lpwstr>
  </property>
  <property fmtid="{D5CDD505-2E9C-101B-9397-08002B2CF9AE}" pid="3" name="KSOProductBuildVer">
    <vt:lpwstr>1033-12.2.0.19805</vt:lpwstr>
  </property>
</Properties>
</file>
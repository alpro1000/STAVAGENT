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uhrn" sheetId="1" state="visible" r:id="rId1"/>
    <sheet name="SO 001" sheetId="2" state="visible" r:id="rId2"/>
    <sheet name="SO 180" sheetId="3" state="visible" r:id="rId3"/>
    <sheet name="SO 201" sheetId="4" state="visible" r:id="rId4"/>
    <sheet name="SO 290" sheetId="5" state="visible" r:id="rId5"/>
    <sheet name="SO 801" sheetId="6" state="visible" r:id="rId6"/>
    <sheet name="PRESUN HMOT" sheetId="7" state="visible" r:id="rId7"/>
    <sheet name="VRN" sheetId="8" state="visible" r:id="rId8"/>
    <sheet name="Harmonogram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C000"/>
        <bgColor rgb="00FFC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10" customWidth="1" min="1" max="1"/>
    <col width="50" customWidth="1" min="2" max="2"/>
    <col width="14" customWidth="1" min="3" max="3"/>
    <col width="22" customWidth="1" min="4" max="4"/>
    <col width="22" customWidth="1" min="5" max="5"/>
    <col width="10" customWidth="1" min="6" max="6"/>
    <col width="14" customWidth="1" min="7" max="7"/>
  </cols>
  <sheetData>
    <row r="1">
      <c r="A1" s="1" t="inlineStr">
        <is>
          <t>SO</t>
        </is>
      </c>
      <c r="B1" s="1" t="inlineStr">
        <is>
          <t>Název</t>
        </is>
      </c>
      <c r="C1" s="1" t="inlineStr">
        <is>
          <t>Počet položek</t>
        </is>
      </c>
      <c r="D1" s="1" t="inlineStr">
        <is>
          <t>Cena bez DPH (Kč)</t>
        </is>
      </c>
      <c r="E1" s="1" t="inlineStr">
        <is>
          <t>Cena s DPH 21 % (Kč)</t>
        </is>
      </c>
      <c r="F1" s="1" t="inlineStr">
        <is>
          <t>Podíl %</t>
        </is>
      </c>
      <c r="G1" s="1" t="inlineStr">
        <is>
          <t>Doba (dní, Phase C)</t>
        </is>
      </c>
    </row>
    <row r="2">
      <c r="A2" t="inlineStr">
        <is>
          <t>SO_001</t>
        </is>
      </c>
      <c r="B2" t="inlineStr">
        <is>
          <t>Demolice stávajícího mostu</t>
        </is>
      </c>
      <c r="C2" t="n">
        <v>30</v>
      </c>
      <c r="D2" t="n">
        <v>1057831</v>
      </c>
      <c r="E2" t="n">
        <v>1279976</v>
      </c>
      <c r="F2" t="n">
        <v>8.699999999999999</v>
      </c>
      <c r="G2" t="n">
        <v>45</v>
      </c>
    </row>
    <row r="3">
      <c r="A3" t="inlineStr">
        <is>
          <t>SO_180</t>
        </is>
      </c>
      <c r="B3" t="inlineStr">
        <is>
          <t>Mostní provizorium + objízdná trasa</t>
        </is>
      </c>
      <c r="C3" t="n">
        <v>26</v>
      </c>
      <c r="D3" t="n">
        <v>2047138</v>
      </c>
      <c r="E3" t="n">
        <v>2477037</v>
      </c>
      <c r="F3" t="n">
        <v>16.8</v>
      </c>
      <c r="G3" t="n">
        <v>30</v>
      </c>
    </row>
    <row r="4">
      <c r="A4" t="inlineStr">
        <is>
          <t>SO_201</t>
        </is>
      </c>
      <c r="B4" t="inlineStr">
        <is>
          <t>Most ev.č. 2062-1</t>
        </is>
      </c>
      <c r="C4" t="n">
        <v>72</v>
      </c>
      <c r="D4" t="n">
        <v>4435958</v>
      </c>
      <c r="E4" t="n">
        <v>5367509</v>
      </c>
      <c r="F4" t="n">
        <v>36.4</v>
      </c>
      <c r="G4" t="n">
        <v>135</v>
      </c>
    </row>
    <row r="5">
      <c r="A5" t="inlineStr">
        <is>
          <t>SO_290</t>
        </is>
      </c>
      <c r="B5" t="inlineStr">
        <is>
          <t>Silnice III/206 2 (návaznosti)</t>
        </is>
      </c>
      <c r="C5" t="n">
        <v>12</v>
      </c>
      <c r="D5" t="n">
        <v>1952470</v>
      </c>
      <c r="E5" t="n">
        <v>2362489</v>
      </c>
      <c r="F5" t="n">
        <v>16</v>
      </c>
      <c r="G5" t="n">
        <v>25</v>
      </c>
    </row>
    <row r="6">
      <c r="A6" t="inlineStr">
        <is>
          <t>SO_801</t>
        </is>
      </c>
      <c r="B6" t="inlineStr">
        <is>
          <t>Zařízení staveniště (detailní)</t>
        </is>
      </c>
      <c r="C6" t="n">
        <v>25</v>
      </c>
      <c r="D6" t="n">
        <v>1204854</v>
      </c>
      <c r="E6" t="n">
        <v>1457873</v>
      </c>
      <c r="F6" t="n">
        <v>9.9</v>
      </c>
      <c r="G6" t="n">
        <v>330</v>
      </c>
    </row>
    <row r="7">
      <c r="A7" t="inlineStr">
        <is>
          <t>PRESUN_HMOT</t>
        </is>
      </c>
      <c r="B7" t="inlineStr">
        <is>
          <t>Přesun hmot stavby</t>
        </is>
      </c>
      <c r="C7" t="n">
        <v>3</v>
      </c>
      <c r="D7" t="n">
        <v>560000</v>
      </c>
      <c r="E7" t="n">
        <v>677600</v>
      </c>
      <c r="F7" t="n">
        <v>4.6</v>
      </c>
      <c r="G7" t="n">
        <v>180</v>
      </c>
    </row>
    <row r="8">
      <c r="A8" t="inlineStr">
        <is>
          <t>VRN</t>
        </is>
      </c>
      <c r="B8" t="inlineStr">
        <is>
          <t>Vedlejší rozpočtové náklady</t>
        </is>
      </c>
      <c r="C8" t="n">
        <v>13</v>
      </c>
      <c r="D8" t="n">
        <v>943272</v>
      </c>
      <c r="E8" t="n">
        <v>1141359</v>
      </c>
      <c r="F8" t="n">
        <v>7.7</v>
      </c>
      <c r="G8" t="n">
        <v>330</v>
      </c>
    </row>
    <row r="9">
      <c r="A9" s="2" t="inlineStr">
        <is>
          <t>TOTAL</t>
        </is>
      </c>
      <c r="B9" s="2" t="inlineStr">
        <is>
          <t>Celkem master soupis</t>
        </is>
      </c>
      <c r="C9" s="2" t="n">
        <v>181</v>
      </c>
      <c r="D9" s="2" t="n">
        <v>12201523</v>
      </c>
      <c r="E9" s="2" t="n">
        <v>14763843</v>
      </c>
      <c r="F9" s="2" t="n">
        <v>100</v>
      </c>
      <c r="G9" s="2" t="n">
        <v>330</v>
      </c>
    </row>
    <row r="11">
      <c r="B11" s="3" t="inlineStr">
        <is>
          <t>ZD limit 30 M Kč:</t>
        </is>
      </c>
      <c r="D11" t="n">
        <v>30000000</v>
      </c>
    </row>
    <row r="12">
      <c r="B12" s="3" t="inlineStr">
        <is>
          <t>Tendrová cena vs limit:</t>
        </is>
      </c>
      <c r="D12" t="n">
        <v>49.2</v>
      </c>
      <c r="E12" t="inlineStr">
        <is>
          <t>%</t>
        </is>
      </c>
    </row>
    <row r="13">
      <c r="B13" s="3" t="inlineStr">
        <is>
          <t>Margin do limitu:</t>
        </is>
      </c>
      <c r="D13" t="n">
        <v>15236157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50" customWidth="1" min="3" max="3"/>
    <col width="50" customWidth="1" min="4" max="4"/>
    <col width="8" customWidth="1" min="5" max="5"/>
    <col width="12" customWidth="1" min="6" max="6"/>
    <col width="28" customWidth="1" min="7" max="7"/>
    <col width="16" customWidth="1" min="8" max="8"/>
    <col width="18" customWidth="1" min="9" max="9"/>
    <col width="12" customWidth="1" min="10" max="10"/>
    <col width="24" customWidth="1" min="11" max="11"/>
  </cols>
  <sheetData>
    <row r="1">
      <c r="A1" s="1" t="inlineStr">
        <is>
          <t>Polozka ID</t>
        </is>
      </c>
      <c r="B1" s="1" t="inlineStr">
        <is>
          <t>OTSKP kód</t>
        </is>
      </c>
      <c r="C1" s="1" t="inlineStr">
        <is>
          <t>OTSKP popis (canonical)</t>
        </is>
      </c>
      <c r="D1" s="1" t="inlineStr">
        <is>
          <t>Naše poznámka</t>
        </is>
      </c>
      <c r="E1" s="1" t="inlineStr">
        <is>
          <t>MJ</t>
        </is>
      </c>
      <c r="F1" s="1" t="inlineStr">
        <is>
          <t>Množství</t>
        </is>
      </c>
      <c r="G1" s="1" t="inlineStr">
        <is>
          <t>Výpočet (formula)</t>
        </is>
      </c>
      <c r="H1" s="1" t="inlineStr">
        <is>
          <t>Jedn. cena (Kč)</t>
        </is>
      </c>
      <c r="I1" s="1" t="inlineStr">
        <is>
          <t>Cena celkem (Kč)</t>
        </is>
      </c>
      <c r="J1" s="1" t="inlineStr">
        <is>
          <t>Confidence</t>
        </is>
      </c>
      <c r="K1" s="1" t="inlineStr">
        <is>
          <t>Source</t>
        </is>
      </c>
    </row>
    <row r="2">
      <c r="A2" t="inlineStr">
        <is>
          <t>SO001-T0-01</t>
        </is>
      </c>
      <c r="B2" t="inlineStr">
        <is>
          <t>014102</t>
        </is>
      </c>
      <c r="C2" t="inlineStr">
        <is>
          <t>POPLATKY ZA SKLÁDKU</t>
        </is>
      </c>
      <c r="D2" t="inlineStr">
        <is>
          <t>Cena 1000 Kč/t = midpoint pásma RS Žatec 800-1500 Kč/t inertní (per `vendor_quotes.yaml` Ekostavby Louny). OTSKP cena 0 Kč v catalog (regional).</t>
        </is>
      </c>
      <c r="E2" t="inlineStr">
        <is>
          <t>T</t>
        </is>
      </c>
      <c r="F2" t="n">
        <v>95</v>
      </c>
      <c r="G2" t="inlineStr">
        <is>
          <t>ŽB beton: (14.4 + 4.5) × 2.5 = 47.25 t; Kamenné zdivo: (24 + 15) × 2.4 = 93.6 t; Po recyklaci/triedení odpad ~ 65 % k odvozu na skládku → 95 t</t>
        </is>
      </c>
      <c r="H2" t="n">
        <v>1000</v>
      </c>
      <c r="I2" t="n">
        <v>95000</v>
      </c>
      <c r="J2" t="n">
        <v>0.75</v>
      </c>
    </row>
    <row r="3">
      <c r="A3" t="inlineStr">
        <is>
          <t>SO001-T0-02</t>
        </is>
      </c>
      <c r="B3" t="inlineStr">
        <is>
          <t>014201</t>
        </is>
      </c>
      <c r="C3" t="inlineStr">
        <is>
          <t>POPLATKY ZA ZEMNÍK - ZEMINA</t>
        </is>
      </c>
      <c r="D3" t="inlineStr">
        <is>
          <t>Cena = DECO TRADE Nesuchyně 120 Kč/t × 1.8 t/m³ = 216 Kč/m³ (per `vendor_quotes.yaml` DECO_TRADE_NESUCHYNE, platnost 2026-12-31).</t>
        </is>
      </c>
      <c r="E3" t="inlineStr">
        <is>
          <t>M3</t>
        </is>
      </c>
      <c r="F3" t="n">
        <v>285</v>
      </c>
      <c r="G3" t="inlineStr">
        <is>
          <t>255 + 30 = 285 m³</t>
        </is>
      </c>
      <c r="H3" t="n">
        <v>216</v>
      </c>
      <c r="I3" t="n">
        <v>61560</v>
      </c>
      <c r="J3" t="n">
        <v>0.85</v>
      </c>
    </row>
    <row r="4">
      <c r="A4" t="inlineStr">
        <is>
          <t>SO001-T0-03</t>
        </is>
      </c>
      <c r="B4" t="inlineStr">
        <is>
          <t>02510</t>
        </is>
      </c>
      <c r="C4" t="inlineStr">
        <is>
          <t>ZKOUŠENÍ MATERIÁLŮ</t>
        </is>
      </c>
      <c r="D4" t="inlineStr">
        <is>
          <t>kontrola materiálu při bourání (ŽB pevnost, ocel třída) | OTSKP cena 0 (kompletace). Orientačně 30-50k Kč.</t>
        </is>
      </c>
      <c r="E4" t="inlineStr">
        <is>
          <t>KPL</t>
        </is>
      </c>
      <c r="F4" t="n">
        <v>1</v>
      </c>
      <c r="G4" t="inlineStr">
        <is>
          <t>1 kpl = laboratorní zkoušky ~5 vzorků × 8000 Kč</t>
        </is>
      </c>
      <c r="H4" t="n">
        <v>40000</v>
      </c>
      <c r="I4" t="n">
        <v>40000</v>
      </c>
      <c r="J4" t="n">
        <v>0.6</v>
      </c>
    </row>
    <row r="5">
      <c r="A5" t="inlineStr">
        <is>
          <t>SO001-T0-04</t>
        </is>
      </c>
      <c r="B5" t="inlineStr">
        <is>
          <t>02960</t>
        </is>
      </c>
      <c r="C5" t="inlineStr">
        <is>
          <t>ODBORNÝ DOZOR</t>
        </is>
      </c>
      <c r="D5" t="inlineStr">
        <is>
          <t>geologický + statický při demolici</t>
        </is>
      </c>
      <c r="E5" t="inlineStr">
        <is>
          <t>KPL</t>
        </is>
      </c>
      <c r="F5" t="n">
        <v>1</v>
      </c>
      <c r="G5" t="inlineStr">
        <is>
          <t>30 × 4 × 600 = 72000 Kč</t>
        </is>
      </c>
      <c r="H5" t="n">
        <v>72000</v>
      </c>
      <c r="I5" t="n">
        <v>72000</v>
      </c>
      <c r="J5" t="n">
        <v>0.7</v>
      </c>
    </row>
    <row r="6">
      <c r="A6" t="inlineStr">
        <is>
          <t>SO001-T0-05</t>
        </is>
      </c>
      <c r="B6" t="inlineStr">
        <is>
          <t>02991</t>
        </is>
      </c>
      <c r="C6" t="inlineStr">
        <is>
          <t>INFORMAČNÍ TABULE</t>
        </is>
      </c>
      <c r="D6" t="inlineStr">
        <is>
          <t>uzavírka mostu + bypass info</t>
        </is>
      </c>
      <c r="E6" t="inlineStr">
        <is>
          <t>KUS</t>
        </is>
      </c>
      <c r="F6" t="n">
        <v>2</v>
      </c>
      <c r="G6" t="inlineStr">
        <is>
          <t>2 přístupy × 1 tabule = 2 ks</t>
        </is>
      </c>
      <c r="H6" t="n">
        <v>8000</v>
      </c>
      <c r="I6" t="n">
        <v>16000</v>
      </c>
      <c r="J6" t="n">
        <v>0.95</v>
      </c>
    </row>
    <row r="7">
      <c r="A7" t="inlineStr">
        <is>
          <t>SO001-T1-01</t>
        </is>
      </c>
      <c r="B7" t="inlineStr">
        <is>
          <t>11511</t>
        </is>
      </c>
      <c r="C7" t="inlineStr">
        <is>
          <t>ČERPÁNÍ VODY DO 500 L/MIN</t>
        </is>
      </c>
      <c r="D7" t="inlineStr">
        <is>
          <t>během demolice + výkop | OTSKP 2025/II 110.71 Kč/hod.</t>
        </is>
      </c>
      <c r="E7" t="inlineStr">
        <is>
          <t>HOD</t>
        </is>
      </c>
      <c r="F7" t="n">
        <v>200</v>
      </c>
      <c r="G7" t="inlineStr">
        <is>
          <t>60 × 8 = 480 hod (max teoretická doba); 480 × 0.42 = 200 hod (realistic estimate)</t>
        </is>
      </c>
      <c r="H7" t="n">
        <v>110.71</v>
      </c>
      <c r="I7" t="n">
        <v>22142</v>
      </c>
      <c r="J7" t="n">
        <v>0.7</v>
      </c>
    </row>
    <row r="8">
      <c r="A8" t="inlineStr">
        <is>
          <t>SO001-T1-02</t>
        </is>
      </c>
      <c r="B8" t="inlineStr">
        <is>
          <t>121108</t>
        </is>
      </c>
      <c r="C8" t="inlineStr">
        <is>
          <t>SEJMUTÍ ORNICE NEBO LESNÍ PŮDY S ODVOZEM DO 20 KM</t>
        </is>
      </c>
      <c r="D8" t="inlineStr"/>
      <c r="E8" t="inlineStr">
        <is>
          <t>M3</t>
        </is>
      </c>
      <c r="F8" t="n">
        <v>30</v>
      </c>
      <c r="G8" t="inlineStr">
        <is>
          <t>100 × 0.30 = 30 m³</t>
        </is>
      </c>
      <c r="H8" t="n">
        <v>456.48</v>
      </c>
      <c r="I8" t="n">
        <v>13694</v>
      </c>
      <c r="J8" t="n">
        <v>0.9</v>
      </c>
    </row>
    <row r="9">
      <c r="A9" t="inlineStr">
        <is>
          <t>SO001-T1-03</t>
        </is>
      </c>
      <c r="B9" t="inlineStr">
        <is>
          <t>13173</t>
        </is>
      </c>
      <c r="C9" t="inlineStr">
        <is>
          <t>HLOUBENÍ JAM ZAPAŽ I NEPAŽ TŘ. I</t>
        </is>
      </c>
      <c r="D9" t="inlineStr">
        <is>
          <t>stavební jáma po demolici | Tř. I = běžná zemina; IGP rozhodne přesnou kategorii (klasifikace gap pre DUR).</t>
        </is>
      </c>
      <c r="E9" t="inlineStr">
        <is>
          <t>M3</t>
        </is>
      </c>
      <c r="F9" t="n">
        <v>255</v>
      </c>
      <c r="G9" t="inlineStr">
        <is>
          <t>12.0 × 8.5 × 2.5 = 255 m³</t>
        </is>
      </c>
      <c r="H9" t="n">
        <v>315.27</v>
      </c>
      <c r="I9" t="n">
        <v>80394</v>
      </c>
      <c r="J9" t="n">
        <v>0.85</v>
      </c>
    </row>
    <row r="10">
      <c r="A10" t="inlineStr">
        <is>
          <t>SO001-T1-04</t>
        </is>
      </c>
      <c r="B10" t="inlineStr">
        <is>
          <t>17120</t>
        </is>
      </c>
      <c r="C10" t="inlineStr">
        <is>
          <t>ULOŽENÍ SYPANINY DO NÁSYPU NEBO NA SKLÁDKU BEZ ZHUTNĚNÍ</t>
        </is>
      </c>
      <c r="D10" t="inlineStr">
        <is>
          <t>Část ornice pro zpětnou rekultivaci → odvoz max 60 % na skládku.</t>
        </is>
      </c>
      <c r="E10" t="inlineStr">
        <is>
          <t>M3</t>
        </is>
      </c>
      <c r="F10" t="n">
        <v>285</v>
      </c>
      <c r="G10" t="inlineStr">
        <is>
          <t>255 + 30 = 285 m³</t>
        </is>
      </c>
      <c r="H10" t="n">
        <v>95</v>
      </c>
      <c r="I10" t="n">
        <v>27075</v>
      </c>
      <c r="J10" t="n">
        <v>0.9</v>
      </c>
    </row>
    <row r="11">
      <c r="A11" t="inlineStr">
        <is>
          <t>SO001-T9-01</t>
        </is>
      </c>
      <c r="B11" t="inlineStr">
        <is>
          <t>966168</t>
        </is>
      </c>
      <c r="C11" t="inlineStr">
        <is>
          <t>BOURÁNÍ KONSTRUKCÍ ZE ŽELEZOBETONU S ODVOZEM DO 20 KM</t>
        </is>
      </c>
      <c r="D11" t="inlineStr">
        <is>
          <t>16 trámů + deska | Ocelové I-280 vložky neoddělitelně součást ŽB → likvidace v rámci kódu 966168 (cena obsahuje recyklaci).</t>
        </is>
      </c>
      <c r="E11" t="inlineStr">
        <is>
          <t>M3</t>
        </is>
      </c>
      <c r="F11" t="n">
        <v>19</v>
      </c>
      <c r="G11" t="inlineStr">
        <is>
          <t>Trámy: 16 × 0.20 × 0.50 × 9.0 = 14.4 m³; Deska: 45.0 × 0.10 = 4.5 m³; Celkem: 14.4 + 4.5 = 18.9 ≈ 19 m³</t>
        </is>
      </c>
      <c r="H11" t="n">
        <v>6851.46</v>
      </c>
      <c r="I11" t="n">
        <v>130178</v>
      </c>
      <c r="J11" t="n">
        <v>0.85</v>
      </c>
    </row>
    <row r="12">
      <c r="A12" t="inlineStr">
        <is>
          <t>SO001-T9-02</t>
        </is>
      </c>
      <c r="B12" t="inlineStr">
        <is>
          <t>962031</t>
        </is>
      </c>
      <c r="C12" t="inlineStr">
        <is>
          <t>BOURÁNÍ ZDIVA Z KAMENE NA MC NEBO MO</t>
        </is>
      </c>
      <c r="D12" t="inlineStr">
        <is>
          <t>2× opěra + 4× křídlo | OTSKP catalog cena varies; 2400 Kč/m³ = midpoint per Kfely SO 001 reference + RS Žatec recyklace 60 Kč/t.</t>
        </is>
      </c>
      <c r="E12" t="inlineStr">
        <is>
          <t>M3</t>
        </is>
      </c>
      <c r="F12" t="n">
        <v>39</v>
      </c>
      <c r="G12" t="inlineStr">
        <is>
          <t>2× opěra: 2 × 12 = 24 m³; 4× křídlo: 4 × 3.75 = 15 m³; Celkem: 24 + 15 = 39 m³</t>
        </is>
      </c>
      <c r="H12" t="n">
        <v>2400</v>
      </c>
      <c r="I12" t="n">
        <v>93600</v>
      </c>
      <c r="J12" t="n">
        <v>0.7</v>
      </c>
    </row>
    <row r="13">
      <c r="A13" t="inlineStr">
        <is>
          <t>SO001-T9-03</t>
        </is>
      </c>
      <c r="B13" t="inlineStr">
        <is>
          <t>966019</t>
        </is>
      </c>
      <c r="C13" t="inlineStr">
        <is>
          <t>DEMONTÁŽ MOSTNÍCH ODVODŇOVAČŮ + DRENÁŽÍ</t>
        </is>
      </c>
      <c r="D13" t="inlineStr">
        <is>
          <t>Odvodňovače DN 100 silnič. Cena = vendor odhad.</t>
        </is>
      </c>
      <c r="E13" t="inlineStr">
        <is>
          <t>KUS</t>
        </is>
      </c>
      <c r="F13" t="n">
        <v>4</v>
      </c>
      <c r="G13" t="inlineStr">
        <is>
          <t>2 × 2 strany = 4 ks</t>
        </is>
      </c>
      <c r="H13" t="n">
        <v>1200</v>
      </c>
      <c r="I13" t="n">
        <v>4800</v>
      </c>
      <c r="J13" t="n">
        <v>0.7</v>
      </c>
      <c r="K13" t="inlineStr">
        <is>
          <t>user_manual_fallback</t>
        </is>
      </c>
    </row>
    <row r="14">
      <c r="A14" t="inlineStr">
        <is>
          <t>SO001-T9-04</t>
        </is>
      </c>
      <c r="B14" t="inlineStr">
        <is>
          <t>966xxx</t>
        </is>
      </c>
      <c r="C14" t="inlineStr">
        <is>
          <t>DEMONTÁŽ STÁVAJÍCÍ MOSTNÍ IZOLACE</t>
        </is>
      </c>
      <c r="D14" t="inlineStr">
        <is>
          <t>asfaltové pásy + pečetící vrstva | OTSKP nemá explicit kód pro demontáž asfaltové izolace → user_manual_fallback. Kfely template 711xxx demontáž ~200-300 Kč/m².</t>
        </is>
      </c>
      <c r="E14" t="inlineStr">
        <is>
          <t>M2</t>
        </is>
      </c>
      <c r="F14" t="n">
        <v>45</v>
      </c>
      <c r="G14" t="inlineStr">
        <is>
          <t>5.0 × 9.0 = 45.0 m²</t>
        </is>
      </c>
      <c r="H14" t="n">
        <v>220</v>
      </c>
      <c r="I14" t="n">
        <v>9900</v>
      </c>
      <c r="J14" t="n">
        <v>0.7</v>
      </c>
      <c r="K14" t="inlineStr">
        <is>
          <t>user_manual_fallback</t>
        </is>
      </c>
    </row>
    <row r="15">
      <c r="A15" t="inlineStr">
        <is>
          <t>SO001-T9-05</t>
        </is>
      </c>
      <c r="B15" t="inlineStr">
        <is>
          <t>113728</t>
        </is>
      </c>
      <c r="C15" t="inlineStr">
        <is>
          <t>FRÉZOVÁNÍ ZPEVNĚNÝCH PLOCH ASFALTOVÝCH, ODVOZ DO 20 KM</t>
        </is>
      </c>
      <c r="D15" t="inlineStr">
        <is>
          <t>Frézáty → RS Žatec (Ekostavby Louny) 220-300 Kč/t per `vendor_quotes.yaml`.</t>
        </is>
      </c>
      <c r="E15" t="inlineStr">
        <is>
          <t>M3</t>
        </is>
      </c>
      <c r="F15" t="n">
        <v>1.8</v>
      </c>
      <c r="G15" t="inlineStr">
        <is>
          <t>45 × 0.04 = 1.8 m³</t>
        </is>
      </c>
      <c r="H15" t="n">
        <v>2072.2</v>
      </c>
      <c r="I15" t="n">
        <v>3730</v>
      </c>
      <c r="J15" t="n">
        <v>0.95</v>
      </c>
    </row>
    <row r="16">
      <c r="A16" t="inlineStr">
        <is>
          <t>SO001-T9-06</t>
        </is>
      </c>
      <c r="B16" t="inlineStr">
        <is>
          <t>9117C9</t>
        </is>
      </c>
      <c r="C16" t="inlineStr">
        <is>
          <t>DEMONTÁŽ STÁVAJÍCÍCH SVODIDEL OCEL</t>
        </is>
      </c>
      <c r="D16" t="inlineStr">
        <is>
          <t>SafeStar 231 H2/W3 | OTSKP demontáž svodidel sazba ~200-250 Kč/m + odvoz na recyklaci ocel (ne separate fee).</t>
        </is>
      </c>
      <c r="E16" t="inlineStr">
        <is>
          <t>M</t>
        </is>
      </c>
      <c r="F16" t="n">
        <v>24</v>
      </c>
      <c r="G16" t="inlineStr">
        <is>
          <t>2 × 12 = 24 m</t>
        </is>
      </c>
      <c r="H16" t="n">
        <v>220</v>
      </c>
      <c r="I16" t="n">
        <v>5280</v>
      </c>
      <c r="J16" t="n">
        <v>0.9</v>
      </c>
    </row>
    <row r="17">
      <c r="A17" t="inlineStr">
        <is>
          <t>SO001-T9-07</t>
        </is>
      </c>
      <c r="B17" t="inlineStr">
        <is>
          <t>914123</t>
        </is>
      </c>
      <c r="C17" t="inlineStr">
        <is>
          <t>DOPRAVNÍ ZNAČKY ZÁKLADNÍ VELIKOSTI OCELOVÉ TŘ. RA1</t>
        </is>
      </c>
      <c r="D17" t="inlineStr">
        <is>
          <t>DEMONTÁŽ</t>
        </is>
      </c>
      <c r="E17" t="inlineStr">
        <is>
          <t>KUS</t>
        </is>
      </c>
      <c r="F17" t="n">
        <v>4</v>
      </c>
      <c r="G17" t="inlineStr">
        <is>
          <t>2 × 2 strany = 4 ks</t>
        </is>
      </c>
      <c r="H17" t="n">
        <v>227.17</v>
      </c>
      <c r="I17" t="n">
        <v>909</v>
      </c>
      <c r="J17" t="n">
        <v>1</v>
      </c>
    </row>
    <row r="18">
      <c r="A18" t="inlineStr">
        <is>
          <t>SO001-T9-08</t>
        </is>
      </c>
      <c r="B18" t="inlineStr">
        <is>
          <t>914933</t>
        </is>
      </c>
      <c r="C18" t="inlineStr">
        <is>
          <t>SLOUPKY A STOJKY DZ Z HLINÍK TRUBEK ZABETON</t>
        </is>
      </c>
      <c r="D18" t="inlineStr">
        <is>
          <t>DEMONTÁŽ</t>
        </is>
      </c>
      <c r="E18" t="inlineStr">
        <is>
          <t>KUS</t>
        </is>
      </c>
      <c r="F18" t="n">
        <v>4</v>
      </c>
      <c r="G18" t="inlineStr">
        <is>
          <t>4 × 1 sloupek = 4 ks</t>
        </is>
      </c>
      <c r="H18" t="n">
        <v>227.17</v>
      </c>
      <c r="I18" t="n">
        <v>909</v>
      </c>
      <c r="J18" t="n">
        <v>1</v>
      </c>
    </row>
    <row r="19">
      <c r="A19" t="inlineStr">
        <is>
          <t>SO001-T9-09</t>
        </is>
      </c>
      <c r="B19" t="inlineStr">
        <is>
          <t>968021</t>
        </is>
      </c>
      <c r="C19" t="inlineStr">
        <is>
          <t>ODSTRANĚNÍ DLAŽBY KAMENNÉ KORYTA STÁVAJÍCÍ S ODVOZEM DO 20 KM</t>
        </is>
      </c>
      <c r="D19" t="inlineStr">
        <is>
          <t>OTSKP cca 350-450 Kč/m² + odvoz.</t>
        </is>
      </c>
      <c r="E19" t="inlineStr">
        <is>
          <t>M2</t>
        </is>
      </c>
      <c r="F19" t="n">
        <v>50</v>
      </c>
      <c r="G19" t="inlineStr">
        <is>
          <t>12 × 4 = 48 m² ≈ 50 m² (zaokrouhlení)</t>
        </is>
      </c>
      <c r="H19" t="n">
        <v>380</v>
      </c>
      <c r="I19" t="n">
        <v>19000</v>
      </c>
      <c r="J19" t="n">
        <v>0.7</v>
      </c>
      <c r="K19" t="inlineStr">
        <is>
          <t>user_manual_fallback</t>
        </is>
      </c>
    </row>
    <row r="20">
      <c r="A20" t="inlineStr">
        <is>
          <t>SO001-T9-10</t>
        </is>
      </c>
      <c r="B20" t="inlineStr">
        <is>
          <t>968022</t>
        </is>
      </c>
      <c r="C20" t="inlineStr">
        <is>
          <t>ODSTRANĚNÍ OPEVNĚNÍ BŘEHŮ STÁVAJÍCÍ</t>
        </is>
      </c>
      <c r="D20" t="inlineStr">
        <is>
          <t>gabiony / kamenná rovnaninka</t>
        </is>
      </c>
      <c r="E20" t="inlineStr">
        <is>
          <t>M2</t>
        </is>
      </c>
      <c r="F20" t="n">
        <v>30</v>
      </c>
      <c r="G20" t="inlineStr">
        <is>
          <t>2 × 10 × 1.5 = 30 m²</t>
        </is>
      </c>
      <c r="H20" t="n">
        <v>320</v>
      </c>
      <c r="I20" t="n">
        <v>9600</v>
      </c>
      <c r="J20" t="n">
        <v>0.6</v>
      </c>
      <c r="K20" t="inlineStr">
        <is>
          <t>user_manual_fallback</t>
        </is>
      </c>
    </row>
    <row r="21">
      <c r="A21" t="inlineStr">
        <is>
          <t>SO001-T9-11</t>
        </is>
      </c>
      <c r="B21" t="inlineStr">
        <is>
          <t>027413</t>
        </is>
      </c>
      <c r="C21" t="inlineStr">
        <is>
          <t>PROVIZORNÍ MOSTY</t>
        </is>
      </c>
      <c r="D21" t="inlineStr">
        <is>
          <t>DEMONTÁŽ (ocelový mostní systém) | Vendor pricing demontáž = median(TMS 102k, PONVIA 268.3k) / 60 m² = 3086 Kč/m². Per `vendor_quotes.yaml` mostni_provizorium.</t>
        </is>
      </c>
      <c r="E21" t="inlineStr">
        <is>
          <t>M2</t>
        </is>
      </c>
      <c r="F21" t="n">
        <v>60</v>
      </c>
      <c r="G21" t="inlineStr">
        <is>
          <t>12 × 5 = 60 m²</t>
        </is>
      </c>
      <c r="H21" t="n">
        <v>3086</v>
      </c>
      <c r="I21" t="n">
        <v>185160</v>
      </c>
      <c r="J21" t="n">
        <v>0.85</v>
      </c>
    </row>
    <row r="22">
      <c r="A22" t="inlineStr">
        <is>
          <t>SO001-T9-12</t>
        </is>
      </c>
      <c r="B22" t="inlineStr">
        <is>
          <t>968011</t>
        </is>
      </c>
      <c r="C22" t="inlineStr">
        <is>
          <t>ROZEBRÁNÍ DLAŽBY POD PROVIZORIEM</t>
        </is>
      </c>
      <c r="D22" t="inlineStr">
        <is>
          <t>podložky kamenné/beton</t>
        </is>
      </c>
      <c r="E22" t="inlineStr">
        <is>
          <t>M2</t>
        </is>
      </c>
      <c r="F22" t="n">
        <v>75</v>
      </c>
      <c r="G22" t="inlineStr">
        <is>
          <t>15 × 5 = 75 m²</t>
        </is>
      </c>
      <c r="H22" t="n">
        <v>280</v>
      </c>
      <c r="I22" t="n">
        <v>21000</v>
      </c>
      <c r="J22" t="n">
        <v>0.75</v>
      </c>
      <c r="K22" t="inlineStr">
        <is>
          <t>user_manual_fallback</t>
        </is>
      </c>
    </row>
    <row r="23">
      <c r="A23" t="inlineStr">
        <is>
          <t>SO001-T9-13</t>
        </is>
      </c>
      <c r="B23" t="inlineStr">
        <is>
          <t>113328</t>
        </is>
      </c>
      <c r="C23" t="inlineStr">
        <is>
          <t>ODSTRANĚNÍ PODKLADŮ Z KAMENIVA NESTMEL (štěrkodrť pod provizoriem) S ODVOZEM DO 20 KM</t>
        </is>
      </c>
      <c r="D23" t="inlineStr"/>
      <c r="E23" t="inlineStr">
        <is>
          <t>M3</t>
        </is>
      </c>
      <c r="F23" t="n">
        <v>22.5</v>
      </c>
      <c r="G23" t="inlineStr">
        <is>
          <t>75 × 0.30 = 22.5 m³</t>
        </is>
      </c>
      <c r="H23" t="n">
        <v>745.23</v>
      </c>
      <c r="I23" t="n">
        <v>16768</v>
      </c>
      <c r="J23" t="n">
        <v>0.8</v>
      </c>
    </row>
    <row r="24">
      <c r="A24" t="inlineStr">
        <is>
          <t>SO001-T9-14</t>
        </is>
      </c>
      <c r="B24" t="inlineStr">
        <is>
          <t>113727</t>
        </is>
      </c>
      <c r="C24" t="inlineStr">
        <is>
          <t>FRÉZOVÁNÍ ASFALTU NÁJEZDU PROVIZORIA, ODVOZ DO 20 KM</t>
        </is>
      </c>
      <c r="D24" t="inlineStr"/>
      <c r="E24" t="inlineStr">
        <is>
          <t>M3</t>
        </is>
      </c>
      <c r="F24" t="n">
        <v>1.5</v>
      </c>
      <c r="G24" t="inlineStr">
        <is>
          <t>30 × 0.05 = 1.5 m³</t>
        </is>
      </c>
      <c r="H24" t="n">
        <v>2072.2</v>
      </c>
      <c r="I24" t="n">
        <v>3108</v>
      </c>
      <c r="J24" t="n">
        <v>0.85</v>
      </c>
    </row>
    <row r="25">
      <c r="A25" t="inlineStr">
        <is>
          <t>SO001-T9-15</t>
        </is>
      </c>
      <c r="B25" t="inlineStr">
        <is>
          <t>181101</t>
        </is>
      </c>
      <c r="C25" t="inlineStr">
        <is>
          <t>ROZPROSTŘENÍ ORNICE V ROVINĚ</t>
        </is>
      </c>
      <c r="D25" t="inlineStr">
        <is>
          <t>rekultivace záboru | Per LČR podmínka (parcels_and_consents.yaml: LCR_ZATEC) — minimalizace záboru lesa + rekultivace povinná.</t>
        </is>
      </c>
      <c r="E25" t="inlineStr">
        <is>
          <t>M3</t>
        </is>
      </c>
      <c r="F25" t="n">
        <v>30</v>
      </c>
      <c r="G25" t="inlineStr">
        <is>
          <t>30 m³ (sejmutá ornice plně použita zpětně, nuluje T1-04 pro ornici)</t>
        </is>
      </c>
      <c r="H25" t="n">
        <v>220</v>
      </c>
      <c r="I25" t="n">
        <v>6600</v>
      </c>
      <c r="J25" t="n">
        <v>0.85</v>
      </c>
    </row>
    <row r="26">
      <c r="A26" t="inlineStr">
        <is>
          <t>SO001-T9-16</t>
        </is>
      </c>
      <c r="B26" t="inlineStr">
        <is>
          <t>18241</t>
        </is>
      </c>
      <c r="C26" t="inlineStr">
        <is>
          <t>ZALOŽENÍ TRÁVNÍKU HYDROOSETÍM</t>
        </is>
      </c>
      <c r="D26" t="inlineStr">
        <is>
          <t>rekultivace záboru | Hydroosev levnější než klasické zatravnění; standardní cena 30-40 Kč/m².</t>
        </is>
      </c>
      <c r="E26" t="inlineStr">
        <is>
          <t>M2</t>
        </is>
      </c>
      <c r="F26" t="n">
        <v>1000</v>
      </c>
      <c r="G26" t="inlineStr">
        <is>
          <t>1000 m² zábor → 100 % rekultivace per LČR podmínka</t>
        </is>
      </c>
      <c r="H26" t="n">
        <v>35</v>
      </c>
      <c r="I26" t="n">
        <v>35000</v>
      </c>
      <c r="J26" t="n">
        <v>0.85</v>
      </c>
    </row>
    <row r="27">
      <c r="A27" t="inlineStr">
        <is>
          <t>SO001-T9-17</t>
        </is>
      </c>
      <c r="B27" t="inlineStr">
        <is>
          <t>914123</t>
        </is>
      </c>
      <c r="C27" t="inlineStr">
        <is>
          <t>DEMONTÁŽ PROVIZORNÍCH DOPRAVNÍCH ZNAČEK</t>
        </is>
      </c>
      <c r="D27" t="inlineStr">
        <is>
          <t>po dokončení provozu provizoria</t>
        </is>
      </c>
      <c r="E27" t="inlineStr">
        <is>
          <t>KUS</t>
        </is>
      </c>
      <c r="F27" t="n">
        <v>12</v>
      </c>
      <c r="G27" t="inlineStr">
        <is>
          <t>6 + 6 = 12 ks</t>
        </is>
      </c>
      <c r="H27" t="n">
        <v>227.17</v>
      </c>
      <c r="I27" t="n">
        <v>2726</v>
      </c>
      <c r="J27" t="n">
        <v>0.7</v>
      </c>
    </row>
    <row r="28">
      <c r="A28" t="inlineStr">
        <is>
          <t>SO001-ODV-01</t>
        </is>
      </c>
      <c r="B28" t="inlineStr">
        <is>
          <t>91091010</t>
        </is>
      </c>
      <c r="C28" t="inlineStr">
        <is>
          <t>ODVOZ ŽELEZOBETONOVÉ SUTI NA RS ŽATEC</t>
        </is>
      </c>
      <c r="D28" t="inlineStr">
        <is>
          <t>Ekostavby Louny | Cena RS Žatec beton armovaný = 400 Kč/t per `vendor_quotes.yaml` EKOSTAVBY_LOUNY_RS_ZATEC.cost_breakdown_per_t.beton_armovany_czk.</t>
        </is>
      </c>
      <c r="E28" t="inlineStr">
        <is>
          <t>T</t>
        </is>
      </c>
      <c r="F28" t="n">
        <v>47.5</v>
      </c>
      <c r="G28" t="inlineStr">
        <is>
          <t>19 × 2.5 = 47.5 t</t>
        </is>
      </c>
      <c r="H28" t="n">
        <v>400</v>
      </c>
      <c r="I28" t="n">
        <v>19000</v>
      </c>
      <c r="J28" t="n">
        <v>0.9</v>
      </c>
    </row>
    <row r="29">
      <c r="A29" t="inlineStr">
        <is>
          <t>SO001-ODV-02</t>
        </is>
      </c>
      <c r="B29" t="inlineStr">
        <is>
          <t>91091011</t>
        </is>
      </c>
      <c r="C29" t="inlineStr">
        <is>
          <t>ODVOZ KAMENNÉ SUTI Z DEMOLICE OPĚR + KŘÍDEL NA RS ŽATEC</t>
        </is>
      </c>
      <c r="D29" t="inlineStr">
        <is>
          <t>Cena RS Žatec beton ≤50 cm = 60 Kč/t (kamenné suti se rozdělí na frakce, kde převažuje recyklát ≤50 cm).</t>
        </is>
      </c>
      <c r="E29" t="inlineStr">
        <is>
          <t>T</t>
        </is>
      </c>
      <c r="F29" t="n">
        <v>93.59999999999999</v>
      </c>
      <c r="G29" t="inlineStr">
        <is>
          <t>39 × 2.4 = 93.6 t</t>
        </is>
      </c>
      <c r="H29" t="n">
        <v>60</v>
      </c>
      <c r="I29" t="n">
        <v>5616</v>
      </c>
      <c r="J29" t="n">
        <v>0.9</v>
      </c>
    </row>
    <row r="30">
      <c r="A30" t="inlineStr">
        <is>
          <t>SO001-ODV-03</t>
        </is>
      </c>
      <c r="B30" t="inlineStr">
        <is>
          <t>91091012</t>
        </is>
      </c>
      <c r="C30" t="inlineStr">
        <is>
          <t>ODVOZ ASFALTOVÝCH FRÉZÁTŮ Z DEMOLICE NA RS ŽATEC</t>
        </is>
      </c>
      <c r="D30" t="inlineStr">
        <is>
          <t>Cena RS Žatec asfalt = midpoint(220, 300) = 260 Kč/t.</t>
        </is>
      </c>
      <c r="E30" t="inlineStr">
        <is>
          <t>T</t>
        </is>
      </c>
      <c r="F30" t="n">
        <v>7.7</v>
      </c>
      <c r="G30" t="inlineStr">
        <is>
          <t>(1.8 + 1.5) × 2.35 = 7.755 ≈ 7.7 t</t>
        </is>
      </c>
      <c r="H30" t="n">
        <v>260</v>
      </c>
      <c r="I30" t="n">
        <v>2002</v>
      </c>
      <c r="J30" t="n">
        <v>0.9</v>
      </c>
    </row>
    <row r="31">
      <c r="A31" t="inlineStr">
        <is>
          <t>SO001-ODV-04</t>
        </is>
      </c>
      <c r="B31" t="inlineStr">
        <is>
          <t>91091013</t>
        </is>
      </c>
      <c r="C31" t="inlineStr">
        <is>
          <t>ODVOZ ZEMINY ZE STAVEBNÍ JÁMY NA SKLÁDKU DECO TRADE NESUCHYNĚ</t>
        </is>
      </c>
      <c r="D31" t="inlineStr">
        <is>
          <t>Cena DECO TRADE Nesuchyně 120 Kč/t per `vendor_quotes.yaml` DECO_TRADE_NESUCHYNE, platnost 2026-12-31.</t>
        </is>
      </c>
      <c r="E31" t="inlineStr">
        <is>
          <t>T</t>
        </is>
      </c>
      <c r="F31" t="n">
        <v>459</v>
      </c>
      <c r="G31" t="inlineStr">
        <is>
          <t>(255 - 0) × 1.8 = 459 t</t>
        </is>
      </c>
      <c r="H31" t="n">
        <v>120</v>
      </c>
      <c r="I31" t="n">
        <v>55080</v>
      </c>
      <c r="J31" t="n">
        <v>0.85</v>
      </c>
    </row>
    <row r="32">
      <c r="A32" s="3" t="inlineStr">
        <is>
          <t>SUBTOTAL</t>
        </is>
      </c>
      <c r="I32" s="2" t="n">
        <v>1057831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50" customWidth="1" min="3" max="3"/>
    <col width="50" customWidth="1" min="4" max="4"/>
    <col width="8" customWidth="1" min="5" max="5"/>
    <col width="12" customWidth="1" min="6" max="6"/>
    <col width="28" customWidth="1" min="7" max="7"/>
    <col width="16" customWidth="1" min="8" max="8"/>
    <col width="18" customWidth="1" min="9" max="9"/>
    <col width="12" customWidth="1" min="10" max="10"/>
    <col width="24" customWidth="1" min="11" max="11"/>
  </cols>
  <sheetData>
    <row r="1">
      <c r="A1" s="1" t="inlineStr">
        <is>
          <t>Polozka ID</t>
        </is>
      </c>
      <c r="B1" s="1" t="inlineStr">
        <is>
          <t>OTSKP kód</t>
        </is>
      </c>
      <c r="C1" s="1" t="inlineStr">
        <is>
          <t>OTSKP popis (canonical)</t>
        </is>
      </c>
      <c r="D1" s="1" t="inlineStr">
        <is>
          <t>Naše poznámka</t>
        </is>
      </c>
      <c r="E1" s="1" t="inlineStr">
        <is>
          <t>MJ</t>
        </is>
      </c>
      <c r="F1" s="1" t="inlineStr">
        <is>
          <t>Množství</t>
        </is>
      </c>
      <c r="G1" s="1" t="inlineStr">
        <is>
          <t>Výpočet (formula)</t>
        </is>
      </c>
      <c r="H1" s="1" t="inlineStr">
        <is>
          <t>Jedn. cena (Kč)</t>
        </is>
      </c>
      <c r="I1" s="1" t="inlineStr">
        <is>
          <t>Cena celkem (Kč)</t>
        </is>
      </c>
      <c r="J1" s="1" t="inlineStr">
        <is>
          <t>Confidence</t>
        </is>
      </c>
      <c r="K1" s="1" t="inlineStr">
        <is>
          <t>Source</t>
        </is>
      </c>
    </row>
    <row r="2">
      <c r="A2" t="inlineStr">
        <is>
          <t>SO180-T0-01</t>
        </is>
      </c>
      <c r="B2" t="inlineStr">
        <is>
          <t>014102</t>
        </is>
      </c>
      <c r="C2" t="inlineStr">
        <is>
          <t>POPLATKY ZA SKLÁDKU</t>
        </is>
      </c>
      <c r="D2" t="inlineStr">
        <is>
          <t>provizorium (přepravní obaly + nepoužité materiály) | Cena RS Žatec inertní 60-1500 Kč/t midpoint 1000.</t>
        </is>
      </c>
      <c r="E2" t="inlineStr">
        <is>
          <t>T</t>
        </is>
      </c>
      <c r="F2" t="n">
        <v>8</v>
      </c>
      <c r="G2" t="inlineStr">
        <is>
          <t>Předpoklad ~8 t obalového materiálu + odřezků (paušální odhad)</t>
        </is>
      </c>
      <c r="H2" t="n">
        <v>1000</v>
      </c>
      <c r="I2" t="n">
        <v>8000</v>
      </c>
      <c r="J2" t="n">
        <v>0.6</v>
      </c>
    </row>
    <row r="3">
      <c r="A3" t="inlineStr">
        <is>
          <t>SO180-T0-02</t>
        </is>
      </c>
      <c r="B3" t="inlineStr">
        <is>
          <t>027111</t>
        </is>
      </c>
      <c r="C3" t="inlineStr">
        <is>
          <t>PROVIZORNÍ OBJÍŽĎKY</t>
        </is>
      </c>
      <c r="D3" t="inlineStr">
        <is>
          <t>ZŘÍZENÍ (anchor — actual cost in 91091001/T5-04) | Anchor položka pro OTSKP-konzistentní strukturu. Detail nákladů v T5 (vozovkové vrstvy).</t>
        </is>
      </c>
      <c r="E3" t="inlineStr">
        <is>
          <t>M2</t>
        </is>
      </c>
      <c r="F3" t="n">
        <v>522</v>
      </c>
      <c r="G3" t="inlineStr">
        <is>
          <t>116 × 4.5 = 522 m²</t>
        </is>
      </c>
      <c r="H3" t="n">
        <v>0</v>
      </c>
      <c r="I3" t="n">
        <v>0</v>
      </c>
      <c r="J3" t="n">
        <v>0.95</v>
      </c>
    </row>
    <row r="4">
      <c r="A4" t="inlineStr">
        <is>
          <t>SO180-T0-03</t>
        </is>
      </c>
      <c r="B4" t="inlineStr">
        <is>
          <t>027113</t>
        </is>
      </c>
      <c r="C4" t="inlineStr">
        <is>
          <t>PROVIZORNÍ OBJÍŽĎKY</t>
        </is>
      </c>
      <c r="D4" t="inlineStr">
        <is>
          <t>ZRUŠENÍ (anchor pair k 027111) | Demontáž vozovkových vrstev v T1 (uložení sypaniny) + T9 demolice provizoria → SO 001.</t>
        </is>
      </c>
      <c r="E4" t="inlineStr">
        <is>
          <t>M2</t>
        </is>
      </c>
      <c r="F4" t="n">
        <v>522</v>
      </c>
      <c r="G4" t="inlineStr">
        <is>
          <t>522 m² (zrušení = celá zřízená plocha)</t>
        </is>
      </c>
      <c r="H4" t="n">
        <v>0</v>
      </c>
      <c r="I4" t="n">
        <v>0</v>
      </c>
      <c r="J4" t="n">
        <v>0.95</v>
      </c>
    </row>
    <row r="5">
      <c r="A5" t="inlineStr">
        <is>
          <t>SO180-T0-04</t>
        </is>
      </c>
      <c r="B5" t="inlineStr">
        <is>
          <t>027411</t>
        </is>
      </c>
      <c r="C5" t="inlineStr">
        <is>
          <t>PROVIZORNÍ MOSTY</t>
        </is>
      </c>
      <c r="D5" t="inlineStr">
        <is>
          <t>MONTÁŽ (ocel. konstrukce 12 × 5 m, median 4 vendorů) | Cena = median(TMS 102k, PONVIA 268.3k, MZ-4m 187.6k, MZ-3.5m 163.6k) = 175 590 Kč / 60 m² = 2926 Kč/m². Per `vendor_quotes.yaml`.</t>
        </is>
      </c>
      <c r="E5" t="inlineStr">
        <is>
          <t>M2</t>
        </is>
      </c>
      <c r="F5" t="n">
        <v>60</v>
      </c>
      <c r="G5" t="inlineStr">
        <is>
          <t>12 × 5 = 60 m²</t>
        </is>
      </c>
      <c r="H5" t="n">
        <v>2926</v>
      </c>
      <c r="I5" t="n">
        <v>175590</v>
      </c>
      <c r="J5" t="n">
        <v>0.85</v>
      </c>
      <c r="K5" t="inlineStr">
        <is>
          <t>vendor_pricing_median</t>
        </is>
      </c>
    </row>
    <row r="6">
      <c r="A6" t="inlineStr">
        <is>
          <t>SO180-T0-05</t>
        </is>
      </c>
      <c r="B6" t="inlineStr">
        <is>
          <t>027412</t>
        </is>
      </c>
      <c r="C6" t="inlineStr">
        <is>
          <t>PROVIZORNÍ MOSTY</t>
        </is>
      </c>
      <c r="D6" t="inlineStr">
        <is>
          <t>NÁJEMNÉ (6 měsíců = 180 dní), median 4 vendorů | Cena per měsíc = median nájem 6m (206 300 Kč) / 6 měs = 34 383 Kč/měs. Median sorted([135k, 153k, 259.6k, 297.5k]) = (153+259.6)/2 = 206.3k.</t>
        </is>
      </c>
      <c r="E6" t="inlineStr">
        <is>
          <t>MES</t>
        </is>
      </c>
      <c r="F6" t="n">
        <v>6</v>
      </c>
      <c r="G6" t="inlineStr">
        <is>
          <t>1.5 + 4.5 = 6.0 měs</t>
        </is>
      </c>
      <c r="H6" t="n">
        <v>34383</v>
      </c>
      <c r="I6" t="n">
        <v>206300</v>
      </c>
      <c r="J6" t="n">
        <v>0.9</v>
      </c>
      <c r="K6" t="inlineStr">
        <is>
          <t>vendor_pricing_median</t>
        </is>
      </c>
    </row>
    <row r="7">
      <c r="A7" t="inlineStr">
        <is>
          <t>SO180-T0-06</t>
        </is>
      </c>
      <c r="B7" t="inlineStr">
        <is>
          <t>027413</t>
        </is>
      </c>
      <c r="C7" t="inlineStr">
        <is>
          <t>PROVIZORNÍ MOSTY</t>
        </is>
      </c>
      <c r="D7" t="inlineStr">
        <is>
          <t>DEMONTÁŽ (po dokončení nového mostu — anchor; cena alokována v SO 001 T9-11) | ANCHOR ONLY — actual cost (median demontáž 154 518 Kč, 2575 Kč/m²) je alokován v
SO_001 T9-11 (027413). To zachovává no-work-duplication: provizorium demontáž je
jeden výkon, evidovaný jednou. Per task §3.8 validation rul</t>
        </is>
      </c>
      <c r="E7" t="inlineStr">
        <is>
          <t>M2</t>
        </is>
      </c>
      <c r="F7" t="n">
        <v>60</v>
      </c>
      <c r="G7" t="inlineStr">
        <is>
          <t>60 m² (demontáž = celá zřízená plocha)</t>
        </is>
      </c>
      <c r="H7" t="n">
        <v>0</v>
      </c>
      <c r="I7" t="n">
        <v>0</v>
      </c>
      <c r="J7" t="n">
        <v>0.95</v>
      </c>
    </row>
    <row r="8">
      <c r="A8" t="inlineStr">
        <is>
          <t>SO180-T0-07</t>
        </is>
      </c>
      <c r="B8" t="inlineStr">
        <is>
          <t>027414</t>
        </is>
      </c>
      <c r="C8" t="inlineStr">
        <is>
          <t>PROVIZORNÍ MOSTY</t>
        </is>
      </c>
      <c r="D8" t="inlineStr">
        <is>
          <t>PRAVIDELNÁ MOSTNÍ PROHLÍDKA (6× za 6 měsíců provozu) | Cena per prohlídka = median(TMS 8000, PONVIA 10990, MZ-4m 16695, MZ-3.5m 14538) = 12 764 Kč/měs. Pravidelná prohlídka per ČSN 73 6221.</t>
        </is>
      </c>
      <c r="E8" t="inlineStr">
        <is>
          <t>KPL</t>
        </is>
      </c>
      <c r="F8" t="n">
        <v>6</v>
      </c>
      <c r="G8" t="inlineStr">
        <is>
          <t>6 × 1 = 6 prohlídek</t>
        </is>
      </c>
      <c r="H8" t="n">
        <v>12764</v>
      </c>
      <c r="I8" t="n">
        <v>76582</v>
      </c>
      <c r="J8" t="n">
        <v>0.9</v>
      </c>
      <c r="K8" t="inlineStr">
        <is>
          <t>vendor_pricing_median</t>
        </is>
      </c>
    </row>
    <row r="9">
      <c r="A9" t="inlineStr">
        <is>
          <t>SO180-T0-08</t>
        </is>
      </c>
      <c r="B9" t="inlineStr">
        <is>
          <t>02740</t>
        </is>
      </c>
      <c r="C9" t="inlineStr">
        <is>
          <t>POMOCNÉ PRÁCE PROVIZORNÍCH MOSTŮ</t>
        </is>
      </c>
      <c r="D9" t="inlineStr">
        <is>
          <t>koordinace, doprava panelů, jeřáb</t>
        </is>
      </c>
      <c r="E9" t="inlineStr">
        <is>
          <t>KPL</t>
        </is>
      </c>
      <c r="F9" t="n">
        <v>1</v>
      </c>
      <c r="G9" t="inlineStr">
        <is>
          <t>Doprava cca 60-80k + jeřáb 16 hod × 4500 Kč/hod = 72k → paušál 150k</t>
        </is>
      </c>
      <c r="H9" t="n">
        <v>150000</v>
      </c>
      <c r="I9" t="n">
        <v>150000</v>
      </c>
      <c r="J9" t="n">
        <v>0.7</v>
      </c>
    </row>
    <row r="10">
      <c r="A10" t="inlineStr">
        <is>
          <t>SO180-T0-09</t>
        </is>
      </c>
      <c r="B10" t="inlineStr">
        <is>
          <t>027415</t>
        </is>
      </c>
      <c r="C10" t="inlineStr">
        <is>
          <t>PROVIZORIUM</t>
        </is>
      </c>
      <c r="D10" t="inlineStr">
        <is>
          <t>SVĚTELNÁ SIGNALIZACE (semafor) PRO JEDNOSMĚRNÝ PROVOZ (per ZD §4.4.o)</t>
        </is>
      </c>
      <c r="E10" t="inlineStr">
        <is>
          <t>KPL</t>
        </is>
      </c>
      <c r="F10" t="n">
        <v>1</v>
      </c>
      <c r="G10" t="inlineStr">
        <is>
          <t>6 × 18000 + 12000 = 108k + 12k = 120k Kč</t>
        </is>
      </c>
      <c r="H10" t="n">
        <v>120000</v>
      </c>
      <c r="I10" t="n">
        <v>120000</v>
      </c>
      <c r="J10" t="n">
        <v>0.7</v>
      </c>
      <c r="K10" t="inlineStr">
        <is>
          <t>user_manual_fallback</t>
        </is>
      </c>
    </row>
    <row r="11">
      <c r="A11" t="inlineStr">
        <is>
          <t>SO180-T0-10</t>
        </is>
      </c>
      <c r="B11" t="inlineStr">
        <is>
          <t>027416</t>
        </is>
      </c>
      <c r="C11" t="inlineStr">
        <is>
          <t>PROVIZORIUM</t>
        </is>
      </c>
      <c r="D11" t="inlineStr">
        <is>
          <t>DIO + DOČASNÉ DOPRAVNÍ ZNAČENÍ PO DOBU STAVBY</t>
        </is>
      </c>
      <c r="E11" t="inlineStr">
        <is>
          <t>KPL</t>
        </is>
      </c>
      <c r="F11" t="n">
        <v>1</v>
      </c>
      <c r="G11" t="inlineStr">
        <is>
          <t>30000 + 50000 + 30000 + 40000 = 150 000 Kč</t>
        </is>
      </c>
      <c r="H11" t="n">
        <v>150000</v>
      </c>
      <c r="I11" t="n">
        <v>150000</v>
      </c>
      <c r="J11" t="n">
        <v>0.65</v>
      </c>
      <c r="K11" t="inlineStr">
        <is>
          <t>user_manual_fallback</t>
        </is>
      </c>
    </row>
    <row r="12">
      <c r="A12" t="inlineStr">
        <is>
          <t>SO180-T0-11</t>
        </is>
      </c>
      <c r="B12" t="inlineStr">
        <is>
          <t>02946</t>
        </is>
      </c>
      <c r="C12" t="inlineStr">
        <is>
          <t>FOTODOKUMENTACE PROVIZORIA</t>
        </is>
      </c>
      <c r="D12" t="inlineStr">
        <is>
          <t>před, během, po</t>
        </is>
      </c>
      <c r="E12" t="inlineStr">
        <is>
          <t>KPL</t>
        </is>
      </c>
      <c r="F12" t="n">
        <v>1</v>
      </c>
      <c r="G12" t="inlineStr">
        <is>
          <t>1 kpl = ~8 fotosessions × 1500 Kč</t>
        </is>
      </c>
      <c r="H12" t="n">
        <v>12000</v>
      </c>
      <c r="I12" t="n">
        <v>12000</v>
      </c>
      <c r="J12" t="n">
        <v>0.85</v>
      </c>
    </row>
    <row r="13">
      <c r="A13" t="inlineStr">
        <is>
          <t>SO180-T0-12</t>
        </is>
      </c>
      <c r="B13" t="inlineStr">
        <is>
          <t>02950</t>
        </is>
      </c>
      <c r="C13" t="inlineStr">
        <is>
          <t>POSUDEK STATIKA + GEOTECHNIKA</t>
        </is>
      </c>
      <c r="D13" t="inlineStr">
        <is>
          <t>před uvedením do provozu provizoria</t>
        </is>
      </c>
      <c r="E13" t="inlineStr">
        <is>
          <t>KPL</t>
        </is>
      </c>
      <c r="F13" t="n">
        <v>1</v>
      </c>
      <c r="G13" t="inlineStr">
        <is>
          <t>Statický posudek ~25k + geotechnik ~15k = 40k Kč</t>
        </is>
      </c>
      <c r="H13" t="n">
        <v>40000</v>
      </c>
      <c r="I13" t="n">
        <v>40000</v>
      </c>
      <c r="J13" t="n">
        <v>0.8</v>
      </c>
    </row>
    <row r="14">
      <c r="A14" t="inlineStr">
        <is>
          <t>SO180-T0-13</t>
        </is>
      </c>
      <c r="B14" t="inlineStr">
        <is>
          <t>027417</t>
        </is>
      </c>
      <c r="C14" t="inlineStr">
        <is>
          <t>KONZULTACE A SOUHLAS PROVOZOVATELE LINKOVÉ VEŘEJNÉ DOPRAVY</t>
        </is>
      </c>
      <c r="D14" t="inlineStr">
        <is>
          <t>per ZD §4.4.o</t>
        </is>
      </c>
      <c r="E14" t="inlineStr">
        <is>
          <t>KPL</t>
        </is>
      </c>
      <c r="F14" t="n">
        <v>1</v>
      </c>
      <c r="G14" t="inlineStr">
        <is>
          <t>Konzultace + administrativa = 30k Kč</t>
        </is>
      </c>
      <c r="H14" t="n">
        <v>30000</v>
      </c>
      <c r="I14" t="n">
        <v>30000</v>
      </c>
      <c r="J14" t="n">
        <v>0.75</v>
      </c>
      <c r="K14" t="inlineStr">
        <is>
          <t>user_manual_fallback</t>
        </is>
      </c>
    </row>
    <row r="15">
      <c r="A15" t="inlineStr">
        <is>
          <t>SO180-T1-01</t>
        </is>
      </c>
      <c r="B15" t="inlineStr">
        <is>
          <t>111208</t>
        </is>
      </c>
      <c r="C15" t="inlineStr">
        <is>
          <t>ODSTRANĚNÍ KŘOVIN S ODVOZEM DO 20 KM</t>
        </is>
      </c>
      <c r="D15" t="inlineStr">
        <is>
          <t>zábor pro objízdku + provizorium | OTSKP 2025/II. LČR podmínka: pouze nutné minimum, žádný rozsáhlý zásah do dřevin (parcels_and_consents.yaml LCR_ZATEC.conditions).</t>
        </is>
      </c>
      <c r="E15" t="inlineStr">
        <is>
          <t>M2</t>
        </is>
      </c>
      <c r="F15" t="n">
        <v>300</v>
      </c>
      <c r="G15" t="inlineStr">
        <is>
          <t>30 % záboru lesnaté = 1000 × 0.30 = 300 m²</t>
        </is>
      </c>
      <c r="H15" t="n">
        <v>147.7</v>
      </c>
      <c r="I15" t="n">
        <v>44310</v>
      </c>
      <c r="J15" t="n">
        <v>0.7</v>
      </c>
    </row>
    <row r="16">
      <c r="A16" t="inlineStr">
        <is>
          <t>SO180-T1-02</t>
        </is>
      </c>
      <c r="B16" t="inlineStr">
        <is>
          <t>11511</t>
        </is>
      </c>
      <c r="C16" t="inlineStr">
        <is>
          <t>ČERPÁNÍ VODY DO 500 L/MIN</t>
        </is>
      </c>
      <c r="D16" t="inlineStr">
        <is>
          <t>během výkopu pod provizoriem</t>
        </is>
      </c>
      <c r="E16" t="inlineStr">
        <is>
          <t>HOD</t>
        </is>
      </c>
      <c r="F16" t="n">
        <v>100</v>
      </c>
      <c r="G16" t="inlineStr">
        <is>
          <t>25 × 8 × 0.5 = 100 hod</t>
        </is>
      </c>
      <c r="H16" t="n">
        <v>110.71</v>
      </c>
      <c r="I16" t="n">
        <v>11071</v>
      </c>
      <c r="J16" t="n">
        <v>0.7</v>
      </c>
    </row>
    <row r="17">
      <c r="A17" t="inlineStr">
        <is>
          <t>SO180-T1-03</t>
        </is>
      </c>
      <c r="B17" t="inlineStr">
        <is>
          <t>121108</t>
        </is>
      </c>
      <c r="C17" t="inlineStr">
        <is>
          <t>SEJMUTÍ ORNICE NEBO LESNÍ PŮDY S ODVOZEM DO 20 KM</t>
        </is>
      </c>
      <c r="D17" t="inlineStr">
        <is>
          <t>zábor 1000 m² | User formula 1000 × 0.15 = 150 m³. Ornice po stavbě → zpětně použitá pro rekultivaci (T1-06).</t>
        </is>
      </c>
      <c r="E17" t="inlineStr">
        <is>
          <t>M3</t>
        </is>
      </c>
      <c r="F17" t="n">
        <v>150</v>
      </c>
      <c r="G17" t="inlineStr">
        <is>
          <t>1000 × 0.15 = 150 m³ (← user formula)</t>
        </is>
      </c>
      <c r="H17" t="n">
        <v>456.48</v>
      </c>
      <c r="I17" t="n">
        <v>68472</v>
      </c>
      <c r="J17" t="n">
        <v>0.85</v>
      </c>
    </row>
    <row r="18">
      <c r="A18" t="inlineStr">
        <is>
          <t>SO180-T1-04</t>
        </is>
      </c>
      <c r="B18" t="inlineStr">
        <is>
          <t>13173</t>
        </is>
      </c>
      <c r="C18" t="inlineStr">
        <is>
          <t>VÝKOP PRO ZALOŽENÍ PODLOŽÍ PROVIZORIA + OBJÍZDKY, TŘ. I</t>
        </is>
      </c>
      <c r="D18" t="inlineStr"/>
      <c r="E18" t="inlineStr">
        <is>
          <t>M3</t>
        </is>
      </c>
      <c r="F18" t="n">
        <v>365.4</v>
      </c>
      <c r="G18" t="inlineStr">
        <is>
          <t>116 × 4.5 = 522 m² (vozovka); 522 × 0.70 = 365.4 m³ (← user formula)</t>
        </is>
      </c>
      <c r="H18" t="n">
        <v>315.27</v>
      </c>
      <c r="I18" t="n">
        <v>115210</v>
      </c>
      <c r="J18" t="n">
        <v>0.9</v>
      </c>
    </row>
    <row r="19">
      <c r="A19" t="inlineStr">
        <is>
          <t>SO180-T1-05</t>
        </is>
      </c>
      <c r="B19" t="inlineStr">
        <is>
          <t>17120</t>
        </is>
      </c>
      <c r="C19" t="inlineStr">
        <is>
          <t>ULOŽENÍ SYPANINY DO NÁSYPU NEBO NA SKLÁDKU</t>
        </is>
      </c>
      <c r="D19" t="inlineStr">
        <is>
          <t>přebytečná zemina z výkopu</t>
        </is>
      </c>
      <c r="E19" t="inlineStr">
        <is>
          <t>M3</t>
        </is>
      </c>
      <c r="F19" t="n">
        <v>215.4</v>
      </c>
      <c r="G19" t="inlineStr">
        <is>
          <t>365.4 - 150 = 215.4 m³ na skládku</t>
        </is>
      </c>
      <c r="H19" t="n">
        <v>95</v>
      </c>
      <c r="I19" t="n">
        <v>20463</v>
      </c>
      <c r="J19" t="n">
        <v>0.8</v>
      </c>
    </row>
    <row r="20">
      <c r="A20" t="inlineStr">
        <is>
          <t>SO180-T1-06</t>
        </is>
      </c>
      <c r="B20" t="inlineStr">
        <is>
          <t>18241</t>
        </is>
      </c>
      <c r="C20" t="inlineStr">
        <is>
          <t>ZALOŽENÍ TRÁVNÍKU HYDROOSETÍM</t>
        </is>
      </c>
      <c r="D20" t="inlineStr">
        <is>
          <t>rekultivace záboru po demontáži | LČR požaduje minimalizaci záboru + rekultivaci povinná (parcels_and_consents.yaml
LCR_ZATEC.conditions_or_requirements). Rekultivace pokrývá ornice z T1-03 zpětně
rozprostřená + hydroosev.</t>
        </is>
      </c>
      <c r="E20" t="inlineStr">
        <is>
          <t>M2</t>
        </is>
      </c>
      <c r="F20" t="n">
        <v>1000</v>
      </c>
      <c r="G20" t="inlineStr">
        <is>
          <t>1000 m² hydroosev (← user formula)</t>
        </is>
      </c>
      <c r="H20" t="n">
        <v>35</v>
      </c>
      <c r="I20" t="n">
        <v>35000</v>
      </c>
      <c r="J20" t="n">
        <v>0.85</v>
      </c>
    </row>
    <row r="21">
      <c r="A21" t="inlineStr">
        <is>
          <t>SO180-T2-01</t>
        </is>
      </c>
      <c r="B21" t="inlineStr">
        <is>
          <t>28997</t>
        </is>
      </c>
      <c r="C21" t="inlineStr">
        <is>
          <t>OPLÁŠTĚNÍ (ZPEVNĚNÍ) Z GEOTEXTILIE A GEOMŘÍŽOVIN</t>
        </is>
      </c>
      <c r="D21" t="inlineStr">
        <is>
          <t>separace + zpevnění podloží | Geotextilie GT 5 (separační) + lokálně geomřížovina pod kritické úseky.</t>
        </is>
      </c>
      <c r="E21" t="inlineStr">
        <is>
          <t>M2</t>
        </is>
      </c>
      <c r="F21" t="n">
        <v>597</v>
      </c>
      <c r="G21" t="inlineStr">
        <is>
          <t>522 + 75 = 597 m²</t>
        </is>
      </c>
      <c r="H21" t="n">
        <v>200</v>
      </c>
      <c r="I21" t="n">
        <v>119400</v>
      </c>
      <c r="J21" t="n">
        <v>0.85</v>
      </c>
    </row>
    <row r="22">
      <c r="A22" t="inlineStr">
        <is>
          <t>SO180-T4-01</t>
        </is>
      </c>
      <c r="B22" t="inlineStr">
        <is>
          <t>451523</t>
        </is>
      </c>
      <c r="C22" t="inlineStr">
        <is>
          <t>VÝPLŇ Z KAMENIVA DRCENÉHO, INDEX ZHUTNĚNÍ ID DO 0,8</t>
        </is>
      </c>
      <c r="D22" t="inlineStr">
        <is>
          <t>podloží objízdky a provizoria</t>
        </is>
      </c>
      <c r="E22" t="inlineStr">
        <is>
          <t>M3</t>
        </is>
      </c>
      <c r="F22" t="n">
        <v>119.4</v>
      </c>
      <c r="G22" t="inlineStr">
        <is>
          <t>(522 + 75) × 0.20 = 597 × 0.20 = 119.4 m³</t>
        </is>
      </c>
      <c r="H22" t="n">
        <v>1100</v>
      </c>
      <c r="I22" t="n">
        <v>131340</v>
      </c>
      <c r="J22" t="n">
        <v>0.85</v>
      </c>
    </row>
    <row r="23">
      <c r="A23" t="inlineStr">
        <is>
          <t>SO180-T4-02</t>
        </is>
      </c>
      <c r="B23" t="inlineStr">
        <is>
          <t>45211</t>
        </is>
      </c>
      <c r="C23" t="inlineStr">
        <is>
          <t>PODKLAD KONSTR. Z DÍLCŮ BETON</t>
        </is>
      </c>
      <c r="D23" t="inlineStr">
        <is>
          <t>panely pod ocelové provizorium</t>
        </is>
      </c>
      <c r="E23" t="inlineStr">
        <is>
          <t>M3</t>
        </is>
      </c>
      <c r="F23" t="n">
        <v>15</v>
      </c>
      <c r="G23" t="inlineStr">
        <is>
          <t>75 × 0.20 = 15 m³</t>
        </is>
      </c>
      <c r="H23" t="n">
        <v>2500</v>
      </c>
      <c r="I23" t="n">
        <v>37500</v>
      </c>
      <c r="J23" t="n">
        <v>0.85</v>
      </c>
    </row>
    <row r="24">
      <c r="A24" t="inlineStr">
        <is>
          <t>SO180-T5-01</t>
        </is>
      </c>
      <c r="B24" t="inlineStr">
        <is>
          <t>56333</t>
        </is>
      </c>
      <c r="C24" t="inlineStr">
        <is>
          <t>VOZOVKOVÉ VRSTVY ZE ŠTĚRKODRTI TL. DO 150 MM</t>
        </is>
      </c>
      <c r="D24" t="inlineStr">
        <is>
          <t>spodní podkladní</t>
        </is>
      </c>
      <c r="E24" t="inlineStr">
        <is>
          <t>M2</t>
        </is>
      </c>
      <c r="F24" t="n">
        <v>522</v>
      </c>
      <c r="G24" t="inlineStr">
        <is>
          <t>522 m² (← user formula 116 × 4.5)</t>
        </is>
      </c>
      <c r="H24" t="n">
        <v>200</v>
      </c>
      <c r="I24" t="n">
        <v>104400</v>
      </c>
      <c r="J24" t="n">
        <v>0.95</v>
      </c>
    </row>
    <row r="25">
      <c r="A25" t="inlineStr">
        <is>
          <t>SO180-T5-02</t>
        </is>
      </c>
      <c r="B25" t="inlineStr">
        <is>
          <t>56336</t>
        </is>
      </c>
      <c r="C25" t="inlineStr">
        <is>
          <t>VOZOVKOVÉ VRSTVY ZE ŠTĚRKODRTI TL. DO 300 MM</t>
        </is>
      </c>
      <c r="D25" t="inlineStr">
        <is>
          <t>horní podkladní</t>
        </is>
      </c>
      <c r="E25" t="inlineStr">
        <is>
          <t>M2</t>
        </is>
      </c>
      <c r="F25" t="n">
        <v>522</v>
      </c>
      <c r="G25" t="inlineStr">
        <is>
          <t>522 m²</t>
        </is>
      </c>
      <c r="H25" t="n">
        <v>280</v>
      </c>
      <c r="I25" t="n">
        <v>146160</v>
      </c>
      <c r="J25" t="n">
        <v>0.95</v>
      </c>
    </row>
    <row r="26">
      <c r="A26" t="inlineStr">
        <is>
          <t>SO180-T5-03</t>
        </is>
      </c>
      <c r="B26" t="inlineStr">
        <is>
          <t>56314</t>
        </is>
      </c>
      <c r="C26" t="inlineStr">
        <is>
          <t>VOZOVKOVÉ VRSTVY Z MECHANICKY ZPEVNĚNÉHO KAMENIVA TL. DO 200 MM</t>
        </is>
      </c>
      <c r="D26" t="inlineStr">
        <is>
          <t>MZK</t>
        </is>
      </c>
      <c r="E26" t="inlineStr">
        <is>
          <t>M2</t>
        </is>
      </c>
      <c r="F26" t="n">
        <v>522</v>
      </c>
      <c r="G26" t="inlineStr">
        <is>
          <t>522 m²</t>
        </is>
      </c>
      <c r="H26" t="n">
        <v>250</v>
      </c>
      <c r="I26" t="n">
        <v>130500</v>
      </c>
      <c r="J26" t="n">
        <v>0.95</v>
      </c>
    </row>
    <row r="27">
      <c r="A27" t="inlineStr">
        <is>
          <t>SO180-T5-04</t>
        </is>
      </c>
      <c r="B27" t="inlineStr">
        <is>
          <t>574A34</t>
        </is>
      </c>
      <c r="C27" t="inlineStr">
        <is>
          <t>ASFALTOVÝ BETON ACO 11+ TL. 40 MM</t>
        </is>
      </c>
      <c r="D27" t="inlineStr">
        <is>
          <t>obrusná vrstva vozovky objízdky a nájezdů | Pro provizorium není povinná ACO 11+ obrusná, ale doporučená pro ochranu nižších vrstev po dobu 6 měsíců. Recyklát ACO může být použit (RS Žatec).</t>
        </is>
      </c>
      <c r="E27" t="inlineStr">
        <is>
          <t>M2</t>
        </is>
      </c>
      <c r="F27" t="n">
        <v>522</v>
      </c>
      <c r="G27" t="inlineStr">
        <is>
          <t>522 m² (← user formula 116 × 4.5)</t>
        </is>
      </c>
      <c r="H27" t="n">
        <v>220</v>
      </c>
      <c r="I27" t="n">
        <v>114840</v>
      </c>
      <c r="J27" t="n">
        <v>0.85</v>
      </c>
    </row>
    <row r="28">
      <c r="A28" s="3" t="inlineStr">
        <is>
          <t>SUBTOTAL</t>
        </is>
      </c>
      <c r="I28" s="2" t="n">
        <v>2047138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50" customWidth="1" min="3" max="3"/>
    <col width="50" customWidth="1" min="4" max="4"/>
    <col width="8" customWidth="1" min="5" max="5"/>
    <col width="12" customWidth="1" min="6" max="6"/>
    <col width="28" customWidth="1" min="7" max="7"/>
    <col width="16" customWidth="1" min="8" max="8"/>
    <col width="18" customWidth="1" min="9" max="9"/>
    <col width="12" customWidth="1" min="10" max="10"/>
    <col width="24" customWidth="1" min="11" max="11"/>
  </cols>
  <sheetData>
    <row r="1">
      <c r="A1" s="1" t="inlineStr">
        <is>
          <t>Polozka ID</t>
        </is>
      </c>
      <c r="B1" s="1" t="inlineStr">
        <is>
          <t>OTSKP kód</t>
        </is>
      </c>
      <c r="C1" s="1" t="inlineStr">
        <is>
          <t>OTSKP popis (canonical)</t>
        </is>
      </c>
      <c r="D1" s="1" t="inlineStr">
        <is>
          <t>Naše poznámka</t>
        </is>
      </c>
      <c r="E1" s="1" t="inlineStr">
        <is>
          <t>MJ</t>
        </is>
      </c>
      <c r="F1" s="1" t="inlineStr">
        <is>
          <t>Množství</t>
        </is>
      </c>
      <c r="G1" s="1" t="inlineStr">
        <is>
          <t>Výpočet (formula)</t>
        </is>
      </c>
      <c r="H1" s="1" t="inlineStr">
        <is>
          <t>Jedn. cena (Kč)</t>
        </is>
      </c>
      <c r="I1" s="1" t="inlineStr">
        <is>
          <t>Cena celkem (Kč)</t>
        </is>
      </c>
      <c r="J1" s="1" t="inlineStr">
        <is>
          <t>Confidence</t>
        </is>
      </c>
      <c r="K1" s="1" t="inlineStr">
        <is>
          <t>Source</t>
        </is>
      </c>
    </row>
    <row r="2">
      <c r="A2" t="inlineStr">
        <is>
          <t>SO201-T0-01</t>
        </is>
      </c>
      <c r="B2" t="inlineStr">
        <is>
          <t>0291</t>
        </is>
      </c>
      <c r="C2" t="inlineStr">
        <is>
          <t>OSTATNÍ POŽADAVKY</t>
        </is>
      </c>
      <c r="D2" t="inlineStr">
        <is>
          <t>ZEMĚMĚŘIČSKÁ MĚŘENÍ (průběžně během stavby)</t>
        </is>
      </c>
      <c r="E2" t="inlineStr">
        <is>
          <t>KPL</t>
        </is>
      </c>
      <c r="F2" t="n">
        <v>1</v>
      </c>
      <c r="G2" t="inlineStr">
        <is>
          <t>10 × 3 × 1500 = 45 000 Kč</t>
        </is>
      </c>
      <c r="H2" t="n">
        <v>45000</v>
      </c>
      <c r="I2" t="n">
        <v>45000</v>
      </c>
      <c r="J2" t="n">
        <v>0.8</v>
      </c>
      <c r="K2" t="inlineStr">
        <is>
          <t>paušál_administrativní</t>
        </is>
      </c>
    </row>
    <row r="3">
      <c r="A3" t="inlineStr">
        <is>
          <t>SO201-T0-02</t>
        </is>
      </c>
      <c r="B3" t="inlineStr">
        <is>
          <t>02911</t>
        </is>
      </c>
      <c r="C3" t="inlineStr">
        <is>
          <t>OSTATNÍ POŽADAVKY</t>
        </is>
      </c>
      <c r="D3" t="inlineStr">
        <is>
          <t>GEODETICKÉ ZAMĚŘENÍ (S-JTSK + Bpv, 3. tř. přesnosti, výchozí)</t>
        </is>
      </c>
      <c r="E3" t="inlineStr">
        <is>
          <t>HM</t>
        </is>
      </c>
      <c r="F3" t="n">
        <v>1</v>
      </c>
      <c r="G3" t="inlineStr">
        <is>
          <t>Midpoint pásma 80-150k = 100 000 Kč (paušál 1 hm)</t>
        </is>
      </c>
      <c r="H3" t="n">
        <v>100000</v>
      </c>
      <c r="I3" t="n">
        <v>100000</v>
      </c>
      <c r="J3" t="n">
        <v>0.7</v>
      </c>
      <c r="K3" t="inlineStr">
        <is>
          <t>paušál_administrativní</t>
        </is>
      </c>
    </row>
    <row r="4">
      <c r="A4" t="inlineStr">
        <is>
          <t>SO201-T0-03</t>
        </is>
      </c>
      <c r="B4" t="inlineStr">
        <is>
          <t>02911-skutecne</t>
        </is>
      </c>
      <c r="C4" t="inlineStr">
        <is>
          <t>OSTATNÍ POŽADAVKY</t>
        </is>
      </c>
      <c r="D4" t="inlineStr">
        <is>
          <t>GEODETICKÉ ZAMĚŘENÍ SKUTEČNÉHO PROVEDENÍ</t>
        </is>
      </c>
      <c r="E4" t="inlineStr">
        <is>
          <t>HM</t>
        </is>
      </c>
      <c r="F4" t="n">
        <v>1</v>
      </c>
      <c r="G4" t="inlineStr">
        <is>
          <t>Midpoint pásma 50-80k = 65 000 Kč</t>
        </is>
      </c>
      <c r="H4" t="n">
        <v>65000</v>
      </c>
      <c r="I4" t="n">
        <v>65000</v>
      </c>
      <c r="J4" t="n">
        <v>0.7</v>
      </c>
      <c r="K4" t="inlineStr">
        <is>
          <t>paušál_administrativní</t>
        </is>
      </c>
    </row>
    <row r="5">
      <c r="A5" t="inlineStr">
        <is>
          <t>SO201-T0-04</t>
        </is>
      </c>
      <c r="B5" t="inlineStr">
        <is>
          <t>029412</t>
        </is>
      </c>
      <c r="C5" t="inlineStr">
        <is>
          <t>OSTATNÍ POŽADAVKY</t>
        </is>
      </c>
      <c r="D5" t="inlineStr">
        <is>
          <t>VYPRACOVÁNÍ MOSTNÍHO LISTU (per ČSN 73 6221)</t>
        </is>
      </c>
      <c r="E5" t="inlineStr">
        <is>
          <t>KUS</t>
        </is>
      </c>
      <c r="F5" t="n">
        <v>1</v>
      </c>
      <c r="G5" t="inlineStr">
        <is>
          <t>Vyplnění formuláře (4 hod) + fotorozhled (4 hod) + zaměření (4 hod) × 1250 Kč/hod = 15 000 Kč</t>
        </is>
      </c>
      <c r="H5" t="n">
        <v>15000</v>
      </c>
      <c r="I5" t="n">
        <v>15000</v>
      </c>
      <c r="J5" t="n">
        <v>0.85</v>
      </c>
      <c r="K5" t="inlineStr">
        <is>
          <t>user_manual_fallback</t>
        </is>
      </c>
    </row>
    <row r="6">
      <c r="A6" t="inlineStr">
        <is>
          <t>SO201-T0-05</t>
        </is>
      </c>
      <c r="B6" t="inlineStr">
        <is>
          <t>02943</t>
        </is>
      </c>
      <c r="C6" t="inlineStr">
        <is>
          <t>OSTATNÍ POŽADAVKY</t>
        </is>
      </c>
      <c r="D6" t="inlineStr">
        <is>
          <t>VYPRACOVÁNÍ RDS (Realizační dokumentace stavby)</t>
        </is>
      </c>
      <c r="E6" t="inlineStr">
        <is>
          <t>KPL</t>
        </is>
      </c>
      <c r="F6" t="n">
        <v>1</v>
      </c>
      <c r="G6" t="inlineStr">
        <is>
          <t>Midpoint pásma 200-400k = 300 000 Kč</t>
        </is>
      </c>
      <c r="H6" t="n">
        <v>300000</v>
      </c>
      <c r="I6" t="n">
        <v>300000</v>
      </c>
      <c r="J6" t="n">
        <v>0.65</v>
      </c>
      <c r="K6" t="inlineStr">
        <is>
          <t>user_manual_fallback</t>
        </is>
      </c>
    </row>
    <row r="7">
      <c r="A7" t="inlineStr">
        <is>
          <t>SO201-T0-06</t>
        </is>
      </c>
      <c r="B7" t="inlineStr">
        <is>
          <t>02944</t>
        </is>
      </c>
      <c r="C7" t="inlineStr">
        <is>
          <t>OSTATNÍ POŽADAVKY</t>
        </is>
      </c>
      <c r="D7" t="inlineStr">
        <is>
          <t>DOKUMENTACE SKUTEČNÉHO PROVEDENÍ V DIGITÁLNÍ FORMĚ (DSPS)</t>
        </is>
      </c>
      <c r="E7" t="inlineStr">
        <is>
          <t>KPL</t>
        </is>
      </c>
      <c r="F7" t="n">
        <v>1</v>
      </c>
      <c r="G7" t="inlineStr">
        <is>
          <t>Digital DSPS pro malý most = 80 000 Kč (orientační market)</t>
        </is>
      </c>
      <c r="H7" t="n">
        <v>80000</v>
      </c>
      <c r="I7" t="n">
        <v>80000</v>
      </c>
      <c r="J7" t="n">
        <v>0.7</v>
      </c>
      <c r="K7" t="inlineStr">
        <is>
          <t>user_manual_fallback</t>
        </is>
      </c>
    </row>
    <row r="8">
      <c r="A8" t="inlineStr">
        <is>
          <t>SO201-T0-07</t>
        </is>
      </c>
      <c r="B8" t="inlineStr">
        <is>
          <t>02510</t>
        </is>
      </c>
      <c r="C8" t="inlineStr">
        <is>
          <t>ZKOUŠENÍ MATERIÁLŮ</t>
        </is>
      </c>
      <c r="D8" t="inlineStr">
        <is>
          <t>laboratorní zkoušky betonu + výztuže (TKP 18 čl. 3.4)</t>
        </is>
      </c>
      <c r="E8" t="inlineStr">
        <is>
          <t>KPL</t>
        </is>
      </c>
      <c r="F8" t="n">
        <v>1</v>
      </c>
      <c r="G8" t="inlineStr">
        <is>
          <t>8 × 3 × 2500 = 60 000 Kč</t>
        </is>
      </c>
      <c r="H8" t="n">
        <v>60000</v>
      </c>
      <c r="I8" t="n">
        <v>60000</v>
      </c>
      <c r="J8" t="n">
        <v>0.8</v>
      </c>
      <c r="K8" t="inlineStr">
        <is>
          <t>paušál_administrativní</t>
        </is>
      </c>
    </row>
    <row r="9">
      <c r="A9" t="inlineStr">
        <is>
          <t>SO201-T0-08</t>
        </is>
      </c>
      <c r="B9" t="inlineStr">
        <is>
          <t>02953</t>
        </is>
      </c>
      <c r="C9" t="inlineStr">
        <is>
          <t>OSTATNÍ POŽADAVKY</t>
        </is>
      </c>
      <c r="D9" t="inlineStr">
        <is>
          <t>HLAVNÍ MOSTNÍ PROHLÍDKA (první po dokončení per ČSN 73 6221)</t>
        </is>
      </c>
      <c r="E9" t="inlineStr">
        <is>
          <t>KUS</t>
        </is>
      </c>
      <c r="F9" t="n">
        <v>1</v>
      </c>
      <c r="G9" t="inlineStr">
        <is>
          <t>1 × 25 000 = 25 000 Kč</t>
        </is>
      </c>
      <c r="H9" t="n">
        <v>25000</v>
      </c>
      <c r="I9" t="n">
        <v>25000</v>
      </c>
      <c r="J9" t="n">
        <v>0.85</v>
      </c>
      <c r="K9" t="inlineStr">
        <is>
          <t>user_manual_fallback</t>
        </is>
      </c>
    </row>
    <row r="10">
      <c r="A10" t="inlineStr">
        <is>
          <t>SO201-T0-09</t>
        </is>
      </c>
      <c r="B10" t="inlineStr">
        <is>
          <t>0296</t>
        </is>
      </c>
      <c r="C10" t="inlineStr">
        <is>
          <t>OSTATNÍ POŽADAVKY</t>
        </is>
      </c>
      <c r="D10" t="inlineStr">
        <is>
          <t>ODBORNÝ DOZOR (autorský + statický během stavby SO 201)</t>
        </is>
      </c>
      <c r="E10" t="inlineStr">
        <is>
          <t>KPL</t>
        </is>
      </c>
      <c r="F10" t="n">
        <v>1</v>
      </c>
      <c r="G10" t="inlineStr">
        <is>
          <t>135 × 2 × 600 = 162 000 Kč</t>
        </is>
      </c>
      <c r="H10" t="n">
        <v>162000</v>
      </c>
      <c r="I10" t="n">
        <v>162000</v>
      </c>
      <c r="J10" t="n">
        <v>0.75</v>
      </c>
      <c r="K10" t="inlineStr">
        <is>
          <t>paušál_administrativní</t>
        </is>
      </c>
    </row>
    <row r="11">
      <c r="A11" t="inlineStr">
        <is>
          <t>SO201-T0-10</t>
        </is>
      </c>
      <c r="B11" t="inlineStr">
        <is>
          <t>02991</t>
        </is>
      </c>
      <c r="C11" t="inlineStr">
        <is>
          <t>OSTATNÍ POŽADAVKY</t>
        </is>
      </c>
      <c r="D11" t="inlineStr">
        <is>
          <t>INFORMAČNÍ TABULE (stavba — investor + zhotovitel)</t>
        </is>
      </c>
      <c r="E11" t="inlineStr">
        <is>
          <t>KUS</t>
        </is>
      </c>
      <c r="F11" t="n">
        <v>2</v>
      </c>
      <c r="G11" t="inlineStr">
        <is>
          <t>2 přístupy × 1 tabule = 2 ks</t>
        </is>
      </c>
      <c r="H11" t="n">
        <v>8000</v>
      </c>
      <c r="I11" t="n">
        <v>16000</v>
      </c>
      <c r="J11" t="n">
        <v>0.95</v>
      </c>
      <c r="K11" t="inlineStr">
        <is>
          <t>user_manual_fallback</t>
        </is>
      </c>
    </row>
    <row r="12">
      <c r="A12" t="inlineStr">
        <is>
          <t>SO201-T1-01</t>
        </is>
      </c>
      <c r="B12" t="inlineStr">
        <is>
          <t>11511</t>
        </is>
      </c>
      <c r="C12" t="inlineStr">
        <is>
          <t>ČERPÁNÍ VODY DO 500 L/MIN</t>
        </is>
      </c>
      <c r="D12" t="inlineStr">
        <is>
          <t>během betonáže základů + opěr (etapa SO 201, časově oddělené od SO 001/180) | DUPLICATION CHECK: SO 001 T1-01 (200 hod během demolice + výkopu) + SO 180 T1-02
(100 hod během výkopu pro objízdku) + SO 201 T1-01 (160 hod během betonáže NK)
= časově oddělené etapy. Žádné překryvné období → no-duplicati</t>
        </is>
      </c>
      <c r="E12" t="inlineStr">
        <is>
          <t>HOD</t>
        </is>
      </c>
      <c r="F12" t="n">
        <v>160</v>
      </c>
      <c r="G12" t="inlineStr">
        <is>
          <t>60 × 8 × 0.33 = 158.4 ≈ 160 hod</t>
        </is>
      </c>
      <c r="H12" t="n">
        <v>110.71</v>
      </c>
      <c r="I12" t="n">
        <v>17714</v>
      </c>
      <c r="J12" t="n">
        <v>0.65</v>
      </c>
      <c r="K12" t="inlineStr">
        <is>
          <t>user_manual_fallback</t>
        </is>
      </c>
    </row>
    <row r="13">
      <c r="A13" t="inlineStr">
        <is>
          <t>SO201-T1-02</t>
        </is>
      </c>
      <c r="B13" t="inlineStr">
        <is>
          <t>17411</t>
        </is>
      </c>
      <c r="C13" t="inlineStr">
        <is>
          <t>ZÁSYP JAM A RÝH ZEMINOU SE ZHUTNĚNÍM</t>
        </is>
      </c>
      <c r="D13" t="inlineStr">
        <is>
          <t>kolem opěr a křídel po betonáži | User manual SO_201 row 23 = 181 m³ EXACT MATCH → reconciliation MATCH.</t>
        </is>
      </c>
      <c r="E13" t="inlineStr">
        <is>
          <t>M3</t>
        </is>
      </c>
      <c r="F13" t="n">
        <v>181</v>
      </c>
      <c r="G13" t="inlineStr">
        <is>
          <t>255 − 74 = 181 m³ (zásyp = jáma minus všechen objem konstrukce + drenáže pod terénem)</t>
        </is>
      </c>
      <c r="H13" t="n">
        <v>175</v>
      </c>
      <c r="I13" t="n">
        <v>31675</v>
      </c>
      <c r="J13" t="n">
        <v>0.85</v>
      </c>
      <c r="K13" t="inlineStr">
        <is>
          <t>user_manual_fallback</t>
        </is>
      </c>
    </row>
    <row r="14">
      <c r="A14" t="inlineStr">
        <is>
          <t>SO201-T1-03</t>
        </is>
      </c>
      <c r="B14" t="inlineStr">
        <is>
          <t>17511</t>
        </is>
      </c>
      <c r="C14" t="inlineStr">
        <is>
          <t>OBSYP POTRUBÍ A OBJEKTU SE ZHUTNĚNÍM</t>
        </is>
      </c>
      <c r="D14" t="inlineStr">
        <is>
          <t>kolem drenáží + odvodnění opěr | User manual SO_201 row 25 = 15.75 m³ EXACT MATCH.</t>
        </is>
      </c>
      <c r="E14" t="inlineStr">
        <is>
          <t>M3</t>
        </is>
      </c>
      <c r="F14" t="n">
        <v>15.75</v>
      </c>
      <c r="G14" t="inlineStr">
        <is>
          <t>35 × 0.45 = 15.75 m³</t>
        </is>
      </c>
      <c r="H14" t="n">
        <v>920</v>
      </c>
      <c r="I14" t="n">
        <v>14490</v>
      </c>
      <c r="J14" t="n">
        <v>0.85</v>
      </c>
      <c r="K14" t="inlineStr">
        <is>
          <t>user_manual_fallback</t>
        </is>
      </c>
    </row>
    <row r="15">
      <c r="A15" t="inlineStr">
        <is>
          <t>SO201-T1-04</t>
        </is>
      </c>
      <c r="B15" t="inlineStr">
        <is>
          <t>17581</t>
        </is>
      </c>
      <c r="C15" t="inlineStr">
        <is>
          <t>OBSYP POTRUBÍ A OBJEKTU Z NAKUPOVANÝCH MATERIÁLŮ</t>
        </is>
      </c>
      <c r="D15" t="inlineStr">
        <is>
          <t>filtračně-drenážní vrstva za opěrami | User manual SO_201 row 26 = 62.3 m³ EXACT MATCH.</t>
        </is>
      </c>
      <c r="E15" t="inlineStr">
        <is>
          <t>M3</t>
        </is>
      </c>
      <c r="F15" t="n">
        <v>62.3</v>
      </c>
      <c r="G15" t="inlineStr">
        <is>
          <t>89 × 0.70 = 62.3 m³</t>
        </is>
      </c>
      <c r="H15" t="n">
        <v>1100</v>
      </c>
      <c r="I15" t="n">
        <v>68530</v>
      </c>
      <c r="J15" t="n">
        <v>0.85</v>
      </c>
      <c r="K15" t="inlineStr">
        <is>
          <t>user_manual_fallback</t>
        </is>
      </c>
    </row>
    <row r="16">
      <c r="A16" t="inlineStr">
        <is>
          <t>SO201-T1-05</t>
        </is>
      </c>
      <c r="B16" t="inlineStr">
        <is>
          <t>1778</t>
        </is>
      </c>
      <c r="C16" t="inlineStr">
        <is>
          <t>ZEMNÍ HRÁZKY Z NAKUPOVANÝCH MATERIÁLŮ</t>
        </is>
      </c>
      <c r="D16" t="inlineStr">
        <is>
          <t>úprava terénu kolem opěr před rekultivací | User manual SO_201 row 27 = 20.8 m³ MATCH. Specifický pro SO 201 (návazný terén kolem nového mostu, ne objízdka).</t>
        </is>
      </c>
      <c r="E16" t="inlineStr">
        <is>
          <t>M3</t>
        </is>
      </c>
      <c r="F16" t="n">
        <v>20.8</v>
      </c>
      <c r="G16" t="inlineStr">
        <is>
          <t>41.6 × 0.50 = 20.8 m³</t>
        </is>
      </c>
      <c r="H16" t="n">
        <v>800</v>
      </c>
      <c r="I16" t="n">
        <v>16640</v>
      </c>
      <c r="J16" t="n">
        <v>0.8</v>
      </c>
      <c r="K16" t="inlineStr">
        <is>
          <t>user_manual_fallback</t>
        </is>
      </c>
    </row>
    <row r="17">
      <c r="A17" t="inlineStr">
        <is>
          <t>SO201-T1-06</t>
        </is>
      </c>
      <c r="B17" t="inlineStr">
        <is>
          <t>171xx-uprava</t>
        </is>
      </c>
      <c r="C17" t="inlineStr">
        <is>
          <t>FINÁLNÍ ÚPRAVA TERÉNU PŘED REKULTIVACÍ</t>
        </is>
      </c>
      <c r="D17" t="inlineStr">
        <is>
          <t>urovnání + zhutnění před hydroosevem v SO 001 T9-16 | Custom non-OTSKP placeholder pro úpravu terénu specifickou pro SO 201 (most kontext,
ne objízdka). Hydroosev sám alokován v SO 001 T9-16. Zde se účtuje jen úprava před
hydroosevem (urovnání + zhutnění + odstranění zbytkového kameniva).</t>
        </is>
      </c>
      <c r="E17" t="inlineStr">
        <is>
          <t>M2</t>
        </is>
      </c>
      <c r="F17" t="n">
        <v>300</v>
      </c>
      <c r="G17" t="inlineStr">
        <is>
          <t>60 × 5 = 300 m² (terénní úprava před hydroosevem)</t>
        </is>
      </c>
      <c r="H17" t="n">
        <v>65</v>
      </c>
      <c r="I17" t="n">
        <v>19500</v>
      </c>
      <c r="J17" t="n">
        <v>0.7</v>
      </c>
      <c r="K17" t="inlineStr">
        <is>
          <t>paušál_administrativní</t>
        </is>
      </c>
    </row>
    <row r="18">
      <c r="A18" t="inlineStr">
        <is>
          <t>SO201-T2-01</t>
        </is>
      </c>
      <c r="B18" t="inlineStr">
        <is>
          <t>272325</t>
        </is>
      </c>
      <c r="C18" t="inlineStr">
        <is>
          <t>ZÁKLADY ZE ŽELEZOBETONU DO C30/37</t>
        </is>
      </c>
      <c r="D18" t="inlineStr">
        <is>
          <t>2× plošný základ pod opěrami | Calculator deterministic — element_type=zaklady_piliru (workaround per Phase 3 Gate 2a refactor — paralelní s zaklady_oper).</t>
        </is>
      </c>
      <c r="E18" t="inlineStr">
        <is>
          <t>M3</t>
        </is>
      </c>
      <c r="F18" t="n">
        <v>30</v>
      </c>
      <c r="G18" t="inlineStr">
        <is>
          <t>1× základ: 3.0 × 8.30 × 0.60 = 14.94 m³ ≈ 15.0 m³; 2× základ (levý + pravý): 2 × 15.0 = 30.0 m³; Calculator confirmed: zaklady_oper_levy.V=15 + zaklady_oper_pravy.V=15</t>
        </is>
      </c>
      <c r="H18" t="n">
        <v>5775.35</v>
      </c>
      <c r="I18" t="n">
        <v>173261</v>
      </c>
      <c r="J18" t="n">
        <v>1</v>
      </c>
      <c r="K18" t="inlineStr">
        <is>
          <t>calculator_deterministic</t>
        </is>
      </c>
    </row>
    <row r="19">
      <c r="A19" t="inlineStr">
        <is>
          <t>SO201-T2-02</t>
        </is>
      </c>
      <c r="B19" t="inlineStr">
        <is>
          <t>272365</t>
        </is>
      </c>
      <c r="C19" t="inlineStr">
        <is>
          <t>VÝZTUŽ ZÁKLADŮ Z OCELI 10505, B500B</t>
        </is>
      </c>
      <c r="D19" t="inlineStr"/>
      <c r="E19" t="inlineStr">
        <is>
          <t>T</t>
        </is>
      </c>
      <c r="F19" t="n">
        <v>3</v>
      </c>
      <c r="G19" t="inlineStr">
        <is>
          <t>1× výztuž: 15 × 100 = 1500 kg = 1.5 t; 2× výztuž: 2 × 1.5 = 3.0 t</t>
        </is>
      </c>
      <c r="H19" t="n">
        <v>40761.57</v>
      </c>
      <c r="I19" t="n">
        <v>122285</v>
      </c>
      <c r="J19" t="n">
        <v>1</v>
      </c>
      <c r="K19" t="inlineStr">
        <is>
          <t>calculator_deterministic</t>
        </is>
      </c>
    </row>
    <row r="20">
      <c r="A20" t="inlineStr">
        <is>
          <t>SO201-T2-03</t>
        </is>
      </c>
      <c r="B20" t="inlineStr">
        <is>
          <t>28999</t>
        </is>
      </c>
      <c r="C20" t="inlineStr">
        <is>
          <t>OPLÁŠTĚNÍ (ZPEVNĚNÍ) Z FÓLIE</t>
        </is>
      </c>
      <c r="D20" t="inlineStr">
        <is>
          <t>separační/hydroizolační pod základy | Fólie PE 0.5 mm + ochranná geotextilie pod fólii (separace zeminy a betonu).</t>
        </is>
      </c>
      <c r="E20" t="inlineStr">
        <is>
          <t>M2</t>
        </is>
      </c>
      <c r="F20" t="n">
        <v>87.40000000000001</v>
      </c>
      <c r="G20" t="inlineStr">
        <is>
          <t>2 × (3.5 × 8.80) = 2 × 30.8 = 61.6 m²; + 25.8 m² přesahu/translaminace = 87.4 m²; User manual SO_201 row 39 = 87.4 m² EXACT MATCH</t>
        </is>
      </c>
      <c r="H20" t="n">
        <v>240</v>
      </c>
      <c r="I20" t="n">
        <v>20976</v>
      </c>
      <c r="J20" t="n">
        <v>0.85</v>
      </c>
      <c r="K20" t="inlineStr">
        <is>
          <t>user_manual_fallback</t>
        </is>
      </c>
    </row>
    <row r="21">
      <c r="A21" t="inlineStr">
        <is>
          <t>SO201-T2-04</t>
        </is>
      </c>
      <c r="B21" t="inlineStr">
        <is>
          <t>21341</t>
        </is>
      </c>
      <c r="C21" t="inlineStr">
        <is>
          <t>DRENÁŽNÍ VRSTVY Z PLASTBETONU (PLASTMALTY)</t>
        </is>
      </c>
      <c r="D21" t="inlineStr">
        <is>
          <t>drenážní spáry mezi základem a opěrou | User manual SO_201 row 35 má 21341 s mn=0 (Kfely template tento detail explicitně
nepoužívá), ale Žihle integrální rám POTŘEBUJE drenážní vrstvy pro odvod průsaku
za opěry per ČSN 73 6244 čl. 7.5. Hodnota 1.5 m³ = engineering estimate Žihle.</t>
        </is>
      </c>
      <c r="E21" t="inlineStr">
        <is>
          <t>M3</t>
        </is>
      </c>
      <c r="F21" t="n">
        <v>1.5</v>
      </c>
      <c r="G21" t="inlineStr">
        <is>
          <t>24 × 0.0625 = 1.5 m³</t>
        </is>
      </c>
      <c r="H21" t="n">
        <v>6500</v>
      </c>
      <c r="I21" t="n">
        <v>9750</v>
      </c>
      <c r="J21" t="n">
        <v>0.7</v>
      </c>
      <c r="K21" t="inlineStr">
        <is>
          <t>user_manual_fallback</t>
        </is>
      </c>
    </row>
    <row r="22">
      <c r="A22" t="inlineStr">
        <is>
          <t>SO201-T3-01</t>
        </is>
      </c>
      <c r="B22" t="inlineStr">
        <is>
          <t>31717</t>
        </is>
      </c>
      <c r="C22" t="inlineStr">
        <is>
          <t>KOVOVÉ KONSTRUKCE PRO KOTVENÍ ŘÍMSY</t>
        </is>
      </c>
      <c r="D22" t="inlineStr">
        <is>
          <t>kotevní šrouby M16 + chemické kotvy | User manual SO_201 row 40 = 80 kg EXACT MATCH → reconciliation MATCH.</t>
        </is>
      </c>
      <c r="E22" t="inlineStr">
        <is>
          <t>KG</t>
        </is>
      </c>
      <c r="F22" t="n">
        <v>80</v>
      </c>
      <c r="G22" t="inlineStr">
        <is>
          <t>24 × 1.0 × 3.33 = 80 kg</t>
        </is>
      </c>
      <c r="H22" t="n">
        <v>280</v>
      </c>
      <c r="I22" t="n">
        <v>22400</v>
      </c>
      <c r="J22" t="n">
        <v>0.85</v>
      </c>
      <c r="K22" t="inlineStr">
        <is>
          <t>user_manual_fallback</t>
        </is>
      </c>
    </row>
    <row r="23">
      <c r="A23" t="inlineStr">
        <is>
          <t>SO201-T3-02</t>
        </is>
      </c>
      <c r="B23" t="inlineStr">
        <is>
          <t>333325</t>
        </is>
      </c>
      <c r="C23" t="inlineStr">
        <is>
          <t>MOSTNÍ OPĚRY A KŘÍDLA ZE ŽELEZOBETONU DO C30/37</t>
        </is>
      </c>
      <c r="D23" t="inlineStr">
        <is>
          <t>2× dříky integrální opěry | ZD §4.4.l zakazuje samostatná křídla → varianta integrální rám se svahovým kuželem (Phase B varianta_01).</t>
        </is>
      </c>
      <c r="E23" t="inlineStr">
        <is>
          <t>M3</t>
        </is>
      </c>
      <c r="F23" t="n">
        <v>16.6</v>
      </c>
      <c r="G23" t="inlineStr">
        <is>
          <t>1× opěra: 8.30 × 0.50 × 2.0 = 8.30 m³; 2× opěra (levá + pravá): 2 × 8.30 = 16.6 m³; Calculator confirmed: driky_oper_levy.V=8.3 + driky_oper_pravy.V=8.3</t>
        </is>
      </c>
      <c r="H23" t="n">
        <v>9377.280000000001</v>
      </c>
      <c r="I23" t="n">
        <v>155663</v>
      </c>
      <c r="J23" t="n">
        <v>0.95</v>
      </c>
      <c r="K23" t="inlineStr">
        <is>
          <t>calculator_deterministic</t>
        </is>
      </c>
    </row>
    <row r="24">
      <c r="A24" t="inlineStr">
        <is>
          <t>SO201-T3-03</t>
        </is>
      </c>
      <c r="B24" t="inlineStr">
        <is>
          <t>333365</t>
        </is>
      </c>
      <c r="C24" t="inlineStr">
        <is>
          <t>VÝZTUŽ MOSTNÍCH OPĚR A KŘÍDEL Z OCELI 10505, B500B</t>
        </is>
      </c>
      <c r="D24" t="inlineStr"/>
      <c r="E24" t="inlineStr">
        <is>
          <t>T</t>
        </is>
      </c>
      <c r="F24" t="n">
        <v>2.324</v>
      </c>
      <c r="G24" t="inlineStr">
        <is>
          <t>1× výztuž: 8.30 × 140 = 1162 kg = 1.162 t; 2× výztuž: 2 × 1.162 = 2.324 t</t>
        </is>
      </c>
      <c r="H24" t="n">
        <v>40874.37</v>
      </c>
      <c r="I24" t="n">
        <v>94992</v>
      </c>
      <c r="J24" t="n">
        <v>1</v>
      </c>
      <c r="K24" t="inlineStr">
        <is>
          <t>calculator_deterministic</t>
        </is>
      </c>
    </row>
    <row r="25">
      <c r="A25" t="inlineStr">
        <is>
          <t>SO201-T3-04</t>
        </is>
      </c>
      <c r="B25" t="inlineStr">
        <is>
          <t>333325-zz</t>
        </is>
      </c>
      <c r="C25" t="inlineStr">
        <is>
          <t>MOSTNÍ OPĚRY A KŘÍDLA ŽB DO C30/37</t>
        </is>
      </c>
      <c r="D25" t="inlineStr">
        <is>
          <t>ZÁVĚRNÉ ZÍDKY (subcomponent of opěr per OTSKP) | OTSKP 333325 sub-classification — závěrné zídky jsou součást opěr per CLAUDE.md
Phase 3 Gate 2a (mostni_zavirne_zidky element type → 333325 OTSKP). Kfely template
neodděluje, ale Žihle to evidujeme separately pro better cost tracking.</t>
        </is>
      </c>
      <c r="E25" t="inlineStr">
        <is>
          <t>M3</t>
        </is>
      </c>
      <c r="F25" t="n">
        <v>4</v>
      </c>
      <c r="G25" t="inlineStr">
        <is>
          <t>1× zídka: 0.30 × 8.30 × 0.80 = 1.99 m³; 2× zídka (za opěrami): 2 × 1.99 = 3.98 ≈ 4.0 m³; Calculator confirmed: zaverne_zidky.V=4.0</t>
        </is>
      </c>
      <c r="H25" t="n">
        <v>9377.280000000001</v>
      </c>
      <c r="I25" t="n">
        <v>37509</v>
      </c>
      <c r="J25" t="n">
        <v>0.9</v>
      </c>
      <c r="K25" t="inlineStr">
        <is>
          <t>calculator_deterministic</t>
        </is>
      </c>
    </row>
    <row r="26">
      <c r="A26" t="inlineStr">
        <is>
          <t>SO201-T3-05</t>
        </is>
      </c>
      <c r="B26" t="inlineStr">
        <is>
          <t>333365-zz</t>
        </is>
      </c>
      <c r="C26" t="inlineStr">
        <is>
          <t>VÝZTUŽ ZÁVĚRNÝCH ZÍDEK Z OCELI 10505, B500B</t>
        </is>
      </c>
      <c r="D26" t="inlineStr"/>
      <c r="E26" t="inlineStr">
        <is>
          <t>T</t>
        </is>
      </c>
      <c r="F26" t="n">
        <v>0.72</v>
      </c>
      <c r="G26" t="inlineStr">
        <is>
          <t>4.0 × 180 = 720 kg = 0.720 t</t>
        </is>
      </c>
      <c r="H26" t="n">
        <v>40874.37</v>
      </c>
      <c r="I26" t="n">
        <v>29430</v>
      </c>
      <c r="J26" t="n">
        <v>1</v>
      </c>
      <c r="K26" t="inlineStr">
        <is>
          <t>calculator_deterministic</t>
        </is>
      </c>
    </row>
    <row r="27">
      <c r="A27" t="inlineStr">
        <is>
          <t>SO201-T3-06</t>
        </is>
      </c>
      <c r="B27" t="inlineStr">
        <is>
          <t>317325</t>
        </is>
      </c>
      <c r="C27" t="inlineStr">
        <is>
          <t>ŘÍMSY ZE ŽELEZOBETONU DO C30/37</t>
        </is>
      </c>
      <c r="D27" t="inlineStr">
        <is>
          <t>2× římsa, levá + pravá | Pravá římsa zahrnuje 3× chráničku DN75 mm (ZD §4.4.m) — vkládají se při betonáži, neovlivňuje cenu betonu.</t>
        </is>
      </c>
      <c r="E27" t="inlineStr">
        <is>
          <t>M3</t>
        </is>
      </c>
      <c r="F27" t="n">
        <v>8.640000000000001</v>
      </c>
      <c r="G27" t="inlineStr">
        <is>
          <t>1× římsa: 12.0 × 0.90 × 0.40 = 4.32 m³; 2× římsa: 2 × 4.32 = 8.64 m³; Calculator confirmed: rimsa_leva.V=4.32 + rimsa_prava.V=4.32</t>
        </is>
      </c>
      <c r="H27" t="n">
        <v>16900.36</v>
      </c>
      <c r="I27" t="n">
        <v>146019</v>
      </c>
      <c r="J27" t="n">
        <v>1</v>
      </c>
      <c r="K27" t="inlineStr">
        <is>
          <t>calculator_deterministic</t>
        </is>
      </c>
    </row>
    <row r="28">
      <c r="A28" t="inlineStr">
        <is>
          <t>SO201-T3-07</t>
        </is>
      </c>
      <c r="B28" t="inlineStr">
        <is>
          <t>317365</t>
        </is>
      </c>
      <c r="C28" t="inlineStr">
        <is>
          <t>VÝZTUŽ ŘÍMS Z OCELI 10505, B500B</t>
        </is>
      </c>
      <c r="D28" t="inlineStr"/>
      <c r="E28" t="inlineStr">
        <is>
          <t>T</t>
        </is>
      </c>
      <c r="F28" t="n">
        <v>0.864</v>
      </c>
      <c r="G28" t="inlineStr">
        <is>
          <t>1× výztuž: 4.32 × 100 = 432 kg = 0.432 t; 2× výztuž: 2 × 0.432 = 0.864 t</t>
        </is>
      </c>
      <c r="H28" t="n">
        <v>41635.8</v>
      </c>
      <c r="I28" t="n">
        <v>35974</v>
      </c>
      <c r="J28" t="n">
        <v>1</v>
      </c>
      <c r="K28" t="inlineStr">
        <is>
          <t>calculator_deterministic</t>
        </is>
      </c>
    </row>
    <row r="29">
      <c r="A29" t="inlineStr">
        <is>
          <t>SO201-T4-01</t>
        </is>
      </c>
      <c r="B29" t="inlineStr">
        <is>
          <t>421325</t>
        </is>
      </c>
      <c r="C29" t="inlineStr">
        <is>
          <t>MOSTNÍ NOSNÉ DESKOVÉ KONSTRUKCE ZE ŽELEZOBETONU C30/37</t>
        </is>
      </c>
      <c r="D29" t="inlineStr">
        <is>
          <t>mostovková deska | KEY ELEMENT — kritická položka SO 201. Pevná skruž ze dna stavební jámy (světlá výška ~3 m).
ZD §4.4.k specifikuje C30/37 + XF2 (zóna stříkající vody pod mostem).</t>
        </is>
      </c>
      <c r="E29" t="inlineStr">
        <is>
          <t>M3</t>
        </is>
      </c>
      <c r="F29" t="n">
        <v>39.84</v>
      </c>
      <c r="G29" t="inlineStr">
        <is>
          <t>12.0 × 8.30 = 99.6 m² (plocha desky); 99.6 × 0.40 = 39.84 m³; Calculator deterministic: mostovkova_deska.V=39.84</t>
        </is>
      </c>
      <c r="H29" t="n">
        <v>13417.9</v>
      </c>
      <c r="I29" t="n">
        <v>534569</v>
      </c>
      <c r="J29" t="n">
        <v>1</v>
      </c>
      <c r="K29" t="inlineStr">
        <is>
          <t>calculator_deterministic</t>
        </is>
      </c>
    </row>
    <row r="30">
      <c r="A30" t="inlineStr">
        <is>
          <t>SO201-T4-02</t>
        </is>
      </c>
      <c r="B30" t="inlineStr">
        <is>
          <t>421365</t>
        </is>
      </c>
      <c r="C30" t="inlineStr">
        <is>
          <t>VÝZTUŽ MOSTNÍ DESKOVÉ KONSTRUKCE Z OCELI 10505, B500B</t>
        </is>
      </c>
      <c r="D30" t="inlineStr"/>
      <c r="E30" t="inlineStr">
        <is>
          <t>T</t>
        </is>
      </c>
      <c r="F30" t="n">
        <v>5.577</v>
      </c>
      <c r="G30" t="inlineStr">
        <is>
          <t>39.84 × 140 = 5577.6 kg = 5.577 t</t>
        </is>
      </c>
      <c r="H30" t="n">
        <v>42334.95</v>
      </c>
      <c r="I30" t="n">
        <v>236102</v>
      </c>
      <c r="J30" t="n">
        <v>1</v>
      </c>
      <c r="K30" t="inlineStr">
        <is>
          <t>calculator_deterministic</t>
        </is>
      </c>
    </row>
    <row r="31">
      <c r="A31" t="inlineStr">
        <is>
          <t>SO201-T4-03</t>
        </is>
      </c>
      <c r="B31" t="inlineStr">
        <is>
          <t>420324</t>
        </is>
      </c>
      <c r="C31" t="inlineStr">
        <is>
          <t>PŘECHODOVÉ DESKY MOSTNÍCH OPĚR ZE ŽELEZOBETONU C25/30</t>
        </is>
      </c>
      <c r="D31" t="inlineStr">
        <is>
          <t>2× přechodová deska</t>
        </is>
      </c>
      <c r="E31" t="inlineStr">
        <is>
          <t>M3</t>
        </is>
      </c>
      <c r="F31" t="n">
        <v>19.92</v>
      </c>
      <c r="G31" t="inlineStr">
        <is>
          <t>1× deska: 4.0 × 8.30 × 0.30 = 9.96 m³; 2× deska (levá + pravá): 2 × 9.96 = 19.92 m³; Calculator confirmed: prechodova_deska_leva.V + prechodova_deska_prava.V</t>
        </is>
      </c>
      <c r="H31" t="n">
        <v>5360.58</v>
      </c>
      <c r="I31" t="n">
        <v>106782</v>
      </c>
      <c r="J31" t="n">
        <v>1</v>
      </c>
      <c r="K31" t="inlineStr">
        <is>
          <t>calculator_deterministic</t>
        </is>
      </c>
    </row>
    <row r="32">
      <c r="A32" t="inlineStr">
        <is>
          <t>SO201-T4-04</t>
        </is>
      </c>
      <c r="B32" t="inlineStr">
        <is>
          <t>420365</t>
        </is>
      </c>
      <c r="C32" t="inlineStr">
        <is>
          <t>VÝZTUŽ PŘECHODOVÝCH DESEK MOSTNÍCH OPĚR Z OCELI 10505, B500B</t>
        </is>
      </c>
      <c r="D32" t="inlineStr"/>
      <c r="E32" t="inlineStr">
        <is>
          <t>T</t>
        </is>
      </c>
      <c r="F32" t="n">
        <v>1.992</v>
      </c>
      <c r="G32" t="inlineStr">
        <is>
          <t>1× výztuž: 9.96 × 100 = 996 kg = 0.996 t; 2× výztuž: 2 × 0.996 = 1.992 t</t>
        </is>
      </c>
      <c r="H32" t="n">
        <v>41635.8</v>
      </c>
      <c r="I32" t="n">
        <v>82939</v>
      </c>
      <c r="J32" t="n">
        <v>1</v>
      </c>
      <c r="K32" t="inlineStr">
        <is>
          <t>calculator_deterministic</t>
        </is>
      </c>
    </row>
    <row r="33">
      <c r="A33" t="inlineStr">
        <is>
          <t>SO201-T4-05</t>
        </is>
      </c>
      <c r="B33" t="inlineStr">
        <is>
          <t>45131A</t>
        </is>
      </c>
      <c r="C33" t="inlineStr">
        <is>
          <t>PODKLADNÍ A VÝPLŇOVÉ VRSTVY Z PROSTÉHO BETONU C20/25</t>
        </is>
      </c>
      <c r="D33" t="inlineStr">
        <is>
          <t>sklížek pod základy | Calculator placeholder rebar 100 kg (rebar_mass_kg=0.1 t) — sklížek je nevyztužený, calculator vyžaduje &gt; 0; cost negligible (~0.5 % celku).</t>
        </is>
      </c>
      <c r="E33" t="inlineStr">
        <is>
          <t>M3</t>
        </is>
      </c>
      <c r="F33" t="n">
        <v>5</v>
      </c>
      <c r="G33" t="inlineStr">
        <is>
          <t>1× sklížek: 3.0 × 8.30 × 0.10 = 2.49 m³ ≈ 2.5 m³; 2× sklížek (pod 2× plošný základ): 2 × 2.5 = 5.0 m³; Calculator confirmed: podkladni_beton.V=5.0</t>
        </is>
      </c>
      <c r="H33" t="n">
        <v>4648.04</v>
      </c>
      <c r="I33" t="n">
        <v>23240</v>
      </c>
      <c r="J33" t="n">
        <v>0.95</v>
      </c>
      <c r="K33" t="inlineStr">
        <is>
          <t>calculator_deterministic</t>
        </is>
      </c>
    </row>
    <row r="34">
      <c r="A34" t="inlineStr">
        <is>
          <t>SO201-T4-06</t>
        </is>
      </c>
      <c r="B34" t="inlineStr">
        <is>
          <t>451323</t>
        </is>
      </c>
      <c r="C34" t="inlineStr">
        <is>
          <t>PODKLADNÍ A VÝPLŇOVÉ VRSTVY ZE ŽELEZOBETONU DO C16/20</t>
        </is>
      </c>
      <c r="D34" t="inlineStr">
        <is>
          <t>lokální zpevnění pod úložnými prahy | Calculator NEPOKRÝVÁ tento element_type (železobetonová podkladní vrstva = special
case). User manual SO_201 row 58 = 8.5 m³ exact (Kfely template — kvalifikováno
pre Žihle). Pre DPS projektant ověří dle skutečné kategorie podloží.</t>
        </is>
      </c>
      <c r="E34" t="inlineStr">
        <is>
          <t>M3</t>
        </is>
      </c>
      <c r="F34" t="n">
        <v>8.5</v>
      </c>
      <c r="G34" t="inlineStr">
        <is>
          <t>50 × 0.17 = 8.5 m³</t>
        </is>
      </c>
      <c r="H34" t="n">
        <v>5800</v>
      </c>
      <c r="I34" t="n">
        <v>49300</v>
      </c>
      <c r="J34" t="n">
        <v>0.7</v>
      </c>
      <c r="K34" t="inlineStr">
        <is>
          <t>user_manual_fallback</t>
        </is>
      </c>
    </row>
    <row r="35">
      <c r="A35" t="inlineStr">
        <is>
          <t>SO201-T4-07</t>
        </is>
      </c>
      <c r="B35" t="inlineStr">
        <is>
          <t>45157</t>
        </is>
      </c>
      <c r="C35" t="inlineStr">
        <is>
          <t>PODKLADNÍ A VÝPLŇOVÉ VRSTVY Z KAMENIVA TĚŽENÉHO</t>
        </is>
      </c>
      <c r="D35" t="inlineStr">
        <is>
          <t>drenážní vrstva pod základy | Calculator NEPOKRÝVÁ těžené kamenivo (out of element catalog). User manual SO_201
row 59 = 25.1 m³ MATCH.</t>
        </is>
      </c>
      <c r="E35" t="inlineStr">
        <is>
          <t>M3</t>
        </is>
      </c>
      <c r="F35" t="n">
        <v>25.1</v>
      </c>
      <c r="G35" t="inlineStr">
        <is>
          <t>100 × 0.25 = 25 ≈ 25.1 m³</t>
        </is>
      </c>
      <c r="H35" t="n">
        <v>1100</v>
      </c>
      <c r="I35" t="n">
        <v>27610</v>
      </c>
      <c r="J35" t="n">
        <v>0.75</v>
      </c>
      <c r="K35" t="inlineStr">
        <is>
          <t>user_manual_fallback</t>
        </is>
      </c>
    </row>
    <row r="36">
      <c r="A36" t="inlineStr">
        <is>
          <t>SO201-T5-01</t>
        </is>
      </c>
      <c r="B36" t="inlineStr">
        <is>
          <t>56335</t>
        </is>
      </c>
      <c r="C36" t="inlineStr">
        <is>
          <t>VOZOVKOVÉ VRSTVY ZE ŠTĚRKODRTI TL. DO 250 MM</t>
        </is>
      </c>
      <c r="D36" t="inlineStr">
        <is>
          <t>spodní podkladní na nájezdech | User manual SO_201 row 65 = 112.5 m² (Kfely template). Žihle nájezdy mají specifickou
redukci (per Phase B varianta_01 návrh). Pro DPS projektant ověří dle skutečného
profilu nájezdů + návazností.</t>
        </is>
      </c>
      <c r="E36" t="inlineStr">
        <is>
          <t>M2</t>
        </is>
      </c>
      <c r="F36" t="n">
        <v>112.5</v>
      </c>
      <c r="G36" t="inlineStr">
        <is>
          <t>Per Kfely template (přizpůsobeno na Žihle): redukce = 487.5 / 4.33 ≈ 112.5 m²</t>
        </is>
      </c>
      <c r="H36" t="n">
        <v>280</v>
      </c>
      <c r="I36" t="n">
        <v>31500</v>
      </c>
      <c r="J36" t="n">
        <v>0.7</v>
      </c>
      <c r="K36" t="inlineStr">
        <is>
          <t>user_manual_fallback</t>
        </is>
      </c>
    </row>
    <row r="37">
      <c r="A37" t="inlineStr">
        <is>
          <t>SO201-T5-02</t>
        </is>
      </c>
      <c r="B37" t="inlineStr">
        <is>
          <t>56343</t>
        </is>
      </c>
      <c r="C37" t="inlineStr">
        <is>
          <t>VOZOVKOVÉ VRSTVY ZE ŠTĚRKOPÍSKU TL. DO 150 MM</t>
        </is>
      </c>
      <c r="D37" t="inlineStr">
        <is>
          <t>horní podkladní na nájezdech</t>
        </is>
      </c>
      <c r="E37" t="inlineStr">
        <is>
          <t>M2</t>
        </is>
      </c>
      <c r="F37" t="n">
        <v>67.5</v>
      </c>
      <c r="G37" t="inlineStr">
        <is>
          <t>Per Kfely template (Žihle): 67.5 m² (60 % z T5-01 spodní)</t>
        </is>
      </c>
      <c r="H37" t="n">
        <v>200</v>
      </c>
      <c r="I37" t="n">
        <v>13500</v>
      </c>
      <c r="J37" t="n">
        <v>0.7</v>
      </c>
      <c r="K37" t="inlineStr">
        <is>
          <t>user_manual_fallback</t>
        </is>
      </c>
    </row>
    <row r="38">
      <c r="A38" t="inlineStr">
        <is>
          <t>SO201-T5-03</t>
        </is>
      </c>
      <c r="B38" t="inlineStr">
        <is>
          <t>572123</t>
        </is>
      </c>
      <c r="C38" t="inlineStr">
        <is>
          <t>INFILTRAČNÍ POSTŘIK Z EMULZE DO 1,0 KG/M²</t>
        </is>
      </c>
      <c r="D38" t="inlineStr">
        <is>
          <t>mezi podkladními vrstvami a ACP | Infiltrační postřik na podkladní vrstvy nájezdů + na podklad mostovky pro adhezi ACP.</t>
        </is>
      </c>
      <c r="E38" t="inlineStr">
        <is>
          <t>M2</t>
        </is>
      </c>
      <c r="F38" t="n">
        <v>450</v>
      </c>
      <c r="G38" t="inlineStr">
        <is>
          <t>78 + 372 = 450 m²; User manual SO_201 row 68 EXACT MATCH</t>
        </is>
      </c>
      <c r="H38" t="n">
        <v>30</v>
      </c>
      <c r="I38" t="n">
        <v>13500</v>
      </c>
      <c r="J38" t="n">
        <v>0.85</v>
      </c>
      <c r="K38" t="inlineStr">
        <is>
          <t>user_manual_fallback</t>
        </is>
      </c>
    </row>
    <row r="39">
      <c r="A39" t="inlineStr">
        <is>
          <t>SO201-T5-04</t>
        </is>
      </c>
      <c r="B39" t="inlineStr">
        <is>
          <t>572214</t>
        </is>
      </c>
      <c r="C39" t="inlineStr">
        <is>
          <t>SPOJOVACÍ POSTŘIK Z MODIFIKOVANÉ EMULZE DO 0,5 KG/M²</t>
        </is>
      </c>
      <c r="D39" t="inlineStr">
        <is>
          <t>mezi asfaltovými vrstvami</t>
        </is>
      </c>
      <c r="E39" t="inlineStr">
        <is>
          <t>M2</t>
        </is>
      </c>
      <c r="F39" t="n">
        <v>518.4</v>
      </c>
      <c r="G39" t="inlineStr">
        <is>
          <t>vozovka mostu 78 + nájezdy 440.4 = 518.4 m²; User manual SO_201 row 69 EXACT MATCH</t>
        </is>
      </c>
      <c r="H39" t="n">
        <v>25</v>
      </c>
      <c r="I39" t="n">
        <v>12960</v>
      </c>
      <c r="J39" t="n">
        <v>0.9</v>
      </c>
      <c r="K39" t="inlineStr">
        <is>
          <t>user_manual_fallback</t>
        </is>
      </c>
    </row>
    <row r="40">
      <c r="A40" t="inlineStr">
        <is>
          <t>SO201-T5-05</t>
        </is>
      </c>
      <c r="B40" t="inlineStr">
        <is>
          <t>574C78</t>
        </is>
      </c>
      <c r="C40" t="inlineStr">
        <is>
          <t>ASFALTOVÝ BETON PRO LOŽNÍ VRSTVY ACL 22+, 22S TL. 80 MM</t>
        </is>
      </c>
      <c r="D40" t="inlineStr">
        <is>
          <t>ložná na nájezdech | Per ZD §4.4.j: 'OBRUSNÁ VRSTVA 100 % TLOUŠŤKY BEZ TOLERANCE' přísnější než TKP.</t>
        </is>
      </c>
      <c r="E40" t="inlineStr">
        <is>
          <t>M2</t>
        </is>
      </c>
      <c r="F40" t="n">
        <v>450</v>
      </c>
      <c r="G40" t="inlineStr">
        <is>
          <t>450 m² (vozovka nájezdů; na mostě je 575C53 litý asfalt)</t>
        </is>
      </c>
      <c r="H40" t="n">
        <v>450</v>
      </c>
      <c r="I40" t="n">
        <v>202500</v>
      </c>
      <c r="J40" t="n">
        <v>0.85</v>
      </c>
      <c r="K40" t="inlineStr">
        <is>
          <t>user_manual_fallback</t>
        </is>
      </c>
    </row>
    <row r="41">
      <c r="A41" t="inlineStr">
        <is>
          <t>SO201-T5-06</t>
        </is>
      </c>
      <c r="B41" t="inlineStr">
        <is>
          <t>574E07</t>
        </is>
      </c>
      <c r="C41" t="inlineStr">
        <is>
          <t>ASFALTOVÝ BETON PRO PODKLADNÍ VRSTVY ACP 22+, 22S</t>
        </is>
      </c>
      <c r="D41" t="inlineStr">
        <is>
          <t>podkladní na nájezdech</t>
        </is>
      </c>
      <c r="E41" t="inlineStr">
        <is>
          <t>M3</t>
        </is>
      </c>
      <c r="F41" t="n">
        <v>36</v>
      </c>
      <c r="G41" t="inlineStr">
        <is>
          <t>450 × 0.08 = 36 m³; User manual SO_201 row 71 EXACT MATCH</t>
        </is>
      </c>
      <c r="H41" t="n">
        <v>3500</v>
      </c>
      <c r="I41" t="n">
        <v>126000</v>
      </c>
      <c r="J41" t="n">
        <v>0.9</v>
      </c>
      <c r="K41" t="inlineStr">
        <is>
          <t>user_manual_fallback</t>
        </is>
      </c>
    </row>
    <row r="42">
      <c r="A42" t="inlineStr">
        <is>
          <t>SO201-T5-07</t>
        </is>
      </c>
      <c r="B42" t="inlineStr">
        <is>
          <t>574I54</t>
        </is>
      </c>
      <c r="C42" t="inlineStr">
        <is>
          <t>ASFALTOVÝ KOBEREC MASTIXOVÝ SMA 11+, 11S TL. 40 MM</t>
        </is>
      </c>
      <c r="D42" t="inlineStr">
        <is>
          <t>obrusná vrstva | SMA 11+ jako obrusná vrstva nájezdů + přesah na most kde litý asfalt nestačí.</t>
        </is>
      </c>
      <c r="E42" t="inlineStr">
        <is>
          <t>M2</t>
        </is>
      </c>
      <c r="F42" t="n">
        <v>518.4</v>
      </c>
      <c r="G42">
        <f> T5-04 plocha 518.4 m²</f>
        <v/>
      </c>
      <c r="H42" t="n">
        <v>480</v>
      </c>
      <c r="I42" t="n">
        <v>248832</v>
      </c>
      <c r="J42" t="n">
        <v>0.85</v>
      </c>
      <c r="K42" t="inlineStr">
        <is>
          <t>user_manual_fallback</t>
        </is>
      </c>
    </row>
    <row r="43">
      <c r="A43" t="inlineStr">
        <is>
          <t>SO201-T5-08</t>
        </is>
      </c>
      <c r="B43" t="inlineStr">
        <is>
          <t>575C53</t>
        </is>
      </c>
      <c r="C43" t="inlineStr">
        <is>
          <t>LITÝ ASFALT MA IV (OCHRANA MOSTNÍ IZOLACE) 11 TL. 40 MM</t>
        </is>
      </c>
      <c r="D43" t="inlineStr">
        <is>
          <t>specifická obrusná na mostě | MA IV = ochrana mostní izolace per ČSN 73 6242. Pouze NA MOSTĚ (na nájezdech je SMA T5-07).</t>
        </is>
      </c>
      <c r="E43" t="inlineStr">
        <is>
          <t>M2</t>
        </is>
      </c>
      <c r="F43" t="n">
        <v>68.40000000000001</v>
      </c>
      <c r="G43" t="inlineStr">
        <is>
          <t>78.0 - 9.6 = 68.4 m²; User manual SO_201 row 73 = 68.4 m² EXACT MATCH</t>
        </is>
      </c>
      <c r="H43" t="n">
        <v>580</v>
      </c>
      <c r="I43" t="n">
        <v>39672</v>
      </c>
      <c r="J43" t="n">
        <v>0.9</v>
      </c>
      <c r="K43" t="inlineStr">
        <is>
          <t>user_manual_fallback</t>
        </is>
      </c>
    </row>
    <row r="44">
      <c r="A44" t="inlineStr">
        <is>
          <t>SO201-T5-09</t>
        </is>
      </c>
      <c r="B44" t="inlineStr">
        <is>
          <t>576413</t>
        </is>
      </c>
      <c r="C44" t="inlineStr">
        <is>
          <t>POSYP KAMENIVEM OBALOVANÝM 4 KG/M²</t>
        </is>
      </c>
      <c r="D44" t="inlineStr">
        <is>
          <t>na litý asfalt MA IV</t>
        </is>
      </c>
      <c r="E44" t="inlineStr">
        <is>
          <t>M2</t>
        </is>
      </c>
      <c r="F44" t="n">
        <v>68.40000000000001</v>
      </c>
      <c r="G44" t="inlineStr">
        <is>
          <t>Posyp 1:1 s plochou litého asfaltu = 68.4 m²</t>
        </is>
      </c>
      <c r="H44" t="n">
        <v>30</v>
      </c>
      <c r="I44" t="n">
        <v>2052</v>
      </c>
      <c r="J44" t="n">
        <v>0.95</v>
      </c>
      <c r="K44" t="inlineStr">
        <is>
          <t>user_manual_fallback</t>
        </is>
      </c>
    </row>
    <row r="45">
      <c r="A45" t="inlineStr">
        <is>
          <t>SO201-T6-01</t>
        </is>
      </c>
      <c r="B45" t="inlineStr">
        <is>
          <t>62592</t>
        </is>
      </c>
      <c r="C45" t="inlineStr">
        <is>
          <t>ÚPRAVA POVRCHU BETONOVÝCH PLOCH A KONSTRUKCÍ</t>
        </is>
      </c>
      <c r="D45" t="inlineStr">
        <is>
          <t>STRIÁŽ (vodorovná povrchová úprava říмs + závěrných zídek) | Striáž = vodorovná stříhaná povrchová úprava betonu pro estetiku + dilatační efekt.</t>
        </is>
      </c>
      <c r="E45" t="inlineStr">
        <is>
          <t>M2</t>
        </is>
      </c>
      <c r="F45" t="n">
        <v>52.34</v>
      </c>
      <c r="G45" t="inlineStr">
        <is>
          <t>43.7 + 8.64 = 52.34 m²; User manual SO_201 row 77 = 52.34 m² EXACT MATCH</t>
        </is>
      </c>
      <c r="H45" t="n">
        <v>150</v>
      </c>
      <c r="I45" t="n">
        <v>7851</v>
      </c>
      <c r="J45" t="n">
        <v>0.9</v>
      </c>
      <c r="K45" t="inlineStr">
        <is>
          <t>user_manual_fallback</t>
        </is>
      </c>
    </row>
    <row r="46">
      <c r="A46" t="inlineStr">
        <is>
          <t>SO201-T6-02</t>
        </is>
      </c>
      <c r="B46" t="inlineStr">
        <is>
          <t>938255</t>
        </is>
      </c>
      <c r="C46" t="inlineStr">
        <is>
          <t>ÚPRAVA POVRCHU BETONU OTRYSKÁNÍM OCELOVÝMI KULIČKAMI</t>
        </is>
      </c>
      <c r="D46" t="inlineStr">
        <is>
          <t>spodní líc mostovky pro pohledový beton | Otryskání = surface treatment pro pohledový beton spodního líce mostovky (vidí ho
řidiči pod mostem). OTSKP cena 0 v catalog → orientační market 200-400 Kč/m²,
midpoint 300 Kč/m².</t>
        </is>
      </c>
      <c r="E46" t="inlineStr">
        <is>
          <t>M2</t>
        </is>
      </c>
      <c r="F46" t="n">
        <v>99.59999999999999</v>
      </c>
      <c r="G46" t="inlineStr">
        <is>
          <t>12.0 × 8.30 = 99.6 m² (spodní líc mostovky)</t>
        </is>
      </c>
      <c r="H46" t="n">
        <v>300</v>
      </c>
      <c r="I46" t="n">
        <v>29880</v>
      </c>
      <c r="J46" t="n">
        <v>0.85</v>
      </c>
      <c r="K46" t="inlineStr">
        <is>
          <t>user_manual_fallback</t>
        </is>
      </c>
    </row>
    <row r="47">
      <c r="A47" t="inlineStr">
        <is>
          <t>SO201-T7-01</t>
        </is>
      </c>
      <c r="B47" t="inlineStr">
        <is>
          <t>711111</t>
        </is>
      </c>
      <c r="C47" t="inlineStr">
        <is>
          <t>IZOLACE BĚŽNÝCH KONSTRUKCÍ PROTI ZEMNÍ VLHKOSTI ASFALTOVÝMI NÁTĚRY</t>
        </is>
      </c>
      <c r="D47" t="inlineStr">
        <is>
          <t>opěry + závěrné zídky | Asfaltové nátěry na zadní straně opěr a závěrných zídek (kontakt se zeminou). Per ČSN 73 6244 čl. 7.6.</t>
        </is>
      </c>
      <c r="E47" t="inlineStr">
        <is>
          <t>M2</t>
        </is>
      </c>
      <c r="F47" t="n">
        <v>72.59999999999999</v>
      </c>
      <c r="G47" t="inlineStr">
        <is>
          <t>65.4 + 7.2 = 72.6 m²; User manual SO_201 row 78 = 72.6 m² EXACT MATCH</t>
        </is>
      </c>
      <c r="H47" t="n">
        <v>280</v>
      </c>
      <c r="I47" t="n">
        <v>20328</v>
      </c>
      <c r="J47" t="n">
        <v>0.9</v>
      </c>
      <c r="K47" t="inlineStr">
        <is>
          <t>user_manual_fallback</t>
        </is>
      </c>
    </row>
    <row r="48">
      <c r="A48" t="inlineStr">
        <is>
          <t>SO201-T7-02</t>
        </is>
      </c>
      <c r="B48" t="inlineStr">
        <is>
          <t>711432</t>
        </is>
      </c>
      <c r="C48" t="inlineStr">
        <is>
          <t>IZOLACE MOSTOVEK POD ŘÍMSOU ASFALTOVÝMI PÁSY (NAIP</t>
        </is>
      </c>
      <c r="D48" t="inlineStr">
        <is>
          <t>natavovaný asfaltový izolační pás) | OTSKP 2025/II = 692.99 Kč/m². Calc-cross-check: Phase C calculator nezahrnuje izolaci pod říмs (out of element scope), accept user manual.</t>
        </is>
      </c>
      <c r="E48" t="inlineStr">
        <is>
          <t>M2</t>
        </is>
      </c>
      <c r="F48" t="n">
        <v>5.4</v>
      </c>
      <c r="G48" t="inlineStr">
        <is>
          <t>1× říм: 12.0 × 0.225 = 2.7 m²; 2× říм: 2 × 2.7 = 5.4 m²; User manual SO_201 row 79 = 5.4 m² EXACT MATCH</t>
        </is>
      </c>
      <c r="H48" t="n">
        <v>692.99</v>
      </c>
      <c r="I48" t="n">
        <v>3742</v>
      </c>
      <c r="J48" t="n">
        <v>0.9</v>
      </c>
      <c r="K48" t="inlineStr">
        <is>
          <t>user_manual_fallback</t>
        </is>
      </c>
    </row>
    <row r="49">
      <c r="A49" t="inlineStr">
        <is>
          <t>SO201-T7-03</t>
        </is>
      </c>
      <c r="B49" t="inlineStr">
        <is>
          <t>711442</t>
        </is>
      </c>
      <c r="C49" t="inlineStr">
        <is>
          <t>IZOLACE MOSTOVEK CELOPLOŠNÁ ASFALTOVÝMI PÁSY S PEČETÍCÍ VRSTVOU</t>
        </is>
      </c>
      <c r="D49" t="inlineStr">
        <is>
          <t>NAIP + pečetící | KEY ELEMENT mostní izolace. OTSKP 2025/II = 806.81 Kč/m².
Cross-check vs Phase C calc: calculator nemá direct izolace output, ale derive z
formwork_area (mostovkova_deska 99.6 m²). 99.6 vs user 87.4 = +14 % over-estimate
protože calc nesubtrahuje říм strip 12.2 m². Accept user manu</t>
        </is>
      </c>
      <c r="E49" t="inlineStr">
        <is>
          <t>M2</t>
        </is>
      </c>
      <c r="F49" t="n">
        <v>87.40000000000001</v>
      </c>
      <c r="G49" t="inlineStr">
        <is>
          <t>78.0 + 9.4 = 87.4 m²; User manual SO_201 row 80 = 87.4 m² EXACT MATCH</t>
        </is>
      </c>
      <c r="H49" t="n">
        <v>806.8099999999999</v>
      </c>
      <c r="I49" t="n">
        <v>70515</v>
      </c>
      <c r="J49" t="n">
        <v>0.9</v>
      </c>
      <c r="K49" t="inlineStr">
        <is>
          <t>user_manual_fallback</t>
        </is>
      </c>
    </row>
    <row r="50">
      <c r="A50" t="inlineStr">
        <is>
          <t>SO201-T7-04</t>
        </is>
      </c>
      <c r="B50" t="inlineStr">
        <is>
          <t>711509</t>
        </is>
      </c>
      <c r="C50" t="inlineStr">
        <is>
          <t>OCHRANA IZOLACE NA POVRCHU TEXTILIÍ</t>
        </is>
      </c>
      <c r="D50" t="inlineStr">
        <is>
          <t>geotextilie GT 5 nad NAIP před vozovkovými vrstvami | Geotextilie ochrany izolace = vrstva mezi NAIP a litý asfalt MA IV (T5-08).</t>
        </is>
      </c>
      <c r="E50" t="inlineStr">
        <is>
          <t>M2</t>
        </is>
      </c>
      <c r="F50" t="n">
        <v>69.40000000000001</v>
      </c>
      <c r="G50" t="inlineStr">
        <is>
          <t>87.4 - 18 = 69.4 m²; User manual SO_201 row 81 = 69.4 m² EXACT MATCH</t>
        </is>
      </c>
      <c r="H50" t="n">
        <v>180</v>
      </c>
      <c r="I50" t="n">
        <v>12492</v>
      </c>
      <c r="J50" t="n">
        <v>0.85</v>
      </c>
      <c r="K50" t="inlineStr">
        <is>
          <t>user_manual_fallback</t>
        </is>
      </c>
    </row>
    <row r="51">
      <c r="A51" t="inlineStr">
        <is>
          <t>SO201-T7-05</t>
        </is>
      </c>
      <c r="B51" t="inlineStr">
        <is>
          <t>78382</t>
        </is>
      </c>
      <c r="C51" t="inlineStr">
        <is>
          <t>NÁTĚRY BETONOVÝCH KONSTRUKCÍ TYP S2 (OS-B)</t>
        </is>
      </c>
      <c r="D51" t="inlineStr">
        <is>
          <t>ochranné nátěry opěr + závěrných zídek pohledové strany | S2 (OS-B) = standardní pohledový ochranný nátěr (UV + voda + chemikálie cement-stable). ČSN EN 1504-2.</t>
        </is>
      </c>
      <c r="E51" t="inlineStr">
        <is>
          <t>M2</t>
        </is>
      </c>
      <c r="F51" t="n">
        <v>77.90000000000001</v>
      </c>
      <c r="G51" t="inlineStr">
        <is>
          <t>65.4 + 12.5 = 77.9 m²; User manual SO_201 row 82 = 77.9 m² EXACT MATCH</t>
        </is>
      </c>
      <c r="H51" t="n">
        <v>500</v>
      </c>
      <c r="I51" t="n">
        <v>38950</v>
      </c>
      <c r="J51" t="n">
        <v>0.85</v>
      </c>
      <c r="K51" t="inlineStr">
        <is>
          <t>user_manual_fallback</t>
        </is>
      </c>
    </row>
    <row r="52">
      <c r="A52" t="inlineStr">
        <is>
          <t>SO201-T7-06</t>
        </is>
      </c>
      <c r="B52" t="inlineStr">
        <is>
          <t>78383</t>
        </is>
      </c>
      <c r="C52" t="inlineStr">
        <is>
          <t>NÁTĚRY BETONOVÝCH KONSTRUKCÍ TYP S4 (OS-C)</t>
        </is>
      </c>
      <c r="D52" t="inlineStr">
        <is>
          <t>ochranné nátěry říмs (vyšší expozice — XF2/XD1) | S4 (OS-C) = vyšší ochrana pro říмса (přímá expozice posypovým solím + dynamickému namáhání). ČSN EN 1504-2 třída OS-C.</t>
        </is>
      </c>
      <c r="E52" t="inlineStr">
        <is>
          <t>M2</t>
        </is>
      </c>
      <c r="F52" t="n">
        <v>8.640000000000001</v>
      </c>
      <c r="G52">
        <f> 8.64 m² (přesně user manual SO_201 row 83)</f>
        <v/>
      </c>
      <c r="H52" t="n">
        <v>700</v>
      </c>
      <c r="I52" t="n">
        <v>6048</v>
      </c>
      <c r="J52" t="n">
        <v>0.85</v>
      </c>
      <c r="K52" t="inlineStr">
        <is>
          <t>user_manual_fallback</t>
        </is>
      </c>
    </row>
    <row r="53">
      <c r="A53" t="inlineStr">
        <is>
          <t>SO201-T8-01</t>
        </is>
      </c>
      <c r="B53" t="inlineStr">
        <is>
          <t>875332</t>
        </is>
      </c>
      <c r="C53" t="inlineStr">
        <is>
          <t>POTRUBÍ DREN Z TRUB PLAST DN DO 150 MM, DĚROVANÝ</t>
        </is>
      </c>
      <c r="D53" t="inlineStr">
        <is>
          <t>rubová drenáž za opěrami | Rubová drenáž PE-HD DN 150 mm, děrovaná, geotextilní obal. Per ČSN 73 6244 čl. 7.4.</t>
        </is>
      </c>
      <c r="E53" t="inlineStr">
        <is>
          <t>M</t>
        </is>
      </c>
      <c r="F53" t="n">
        <v>19</v>
      </c>
      <c r="G53" t="inlineStr">
        <is>
          <t>2 × 8.30 = 16.6 m + 2.4 m napojení (cca 0.6 m každý konec drenáže × 4) = 19.0 m; User manual SO_201 row 85 = 19.0 m EXACT MATCH</t>
        </is>
      </c>
      <c r="H53" t="n">
        <v>280</v>
      </c>
      <c r="I53" t="n">
        <v>5320</v>
      </c>
      <c r="J53" t="n">
        <v>0.9</v>
      </c>
      <c r="K53" t="inlineStr">
        <is>
          <t>user_manual_fallback</t>
        </is>
      </c>
    </row>
    <row r="54">
      <c r="A54" t="inlineStr">
        <is>
          <t>SO201-T8-02</t>
        </is>
      </c>
      <c r="B54" t="inlineStr">
        <is>
          <t>87534</t>
        </is>
      </c>
      <c r="C54" t="inlineStr">
        <is>
          <t>POTRUBÍ DREN Z TRUB PLAST DN DO 200 MM (odvodnění mostovky</t>
        </is>
      </c>
      <c r="D54" t="inlineStr">
        <is>
          <t>minimalizováno per ZD §4.4.l) | ZD §4.4.l preferuje minimalizaci odvodňovačů (žádné mostní pevné odvodňovače).
Tato podélná drenáž DN 200 vede průsak z mostní izolace + vozovky k zaústění
v koryto Mladotického potoka via T9 zaústění skluzů. User manual SO_201 row 87
má 0 m (Kfely template má vlastní</t>
        </is>
      </c>
      <c r="E54" t="inlineStr">
        <is>
          <t>M</t>
        </is>
      </c>
      <c r="F54" t="n">
        <v>12</v>
      </c>
      <c r="G54" t="inlineStr">
        <is>
          <t>12.0 m podélné drenáže pod jednou stranou vozovky (2-spádová mostovka → odtok jedním směrem)</t>
        </is>
      </c>
      <c r="H54" t="n">
        <v>350</v>
      </c>
      <c r="I54" t="n">
        <v>4200</v>
      </c>
      <c r="J54" t="n">
        <v>0.7</v>
      </c>
      <c r="K54" t="inlineStr">
        <is>
          <t>user_manual_fallback</t>
        </is>
      </c>
    </row>
    <row r="55">
      <c r="A55" t="inlineStr">
        <is>
          <t>SO201-T8-03</t>
        </is>
      </c>
      <c r="B55" t="inlineStr">
        <is>
          <t>87634</t>
        </is>
      </c>
      <c r="C55" t="inlineStr">
        <is>
          <t>POTRUBÍ</t>
        </is>
      </c>
      <c r="D55" t="inlineStr">
        <is>
          <t>CHRÁNIČKA DN 75 ZABETONOVANÁ (3× rezerva pro budoucí kabely v pravé říмse per ZD §4.4.m) | Chráničky DN 75 mm pro budoucí kabely (telekomunikace + řízení dopravy). Vkládají se
při betonáži pravé říмs (T3-06). Cena pokrývá trubky + zatažení do betonu (instalace).</t>
        </is>
      </c>
      <c r="E55" t="inlineStr">
        <is>
          <t>M</t>
        </is>
      </c>
      <c r="F55" t="n">
        <v>36</v>
      </c>
      <c r="G55" t="inlineStr">
        <is>
          <t>3 × 12.0 = 36 m</t>
        </is>
      </c>
      <c r="H55" t="n">
        <v>600</v>
      </c>
      <c r="I55" t="n">
        <v>21600</v>
      </c>
      <c r="J55" t="n">
        <v>0.95</v>
      </c>
      <c r="K55" t="inlineStr">
        <is>
          <t>user_manual_fallback</t>
        </is>
      </c>
    </row>
    <row r="56">
      <c r="A56" t="inlineStr">
        <is>
          <t>SO201-T9-01</t>
        </is>
      </c>
      <c r="B56" t="inlineStr">
        <is>
          <t>9113B1</t>
        </is>
      </c>
      <c r="C56" t="inlineStr">
        <is>
          <t>SVODIDLO OCEL SILNIČNÍ JEDNOSTRANNÉ, ÚROVEŇ ZADRŽENÍ H1</t>
        </is>
      </c>
      <c r="D56" t="inlineStr">
        <is>
          <t>DODÁVKA A MONTÁŽ (před+za mostem) | ZD §4.4.i: extravilán + návaznost na nájezdy. H1 napojení na H2 mostní zábradelní svodidlo (T9-02).</t>
        </is>
      </c>
      <c r="E56" t="inlineStr">
        <is>
          <t>M</t>
        </is>
      </c>
      <c r="F56" t="n">
        <v>60</v>
      </c>
      <c r="G56" t="inlineStr">
        <is>
          <t>2 strany × (15 + 15) = 60 m; User manual SO_201 row 88 = 60 m EXACT MATCH</t>
        </is>
      </c>
      <c r="H56" t="n">
        <v>1780.96</v>
      </c>
      <c r="I56" t="n">
        <v>106858</v>
      </c>
      <c r="J56" t="n">
        <v>0.9</v>
      </c>
      <c r="K56" t="inlineStr">
        <is>
          <t>user_manual_fallback</t>
        </is>
      </c>
    </row>
    <row r="57">
      <c r="A57" t="inlineStr">
        <is>
          <t>SO201-T9-02</t>
        </is>
      </c>
      <c r="B57" t="inlineStr">
        <is>
          <t>9117C1</t>
        </is>
      </c>
      <c r="C57" t="inlineStr">
        <is>
          <t>SVODIDLO OCEL ZÁBRADELNÍ MOSTNÍ, ÚROVEŇ ZADRŽENÍ H2</t>
        </is>
      </c>
      <c r="D57" t="inlineStr">
        <is>
          <t xml:space="preserve">DODÁVKA A MONTÁŽ (na říмsách mostu) | KEY ELEMENT bezpečnosti. ZD §4.4.i: extravilán → H2 (vyšší úroveň zadržení).
Předchozí stav HPM s.3 [4.2] = SafeStar 231 H2/W3 → zachování úrovně H2.
Reconciliation: user manual SO_201 row 89 = 14.4 m (Kfely template, jiná délka mostu).
Žihle 24 m = engineering </t>
        </is>
      </c>
      <c r="E57" t="inlineStr">
        <is>
          <t>M</t>
        </is>
      </c>
      <c r="F57" t="n">
        <v>24</v>
      </c>
      <c r="G57" t="inlineStr">
        <is>
          <t>2 × 12.0 = 24 m</t>
        </is>
      </c>
      <c r="H57" t="n">
        <v>7940.04</v>
      </c>
      <c r="I57" t="n">
        <v>190561</v>
      </c>
      <c r="J57" t="n">
        <v>0.95</v>
      </c>
      <c r="K57" t="inlineStr">
        <is>
          <t>user_manual_fallback</t>
        </is>
      </c>
    </row>
    <row r="58">
      <c r="A58" t="inlineStr">
        <is>
          <t>SO201-T9-03</t>
        </is>
      </c>
      <c r="B58" t="inlineStr">
        <is>
          <t>91238</t>
        </is>
      </c>
      <c r="C58" t="inlineStr">
        <is>
          <t>SMĚROVÉ SLOUPKY Z PLAST HMOT</t>
        </is>
      </c>
      <c r="D58" t="inlineStr">
        <is>
          <t>NÁSTAVCE NA SVODIDLA VČETNĚ ODRAZNÝCH PRVKŮ</t>
        </is>
      </c>
      <c r="E58" t="inlineStr">
        <is>
          <t>KUS</t>
        </is>
      </c>
      <c r="F58" t="n">
        <v>20</v>
      </c>
      <c r="G58" t="inlineStr">
        <is>
          <t>60 / 3 = 20 ks; User manual SO_201 row 90 = 20 ks EXACT MATCH</t>
        </is>
      </c>
      <c r="H58" t="n">
        <v>800</v>
      </c>
      <c r="I58" t="n">
        <v>16000</v>
      </c>
      <c r="J58" t="n">
        <v>0.95</v>
      </c>
      <c r="K58" t="inlineStr">
        <is>
          <t>user_manual_fallback</t>
        </is>
      </c>
    </row>
    <row r="59">
      <c r="A59" t="inlineStr">
        <is>
          <t>SO201-T9-04</t>
        </is>
      </c>
      <c r="B59" t="inlineStr">
        <is>
          <t>91345</t>
        </is>
      </c>
      <c r="C59" t="inlineStr">
        <is>
          <t>NIVELAČNÍ ZNAČKY KOVOVÉ</t>
        </is>
      </c>
      <c r="D59" t="inlineStr">
        <is>
          <t>geodetické body pro budoucí měření sedání</t>
        </is>
      </c>
      <c r="E59" t="inlineStr">
        <is>
          <t>KUS</t>
        </is>
      </c>
      <c r="F59" t="n">
        <v>8</v>
      </c>
      <c r="G59" t="inlineStr">
        <is>
          <t>4 × 2 = 8 ks</t>
        </is>
      </c>
      <c r="H59" t="n">
        <v>2500</v>
      </c>
      <c r="I59" t="n">
        <v>20000</v>
      </c>
      <c r="J59" t="n">
        <v>0.9</v>
      </c>
      <c r="K59" t="inlineStr">
        <is>
          <t>user_manual_fallback</t>
        </is>
      </c>
    </row>
    <row r="60">
      <c r="A60" t="inlineStr">
        <is>
          <t>SO201-T9-05</t>
        </is>
      </c>
      <c r="B60" t="inlineStr">
        <is>
          <t>91355</t>
        </is>
      </c>
      <c r="C60" t="inlineStr">
        <is>
          <t>EVIDENČNÍ ČÍSLO MOSTU (kovová tabulka 'Most ev.č. 2062-1')</t>
        </is>
      </c>
      <c r="D60" t="inlineStr">
        <is>
          <t>2× (vstupní + výstupní strana)</t>
        </is>
      </c>
      <c r="E60" t="inlineStr">
        <is>
          <t>KUS</t>
        </is>
      </c>
      <c r="F60" t="n">
        <v>2</v>
      </c>
      <c r="G60" t="inlineStr">
        <is>
          <t>1 × 2 strany = 2 ks</t>
        </is>
      </c>
      <c r="H60" t="n">
        <v>800</v>
      </c>
      <c r="I60" t="n">
        <v>1600</v>
      </c>
      <c r="J60" t="n">
        <v>0.95</v>
      </c>
      <c r="K60" t="inlineStr">
        <is>
          <t>user_manual_fallback</t>
        </is>
      </c>
    </row>
    <row r="61">
      <c r="A61" t="inlineStr">
        <is>
          <t>SO201-T9-06</t>
        </is>
      </c>
      <c r="B61" t="inlineStr">
        <is>
          <t>914352</t>
        </is>
      </c>
      <c r="C61" t="inlineStr">
        <is>
          <t>DOPRAVNÍ ZNAČKY ZMENŠENÉ VELIKOSTI HLINÍK</t>
        </is>
      </c>
      <c r="D61" t="inlineStr">
        <is>
          <t>MONTÁŽ S PŘESUNEM (B13 + E13 nové) | Nahrazení starých DZ (demontovaných v SO 001 T9-07) novými hliníkovými. Stejná konfigurace per HPM.</t>
        </is>
      </c>
      <c r="E61" t="inlineStr">
        <is>
          <t>KUS</t>
        </is>
      </c>
      <c r="F61" t="n">
        <v>2</v>
      </c>
      <c r="G61" t="inlineStr">
        <is>
          <t>1 + 1 = 2 ks</t>
        </is>
      </c>
      <c r="H61" t="n">
        <v>1500</v>
      </c>
      <c r="I61" t="n">
        <v>3000</v>
      </c>
      <c r="J61" t="n">
        <v>0.95</v>
      </c>
      <c r="K61" t="inlineStr">
        <is>
          <t>user_manual_fallback</t>
        </is>
      </c>
    </row>
    <row r="62">
      <c r="A62" t="inlineStr">
        <is>
          <t>SO201-T9-07</t>
        </is>
      </c>
      <c r="B62" t="inlineStr">
        <is>
          <t>914911</t>
        </is>
      </c>
      <c r="C62" t="inlineStr">
        <is>
          <t>SLOUPKY A STOJKY DOPRAVNÍCH ZNAČEK Z OCELOVÝCH TRUBEK SE ZABETONOVÁNÍM</t>
        </is>
      </c>
      <c r="D62" t="inlineStr"/>
      <c r="E62" t="inlineStr">
        <is>
          <t>KUS</t>
        </is>
      </c>
      <c r="F62" t="n">
        <v>2</v>
      </c>
      <c r="G62" t="inlineStr">
        <is>
          <t>2 × 1 = 2 ks</t>
        </is>
      </c>
      <c r="H62" t="n">
        <v>1200</v>
      </c>
      <c r="I62" t="n">
        <v>2400</v>
      </c>
      <c r="J62" t="n">
        <v>0.95</v>
      </c>
      <c r="K62" t="inlineStr">
        <is>
          <t>user_manual_fallback</t>
        </is>
      </c>
    </row>
    <row r="63">
      <c r="A63" t="inlineStr">
        <is>
          <t>SO201-T9-08</t>
        </is>
      </c>
      <c r="B63" t="inlineStr">
        <is>
          <t>915111</t>
        </is>
      </c>
      <c r="C63" t="inlineStr">
        <is>
          <t>VODOROVNÉ DOPRAVNÍ ZNAČENÍ BARVOU HLADKÉ</t>
        </is>
      </c>
      <c r="D63" t="inlineStr">
        <is>
          <t>DODÁVKA A POKLÁDKA (středová čára + okraje vozovky)</t>
        </is>
      </c>
      <c r="E63" t="inlineStr">
        <is>
          <t>M2</t>
        </is>
      </c>
      <c r="F63" t="n">
        <v>25</v>
      </c>
      <c r="G63" t="inlineStr">
        <is>
          <t>25 m² (typický rozsah pro 60 m vozovky × čar 0.125 m × cca 3 čáry)</t>
        </is>
      </c>
      <c r="H63" t="n">
        <v>200</v>
      </c>
      <c r="I63" t="n">
        <v>5000</v>
      </c>
      <c r="J63" t="n">
        <v>0.85</v>
      </c>
      <c r="K63" t="inlineStr">
        <is>
          <t>user_manual_fallback</t>
        </is>
      </c>
    </row>
    <row r="64">
      <c r="A64" t="inlineStr">
        <is>
          <t>SO201-T9-09</t>
        </is>
      </c>
      <c r="B64" t="inlineStr">
        <is>
          <t>915231</t>
        </is>
      </c>
      <c r="C64" t="inlineStr">
        <is>
          <t>VODOR DOPRAV ZNAČ PLASTEM PROFIL ZVUČÍCÍ</t>
        </is>
      </c>
      <c r="D64" t="inlineStr">
        <is>
          <t>DOD A POKLÁDKA (zvučící okrajový pruh)</t>
        </is>
      </c>
      <c r="E64" t="inlineStr">
        <is>
          <t>M2</t>
        </is>
      </c>
      <c r="F64" t="n">
        <v>25</v>
      </c>
      <c r="G64" t="inlineStr">
        <is>
          <t>25 m² (zvučící okrajový pruh + středová bezpečnostní čára)</t>
        </is>
      </c>
      <c r="H64" t="n">
        <v>480</v>
      </c>
      <c r="I64" t="n">
        <v>12000</v>
      </c>
      <c r="J64" t="n">
        <v>0.85</v>
      </c>
      <c r="K64" t="inlineStr">
        <is>
          <t>user_manual_fallback</t>
        </is>
      </c>
    </row>
    <row r="65">
      <c r="A65" t="inlineStr">
        <is>
          <t>SO201-T9-10</t>
        </is>
      </c>
      <c r="B65" t="inlineStr">
        <is>
          <t>917223</t>
        </is>
      </c>
      <c r="C65" t="inlineStr">
        <is>
          <t>SILNIČNÍ A CHODNÍKOVÉ OBRUBY Z BETONOVÝCH OBRUBNÍKŮ ŠÍŘ 100 MM</t>
        </is>
      </c>
      <c r="D65" t="inlineStr">
        <is>
          <t>vnitřní okraj nájezdů</t>
        </is>
      </c>
      <c r="E65" t="inlineStr">
        <is>
          <t>M</t>
        </is>
      </c>
      <c r="F65" t="n">
        <v>15</v>
      </c>
      <c r="G65" t="inlineStr">
        <is>
          <t>15 m (per Kfely template, Žihle nájezdy 2× 7.5 m)</t>
        </is>
      </c>
      <c r="H65" t="n">
        <v>800</v>
      </c>
      <c r="I65" t="n">
        <v>12000</v>
      </c>
      <c r="J65" t="n">
        <v>0.8</v>
      </c>
      <c r="K65" t="inlineStr">
        <is>
          <t>user_manual_fallback</t>
        </is>
      </c>
    </row>
    <row r="66">
      <c r="A66" t="inlineStr">
        <is>
          <t>SO201-T9-11</t>
        </is>
      </c>
      <c r="B66" t="inlineStr">
        <is>
          <t>917224</t>
        </is>
      </c>
      <c r="C66" t="inlineStr">
        <is>
          <t>SILNIČNÍ A CHODNÍKOVÉ OBRUBY Z BETONOVÝCH OBRUBNÍKŮ ŠÍŘ 150 MM</t>
        </is>
      </c>
      <c r="D66" t="inlineStr">
        <is>
          <t>vnější okraj + zaústění</t>
        </is>
      </c>
      <c r="E66" t="inlineStr">
        <is>
          <t>M</t>
        </is>
      </c>
      <c r="F66" t="n">
        <v>30</v>
      </c>
      <c r="G66" t="inlineStr">
        <is>
          <t>30 m (per Kfely template, Žihle nájezdy + zaústění)</t>
        </is>
      </c>
      <c r="H66" t="n">
        <v>950</v>
      </c>
      <c r="I66" t="n">
        <v>28500</v>
      </c>
      <c r="J66" t="n">
        <v>0.8</v>
      </c>
      <c r="K66" t="inlineStr">
        <is>
          <t>user_manual_fallback</t>
        </is>
      </c>
    </row>
    <row r="67">
      <c r="A67" t="inlineStr">
        <is>
          <t>SO201-T9-12</t>
        </is>
      </c>
      <c r="B67" t="inlineStr">
        <is>
          <t>919111</t>
        </is>
      </c>
      <c r="C67" t="inlineStr">
        <is>
          <t>ŘEZÁNÍ ASFALTOVÉHO KRYTU VOZOVEK TL DO 50 MM</t>
        </is>
      </c>
      <c r="D67" t="inlineStr">
        <is>
          <t>přesné napojení nové vozovky na stávající</t>
        </is>
      </c>
      <c r="E67" t="inlineStr">
        <is>
          <t>M</t>
        </is>
      </c>
      <c r="F67" t="n">
        <v>106.3</v>
      </c>
      <c r="G67" t="inlineStr">
        <is>
          <t>Per Kfely template: ~106.3 m řezání pro přesné napojení (2× 14 m nájezd + 2× 19.5 m podélně + obvody)</t>
        </is>
      </c>
      <c r="H67" t="n">
        <v>90</v>
      </c>
      <c r="I67" t="n">
        <v>9567</v>
      </c>
      <c r="J67" t="n">
        <v>0.7</v>
      </c>
      <c r="K67" t="inlineStr">
        <is>
          <t>user_manual_fallback</t>
        </is>
      </c>
    </row>
    <row r="68">
      <c r="A68" t="inlineStr">
        <is>
          <t>SO201-T9-13</t>
        </is>
      </c>
      <c r="B68" t="inlineStr">
        <is>
          <t>931326</t>
        </is>
      </c>
      <c r="C68" t="inlineStr">
        <is>
          <t>TĚSNĚNÍ DILATAČ SPAR ASF ZÁLIVKOU MODIFIK PRŮŘ DO 800 MM² (vozovkové dilatační spáry</t>
        </is>
      </c>
      <c r="D68" t="inlineStr">
        <is>
          <t>NE mostní závěr) | ⚠️ EXPLICITLY NOT mostní závěr (93152 vyloučen per ZD §4.4.l integrální rám).
Tyto jsou asphalt expansion joints v vozovce — řeší thermal v krytu vozovky,
ne mostní konstrukci. Integrální rám má thermal compensation via přechodové desky.</t>
        </is>
      </c>
      <c r="E68" t="inlineStr">
        <is>
          <t>M</t>
        </is>
      </c>
      <c r="F68" t="n">
        <v>38.4</v>
      </c>
      <c r="G68" t="inlineStr">
        <is>
          <t>38.4 m (asphalt expansion joints — důležité: NE mostní závěr)</t>
        </is>
      </c>
      <c r="H68" t="n">
        <v>320</v>
      </c>
      <c r="I68" t="n">
        <v>12288</v>
      </c>
      <c r="J68" t="n">
        <v>0.85</v>
      </c>
      <c r="K68" t="inlineStr">
        <is>
          <t>user_manual_fallback</t>
        </is>
      </c>
    </row>
    <row r="69">
      <c r="A69" t="inlineStr">
        <is>
          <t>SO201-T9-14</t>
        </is>
      </c>
      <c r="B69" t="inlineStr">
        <is>
          <t>93135</t>
        </is>
      </c>
      <c r="C69" t="inlineStr">
        <is>
          <t>TĚSNĚNÍ DILATAČ SPAR PRYŽ PÁSKOU NEBO KRUH PROFILEM</t>
        </is>
      </c>
      <c r="D69" t="inlineStr">
        <is>
          <t>sekundární těsnění pod 931326</t>
        </is>
      </c>
      <c r="E69" t="inlineStr">
        <is>
          <t>M</t>
        </is>
      </c>
      <c r="F69" t="n">
        <v>38.4</v>
      </c>
      <c r="G69" t="inlineStr">
        <is>
          <t>38.4 m</t>
        </is>
      </c>
      <c r="H69" t="n">
        <v>280</v>
      </c>
      <c r="I69" t="n">
        <v>10752</v>
      </c>
      <c r="J69" t="n">
        <v>0.85</v>
      </c>
      <c r="K69" t="inlineStr">
        <is>
          <t>user_manual_fallback</t>
        </is>
      </c>
    </row>
    <row r="70">
      <c r="A70" t="inlineStr">
        <is>
          <t>SO201-T9-15</t>
        </is>
      </c>
      <c r="B70" t="inlineStr">
        <is>
          <t>93311</t>
        </is>
      </c>
      <c r="C70" t="inlineStr">
        <is>
          <t>ZATĚŽOVACÍ ZKOUŠKA MOSTU STATICKÁ 1. POLE DO 300 M²</t>
        </is>
      </c>
      <c r="D70" t="inlineStr">
        <is>
          <t>★ POVINNÁ per ČSN 73 6209 | ★ KEY ELEMENT — POVINNÁ pro každý nový most per ČSN 73 6209 (zatěžovací zkoušky
mostů). Plocha mostu 99.6 m² &lt; 300 m² → kategorie 1. pole do 300 m².
Zkouška = statické zatížení ekvivalentem 0.6 × charakteristického zatížení LM1
(per ČSN EN 1991-2). Měření průhybů + napětí</t>
        </is>
      </c>
      <c r="E70" t="inlineStr">
        <is>
          <t>KUS</t>
        </is>
      </c>
      <c r="F70" t="n">
        <v>1</v>
      </c>
      <c r="G70" t="inlineStr">
        <is>
          <t>1 × 1 = 1 zkouška</t>
        </is>
      </c>
      <c r="H70" t="n">
        <v>100000</v>
      </c>
      <c r="I70" t="n">
        <v>100000</v>
      </c>
      <c r="J70" t="n">
        <v>1</v>
      </c>
      <c r="K70" t="inlineStr">
        <is>
          <t>user_manual_fallback</t>
        </is>
      </c>
    </row>
    <row r="71">
      <c r="A71" t="inlineStr">
        <is>
          <t>SO201-T9-16</t>
        </is>
      </c>
      <c r="B71" t="inlineStr">
        <is>
          <t>935212</t>
        </is>
      </c>
      <c r="C71" t="inlineStr">
        <is>
          <t>PŘÍKOPOVÉ ŽLABY Z BETON TVÁRNIC ŠÍŘ DO 600 MM DO BETONU TL 100 MM</t>
        </is>
      </c>
      <c r="D71" t="inlineStr">
        <is>
          <t>odvodnění nájezdů</t>
        </is>
      </c>
      <c r="E71" t="inlineStr">
        <is>
          <t>M</t>
        </is>
      </c>
      <c r="F71" t="n">
        <v>25.68</v>
      </c>
      <c r="G71" t="inlineStr">
        <is>
          <t>25.68 m (per Kfely template scaled na Žihle)</t>
        </is>
      </c>
      <c r="H71" t="n">
        <v>1100</v>
      </c>
      <c r="I71" t="n">
        <v>28248</v>
      </c>
      <c r="J71" t="n">
        <v>0.75</v>
      </c>
      <c r="K71" t="inlineStr">
        <is>
          <t>user_manual_fallback</t>
        </is>
      </c>
    </row>
    <row r="72">
      <c r="A72" t="inlineStr">
        <is>
          <t>SO201-T9-17</t>
        </is>
      </c>
      <c r="B72" t="inlineStr">
        <is>
          <t>93631</t>
        </is>
      </c>
      <c r="C72" t="inlineStr">
        <is>
          <t>DROBNÉ DOPLŇKY KONSTR BETON MONOLIT</t>
        </is>
      </c>
      <c r="D72" t="inlineStr">
        <is>
          <t>drobné monolitické doplňky pro detail PDPS | User manual hodnota 0.01 m³ = nominal placeholder. Žihle navýšeno na 0.5 m³ pro reálné monolitické detaily.</t>
        </is>
      </c>
      <c r="E72" t="inlineStr">
        <is>
          <t>M3</t>
        </is>
      </c>
      <c r="F72" t="n">
        <v>0.5</v>
      </c>
      <c r="G72" t="inlineStr">
        <is>
          <t>Drobné doplňky: letopočet (~0.05 m³) + ostatní detaily ~0.45 m³ = 0.5 m³; User manual SO_201 row 108 = 0.01 m³ (Kfely minimal). Žihle volí 0.5 m³ pro DPS detail rezervu.</t>
        </is>
      </c>
      <c r="H72" t="n">
        <v>4783.44</v>
      </c>
      <c r="I72" t="n">
        <v>2392</v>
      </c>
      <c r="J72" t="n">
        <v>0.6</v>
      </c>
      <c r="K72" t="inlineStr">
        <is>
          <t>user_manual_fallback</t>
        </is>
      </c>
    </row>
    <row r="73">
      <c r="A73" t="inlineStr">
        <is>
          <t>SO201-T9-18</t>
        </is>
      </c>
      <c r="B73" t="inlineStr">
        <is>
          <t>93639</t>
        </is>
      </c>
      <c r="C73" t="inlineStr">
        <is>
          <t>ZAÚSTĚNÍ SKLUZŮ (VČET DLAŽBY Z LOM KAMENE)</t>
        </is>
      </c>
      <c r="D73" t="inlineStr">
        <is>
          <t>odvodnění mostovky do koryta Mladotického potoka | Zaústění drenážních potrubí (T8-01 + T8-02) do koryta s ochrannou kamennou dlažbou. Vyžaduje souhlas Povodí Vltavy.</t>
        </is>
      </c>
      <c r="E73" t="inlineStr">
        <is>
          <t>KUS</t>
        </is>
      </c>
      <c r="F73" t="n">
        <v>4</v>
      </c>
      <c r="G73" t="inlineStr">
        <is>
          <t>2 × 2 = 4 ks</t>
        </is>
      </c>
      <c r="H73" t="n">
        <v>4500</v>
      </c>
      <c r="I73" t="n">
        <v>18000</v>
      </c>
      <c r="J73" t="n">
        <v>0.85</v>
      </c>
      <c r="K73" t="inlineStr">
        <is>
          <t>user_manual_fallback</t>
        </is>
      </c>
    </row>
    <row r="74">
      <c r="A74" s="3" t="inlineStr">
        <is>
          <t>SUBTOTAL</t>
        </is>
      </c>
      <c r="I74" s="2" t="n">
        <v>4435958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50" customWidth="1" min="3" max="3"/>
    <col width="50" customWidth="1" min="4" max="4"/>
    <col width="8" customWidth="1" min="5" max="5"/>
    <col width="12" customWidth="1" min="6" max="6"/>
    <col width="28" customWidth="1" min="7" max="7"/>
    <col width="16" customWidth="1" min="8" max="8"/>
    <col width="18" customWidth="1" min="9" max="9"/>
    <col width="12" customWidth="1" min="10" max="10"/>
    <col width="24" customWidth="1" min="11" max="11"/>
  </cols>
  <sheetData>
    <row r="1">
      <c r="A1" s="1" t="inlineStr">
        <is>
          <t>Polozka ID</t>
        </is>
      </c>
      <c r="B1" s="1" t="inlineStr">
        <is>
          <t>OTSKP kód</t>
        </is>
      </c>
      <c r="C1" s="1" t="inlineStr">
        <is>
          <t>OTSKP popis (canonical)</t>
        </is>
      </c>
      <c r="D1" s="1" t="inlineStr">
        <is>
          <t>Naše poznámka</t>
        </is>
      </c>
      <c r="E1" s="1" t="inlineStr">
        <is>
          <t>MJ</t>
        </is>
      </c>
      <c r="F1" s="1" t="inlineStr">
        <is>
          <t>Množství</t>
        </is>
      </c>
      <c r="G1" s="1" t="inlineStr">
        <is>
          <t>Výpočet (formula)</t>
        </is>
      </c>
      <c r="H1" s="1" t="inlineStr">
        <is>
          <t>Jedn. cena (Kč)</t>
        </is>
      </c>
      <c r="I1" s="1" t="inlineStr">
        <is>
          <t>Cena celkem (Kč)</t>
        </is>
      </c>
      <c r="J1" s="1" t="inlineStr">
        <is>
          <t>Confidence</t>
        </is>
      </c>
      <c r="K1" s="1" t="inlineStr">
        <is>
          <t>Source</t>
        </is>
      </c>
    </row>
    <row r="2">
      <c r="A2" t="inlineStr">
        <is>
          <t>SO290-T1-01</t>
        </is>
      </c>
      <c r="B2" t="inlineStr">
        <is>
          <t>113728</t>
        </is>
      </c>
      <c r="C2" t="inlineStr">
        <is>
          <t>FRÉZOVÁNÍ ZPEVNĚNÝCH PLOCH ASFALTOVÝCH, ODVOZ DO 20 KM</t>
        </is>
      </c>
      <c r="D2" t="inlineStr">
        <is>
          <t>frézování stávající obrusné vrstvy silnice mimo most | DUPLICATION CHECK: SO 001 T9-05 frézování (1.8 m³ vozovka mostu) + SO 290 T1-01
(67.5 m³ silnice III/206 2 navazující úseky) = různé úseky, různé OTSKP-context.
Frézáty → RS Žatec (Ekostavby Louny) per `vendor_quotes.yaml` 220-300 Kč/t.</t>
        </is>
      </c>
      <c r="E2" t="inlineStr">
        <is>
          <t>M3</t>
        </is>
      </c>
      <c r="F2" t="n">
        <v>67.5</v>
      </c>
      <c r="G2" t="inlineStr">
        <is>
          <t>225 × 6.0 = 1350 m² (plocha úpravy); 1350 × 0.05 = 67.5 m³ (objem frézovaných asfaltů)</t>
        </is>
      </c>
      <c r="H2" t="n">
        <v>2072.2</v>
      </c>
      <c r="I2" t="n">
        <v>139874</v>
      </c>
      <c r="J2" t="n">
        <v>0.85</v>
      </c>
      <c r="K2" t="inlineStr">
        <is>
          <t>user_manual_fallback</t>
        </is>
      </c>
    </row>
    <row r="3">
      <c r="A3" t="inlineStr">
        <is>
          <t>SO290-T5-01</t>
        </is>
      </c>
      <c r="B3" t="inlineStr">
        <is>
          <t>572214</t>
        </is>
      </c>
      <c r="C3" t="inlineStr">
        <is>
          <t>SPOJOVACÍ POSTŘIK Z MODIFIK EMULZE DO 0,5 KG/M²</t>
        </is>
      </c>
      <c r="D3" t="inlineStr">
        <is>
          <t>mezi vrstvami: frézovaný podklad → ACL → SMA</t>
        </is>
      </c>
      <c r="E3" t="inlineStr">
        <is>
          <t>M2</t>
        </is>
      </c>
      <c r="F3" t="n">
        <v>2700</v>
      </c>
      <c r="G3" t="inlineStr">
        <is>
          <t>2 × 1350 = 2700 m²</t>
        </is>
      </c>
      <c r="H3" t="n">
        <v>25</v>
      </c>
      <c r="I3" t="n">
        <v>67500</v>
      </c>
      <c r="J3" t="n">
        <v>0.95</v>
      </c>
      <c r="K3" t="inlineStr">
        <is>
          <t>user_manual_fallback</t>
        </is>
      </c>
    </row>
    <row r="4">
      <c r="A4" t="inlineStr">
        <is>
          <t>SO290-T5-02</t>
        </is>
      </c>
      <c r="B4" t="inlineStr">
        <is>
          <t>574C78</t>
        </is>
      </c>
      <c r="C4" t="inlineStr">
        <is>
          <t>ASFALTOVÝ BETON PRO LOŽNÍ VRSTVY ACL 22+, 22S TL. 80 MM</t>
        </is>
      </c>
      <c r="D4" t="inlineStr">
        <is>
          <t>ložná vrstva silnice</t>
        </is>
      </c>
      <c r="E4" t="inlineStr">
        <is>
          <t>M2</t>
        </is>
      </c>
      <c r="F4" t="n">
        <v>1350</v>
      </c>
      <c r="G4" t="inlineStr">
        <is>
          <t>225 × 6.0 = 1350 m²</t>
        </is>
      </c>
      <c r="H4" t="n">
        <v>450</v>
      </c>
      <c r="I4" t="n">
        <v>607500</v>
      </c>
      <c r="J4" t="n">
        <v>0.9</v>
      </c>
      <c r="K4" t="inlineStr">
        <is>
          <t>user_manual_fallback</t>
        </is>
      </c>
    </row>
    <row r="5">
      <c r="A5" t="inlineStr">
        <is>
          <t>SO290-T5-03</t>
        </is>
      </c>
      <c r="B5" t="inlineStr">
        <is>
          <t>574I54</t>
        </is>
      </c>
      <c r="C5" t="inlineStr">
        <is>
          <t>ASFALTOVÝ KOBEREC MASTIXOVÝ SMA 11+, 11S TL. 40 MM</t>
        </is>
      </c>
      <c r="D5" t="inlineStr">
        <is>
          <t>obrusná vrstva 100 % bez tolerance per ZD §4.4.j | ZD §4.4.j: obrusná vrstva 100 % tloušťky bez tolerance — vyšší přesnost než standardní TKP, vyžaduje overpour reserve 5-10 % v praxi (zhotovitel dimenzuje).</t>
        </is>
      </c>
      <c r="E5" t="inlineStr">
        <is>
          <t>M2</t>
        </is>
      </c>
      <c r="F5" t="n">
        <v>1350</v>
      </c>
      <c r="G5" t="inlineStr">
        <is>
          <t>1350 m²</t>
        </is>
      </c>
      <c r="H5" t="n">
        <v>480</v>
      </c>
      <c r="I5" t="n">
        <v>648000</v>
      </c>
      <c r="J5" t="n">
        <v>0.9</v>
      </c>
      <c r="K5" t="inlineStr">
        <is>
          <t>user_manual_fallback</t>
        </is>
      </c>
    </row>
    <row r="6">
      <c r="A6" t="inlineStr">
        <is>
          <t>SO290-T9-01</t>
        </is>
      </c>
      <c r="B6" t="inlineStr">
        <is>
          <t>919111</t>
        </is>
      </c>
      <c r="C6" t="inlineStr">
        <is>
          <t>ŘEZÁNÍ ASFALTOVÉHO KRYTU VOZOVEK TL DO 50 MM</t>
        </is>
      </c>
      <c r="D6" t="inlineStr">
        <is>
          <t>přesné napojení na sousední úseky silnice + na nájezdy SO 201</t>
        </is>
      </c>
      <c r="E6" t="inlineStr">
        <is>
          <t>M</t>
        </is>
      </c>
      <c r="F6" t="n">
        <v>24</v>
      </c>
      <c r="G6" t="inlineStr">
        <is>
          <t>2 × 6.0 = 12 m (okraje úpravy); + 12 m napojení na SO 201 nájezdy; Total: 24 m</t>
        </is>
      </c>
      <c r="H6" t="n">
        <v>90</v>
      </c>
      <c r="I6" t="n">
        <v>2160</v>
      </c>
      <c r="J6" t="n">
        <v>0.85</v>
      </c>
      <c r="K6" t="inlineStr">
        <is>
          <t>user_manual_fallback</t>
        </is>
      </c>
    </row>
    <row r="7">
      <c r="A7" t="inlineStr">
        <is>
          <t>SO290-T9-02</t>
        </is>
      </c>
      <c r="B7" t="inlineStr">
        <is>
          <t>935212</t>
        </is>
      </c>
      <c r="C7" t="inlineStr">
        <is>
          <t>PŘÍKOPOVÉ ŽLABY Z BETON TVÁRNIC ŠÍŘ DO 600 MM DO BETONU TL 100 MM</t>
        </is>
      </c>
      <c r="D7" t="inlineStr">
        <is>
          <t>jednostranné odvodnění silnice | DUPLICATION CHECK: SO 201 T9-16 = 25.68 m příkopové žlaby (lokálně u nájezdů mostu). SO 290 T9-02 = 225 m podél širší silniční úpravy. Different scope, no-duplication.</t>
        </is>
      </c>
      <c r="E7" t="inlineStr">
        <is>
          <t>M</t>
        </is>
      </c>
      <c r="F7" t="n">
        <v>225</v>
      </c>
      <c r="G7" t="inlineStr">
        <is>
          <t>225 m příkopové žlaby (jednostranné, gravitačně do koryta)</t>
        </is>
      </c>
      <c r="H7" t="n">
        <v>1100</v>
      </c>
      <c r="I7" t="n">
        <v>247500</v>
      </c>
      <c r="J7" t="n">
        <v>0.85</v>
      </c>
      <c r="K7" t="inlineStr">
        <is>
          <t>user_manual_fallback</t>
        </is>
      </c>
    </row>
    <row r="8">
      <c r="A8" t="inlineStr">
        <is>
          <t>SO290-T9-03</t>
        </is>
      </c>
      <c r="B8" t="inlineStr">
        <is>
          <t>915111</t>
        </is>
      </c>
      <c r="C8" t="inlineStr">
        <is>
          <t>VODOROVNÉ DOPRAVNÍ ZNAČENÍ BARVOU HLADKÉ</t>
        </is>
      </c>
      <c r="D8" t="inlineStr">
        <is>
          <t>DODÁVKA A POKLÁDKA (středová + okrajové čáry silnice)</t>
        </is>
      </c>
      <c r="E8" t="inlineStr">
        <is>
          <t>M2</t>
        </is>
      </c>
      <c r="F8" t="n">
        <v>56</v>
      </c>
      <c r="G8" t="inlineStr">
        <is>
          <t>225 × 2 × 0.125 = 56.25 ≈ 56 m²</t>
        </is>
      </c>
      <c r="H8" t="n">
        <v>200</v>
      </c>
      <c r="I8" t="n">
        <v>11200</v>
      </c>
      <c r="J8" t="n">
        <v>0.85</v>
      </c>
      <c r="K8" t="inlineStr">
        <is>
          <t>user_manual_fallback</t>
        </is>
      </c>
    </row>
    <row r="9">
      <c r="A9" t="inlineStr">
        <is>
          <t>SO290-T9-04</t>
        </is>
      </c>
      <c r="B9" t="inlineStr">
        <is>
          <t>915231</t>
        </is>
      </c>
      <c r="C9" t="inlineStr">
        <is>
          <t>VODOR DOPRAV ZNAČ PLASTEM PROFIL ZVUČÍCÍ</t>
        </is>
      </c>
      <c r="D9" t="inlineStr">
        <is>
          <t>DOD A POKLÁDKA (zvučící varianta okrajové čáry — bezpečnostní)</t>
        </is>
      </c>
      <c r="E9" t="inlineStr">
        <is>
          <t>M2</t>
        </is>
      </c>
      <c r="F9" t="n">
        <v>28</v>
      </c>
      <c r="G9" t="inlineStr">
        <is>
          <t>225 × 1 × 0.125 = 28 m²</t>
        </is>
      </c>
      <c r="H9" t="n">
        <v>480</v>
      </c>
      <c r="I9" t="n">
        <v>13440</v>
      </c>
      <c r="J9" t="n">
        <v>0.85</v>
      </c>
      <c r="K9" t="inlineStr">
        <is>
          <t>user_manual_fallback</t>
        </is>
      </c>
    </row>
    <row r="10">
      <c r="A10" t="inlineStr">
        <is>
          <t>SO290-T9-05</t>
        </is>
      </c>
      <c r="B10" t="inlineStr">
        <is>
          <t>914352</t>
        </is>
      </c>
      <c r="C10" t="inlineStr">
        <is>
          <t>DOPRAVNÍ ZNAČKY ZÁKLADNÍ VELIKOSTI HLINÍK</t>
        </is>
      </c>
      <c r="D10" t="inlineStr">
        <is>
          <t>MONTÁŽ S PŘESUNEM (přístupové výstrahy + omezení) | DUPLICATION CHECK: SO 201 T9-06 = 2 ks (na mostě samotném). SO 290 T9-05 = 4 ks
(na přístupech k mostu před+za, oboustranně). Different positions per HPM mapy.</t>
        </is>
      </c>
      <c r="E10" t="inlineStr">
        <is>
          <t>KUS</t>
        </is>
      </c>
      <c r="F10" t="n">
        <v>4</v>
      </c>
      <c r="G10" t="inlineStr">
        <is>
          <t>2 + 2 = 4 ks (oboustranné značení přístupů)</t>
        </is>
      </c>
      <c r="H10" t="n">
        <v>1500</v>
      </c>
      <c r="I10" t="n">
        <v>6000</v>
      </c>
      <c r="J10" t="n">
        <v>0.9</v>
      </c>
      <c r="K10" t="inlineStr">
        <is>
          <t>user_manual_fallback</t>
        </is>
      </c>
    </row>
    <row r="11">
      <c r="A11" t="inlineStr">
        <is>
          <t>SO290-T9-06</t>
        </is>
      </c>
      <c r="B11" t="inlineStr">
        <is>
          <t>914911</t>
        </is>
      </c>
      <c r="C11" t="inlineStr">
        <is>
          <t>SLOUPKY A STOJKY DOPRAVNÍCH ZNAČEK Z OCEL TRUBEK SE ZABETONOVÁNÍM</t>
        </is>
      </c>
      <c r="D11" t="inlineStr"/>
      <c r="E11" t="inlineStr">
        <is>
          <t>KUS</t>
        </is>
      </c>
      <c r="F11" t="n">
        <v>4</v>
      </c>
      <c r="G11" t="inlineStr">
        <is>
          <t>4 × 1 sloupek per DZ = 4 ks</t>
        </is>
      </c>
      <c r="H11" t="n">
        <v>1200</v>
      </c>
      <c r="I11" t="n">
        <v>4800</v>
      </c>
      <c r="J11" t="n">
        <v>0.9</v>
      </c>
      <c r="K11" t="inlineStr">
        <is>
          <t>user_manual_fallback</t>
        </is>
      </c>
    </row>
    <row r="12">
      <c r="A12" t="inlineStr">
        <is>
          <t>SO290-T9-07</t>
        </is>
      </c>
      <c r="B12" t="inlineStr">
        <is>
          <t>9113B1</t>
        </is>
      </c>
      <c r="C12" t="inlineStr">
        <is>
          <t>SVODIDLO OCEL SILNIČNÍ JEDNOSTRANNÉ, ÚROVEŇ ZADRŽ H1</t>
        </is>
      </c>
      <c r="D12" t="inlineStr">
        <is>
          <t>DODÁVKA A MONTÁŽ (podél příkopu mimo zónu nájezdů) | DUPLICATION CHECK: SO 201 T9-01 = 60 m (na nájezdech mostu, intenzivnější úsek).
SO 290 T9-07 = 100 m (podél širší silnice mimo nájezdy). Different geographic
segments. Pro DPS projektant ověří potřebnost dle bezpečnostní analýzy nehodovosti.</t>
        </is>
      </c>
      <c r="E12" t="inlineStr">
        <is>
          <t>M</t>
        </is>
      </c>
      <c r="F12" t="n">
        <v>100</v>
      </c>
      <c r="G12" t="inlineStr">
        <is>
          <t>225 − 60 − 65 = 100 m</t>
        </is>
      </c>
      <c r="H12" t="n">
        <v>1780.96</v>
      </c>
      <c r="I12" t="n">
        <v>178096</v>
      </c>
      <c r="J12" t="n">
        <v>0.7</v>
      </c>
      <c r="K12" t="inlineStr">
        <is>
          <t>user_manual_fallback</t>
        </is>
      </c>
    </row>
    <row r="13">
      <c r="A13" t="inlineStr">
        <is>
          <t>SO290-T9-08</t>
        </is>
      </c>
      <c r="B13" t="inlineStr">
        <is>
          <t>91238</t>
        </is>
      </c>
      <c r="C13" t="inlineStr">
        <is>
          <t>SMĚROVÉ SLOUPKY Z PLAST HMOT</t>
        </is>
      </c>
      <c r="D13" t="inlineStr">
        <is>
          <t>NÁSTAVCE NA SVODIDLA VČ. ODRAZNÝCH PRVKŮ</t>
        </is>
      </c>
      <c r="E13" t="inlineStr">
        <is>
          <t>KUS</t>
        </is>
      </c>
      <c r="F13" t="n">
        <v>33</v>
      </c>
      <c r="G13" t="inlineStr">
        <is>
          <t>100 / 3 = 33.3 ≈ 33 ks</t>
        </is>
      </c>
      <c r="H13" t="n">
        <v>800</v>
      </c>
      <c r="I13" t="n">
        <v>26400</v>
      </c>
      <c r="J13" t="n">
        <v>0.9</v>
      </c>
      <c r="K13" t="inlineStr">
        <is>
          <t>user_manual_fallback</t>
        </is>
      </c>
    </row>
    <row r="14">
      <c r="A14" s="3" t="inlineStr">
        <is>
          <t>SUBTOTAL</t>
        </is>
      </c>
      <c r="I14" s="2" t="n">
        <v>1952470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50" customWidth="1" min="3" max="3"/>
    <col width="50" customWidth="1" min="4" max="4"/>
    <col width="8" customWidth="1" min="5" max="5"/>
    <col width="12" customWidth="1" min="6" max="6"/>
    <col width="28" customWidth="1" min="7" max="7"/>
    <col width="16" customWidth="1" min="8" max="8"/>
    <col width="18" customWidth="1" min="9" max="9"/>
    <col width="12" customWidth="1" min="10" max="10"/>
    <col width="24" customWidth="1" min="11" max="11"/>
  </cols>
  <sheetData>
    <row r="1">
      <c r="A1" s="1" t="inlineStr">
        <is>
          <t>Polozka ID</t>
        </is>
      </c>
      <c r="B1" s="1" t="inlineStr">
        <is>
          <t>OTSKP kód</t>
        </is>
      </c>
      <c r="C1" s="1" t="inlineStr">
        <is>
          <t>OTSKP popis (canonical)</t>
        </is>
      </c>
      <c r="D1" s="1" t="inlineStr">
        <is>
          <t>Naše poznámka</t>
        </is>
      </c>
      <c r="E1" s="1" t="inlineStr">
        <is>
          <t>MJ</t>
        </is>
      </c>
      <c r="F1" s="1" t="inlineStr">
        <is>
          <t>Množství</t>
        </is>
      </c>
      <c r="G1" s="1" t="inlineStr">
        <is>
          <t>Výpočet (formula)</t>
        </is>
      </c>
      <c r="H1" s="1" t="inlineStr">
        <is>
          <t>Jedn. cena (Kč)</t>
        </is>
      </c>
      <c r="I1" s="1" t="inlineStr">
        <is>
          <t>Cena celkem (Kč)</t>
        </is>
      </c>
      <c r="J1" s="1" t="inlineStr">
        <is>
          <t>Confidence</t>
        </is>
      </c>
      <c r="K1" s="1" t="inlineStr">
        <is>
          <t>Source</t>
        </is>
      </c>
    </row>
    <row r="2">
      <c r="A2" t="inlineStr">
        <is>
          <t>SO801-T0-01</t>
        </is>
      </c>
      <c r="C2" t="inlineStr">
        <is>
          <t>ZPEVNĚNÁ PLOCHA ŠTĚRKEM</t>
        </is>
      </c>
      <c r="D2" t="inlineStr">
        <is>
          <t>přístup pro buňkoviště + skladovací prostor</t>
        </is>
      </c>
      <c r="E2" t="inlineStr">
        <is>
          <t>M2</t>
        </is>
      </c>
      <c r="F2" t="n">
        <v>100</v>
      </c>
      <c r="G2" t="inlineStr">
        <is>
          <t>100 × 320 × 1.5 = 48 000 Kč</t>
        </is>
      </c>
      <c r="H2" t="n">
        <v>480</v>
      </c>
      <c r="I2" t="n">
        <v>48000</v>
      </c>
      <c r="J2" t="n">
        <v>0.7</v>
      </c>
      <c r="K2" t="inlineStr">
        <is>
          <t>d6_template_scaled</t>
        </is>
      </c>
    </row>
    <row r="3">
      <c r="A3" t="inlineStr">
        <is>
          <t>SO801-T0-02</t>
        </is>
      </c>
      <c r="C3" t="inlineStr">
        <is>
          <t>AUTOJEŘÁB PRO MONTÁŽ ZS</t>
        </is>
      </c>
      <c r="D3" t="inlineStr">
        <is>
          <t>vyložení buněk + dopravního značení</t>
        </is>
      </c>
      <c r="E3" t="inlineStr">
        <is>
          <t>HOD</t>
        </is>
      </c>
      <c r="F3" t="n">
        <v>10</v>
      </c>
      <c r="G3" t="inlineStr">
        <is>
          <t>10 × 1 250 = 12 500 Kč</t>
        </is>
      </c>
      <c r="H3" t="n">
        <v>1250</v>
      </c>
      <c r="I3" t="n">
        <v>12500</v>
      </c>
      <c r="J3" t="n">
        <v>0.8</v>
      </c>
      <c r="K3" t="inlineStr">
        <is>
          <t>d6_template_scaled</t>
        </is>
      </c>
    </row>
    <row r="4">
      <c r="A4" t="inlineStr">
        <is>
          <t>SO801-T0-03</t>
        </is>
      </c>
      <c r="C4" t="inlineStr">
        <is>
          <t>MONTÁŽ ZAŘÍZENÍ STAVENIŠTĚ</t>
        </is>
      </c>
      <c r="D4" t="inlineStr">
        <is>
          <t>kompletace, paušál</t>
        </is>
      </c>
      <c r="E4" t="inlineStr">
        <is>
          <t>KPL</t>
        </is>
      </c>
      <c r="F4" t="n">
        <v>1</v>
      </c>
      <c r="G4" t="inlineStr">
        <is>
          <t>1 × 15 000 = 15 000 Kč</t>
        </is>
      </c>
      <c r="H4" t="n">
        <v>15000</v>
      </c>
      <c r="I4" t="n">
        <v>15000</v>
      </c>
      <c r="J4" t="n">
        <v>0.85</v>
      </c>
      <c r="K4" t="inlineStr">
        <is>
          <t>d6_template_scaled</t>
        </is>
      </c>
    </row>
    <row r="5">
      <c r="A5" t="inlineStr">
        <is>
          <t>SO801-T0-04</t>
        </is>
      </c>
      <c r="C5" t="inlineStr">
        <is>
          <t>BUŇKY KANCELÁŘE</t>
        </is>
      </c>
      <c r="D5" t="inlineStr">
        <is>
          <t>PRONÁJEM (technický zázemí pracovníků TZP)</t>
        </is>
      </c>
      <c r="E5" t="inlineStr">
        <is>
          <t>KS-MES</t>
        </is>
      </c>
      <c r="F5" t="n">
        <v>11</v>
      </c>
      <c r="G5" t="inlineStr">
        <is>
          <t>1 × 11 × 1 000 = 11 000 Kč</t>
        </is>
      </c>
      <c r="H5" t="n">
        <v>1000</v>
      </c>
      <c r="I5" t="n">
        <v>11000</v>
      </c>
      <c r="J5" t="n">
        <v>0.85</v>
      </c>
      <c r="K5" t="inlineStr">
        <is>
          <t>d6_template_scaled</t>
        </is>
      </c>
    </row>
    <row r="6">
      <c r="A6" t="inlineStr">
        <is>
          <t>SO801-T0-05</t>
        </is>
      </c>
      <c r="C6" t="inlineStr">
        <is>
          <t>BUŇKY ŠATNY</t>
        </is>
      </c>
      <c r="D6" t="inlineStr">
        <is>
          <t>PRONÁJEM</t>
        </is>
      </c>
      <c r="E6" t="inlineStr">
        <is>
          <t>KS-MES</t>
        </is>
      </c>
      <c r="F6" t="n">
        <v>11</v>
      </c>
      <c r="G6" t="inlineStr">
        <is>
          <t>1 × 11 × 1 800 = 19 800 Kč</t>
        </is>
      </c>
      <c r="H6" t="n">
        <v>1800</v>
      </c>
      <c r="I6" t="n">
        <v>19800</v>
      </c>
      <c r="J6" t="n">
        <v>0.85</v>
      </c>
      <c r="K6" t="inlineStr">
        <is>
          <t>d6_template_scaled</t>
        </is>
      </c>
    </row>
    <row r="7">
      <c r="A7" t="inlineStr">
        <is>
          <t>SO801-T0-06</t>
        </is>
      </c>
      <c r="C7" t="inlineStr">
        <is>
          <t>BUŇKY SKLADY</t>
        </is>
      </c>
      <c r="D7" t="inlineStr">
        <is>
          <t>PRONÁJEM (nářadí, drobný materiál)</t>
        </is>
      </c>
      <c r="E7" t="inlineStr">
        <is>
          <t>KS-MES</t>
        </is>
      </c>
      <c r="F7" t="n">
        <v>11</v>
      </c>
      <c r="G7" t="inlineStr">
        <is>
          <t>1 × 11 × 1 500 = 16 500 Kč</t>
        </is>
      </c>
      <c r="H7" t="n">
        <v>1500</v>
      </c>
      <c r="I7" t="n">
        <v>16500</v>
      </c>
      <c r="J7" t="n">
        <v>0.85</v>
      </c>
      <c r="K7" t="inlineStr">
        <is>
          <t>d6_template_scaled</t>
        </is>
      </c>
    </row>
    <row r="8">
      <c r="A8" t="inlineStr">
        <is>
          <t>SO801-T0-07</t>
        </is>
      </c>
      <c r="C8" t="inlineStr">
        <is>
          <t>SCHODIŠTĚ K BUŇKOVIŠTI</t>
        </is>
      </c>
      <c r="D8" t="inlineStr"/>
      <c r="E8" t="inlineStr">
        <is>
          <t>KPL</t>
        </is>
      </c>
      <c r="F8" t="n">
        <v>1</v>
      </c>
      <c r="G8" t="inlineStr">
        <is>
          <t>1 × 8 000 = 8 000 Kč</t>
        </is>
      </c>
      <c r="H8" t="n">
        <v>8000</v>
      </c>
      <c r="I8" t="n">
        <v>8000</v>
      </c>
      <c r="J8" t="n">
        <v>0.85</v>
      </c>
      <c r="K8" t="inlineStr">
        <is>
          <t>d6_template_scaled</t>
        </is>
      </c>
    </row>
    <row r="9">
      <c r="A9" t="inlineStr">
        <is>
          <t>SO801-T0-08</t>
        </is>
      </c>
      <c r="C9" t="inlineStr">
        <is>
          <t>DOPRAVA BUNĚK NA / ZE STAVENIŠTĚ</t>
        </is>
      </c>
      <c r="D9" t="inlineStr"/>
      <c r="E9" t="inlineStr">
        <is>
          <t>CESTA</t>
        </is>
      </c>
      <c r="F9" t="n">
        <v>2</v>
      </c>
      <c r="G9" t="inlineStr">
        <is>
          <t>2 × 4 400 = 8 800 Kč</t>
        </is>
      </c>
      <c r="H9" t="n">
        <v>4400</v>
      </c>
      <c r="I9" t="n">
        <v>8800</v>
      </c>
      <c r="J9" t="n">
        <v>0.85</v>
      </c>
      <c r="K9" t="inlineStr">
        <is>
          <t>kfely_mostovy_benchmark</t>
        </is>
      </c>
    </row>
    <row r="10">
      <c r="A10" t="inlineStr">
        <is>
          <t>SO801-T0-09</t>
        </is>
      </c>
      <c r="C10" t="inlineStr">
        <is>
          <t>VYBAVENÍ BUNĚK</t>
        </is>
      </c>
      <c r="D10" t="inlineStr">
        <is>
          <t>50 % scale: 1 stůl + 4 židle + 1 skříň + 0.25 kopírka A3</t>
        </is>
      </c>
      <c r="E10" t="inlineStr">
        <is>
          <t>KPL</t>
        </is>
      </c>
      <c r="F10" t="n">
        <v>1</v>
      </c>
      <c r="G10" t="inlineStr">
        <is>
          <t>0.5 × 84 209 = 42 104.5 → 42 104 Kč</t>
        </is>
      </c>
      <c r="H10" t="n">
        <v>42104</v>
      </c>
      <c r="I10" t="n">
        <v>42104</v>
      </c>
      <c r="J10" t="n">
        <v>0.8</v>
      </c>
      <c r="K10" t="inlineStr">
        <is>
          <t>d6_template_scaled</t>
        </is>
      </c>
    </row>
    <row r="11">
      <c r="A11" t="inlineStr">
        <is>
          <t>SO801-T0-10</t>
        </is>
      </c>
      <c r="C11" t="inlineStr">
        <is>
          <t>WC TOI-TOI</t>
        </is>
      </c>
      <c r="D11" t="inlineStr">
        <is>
          <t>PRONÁJEM (mobilní toalety bez kanalizace)</t>
        </is>
      </c>
      <c r="E11" t="inlineStr">
        <is>
          <t>KS-MES</t>
        </is>
      </c>
      <c r="F11" t="n">
        <v>11</v>
      </c>
      <c r="G11" t="inlineStr">
        <is>
          <t>1 × 11 × 2 400 = 26 400 Kč</t>
        </is>
      </c>
      <c r="H11" t="n">
        <v>2400</v>
      </c>
      <c r="I11" t="n">
        <v>26400</v>
      </c>
      <c r="J11" t="n">
        <v>0.85</v>
      </c>
      <c r="K11" t="inlineStr">
        <is>
          <t>d6_template_scaled</t>
        </is>
      </c>
    </row>
    <row r="12">
      <c r="A12" t="inlineStr">
        <is>
          <t>SO801-T0-11</t>
        </is>
      </c>
      <c r="C12" t="inlineStr">
        <is>
          <t>OPLOCENÍ STAVENIŠTĚ</t>
        </is>
      </c>
      <c r="D12" t="inlineStr">
        <is>
          <t>MONTÁŽ + DEMONTÁŽ (mobilní 2.0 m výška)</t>
        </is>
      </c>
      <c r="E12" t="inlineStr">
        <is>
          <t>M</t>
        </is>
      </c>
      <c r="F12" t="n">
        <v>200</v>
      </c>
      <c r="G12" t="inlineStr">
        <is>
          <t>200 × 48 = 9 600 Kč</t>
        </is>
      </c>
      <c r="H12" t="n">
        <v>48</v>
      </c>
      <c r="I12" t="n">
        <v>9600</v>
      </c>
      <c r="J12" t="n">
        <v>0.75</v>
      </c>
      <c r="K12" t="inlineStr">
        <is>
          <t>d6_template_scaled</t>
        </is>
      </c>
    </row>
    <row r="13">
      <c r="A13" t="inlineStr">
        <is>
          <t>SO801-T0-12</t>
        </is>
      </c>
      <c r="C13" t="inlineStr">
        <is>
          <t>OPLOCENÍ STAVENIŠTĚ</t>
        </is>
      </c>
      <c r="D13" t="inlineStr">
        <is>
          <t>NÁJEM</t>
        </is>
      </c>
      <c r="E13" t="inlineStr">
        <is>
          <t>M-MES</t>
        </is>
      </c>
      <c r="F13" t="n">
        <v>2200</v>
      </c>
      <c r="G13" t="inlineStr">
        <is>
          <t>200 × 11 = 2 200 m·měs; 2 200 × 25 = 55 000 Kč</t>
        </is>
      </c>
      <c r="H13" t="n">
        <v>25</v>
      </c>
      <c r="I13" t="n">
        <v>55000</v>
      </c>
      <c r="J13" t="n">
        <v>0.8</v>
      </c>
      <c r="K13" t="inlineStr">
        <is>
          <t>d6_template_scaled</t>
        </is>
      </c>
    </row>
    <row r="14">
      <c r="A14" t="inlineStr">
        <is>
          <t>SO801-T0-13</t>
        </is>
      </c>
      <c r="C14" t="inlineStr">
        <is>
          <t>REKLAMNÍ / IDENTIFIKAČNÍ CEDULE VELKÁ</t>
        </is>
      </c>
      <c r="D14" t="inlineStr">
        <is>
          <t>POVINNÁ per vyhláška 499/2006 Sb. | POVINNÁ — nelze vynechat</t>
        </is>
      </c>
      <c r="E14" t="inlineStr">
        <is>
          <t>KPL</t>
        </is>
      </c>
      <c r="F14" t="n">
        <v>1</v>
      </c>
      <c r="G14" t="inlineStr">
        <is>
          <t>1 × 75 000 = 75 000 Kč</t>
        </is>
      </c>
      <c r="H14" t="n">
        <v>75000</v>
      </c>
      <c r="I14" t="n">
        <v>75000</v>
      </c>
      <c r="J14" t="n">
        <v>0.9</v>
      </c>
      <c r="K14" t="inlineStr">
        <is>
          <t>d6_template_scaled</t>
        </is>
      </c>
    </row>
    <row r="15">
      <c r="A15" t="inlineStr">
        <is>
          <t>SO801-T0-14</t>
        </is>
      </c>
      <c r="C15" t="inlineStr">
        <is>
          <t>LIKVIDACE ZAŘÍZENÍ STAVENIŠTĚ</t>
        </is>
      </c>
      <c r="D15" t="inlineStr">
        <is>
          <t>po dokončení stavby</t>
        </is>
      </c>
      <c r="E15" t="inlineStr">
        <is>
          <t>KPL</t>
        </is>
      </c>
      <c r="F15" t="n">
        <v>1</v>
      </c>
      <c r="G15" t="inlineStr">
        <is>
          <t>1 × 25 000 = 25 000 Kč</t>
        </is>
      </c>
      <c r="H15" t="n">
        <v>25000</v>
      </c>
      <c r="I15" t="n">
        <v>25000</v>
      </c>
      <c r="J15" t="n">
        <v>0.85</v>
      </c>
      <c r="K15" t="inlineStr">
        <is>
          <t>d6_template_scaled</t>
        </is>
      </c>
    </row>
    <row r="16">
      <c r="A16" t="inlineStr">
        <is>
          <t>SO801-T0-15</t>
        </is>
      </c>
      <c r="C16" t="inlineStr">
        <is>
          <t>OSVĚTLENÍ STAVBY</t>
        </is>
      </c>
      <c r="D16" t="inlineStr">
        <is>
          <t>LED reflektory + sloupy + kabeláž + pohybová čidla</t>
        </is>
      </c>
      <c r="E16" t="inlineStr">
        <is>
          <t>KPL</t>
        </is>
      </c>
      <c r="F16" t="n">
        <v>1</v>
      </c>
      <c r="G16" t="inlineStr">
        <is>
          <t>1 × 130 000 = 130 000 Kč</t>
        </is>
      </c>
      <c r="H16" t="n">
        <v>130000</v>
      </c>
      <c r="I16" t="n">
        <v>130000</v>
      </c>
      <c r="J16" t="n">
        <v>0.8</v>
      </c>
      <c r="K16" t="inlineStr">
        <is>
          <t>d6_template_scaled</t>
        </is>
      </c>
    </row>
    <row r="17">
      <c r="A17" t="inlineStr">
        <is>
          <t>SO801-T0-16</t>
        </is>
      </c>
      <c r="C17" t="inlineStr">
        <is>
          <t>ELEKTROCENTRÁLA PŘENOSNÁ (záložní zdroj</t>
        </is>
      </c>
      <c r="D17" t="inlineStr">
        <is>
          <t>výpadky obecního ČEZ)</t>
        </is>
      </c>
      <c r="E17" t="inlineStr">
        <is>
          <t>KS-MES</t>
        </is>
      </c>
      <c r="F17" t="n">
        <v>11</v>
      </c>
      <c r="G17" t="inlineStr">
        <is>
          <t>1 × 11 × 1 150 = 12 650 Kč</t>
        </is>
      </c>
      <c r="H17" t="n">
        <v>1150</v>
      </c>
      <c r="I17" t="n">
        <v>12650</v>
      </c>
      <c r="J17" t="n">
        <v>0.75</v>
      </c>
      <c r="K17" t="inlineStr">
        <is>
          <t>d6_template_scaled</t>
        </is>
      </c>
    </row>
    <row r="18">
      <c r="A18" t="inlineStr">
        <is>
          <t>SO801-T0-17</t>
        </is>
      </c>
      <c r="C18" t="inlineStr">
        <is>
          <t>ELEKTRICKÁ ENERGIE</t>
        </is>
      </c>
      <c r="D18" t="inlineStr">
        <is>
          <t>SPOTŘEBA GRID (600 kWh/měs × 11 měs × 6.5 Kč/kWh, ČEZ D02 obchod 2026) | REWRITE Session 4: real ČEZ D02 obchod tarif 2026 + 54 % buffer pro záložní generátor PHM. Grid primary (přípojka ZS-18 150k), generátor (ZS-16) jen záložní.</t>
        </is>
      </c>
      <c r="E18" t="inlineStr">
        <is>
          <t>KPL</t>
        </is>
      </c>
      <c r="F18" t="n">
        <v>1</v>
      </c>
      <c r="G18" t="inlineStr">
        <is>
          <t>11 × 600 = 6 600 kWh celkem; 6 600 × 6.5 = 42 900 Kč grid spotřeba; 42 900 × 1.54 = 66 066 ≈ 66 000 Kč (vč. záložního generátoru PHM + DPH + záloh)</t>
        </is>
      </c>
      <c r="H18" t="n">
        <v>66000</v>
      </c>
      <c r="I18" t="n">
        <v>66000</v>
      </c>
      <c r="J18" t="n">
        <v>0.75</v>
      </c>
      <c r="K18" t="inlineStr">
        <is>
          <t>kfely_mostovy_benchmark</t>
        </is>
      </c>
    </row>
    <row r="19">
      <c r="A19" t="inlineStr">
        <is>
          <t>SO801-T0-18</t>
        </is>
      </c>
      <c r="C19" t="inlineStr">
        <is>
          <t>PŘÍPOJKA ELEKTRO (provedení + měřič</t>
        </is>
      </c>
      <c r="D19" t="inlineStr">
        <is>
          <t>Žihle obec ČEZ ~150 m)</t>
        </is>
      </c>
      <c r="E19" t="inlineStr">
        <is>
          <t>KPL</t>
        </is>
      </c>
      <c r="F19" t="n">
        <v>1</v>
      </c>
      <c r="G19" t="inlineStr">
        <is>
          <t>150 × 1 000 = 150 000 Kč</t>
        </is>
      </c>
      <c r="H19" t="n">
        <v>150000</v>
      </c>
      <c r="I19" t="n">
        <v>150000</v>
      </c>
      <c r="J19" t="n">
        <v>0.7</v>
      </c>
      <c r="K19" t="inlineStr">
        <is>
          <t>d6_template_scaled</t>
        </is>
      </c>
    </row>
    <row r="20">
      <c r="A20" t="inlineStr">
        <is>
          <t>SO801-T0-19</t>
        </is>
      </c>
      <c r="C20" t="inlineStr">
        <is>
          <t>PŘÍPOJKA VODY (přípojka + měřič</t>
        </is>
      </c>
      <c r="D20" t="inlineStr">
        <is>
          <t>vodovod přes obec)</t>
        </is>
      </c>
      <c r="E20" t="inlineStr">
        <is>
          <t>KPL</t>
        </is>
      </c>
      <c r="F20" t="n">
        <v>1</v>
      </c>
      <c r="G20" t="inlineStr">
        <is>
          <t>1 × 50 000 = 50 000 Kč</t>
        </is>
      </c>
      <c r="H20" t="n">
        <v>50000</v>
      </c>
      <c r="I20" t="n">
        <v>50000</v>
      </c>
      <c r="J20" t="n">
        <v>0.75</v>
      </c>
      <c r="K20" t="inlineStr">
        <is>
          <t>d6_template_scaled</t>
        </is>
      </c>
    </row>
    <row r="21">
      <c r="A21" t="inlineStr">
        <is>
          <t>SO801-T0-20</t>
        </is>
      </c>
      <c r="C21" t="inlineStr">
        <is>
          <t>UŽITKOVÁ VODA</t>
        </is>
      </c>
      <c r="D21" t="inlineStr">
        <is>
          <t>SPOTŘEBA (sociální + technická)</t>
        </is>
      </c>
      <c r="E21" t="inlineStr">
        <is>
          <t>MES</t>
        </is>
      </c>
      <c r="F21" t="n">
        <v>11</v>
      </c>
      <c r="G21" t="inlineStr">
        <is>
          <t>11 × 3 500 = 38 500 Kč</t>
        </is>
      </c>
      <c r="H21" t="n">
        <v>3500</v>
      </c>
      <c r="I21" t="n">
        <v>38500</v>
      </c>
      <c r="J21" t="n">
        <v>0.8</v>
      </c>
      <c r="K21" t="inlineStr">
        <is>
          <t>d6_template_scaled</t>
        </is>
      </c>
    </row>
    <row r="22">
      <c r="A22" t="inlineStr">
        <is>
          <t>SO801-T0-21</t>
        </is>
      </c>
      <c r="C22" t="inlineStr">
        <is>
          <t>ČIŠTĚNÍ KOMUNIKACÍ</t>
        </is>
      </c>
      <c r="D22" t="inlineStr">
        <is>
          <t>MYCÍ LINKA (POVINNÉ per ČSN 73 0212 + zákon o čistotě silnic) | POVINNÉ per ČSN 73 0212 — nelze vynechat</t>
        </is>
      </c>
      <c r="E22" t="inlineStr">
        <is>
          <t>KPL</t>
        </is>
      </c>
      <c r="F22" t="n">
        <v>1</v>
      </c>
      <c r="G22" t="inlineStr">
        <is>
          <t>1 × 105 000 = 105 000 Kč</t>
        </is>
      </c>
      <c r="H22" t="n">
        <v>105000</v>
      </c>
      <c r="I22" t="n">
        <v>105000</v>
      </c>
      <c r="J22" t="n">
        <v>0.85</v>
      </c>
      <c r="K22" t="inlineStr">
        <is>
          <t>d6_template_scaled</t>
        </is>
      </c>
    </row>
    <row r="23">
      <c r="A23" t="inlineStr">
        <is>
          <t>SO801-T0-22</t>
        </is>
      </c>
      <c r="C23" t="inlineStr">
        <is>
          <t>DOPRAVNÍ ZNAČENÍ PO DOBU STAVBY</t>
        </is>
      </c>
      <c r="D23" t="inlineStr">
        <is>
          <t>5 ks DZ + sloupky</t>
        </is>
      </c>
      <c r="E23" t="inlineStr">
        <is>
          <t>KS</t>
        </is>
      </c>
      <c r="F23" t="n">
        <v>5</v>
      </c>
      <c r="G23" t="inlineStr">
        <is>
          <t>5 × 15 000 = 75 000 Kč</t>
        </is>
      </c>
      <c r="H23" t="n">
        <v>15000</v>
      </c>
      <c r="I23" t="n">
        <v>75000</v>
      </c>
      <c r="J23" t="n">
        <v>0.85</v>
      </c>
      <c r="K23" t="inlineStr">
        <is>
          <t>d6_template_scaled</t>
        </is>
      </c>
    </row>
    <row r="24">
      <c r="A24" t="inlineStr">
        <is>
          <t>SO801-T0-23</t>
        </is>
      </c>
      <c r="C24" t="inlineStr">
        <is>
          <t>BOZP ZABEZPEČENÍ STAVBY</t>
        </is>
      </c>
      <c r="D24" t="inlineStr">
        <is>
          <t>zábradlí + záchytné sítě + ohrada nebezpečných míst | ★ POVINNÉ — physical safety equipment (NE koordinátor BOZP — viz VRN-09). RECALIBRATED Session 4: Kfely mostovy benchmark 80k vs D6 highway urban 200k (-120k). Mostovy projekt nemá same density rizik jako urban.</t>
        </is>
      </c>
      <c r="E24" t="inlineStr">
        <is>
          <t>KPL</t>
        </is>
      </c>
      <c r="F24" t="n">
        <v>1</v>
      </c>
      <c r="G24" t="inlineStr">
        <is>
          <t>1 × 80 000 = 80 000 Kč</t>
        </is>
      </c>
      <c r="H24" t="n">
        <v>80000</v>
      </c>
      <c r="I24" t="n">
        <v>80000</v>
      </c>
      <c r="J24" t="n">
        <v>0.9</v>
      </c>
      <c r="K24" t="inlineStr">
        <is>
          <t>kfely_mostovy_benchmark</t>
        </is>
      </c>
    </row>
    <row r="25">
      <c r="A25" t="inlineStr">
        <is>
          <t>SO801-T0-24</t>
        </is>
      </c>
      <c r="C25" t="inlineStr">
        <is>
          <t>ZIMNÍ OPATŘENÍ</t>
        </is>
      </c>
      <c r="D25" t="inlineStr">
        <is>
          <t>ZAKRÝVÁNÍ STAVBY (geotextílie, plachty proti dešti/sněhu)</t>
        </is>
      </c>
      <c r="E25" t="inlineStr">
        <is>
          <t>KPL</t>
        </is>
      </c>
      <c r="F25" t="n">
        <v>1</v>
      </c>
      <c r="G25" t="inlineStr">
        <is>
          <t>1 × 50 000 = 50 000 Kč</t>
        </is>
      </c>
      <c r="H25" t="n">
        <v>50000</v>
      </c>
      <c r="I25" t="n">
        <v>50000</v>
      </c>
      <c r="J25" t="n">
        <v>0.75</v>
      </c>
      <c r="K25" t="inlineStr">
        <is>
          <t>d6_template_scaled</t>
        </is>
      </c>
    </row>
    <row r="26">
      <c r="A26" t="inlineStr">
        <is>
          <t>SO801-T0-25</t>
        </is>
      </c>
      <c r="C26" t="inlineStr">
        <is>
          <t>ZIMNÍ OPATŘENÍ</t>
        </is>
      </c>
      <c r="D26" t="inlineStr">
        <is>
          <t>TEMPEROVÁNÍ BETONU (zahřívání čerstvého betonu C30/37 winter pour)</t>
        </is>
      </c>
      <c r="E26" t="inlineStr">
        <is>
          <t>KPL</t>
        </is>
      </c>
      <c r="F26" t="n">
        <v>1</v>
      </c>
      <c r="G26" t="inlineStr">
        <is>
          <t>1 × 75 000 = 75 000 Kč</t>
        </is>
      </c>
      <c r="H26" t="n">
        <v>75000</v>
      </c>
      <c r="I26" t="n">
        <v>75000</v>
      </c>
      <c r="J26" t="n">
        <v>0.75</v>
      </c>
      <c r="K26" t="inlineStr">
        <is>
          <t>d6_template_scaled</t>
        </is>
      </c>
    </row>
    <row r="27">
      <c r="A27" s="3" t="inlineStr">
        <is>
          <t>SUBTOTAL</t>
        </is>
      </c>
      <c r="I27" s="2" t="n">
        <v>1204854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50" customWidth="1" min="3" max="3"/>
    <col width="50" customWidth="1" min="4" max="4"/>
    <col width="8" customWidth="1" min="5" max="5"/>
    <col width="12" customWidth="1" min="6" max="6"/>
    <col width="28" customWidth="1" min="7" max="7"/>
    <col width="16" customWidth="1" min="8" max="8"/>
    <col width="18" customWidth="1" min="9" max="9"/>
    <col width="12" customWidth="1" min="10" max="10"/>
    <col width="24" customWidth="1" min="11" max="11"/>
  </cols>
  <sheetData>
    <row r="1">
      <c r="A1" s="1" t="inlineStr">
        <is>
          <t>Polozka ID</t>
        </is>
      </c>
      <c r="B1" s="1" t="inlineStr">
        <is>
          <t>OTSKP kód</t>
        </is>
      </c>
      <c r="C1" s="1" t="inlineStr">
        <is>
          <t>OTSKP popis (canonical)</t>
        </is>
      </c>
      <c r="D1" s="1" t="inlineStr">
        <is>
          <t>Naše poznámka</t>
        </is>
      </c>
      <c r="E1" s="1" t="inlineStr">
        <is>
          <t>MJ</t>
        </is>
      </c>
      <c r="F1" s="1" t="inlineStr">
        <is>
          <t>Množství</t>
        </is>
      </c>
      <c r="G1" s="1" t="inlineStr">
        <is>
          <t>Výpočet (formula)</t>
        </is>
      </c>
      <c r="H1" s="1" t="inlineStr">
        <is>
          <t>Jedn. cena (Kč)</t>
        </is>
      </c>
      <c r="I1" s="1" t="inlineStr">
        <is>
          <t>Cena celkem (Kč)</t>
        </is>
      </c>
      <c r="J1" s="1" t="inlineStr">
        <is>
          <t>Confidence</t>
        </is>
      </c>
      <c r="K1" s="1" t="inlineStr">
        <is>
          <t>Source</t>
        </is>
      </c>
    </row>
    <row r="2">
      <c r="A2" t="inlineStr">
        <is>
          <t>PH-01</t>
        </is>
      </c>
      <c r="C2" t="inlineStr">
        <is>
          <t>KRAMER BEZ OBSLUHY + NAFTA</t>
        </is>
      </c>
      <c r="D2" t="inlineStr">
        <is>
          <t>univerzální nakladač pro manipulace v staveništi | Kramer = univerzální. Merlo z D6 ne nutný — Kramer dostatečný pre malou stavbu.</t>
        </is>
      </c>
      <c r="E2" t="inlineStr">
        <is>
          <t>MES</t>
        </is>
      </c>
      <c r="F2" t="n">
        <v>6</v>
      </c>
      <c r="G2" t="inlineStr">
        <is>
          <t>6 × 35 000 = 210 000 Kč</t>
        </is>
      </c>
      <c r="H2" t="n">
        <v>35000</v>
      </c>
      <c r="I2" t="n">
        <v>210000</v>
      </c>
      <c r="J2" t="n">
        <v>0.85</v>
      </c>
      <c r="K2" t="inlineStr">
        <is>
          <t>d6_template_scaled</t>
        </is>
      </c>
    </row>
    <row r="3">
      <c r="A3" t="inlineStr">
        <is>
          <t>PH-02</t>
        </is>
      </c>
      <c r="C3" t="inlineStr">
        <is>
          <t>POMOCNÍ PRACOVNÍCI PŘI PŘESUNECH HMOT</t>
        </is>
      </c>
      <c r="D3" t="inlineStr"/>
      <c r="E3" t="inlineStr">
        <is>
          <t>OSOBA-MES</t>
        </is>
      </c>
      <c r="F3" t="n">
        <v>4</v>
      </c>
      <c r="G3" t="inlineStr">
        <is>
          <t>1 × 4 × 50 000 = 200 000 Kč</t>
        </is>
      </c>
      <c r="H3" t="n">
        <v>50000</v>
      </c>
      <c r="I3" t="n">
        <v>200000</v>
      </c>
      <c r="J3" t="n">
        <v>0.85</v>
      </c>
      <c r="K3" t="inlineStr">
        <is>
          <t>d6_template_scaled</t>
        </is>
      </c>
    </row>
    <row r="4">
      <c r="A4" t="inlineStr">
        <is>
          <t>PH-03</t>
        </is>
      </c>
      <c r="C4" t="inlineStr">
        <is>
          <t>AUTOJEŘÁB S OBSLUHOU</t>
        </is>
      </c>
      <c r="D4" t="inlineStr">
        <is>
          <t>montáž bednění + výztuže + betonáž mostovky | Autojeřáb = mobile crane. NE věžové jeřáby J1/J2/J3 — mostní stavba ne výškové.</t>
        </is>
      </c>
      <c r="E4" t="inlineStr">
        <is>
          <t>HOD</t>
        </is>
      </c>
      <c r="F4" t="n">
        <v>100</v>
      </c>
      <c r="G4" t="inlineStr">
        <is>
          <t>100 × 1 500 = 150 000 Kč</t>
        </is>
      </c>
      <c r="H4" t="n">
        <v>1500</v>
      </c>
      <c r="I4" t="n">
        <v>150000</v>
      </c>
      <c r="J4" t="n">
        <v>0.85</v>
      </c>
      <c r="K4" t="inlineStr">
        <is>
          <t>d6_template_scaled</t>
        </is>
      </c>
    </row>
    <row r="5">
      <c r="A5" s="3" t="inlineStr">
        <is>
          <t>SUBTOTAL</t>
        </is>
      </c>
      <c r="I5" s="2" t="n">
        <v>560000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50" customWidth="1" min="3" max="3"/>
    <col width="50" customWidth="1" min="4" max="4"/>
    <col width="8" customWidth="1" min="5" max="5"/>
    <col width="12" customWidth="1" min="6" max="6"/>
    <col width="28" customWidth="1" min="7" max="7"/>
    <col width="16" customWidth="1" min="8" max="8"/>
    <col width="18" customWidth="1" min="9" max="9"/>
    <col width="12" customWidth="1" min="10" max="10"/>
    <col width="24" customWidth="1" min="11" max="11"/>
  </cols>
  <sheetData>
    <row r="1">
      <c r="A1" s="1" t="inlineStr">
        <is>
          <t>Polozka ID</t>
        </is>
      </c>
      <c r="B1" s="1" t="inlineStr">
        <is>
          <t>OTSKP kód</t>
        </is>
      </c>
      <c r="C1" s="1" t="inlineStr">
        <is>
          <t>OTSKP popis (canonical)</t>
        </is>
      </c>
      <c r="D1" s="1" t="inlineStr">
        <is>
          <t>Naše poznámka</t>
        </is>
      </c>
      <c r="E1" s="1" t="inlineStr">
        <is>
          <t>MJ</t>
        </is>
      </c>
      <c r="F1" s="1" t="inlineStr">
        <is>
          <t>Množství</t>
        </is>
      </c>
      <c r="G1" s="1" t="inlineStr">
        <is>
          <t>Výpočet (formula)</t>
        </is>
      </c>
      <c r="H1" s="1" t="inlineStr">
        <is>
          <t>Jedn. cena (Kč)</t>
        </is>
      </c>
      <c r="I1" s="1" t="inlineStr">
        <is>
          <t>Cena celkem (Kč)</t>
        </is>
      </c>
      <c r="J1" s="1" t="inlineStr">
        <is>
          <t>Confidence</t>
        </is>
      </c>
      <c r="K1" s="1" t="inlineStr">
        <is>
          <t>Source</t>
        </is>
      </c>
    </row>
    <row r="2">
      <c r="A2" t="inlineStr">
        <is>
          <t>VRN-01</t>
        </is>
      </c>
      <c r="C2" t="inlineStr">
        <is>
          <t>STAVBYVEDOUCÍ</t>
        </is>
      </c>
      <c r="D2" t="inlineStr">
        <is>
          <t>část. úvazek 30 % (~12 hod/týden, real CZ market for small mostovy projects) | RECALIBRATED Session 4 — Žihle malý mostovy projekt (10.5M, 11 měs). Full-time polír 90k/měs (D6 highway urban) disproportionate. Kfely I/20 mostovy benchmark + CZ trh 2026 → realistic part-time 30k/měs (delta -165k vs D6</t>
        </is>
      </c>
      <c r="E2" t="inlineStr">
        <is>
          <t>MES</t>
        </is>
      </c>
      <c r="F2" t="n">
        <v>11</v>
      </c>
      <c r="G2" t="inlineStr">
        <is>
          <t>11 × 30 000 = 330 000 Kč</t>
        </is>
      </c>
      <c r="H2" t="n">
        <v>30000</v>
      </c>
      <c r="I2" t="n">
        <v>330000</v>
      </c>
      <c r="J2" t="n">
        <v>0.8</v>
      </c>
      <c r="K2" t="inlineStr">
        <is>
          <t>kfely_mostovy_benchmark</t>
        </is>
      </c>
    </row>
    <row r="3">
      <c r="A3" t="inlineStr">
        <is>
          <t>VRN-02</t>
        </is>
      </c>
      <c r="C3" t="inlineStr">
        <is>
          <t>POJIŠTĚNÍ STAVBY CAR</t>
        </is>
      </c>
      <c r="D3" t="inlineStr">
        <is>
          <t>Contractor's All Risks + odpovědnost za škodu</t>
        </is>
      </c>
      <c r="E3" t="inlineStr">
        <is>
          <t>KPL</t>
        </is>
      </c>
      <c r="F3" t="n">
        <v>1</v>
      </c>
      <c r="G3" t="inlineStr">
        <is>
          <t>10 585 736 × 0.004 = 42 343 Kč</t>
        </is>
      </c>
      <c r="H3" t="n">
        <v>42343</v>
      </c>
      <c r="I3" t="n">
        <v>42343</v>
      </c>
      <c r="J3" t="n">
        <v>0.85</v>
      </c>
      <c r="K3" t="inlineStr">
        <is>
          <t>d6_template_scaled</t>
        </is>
      </c>
    </row>
    <row r="4">
      <c r="A4" t="inlineStr">
        <is>
          <t>VRN-03</t>
        </is>
      </c>
      <c r="C4" t="inlineStr">
        <is>
          <t>GEODET</t>
        </is>
      </c>
      <c r="D4" t="inlineStr">
        <is>
          <t>KONTROLNÍ MĚŘENÍ BĚHEM KONSTRUKCE (continuous oversight) | DUPLICATION CHECK: SO 201 t0 T0-01/T0-02 = most-specific (osy mostu, výchozí + skutečné zaměření). VRN-03 = continuous kontrolní oversight. Different scope.</t>
        </is>
      </c>
      <c r="E4" t="inlineStr">
        <is>
          <t>MES</t>
        </is>
      </c>
      <c r="F4" t="n">
        <v>3</v>
      </c>
      <c r="G4" t="inlineStr">
        <is>
          <t>3 × 30 000 = 90 000 Kč</t>
        </is>
      </c>
      <c r="H4" t="n">
        <v>30000</v>
      </c>
      <c r="I4" t="n">
        <v>90000</v>
      </c>
      <c r="J4" t="n">
        <v>0.8</v>
      </c>
      <c r="K4" t="inlineStr">
        <is>
          <t>d6_template_scaled</t>
        </is>
      </c>
    </row>
    <row r="5">
      <c r="A5" t="inlineStr">
        <is>
          <t>VRN-04</t>
        </is>
      </c>
      <c r="C5" t="inlineStr">
        <is>
          <t>GEOMETRICKÝ PLÁN</t>
        </is>
      </c>
      <c r="D5" t="inlineStr">
        <is>
          <t>kolaudační podklad pre KÚ</t>
        </is>
      </c>
      <c r="E5" t="inlineStr">
        <is>
          <t>KPL</t>
        </is>
      </c>
      <c r="F5" t="n">
        <v>1</v>
      </c>
      <c r="G5" t="inlineStr">
        <is>
          <t>1 × 45 000 = 45 000 Kč</t>
        </is>
      </c>
      <c r="H5" t="n">
        <v>45000</v>
      </c>
      <c r="I5" t="n">
        <v>45000</v>
      </c>
      <c r="J5" t="n">
        <v>0.85</v>
      </c>
      <c r="K5" t="inlineStr">
        <is>
          <t>d6_template_scaled</t>
        </is>
      </c>
    </row>
    <row r="6">
      <c r="A6" t="inlineStr">
        <is>
          <t>VRN-05</t>
        </is>
      </c>
      <c r="C6" t="inlineStr">
        <is>
          <t>DIO</t>
        </is>
      </c>
      <c r="D6" t="inlineStr">
        <is>
          <t>DOPRAVNĚ INŽENÝRSKÉ OPATŘENÍ (komunikace + přípojky stavby) | DUPLICATION CHECK: SO 180 T0-10 = DIO **provizorium-specific** (50k). VRN-05 = DIO **stavby-celkově** (sítě + přípojky stavebnické). Different scope.</t>
        </is>
      </c>
      <c r="E6" t="inlineStr">
        <is>
          <t>KPL</t>
        </is>
      </c>
      <c r="F6" t="n">
        <v>1</v>
      </c>
      <c r="G6" t="inlineStr">
        <is>
          <t>1 × 100 000 = 100 000 Kč</t>
        </is>
      </c>
      <c r="H6" t="n">
        <v>100000</v>
      </c>
      <c r="I6" t="n">
        <v>100000</v>
      </c>
      <c r="J6" t="n">
        <v>0.8</v>
      </c>
      <c r="K6" t="inlineStr">
        <is>
          <t>d6_template_scaled</t>
        </is>
      </c>
    </row>
    <row r="7">
      <c r="A7" t="inlineStr">
        <is>
          <t>VRN-06</t>
        </is>
      </c>
      <c r="C7" t="inlineStr">
        <is>
          <t>MIMOSTAVENIČNÍ DOPRAVA MATERIÁLŮ</t>
        </is>
      </c>
      <c r="D7" t="inlineStr">
        <is>
          <t>transport mimo bezprostřední staveniště | Recalibrated 1.0 % → 0.5 % conservative. Pokud zhotovitel zvolí vzdálenějšího vendora, doprava může vzrůst na 1.5-2 %.</t>
        </is>
      </c>
      <c r="E7" t="inlineStr">
        <is>
          <t>KPL</t>
        </is>
      </c>
      <c r="F7" t="n">
        <v>1</v>
      </c>
      <c r="G7" t="inlineStr">
        <is>
          <t>10 585 736 × 0.005 = 52 928.68 → 52 929 Kč</t>
        </is>
      </c>
      <c r="H7" t="n">
        <v>52929</v>
      </c>
      <c r="I7" t="n">
        <v>52929</v>
      </c>
      <c r="J7" t="n">
        <v>0.75</v>
      </c>
      <c r="K7" t="inlineStr">
        <is>
          <t>d6_template_scaled</t>
        </is>
      </c>
    </row>
    <row r="8">
      <c r="A8" t="inlineStr">
        <is>
          <t>VRN-07</t>
        </is>
      </c>
      <c r="C8" t="inlineStr">
        <is>
          <t>ZÁVĚREČNÝ ÚKLID VENKOVNÍ</t>
        </is>
      </c>
      <c r="D8" t="inlineStr">
        <is>
          <t>zábor + okolní pozemky</t>
        </is>
      </c>
      <c r="E8" t="inlineStr">
        <is>
          <t>M2</t>
        </is>
      </c>
      <c r="F8" t="n">
        <v>1000</v>
      </c>
      <c r="G8" t="inlineStr">
        <is>
          <t>1 000 × 35 = 35 000 Kč</t>
        </is>
      </c>
      <c r="H8" t="n">
        <v>35</v>
      </c>
      <c r="I8" t="n">
        <v>35000</v>
      </c>
      <c r="J8" t="n">
        <v>0.85</v>
      </c>
      <c r="K8" t="inlineStr">
        <is>
          <t>d6_template_scaled</t>
        </is>
      </c>
    </row>
    <row r="9">
      <c r="A9" t="inlineStr">
        <is>
          <t>VRN-08</t>
        </is>
      </c>
      <c r="C9" t="inlineStr">
        <is>
          <t>FOTODOKUMENTACE STAVBY</t>
        </is>
      </c>
      <c r="D9" t="inlineStr">
        <is>
          <t>3 etapy: před / během / po</t>
        </is>
      </c>
      <c r="E9" t="inlineStr">
        <is>
          <t>ETAPA</t>
        </is>
      </c>
      <c r="F9" t="n">
        <v>3</v>
      </c>
      <c r="G9" t="inlineStr">
        <is>
          <t>3 × 15 000 = 45 000 Kč</t>
        </is>
      </c>
      <c r="H9" t="n">
        <v>15000</v>
      </c>
      <c r="I9" t="n">
        <v>45000</v>
      </c>
      <c r="J9" t="n">
        <v>0.85</v>
      </c>
      <c r="K9" t="inlineStr">
        <is>
          <t>d6_template_scaled</t>
        </is>
      </c>
    </row>
    <row r="10">
      <c r="A10" t="inlineStr">
        <is>
          <t>VRN-09</t>
        </is>
      </c>
      <c r="C10" t="inlineStr">
        <is>
          <t>KOORDINÁTOR BOZP (povinný per zákon 309/2006 Sb. § 14</t>
        </is>
      </c>
      <c r="D10" t="inlineStr">
        <is>
          <t>staveniště s více zhotoviteli) | ★ POVINNÉ per zákon 309/2006 Sb. § 14 (staveniště s více zhotoviteli — vendor TMS + D&amp;B + subkontraktoři). Oddělené od SO 801 T0-23 BOZP zabezpečení (physical safety equipment 200k). VRN-09 = legal coordinator.</t>
        </is>
      </c>
      <c r="E10" t="inlineStr">
        <is>
          <t>MES</t>
        </is>
      </c>
      <c r="F10" t="n">
        <v>11</v>
      </c>
      <c r="G10" t="inlineStr">
        <is>
          <t>11 × 8 000 = 88 000 Kč</t>
        </is>
      </c>
      <c r="H10" t="n">
        <v>8000</v>
      </c>
      <c r="I10" t="n">
        <v>88000</v>
      </c>
      <c r="J10" t="n">
        <v>0.9</v>
      </c>
      <c r="K10" t="inlineStr">
        <is>
          <t>d6_template_scaled</t>
        </is>
      </c>
    </row>
    <row r="11">
      <c r="A11" t="inlineStr">
        <is>
          <t>VRN-10</t>
        </is>
      </c>
      <c r="C11" t="inlineStr">
        <is>
          <t>SPRÁVNÍ POPLATKY + AUTORIZOVANÝ INŽENÝR V PROCESU</t>
        </is>
      </c>
      <c r="D11" t="inlineStr">
        <is>
          <t>stavební povolení, kolaudace, AI | AI v procesu = formal participation v stavebním řízení. Different from SO 201 t0 T0-09 (autorský dozor during stavby — quality control).</t>
        </is>
      </c>
      <c r="E11" t="inlineStr">
        <is>
          <t>KPL</t>
        </is>
      </c>
      <c r="F11" t="n">
        <v>1</v>
      </c>
      <c r="G11" t="inlineStr">
        <is>
          <t>10 000 + 8 000 + 5 000 + 27 000 = 50 000 Kč</t>
        </is>
      </c>
      <c r="H11" t="n">
        <v>50000</v>
      </c>
      <c r="I11" t="n">
        <v>50000</v>
      </c>
      <c r="J11" t="n">
        <v>0.85</v>
      </c>
      <c r="K11" t="inlineStr">
        <is>
          <t>d6_template_scaled</t>
        </is>
      </c>
    </row>
    <row r="12">
      <c r="A12" t="inlineStr">
        <is>
          <t>VRN-11</t>
        </is>
      </c>
      <c r="C12" t="inlineStr">
        <is>
          <t>KOORDINAČNÍ DOKUMENTACE + VYJÁDŘENÍ DOSS</t>
        </is>
      </c>
      <c r="D12" t="inlineStr">
        <is>
          <t>revize TZ + koordinace SO + dotčené orgány | DUPLICATION CHECK: SO 201 t0 T0-05 RDS (300k) + T0-06 DSPS (80k) řeší TVŮRČÍ dokumentaci konkrétního mostu. VRN-11 = KOORDINAČNÍ overhead mezi SO + vyjádření DOSS (administrativní). RDS/DSPS/dílenská documentation REMOVED z VRN per no-work-duplication aud</t>
        </is>
      </c>
      <c r="E12" t="inlineStr">
        <is>
          <t>KPL</t>
        </is>
      </c>
      <c r="F12" t="n">
        <v>1</v>
      </c>
      <c r="G12" t="inlineStr">
        <is>
          <t>12 000 + 8 000 + 10 000 = 30 000 Kč</t>
        </is>
      </c>
      <c r="H12" t="n">
        <v>30000</v>
      </c>
      <c r="I12" t="n">
        <v>30000</v>
      </c>
      <c r="J12" t="n">
        <v>0.8</v>
      </c>
      <c r="K12" t="inlineStr">
        <is>
          <t>d6_template_scaled</t>
        </is>
      </c>
    </row>
    <row r="13">
      <c r="A13" t="inlineStr">
        <is>
          <t>VRN-12</t>
        </is>
      </c>
      <c r="C13" t="inlineStr">
        <is>
          <t>POJIŠTĚNÍ ODPOVĚDNOSTI ZA ŠKODU TŘETÍM OSOBÁM</t>
        </is>
      </c>
      <c r="D13" t="inlineStr">
        <is>
          <t>dodatkové k CAR</t>
        </is>
      </c>
      <c r="E13" t="inlineStr">
        <is>
          <t>KPL</t>
        </is>
      </c>
      <c r="F13" t="n">
        <v>1</v>
      </c>
      <c r="G13" t="inlineStr">
        <is>
          <t>1 × 18 000 = 18 000 Kč</t>
        </is>
      </c>
      <c r="H13" t="n">
        <v>18000</v>
      </c>
      <c r="I13" t="n">
        <v>18000</v>
      </c>
      <c r="J13" t="n">
        <v>0.75</v>
      </c>
      <c r="K13" t="inlineStr">
        <is>
          <t>d6_template_scaled</t>
        </is>
      </c>
    </row>
    <row r="14">
      <c r="A14" t="inlineStr">
        <is>
          <t>VRN-13</t>
        </is>
      </c>
      <c r="C14" t="inlineStr">
        <is>
          <t>POVODÍ VLTAVY VYJÁDŘENÍ + VODOPRÁVNÍ SOUHLAS</t>
        </is>
      </c>
      <c r="D14" t="inlineStr">
        <is>
          <t>Mladotický potok | ★ Žihle-specific — Povodí Vltavy souhlas P0 BLOCKER (parcels 1836, 385/13 — Mladotický potok). Pokrývá process získání souhlasu pro SO 001 T9-09/10 + SO 201 T4-08/T9-18 scope (~173k položek).</t>
        </is>
      </c>
      <c r="E14" t="inlineStr">
        <is>
          <t>KPL</t>
        </is>
      </c>
      <c r="F14" t="n">
        <v>1</v>
      </c>
      <c r="G14" t="inlineStr">
        <is>
          <t>8 000 + 6 000 + 3 000 = 17 000 Kč</t>
        </is>
      </c>
      <c r="H14" t="n">
        <v>17000</v>
      </c>
      <c r="I14" t="n">
        <v>17000</v>
      </c>
      <c r="J14" t="n">
        <v>0.7</v>
      </c>
      <c r="K14" t="inlineStr">
        <is>
          <t>d6_template_scaled</t>
        </is>
      </c>
    </row>
    <row r="15">
      <c r="A15" s="3" t="inlineStr">
        <is>
          <t>SUBTOTAL</t>
        </is>
      </c>
      <c r="I15" s="2" t="n">
        <v>943272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0" customWidth="1" min="1" max="1"/>
    <col width="35" customWidth="1" min="2" max="2"/>
    <col width="18" customWidth="1" min="3" max="3"/>
    <col width="35" customWidth="1" min="4" max="4"/>
    <col width="50" customWidth="1" min="5" max="5"/>
  </cols>
  <sheetData>
    <row r="1">
      <c r="A1" s="1" t="inlineStr">
        <is>
          <t>SO</t>
        </is>
      </c>
      <c r="B1" s="1" t="inlineStr">
        <is>
          <t>Název</t>
        </is>
      </c>
      <c r="C1" s="1" t="inlineStr">
        <is>
          <t>Doba dní (Phase C)</t>
        </is>
      </c>
      <c r="D1" s="1" t="inlineStr">
        <is>
          <t>Etapa</t>
        </is>
      </c>
      <c r="E1" s="1" t="inlineStr">
        <is>
          <t>Poznámka</t>
        </is>
      </c>
    </row>
    <row r="2">
      <c r="A2" t="inlineStr">
        <is>
          <t>SO_001</t>
        </is>
      </c>
      <c r="B2" t="inlineStr">
        <is>
          <t>Demolice stávajícího mostu</t>
        </is>
      </c>
      <c r="C2" t="n">
        <v>45</v>
      </c>
      <c r="D2" t="inlineStr">
        <is>
          <t>Etapa 1 — demolice + výkop jámy</t>
        </is>
      </c>
      <c r="E2" t="inlineStr">
        <is>
          <t>Měsíce 1-2 (45 dní); předchází SO 201</t>
        </is>
      </c>
    </row>
    <row r="3">
      <c r="A3" t="inlineStr">
        <is>
          <t>SO_180</t>
        </is>
      </c>
      <c r="B3" t="inlineStr">
        <is>
          <t>Mostní provizorium + objízdná trasa</t>
        </is>
      </c>
      <c r="C3" t="n">
        <v>30</v>
      </c>
      <c r="D3" t="inlineStr">
        <is>
          <t>Etapa 0/1 — paralelně se SO 001</t>
        </is>
      </c>
      <c r="E3" t="inlineStr">
        <is>
          <t>Měsíce 1 (setup); provoz 6 měsíců</t>
        </is>
      </c>
    </row>
    <row r="4">
      <c r="A4" t="inlineStr">
        <is>
          <t>SO_201</t>
        </is>
      </c>
      <c r="B4" t="inlineStr">
        <is>
          <t>Most ev.č. 2062-1</t>
        </is>
      </c>
      <c r="C4" t="n">
        <v>135</v>
      </c>
      <c r="D4" t="inlineStr">
        <is>
          <t>Etapa 2 — výstavba NK mostu</t>
        </is>
      </c>
      <c r="E4" t="inlineStr">
        <is>
          <t>Měsíce 3-6 (135 dní); 4.5 měs</t>
        </is>
      </c>
    </row>
    <row r="5">
      <c r="A5" t="inlineStr">
        <is>
          <t>SO_290</t>
        </is>
      </c>
      <c r="B5" t="inlineStr">
        <is>
          <t>Silnice III/206 2 (návaznosti)</t>
        </is>
      </c>
      <c r="C5" t="n">
        <v>25</v>
      </c>
      <c r="D5" t="inlineStr">
        <is>
          <t>Etapa 3 — silnice (po SO 201)</t>
        </is>
      </c>
      <c r="E5" t="inlineStr">
        <is>
          <t>Měsíc 7 (25 dní)</t>
        </is>
      </c>
    </row>
    <row r="6">
      <c r="A6" t="inlineStr">
        <is>
          <t>SO_801</t>
        </is>
      </c>
      <c r="B6" t="inlineStr">
        <is>
          <t>Zařízení staveniště (detailní)</t>
        </is>
      </c>
      <c r="C6" t="n">
        <v>330</v>
      </c>
      <c r="D6" t="inlineStr">
        <is>
          <t>Paralelně po celou dobu</t>
        </is>
      </c>
      <c r="E6" t="inlineStr">
        <is>
          <t>11 měs aktivní staveniště</t>
        </is>
      </c>
    </row>
    <row r="7">
      <c r="A7" t="inlineStr">
        <is>
          <t>PRESUN_HMOT</t>
        </is>
      </c>
      <c r="B7" t="inlineStr">
        <is>
          <t>Přesun hmot stavby</t>
        </is>
      </c>
      <c r="C7" t="n">
        <v>180</v>
      </c>
      <c r="D7" t="inlineStr">
        <is>
          <t>Paralelně s konstrukcí</t>
        </is>
      </c>
      <c r="E7" t="inlineStr">
        <is>
          <t>6 měs konstrukce NK + pomocné</t>
        </is>
      </c>
    </row>
    <row r="8">
      <c r="A8" t="inlineStr">
        <is>
          <t>VRN</t>
        </is>
      </c>
      <c r="B8" t="inlineStr">
        <is>
          <t>Vedlejší rozpočtové náklady</t>
        </is>
      </c>
      <c r="C8" t="n">
        <v>330</v>
      </c>
      <c r="D8" t="inlineStr">
        <is>
          <t>Paralelně po celou dobu</t>
        </is>
      </c>
      <c r="E8" t="inlineStr">
        <is>
          <t>11 měs administrativa + dozory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2026-05-07T16:03:48Z</dcterms:created>
  <dcterms:modified xsi:type="dcterms:W3CDTF">2026-05-07T16:03:48Z</dcterms:modified>
</cp:coreProperties>
</file>
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/>
  <workbookPr/>
  <mc:AlternateContent xmlns:mc="http://schemas.openxmlformats.org/markup-compatibility/2006">
    <mc:Choice Requires="x15">
      <x15ac:absPath xmlns:x15ac="http://schemas.microsoft.com/office/spreadsheetml/2010/11/ac" url="/Users/ladislav/Documents/nabídky 2026/Berger Bohemia/"/>
    </mc:Choice>
  </mc:AlternateContent>
  <xr:revisionPtr revIDLastSave="0" documentId="8_{41DE8854-64A7-2445-8372-9F5188AEC2D2}" xr6:coauthVersionLast="47" xr6:coauthVersionMax="47" xr10:uidLastSave="{00000000-0000-0000-0000-000000000000}"/>
  <bookViews>
    <workbookView xWindow="0" yWindow="580" windowWidth="25600" windowHeight="14580" tabRatio="500" xr2:uid="{00000000-000D-0000-FFFF-FFFF00000000}"/>
  </bookViews>
  <sheets>
    <sheet name="CENOVÁ NABÍDKA" sheetId="1" r:id="rId1"/>
  </sheets>
  <externalReferences>
    <externalReference r:id="rId2"/>
    <externalReference r:id="rId3"/>
  </externalReferences>
  <definedNames>
    <definedName name="C_faktury">'[1]6-Faktura'!$M$7</definedName>
    <definedName name="cisloobjektu">'[2]Krycí list'!$A$4</definedName>
    <definedName name="cislostavby">'[2]Krycí list'!$A$6</definedName>
    <definedName name="Fin_Phare">'[1]3-Projekt'!$K$11</definedName>
    <definedName name="Fin_Zad">'[1]3-Projekt'!$L$11</definedName>
    <definedName name="Kody_proj">'[1]3-Projekt'!$C$11</definedName>
    <definedName name="Kody_zeme">'[1]3-Projekt'!$D$11</definedName>
    <definedName name="nazevobjektu">'[2]Krycí list'!$C$4</definedName>
    <definedName name="nazevstavby">'[2]Krycí list'!$C$6</definedName>
    <definedName name="Nazvy_proj">'[1]3-Projekt'!$E$11</definedName>
    <definedName name="_xlnm.Print_Titles" localSheetId="0">'CENOVÁ NABÍDKA'!$8:$9</definedName>
    <definedName name="_xlnm.Print_Area" localSheetId="0">'CENOVÁ NABÍDKA'!$A$1:$N$55</definedName>
    <definedName name="Ukonc_Phare">'[1]3-Projekt'!$R$11</definedName>
    <definedName name="Ukonc_vyst">'[1]3-Projekt'!$Q$11</definedName>
    <definedName name="Zahaj_vyst">'[1]3-Projekt'!$P$11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17" i="1" l="1"/>
  <c r="J15" i="1"/>
  <c r="H16" i="1"/>
  <c r="J16" i="1" s="1"/>
  <c r="P57" i="1"/>
  <c r="N17" i="1"/>
  <c r="L17" i="1"/>
  <c r="XFD10" i="1"/>
</calcChain>
</file>

<file path=xl/sharedStrings.xml><?xml version="1.0" encoding="utf-8"?>
<sst xmlns="http://schemas.openxmlformats.org/spreadsheetml/2006/main" count="27" uniqueCount="24">
  <si>
    <t xml:space="preserve">Název stavby:     </t>
  </si>
  <si>
    <t>ke zjišťovacímu protokolu č.</t>
  </si>
  <si>
    <t>1</t>
  </si>
  <si>
    <t xml:space="preserve">Název objektu:     </t>
  </si>
  <si>
    <t xml:space="preserve">Od počátku </t>
  </si>
  <si>
    <t>Zbývá</t>
  </si>
  <si>
    <t>Poř. č.</t>
  </si>
  <si>
    <t xml:space="preserve"> Popis položky</t>
  </si>
  <si>
    <t>M.j.</t>
  </si>
  <si>
    <t>cena celkem( Kč )</t>
  </si>
  <si>
    <t>množství</t>
  </si>
  <si>
    <t>čerpáno ( Kč )</t>
  </si>
  <si>
    <t>Celkem  bez  DPH</t>
  </si>
  <si>
    <r>
      <t xml:space="preserve">Fakturované období : </t>
    </r>
    <r>
      <rPr>
        <b/>
        <sz val="12"/>
        <color rgb="FF000000"/>
        <rFont val="Arial"/>
        <family val="2"/>
        <charset val="238"/>
      </rPr>
      <t xml:space="preserve">                                       </t>
    </r>
  </si>
  <si>
    <t>kpl</t>
  </si>
  <si>
    <t>celková cena bez DPH</t>
  </si>
  <si>
    <t>jednotková cena</t>
  </si>
  <si>
    <r>
      <t xml:space="preserve">                  </t>
    </r>
    <r>
      <rPr>
        <b/>
        <sz val="11"/>
        <color rgb="FF000000"/>
        <rFont val="Arial"/>
        <family val="2"/>
        <charset val="238"/>
      </rPr>
      <t xml:space="preserve">                           </t>
    </r>
    <r>
      <rPr>
        <sz val="11"/>
        <color rgb="FF000000"/>
        <rFont val="Arial"/>
        <family val="2"/>
        <charset val="238"/>
      </rPr>
      <t xml:space="preserve">  </t>
    </r>
  </si>
  <si>
    <t>zpracování projektové dokumentace</t>
  </si>
  <si>
    <t>most ev. Číslo 2062-1</t>
  </si>
  <si>
    <t>Cenová nabídka</t>
  </si>
  <si>
    <t>zajištění DIO</t>
  </si>
  <si>
    <t>ks</t>
  </si>
  <si>
    <t>počet dnů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</si>
</sst>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\ _K_č;[Red]\-#,##0\ _K_č"/>
    <numFmt numFmtId="165" formatCode="#,##0.00\ _K_č;[Red]\-#,##0.00\ _K_č"/>
    <numFmt numFmtId="166" formatCode="d/m/yyyy"/>
    <numFmt numFmtId="167" formatCode="#,##0.00_ ;[Red]\-#,##0.00\ "/>
    <numFmt numFmtId="168" formatCode="#,##0\ _K_č;\-#,##0\ _K_č"/>
    <numFmt numFmtId="169" formatCode="#,##0.00\ _K_č;\-#,##0.00\ _K_č"/>
    <numFmt numFmtId="170" formatCode="#,##0.00\ &quot;Kč&quot;"/>
  </numFmts>
  <fonts count="39">
    <font>
      <sz val="12"/>
      <name val="Times New Roman CE"/>
      <charset val="238"/>
    </font>
    <font>
      <sz val="8"/>
      <color rgb="FF000000"/>
      <name val="HelveticaNewE"/>
      <family val="5"/>
      <charset val="1"/>
    </font>
    <font>
      <sz val="10"/>
      <name val="Arial CE"/>
      <family val="2"/>
      <charset val="238"/>
    </font>
    <font>
      <sz val="11"/>
      <name val="Arial CE"/>
      <family val="2"/>
      <charset val="238"/>
    </font>
    <font>
      <sz val="8"/>
      <name val="Trebuchet MS"/>
      <family val="2"/>
      <charset val="1"/>
    </font>
    <font>
      <sz val="10"/>
      <name val="Arial CE"/>
      <charset val="238"/>
    </font>
    <font>
      <sz val="11"/>
      <name val="Arial CE"/>
      <charset val="1"/>
    </font>
    <font>
      <b/>
      <sz val="18"/>
      <name val="Arial"/>
      <family val="2"/>
      <charset val="238"/>
    </font>
    <font>
      <b/>
      <sz val="14"/>
      <name val="Times New Roman"/>
      <family val="1"/>
      <charset val="238"/>
    </font>
    <font>
      <sz val="10"/>
      <name val="Times New Roman"/>
      <family val="1"/>
      <charset val="238"/>
    </font>
    <font>
      <sz val="12"/>
      <name val="Arial"/>
      <family val="2"/>
      <charset val="238"/>
    </font>
    <font>
      <b/>
      <sz val="14"/>
      <name val="Arial"/>
      <family val="2"/>
      <charset val="238"/>
    </font>
    <font>
      <b/>
      <sz val="12"/>
      <name val="Arial"/>
      <family val="2"/>
      <charset val="238"/>
    </font>
    <font>
      <b/>
      <sz val="10"/>
      <name val="Times New Roman"/>
      <family val="1"/>
      <charset val="238"/>
    </font>
    <font>
      <b/>
      <sz val="12"/>
      <name val="Times New Roman"/>
      <family val="1"/>
      <charset val="238"/>
    </font>
    <font>
      <sz val="8"/>
      <color rgb="FF000000"/>
      <name val="Times New Roman"/>
      <family val="1"/>
      <charset val="238"/>
    </font>
    <font>
      <b/>
      <sz val="11"/>
      <name val="Arial"/>
      <family val="2"/>
      <charset val="238"/>
    </font>
    <font>
      <sz val="11"/>
      <name val="Times New Roman"/>
      <family val="1"/>
      <charset val="238"/>
    </font>
    <font>
      <b/>
      <sz val="11"/>
      <name val="Times New Roman"/>
      <family val="1"/>
      <charset val="238"/>
    </font>
    <font>
      <sz val="12"/>
      <color rgb="FF000000"/>
      <name val="Arial"/>
      <family val="2"/>
      <charset val="238"/>
    </font>
    <font>
      <b/>
      <sz val="12"/>
      <color rgb="FF000000"/>
      <name val="Arial"/>
      <family val="2"/>
      <charset val="238"/>
    </font>
    <font>
      <sz val="11"/>
      <color rgb="FF000000"/>
      <name val="Arial"/>
      <family val="2"/>
      <charset val="238"/>
    </font>
    <font>
      <b/>
      <sz val="11"/>
      <color rgb="FF000000"/>
      <name val="Arial"/>
      <family val="2"/>
      <charset val="238"/>
    </font>
    <font>
      <sz val="9"/>
      <name val="Times New Roman"/>
      <family val="1"/>
      <charset val="238"/>
    </font>
    <font>
      <sz val="10"/>
      <name val="Arial"/>
      <family val="2"/>
      <charset val="238"/>
    </font>
    <font>
      <sz val="10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z val="11"/>
      <name val="Arial"/>
      <family val="2"/>
      <charset val="238"/>
    </font>
    <font>
      <b/>
      <sz val="11"/>
      <name val="Arial CE"/>
      <charset val="238"/>
    </font>
    <font>
      <sz val="12"/>
      <name val="Times New Roman CE"/>
      <charset val="238"/>
    </font>
    <font>
      <b/>
      <sz val="16"/>
      <name val="Arial"/>
      <family val="2"/>
      <charset val="238"/>
    </font>
    <font>
      <b/>
      <sz val="20"/>
      <color rgb="FF000000"/>
      <name val="Arial"/>
      <family val="2"/>
      <charset val="238"/>
    </font>
    <font>
      <sz val="16"/>
      <name val="Arial"/>
      <family val="2"/>
      <charset val="238"/>
    </font>
    <font>
      <b/>
      <sz val="10"/>
      <name val="Arial"/>
      <family val="2"/>
      <charset val="238"/>
    </font>
    <font>
      <b/>
      <sz val="8"/>
      <name val="Arial"/>
      <family val="2"/>
      <charset val="238"/>
    </font>
    <font>
      <sz val="9"/>
      <name val="Arial"/>
      <family val="2"/>
      <charset val="238"/>
    </font>
    <font>
      <b/>
      <u/>
      <sz val="11"/>
      <color rgb="FFFF0000"/>
      <name val="Arial"/>
      <family val="2"/>
      <charset val="238"/>
    </font>
    <font>
      <b/>
      <sz val="11"/>
      <color rgb="FFFF0000"/>
      <name val="Arial"/>
      <family val="2"/>
      <charset val="238"/>
    </font>
    <font>
      <sz val="11"/>
      <color theme="1"/>
      <name val="Arial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9" tint="0.59987182226020086"/>
        <bgColor rgb="FFFFFFCC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9">
    <xf numFmtId="0" fontId="0" fillId="0" borderId="0"/>
    <xf numFmtId="164" fontId="29" fillId="0" borderId="0" applyBorder="0" applyProtection="0"/>
    <xf numFmtId="165" fontId="29" fillId="0" borderId="0" applyBorder="0" applyProtection="0"/>
    <xf numFmtId="0" fontId="1" fillId="0" borderId="0"/>
    <xf numFmtId="0" fontId="2" fillId="0" borderId="0" applyProtection="0"/>
    <xf numFmtId="0" fontId="3" fillId="0" borderId="0"/>
    <xf numFmtId="0" fontId="4" fillId="0" borderId="0"/>
    <xf numFmtId="0" fontId="5" fillId="0" borderId="0"/>
    <xf numFmtId="0" fontId="6" fillId="0" borderId="0"/>
  </cellStyleXfs>
  <cellXfs count="91">
    <xf numFmtId="0" fontId="0" fillId="0" borderId="0" xfId="0"/>
    <xf numFmtId="0" fontId="5" fillId="0" borderId="0" xfId="7"/>
    <xf numFmtId="0" fontId="5" fillId="0" borderId="0" xfId="7" applyAlignment="1">
      <alignment horizontal="center"/>
    </xf>
    <xf numFmtId="0" fontId="5" fillId="0" borderId="0" xfId="7" applyAlignment="1">
      <alignment vertical="center"/>
    </xf>
    <xf numFmtId="0" fontId="7" fillId="0" borderId="0" xfId="4" applyFont="1" applyAlignment="1" applyProtection="1">
      <alignment horizontal="left" vertical="center"/>
    </xf>
    <xf numFmtId="0" fontId="7" fillId="0" borderId="0" xfId="4" applyFont="1" applyAlignment="1" applyProtection="1">
      <alignment horizontal="center" vertical="center"/>
    </xf>
    <xf numFmtId="0" fontId="8" fillId="0" borderId="0" xfId="4" applyFont="1" applyAlignment="1" applyProtection="1">
      <alignment horizontal="left" vertical="center"/>
    </xf>
    <xf numFmtId="0" fontId="9" fillId="0" borderId="0" xfId="4" applyFont="1" applyAlignment="1" applyProtection="1">
      <alignment vertical="center"/>
    </xf>
    <xf numFmtId="0" fontId="12" fillId="0" borderId="0" xfId="4" applyFont="1" applyAlignment="1" applyProtection="1">
      <alignment horizontal="left" vertical="center"/>
    </xf>
    <xf numFmtId="0" fontId="13" fillId="0" borderId="0" xfId="4" applyFont="1" applyAlignment="1" applyProtection="1">
      <alignment horizontal="right" vertical="center"/>
    </xf>
    <xf numFmtId="49" fontId="14" fillId="0" borderId="3" xfId="4" applyNumberFormat="1" applyFont="1" applyBorder="1" applyAlignment="1" applyProtection="1">
      <alignment horizontal="center" vertical="center"/>
    </xf>
    <xf numFmtId="0" fontId="15" fillId="0" borderId="0" xfId="3" applyFont="1" applyAlignment="1">
      <alignment vertical="center"/>
    </xf>
    <xf numFmtId="0" fontId="17" fillId="0" borderId="0" xfId="5" applyFont="1" applyAlignment="1">
      <alignment horizontal="center" vertical="center"/>
    </xf>
    <xf numFmtId="0" fontId="18" fillId="0" borderId="0" xfId="5" applyFont="1" applyAlignment="1">
      <alignment horizontal="center" vertical="center"/>
    </xf>
    <xf numFmtId="49" fontId="12" fillId="0" borderId="7" xfId="4" applyNumberFormat="1" applyFont="1" applyBorder="1" applyAlignment="1" applyProtection="1">
      <alignment horizontal="center" vertical="center"/>
    </xf>
    <xf numFmtId="0" fontId="0" fillId="0" borderId="0" xfId="0" applyAlignment="1">
      <alignment vertical="center"/>
    </xf>
    <xf numFmtId="0" fontId="16" fillId="0" borderId="11" xfId="5" applyFont="1" applyBorder="1" applyAlignment="1">
      <alignment horizontal="left" vertical="center"/>
    </xf>
    <xf numFmtId="0" fontId="23" fillId="0" borderId="0" xfId="4" applyFont="1" applyAlignment="1" applyProtection="1">
      <alignment horizontal="left" vertical="center"/>
    </xf>
    <xf numFmtId="0" fontId="9" fillId="0" borderId="0" xfId="4" applyFont="1" applyProtection="1"/>
    <xf numFmtId="0" fontId="17" fillId="0" borderId="0" xfId="5" applyFont="1"/>
    <xf numFmtId="0" fontId="25" fillId="0" borderId="13" xfId="3" applyFont="1" applyBorder="1" applyAlignment="1">
      <alignment horizontal="center" vertical="center"/>
    </xf>
    <xf numFmtId="0" fontId="25" fillId="0" borderId="13" xfId="3" applyFont="1" applyBorder="1" applyAlignment="1">
      <alignment horizontal="center" vertical="center" wrapText="1"/>
    </xf>
    <xf numFmtId="0" fontId="24" fillId="0" borderId="13" xfId="3" applyFont="1" applyBorder="1" applyAlignment="1">
      <alignment horizontal="left" vertical="center" wrapText="1"/>
    </xf>
    <xf numFmtId="0" fontId="26" fillId="0" borderId="13" xfId="3" applyFont="1" applyBorder="1" applyAlignment="1">
      <alignment horizontal="center" vertical="center" wrapText="1"/>
    </xf>
    <xf numFmtId="0" fontId="27" fillId="0" borderId="13" xfId="3" applyFont="1" applyBorder="1" applyAlignment="1">
      <alignment horizontal="center" vertical="center" wrapText="1"/>
    </xf>
    <xf numFmtId="0" fontId="21" fillId="0" borderId="13" xfId="3" applyFont="1" applyBorder="1" applyAlignment="1">
      <alignment horizontal="center" vertical="center" wrapText="1"/>
    </xf>
    <xf numFmtId="0" fontId="27" fillId="0" borderId="13" xfId="5" applyFont="1" applyBorder="1" applyAlignment="1">
      <alignment horizontal="center" vertical="center" wrapText="1"/>
    </xf>
    <xf numFmtId="167" fontId="9" fillId="0" borderId="0" xfId="4" applyNumberFormat="1" applyFont="1" applyProtection="1"/>
    <xf numFmtId="167" fontId="5" fillId="0" borderId="0" xfId="7" applyNumberFormat="1"/>
    <xf numFmtId="49" fontId="27" fillId="0" borderId="15" xfId="0" applyNumberFormat="1" applyFont="1" applyBorder="1" applyAlignment="1">
      <alignment horizontal="left"/>
    </xf>
    <xf numFmtId="169" fontId="28" fillId="2" borderId="15" xfId="0" applyNumberFormat="1" applyFont="1" applyFill="1" applyBorder="1" applyAlignment="1" applyProtection="1">
      <alignment horizontal="right"/>
      <protection locked="0"/>
    </xf>
    <xf numFmtId="169" fontId="28" fillId="2" borderId="16" xfId="0" applyNumberFormat="1" applyFont="1" applyFill="1" applyBorder="1" applyAlignment="1" applyProtection="1">
      <alignment horizontal="right"/>
      <protection locked="0"/>
    </xf>
    <xf numFmtId="0" fontId="9" fillId="0" borderId="13" xfId="4" applyFont="1" applyBorder="1" applyProtection="1"/>
    <xf numFmtId="0" fontId="5" fillId="0" borderId="13" xfId="7" applyBorder="1"/>
    <xf numFmtId="0" fontId="30" fillId="0" borderId="0" xfId="4" applyFont="1" applyAlignment="1" applyProtection="1">
      <alignment horizontal="left" vertical="center"/>
    </xf>
    <xf numFmtId="17" fontId="30" fillId="0" borderId="0" xfId="4" applyNumberFormat="1" applyFont="1" applyAlignment="1" applyProtection="1">
      <alignment horizontal="left" vertical="center"/>
    </xf>
    <xf numFmtId="0" fontId="11" fillId="0" borderId="0" xfId="4" applyFont="1" applyAlignment="1" applyProtection="1">
      <alignment horizontal="left" vertical="center"/>
    </xf>
    <xf numFmtId="0" fontId="31" fillId="0" borderId="0" xfId="3" applyFont="1" applyAlignment="1">
      <alignment horizontal="left" vertical="center"/>
    </xf>
    <xf numFmtId="0" fontId="11" fillId="0" borderId="0" xfId="5" applyFont="1" applyAlignment="1">
      <alignment horizontal="left" vertical="center"/>
    </xf>
    <xf numFmtId="0" fontId="32" fillId="0" borderId="0" xfId="5" applyFont="1" applyAlignment="1">
      <alignment horizontal="center" vertical="center"/>
    </xf>
    <xf numFmtId="49" fontId="33" fillId="0" borderId="8" xfId="4" applyNumberFormat="1" applyFont="1" applyBorder="1" applyAlignment="1" applyProtection="1">
      <alignment horizontal="center" vertical="center"/>
    </xf>
    <xf numFmtId="49" fontId="33" fillId="0" borderId="9" xfId="4" applyNumberFormat="1" applyFont="1" applyBorder="1" applyAlignment="1" applyProtection="1">
      <alignment horizontal="center" vertical="center"/>
    </xf>
    <xf numFmtId="166" fontId="34" fillId="0" borderId="9" xfId="5" applyNumberFormat="1" applyFont="1" applyBorder="1" applyAlignment="1">
      <alignment horizontal="left" vertical="center"/>
    </xf>
    <xf numFmtId="0" fontId="24" fillId="0" borderId="9" xfId="7" applyFont="1" applyBorder="1" applyAlignment="1">
      <alignment horizontal="center" vertical="center"/>
    </xf>
    <xf numFmtId="0" fontId="24" fillId="0" borderId="0" xfId="7" applyFont="1" applyAlignment="1">
      <alignment horizontal="center" vertical="center"/>
    </xf>
    <xf numFmtId="49" fontId="10" fillId="0" borderId="0" xfId="0" applyNumberFormat="1" applyFont="1" applyAlignment="1">
      <alignment vertical="center"/>
    </xf>
    <xf numFmtId="0" fontId="34" fillId="0" borderId="12" xfId="5" applyFont="1" applyBorder="1" applyAlignment="1">
      <alignment horizontal="left" vertical="center"/>
    </xf>
    <xf numFmtId="0" fontId="34" fillId="0" borderId="0" xfId="5" applyFont="1" applyAlignment="1">
      <alignment horizontal="left" vertical="center"/>
    </xf>
    <xf numFmtId="2" fontId="34" fillId="0" borderId="0" xfId="4" applyNumberFormat="1" applyFont="1" applyAlignment="1" applyProtection="1">
      <alignment horizontal="right" vertical="center"/>
    </xf>
    <xf numFmtId="49" fontId="34" fillId="0" borderId="0" xfId="5" applyNumberFormat="1" applyFont="1" applyAlignment="1">
      <alignment horizontal="center" vertical="center"/>
    </xf>
    <xf numFmtId="0" fontId="27" fillId="0" borderId="0" xfId="5" applyFont="1" applyAlignment="1">
      <alignment horizontal="center" vertical="center"/>
    </xf>
    <xf numFmtId="0" fontId="35" fillId="0" borderId="0" xfId="4" applyFont="1" applyAlignment="1" applyProtection="1">
      <alignment horizontal="left"/>
    </xf>
    <xf numFmtId="0" fontId="35" fillId="0" borderId="0" xfId="4" applyFont="1" applyAlignment="1" applyProtection="1">
      <alignment horizontal="center"/>
    </xf>
    <xf numFmtId="0" fontId="35" fillId="0" borderId="0" xfId="4" applyFont="1" applyAlignment="1" applyProtection="1">
      <alignment horizontal="left" vertical="center"/>
    </xf>
    <xf numFmtId="168" fontId="36" fillId="2" borderId="14" xfId="0" applyNumberFormat="1" applyFont="1" applyFill="1" applyBorder="1" applyAlignment="1" applyProtection="1">
      <alignment horizontal="right"/>
      <protection locked="0"/>
    </xf>
    <xf numFmtId="168" fontId="36" fillId="2" borderId="15" xfId="0" applyNumberFormat="1" applyFont="1" applyFill="1" applyBorder="1" applyAlignment="1" applyProtection="1">
      <alignment horizontal="center"/>
      <protection locked="0"/>
    </xf>
    <xf numFmtId="0" fontId="36" fillId="2" borderId="15" xfId="0" applyFont="1" applyFill="1" applyBorder="1" applyAlignment="1" applyProtection="1">
      <alignment horizontal="left" wrapText="1"/>
      <protection locked="0"/>
    </xf>
    <xf numFmtId="0" fontId="16" fillId="2" borderId="15" xfId="0" applyFont="1" applyFill="1" applyBorder="1" applyAlignment="1" applyProtection="1">
      <alignment horizontal="left"/>
      <protection locked="0"/>
    </xf>
    <xf numFmtId="4" fontId="36" fillId="2" borderId="15" xfId="0" applyNumberFormat="1" applyFont="1" applyFill="1" applyBorder="1" applyAlignment="1" applyProtection="1">
      <alignment horizontal="right"/>
      <protection locked="0"/>
    </xf>
    <xf numFmtId="4" fontId="16" fillId="2" borderId="15" xfId="0" applyNumberFormat="1" applyFont="1" applyFill="1" applyBorder="1" applyAlignment="1" applyProtection="1">
      <alignment horizontal="right"/>
      <protection locked="0"/>
    </xf>
    <xf numFmtId="4" fontId="37" fillId="2" borderId="15" xfId="0" applyNumberFormat="1" applyFont="1" applyFill="1" applyBorder="1" applyAlignment="1" applyProtection="1">
      <alignment horizontal="right"/>
      <protection locked="0"/>
    </xf>
    <xf numFmtId="0" fontId="24" fillId="0" borderId="0" xfId="4" applyFont="1" applyProtection="1"/>
    <xf numFmtId="0" fontId="24" fillId="0" borderId="0" xfId="4" applyFont="1" applyAlignment="1" applyProtection="1">
      <alignment horizontal="center"/>
    </xf>
    <xf numFmtId="3" fontId="24" fillId="0" borderId="0" xfId="4" applyNumberFormat="1" applyFont="1" applyAlignment="1" applyProtection="1">
      <alignment vertical="center"/>
    </xf>
    <xf numFmtId="0" fontId="24" fillId="0" borderId="0" xfId="4" applyFont="1" applyAlignment="1" applyProtection="1">
      <alignment vertical="center"/>
    </xf>
    <xf numFmtId="0" fontId="24" fillId="0" borderId="0" xfId="7" applyFont="1"/>
    <xf numFmtId="0" fontId="24" fillId="0" borderId="0" xfId="7" applyFont="1" applyAlignment="1">
      <alignment horizontal="center"/>
    </xf>
    <xf numFmtId="0" fontId="24" fillId="0" borderId="0" xfId="7" applyFont="1" applyAlignment="1">
      <alignment vertical="center"/>
    </xf>
    <xf numFmtId="170" fontId="12" fillId="3" borderId="13" xfId="0" applyNumberFormat="1" applyFont="1" applyFill="1" applyBorder="1" applyAlignment="1">
      <alignment horizontal="center"/>
    </xf>
    <xf numFmtId="0" fontId="25" fillId="0" borderId="20" xfId="3" applyFont="1" applyBorder="1" applyAlignment="1">
      <alignment horizontal="center" vertical="center" wrapText="1"/>
    </xf>
    <xf numFmtId="0" fontId="25" fillId="0" borderId="15" xfId="3" applyFont="1" applyBorder="1" applyAlignment="1">
      <alignment horizontal="center" vertical="center"/>
    </xf>
    <xf numFmtId="0" fontId="25" fillId="0" borderId="15" xfId="3" applyFont="1" applyBorder="1" applyAlignment="1">
      <alignment horizontal="center" vertical="center" wrapText="1"/>
    </xf>
    <xf numFmtId="0" fontId="24" fillId="0" borderId="15" xfId="3" applyFont="1" applyBorder="1" applyAlignment="1">
      <alignment horizontal="left" vertical="center" wrapText="1"/>
    </xf>
    <xf numFmtId="0" fontId="26" fillId="0" borderId="15" xfId="3" applyFont="1" applyBorder="1" applyAlignment="1">
      <alignment horizontal="center" vertical="center" wrapText="1"/>
    </xf>
    <xf numFmtId="0" fontId="38" fillId="4" borderId="15" xfId="3" applyFont="1" applyFill="1" applyBorder="1" applyAlignment="1">
      <alignment horizontal="center" vertical="center" wrapText="1"/>
    </xf>
    <xf numFmtId="0" fontId="21" fillId="0" borderId="15" xfId="3" applyFont="1" applyBorder="1" applyAlignment="1">
      <alignment horizontal="center" vertical="center" wrapText="1"/>
    </xf>
    <xf numFmtId="0" fontId="27" fillId="0" borderId="15" xfId="5" applyFont="1" applyBorder="1" applyAlignment="1">
      <alignment horizontal="center" vertical="center" wrapText="1"/>
    </xf>
    <xf numFmtId="0" fontId="21" fillId="0" borderId="21" xfId="3" applyFont="1" applyBorder="1" applyAlignment="1">
      <alignment horizontal="center" vertical="center" wrapText="1"/>
    </xf>
    <xf numFmtId="0" fontId="10" fillId="0" borderId="1" xfId="3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10" fillId="0" borderId="4" xfId="5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19" fillId="0" borderId="6" xfId="3" applyFont="1" applyBorder="1" applyAlignment="1">
      <alignment horizontal="left" vertical="center"/>
    </xf>
    <xf numFmtId="0" fontId="21" fillId="0" borderId="10" xfId="3" applyFont="1" applyBorder="1" applyAlignment="1">
      <alignment horizontal="left" vertical="center"/>
    </xf>
    <xf numFmtId="0" fontId="24" fillId="0" borderId="17" xfId="5" applyFont="1" applyBorder="1" applyAlignment="1">
      <alignment horizontal="center"/>
    </xf>
    <xf numFmtId="0" fontId="16" fillId="0" borderId="18" xfId="5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9" xfId="5" applyFont="1" applyBorder="1" applyAlignment="1">
      <alignment horizontal="center" vertical="center"/>
    </xf>
    <xf numFmtId="0" fontId="27" fillId="0" borderId="15" xfId="3" applyFont="1" applyBorder="1" applyAlignment="1">
      <alignment horizontal="center" vertical="center" wrapText="1"/>
    </xf>
    <xf numFmtId="0" fontId="9" fillId="0" borderId="0" xfId="4" applyFont="1" applyBorder="1" applyProtection="1"/>
    <xf numFmtId="0" fontId="5" fillId="0" borderId="0" xfId="7" applyBorder="1"/>
  </cellXfs>
  <cellStyles count="9">
    <cellStyle name="Comma [0]_7-Práce_a_dodávky" xfId="1" xr:uid="{00000000-0005-0000-0000-000006000000}"/>
    <cellStyle name="Comma_7-Práce_a_dodávky" xfId="2" xr:uid="{00000000-0005-0000-0000-000007000000}"/>
    <cellStyle name="kolonky" xfId="3" xr:uid="{00000000-0005-0000-0000-000008000000}"/>
    <cellStyle name="Normal_10" xfId="4" xr:uid="{00000000-0005-0000-0000-000009000000}"/>
    <cellStyle name="Normal_7-Práce_a_dodávky" xfId="5" xr:uid="{00000000-0005-0000-0000-00000B000000}"/>
    <cellStyle name="Normální" xfId="0" builtinId="0"/>
    <cellStyle name="Normální 2" xfId="6" xr:uid="{00000000-0005-0000-0000-00000D000000}"/>
    <cellStyle name="normální_Faktura - soupis prací 03-01" xfId="7" xr:uid="{00000000-0005-0000-0000-00000E000000}"/>
    <cellStyle name="Standard_specm01" xfId="8" xr:uid="{00000000-0005-0000-0000-000010000000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532800</xdr:colOff>
      <xdr:row>6</xdr:row>
      <xdr:rowOff>50040</xdr:rowOff>
    </xdr:from>
    <xdr:to>
      <xdr:col>21</xdr:col>
      <xdr:colOff>362160</xdr:colOff>
      <xdr:row>8</xdr:row>
      <xdr:rowOff>159120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flipH="1" flipV="1">
          <a:off x="13974480" y="1688400"/>
          <a:ext cx="4317480" cy="566280"/>
        </a:xfrm>
        <a:prstGeom prst="line">
          <a:avLst/>
        </a:prstGeom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15</xdr:col>
      <xdr:colOff>532800</xdr:colOff>
      <xdr:row>9</xdr:row>
      <xdr:rowOff>43560</xdr:rowOff>
    </xdr:from>
    <xdr:to>
      <xdr:col>21</xdr:col>
      <xdr:colOff>271440</xdr:colOff>
      <xdr:row>11</xdr:row>
      <xdr:rowOff>142560</xdr:rowOff>
    </xdr:to>
    <xdr:sp macro="" textlink="">
      <xdr:nvSpPr>
        <xdr:cNvPr id="3" name="Lin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flipH="1" flipV="1">
          <a:off x="13974480" y="2520000"/>
          <a:ext cx="4226760" cy="498960"/>
        </a:xfrm>
        <a:prstGeom prst="line">
          <a:avLst/>
        </a:prstGeom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3741480</xdr:colOff>
      <xdr:row>4</xdr:row>
      <xdr:rowOff>162000</xdr:rowOff>
    </xdr:to>
    <xdr:pic>
      <xdr:nvPicPr>
        <xdr:cNvPr id="4" name="Obrázek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0" y="0"/>
          <a:ext cx="6149520" cy="130500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15</xdr:col>
      <xdr:colOff>532800</xdr:colOff>
      <xdr:row>8</xdr:row>
      <xdr:rowOff>83160</xdr:rowOff>
    </xdr:from>
    <xdr:to>
      <xdr:col>21</xdr:col>
      <xdr:colOff>271440</xdr:colOff>
      <xdr:row>10</xdr:row>
      <xdr:rowOff>83160</xdr:rowOff>
    </xdr:to>
    <xdr:sp macro="" textlink="">
      <xdr:nvSpPr>
        <xdr:cNvPr id="5" name="Line 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flipH="1" flipV="1">
          <a:off x="13974480" y="2178720"/>
          <a:ext cx="4226760" cy="581040"/>
        </a:xfrm>
        <a:prstGeom prst="line">
          <a:avLst/>
        </a:prstGeom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15</xdr:col>
      <xdr:colOff>162000</xdr:colOff>
      <xdr:row>8</xdr:row>
      <xdr:rowOff>62640</xdr:rowOff>
    </xdr:from>
    <xdr:to>
      <xdr:col>15</xdr:col>
      <xdr:colOff>238680</xdr:colOff>
      <xdr:row>8</xdr:row>
      <xdr:rowOff>257400</xdr:rowOff>
    </xdr:to>
    <xdr:sp macro="" textlink="">
      <xdr:nvSpPr>
        <xdr:cNvPr id="6" name="Text Box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603680" y="2158200"/>
          <a:ext cx="76680" cy="19476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15</xdr:col>
      <xdr:colOff>532800</xdr:colOff>
      <xdr:row>11</xdr:row>
      <xdr:rowOff>34920</xdr:rowOff>
    </xdr:from>
    <xdr:to>
      <xdr:col>21</xdr:col>
      <xdr:colOff>203400</xdr:colOff>
      <xdr:row>13</xdr:row>
      <xdr:rowOff>142200</xdr:rowOff>
    </xdr:to>
    <xdr:sp macro="" textlink="">
      <xdr:nvSpPr>
        <xdr:cNvPr id="7" name="Line 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flipH="1" flipV="1">
          <a:off x="13974480" y="2911320"/>
          <a:ext cx="4158720" cy="444600"/>
        </a:xfrm>
        <a:prstGeom prst="line">
          <a:avLst/>
        </a:prstGeom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0</xdr:col>
      <xdr:colOff>158750</xdr:colOff>
      <xdr:row>34</xdr:row>
      <xdr:rowOff>100889</xdr:rowOff>
    </xdr:from>
    <xdr:to>
      <xdr:col>9</xdr:col>
      <xdr:colOff>1214968</xdr:colOff>
      <xdr:row>40</xdr:row>
      <xdr:rowOff>112769</xdr:rowOff>
    </xdr:to>
    <xdr:pic>
      <xdr:nvPicPr>
        <xdr:cNvPr id="8" name="Obrázek 2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158750" y="7096472"/>
          <a:ext cx="12634385" cy="1027880"/>
        </a:xfrm>
        <a:prstGeom prst="rect">
          <a:avLst/>
        </a:prstGeom>
        <a:ln w="0"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aferoadas-my.sharepoint.com/My%20Documents/Svratka/Fakturace/Fakturace%20&#345;&#237;jen%20JCZ%20SO%2001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email.seznam.cz/kalukace/Dokumenty%20pracovn&#237;/Stavby/Jaroslavice,%20Hr&#225;dek%20a%20Dyj&#225;kovice%20-%20kanalizace%20a%20&#268;OV/Fakturace/Fakturace/WINDOWS/Plocha/VHS%20plus%20Znojmo/Plumlov/Faktury/PHARE%20(&#269;ist&#233;%20listy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rycí list"/>
      <sheetName val="Rekapitulace"/>
      <sheetName val="Položky"/>
      <sheetName val="6-Faktura"/>
      <sheetName val="3-Projekt"/>
    </sheetNames>
    <sheetDataSet>
      <sheetData sheetId="0"/>
      <sheetData sheetId="1"/>
      <sheetData sheetId="2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"/>
      <sheetName val="Slovnik"/>
      <sheetName val="Zadávací tabulka"/>
      <sheetName val="3-Projekt"/>
      <sheetName val="4-Stavby"/>
      <sheetName val="5-Rozvržení plateb"/>
      <sheetName val="6-Faktura"/>
      <sheetName val="6A-Práce_a_dodávky"/>
      <sheetName val="6B-Služby"/>
      <sheetName val="6C-Stav_fakturace"/>
      <sheetName val="6D-Fakturace po objektech"/>
      <sheetName val="Makro1"/>
      <sheetName val="Krycí 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heme/theme1.xml><?xml version="1.0" encoding="utf-8"?>
<a:theme xmlns:a="http://schemas.openxmlformats.org/drawingml/2006/main" name="Motiv sady Office">
  <a:themeElements>
    <a:clrScheme name="Kancelář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XFD83"/>
  <sheetViews>
    <sheetView showZeros="0" tabSelected="1" zoomScale="120" zoomScaleNormal="120" workbookViewId="0">
      <selection activeCell="J18" sqref="J18"/>
    </sheetView>
  </sheetViews>
  <sheetFormatPr baseColWidth="10" defaultColWidth="8" defaultRowHeight="13"/>
  <cols>
    <col min="1" max="1" width="10.5" style="1" customWidth="1"/>
    <col min="2" max="2" width="7.1640625" style="2" customWidth="1"/>
    <col min="3" max="3" width="14" style="1" customWidth="1"/>
    <col min="4" max="4" width="66.1640625" style="1" customWidth="1"/>
    <col min="5" max="5" width="4.6640625" style="1" customWidth="1"/>
    <col min="6" max="6" width="11" style="1" customWidth="1"/>
    <col min="7" max="7" width="10.5" style="1" customWidth="1"/>
    <col min="8" max="8" width="12.6640625" style="1" customWidth="1"/>
    <col min="9" max="9" width="15.1640625" style="1" customWidth="1"/>
    <col min="10" max="10" width="17.83203125" style="3" customWidth="1"/>
    <col min="11" max="11" width="12.33203125" style="3" hidden="1" customWidth="1"/>
    <col min="12" max="12" width="12.6640625" style="3" hidden="1" customWidth="1"/>
    <col min="13" max="13" width="11.1640625" style="3" hidden="1" customWidth="1"/>
    <col min="14" max="14" width="15.5" style="3" hidden="1" customWidth="1"/>
    <col min="15" max="15" width="1.6640625" style="1" customWidth="1"/>
    <col min="16" max="16" width="18.83203125" style="1" customWidth="1"/>
    <col min="17" max="16384" width="8" style="1"/>
  </cols>
  <sheetData>
    <row r="1" spans="1:17 16384:16384" s="3" customFormat="1" ht="19.5" customHeigh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</row>
    <row r="2" spans="1:17 16384:16384" s="3" customFormat="1" ht="11.25" customHeight="1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</row>
    <row r="3" spans="1:17 16384:16384" s="3" customFormat="1" ht="36.75" customHeigh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1:17 16384:16384" s="3" customFormat="1" ht="22.5" customHeigh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</row>
    <row r="5" spans="1:17 16384:16384" s="3" customFormat="1" ht="19.5" customHeigh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</row>
    <row r="6" spans="1:17 16384:16384" s="3" customFormat="1" ht="19.5" customHeight="1">
      <c r="A6" s="4" t="s">
        <v>20</v>
      </c>
      <c r="B6" s="5"/>
      <c r="C6" s="34"/>
      <c r="D6" s="35"/>
      <c r="E6" s="36"/>
      <c r="F6" s="36"/>
      <c r="G6" s="36"/>
      <c r="H6" s="36"/>
      <c r="I6" s="36"/>
      <c r="J6" s="36"/>
      <c r="K6" s="6"/>
      <c r="L6" s="6"/>
      <c r="M6" s="6"/>
      <c r="N6" s="6"/>
      <c r="O6" s="7"/>
    </row>
    <row r="7" spans="1:17 16384:16384" ht="18" customHeight="1">
      <c r="A7" s="4"/>
      <c r="B7" s="5"/>
      <c r="C7" s="34"/>
      <c r="D7" s="34"/>
      <c r="E7" s="36"/>
      <c r="F7" s="36"/>
      <c r="G7" s="36"/>
      <c r="H7" s="36"/>
      <c r="I7" s="36"/>
      <c r="J7" s="36"/>
      <c r="K7" s="6"/>
      <c r="L7" s="6"/>
      <c r="M7" s="6"/>
      <c r="N7" s="6"/>
      <c r="O7" s="7"/>
      <c r="P7" s="3"/>
      <c r="Q7" s="3"/>
    </row>
    <row r="8" spans="1:17 16384:16384" ht="18" customHeight="1">
      <c r="A8" s="78" t="s">
        <v>0</v>
      </c>
      <c r="B8" s="78"/>
      <c r="C8" s="78"/>
      <c r="D8" s="79"/>
      <c r="E8" s="79"/>
      <c r="F8" s="79"/>
      <c r="G8" s="79"/>
      <c r="H8" s="79"/>
      <c r="I8" s="37"/>
      <c r="J8" s="8"/>
      <c r="K8" s="8" t="s">
        <v>1</v>
      </c>
      <c r="L8" s="9"/>
      <c r="M8" s="9"/>
      <c r="N8" s="10" t="s">
        <v>2</v>
      </c>
      <c r="O8" s="11"/>
      <c r="P8" s="3"/>
      <c r="Q8" s="3"/>
    </row>
    <row r="9" spans="1:17 16384:16384" ht="30" customHeight="1">
      <c r="A9" s="80" t="s">
        <v>3</v>
      </c>
      <c r="B9" s="80"/>
      <c r="C9" s="80"/>
      <c r="D9" s="81" t="s">
        <v>19</v>
      </c>
      <c r="E9" s="81"/>
      <c r="F9" s="81"/>
      <c r="G9" s="81"/>
      <c r="H9" s="81"/>
      <c r="I9" s="38"/>
      <c r="J9" s="39"/>
      <c r="K9" s="12"/>
      <c r="L9" s="12"/>
      <c r="M9" s="12"/>
      <c r="N9" s="13"/>
      <c r="O9" s="7"/>
      <c r="P9" s="3"/>
      <c r="Q9" s="3"/>
    </row>
    <row r="10" spans="1:17 16384:16384" ht="15.75" customHeight="1">
      <c r="A10" s="82" t="s">
        <v>13</v>
      </c>
      <c r="B10" s="82"/>
      <c r="C10" s="82"/>
      <c r="D10" s="14"/>
      <c r="E10" s="40"/>
      <c r="F10" s="41"/>
      <c r="G10" s="42"/>
      <c r="H10" s="43"/>
      <c r="I10" s="44"/>
      <c r="J10" s="45"/>
      <c r="K10" s="15"/>
      <c r="L10" s="15"/>
      <c r="M10" s="15"/>
      <c r="N10" s="15"/>
      <c r="O10" s="7"/>
      <c r="P10" s="3"/>
      <c r="Q10" s="3"/>
      <c r="XFD10" s="1">
        <f>SUM(A10:XFC10)</f>
        <v>0</v>
      </c>
    </row>
    <row r="11" spans="1:17 16384:16384" ht="15.75" customHeight="1">
      <c r="A11" s="83" t="s">
        <v>17</v>
      </c>
      <c r="B11" s="83"/>
      <c r="C11" s="83"/>
      <c r="D11" s="16"/>
      <c r="E11" s="46"/>
      <c r="F11" s="47"/>
      <c r="G11" s="48"/>
      <c r="H11" s="48"/>
      <c r="I11" s="49"/>
      <c r="J11" s="50"/>
      <c r="K11" s="12"/>
      <c r="L11" s="12"/>
      <c r="M11" s="12"/>
      <c r="N11" s="12"/>
      <c r="O11" s="7"/>
      <c r="P11" s="3"/>
      <c r="Q11" s="3"/>
    </row>
    <row r="12" spans="1:17 16384:16384">
      <c r="A12" s="51"/>
      <c r="B12" s="52"/>
      <c r="C12" s="51"/>
      <c r="D12" s="51"/>
      <c r="E12" s="51"/>
      <c r="F12" s="51"/>
      <c r="G12" s="51"/>
      <c r="H12" s="51"/>
      <c r="I12" s="51"/>
      <c r="J12" s="53"/>
      <c r="K12" s="17"/>
      <c r="L12" s="17"/>
      <c r="M12" s="17"/>
      <c r="N12" s="17"/>
      <c r="O12" s="18"/>
    </row>
    <row r="13" spans="1:17 16384:16384" ht="14">
      <c r="A13" s="84"/>
      <c r="B13" s="84"/>
      <c r="C13" s="84"/>
      <c r="D13" s="84"/>
      <c r="E13" s="84"/>
      <c r="F13" s="84"/>
      <c r="G13" s="84"/>
      <c r="H13" s="84"/>
      <c r="I13" s="85"/>
      <c r="J13" s="85"/>
      <c r="K13" s="86" t="s">
        <v>4</v>
      </c>
      <c r="L13" s="86"/>
      <c r="M13" s="87" t="s">
        <v>5</v>
      </c>
      <c r="N13" s="87"/>
      <c r="O13" s="19"/>
    </row>
    <row r="14" spans="1:17 16384:16384" s="33" customFormat="1" ht="30">
      <c r="A14" s="21" t="s">
        <v>6</v>
      </c>
      <c r="B14" s="20"/>
      <c r="C14" s="21"/>
      <c r="D14" s="22" t="s">
        <v>7</v>
      </c>
      <c r="E14" s="23" t="s">
        <v>8</v>
      </c>
      <c r="F14" s="23" t="s">
        <v>14</v>
      </c>
      <c r="G14" s="23" t="s">
        <v>16</v>
      </c>
      <c r="H14" s="23" t="s">
        <v>15</v>
      </c>
      <c r="I14" s="24" t="s">
        <v>23</v>
      </c>
      <c r="J14" s="25" t="s">
        <v>9</v>
      </c>
      <c r="K14" s="25" t="s">
        <v>10</v>
      </c>
      <c r="L14" s="25" t="s">
        <v>11</v>
      </c>
      <c r="M14" s="26" t="s">
        <v>10</v>
      </c>
      <c r="N14" s="25" t="s">
        <v>11</v>
      </c>
      <c r="O14" s="32"/>
    </row>
    <row r="15" spans="1:17 16384:16384" s="90" customFormat="1" ht="14">
      <c r="A15" s="69"/>
      <c r="B15" s="70"/>
      <c r="C15" s="71"/>
      <c r="D15" s="72" t="s">
        <v>21</v>
      </c>
      <c r="E15" s="73" t="s">
        <v>22</v>
      </c>
      <c r="F15" s="73">
        <v>1</v>
      </c>
      <c r="G15" s="73">
        <v>21480</v>
      </c>
      <c r="H15" s="73">
        <v>1025</v>
      </c>
      <c r="I15" s="88">
        <v>180</v>
      </c>
      <c r="J15" s="25">
        <f t="shared" ref="J15:J16" si="0">H15*I15</f>
        <v>184500</v>
      </c>
      <c r="K15" s="75"/>
      <c r="L15" s="75"/>
      <c r="M15" s="76"/>
      <c r="N15" s="77"/>
      <c r="O15" s="89"/>
    </row>
    <row r="16" spans="1:17 16384:16384" s="1" customFormat="1" ht="14">
      <c r="A16" s="69">
        <v>1</v>
      </c>
      <c r="B16" s="70"/>
      <c r="C16" s="71"/>
      <c r="D16" s="72" t="s">
        <v>18</v>
      </c>
      <c r="E16" s="73" t="s">
        <v>8</v>
      </c>
      <c r="F16" s="73">
        <v>1</v>
      </c>
      <c r="G16" s="73">
        <v>20000</v>
      </c>
      <c r="H16" s="73">
        <f t="shared" ref="H15:H16" si="1">F16*G16</f>
        <v>20000</v>
      </c>
      <c r="I16" s="74">
        <v>1</v>
      </c>
      <c r="J16" s="25">
        <f t="shared" si="0"/>
        <v>20000</v>
      </c>
      <c r="K16" s="75"/>
      <c r="L16" s="75"/>
      <c r="M16" s="76"/>
      <c r="N16" s="77"/>
      <c r="O16" s="18"/>
    </row>
    <row r="17" spans="1:16" s="1" customFormat="1" ht="16">
      <c r="A17" s="54"/>
      <c r="B17" s="55"/>
      <c r="C17" s="29"/>
      <c r="D17" s="56" t="s">
        <v>12</v>
      </c>
      <c r="E17" s="57"/>
      <c r="F17" s="58"/>
      <c r="G17" s="59"/>
      <c r="H17" s="60"/>
      <c r="I17" s="59"/>
      <c r="J17" s="68">
        <f>SUM(J15:J16)</f>
        <v>204500</v>
      </c>
      <c r="K17" s="30"/>
      <c r="L17" s="30" t="e">
        <f>SUM(#REF!)</f>
        <v>#REF!</v>
      </c>
      <c r="M17" s="30"/>
      <c r="N17" s="31" t="e">
        <f>SUM(#REF!)</f>
        <v>#REF!</v>
      </c>
    </row>
    <row r="18" spans="1:16" s="1" customFormat="1">
      <c r="A18" s="61"/>
      <c r="B18" s="62"/>
      <c r="C18" s="61"/>
      <c r="D18" s="61"/>
      <c r="E18" s="61"/>
      <c r="F18" s="61"/>
      <c r="G18" s="61"/>
      <c r="H18" s="61"/>
      <c r="I18" s="61"/>
      <c r="J18" s="63"/>
      <c r="K18" s="7"/>
      <c r="L18" s="7"/>
      <c r="M18" s="7"/>
      <c r="N18" s="7"/>
      <c r="O18" s="18"/>
    </row>
    <row r="19" spans="1:16" s="1" customFormat="1">
      <c r="A19" s="61"/>
      <c r="B19" s="62"/>
      <c r="C19" s="61"/>
      <c r="D19" s="61"/>
      <c r="E19" s="61"/>
      <c r="F19" s="61"/>
      <c r="G19" s="61"/>
      <c r="H19" s="61"/>
      <c r="I19" s="61"/>
      <c r="J19" s="64"/>
      <c r="K19" s="7"/>
      <c r="L19" s="7"/>
      <c r="M19" s="7"/>
      <c r="N19" s="7"/>
      <c r="O19" s="18"/>
    </row>
    <row r="20" spans="1:16" s="1" customFormat="1">
      <c r="A20" s="65"/>
      <c r="B20" s="66"/>
      <c r="C20" s="65"/>
      <c r="D20" s="65"/>
      <c r="E20" s="65"/>
      <c r="F20" s="65"/>
      <c r="G20" s="65"/>
      <c r="H20" s="65"/>
      <c r="I20" s="65"/>
      <c r="J20" s="67"/>
      <c r="K20" s="3"/>
      <c r="L20" s="3"/>
      <c r="M20" s="3"/>
      <c r="N20" s="3"/>
      <c r="O20" s="18"/>
    </row>
    <row r="21" spans="1:16" s="1" customFormat="1">
      <c r="A21" s="65"/>
      <c r="B21" s="66"/>
      <c r="C21" s="65"/>
      <c r="D21" s="65"/>
      <c r="E21" s="65"/>
      <c r="F21" s="65"/>
      <c r="G21" s="65"/>
      <c r="H21" s="65"/>
      <c r="I21" s="65"/>
      <c r="J21" s="67"/>
      <c r="K21" s="3"/>
      <c r="L21" s="3"/>
      <c r="M21" s="3"/>
      <c r="N21" s="3"/>
      <c r="O21" s="18"/>
    </row>
    <row r="22" spans="1:16" s="1" customFormat="1">
      <c r="A22" s="65"/>
      <c r="B22" s="66"/>
      <c r="C22" s="65"/>
      <c r="D22" s="65"/>
      <c r="E22" s="65"/>
      <c r="F22" s="65"/>
      <c r="G22" s="65"/>
      <c r="H22" s="65"/>
      <c r="I22" s="65"/>
      <c r="J22" s="67"/>
      <c r="K22" s="3"/>
      <c r="L22" s="3"/>
      <c r="M22" s="3"/>
      <c r="N22" s="3"/>
      <c r="P22" s="18"/>
    </row>
    <row r="23" spans="1:16" s="1" customFormat="1">
      <c r="A23" s="65"/>
      <c r="B23" s="66"/>
      <c r="C23" s="65"/>
      <c r="D23" s="65"/>
      <c r="E23" s="65"/>
      <c r="F23" s="65"/>
      <c r="G23" s="65"/>
      <c r="H23" s="65"/>
      <c r="I23" s="65"/>
      <c r="J23" s="67"/>
      <c r="K23" s="3"/>
      <c r="L23" s="3"/>
      <c r="M23" s="3"/>
      <c r="N23" s="3"/>
      <c r="O23" s="18"/>
    </row>
    <row r="24" spans="1:16" s="1" customFormat="1">
      <c r="A24" s="65"/>
      <c r="B24" s="66"/>
      <c r="C24" s="65"/>
      <c r="D24" s="65"/>
      <c r="E24" s="65"/>
      <c r="F24" s="65"/>
      <c r="G24" s="65"/>
      <c r="H24" s="65"/>
      <c r="I24" s="65"/>
      <c r="J24" s="67"/>
      <c r="K24" s="3"/>
      <c r="L24" s="3"/>
      <c r="M24" s="3"/>
      <c r="N24" s="3"/>
      <c r="O24" s="18"/>
    </row>
    <row r="25" spans="1:16" s="1" customFormat="1">
      <c r="B25" s="2"/>
      <c r="J25" s="3"/>
      <c r="K25" s="3"/>
      <c r="L25" s="3"/>
      <c r="M25" s="3"/>
      <c r="N25" s="3"/>
      <c r="O25" s="18"/>
    </row>
    <row r="26" spans="1:16" s="1" customFormat="1">
      <c r="B26" s="2"/>
      <c r="J26" s="3"/>
      <c r="K26" s="3"/>
      <c r="L26" s="3"/>
      <c r="M26" s="3"/>
      <c r="N26" s="3"/>
      <c r="O26" s="18"/>
    </row>
    <row r="27" spans="1:16" s="1" customFormat="1">
      <c r="B27" s="2"/>
      <c r="J27" s="3"/>
      <c r="K27" s="3"/>
      <c r="L27" s="3"/>
      <c r="M27" s="3"/>
      <c r="N27" s="3"/>
      <c r="O27" s="18"/>
    </row>
    <row r="28" spans="1:16" s="1" customFormat="1">
      <c r="B28" s="2"/>
      <c r="J28" s="3"/>
      <c r="K28" s="3"/>
      <c r="L28" s="3"/>
      <c r="M28" s="3"/>
      <c r="N28" s="3"/>
      <c r="O28" s="18"/>
    </row>
    <row r="29" spans="1:16" s="1" customFormat="1">
      <c r="B29" s="2"/>
      <c r="J29" s="3"/>
      <c r="K29" s="3"/>
      <c r="L29" s="3"/>
      <c r="M29" s="3"/>
      <c r="N29" s="3"/>
      <c r="O29" s="18"/>
    </row>
    <row r="30" spans="1:16" s="1" customFormat="1">
      <c r="B30" s="2"/>
      <c r="J30" s="3"/>
      <c r="K30" s="3"/>
      <c r="L30" s="3"/>
      <c r="M30" s="3"/>
      <c r="N30" s="3"/>
      <c r="O30" s="18"/>
    </row>
    <row r="31" spans="1:16" s="1" customFormat="1">
      <c r="B31" s="2"/>
      <c r="J31" s="3"/>
      <c r="K31" s="3"/>
      <c r="L31" s="3"/>
      <c r="M31" s="3"/>
      <c r="N31" s="3"/>
      <c r="O31" s="18"/>
    </row>
    <row r="32" spans="1:16" s="1" customFormat="1">
      <c r="B32" s="2"/>
      <c r="J32" s="3"/>
      <c r="K32" s="3"/>
      <c r="L32" s="3"/>
      <c r="M32" s="3"/>
      <c r="N32" s="3"/>
      <c r="O32" s="18"/>
    </row>
    <row r="33" spans="2:15" s="1" customFormat="1">
      <c r="B33" s="2"/>
      <c r="J33" s="3"/>
      <c r="K33" s="3"/>
      <c r="L33" s="3"/>
      <c r="M33" s="3"/>
      <c r="N33" s="3"/>
      <c r="O33" s="18"/>
    </row>
    <row r="34" spans="2:15" s="1" customFormat="1">
      <c r="B34" s="2"/>
      <c r="J34" s="3"/>
      <c r="K34" s="3"/>
      <c r="L34" s="3"/>
      <c r="M34" s="3"/>
      <c r="N34" s="3"/>
      <c r="O34" s="18"/>
    </row>
    <row r="35" spans="2:15" s="1" customFormat="1">
      <c r="B35" s="2"/>
      <c r="J35" s="3"/>
      <c r="K35" s="3"/>
      <c r="L35" s="3"/>
      <c r="M35" s="3"/>
      <c r="N35" s="3"/>
      <c r="O35" s="18"/>
    </row>
    <row r="36" spans="2:15" s="1" customFormat="1">
      <c r="B36" s="2"/>
      <c r="J36" s="3"/>
      <c r="K36" s="3"/>
      <c r="L36" s="3"/>
      <c r="M36" s="3"/>
      <c r="N36" s="3"/>
      <c r="O36" s="18"/>
    </row>
    <row r="37" spans="2:15" s="1" customFormat="1">
      <c r="B37" s="2"/>
      <c r="J37" s="3"/>
      <c r="K37" s="3"/>
      <c r="L37" s="3"/>
      <c r="M37" s="3"/>
      <c r="N37" s="3"/>
      <c r="O37" s="18"/>
    </row>
    <row r="38" spans="2:15" s="1" customFormat="1">
      <c r="B38" s="2"/>
      <c r="J38" s="3"/>
      <c r="K38" s="3"/>
      <c r="L38" s="3"/>
      <c r="M38" s="3"/>
      <c r="N38" s="3"/>
      <c r="O38" s="18"/>
    </row>
    <row r="39" spans="2:15" s="1" customFormat="1">
      <c r="B39" s="2"/>
      <c r="J39" s="3"/>
      <c r="K39" s="3"/>
      <c r="L39" s="3"/>
      <c r="M39" s="3"/>
      <c r="N39" s="3"/>
      <c r="O39" s="18"/>
    </row>
    <row r="40" spans="2:15" s="1" customFormat="1">
      <c r="B40" s="2"/>
      <c r="J40" s="3"/>
      <c r="K40" s="3"/>
      <c r="L40" s="3"/>
      <c r="M40" s="3"/>
      <c r="N40" s="3"/>
      <c r="O40" s="18"/>
    </row>
    <row r="41" spans="2:15" s="1" customFormat="1">
      <c r="B41" s="2"/>
      <c r="J41" s="3"/>
      <c r="K41" s="3"/>
      <c r="L41" s="3"/>
      <c r="M41" s="3"/>
      <c r="N41" s="3"/>
      <c r="O41" s="18"/>
    </row>
    <row r="42" spans="2:15" s="1" customFormat="1">
      <c r="B42" s="2"/>
      <c r="J42" s="3"/>
      <c r="K42" s="3"/>
      <c r="L42" s="3"/>
      <c r="M42" s="3"/>
      <c r="N42" s="3"/>
      <c r="O42" s="18"/>
    </row>
    <row r="43" spans="2:15" s="1" customFormat="1">
      <c r="B43" s="2"/>
      <c r="J43" s="3"/>
      <c r="K43" s="3"/>
      <c r="L43" s="3"/>
      <c r="M43" s="3"/>
      <c r="N43" s="3"/>
      <c r="O43" s="18"/>
    </row>
    <row r="44" spans="2:15" s="1" customFormat="1">
      <c r="B44" s="2"/>
      <c r="J44" s="3"/>
      <c r="K44" s="3"/>
      <c r="L44" s="3"/>
      <c r="M44" s="3"/>
      <c r="N44" s="3"/>
      <c r="O44" s="18"/>
    </row>
    <row r="45" spans="2:15" s="1" customFormat="1">
      <c r="B45" s="2"/>
      <c r="J45" s="3"/>
      <c r="K45" s="3"/>
      <c r="L45" s="3"/>
      <c r="M45" s="3"/>
      <c r="N45" s="3"/>
      <c r="O45" s="18"/>
    </row>
    <row r="46" spans="2:15" s="1" customFormat="1">
      <c r="B46" s="2"/>
      <c r="J46" s="3"/>
      <c r="K46" s="3"/>
      <c r="L46" s="3"/>
      <c r="M46" s="3"/>
      <c r="N46" s="3"/>
      <c r="O46" s="18"/>
    </row>
    <row r="47" spans="2:15" s="1" customFormat="1">
      <c r="B47" s="2"/>
      <c r="J47" s="3"/>
      <c r="K47" s="3"/>
      <c r="L47" s="3"/>
      <c r="M47" s="3"/>
      <c r="N47" s="3"/>
      <c r="O47" s="18"/>
    </row>
    <row r="48" spans="2:15" s="1" customFormat="1">
      <c r="B48" s="2"/>
      <c r="J48" s="3"/>
      <c r="K48" s="3"/>
      <c r="L48" s="3"/>
      <c r="M48" s="3"/>
      <c r="N48" s="3"/>
      <c r="O48" s="18"/>
    </row>
    <row r="49" spans="2:16" s="1" customFormat="1">
      <c r="B49" s="2"/>
      <c r="J49" s="3"/>
      <c r="K49" s="3"/>
      <c r="L49" s="3"/>
      <c r="M49" s="3"/>
      <c r="N49" s="3"/>
      <c r="O49" s="18"/>
    </row>
    <row r="50" spans="2:16" s="1" customFormat="1">
      <c r="B50" s="2"/>
      <c r="J50" s="3"/>
      <c r="K50" s="3"/>
      <c r="L50" s="3"/>
      <c r="M50" s="3"/>
      <c r="N50" s="3"/>
      <c r="O50" s="18"/>
    </row>
    <row r="51" spans="2:16" s="1" customFormat="1">
      <c r="B51" s="2"/>
      <c r="J51" s="3"/>
      <c r="K51" s="3"/>
      <c r="L51" s="3"/>
      <c r="M51" s="3"/>
      <c r="N51" s="3"/>
      <c r="O51" s="18"/>
    </row>
    <row r="52" spans="2:16" s="1" customFormat="1">
      <c r="B52" s="2"/>
      <c r="J52" s="3"/>
      <c r="K52" s="3"/>
      <c r="L52" s="3"/>
      <c r="M52" s="3"/>
      <c r="N52" s="3"/>
      <c r="O52" s="18"/>
    </row>
    <row r="53" spans="2:16" s="1" customFormat="1">
      <c r="B53" s="2"/>
      <c r="J53" s="3"/>
      <c r="K53" s="3"/>
      <c r="L53" s="3"/>
      <c r="M53" s="3"/>
      <c r="N53" s="3"/>
      <c r="O53" s="18"/>
    </row>
    <row r="54" spans="2:16" s="1" customFormat="1">
      <c r="B54" s="2"/>
      <c r="J54" s="3"/>
      <c r="K54" s="3"/>
      <c r="L54" s="3"/>
      <c r="M54" s="3"/>
      <c r="N54" s="3"/>
      <c r="O54" s="18"/>
    </row>
    <row r="55" spans="2:16" s="1" customFormat="1">
      <c r="B55" s="2"/>
      <c r="J55" s="3"/>
      <c r="K55" s="3"/>
      <c r="L55" s="3"/>
      <c r="M55" s="3"/>
      <c r="N55" s="3"/>
      <c r="O55" s="18"/>
    </row>
    <row r="56" spans="2:16" s="1" customFormat="1">
      <c r="B56" s="2"/>
      <c r="J56" s="3"/>
      <c r="K56" s="3"/>
      <c r="L56" s="3"/>
      <c r="M56" s="3"/>
      <c r="N56" s="3"/>
      <c r="O56" s="27"/>
    </row>
    <row r="57" spans="2:16" s="1" customFormat="1">
      <c r="B57" s="2"/>
      <c r="J57" s="3"/>
      <c r="K57" s="3"/>
      <c r="L57" s="3"/>
      <c r="M57" s="3"/>
      <c r="N57" s="3"/>
      <c r="O57" s="27"/>
      <c r="P57" s="28" t="e">
        <f>#REF!+#REF!</f>
        <v>#REF!</v>
      </c>
    </row>
    <row r="58" spans="2:16" s="1" customFormat="1">
      <c r="B58" s="2"/>
      <c r="J58" s="3"/>
      <c r="K58" s="3"/>
      <c r="L58" s="3"/>
      <c r="M58" s="3"/>
      <c r="N58" s="3"/>
      <c r="O58" s="27"/>
    </row>
    <row r="59" spans="2:16" s="1" customFormat="1">
      <c r="B59" s="2"/>
      <c r="J59" s="3"/>
      <c r="K59" s="3"/>
      <c r="L59" s="3"/>
      <c r="M59" s="3"/>
      <c r="N59" s="3"/>
      <c r="O59" s="27"/>
      <c r="P59" s="28"/>
    </row>
    <row r="60" spans="2:16" s="1" customFormat="1">
      <c r="B60" s="2"/>
      <c r="J60" s="3"/>
      <c r="K60" s="3"/>
      <c r="L60" s="3"/>
      <c r="M60" s="3"/>
      <c r="N60" s="3"/>
      <c r="O60" s="27"/>
      <c r="P60" s="28"/>
    </row>
    <row r="61" spans="2:16" s="1" customFormat="1">
      <c r="B61" s="2"/>
      <c r="J61" s="3"/>
      <c r="K61" s="3"/>
      <c r="L61" s="3"/>
      <c r="M61" s="3"/>
      <c r="N61" s="3"/>
      <c r="O61" s="18"/>
      <c r="P61" s="28"/>
    </row>
    <row r="62" spans="2:16" s="1" customFormat="1">
      <c r="B62" s="2"/>
      <c r="J62" s="3"/>
      <c r="K62" s="3"/>
      <c r="L62" s="3"/>
      <c r="M62" s="3"/>
      <c r="N62" s="3"/>
      <c r="O62" s="18"/>
      <c r="P62" s="28"/>
    </row>
    <row r="63" spans="2:16" s="1" customFormat="1">
      <c r="B63" s="2"/>
      <c r="J63" s="3"/>
      <c r="K63" s="3"/>
      <c r="L63" s="3"/>
      <c r="M63" s="3"/>
      <c r="N63" s="3"/>
      <c r="O63" s="18"/>
      <c r="P63" s="28"/>
    </row>
    <row r="64" spans="2:16" s="1" customFormat="1">
      <c r="B64" s="2"/>
      <c r="J64" s="3"/>
      <c r="K64" s="3"/>
      <c r="L64" s="3"/>
      <c r="M64" s="3"/>
      <c r="N64" s="3"/>
      <c r="O64" s="18"/>
    </row>
    <row r="65" spans="1:17" s="1" customFormat="1">
      <c r="B65" s="2"/>
      <c r="J65" s="3"/>
      <c r="K65" s="3"/>
      <c r="L65" s="3"/>
      <c r="M65" s="3"/>
      <c r="N65" s="3"/>
      <c r="O65" s="18"/>
    </row>
    <row r="66" spans="1:17" s="1" customFormat="1">
      <c r="B66" s="2"/>
      <c r="J66" s="3"/>
      <c r="K66" s="3"/>
      <c r="L66" s="3"/>
      <c r="M66" s="3"/>
      <c r="N66" s="3"/>
      <c r="O66" s="18"/>
    </row>
    <row r="67" spans="1:17" s="1" customFormat="1">
      <c r="B67" s="2"/>
      <c r="J67" s="3"/>
      <c r="K67" s="3"/>
      <c r="L67" s="3"/>
      <c r="M67" s="3"/>
      <c r="N67" s="3"/>
      <c r="O67" s="18"/>
    </row>
    <row r="68" spans="1:17" s="1" customFormat="1">
      <c r="B68" s="2"/>
      <c r="J68" s="3"/>
      <c r="K68" s="3"/>
      <c r="L68" s="3"/>
      <c r="M68" s="3"/>
      <c r="N68" s="3"/>
      <c r="O68" s="18"/>
    </row>
    <row r="69" spans="1:17" s="1" customFormat="1">
      <c r="B69" s="2"/>
      <c r="J69" s="3"/>
      <c r="K69" s="3"/>
      <c r="L69" s="3"/>
      <c r="M69" s="3"/>
      <c r="N69" s="3"/>
      <c r="O69" s="18"/>
    </row>
    <row r="70" spans="1:17" s="1" customFormat="1">
      <c r="B70" s="2"/>
      <c r="J70" s="3"/>
      <c r="K70" s="3"/>
      <c r="L70" s="3"/>
      <c r="M70" s="3"/>
      <c r="N70" s="3"/>
      <c r="Q70" s="28"/>
    </row>
    <row r="71" spans="1:17" s="1" customFormat="1" ht="24" customHeight="1">
      <c r="B71" s="2"/>
      <c r="J71" s="3"/>
      <c r="K71" s="3"/>
      <c r="L71" s="3"/>
      <c r="M71" s="3"/>
      <c r="N71" s="3"/>
      <c r="Q71" s="28"/>
    </row>
    <row r="72" spans="1:17" s="1" customFormat="1" ht="15.75" customHeight="1">
      <c r="B72" s="2"/>
      <c r="J72" s="3"/>
      <c r="K72" s="3"/>
      <c r="L72" s="3"/>
      <c r="M72" s="3"/>
      <c r="N72" s="3"/>
      <c r="Q72" s="28"/>
    </row>
    <row r="73" spans="1:17" s="1" customFormat="1" ht="18" customHeight="1">
      <c r="B73" s="2"/>
      <c r="J73" s="3"/>
      <c r="K73" s="3"/>
      <c r="L73" s="3"/>
      <c r="M73" s="3"/>
      <c r="N73" s="3"/>
      <c r="Q73" s="28"/>
    </row>
    <row r="74" spans="1:17" s="1" customFormat="1" ht="24" customHeight="1">
      <c r="B74" s="2"/>
      <c r="J74" s="3"/>
      <c r="K74" s="3"/>
      <c r="L74" s="3"/>
      <c r="M74" s="3"/>
      <c r="N74" s="3"/>
      <c r="Q74" s="28"/>
    </row>
    <row r="75" spans="1:17" s="28" customFormat="1" ht="18.75" customHeight="1">
      <c r="A75" s="1"/>
      <c r="B75" s="2"/>
      <c r="C75" s="1"/>
      <c r="D75" s="1"/>
      <c r="E75" s="1"/>
      <c r="F75" s="1"/>
      <c r="G75" s="1"/>
      <c r="H75" s="1"/>
      <c r="I75" s="1"/>
      <c r="J75" s="3"/>
      <c r="K75" s="3"/>
      <c r="L75" s="3"/>
      <c r="M75" s="3"/>
      <c r="N75" s="3"/>
      <c r="O75" s="1"/>
      <c r="P75" s="1"/>
      <c r="Q75" s="1"/>
    </row>
    <row r="76" spans="1:17" s="28" customFormat="1" ht="18.75" customHeight="1">
      <c r="A76" s="1"/>
      <c r="B76" s="2"/>
      <c r="C76" s="1"/>
      <c r="D76" s="1"/>
      <c r="E76" s="1"/>
      <c r="F76" s="1"/>
      <c r="G76" s="1"/>
      <c r="H76" s="1"/>
      <c r="I76" s="1"/>
      <c r="J76" s="3"/>
      <c r="K76" s="3"/>
      <c r="L76" s="3"/>
      <c r="M76" s="3"/>
      <c r="N76" s="3"/>
      <c r="O76" s="1"/>
      <c r="P76" s="1"/>
      <c r="Q76" s="1"/>
    </row>
    <row r="77" spans="1:17" s="28" customFormat="1" ht="15.75" customHeight="1">
      <c r="A77" s="1"/>
      <c r="B77" s="2"/>
      <c r="C77" s="1"/>
      <c r="D77" s="1"/>
      <c r="E77" s="1"/>
      <c r="F77" s="1"/>
      <c r="G77" s="1"/>
      <c r="H77" s="1"/>
      <c r="I77" s="1"/>
      <c r="J77" s="3"/>
      <c r="K77" s="3"/>
      <c r="L77" s="3"/>
      <c r="M77" s="3"/>
      <c r="N77" s="3"/>
      <c r="O77" s="1"/>
      <c r="P77" s="1"/>
      <c r="Q77" s="1"/>
    </row>
    <row r="78" spans="1:17" s="28" customFormat="1" ht="15.75" customHeight="1">
      <c r="A78" s="1"/>
      <c r="B78" s="2"/>
      <c r="C78" s="1"/>
      <c r="D78" s="1"/>
      <c r="E78" s="1"/>
      <c r="F78" s="1"/>
      <c r="G78" s="1"/>
      <c r="H78" s="1"/>
      <c r="I78" s="1"/>
      <c r="J78" s="3"/>
      <c r="K78" s="3"/>
      <c r="L78" s="3"/>
      <c r="M78" s="3"/>
      <c r="N78" s="3"/>
      <c r="O78" s="1"/>
      <c r="P78" s="1"/>
      <c r="Q78" s="1"/>
    </row>
    <row r="79" spans="1:17" s="28" customFormat="1" ht="15.75" customHeight="1">
      <c r="A79" s="1"/>
      <c r="B79" s="2"/>
      <c r="C79" s="1"/>
      <c r="D79" s="1"/>
      <c r="E79" s="1"/>
      <c r="F79" s="1"/>
      <c r="G79" s="1"/>
      <c r="H79" s="1"/>
      <c r="I79" s="1"/>
      <c r="J79" s="3"/>
      <c r="K79" s="3"/>
      <c r="L79" s="3"/>
      <c r="M79" s="3"/>
      <c r="N79" s="3"/>
      <c r="O79" s="1"/>
      <c r="P79" s="1"/>
      <c r="Q79" s="1"/>
    </row>
    <row r="81" spans="2:14" s="1" customFormat="1">
      <c r="B81" s="2"/>
      <c r="J81" s="3"/>
      <c r="K81" s="3"/>
      <c r="L81" s="3"/>
      <c r="M81" s="3"/>
      <c r="N81" s="3"/>
    </row>
    <row r="83" spans="2:14" s="1" customFormat="1" ht="16.5" customHeight="1">
      <c r="B83" s="2"/>
      <c r="J83" s="3"/>
      <c r="K83" s="3"/>
      <c r="L83" s="3"/>
      <c r="M83" s="3"/>
      <c r="N83" s="3"/>
    </row>
  </sheetData>
  <mergeCells count="10">
    <mergeCell ref="A11:C11"/>
    <mergeCell ref="A13:H13"/>
    <mergeCell ref="I13:J13"/>
    <mergeCell ref="K13:L13"/>
    <mergeCell ref="M13:N13"/>
    <mergeCell ref="A8:C8"/>
    <mergeCell ref="D8:H8"/>
    <mergeCell ref="A9:C9"/>
    <mergeCell ref="D9:H9"/>
    <mergeCell ref="A10:C10"/>
  </mergeCells>
  <pageMargins left="0.196527777777778" right="0.196527777777778" top="0.196527777777778" bottom="0.19722222222222199" header="0.511811023622047" footer="0.511811023622047"/>
  <pageSetup paperSize="9" scale="79" fitToHeight="0" orientation="landscape" verticalDpi="300" r:id="rId1"/>
  <colBreaks count="1" manualBreakCount="1">
    <brk id="4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1b88ae2-0e2d-4079-9a0f-51e43cfd1270">
      <Terms xmlns="http://schemas.microsoft.com/office/infopath/2007/PartnerControls"/>
    </lcf76f155ced4ddcb4097134ff3c332f>
    <TaxCatchAll xmlns="fe736b38-fedc-4634-86ad-5cbc1a02531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72E7C90F1DF5C47A471A71F400DB3C2" ma:contentTypeVersion="12" ma:contentTypeDescription="Vytvoří nový dokument" ma:contentTypeScope="" ma:versionID="22786a278b384cfbb642d563402edd09">
  <xsd:schema xmlns:xsd="http://www.w3.org/2001/XMLSchema" xmlns:xs="http://www.w3.org/2001/XMLSchema" xmlns:p="http://schemas.microsoft.com/office/2006/metadata/properties" xmlns:ns2="71b88ae2-0e2d-4079-9a0f-51e43cfd1270" xmlns:ns3="fe736b38-fedc-4634-86ad-5cbc1a02531b" targetNamespace="http://schemas.microsoft.com/office/2006/metadata/properties" ma:root="true" ma:fieldsID="c1b7fda6eece535b65a12366cdd3c0d7" ns2:_="" ns3:_="">
    <xsd:import namespace="71b88ae2-0e2d-4079-9a0f-51e43cfd1270"/>
    <xsd:import namespace="fe736b38-fedc-4634-86ad-5cbc1a02531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88ae2-0e2d-4079-9a0f-51e43cfd127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Značky obrázků" ma:readOnly="false" ma:fieldId="{5cf76f15-5ced-4ddc-b409-7134ff3c332f}" ma:taxonomyMulti="true" ma:sspId="730525b8-184a-4cb6-b457-57c8a3a5749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736b38-fedc-4634-86ad-5cbc1a02531b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c883914-250c-4b97-b5bd-06c70ae8fd64}" ma:internalName="TaxCatchAll" ma:showField="CatchAllData" ma:web="fe736b38-fedc-4634-86ad-5cbc1a02531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obsahu"/>
        <xsd:element ref="dc:title" minOccurs="0" maxOccurs="1" ma:index="4" ma:displayName="Nadpis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9E301C7-AD63-4C30-B50C-86940F3F075B}">
  <ds:schemaRefs>
    <ds:schemaRef ds:uri="http://schemas.microsoft.com/office/2006/metadata/properties"/>
    <ds:schemaRef ds:uri="http://schemas.microsoft.com/office/infopath/2007/PartnerControls"/>
    <ds:schemaRef ds:uri="71b88ae2-0e2d-4079-9a0f-51e43cfd1270"/>
    <ds:schemaRef ds:uri="fe736b38-fedc-4634-86ad-5cbc1a02531b"/>
  </ds:schemaRefs>
</ds:datastoreItem>
</file>

<file path=customXml/itemProps2.xml><?xml version="1.0" encoding="utf-8"?>
<ds:datastoreItem xmlns:ds="http://schemas.openxmlformats.org/officeDocument/2006/customXml" ds:itemID="{C49231E9-F988-48BB-B6D5-54E6BB65E8F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0F0B94E-DDB5-4AED-BA40-4DFA646CB2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b88ae2-0e2d-4079-9a0f-51e43cfd1270"/>
    <ds:schemaRef ds:uri="fe736b38-fedc-4634-86ad-5cbc1a02531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70</TotalTime>
  <Application>Microsoft Macintosh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2</vt:i4>
      </vt:variant>
    </vt:vector>
  </HeadingPairs>
  <TitlesOfParts>
    <vt:vector size="3" baseType="lpstr">
      <vt:lpstr>CENOVÁ NABÍDKA</vt:lpstr>
      <vt:lpstr>'CENOVÁ NABÍDKA'!Názvy_tisku</vt:lpstr>
      <vt:lpstr>'CENOVÁ NABÍDKA'!Oblast_tisku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Zbranek Jakub</dc:creator>
  <dc:description/>
  <cp:lastModifiedBy>Ladislav Vacek</cp:lastModifiedBy>
  <cp:revision>17</cp:revision>
  <cp:lastPrinted>2026-04-20T06:27:12Z</cp:lastPrinted>
  <dcterms:created xsi:type="dcterms:W3CDTF">2001-04-05T08:51:46Z</dcterms:created>
  <dcterms:modified xsi:type="dcterms:W3CDTF">2026-04-29T13:50:30Z</dcterms:modified>
  <dc:language>cs-CZ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0x010100E72E7C90F1DF5C47A471A71F400DB3C2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
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prokopovo\Documents\ROZPOČTOVÁNÍ\19-26 (Daliborova 24, Hostivař, Praha)\"/>
    </mc:Choice>
  </mc:AlternateContent>
  <bookViews>
    <workbookView xWindow="0" yWindow="0" windowWidth="0" windowHeight="0"/>
  </bookViews>
  <sheets>
    <sheet name="Rekapitulace stavby" sheetId="1" r:id="rId1"/>
    <sheet name="19-26 - Daliborova 24, Ho..." sheetId="2" r:id="rId2"/>
  </sheets>
  <definedNames>
    <definedName name="_xlnm.Print_Area" localSheetId="0">'Rekapitulace stavby'!$D$4:$AO$76,'Rekapitulace stavby'!$C$82:$AQ$96</definedName>
    <definedName name="_xlnm.Print_Titles" localSheetId="0">'Rekapitulace stavby'!$92:$92</definedName>
    <definedName name="_xlnm._FilterDatabase" localSheetId="1" hidden="1">'19-26 - Daliborova 24, Ho...'!$C$125:$L$312</definedName>
    <definedName name="_xlnm.Print_Area" localSheetId="1">'19-26 - Daliborova 24, Ho...'!$C$4:$K$76,'19-26 - Daliborova 24, Ho...'!$C$82:$K$109,'19-26 - Daliborova 24, Ho...'!$C$115:$L$312</definedName>
    <definedName name="_xlnm.Print_Titles" localSheetId="1">'19-26 - Daliborova 24, Ho...'!$125:$125</definedName>
  </definedNames>
  <calcPr/>
</workbook>
</file>

<file path=xl/calcChain.xml><?xml version="1.0" encoding="utf-8"?>
<calcChain xmlns="http://schemas.openxmlformats.org/spreadsheetml/2006/main">
  <c i="2" l="1" r="K37"/>
  <c r="K36"/>
  <c i="1" r="BA95"/>
  <c i="2" r="K35"/>
  <c i="1" r="AZ95"/>
  <c i="2" r="BI311"/>
  <c r="BH311"/>
  <c r="BG311"/>
  <c r="BF311"/>
  <c r="X311"/>
  <c r="X310"/>
  <c r="X309"/>
  <c r="V311"/>
  <c r="V310"/>
  <c r="V309"/>
  <c r="T311"/>
  <c r="T310"/>
  <c r="T309"/>
  <c r="P311"/>
  <c r="BI307"/>
  <c r="BH307"/>
  <c r="BG307"/>
  <c r="BF307"/>
  <c r="X307"/>
  <c r="X306"/>
  <c r="V307"/>
  <c r="V306"/>
  <c r="T307"/>
  <c r="T306"/>
  <c r="P307"/>
  <c r="BI304"/>
  <c r="BH304"/>
  <c r="BG304"/>
  <c r="BF304"/>
  <c r="X304"/>
  <c r="V304"/>
  <c r="T304"/>
  <c r="P304"/>
  <c r="BI302"/>
  <c r="BH302"/>
  <c r="BG302"/>
  <c r="BF302"/>
  <c r="X302"/>
  <c r="V302"/>
  <c r="T302"/>
  <c r="P302"/>
  <c r="BI300"/>
  <c r="BH300"/>
  <c r="BG300"/>
  <c r="BF300"/>
  <c r="X300"/>
  <c r="V300"/>
  <c r="T300"/>
  <c r="P300"/>
  <c r="BI298"/>
  <c r="BH298"/>
  <c r="BG298"/>
  <c r="BF298"/>
  <c r="X298"/>
  <c r="V298"/>
  <c r="T298"/>
  <c r="P298"/>
  <c r="BI296"/>
  <c r="BH296"/>
  <c r="BG296"/>
  <c r="BF296"/>
  <c r="X296"/>
  <c r="V296"/>
  <c r="T296"/>
  <c r="P296"/>
  <c r="BI293"/>
  <c r="BH293"/>
  <c r="BG293"/>
  <c r="BF293"/>
  <c r="X293"/>
  <c r="V293"/>
  <c r="T293"/>
  <c r="P293"/>
  <c r="BI291"/>
  <c r="BH291"/>
  <c r="BG291"/>
  <c r="BF291"/>
  <c r="X291"/>
  <c r="V291"/>
  <c r="T291"/>
  <c r="P291"/>
  <c r="BI289"/>
  <c r="BH289"/>
  <c r="BG289"/>
  <c r="BF289"/>
  <c r="X289"/>
  <c r="V289"/>
  <c r="T289"/>
  <c r="P289"/>
  <c r="BI286"/>
  <c r="BH286"/>
  <c r="BG286"/>
  <c r="BF286"/>
  <c r="X286"/>
  <c r="V286"/>
  <c r="T286"/>
  <c r="P286"/>
  <c r="BI282"/>
  <c r="BH282"/>
  <c r="BG282"/>
  <c r="BF282"/>
  <c r="X282"/>
  <c r="V282"/>
  <c r="T282"/>
  <c r="P282"/>
  <c r="BI280"/>
  <c r="BH280"/>
  <c r="BG280"/>
  <c r="BF280"/>
  <c r="X280"/>
  <c r="V280"/>
  <c r="T280"/>
  <c r="P280"/>
  <c r="BI278"/>
  <c r="BH278"/>
  <c r="BG278"/>
  <c r="BF278"/>
  <c r="X278"/>
  <c r="V278"/>
  <c r="T278"/>
  <c r="P278"/>
  <c r="BI275"/>
  <c r="BH275"/>
  <c r="BG275"/>
  <c r="BF275"/>
  <c r="X275"/>
  <c r="V275"/>
  <c r="T275"/>
  <c r="P275"/>
  <c r="BI273"/>
  <c r="BH273"/>
  <c r="BG273"/>
  <c r="BF273"/>
  <c r="X273"/>
  <c r="V273"/>
  <c r="T273"/>
  <c r="P273"/>
  <c r="BI271"/>
  <c r="BH271"/>
  <c r="BG271"/>
  <c r="BF271"/>
  <c r="X271"/>
  <c r="V271"/>
  <c r="T271"/>
  <c r="P271"/>
  <c r="BI269"/>
  <c r="BH269"/>
  <c r="BG269"/>
  <c r="BF269"/>
  <c r="X269"/>
  <c r="V269"/>
  <c r="T269"/>
  <c r="P269"/>
  <c r="BI267"/>
  <c r="BH267"/>
  <c r="BG267"/>
  <c r="BF267"/>
  <c r="X267"/>
  <c r="V267"/>
  <c r="T267"/>
  <c r="P267"/>
  <c r="BI265"/>
  <c r="BH265"/>
  <c r="BG265"/>
  <c r="BF265"/>
  <c r="X265"/>
  <c r="V265"/>
  <c r="T265"/>
  <c r="P265"/>
  <c r="BI263"/>
  <c r="BH263"/>
  <c r="BG263"/>
  <c r="BF263"/>
  <c r="X263"/>
  <c r="V263"/>
  <c r="T263"/>
  <c r="P263"/>
  <c r="BI261"/>
  <c r="BH261"/>
  <c r="BG261"/>
  <c r="BF261"/>
  <c r="X261"/>
  <c r="V261"/>
  <c r="T261"/>
  <c r="P261"/>
  <c r="BI257"/>
  <c r="BH257"/>
  <c r="BG257"/>
  <c r="BF257"/>
  <c r="X257"/>
  <c r="V257"/>
  <c r="T257"/>
  <c r="P257"/>
  <c r="BI253"/>
  <c r="BH253"/>
  <c r="BG253"/>
  <c r="BF253"/>
  <c r="X253"/>
  <c r="V253"/>
  <c r="T253"/>
  <c r="P253"/>
  <c r="BI250"/>
  <c r="BH250"/>
  <c r="BG250"/>
  <c r="BF250"/>
  <c r="X250"/>
  <c r="V250"/>
  <c r="T250"/>
  <c r="P250"/>
  <c r="BI247"/>
  <c r="BH247"/>
  <c r="BG247"/>
  <c r="BF247"/>
  <c r="X247"/>
  <c r="V247"/>
  <c r="T247"/>
  <c r="P247"/>
  <c r="BI244"/>
  <c r="BH244"/>
  <c r="BG244"/>
  <c r="BF244"/>
  <c r="X244"/>
  <c r="V244"/>
  <c r="T244"/>
  <c r="P244"/>
  <c r="BI242"/>
  <c r="BH242"/>
  <c r="BG242"/>
  <c r="BF242"/>
  <c r="X242"/>
  <c r="V242"/>
  <c r="T242"/>
  <c r="P242"/>
  <c r="BI240"/>
  <c r="BH240"/>
  <c r="BG240"/>
  <c r="BF240"/>
  <c r="X240"/>
  <c r="V240"/>
  <c r="T240"/>
  <c r="P240"/>
  <c r="BI237"/>
  <c r="BH237"/>
  <c r="BG237"/>
  <c r="BF237"/>
  <c r="X237"/>
  <c r="V237"/>
  <c r="T237"/>
  <c r="P237"/>
  <c r="BI235"/>
  <c r="BH235"/>
  <c r="BG235"/>
  <c r="BF235"/>
  <c r="X235"/>
  <c r="V235"/>
  <c r="T235"/>
  <c r="P235"/>
  <c r="BI232"/>
  <c r="BH232"/>
  <c r="BG232"/>
  <c r="BF232"/>
  <c r="X232"/>
  <c r="V232"/>
  <c r="T232"/>
  <c r="P232"/>
  <c r="BI230"/>
  <c r="BH230"/>
  <c r="BG230"/>
  <c r="BF230"/>
  <c r="X230"/>
  <c r="V230"/>
  <c r="T230"/>
  <c r="P230"/>
  <c r="BI226"/>
  <c r="BH226"/>
  <c r="BG226"/>
  <c r="BF226"/>
  <c r="X226"/>
  <c r="V226"/>
  <c r="T226"/>
  <c r="P226"/>
  <c r="BI224"/>
  <c r="BH224"/>
  <c r="BG224"/>
  <c r="BF224"/>
  <c r="X224"/>
  <c r="V224"/>
  <c r="T224"/>
  <c r="P224"/>
  <c r="BI222"/>
  <c r="BH222"/>
  <c r="BG222"/>
  <c r="BF222"/>
  <c r="X222"/>
  <c r="V222"/>
  <c r="T222"/>
  <c r="P222"/>
  <c r="BI220"/>
  <c r="BH220"/>
  <c r="BG220"/>
  <c r="BF220"/>
  <c r="X220"/>
  <c r="V220"/>
  <c r="T220"/>
  <c r="P220"/>
  <c r="BI216"/>
  <c r="BH216"/>
  <c r="BG216"/>
  <c r="BF216"/>
  <c r="X216"/>
  <c r="X215"/>
  <c r="V216"/>
  <c r="V215"/>
  <c r="T216"/>
  <c r="T215"/>
  <c r="P216"/>
  <c r="BI212"/>
  <c r="BH212"/>
  <c r="BG212"/>
  <c r="BF212"/>
  <c r="X212"/>
  <c r="V212"/>
  <c r="T212"/>
  <c r="P212"/>
  <c r="BI210"/>
  <c r="BH210"/>
  <c r="BG210"/>
  <c r="BF210"/>
  <c r="X210"/>
  <c r="V210"/>
  <c r="T210"/>
  <c r="P210"/>
  <c r="BI208"/>
  <c r="BH208"/>
  <c r="BG208"/>
  <c r="BF208"/>
  <c r="X208"/>
  <c r="V208"/>
  <c r="T208"/>
  <c r="P208"/>
  <c r="BI205"/>
  <c r="BH205"/>
  <c r="BG205"/>
  <c r="BF205"/>
  <c r="X205"/>
  <c r="V205"/>
  <c r="T205"/>
  <c r="P205"/>
  <c r="BI202"/>
  <c r="BH202"/>
  <c r="BG202"/>
  <c r="BF202"/>
  <c r="X202"/>
  <c r="V202"/>
  <c r="T202"/>
  <c r="P202"/>
  <c r="BI199"/>
  <c r="BH199"/>
  <c r="BG199"/>
  <c r="BF199"/>
  <c r="X199"/>
  <c r="V199"/>
  <c r="T199"/>
  <c r="P199"/>
  <c r="BI197"/>
  <c r="BH197"/>
  <c r="BG197"/>
  <c r="BF197"/>
  <c r="X197"/>
  <c r="V197"/>
  <c r="T197"/>
  <c r="P197"/>
  <c r="BI195"/>
  <c r="BH195"/>
  <c r="BG195"/>
  <c r="BF195"/>
  <c r="X195"/>
  <c r="V195"/>
  <c r="T195"/>
  <c r="P195"/>
  <c r="BI193"/>
  <c r="BH193"/>
  <c r="BG193"/>
  <c r="BF193"/>
  <c r="X193"/>
  <c r="V193"/>
  <c r="T193"/>
  <c r="P193"/>
  <c r="BI191"/>
  <c r="BH191"/>
  <c r="BG191"/>
  <c r="BF191"/>
  <c r="X191"/>
  <c r="V191"/>
  <c r="T191"/>
  <c r="P191"/>
  <c r="BI188"/>
  <c r="BH188"/>
  <c r="BG188"/>
  <c r="BF188"/>
  <c r="X188"/>
  <c r="V188"/>
  <c r="T188"/>
  <c r="P188"/>
  <c r="BI186"/>
  <c r="BH186"/>
  <c r="BG186"/>
  <c r="BF186"/>
  <c r="X186"/>
  <c r="V186"/>
  <c r="T186"/>
  <c r="P186"/>
  <c r="BI184"/>
  <c r="BH184"/>
  <c r="BG184"/>
  <c r="BF184"/>
  <c r="X184"/>
  <c r="V184"/>
  <c r="T184"/>
  <c r="P184"/>
  <c r="BI180"/>
  <c r="BH180"/>
  <c r="BG180"/>
  <c r="BF180"/>
  <c r="X180"/>
  <c r="V180"/>
  <c r="T180"/>
  <c r="P180"/>
  <c r="BI177"/>
  <c r="BH177"/>
  <c r="BG177"/>
  <c r="BF177"/>
  <c r="X177"/>
  <c r="V177"/>
  <c r="T177"/>
  <c r="P177"/>
  <c r="BI175"/>
  <c r="BH175"/>
  <c r="BG175"/>
  <c r="BF175"/>
  <c r="X175"/>
  <c r="V175"/>
  <c r="T175"/>
  <c r="P175"/>
  <c r="BI172"/>
  <c r="BH172"/>
  <c r="BG172"/>
  <c r="BF172"/>
  <c r="X172"/>
  <c r="V172"/>
  <c r="T172"/>
  <c r="P172"/>
  <c r="BI169"/>
  <c r="BH169"/>
  <c r="BG169"/>
  <c r="BF169"/>
  <c r="X169"/>
  <c r="V169"/>
  <c r="T169"/>
  <c r="P169"/>
  <c r="BI166"/>
  <c r="BH166"/>
  <c r="BG166"/>
  <c r="BF166"/>
  <c r="X166"/>
  <c r="V166"/>
  <c r="T166"/>
  <c r="P166"/>
  <c r="BI162"/>
  <c r="BH162"/>
  <c r="BG162"/>
  <c r="BF162"/>
  <c r="X162"/>
  <c r="V162"/>
  <c r="T162"/>
  <c r="P162"/>
  <c r="BI160"/>
  <c r="BH160"/>
  <c r="BG160"/>
  <c r="BF160"/>
  <c r="X160"/>
  <c r="V160"/>
  <c r="T160"/>
  <c r="P160"/>
  <c r="BI158"/>
  <c r="BH158"/>
  <c r="BG158"/>
  <c r="BF158"/>
  <c r="X158"/>
  <c r="V158"/>
  <c r="T158"/>
  <c r="P158"/>
  <c r="BI155"/>
  <c r="BH155"/>
  <c r="BG155"/>
  <c r="BF155"/>
  <c r="X155"/>
  <c r="V155"/>
  <c r="T155"/>
  <c r="P155"/>
  <c r="BI153"/>
  <c r="BH153"/>
  <c r="BG153"/>
  <c r="BF153"/>
  <c r="X153"/>
  <c r="V153"/>
  <c r="T153"/>
  <c r="P153"/>
  <c r="BI151"/>
  <c r="BH151"/>
  <c r="BG151"/>
  <c r="BF151"/>
  <c r="X151"/>
  <c r="V151"/>
  <c r="T151"/>
  <c r="P151"/>
  <c r="BI148"/>
  <c r="BH148"/>
  <c r="BG148"/>
  <c r="BF148"/>
  <c r="X148"/>
  <c r="V148"/>
  <c r="T148"/>
  <c r="P148"/>
  <c r="BI146"/>
  <c r="BH146"/>
  <c r="BG146"/>
  <c r="BF146"/>
  <c r="X146"/>
  <c r="V146"/>
  <c r="T146"/>
  <c r="P146"/>
  <c r="BI144"/>
  <c r="BH144"/>
  <c r="BG144"/>
  <c r="BF144"/>
  <c r="X144"/>
  <c r="V144"/>
  <c r="T144"/>
  <c r="P144"/>
  <c r="BI141"/>
  <c r="BH141"/>
  <c r="BG141"/>
  <c r="BF141"/>
  <c r="X141"/>
  <c r="V141"/>
  <c r="T141"/>
  <c r="P141"/>
  <c r="BI139"/>
  <c r="BH139"/>
  <c r="BG139"/>
  <c r="BF139"/>
  <c r="X139"/>
  <c r="V139"/>
  <c r="T139"/>
  <c r="P139"/>
  <c r="BI137"/>
  <c r="BH137"/>
  <c r="BG137"/>
  <c r="BF137"/>
  <c r="X137"/>
  <c r="V137"/>
  <c r="T137"/>
  <c r="P137"/>
  <c r="BI134"/>
  <c r="BH134"/>
  <c r="BG134"/>
  <c r="BF134"/>
  <c r="X134"/>
  <c r="V134"/>
  <c r="T134"/>
  <c r="P134"/>
  <c r="BI132"/>
  <c r="BH132"/>
  <c r="BG132"/>
  <c r="BF132"/>
  <c r="X132"/>
  <c r="V132"/>
  <c r="T132"/>
  <c r="P132"/>
  <c r="BI129"/>
  <c r="BH129"/>
  <c r="BG129"/>
  <c r="BF129"/>
  <c r="X129"/>
  <c r="X128"/>
  <c r="V129"/>
  <c r="V128"/>
  <c r="T129"/>
  <c r="T128"/>
  <c r="P129"/>
  <c r="F120"/>
  <c r="E118"/>
  <c r="F87"/>
  <c r="E85"/>
  <c r="J22"/>
  <c r="E22"/>
  <c r="J123"/>
  <c r="J21"/>
  <c r="J19"/>
  <c r="E19"/>
  <c r="J122"/>
  <c r="J18"/>
  <c r="J16"/>
  <c r="E16"/>
  <c r="F90"/>
  <c r="J15"/>
  <c r="J13"/>
  <c r="E13"/>
  <c r="F122"/>
  <c r="J12"/>
  <c r="J10"/>
  <c r="J120"/>
  <c i="1" r="L90"/>
  <c r="AM90"/>
  <c r="AM89"/>
  <c r="L89"/>
  <c r="AM87"/>
  <c r="L87"/>
  <c r="L85"/>
  <c r="L84"/>
  <c i="2" r="R311"/>
  <c i="1" r="AU94"/>
  <c i="2" r="Q304"/>
  <c r="Q298"/>
  <c r="R289"/>
  <c r="R280"/>
  <c r="R278"/>
  <c r="R271"/>
  <c r="R269"/>
  <c r="Q261"/>
  <c r="Q257"/>
  <c r="Q253"/>
  <c r="R247"/>
  <c r="Q237"/>
  <c r="Q235"/>
  <c r="Q230"/>
  <c r="Q224"/>
  <c r="Q222"/>
  <c r="Q220"/>
  <c r="Q216"/>
  <c r="Q210"/>
  <c r="R202"/>
  <c r="Q195"/>
  <c r="Q193"/>
  <c r="R188"/>
  <c r="R160"/>
  <c r="Q153"/>
  <c r="R151"/>
  <c r="R146"/>
  <c r="Q139"/>
  <c r="Q132"/>
  <c r="Q129"/>
  <c r="R304"/>
  <c r="R302"/>
  <c r="R300"/>
  <c r="R298"/>
  <c r="Q296"/>
  <c r="R293"/>
  <c r="R291"/>
  <c r="Q286"/>
  <c r="R282"/>
  <c r="R273"/>
  <c r="Q265"/>
  <c r="Q263"/>
  <c r="Q250"/>
  <c r="R244"/>
  <c r="Q212"/>
  <c r="Q208"/>
  <c r="Q205"/>
  <c r="Q199"/>
  <c r="R197"/>
  <c r="R191"/>
  <c r="Q186"/>
  <c r="Q184"/>
  <c r="R180"/>
  <c r="Q177"/>
  <c r="Q175"/>
  <c r="R172"/>
  <c r="Q169"/>
  <c r="Q166"/>
  <c r="R162"/>
  <c r="R155"/>
  <c r="R148"/>
  <c r="Q144"/>
  <c r="Q141"/>
  <c r="Q137"/>
  <c r="Q134"/>
  <c r="R307"/>
  <c r="Q307"/>
  <c r="Q302"/>
  <c r="Q300"/>
  <c r="R296"/>
  <c r="Q293"/>
  <c r="Q291"/>
  <c r="Q289"/>
  <c r="R286"/>
  <c r="Q282"/>
  <c r="Q280"/>
  <c r="Q278"/>
  <c r="R275"/>
  <c r="Q267"/>
  <c r="R265"/>
  <c r="R263"/>
  <c r="R257"/>
  <c r="Q247"/>
  <c r="Q240"/>
  <c r="R237"/>
  <c r="R232"/>
  <c r="Q232"/>
  <c r="R230"/>
  <c r="Q226"/>
  <c r="R224"/>
  <c r="R216"/>
  <c r="R205"/>
  <c r="Q202"/>
  <c r="R199"/>
  <c r="Q197"/>
  <c r="Q191"/>
  <c r="R177"/>
  <c r="R175"/>
  <c r="Q172"/>
  <c r="R166"/>
  <c r="R158"/>
  <c r="Q151"/>
  <c r="Q148"/>
  <c r="R137"/>
  <c r="Q275"/>
  <c r="Q273"/>
  <c r="Q271"/>
  <c r="Q269"/>
  <c r="R267"/>
  <c r="R261"/>
  <c r="R253"/>
  <c r="R250"/>
  <c r="Q244"/>
  <c r="R242"/>
  <c r="Q242"/>
  <c r="R240"/>
  <c r="R235"/>
  <c r="R226"/>
  <c r="R222"/>
  <c r="R220"/>
  <c r="R212"/>
  <c r="R210"/>
  <c r="R208"/>
  <c r="R195"/>
  <c r="R193"/>
  <c r="Q188"/>
  <c r="R186"/>
  <c r="R184"/>
  <c r="Q180"/>
  <c r="R169"/>
  <c r="Q162"/>
  <c r="Q160"/>
  <c r="Q158"/>
  <c r="Q155"/>
  <c r="R153"/>
  <c r="Q146"/>
  <c r="R144"/>
  <c r="R141"/>
  <c r="R139"/>
  <c r="R134"/>
  <c r="R132"/>
  <c r="R129"/>
  <c r="Q311"/>
  <c r="BK307"/>
  <c r="BK306"/>
  <c r="K306"/>
  <c r="K106"/>
  <c r="BK304"/>
  <c r="BK302"/>
  <c r="BK300"/>
  <c r="BK298"/>
  <c r="K296"/>
  <c r="BE296"/>
  <c r="K293"/>
  <c r="BE293"/>
  <c r="BK291"/>
  <c r="BK286"/>
  <c r="K282"/>
  <c r="BE282"/>
  <c r="BK273"/>
  <c r="BK271"/>
  <c r="BK269"/>
  <c r="K267"/>
  <c r="BE267"/>
  <c r="K261"/>
  <c r="BE261"/>
  <c r="BK257"/>
  <c r="BK253"/>
  <c r="K244"/>
  <c r="BE244"/>
  <c r="BK240"/>
  <c r="K237"/>
  <c r="BE237"/>
  <c r="BK235"/>
  <c r="K226"/>
  <c r="BE226"/>
  <c r="BK148"/>
  <c r="K141"/>
  <c r="BE141"/>
  <c r="BK139"/>
  <c r="K129"/>
  <c r="BE129"/>
  <c r="K265"/>
  <c r="BE265"/>
  <c r="BK247"/>
  <c r="BK232"/>
  <c r="K212"/>
  <c r="BE212"/>
  <c r="BK210"/>
  <c r="BK202"/>
  <c r="K197"/>
  <c r="BE197"/>
  <c r="K195"/>
  <c r="BE195"/>
  <c r="BK188"/>
  <c r="BK180"/>
  <c r="BK175"/>
  <c r="K172"/>
  <c r="BE172"/>
  <c r="BK169"/>
  <c r="BK166"/>
  <c r="K153"/>
  <c r="BE153"/>
  <c r="BK146"/>
  <c r="BK311"/>
  <c r="BK310"/>
  <c r="K310"/>
  <c r="K108"/>
  <c r="BK289"/>
  <c r="BK280"/>
  <c r="BK278"/>
  <c r="BK275"/>
  <c r="BK263"/>
  <c r="K250"/>
  <c r="BE250"/>
  <c r="BK242"/>
  <c r="BK230"/>
  <c r="BK224"/>
  <c r="BK222"/>
  <c r="BK220"/>
  <c r="K216"/>
  <c r="BE216"/>
  <c r="K208"/>
  <c r="BE208"/>
  <c r="BK205"/>
  <c r="K199"/>
  <c r="BE199"/>
  <c r="K193"/>
  <c r="BE193"/>
  <c r="K191"/>
  <c r="BE191"/>
  <c r="K186"/>
  <c r="BE186"/>
  <c r="BK184"/>
  <c r="K177"/>
  <c r="BE177"/>
  <c r="K162"/>
  <c r="BE162"/>
  <c r="K160"/>
  <c r="BE160"/>
  <c r="BK158"/>
  <c r="K151"/>
  <c r="BE151"/>
  <c r="BK137"/>
  <c r="BK132"/>
  <c r="BK155"/>
  <c r="BK144"/>
  <c r="BK134"/>
  <c l="1" r="Q295"/>
  <c r="I105"/>
  <c r="R165"/>
  <c r="J100"/>
  <c r="T183"/>
  <c r="X183"/>
  <c r="V295"/>
  <c r="R131"/>
  <c r="J97"/>
  <c r="X157"/>
  <c r="R157"/>
  <c r="J98"/>
  <c r="T165"/>
  <c r="T219"/>
  <c r="V219"/>
  <c r="X219"/>
  <c r="Q219"/>
  <c r="I103"/>
  <c r="R219"/>
  <c r="J103"/>
  <c r="V229"/>
  <c r="X295"/>
  <c r="V131"/>
  <c r="V127"/>
  <c r="V157"/>
  <c r="Q157"/>
  <c r="I98"/>
  <c r="X165"/>
  <c r="R229"/>
  <c r="J104"/>
  <c r="Q229"/>
  <c r="I104"/>
  <c r="X131"/>
  <c r="X127"/>
  <c r="T229"/>
  <c r="R295"/>
  <c r="J105"/>
  <c r="T131"/>
  <c r="T127"/>
  <c r="Q131"/>
  <c r="I97"/>
  <c r="T157"/>
  <c r="V165"/>
  <c r="Q165"/>
  <c r="V183"/>
  <c r="Q183"/>
  <c r="I101"/>
  <c r="R183"/>
  <c r="J101"/>
  <c r="X229"/>
  <c r="T295"/>
  <c r="Q306"/>
  <c r="I106"/>
  <c r="J89"/>
  <c r="R215"/>
  <c r="J102"/>
  <c r="J87"/>
  <c r="F123"/>
  <c r="R128"/>
  <c r="R127"/>
  <c r="J95"/>
  <c r="R306"/>
  <c r="J106"/>
  <c r="BK309"/>
  <c r="K309"/>
  <c r="K107"/>
  <c r="F89"/>
  <c r="J90"/>
  <c r="Q128"/>
  <c r="Q127"/>
  <c r="Q310"/>
  <c r="I108"/>
  <c r="Q215"/>
  <c r="I102"/>
  <c r="R310"/>
  <c r="J108"/>
  <c r="K34"/>
  <c i="1" r="AY95"/>
  <c i="2" r="K137"/>
  <c r="BE137"/>
  <c r="K155"/>
  <c r="BE155"/>
  <c r="K175"/>
  <c r="BE175"/>
  <c r="BK197"/>
  <c r="BK212"/>
  <c r="BK226"/>
  <c r="BK219"/>
  <c r="K219"/>
  <c r="K103"/>
  <c r="BK244"/>
  <c r="K210"/>
  <c r="BE210"/>
  <c r="BK282"/>
  <c r="K300"/>
  <c r="BE300"/>
  <c r="K247"/>
  <c r="BE247"/>
  <c r="K280"/>
  <c r="BE280"/>
  <c r="F37"/>
  <c i="1" r="BF95"/>
  <c r="BF94"/>
  <c r="W33"/>
  <c i="2" r="K139"/>
  <c r="BE139"/>
  <c r="BK193"/>
  <c r="K202"/>
  <c r="BE202"/>
  <c r="K230"/>
  <c r="BE230"/>
  <c r="K271"/>
  <c r="BE271"/>
  <c r="K148"/>
  <c r="BE148"/>
  <c r="K166"/>
  <c r="BE166"/>
  <c r="K240"/>
  <c r="BE240"/>
  <c r="K286"/>
  <c r="BE286"/>
  <c r="K302"/>
  <c r="BE302"/>
  <c r="BK265"/>
  <c r="F36"/>
  <c i="1" r="BE95"/>
  <c r="BE94"/>
  <c r="W32"/>
  <c i="2" r="K222"/>
  <c r="BE222"/>
  <c r="K242"/>
  <c r="BE242"/>
  <c r="BK261"/>
  <c r="BK153"/>
  <c r="BK186"/>
  <c r="K263"/>
  <c r="BE263"/>
  <c r="BK293"/>
  <c r="K134"/>
  <c r="BE134"/>
  <c r="K146"/>
  <c r="BE146"/>
  <c r="BK172"/>
  <c r="BK195"/>
  <c r="K220"/>
  <c r="BE220"/>
  <c r="BK237"/>
  <c r="K278"/>
  <c r="BE278"/>
  <c r="K307"/>
  <c r="BE307"/>
  <c r="K273"/>
  <c r="BE273"/>
  <c r="BK141"/>
  <c r="K169"/>
  <c r="BE169"/>
  <c r="BK191"/>
  <c r="BK208"/>
  <c r="K235"/>
  <c r="BE235"/>
  <c r="BK267"/>
  <c r="K144"/>
  <c r="BE144"/>
  <c r="BK162"/>
  <c r="K205"/>
  <c r="BE205"/>
  <c r="K275"/>
  <c r="BE275"/>
  <c r="K298"/>
  <c r="BE298"/>
  <c r="K311"/>
  <c r="BE311"/>
  <c r="F34"/>
  <c i="1" r="BC95"/>
  <c r="BC94"/>
  <c r="W30"/>
  <c i="2" r="K132"/>
  <c r="BE132"/>
  <c r="BK151"/>
  <c r="K180"/>
  <c r="BE180"/>
  <c r="BK199"/>
  <c r="K224"/>
  <c r="BE224"/>
  <c r="BK250"/>
  <c r="K188"/>
  <c r="BE188"/>
  <c r="K269"/>
  <c r="BE269"/>
  <c r="BK296"/>
  <c r="BK129"/>
  <c r="BK128"/>
  <c r="K158"/>
  <c r="BE158"/>
  <c r="K184"/>
  <c r="BE184"/>
  <c r="BK216"/>
  <c r="BK215"/>
  <c r="K215"/>
  <c r="K102"/>
  <c r="K232"/>
  <c r="BE232"/>
  <c r="K257"/>
  <c r="BE257"/>
  <c r="BK160"/>
  <c r="BK177"/>
  <c r="K253"/>
  <c r="BE253"/>
  <c r="K289"/>
  <c r="BE289"/>
  <c r="K304"/>
  <c r="BE304"/>
  <c r="K291"/>
  <c r="BE291"/>
  <c r="F35"/>
  <c i="1" r="BD95"/>
  <c r="BD94"/>
  <c r="W31"/>
  <c i="2" l="1" r="Q164"/>
  <c r="I99"/>
  <c r="V164"/>
  <c r="V126"/>
  <c r="X164"/>
  <c r="X126"/>
  <c r="T164"/>
  <c r="T126"/>
  <c i="1" r="AW95"/>
  <c i="2" r="BK295"/>
  <c r="K295"/>
  <c r="K105"/>
  <c r="R309"/>
  <c r="J107"/>
  <c r="I95"/>
  <c r="J96"/>
  <c r="R164"/>
  <c r="J99"/>
  <c r="I96"/>
  <c r="K128"/>
  <c r="K96"/>
  <c r="Q309"/>
  <c r="I107"/>
  <c r="R126"/>
  <c r="J94"/>
  <c r="K29"/>
  <c i="1" r="AT95"/>
  <c i="2" r="I100"/>
  <c r="BK131"/>
  <c r="K131"/>
  <c r="K97"/>
  <c r="BK157"/>
  <c r="K157"/>
  <c r="K98"/>
  <c r="BK165"/>
  <c r="K165"/>
  <c r="K100"/>
  <c r="BK229"/>
  <c r="K229"/>
  <c r="K104"/>
  <c r="BK183"/>
  <c r="K183"/>
  <c r="K101"/>
  <c r="BK127"/>
  <c r="K127"/>
  <c r="K95"/>
  <c i="1" r="BA94"/>
  <c i="2" r="K33"/>
  <c i="1" r="AX95"/>
  <c r="AV95"/>
  <c r="AY94"/>
  <c r="AK30"/>
  <c r="AT94"/>
  <c r="AZ94"/>
  <c i="2" r="F33"/>
  <c i="1" r="BB95"/>
  <c r="BB94"/>
  <c r="W29"/>
  <c r="AW94"/>
  <c i="2" l="1" r="Q126"/>
  <c r="I94"/>
  <c r="K28"/>
  <c i="1" r="AS95"/>
  <c i="2" r="BK164"/>
  <c r="K164"/>
  <c r="K99"/>
  <c i="1" r="AS94"/>
  <c r="AX94"/>
  <c r="AK29"/>
  <c i="2" l="1" r="BK126"/>
  <c r="K126"/>
  <c r="K30"/>
  <c i="1" r="AG95"/>
  <c r="AG94"/>
  <c r="AK26"/>
  <c r="AK35"/>
  <c r="AV94"/>
  <c i="2" l="1" r="K39"/>
  <c i="1" r="AN94"/>
  <c i="2" r="K94"/>
  <c i="1" r="AN95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<sst xmlns="http://schemas.openxmlformats.org/spreadsheetml/2006/main">
  <si>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</si>
  <si>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</si>
  <si>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</si>
  <si>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</si>
  <si>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</si>
  <si>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True</t>
  </si>
  <si>
    <t>{bc3f0c09-638a-4fc1-a101-d336806abcee}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</si>
  <si>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</si>
  <si>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</si>
  <si>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</si>
  <si>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</si>
  <si>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</si>
  <si>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0,001</t>
  </si>
  <si>
    <t>Kód:</t>
  </si>
  <si>
    <t>19-26</t>
  </si>
  <si>
    <t>Stavba:</t>
  </si>
  <si>
    <t>Daliborova 24, Hostivař</t>
  </si>
  <si>
    <t>0,1</t>
  </si>
  <si>
    <t>KSO:</t>
  </si>
  <si>
    <t>CC-CZ:</t>
  </si>
  <si>
    <t>1</t>
  </si>
  <si>
    <t>Místo:</t>
  </si>
  <si>
    <t xml:space="preserve"> </t>
  </si>
  <si>
    <t>Datum:</t>
  </si>
  <si>
    <t>27. 5. 2026</t>
  </si>
  <si>
    <t>10</t>
  </si>
  <si>
    <t>100</t>
  </si>
  <si>
    <t>Zadavatel:</t>
  </si>
  <si>
    <t>IČ:</t>
  </si>
  <si>
    <t>DIČ:</t>
  </si>
  <si>
    <t>Zhotovitel:</t>
  </si>
  <si>
    <t>Projektant:</t>
  </si>
  <si>
    <t>Zpracovatel: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</si>
  <si>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</si>
  <si>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</si>
  <si>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</si>
  <si>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</si>
  <si>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</si>
  <si>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</si>
  <si>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</si>
  <si>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</si>
  <si>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</si>
  <si>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</si>
  <si>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</si>
  <si>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</si>
  <si>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</si>
  <si>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</si>
  <si>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</si>
  <si>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</si>
  <si>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</si>
  <si>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</si>
  <si>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</si>
  <si>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</si>
  <si>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</si>
  <si>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</si>
  <si>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</si>
  <si>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</si>
  <si>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</si>
  <si>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</si>
  <si>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</si>
  <si>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Materiál [CZK]</t>
  </si>
  <si>
    <t>z toho Montáž [CZK]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</si>
  <si>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</si>
  <si>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</si>
  <si>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</si>
  <si>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</si>
  <si>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</si>
  <si>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</si>
  <si>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</si>
  <si>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</si>
  <si>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</si>
  <si>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</si>
  <si>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</si>
  <si>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</si>
  <si>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</si>
  <si>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</si>
  <si>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</si>
  <si>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IMPORT</t>
  </si>
  <si>
    <t>{00000000-0000-0000-0000-000000000000}</t>
  </si>
  <si>
    <t>/</t>
  </si>
  <si>
    <t>STA</t>
  </si>
  <si>
    <t>###NOINSERT###</t>
  </si>
  <si>
    <t>2</t>
  </si>
  <si>
    <t>KRYCÍ LIST SOUPISU PRACÍ</t>
  </si>
  <si>
    <t>Materiál</t>
  </si>
  <si>
    <t>Montáž</t>
  </si>
  <si>
    <t>REKAPITULACE ČLENĚNÍ SOUPISU PRACÍ</t>
  </si>
  <si>
    <t>Kód dílu - Popis</t>
  </si>
  <si>
    <t>Materiál [CZK]</t>
  </si>
  <si>
    <t>Montáž [CZK]</t>
  </si>
  <si>
    <t>Cena celkem [CZK]</t>
  </si>
  <si>
    <t>Náklady ze soupisu prací</t>
  </si>
  <si>
    <t>-1</t>
  </si>
  <si>
    <t>HSV - Práce a dodávky HSV</t>
  </si>
  <si>
    <t xml:space="preserve">    6 - Úpravy povrchů, podlahy a osazování výplní</t>
  </si>
  <si>
    <t xml:space="preserve">    9 - Ostatní konstrukce a práce, bourání</t>
  </si>
  <si>
    <t xml:space="preserve">    997 - Doprava suti a vybouraných hmot</t>
  </si>
  <si>
    <t>PSV - Práce a dodávky PSV</t>
  </si>
  <si>
    <t xml:space="preserve">    713 - Izolace tepelné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</si>
  <si>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</si>
  <si>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</si>
  <si>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</si>
  <si>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765 - Krytina skládaná</t>
  </si>
  <si>
    <t xml:space="preserve">    766 - Konstrukce truhlářské</t>
  </si>
  <si>
    <t xml:space="preserve">    784 - Dokončovací práce - malby a tapety</t>
  </si>
  <si>
    <t>VRN - Vedlejší rozpočtové náklady</t>
  </si>
  <si>
    <t xml:space="preserve">    VRN3 - Zařízení staveniště</t>
  </si>
  <si>
    <t>SOUPIS PRACÍ</t>
  </si>
  <si>
    <t>PČ</t>
  </si>
  <si>
    <t>MJ</t>
  </si>
  <si>
    <t>Množství</t>
  </si>
  <si>
    <t>J. materiál [CZK]</t>
  </si>
  <si>
    <t>J. montáž [CZK]</t>
  </si>
  <si>
    <t>Cenová soustava</t>
  </si>
  <si>
    <t>J.cena [CZK]</t>
  </si>
  <si>
    <t>Materiál celkem [CZK]</t>
  </si>
  <si>
    <t>Montáž celkem [CZK]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</si>
  <si>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</si>
  <si>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</si>
  <si>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</si>
  <si>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</si>
  <si>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</si>
  <si>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</si>
  <si>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</si>
  <si>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</si>
  <si>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</si>
  <si>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</si>
  <si>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6</t>
  </si>
  <si>
    <t>Úpravy povrchů, podlahy a osazování výplní</t>
  </si>
  <si>
    <t>K</t>
  </si>
  <si>
    <t>611341321</t>
  </si>
  <si>
    <t>Sádrová nebo vápenosádrová omítka hladká jednovrstvá vnitřních stropů rovných nanášená strojně</t>
  </si>
  <si>
    <t>m2</t>
  </si>
  <si>
    <t>CS ÚRS 2026 01</t>
  </si>
  <si>
    <t>4</t>
  </si>
  <si>
    <t>333128254</t>
  </si>
  <si>
    <t>PP</t>
  </si>
  <si>
    <t>Omítka sádrová nebo vápenosádrová vnitřních ploch nanášená strojně jednovrstvá, tloušťky do 10 mm hladká vodorovných konstrukcí stropů rovných</t>
  </si>
  <si>
    <t>9</t>
  </si>
  <si>
    <t>Ostatní konstrukce a práce, bourání</t>
  </si>
  <si>
    <t>941111121</t>
  </si>
  <si>
    <t>Montáž lešení řadového trubkového lehkého s podlahami zatížení do 200 kg/m2 š od 0,9 do 1,2 m v do 10 m</t>
  </si>
  <si>
    <t>-310470965</t>
  </si>
  <si>
    <t>Lešení řadové trubkové lehké pracovní s podlahami s provozním zatížením tř. 3 do 200 kg/m2 šířky tř. W09 od 0,9 do 1,2 m, výšky výšky do 10 m montáž</t>
  </si>
  <si>
    <t>3</t>
  </si>
  <si>
    <t>941111221</t>
  </si>
  <si>
    <t>Příplatek k lešení řadovému trubkovému lehkému s podlahami do 200 kg/m2 š od 0,9 do 1,2 m v 10 m za každý den použití</t>
  </si>
  <si>
    <t>-1922642205</t>
  </si>
  <si>
    <t>Lešení řadové trubkové lehké pracovní s podlahami s provozním zatížením tř. 3 do 200 kg/m2 šířky tř. W09 od 0,9 do 1,2 m, výšky výšky do 10 m příplatek k ceně za každý den použití</t>
  </si>
  <si>
    <t>VV</t>
  </si>
  <si>
    <t>375*60</t>
  </si>
  <si>
    <t>941111821</t>
  </si>
  <si>
    <t>Demontáž lešení řadového trubkového lehkého s podlahami zatížení do 200 kg/m2 š od 0,9 do 1,2 m v do 10 m</t>
  </si>
  <si>
    <t>-2050773015</t>
  </si>
  <si>
    <t>Lešení řadové trubkové lehké pracovní s podlahami s provozním zatížením tř. 3 do 200 kg/m2 šířky tř. W09 od 0,9 do 1,2 m, výšky výšky do 10 m demontáž</t>
  </si>
  <si>
    <t>5</t>
  </si>
  <si>
    <t>944511111</t>
  </si>
  <si>
    <t>Montáž ochranné sítě z textilie z umělých vláken</t>
  </si>
  <si>
    <t>-1867844918</t>
  </si>
  <si>
    <t>Síť ochranná zavěšená na konstrukci lešení z textilie z umělých vláken montáž</t>
  </si>
  <si>
    <t>944511211</t>
  </si>
  <si>
    <t>Příplatek k ochranné síti za každý den použití</t>
  </si>
  <si>
    <t>-1953373252</t>
  </si>
  <si>
    <t>Síť ochranná zavěšená na konstrukci lešení z textilie z umělých vláken příplatek k ceně za každý den použití</t>
  </si>
  <si>
    <t>7</t>
  </si>
  <si>
    <t>944511811</t>
  </si>
  <si>
    <t>Demontáž ochranné sítě z textilie z umělých vláken</t>
  </si>
  <si>
    <t>134085304</t>
  </si>
  <si>
    <t>Síť ochranná zavěšená na konstrukci lešení z textilie z umělých vláken demontáž</t>
  </si>
  <si>
    <t>8</t>
  </si>
  <si>
    <t>944711112</t>
  </si>
  <si>
    <t>Montáž záchytné stříšky š přes 1,5 do 2 m</t>
  </si>
  <si>
    <t>m</t>
  </si>
  <si>
    <t>-961898179</t>
  </si>
  <si>
    <t>Stříška záchytná zřizovaná současně s lehkým nebo těžkým lešením šířky přes 1,5 do 2,0 m montáž</t>
  </si>
  <si>
    <t>944711212</t>
  </si>
  <si>
    <t>Příplatek k záchytné stříšce š do přes 1,5 do 2 m za každý den použití</t>
  </si>
  <si>
    <t>-579822984</t>
  </si>
  <si>
    <t>Stříška záchytná zřizovaná současně s lehkým nebo těžkým lešením šířky přes 1,5 do 2,0 m příplatek k ceně za každý den použití</t>
  </si>
  <si>
    <t>25*60</t>
  </si>
  <si>
    <t>944711812</t>
  </si>
  <si>
    <t>Demontáž záchytné stříšky š přes 1,5 do 2 m</t>
  </si>
  <si>
    <t>535812387</t>
  </si>
  <si>
    <t>Stříška záchytná zřizovaná současně s lehkým nebo těžkým lešením šířky přes 1,5 do 2,0 m demontáž</t>
  </si>
  <si>
    <t>11</t>
  </si>
  <si>
    <t>945411111R</t>
  </si>
  <si>
    <t>Pronájem stavebního výtahu GEDA 300 Z/ZP, výška do 20 m</t>
  </si>
  <si>
    <t>den</t>
  </si>
  <si>
    <t>-1278600188</t>
  </si>
  <si>
    <t>Výsuvná šplhací plošina se zdvihem motorickým a s veškerým příslušenstvím s jedním podvozkem a s jedním stožárem výšky do 80 m</t>
  </si>
  <si>
    <t>945411111R.0</t>
  </si>
  <si>
    <t>Montaž + demontaž stavebního výtahu GEDA 300 Z/ZP, výška do 20 m</t>
  </si>
  <si>
    <t>kpl</t>
  </si>
  <si>
    <t>1388648880</t>
  </si>
  <si>
    <t>997</t>
  </si>
  <si>
    <t>Doprava suti a vybouraných hmot</t>
  </si>
  <si>
    <t>13</t>
  </si>
  <si>
    <t>997013501</t>
  </si>
  <si>
    <t>Odvoz suti a vybouraných hmot na skládku nebo meziskládku do 1 km se složením</t>
  </si>
  <si>
    <t>t</t>
  </si>
  <si>
    <t>1817408663</t>
  </si>
  <si>
    <t>Odvoz suti a vybouraných hmot na skládku nebo meziskládku se složením, na vzdálenost do 1 km</t>
  </si>
  <si>
    <t>14</t>
  </si>
  <si>
    <t>997013509</t>
  </si>
  <si>
    <t>Příplatek k odvozu suti a vybouraných hmot na skládku ZKD 1 km přes 1 km</t>
  </si>
  <si>
    <t>577352867</t>
  </si>
  <si>
    <t>Odvoz suti a vybouraných hmot na skládku nebo meziskládku se složením, na vzdálenost Příplatek k ceně za každý další započatý 1 km přes 1 km</t>
  </si>
  <si>
    <t>15</t>
  </si>
  <si>
    <t>997013607</t>
  </si>
  <si>
    <t>Poplatek za uložení na skládce (skládkovné) stavebního odpadu keramického kód odpadu 17 01 03</t>
  </si>
  <si>
    <t>-303200832</t>
  </si>
  <si>
    <t>Poplatek za uložení stavebního odpadu na skládce (skládkovné) z tašek a keramických výrobků zatříděného do Katalogu odpadů pod kódem 17 01 03</t>
  </si>
  <si>
    <t>PSV</t>
  </si>
  <si>
    <t>Práce a dodávky PSV</t>
  </si>
  <si>
    <t>713</t>
  </si>
  <si>
    <t>Izolace tepelné</t>
  </si>
  <si>
    <t>16</t>
  </si>
  <si>
    <t>713131622</t>
  </si>
  <si>
    <t>Montáž izolace tepelné ostatních konstrukcí lepením celoplošně v kombinaci s mechanickým kotvením rohoží, pásů, dílců, desek tl do 100 mm</t>
  </si>
  <si>
    <t>-538912210</t>
  </si>
  <si>
    <t>Montáž tepelné izolace ostatních konstrukcí rohožemi, pásy, deskami, dílci, bloky (izolační materiál ve specifikaci) lepením celoplošně s mechanickým kotvením, tloušťky izolace do 100 mm</t>
  </si>
  <si>
    <t>154,000+51,2</t>
  </si>
  <si>
    <t>17</t>
  </si>
  <si>
    <t>M</t>
  </si>
  <si>
    <t>63141186</t>
  </si>
  <si>
    <t>deska tepelně izolační minerální do šikmých střech a stěn λ=0,035-0,038 tl 80mm</t>
  </si>
  <si>
    <t>32</t>
  </si>
  <si>
    <t>1002726948</t>
  </si>
  <si>
    <t>deska tepelně izolační minerální do šikmých střech a stěn ?=0,035-0,038 tl 80mm</t>
  </si>
  <si>
    <t>205,2*1,08 'Přepočtené koeficientem množství</t>
  </si>
  <si>
    <t>18</t>
  </si>
  <si>
    <t>713131624</t>
  </si>
  <si>
    <t>Montáž izolace tepelné ostatních konstrukcí lepením celoplošně v kombinaci s mechanickým kotvením rohoží, pásů, dílců, desek tl přes 140 do 200 mm</t>
  </si>
  <si>
    <t>-1301709292</t>
  </si>
  <si>
    <t>Montáž tepelné izolace ostatních konstrukcí rohožemi, pásy, deskami, dílci, bloky (izolační materiál ve specifikaci) lepením celoplošně s mechanickým kotvením, tloušťky izolace přes 140 do 200 mm</t>
  </si>
  <si>
    <t>154+51,2</t>
  </si>
  <si>
    <t>19</t>
  </si>
  <si>
    <t>63151638</t>
  </si>
  <si>
    <t>deska tepelně izolační minerální plochých střech spodní vrstva kolmé vlákno 30kPa λ=0,040 tl 180mm</t>
  </si>
  <si>
    <t>1467396933</t>
  </si>
  <si>
    <t>deska tepelně izolační minerální plochých střech spodní vrstva kolmé vlákno 30kPa ?=0,040 tl 180mm</t>
  </si>
  <si>
    <t>20</t>
  </si>
  <si>
    <t>713191411</t>
  </si>
  <si>
    <t>Montáž izolace tepelné střech šikmých provedení podkladového roštu pod krokve</t>
  </si>
  <si>
    <t>68658375</t>
  </si>
  <si>
    <t>Montáž tepelné izolace stavebních konstrukcí - doplňky a konstrukční součásti střech šikmých provedení podkladového roštu pod krokve</t>
  </si>
  <si>
    <t>154/0,625+51,2/0,625</t>
  </si>
  <si>
    <t>60514106R</t>
  </si>
  <si>
    <t>řezivo jehličnaté lať pevnostní třída S10-13 průřez 60x60mm</t>
  </si>
  <si>
    <t>m3</t>
  </si>
  <si>
    <t>858906119</t>
  </si>
  <si>
    <t>řezivo jehličnaté lať pevnostní třída S10-13 průřez 40x60mm</t>
  </si>
  <si>
    <t>1,3</t>
  </si>
  <si>
    <t>762</t>
  </si>
  <si>
    <t>Konstrukce tesařské</t>
  </si>
  <si>
    <t>22</t>
  </si>
  <si>
    <t>762083111</t>
  </si>
  <si>
    <t>Impregnace řeziva proti dřevokaznému hmyzu a houbám máčením třída ohrožení 1 a 2</t>
  </si>
  <si>
    <t>-1193219852</t>
  </si>
  <si>
    <t>Impregnace řeziva máčením proti dřevokaznému hmyzu a houbám, třída ohrožení 1 a 2 (dřevo v interiéru)</t>
  </si>
  <si>
    <t>23</t>
  </si>
  <si>
    <t>762335512</t>
  </si>
  <si>
    <t>Montáž krokví rovnoběžných s okapem z řeziva hoblovaného průřezové pl přes 120 do 224 cm2 na dřevo</t>
  </si>
  <si>
    <t>958544716</t>
  </si>
  <si>
    <t>Montáž vázaných konstrukcí krovů střech pultových, sedlových, valbových, stanových krokví rovnoběžných s okapem (vlašských) z řeziva hoblovaného na dřevěný podklad, průřezové plochy přes 120 do 224 cm2</t>
  </si>
  <si>
    <t>24</t>
  </si>
  <si>
    <t>60512130</t>
  </si>
  <si>
    <t>hranol stavební řezivo průřezu do 224cm2 do dl 6m</t>
  </si>
  <si>
    <t>-762684620</t>
  </si>
  <si>
    <t>3,12315270935961*1,015 'Přepočtené koeficientem množství</t>
  </si>
  <si>
    <t>25</t>
  </si>
  <si>
    <t>762335812</t>
  </si>
  <si>
    <t>Demontáž krokví rovnoběžných s okapem průřezové pl přes 120 do 224 cm2 na dřevěný podklad</t>
  </si>
  <si>
    <t>198001022</t>
  </si>
  <si>
    <t>Demontáž vázaných konstrukcí krovů sklonu do 60° krokví rovnoběžných s okapem (vlašských) na dřevěný podklad, průřezové plochy přes 120 do 224 cm2</t>
  </si>
  <si>
    <t>26</t>
  </si>
  <si>
    <t>762341016</t>
  </si>
  <si>
    <t>Bednění střech rovných sklon do 60° z desek OSB tl 22 mm na sraz šroubovaných na krokve</t>
  </si>
  <si>
    <t>1678825769</t>
  </si>
  <si>
    <t>Bednění střech střech rovných sklonu do 60° s vyřezáním otvorů z dřevoštěpkových desek OSB šroubovaných na krokve na sraz, tloušťky desky 22 mm</t>
  </si>
  <si>
    <t>27</t>
  </si>
  <si>
    <t>762341017</t>
  </si>
  <si>
    <t>Bednění střech rovných sklon do 60° z desek OSB tl 25 mm na sraz šroubovaných na krokve</t>
  </si>
  <si>
    <t>-1389170020</t>
  </si>
  <si>
    <t>Bednění střech střech rovných sklonu do 60° s vyřezáním otvorů z dřevoštěpkových desek OSB šroubovaných na krokve na sraz, tloušťky desky 25 mm</t>
  </si>
  <si>
    <t>28</t>
  </si>
  <si>
    <t>762342624</t>
  </si>
  <si>
    <t>Montáž kontralatí přes systémovou tepelnou izolaci nad krokvemi s trámky přes 2 do 3 dvouzávitových vrutů na m latě pro izolaci tl přes 240 mm do 300 mm</t>
  </si>
  <si>
    <t>428745412</t>
  </si>
  <si>
    <t>Montáž laťování montáž kontralatí přes nadkrokevní systém zateplení s izolačními trámky s použitím systémových dvouzávitových vrutů v množství přes 2 do 3 kusů na 1 m kontralatě pro tepelnou izolaci tloušťky přes 240 mm do 300 mm</t>
  </si>
  <si>
    <t>29</t>
  </si>
  <si>
    <t>60514114</t>
  </si>
  <si>
    <t>řezivo jehličnaté lať impregnovaná dl 4 m</t>
  </si>
  <si>
    <t>-283402410</t>
  </si>
  <si>
    <t>2,72906403940887*1,015 'Přepočtené koeficientem množství</t>
  </si>
  <si>
    <t>30</t>
  </si>
  <si>
    <t>762353230</t>
  </si>
  <si>
    <t>Montáž střešního vikýře pultového z hraněného řeziva pl přes 144 do 224 cm2</t>
  </si>
  <si>
    <t>-1713812512</t>
  </si>
  <si>
    <t>Montáž nadstřešních konstrukcí střešních vikýřů z hraněného řeziva, pultových, průřezové plochy přes 144 do 224 cm2</t>
  </si>
  <si>
    <t>6,78*2</t>
  </si>
  <si>
    <t>31</t>
  </si>
  <si>
    <t>779898673</t>
  </si>
  <si>
    <t>0,476190476190476*1,05 'Přepočtené koeficientem množství</t>
  </si>
  <si>
    <t>762395000</t>
  </si>
  <si>
    <t>Spojovací prostředky krovů, bednění, laťování, nadstřešních konstrukcí</t>
  </si>
  <si>
    <t>-1581469837</t>
  </si>
  <si>
    <t>Spojovací prostředky krovů, bednění a laťování, nadstřešních konstrukcí svorníky, prkna, hřebíky, pásová ocel, vruty</t>
  </si>
  <si>
    <t>33</t>
  </si>
  <si>
    <t>762842122</t>
  </si>
  <si>
    <t>Montáž podbíjení střech šikmých vnějšího přesahu š do 0,8 m z hoblovaných prken na pero a drážku</t>
  </si>
  <si>
    <t>-1382286869</t>
  </si>
  <si>
    <t>Montáž podbíjení střech šikmých, vnějšího přesahu šířky do 0,8 m (pouze pro prkna přibíjená rovnoběžně s krokvemi) z hoblovaných prken na pero a drážku</t>
  </si>
  <si>
    <t>34</t>
  </si>
  <si>
    <t>60515111</t>
  </si>
  <si>
    <t>řezivo jehličnaté boční prkno 20-30mm</t>
  </si>
  <si>
    <t>-726473320</t>
  </si>
  <si>
    <t>1,26666666666667*1,05 'Přepočtené koeficientem množství</t>
  </si>
  <si>
    <t>763</t>
  </si>
  <si>
    <t>Konstrukce suché výstavby</t>
  </si>
  <si>
    <t>35</t>
  </si>
  <si>
    <t>763131411</t>
  </si>
  <si>
    <t>SDK podhled desky 1xA 12,5 bez izolace dvouvrstvá spodní kce profil CD+UD</t>
  </si>
  <si>
    <t>366775769</t>
  </si>
  <si>
    <t>Podhled ze sádrokartonových desek dvouvrstvá zavěšená spodní konstrukce z ocelových profilů CD, UD jednoduše opláštěná deskou standardní A, tl. 12,5 mm, bez izolace</t>
  </si>
  <si>
    <t>764</t>
  </si>
  <si>
    <t>Konstrukce klempířské</t>
  </si>
  <si>
    <t>36</t>
  </si>
  <si>
    <t>764002821</t>
  </si>
  <si>
    <t>Demontáž střešního výlezu do suti</t>
  </si>
  <si>
    <t>kus</t>
  </si>
  <si>
    <t>433372144</t>
  </si>
  <si>
    <t>Demontáž klempířských konstrukcí střešního výlezu do suti</t>
  </si>
  <si>
    <t>37</t>
  </si>
  <si>
    <t>764002881</t>
  </si>
  <si>
    <t>Demontáž lemování střešních prostupů do suti</t>
  </si>
  <si>
    <t>-158201454</t>
  </si>
  <si>
    <t>Demontáž klempířských konstrukcí lemování střešních prostupů do suti</t>
  </si>
  <si>
    <t>38</t>
  </si>
  <si>
    <t>764101101</t>
  </si>
  <si>
    <t>Montáž krytiny střechy rovné drážkováním ze svitků rš do 600 mm sklonu do 30°</t>
  </si>
  <si>
    <t>2036623119</t>
  </si>
  <si>
    <t>Montáž krytiny z plechu s úpravou u okapů, prostupů a výčnělků střechy rovné drážkováním ze svitků šířky do 600 mm, sklon střechy do 30°</t>
  </si>
  <si>
    <t>39</t>
  </si>
  <si>
    <t>55351051R</t>
  </si>
  <si>
    <t>plech svitkový Al tl 1,0 mm hladký pro falcování standardní barva</t>
  </si>
  <si>
    <t>-1062799267</t>
  </si>
  <si>
    <t>plech svitkový Al tl 0,7mm hladký pro falcování standardní barva</t>
  </si>
  <si>
    <t>51,2*1,1</t>
  </si>
  <si>
    <t>765</t>
  </si>
  <si>
    <t>Krytina skládaná</t>
  </si>
  <si>
    <t>40</t>
  </si>
  <si>
    <t>765111101</t>
  </si>
  <si>
    <t>Montáž krytiny keramické hladké sklonu do 30° na sucho přes 32 do 40 ks/m2 korunové krytí</t>
  </si>
  <si>
    <t>1422343990</t>
  </si>
  <si>
    <t>Montáž krytiny keramické sklonu do 30° hladké (bobrovky) přes 32 do 40 ks/m2 na sucho korunové krytí</t>
  </si>
  <si>
    <t>41</t>
  </si>
  <si>
    <t>59660010</t>
  </si>
  <si>
    <t>taška bobrovka režná základní kulatý řez</t>
  </si>
  <si>
    <t>723645809</t>
  </si>
  <si>
    <t>154*39,14 'Přepočtené koeficientem množství</t>
  </si>
  <si>
    <t>42</t>
  </si>
  <si>
    <t>765111503</t>
  </si>
  <si>
    <t>Příplatek k montáži krytiny keramické za připevňovací prostředky za sklon přes 30° do 40°</t>
  </si>
  <si>
    <t>-1486892797</t>
  </si>
  <si>
    <t>Montáž krytiny keramické Příplatek k cenám včetně připevňovacích prostředků za sklon přes 30 do 40°</t>
  </si>
  <si>
    <t>43</t>
  </si>
  <si>
    <t>765111204</t>
  </si>
  <si>
    <t>Montáž krytiny keramické okapní vysoká větrací mřížka s hřebenem</t>
  </si>
  <si>
    <t>551327658</t>
  </si>
  <si>
    <t>Montáž krytiny keramické okapové hrany s vysokou větrací mřížkou s hřebenem</t>
  </si>
  <si>
    <t>25+1,68+1,68</t>
  </si>
  <si>
    <t>44</t>
  </si>
  <si>
    <t>59660204</t>
  </si>
  <si>
    <t>mřížka ochranná větrací s vysokým větracím průřezem s hřebenem</t>
  </si>
  <si>
    <t>1445170975</t>
  </si>
  <si>
    <t>45</t>
  </si>
  <si>
    <t>765111253</t>
  </si>
  <si>
    <t>Montáž krytiny keramické hřeben na sucho s podhřebenovou střešní taškou</t>
  </si>
  <si>
    <t>-244093304</t>
  </si>
  <si>
    <t>Montáž krytiny keramické hřebene větraného na sucho bez pásu (s podhřebenovou větrací taškou)</t>
  </si>
  <si>
    <t>46</t>
  </si>
  <si>
    <t>59660030</t>
  </si>
  <si>
    <t>hřebenáč drážkový keramický š 210mm režný</t>
  </si>
  <si>
    <t>786991328</t>
  </si>
  <si>
    <t>25*3,09 'Přepočtené koeficientem množství</t>
  </si>
  <si>
    <t>47</t>
  </si>
  <si>
    <t>765111305</t>
  </si>
  <si>
    <t>Montáž krytiny keramické úžlabí na plech na sucho na molitanové pásy</t>
  </si>
  <si>
    <t>-1322303158</t>
  </si>
  <si>
    <t>Montáž krytiny keramické úžlabí průběžného plechového na sucho - s těsnícími pásy</t>
  </si>
  <si>
    <t>48</t>
  </si>
  <si>
    <t>59660012</t>
  </si>
  <si>
    <t>pás těsnící úžlabí klínový samolepící š 50mm</t>
  </si>
  <si>
    <t>26817713</t>
  </si>
  <si>
    <t>13,56*2,04 'Přepočtené koeficientem množství</t>
  </si>
  <si>
    <t>49</t>
  </si>
  <si>
    <t>765111403</t>
  </si>
  <si>
    <t>Montáž krytiny keramické opracování střešních tašek v místě prostupu do 1 m2</t>
  </si>
  <si>
    <t>420444115</t>
  </si>
  <si>
    <t>Montáž krytiny keramické opracování krytiny v místě prostupu plochy prostupu jednotlivě přes 0,5 do 1 m2</t>
  </si>
  <si>
    <t>kominy</t>
  </si>
  <si>
    <t>50</t>
  </si>
  <si>
    <t>765111404</t>
  </si>
  <si>
    <t>Montáž krytiny keramické opracování střešních tašek v místě prostupu přes 1 m2</t>
  </si>
  <si>
    <t>-863846538</t>
  </si>
  <si>
    <t>Montáž krytiny keramické opracování krytiny v místě prostupu plochy prostupu jednotlivě přes 1 m2</t>
  </si>
  <si>
    <t>světlík</t>
  </si>
  <si>
    <t>51</t>
  </si>
  <si>
    <t>765111821</t>
  </si>
  <si>
    <t>Demontáž krytiny keramické hladké sklonu do 30° na sucho do suti</t>
  </si>
  <si>
    <t>632882727</t>
  </si>
  <si>
    <t>Demontáž krytiny keramické hladké (bobrovky), sklonu do 30° na sucho do suti</t>
  </si>
  <si>
    <t>52</t>
  </si>
  <si>
    <t>765111831</t>
  </si>
  <si>
    <t>Příplatek k demontáži krytiny keramické hladké do suti za sklon přes 30°</t>
  </si>
  <si>
    <t>1801815600</t>
  </si>
  <si>
    <t>Demontáž krytiny keramické Příplatek k cenám za sklon přes 30° do suti</t>
  </si>
  <si>
    <t>53</t>
  </si>
  <si>
    <t>765115403</t>
  </si>
  <si>
    <t>Montáž mříže sněholamu pro keramickou krytinu</t>
  </si>
  <si>
    <t>-1052330831</t>
  </si>
  <si>
    <t>Montáž střešních doplňků krytiny keramické protisněhové zábrany mříže sněholamu</t>
  </si>
  <si>
    <t>54</t>
  </si>
  <si>
    <t>59660033</t>
  </si>
  <si>
    <t>komplet protisněhový (4x držák mříže, sněhová mříž d 3000mm, 2x spojka mříže)</t>
  </si>
  <si>
    <t>sada</t>
  </si>
  <si>
    <t>-563130641</t>
  </si>
  <si>
    <t>55</t>
  </si>
  <si>
    <t>765191001</t>
  </si>
  <si>
    <t>Montáž pojistné hydroizolační nebo parotěsné fólie kladené ve sklonu do 20° lepením na bednění nebo izolaci</t>
  </si>
  <si>
    <t>2008061666</t>
  </si>
  <si>
    <t>Montáž pojistné hydroizolační nebo parotěsné fólie kladené ve sklonu do 20° lepením (vodotěsné podstřeší) na bednění nebo tepelnou izolaci</t>
  </si>
  <si>
    <t>56</t>
  </si>
  <si>
    <t>JTA.JFTP15</t>
  </si>
  <si>
    <t>páska těsnící JUTAFOL TP15 4x15mm</t>
  </si>
  <si>
    <t>1625417619</t>
  </si>
  <si>
    <t>57</t>
  </si>
  <si>
    <t>765191013</t>
  </si>
  <si>
    <t>Montáž pojistné hydroizolační nebo parotěsné fólie kladené přes 20° volně na bednění nebo tepelnou izolaci</t>
  </si>
  <si>
    <t>2068133208</t>
  </si>
  <si>
    <t>Montáž pojistné hydroizolační nebo parotěsné fólie kladené ve sklonu přes 20° volně na bednění nebo tepelnou izolaci</t>
  </si>
  <si>
    <t>58</t>
  </si>
  <si>
    <t>28329011</t>
  </si>
  <si>
    <t>fólie PE vyztužená pro parotěsnou vrstvu (reakce na oheň - třída F) 110g/m2</t>
  </si>
  <si>
    <t>-578786444</t>
  </si>
  <si>
    <t>205,2*1,1 'Přepočtené koeficientem množství</t>
  </si>
  <si>
    <t>59</t>
  </si>
  <si>
    <t>765191091</t>
  </si>
  <si>
    <t>Příplatek k cenám montáž pojistné hydroizolační nebo parotěsné fólie za sklon přes 30°</t>
  </si>
  <si>
    <t>1780852139</t>
  </si>
  <si>
    <t>Montáž pojistné hydroizolační nebo parotěsné fólie Příplatek k cenám montáže na bednění nebo tepelnou izolaci za sklon přes 30°</t>
  </si>
  <si>
    <t>60</t>
  </si>
  <si>
    <t>765191911</t>
  </si>
  <si>
    <t>Demontáž pojistné hydroizolační fólie kladené ve sklonu přes 30°</t>
  </si>
  <si>
    <t>1793609801</t>
  </si>
  <si>
    <t>61</t>
  </si>
  <si>
    <t>765192011</t>
  </si>
  <si>
    <t>Provizorní zakrytí střechy ochrannou plachtou</t>
  </si>
  <si>
    <t>-2121495832</t>
  </si>
  <si>
    <t>min. plocha nových krytin + rezerva</t>
  </si>
  <si>
    <t>225,7</t>
  </si>
  <si>
    <t>62</t>
  </si>
  <si>
    <t>28329204</t>
  </si>
  <si>
    <t>plachta krycí PVC olemovaná s oky 180g/m2</t>
  </si>
  <si>
    <t>1323538149</t>
  </si>
  <si>
    <t>225,7*1,1 'Přepočtené koeficientem množství</t>
  </si>
  <si>
    <t>63</t>
  </si>
  <si>
    <t>765192811</t>
  </si>
  <si>
    <t>Demontáž střešního výlezu jakékoliv plochy</t>
  </si>
  <si>
    <t>937111302</t>
  </si>
  <si>
    <t>64</t>
  </si>
  <si>
    <t>998765122</t>
  </si>
  <si>
    <t>Přesun hmot tonážní pro krytiny skládané ruční v objektech v přes 6 do 12 m</t>
  </si>
  <si>
    <t>1854815406</t>
  </si>
  <si>
    <t>Přesun hmot pro krytiny skládané stanovený z hmotnosti přesunovaného materiálu vodorovná dopravní vzdálenost do 50 m ruční (bez užití mechanizace) na objektech výšky přes 6 do 12 m</t>
  </si>
  <si>
    <t>65</t>
  </si>
  <si>
    <t>998765192</t>
  </si>
  <si>
    <t>Příplatek k přesunu hmot tonážnímu pro krytiny skládané za zvětšený přesun do 100 m</t>
  </si>
  <si>
    <t>-1015394029</t>
  </si>
  <si>
    <t>Přesun hmot pro krytiny skládané stanovený z hmotnosti přesunovaného materiálu vodorovná dopravní vzdálenost do 50 m Příplatek k cenám za zvětšený přesun přes vymezenou vodorovnou dopravní vzdálenost do 100 m</t>
  </si>
  <si>
    <t>766</t>
  </si>
  <si>
    <t>Konstrukce truhlářské</t>
  </si>
  <si>
    <t>66</t>
  </si>
  <si>
    <t>766622115</t>
  </si>
  <si>
    <t>Montáž plastových oken plochy přes 1 m2 pevných v do 1,5 m s rámem do zdiva</t>
  </si>
  <si>
    <t>1367983988</t>
  </si>
  <si>
    <t>Montáž oken plastových včetně montáže rámu plochy přes 1 m2 pevných do zdiva, výšky do 1,5 m</t>
  </si>
  <si>
    <t>67</t>
  </si>
  <si>
    <t>61140043</t>
  </si>
  <si>
    <t>okno plastové dvojsklo přes plochu 1m2 do v 1,5m</t>
  </si>
  <si>
    <t>-668725553</t>
  </si>
  <si>
    <t>okno plastové s fixním zasklením dvojsklo přes plochu 1m2 do v 1,5m</t>
  </si>
  <si>
    <t>68</t>
  </si>
  <si>
    <t>766671031</t>
  </si>
  <si>
    <t>Montáž střešního okna do krytiny tvarované 114 x 140 cm</t>
  </si>
  <si>
    <t>-477756618</t>
  </si>
  <si>
    <t>Montáž střešních oken dřevěných nebo plastových kyvných, výklopných/kyvných s okenním rámem a lemováním, s plisovaným límcem, s napojením na krytinu do krytiny tvarované, rozměru 114 x 140 cm</t>
  </si>
  <si>
    <t>69</t>
  </si>
  <si>
    <t>61124624</t>
  </si>
  <si>
    <t>okno střešní dřevěné bílé PU povrch kyvné, izolační trojsklo 114x140cm, Uw=0,81W/m2K Al oplechování</t>
  </si>
  <si>
    <t>764083300</t>
  </si>
  <si>
    <t>70</t>
  </si>
  <si>
    <t>766674811</t>
  </si>
  <si>
    <t>Demontáž střešního okna hladká krytina přes 30 do 45°</t>
  </si>
  <si>
    <t>1926713971</t>
  </si>
  <si>
    <t>Demontáž střešních oken na krytině hladké a drážkové, sklonu přes 30 do 45°</t>
  </si>
  <si>
    <t>784</t>
  </si>
  <si>
    <t>Dokončovací práce - malby a tapety</t>
  </si>
  <si>
    <t>71</t>
  </si>
  <si>
    <t>784211103</t>
  </si>
  <si>
    <t>Dvojnásobné bílé malby ze směsí za mokra výborně oděruvzdorných v místnostech v přes 3,80 do 5,00 m</t>
  </si>
  <si>
    <t>-559284770</t>
  </si>
  <si>
    <t>Malby z malířských směsí oděruvzdorných za mokra dvojnásobné, bílé za mokra oděruvzdorné výborně v místnostech výšky přes 3,80 do 5,00 m</t>
  </si>
  <si>
    <t>VRN</t>
  </si>
  <si>
    <t>Vedlejší rozpočtové náklady</t>
  </si>
  <si>
    <t>VRN3</t>
  </si>
  <si>
    <t>Zařízení staveniště</t>
  </si>
  <si>
    <t>72</t>
  </si>
  <si>
    <t>030001000</t>
  </si>
  <si>
    <t>1024</t>
  </si>
  <si>
    <t>-437667146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</si>
</sst>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6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80008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b/>
      <sz val="12"/>
      <color rgb="FF969696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254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4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4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5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0" fillId="2" borderId="0" xfId="0" applyFont="1" applyFill="1" applyAlignment="1" applyProtection="1">
      <alignment vertical="center"/>
    </xf>
    <xf numFmtId="0" fontId="4" fillId="2" borderId="6" xfId="0" applyFont="1" applyFill="1" applyBorder="1" applyAlignment="1" applyProtection="1">
      <alignment horizontal="left" vertical="center"/>
    </xf>
    <xf numFmtId="0" fontId="0" fillId="2" borderId="7" xfId="0" applyFont="1" applyFill="1" applyBorder="1" applyAlignment="1" applyProtection="1">
      <alignment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left" vertical="center"/>
    </xf>
    <xf numFmtId="4" fontId="4" fillId="2" borderId="7" xfId="0" applyNumberFormat="1" applyFont="1" applyFill="1" applyBorder="1" applyAlignment="1" applyProtection="1">
      <alignment vertical="center"/>
    </xf>
    <xf numFmtId="0" fontId="0" fillId="2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6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4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18" fillId="0" borderId="14" xfId="0" applyFont="1" applyBorder="1" applyAlignment="1" applyProtection="1">
      <alignment horizontal="left" vertical="center"/>
    </xf>
    <xf numFmtId="0" fontId="18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19" fillId="3" borderId="6" xfId="0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19" fillId="3" borderId="7" xfId="0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 applyProtection="1">
      <alignment horizontal="right" vertical="center"/>
    </xf>
    <xf numFmtId="0" fontId="19" fillId="3" borderId="8" xfId="0" applyFont="1" applyFill="1" applyBorder="1" applyAlignment="1" applyProtection="1">
      <alignment horizontal="left" vertical="center"/>
    </xf>
    <xf numFmtId="0" fontId="19" fillId="3" borderId="0" xfId="0" applyFont="1" applyFill="1" applyAlignment="1" applyProtection="1">
      <alignment horizontal="center" vertical="center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7" xfId="0" applyFont="1" applyBorder="1" applyAlignment="1" applyProtection="1">
      <alignment horizontal="center" vertical="center" wrapText="1"/>
    </xf>
    <xf numFmtId="0" fontId="20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" fontId="21" fillId="0" borderId="0" xfId="0" applyNumberFormat="1" applyFont="1" applyAlignment="1" applyProtection="1">
      <alignment horizontal="right" vertical="center"/>
    </xf>
    <xf numFmtId="4" fontId="21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22" fillId="0" borderId="14" xfId="0" applyNumberFormat="1" applyFont="1" applyBorder="1" applyAlignment="1" applyProtection="1">
      <alignment horizontal="right" vertical="center"/>
    </xf>
    <xf numFmtId="4" fontId="22" fillId="0" borderId="0" xfId="0" applyNumberFormat="1" applyFont="1" applyBorder="1" applyAlignment="1" applyProtection="1">
      <alignment horizontal="right" vertical="center"/>
    </xf>
    <xf numFmtId="4" fontId="17" fillId="0" borderId="0" xfId="0" applyNumberFormat="1" applyFont="1" applyBorder="1" applyAlignment="1" applyProtection="1">
      <alignment vertical="center"/>
    </xf>
    <xf numFmtId="166" fontId="17" fillId="0" borderId="0" xfId="0" applyNumberFormat="1" applyFont="1" applyBorder="1" applyAlignment="1" applyProtection="1">
      <alignment vertical="center"/>
    </xf>
    <xf numFmtId="4" fontId="17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3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4" fillId="0" borderId="0" xfId="0" applyFont="1" applyAlignment="1" applyProtection="1">
      <alignment vertical="center"/>
    </xf>
    <xf numFmtId="0" fontId="24" fillId="0" borderId="0" xfId="0" applyFont="1" applyAlignment="1" applyProtection="1">
      <alignment horizontal="left" vertical="center" wrapText="1"/>
    </xf>
    <xf numFmtId="0" fontId="25" fillId="0" borderId="0" xfId="0" applyFont="1" applyAlignment="1" applyProtection="1">
      <alignment vertical="center"/>
    </xf>
    <xf numFmtId="4" fontId="25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6" fillId="0" borderId="19" xfId="0" applyNumberFormat="1" applyFont="1" applyBorder="1" applyAlignment="1" applyProtection="1">
      <alignment vertical="center"/>
    </xf>
    <xf numFmtId="4" fontId="26" fillId="0" borderId="20" xfId="0" applyNumberFormat="1" applyFont="1" applyBorder="1" applyAlignment="1" applyProtection="1">
      <alignment vertical="center"/>
    </xf>
    <xf numFmtId="166" fontId="26" fillId="0" borderId="20" xfId="0" applyNumberFormat="1" applyFont="1" applyBorder="1" applyAlignment="1" applyProtection="1">
      <alignment vertical="center"/>
    </xf>
    <xf numFmtId="4" fontId="26" fillId="0" borderId="21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" fontId="2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0" fillId="3" borderId="0" xfId="0" applyFont="1" applyFill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9" fillId="3" borderId="0" xfId="0" applyFont="1" applyFill="1" applyAlignment="1" applyProtection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19" fillId="3" borderId="0" xfId="0" applyFont="1" applyFill="1" applyAlignment="1" applyProtection="1">
      <alignment horizontal="right" vertical="center"/>
    </xf>
    <xf numFmtId="0" fontId="28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19" fillId="3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1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4" fontId="29" fillId="0" borderId="12" xfId="0" applyNumberFormat="1" applyFont="1" applyBorder="1" applyAlignment="1" applyProtection="1"/>
    <xf numFmtId="166" fontId="29" fillId="0" borderId="12" xfId="0" applyNumberFormat="1" applyFont="1" applyBorder="1" applyAlignment="1" applyProtection="1"/>
    <xf numFmtId="166" fontId="29" fillId="0" borderId="13" xfId="0" applyNumberFormat="1" applyFont="1" applyBorder="1" applyAlignment="1" applyProtection="1"/>
    <xf numFmtId="4" fontId="30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4" fontId="8" fillId="0" borderId="0" xfId="0" applyNumberFormat="1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19" fillId="0" borderId="22" xfId="0" applyFont="1" applyBorder="1" applyAlignment="1" applyProtection="1">
      <alignment horizontal="center" vertical="center"/>
    </xf>
    <xf numFmtId="49" fontId="19" fillId="0" borderId="22" xfId="0" applyNumberFormat="1" applyFont="1" applyBorder="1" applyAlignment="1" applyProtection="1">
      <alignment horizontal="left" vertical="center" wrapText="1"/>
    </xf>
    <xf numFmtId="0" fontId="19" fillId="0" borderId="22" xfId="0" applyFont="1" applyBorder="1" applyAlignment="1" applyProtection="1">
      <alignment horizontal="left" vertical="center" wrapText="1"/>
    </xf>
    <xf numFmtId="0" fontId="19" fillId="0" borderId="22" xfId="0" applyFont="1" applyBorder="1" applyAlignment="1" applyProtection="1">
      <alignment horizontal="center" vertical="center" wrapText="1"/>
    </xf>
    <xf numFmtId="167" fontId="19" fillId="0" borderId="22" xfId="0" applyNumberFormat="1" applyFont="1" applyBorder="1" applyAlignment="1" applyProtection="1">
      <alignment vertical="center"/>
    </xf>
    <xf numFmtId="4" fontId="19" fillId="0" borderId="22" xfId="0" applyNumberFormat="1" applyFont="1" applyBorder="1" applyAlignment="1" applyProtection="1">
      <alignment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center" vertical="center"/>
    </xf>
    <xf numFmtId="4" fontId="20" fillId="0" borderId="0" xfId="0" applyNumberFormat="1" applyFont="1" applyBorder="1" applyAlignment="1" applyProtection="1">
      <alignment vertical="center"/>
    </xf>
    <xf numFmtId="166" fontId="20" fillId="0" borderId="0" xfId="0" applyNumberFormat="1" applyFont="1" applyBorder="1" applyAlignment="1" applyProtection="1">
      <alignment vertical="center"/>
    </xf>
    <xf numFmtId="166" fontId="20" fillId="0" borderId="15" xfId="0" applyNumberFormat="1" applyFont="1" applyBorder="1" applyAlignment="1" applyProtection="1">
      <alignment vertical="center"/>
    </xf>
    <xf numFmtId="0" fontId="19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1" fillId="0" borderId="0" xfId="0" applyFont="1" applyAlignment="1" applyProtection="1">
      <alignment horizontal="left" vertical="center"/>
    </xf>
    <xf numFmtId="0" fontId="32" fillId="0" borderId="0" xfId="0" applyFont="1" applyAlignment="1" applyProtection="1">
      <alignment horizontal="left" vertical="center" wrapText="1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167" fontId="9" fillId="0" borderId="0" xfId="0" applyNumberFormat="1" applyFont="1" applyAlignment="1" applyProtection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33" fillId="0" borderId="22" xfId="0" applyFont="1" applyBorder="1" applyAlignment="1" applyProtection="1">
      <alignment horizontal="center" vertical="center"/>
    </xf>
    <xf numFmtId="49" fontId="33" fillId="0" borderId="22" xfId="0" applyNumberFormat="1" applyFont="1" applyBorder="1" applyAlignment="1" applyProtection="1">
      <alignment horizontal="left" vertical="center" wrapText="1"/>
    </xf>
    <xf numFmtId="0" fontId="33" fillId="0" borderId="22" xfId="0" applyFont="1" applyBorder="1" applyAlignment="1" applyProtection="1">
      <alignment horizontal="left" vertical="center" wrapText="1"/>
    </xf>
    <xf numFmtId="0" fontId="33" fillId="0" borderId="22" xfId="0" applyFont="1" applyBorder="1" applyAlignment="1" applyProtection="1">
      <alignment horizontal="center" vertical="center" wrapText="1"/>
    </xf>
    <xf numFmtId="167" fontId="33" fillId="0" borderId="22" xfId="0" applyNumberFormat="1" applyFont="1" applyBorder="1" applyAlignment="1" applyProtection="1">
      <alignment vertical="center"/>
    </xf>
    <xf numFmtId="4" fontId="33" fillId="0" borderId="22" xfId="0" applyNumberFormat="1" applyFont="1" applyBorder="1" applyAlignment="1" applyProtection="1">
      <alignment vertical="center"/>
    </xf>
    <xf numFmtId="0" fontId="34" fillId="0" borderId="22" xfId="0" applyFont="1" applyBorder="1" applyAlignment="1" applyProtection="1">
      <alignment vertical="center"/>
    </xf>
    <xf numFmtId="0" fontId="34" fillId="0" borderId="3" xfId="0" applyFont="1" applyBorder="1" applyAlignment="1">
      <alignment vertical="center"/>
    </xf>
    <xf numFmtId="0" fontId="33" fillId="0" borderId="14" xfId="0" applyFont="1" applyBorder="1" applyAlignment="1" applyProtection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0" fillId="0" borderId="19" xfId="0" applyFont="1" applyBorder="1" applyAlignment="1" applyProtection="1">
      <alignment vertical="center"/>
    </xf>
    <xf numFmtId="0" fontId="0" fillId="0" borderId="20" xfId="0" applyBorder="1" applyAlignment="1" applyProtection="1">
      <alignment vertical="center"/>
    </xf>
    <xf numFmtId="0" fontId="0" fillId="0" borderId="20" xfId="0" applyFont="1" applyBorder="1" applyAlignment="1" applyProtection="1">
      <alignment vertical="center"/>
    </xf>
    <xf numFmtId="0" fontId="0" fillId="0" borderId="21" xfId="0" applyFont="1" applyBorder="1" applyAlignment="1" applyProtection="1">
      <alignment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5.83203" style="1" hidden="1" customWidth="1"/>
    <col min="49" max="49" width="25.83203" style="1" hidden="1" customWidth="1"/>
    <col min="50" max="50" width="21.66016" style="1" hidden="1" customWidth="1"/>
    <col min="51" max="51" width="21.66016" style="1" hidden="1" customWidth="1"/>
    <col min="52" max="52" width="25" style="1" hidden="1" customWidth="1"/>
    <col min="53" max="53" width="25" style="1" hidden="1" customWidth="1"/>
    <col min="54" max="54" width="21.66016" style="1" hidden="1" customWidth="1"/>
    <col min="55" max="55" width="19.16016" style="1" hidden="1" customWidth="1"/>
    <col min="56" max="56" width="25" style="1" hidden="1" customWidth="1"/>
    <col min="57" max="57" width="21.66016" style="1" hidden="1" customWidth="1"/>
    <col min="58" max="58" width="19.16016" style="1" hidden="1" customWidth="1"/>
    <col min="59" max="59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5" t="s">
        <v>0</v>
      </c>
      <c r="AZ1" s="15" t="s">
        <v>1</v>
      </c>
      <c r="BA1" s="15" t="s">
        <v>2</v>
      </c>
      <c r="BB1" s="15" t="s">
        <v>3</v>
      </c>
      <c r="BT1" s="15" t="s">
        <v>4</v>
      </c>
      <c r="BU1" s="15" t="s">
        <v>5</v>
      </c>
      <c r="BV1" s="15" t="s">
        <v>6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S2" s="16" t="s">
        <v>7</v>
      </c>
      <c r="BT2" s="16" t="s">
        <v>8</v>
      </c>
    </row>
    <row r="3" s="1" customFormat="1" ht="6.96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7</v>
      </c>
      <c r="BT3" s="16" t="s">
        <v>9</v>
      </c>
    </row>
    <row r="4" s="1" customFormat="1" ht="24.96" customHeight="1">
      <c r="B4" s="20"/>
      <c r="C4" s="21"/>
      <c r="D4" s="22" t="s">
        <v>10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9"/>
      <c r="AS4" s="23" t="s">
        <v>11</v>
      </c>
      <c r="BS4" s="16" t="s">
        <v>12</v>
      </c>
    </row>
    <row r="5" s="1" customFormat="1" ht="12" customHeight="1">
      <c r="B5" s="20"/>
      <c r="C5" s="21"/>
      <c r="D5" s="24" t="s">
        <v>13</v>
      </c>
      <c r="E5" s="21"/>
      <c r="F5" s="21"/>
      <c r="G5" s="21"/>
      <c r="H5" s="21"/>
      <c r="I5" s="21"/>
      <c r="J5" s="21"/>
      <c r="K5" s="25" t="s">
        <v>14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9"/>
      <c r="BS5" s="16" t="s">
        <v>7</v>
      </c>
    </row>
    <row r="6" s="1" customFormat="1" ht="36.96" customHeight="1">
      <c r="B6" s="20"/>
      <c r="C6" s="21"/>
      <c r="D6" s="26" t="s">
        <v>15</v>
      </c>
      <c r="E6" s="21"/>
      <c r="F6" s="21"/>
      <c r="G6" s="21"/>
      <c r="H6" s="21"/>
      <c r="I6" s="21"/>
      <c r="J6" s="21"/>
      <c r="K6" s="27" t="s">
        <v>16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9"/>
      <c r="BS6" s="16" t="s">
        <v>17</v>
      </c>
    </row>
    <row r="7" s="1" customFormat="1" ht="12" customHeight="1">
      <c r="B7" s="20"/>
      <c r="C7" s="21"/>
      <c r="D7" s="28" t="s">
        <v>18</v>
      </c>
      <c r="E7" s="21"/>
      <c r="F7" s="21"/>
      <c r="G7" s="21"/>
      <c r="H7" s="21"/>
      <c r="I7" s="21"/>
      <c r="J7" s="21"/>
      <c r="K7" s="25" t="s">
        <v>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8" t="s">
        <v>19</v>
      </c>
      <c r="AL7" s="21"/>
      <c r="AM7" s="21"/>
      <c r="AN7" s="25" t="s">
        <v>1</v>
      </c>
      <c r="AO7" s="21"/>
      <c r="AP7" s="21"/>
      <c r="AQ7" s="21"/>
      <c r="AR7" s="19"/>
      <c r="BS7" s="16" t="s">
        <v>20</v>
      </c>
    </row>
    <row r="8" s="1" customFormat="1" ht="12" customHeight="1">
      <c r="B8" s="20"/>
      <c r="C8" s="21"/>
      <c r="D8" s="28" t="s">
        <v>21</v>
      </c>
      <c r="E8" s="21"/>
      <c r="F8" s="21"/>
      <c r="G8" s="21"/>
      <c r="H8" s="21"/>
      <c r="I8" s="21"/>
      <c r="J8" s="21"/>
      <c r="K8" s="25" t="s">
        <v>22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8" t="s">
        <v>23</v>
      </c>
      <c r="AL8" s="21"/>
      <c r="AM8" s="21"/>
      <c r="AN8" s="25" t="s">
        <v>24</v>
      </c>
      <c r="AO8" s="21"/>
      <c r="AP8" s="21"/>
      <c r="AQ8" s="21"/>
      <c r="AR8" s="19"/>
      <c r="BS8" s="16" t="s">
        <v>25</v>
      </c>
    </row>
    <row r="9" s="1" customFormat="1" ht="14.4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9"/>
      <c r="BS9" s="16" t="s">
        <v>26</v>
      </c>
    </row>
    <row r="10" s="1" customFormat="1" ht="12" customHeight="1">
      <c r="B10" s="20"/>
      <c r="C10" s="21"/>
      <c r="D10" s="28" t="s">
        <v>27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8" t="s">
        <v>28</v>
      </c>
      <c r="AL10" s="21"/>
      <c r="AM10" s="21"/>
      <c r="AN10" s="25" t="s">
        <v>1</v>
      </c>
      <c r="AO10" s="21"/>
      <c r="AP10" s="21"/>
      <c r="AQ10" s="21"/>
      <c r="AR10" s="19"/>
      <c r="BS10" s="16" t="s">
        <v>17</v>
      </c>
    </row>
    <row r="11" s="1" customFormat="1" ht="18.48" customHeight="1">
      <c r="B11" s="20"/>
      <c r="C11" s="21"/>
      <c r="D11" s="21"/>
      <c r="E11" s="25" t="s">
        <v>22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8" t="s">
        <v>29</v>
      </c>
      <c r="AL11" s="21"/>
      <c r="AM11" s="21"/>
      <c r="AN11" s="25" t="s">
        <v>1</v>
      </c>
      <c r="AO11" s="21"/>
      <c r="AP11" s="21"/>
      <c r="AQ11" s="21"/>
      <c r="AR11" s="19"/>
      <c r="BS11" s="16" t="s">
        <v>17</v>
      </c>
    </row>
    <row r="12" s="1" customFormat="1" ht="6.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9"/>
      <c r="BS12" s="16" t="s">
        <v>17</v>
      </c>
    </row>
    <row r="13" s="1" customFormat="1" ht="12" customHeight="1">
      <c r="B13" s="20"/>
      <c r="C13" s="21"/>
      <c r="D13" s="28" t="s">
        <v>30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8" t="s">
        <v>28</v>
      </c>
      <c r="AL13" s="21"/>
      <c r="AM13" s="21"/>
      <c r="AN13" s="25" t="s">
        <v>1</v>
      </c>
      <c r="AO13" s="21"/>
      <c r="AP13" s="21"/>
      <c r="AQ13" s="21"/>
      <c r="AR13" s="19"/>
      <c r="BS13" s="16" t="s">
        <v>17</v>
      </c>
    </row>
    <row r="14">
      <c r="B14" s="20"/>
      <c r="C14" s="21"/>
      <c r="D14" s="21"/>
      <c r="E14" s="25" t="s">
        <v>22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8" t="s">
        <v>29</v>
      </c>
      <c r="AL14" s="21"/>
      <c r="AM14" s="21"/>
      <c r="AN14" s="25" t="s">
        <v>1</v>
      </c>
      <c r="AO14" s="21"/>
      <c r="AP14" s="21"/>
      <c r="AQ14" s="21"/>
      <c r="AR14" s="19"/>
      <c r="BS14" s="16" t="s">
        <v>17</v>
      </c>
    </row>
    <row r="15" s="1" customFormat="1" ht="6.96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9"/>
      <c r="BS15" s="16" t="s">
        <v>4</v>
      </c>
    </row>
    <row r="16" s="1" customFormat="1" ht="12" customHeight="1">
      <c r="B16" s="20"/>
      <c r="C16" s="21"/>
      <c r="D16" s="28" t="s">
        <v>31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8" t="s">
        <v>28</v>
      </c>
      <c r="AL16" s="21"/>
      <c r="AM16" s="21"/>
      <c r="AN16" s="25" t="s">
        <v>1</v>
      </c>
      <c r="AO16" s="21"/>
      <c r="AP16" s="21"/>
      <c r="AQ16" s="21"/>
      <c r="AR16" s="19"/>
      <c r="BS16" s="16" t="s">
        <v>4</v>
      </c>
    </row>
    <row r="17" s="1" customFormat="1" ht="18.48" customHeight="1">
      <c r="B17" s="20"/>
      <c r="C17" s="21"/>
      <c r="D17" s="21"/>
      <c r="E17" s="25" t="s">
        <v>22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8" t="s">
        <v>29</v>
      </c>
      <c r="AL17" s="21"/>
      <c r="AM17" s="21"/>
      <c r="AN17" s="25" t="s">
        <v>1</v>
      </c>
      <c r="AO17" s="21"/>
      <c r="AP17" s="21"/>
      <c r="AQ17" s="21"/>
      <c r="AR17" s="19"/>
      <c r="BS17" s="16" t="s">
        <v>4</v>
      </c>
    </row>
    <row r="18" s="1" customFormat="1" ht="6.96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9"/>
      <c r="BS18" s="16" t="s">
        <v>7</v>
      </c>
    </row>
    <row r="19" s="1" customFormat="1" ht="12" customHeight="1">
      <c r="B19" s="20"/>
      <c r="C19" s="21"/>
      <c r="D19" s="28" t="s">
        <v>32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8" t="s">
        <v>28</v>
      </c>
      <c r="AL19" s="21"/>
      <c r="AM19" s="21"/>
      <c r="AN19" s="25" t="s">
        <v>1</v>
      </c>
      <c r="AO19" s="21"/>
      <c r="AP19" s="21"/>
      <c r="AQ19" s="21"/>
      <c r="AR19" s="19"/>
      <c r="BS19" s="16" t="s">
        <v>7</v>
      </c>
    </row>
    <row r="20" s="1" customFormat="1" ht="18.48" customHeight="1">
      <c r="B20" s="20"/>
      <c r="C20" s="21"/>
      <c r="D20" s="21"/>
      <c r="E20" s="25" t="s">
        <v>22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8" t="s">
        <v>29</v>
      </c>
      <c r="AL20" s="21"/>
      <c r="AM20" s="21"/>
      <c r="AN20" s="25" t="s">
        <v>1</v>
      </c>
      <c r="AO20" s="21"/>
      <c r="AP20" s="21"/>
      <c r="AQ20" s="21"/>
      <c r="AR20" s="19"/>
      <c r="BS20" s="16" t="s">
        <v>5</v>
      </c>
    </row>
    <row r="21" s="1" customFormat="1" ht="6.96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9"/>
    </row>
    <row r="22" s="1" customFormat="1" ht="12" customHeight="1">
      <c r="B22" s="20"/>
      <c r="C22" s="21"/>
      <c r="D22" s="28" t="s">
        <v>33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9"/>
    </row>
    <row r="23" s="1" customFormat="1" ht="16.5" customHeight="1">
      <c r="B23" s="20"/>
      <c r="C23" s="21"/>
      <c r="D23" s="21"/>
      <c r="E23" s="29" t="s">
        <v>1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1"/>
      <c r="AP23" s="21"/>
      <c r="AQ23" s="21"/>
      <c r="AR23" s="19"/>
    </row>
    <row r="24" s="1" customFormat="1" ht="6.96" customHeight="1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9"/>
    </row>
    <row r="25" s="1" customFormat="1" ht="6.96" customHeight="1">
      <c r="B25" s="20"/>
      <c r="C25" s="2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21"/>
      <c r="AQ25" s="21"/>
      <c r="AR25" s="19"/>
    </row>
    <row r="26" s="2" customFormat="1" ht="25.92" customHeight="1">
      <c r="A26" s="31"/>
      <c r="B26" s="32"/>
      <c r="C26" s="33"/>
      <c r="D26" s="34" t="s">
        <v>34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6">
        <f>ROUND(AG94,2)</f>
        <v>2538613.6800000002</v>
      </c>
      <c r="AL26" s="35"/>
      <c r="AM26" s="35"/>
      <c r="AN26" s="35"/>
      <c r="AO26" s="35"/>
      <c r="AP26" s="33"/>
      <c r="AQ26" s="33"/>
      <c r="AR26" s="37"/>
      <c r="BG26" s="31"/>
    </row>
    <row r="27" s="2" customFormat="1" ht="6.96" customHeight="1">
      <c r="A27" s="31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7"/>
      <c r="BG27" s="31"/>
    </row>
    <row r="28" s="2" customFormat="1">
      <c r="A28" s="31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8" t="s">
        <v>35</v>
      </c>
      <c r="M28" s="38"/>
      <c r="N28" s="38"/>
      <c r="O28" s="38"/>
      <c r="P28" s="38"/>
      <c r="Q28" s="33"/>
      <c r="R28" s="33"/>
      <c r="S28" s="33"/>
      <c r="T28" s="33"/>
      <c r="U28" s="33"/>
      <c r="V28" s="33"/>
      <c r="W28" s="38" t="s">
        <v>36</v>
      </c>
      <c r="X28" s="38"/>
      <c r="Y28" s="38"/>
      <c r="Z28" s="38"/>
      <c r="AA28" s="38"/>
      <c r="AB28" s="38"/>
      <c r="AC28" s="38"/>
      <c r="AD28" s="38"/>
      <c r="AE28" s="38"/>
      <c r="AF28" s="33"/>
      <c r="AG28" s="33"/>
      <c r="AH28" s="33"/>
      <c r="AI28" s="33"/>
      <c r="AJ28" s="33"/>
      <c r="AK28" s="38" t="s">
        <v>37</v>
      </c>
      <c r="AL28" s="38"/>
      <c r="AM28" s="38"/>
      <c r="AN28" s="38"/>
      <c r="AO28" s="38"/>
      <c r="AP28" s="33"/>
      <c r="AQ28" s="33"/>
      <c r="AR28" s="37"/>
      <c r="BG28" s="31"/>
    </row>
    <row r="29" s="3" customFormat="1" ht="14.4" customHeight="1">
      <c r="A29" s="3"/>
      <c r="B29" s="39"/>
      <c r="C29" s="40"/>
      <c r="D29" s="28" t="s">
        <v>38</v>
      </c>
      <c r="E29" s="40"/>
      <c r="F29" s="28" t="s">
        <v>39</v>
      </c>
      <c r="G29" s="40"/>
      <c r="H29" s="40"/>
      <c r="I29" s="40"/>
      <c r="J29" s="40"/>
      <c r="K29" s="40"/>
      <c r="L29" s="41">
        <v>0.20999999999999999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2">
        <f>ROUND(BB94, 2)</f>
        <v>2538613.6800000002</v>
      </c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2">
        <f>ROUND(AX94, 2)</f>
        <v>533108.87</v>
      </c>
      <c r="AL29" s="40"/>
      <c r="AM29" s="40"/>
      <c r="AN29" s="40"/>
      <c r="AO29" s="40"/>
      <c r="AP29" s="40"/>
      <c r="AQ29" s="40"/>
      <c r="AR29" s="43"/>
      <c r="BG29" s="3"/>
    </row>
    <row r="30" s="3" customFormat="1" ht="14.4" customHeight="1">
      <c r="A30" s="3"/>
      <c r="B30" s="39"/>
      <c r="C30" s="40"/>
      <c r="D30" s="40"/>
      <c r="E30" s="40"/>
      <c r="F30" s="28" t="s">
        <v>40</v>
      </c>
      <c r="G30" s="40"/>
      <c r="H30" s="40"/>
      <c r="I30" s="40"/>
      <c r="J30" s="40"/>
      <c r="K30" s="40"/>
      <c r="L30" s="41">
        <v>0.12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2">
        <f>ROUND(BC94, 2)</f>
        <v>0</v>
      </c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2">
        <f>ROUND(AY94, 2)</f>
        <v>0</v>
      </c>
      <c r="AL30" s="40"/>
      <c r="AM30" s="40"/>
      <c r="AN30" s="40"/>
      <c r="AO30" s="40"/>
      <c r="AP30" s="40"/>
      <c r="AQ30" s="40"/>
      <c r="AR30" s="43"/>
      <c r="BG30" s="3"/>
    </row>
    <row r="31" hidden="1" s="3" customFormat="1" ht="14.4" customHeight="1">
      <c r="A31" s="3"/>
      <c r="B31" s="39"/>
      <c r="C31" s="40"/>
      <c r="D31" s="40"/>
      <c r="E31" s="40"/>
      <c r="F31" s="28" t="s">
        <v>41</v>
      </c>
      <c r="G31" s="40"/>
      <c r="H31" s="40"/>
      <c r="I31" s="40"/>
      <c r="J31" s="40"/>
      <c r="K31" s="40"/>
      <c r="L31" s="41">
        <v>0.20999999999999999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2">
        <f>ROUND(BD94, 2)</f>
        <v>0</v>
      </c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2">
        <v>0</v>
      </c>
      <c r="AL31" s="40"/>
      <c r="AM31" s="40"/>
      <c r="AN31" s="40"/>
      <c r="AO31" s="40"/>
      <c r="AP31" s="40"/>
      <c r="AQ31" s="40"/>
      <c r="AR31" s="43"/>
      <c r="BG31" s="3"/>
    </row>
    <row r="32" hidden="1" s="3" customFormat="1" ht="14.4" customHeight="1">
      <c r="A32" s="3"/>
      <c r="B32" s="39"/>
      <c r="C32" s="40"/>
      <c r="D32" s="40"/>
      <c r="E32" s="40"/>
      <c r="F32" s="28" t="s">
        <v>42</v>
      </c>
      <c r="G32" s="40"/>
      <c r="H32" s="40"/>
      <c r="I32" s="40"/>
      <c r="J32" s="40"/>
      <c r="K32" s="40"/>
      <c r="L32" s="41">
        <v>0.12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2">
        <f>ROUND(BE94, 2)</f>
        <v>0</v>
      </c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2">
        <v>0</v>
      </c>
      <c r="AL32" s="40"/>
      <c r="AM32" s="40"/>
      <c r="AN32" s="40"/>
      <c r="AO32" s="40"/>
      <c r="AP32" s="40"/>
      <c r="AQ32" s="40"/>
      <c r="AR32" s="43"/>
      <c r="BG32" s="3"/>
    </row>
    <row r="33" hidden="1" s="3" customFormat="1" ht="14.4" customHeight="1">
      <c r="A33" s="3"/>
      <c r="B33" s="39"/>
      <c r="C33" s="40"/>
      <c r="D33" s="40"/>
      <c r="E33" s="40"/>
      <c r="F33" s="28" t="s">
        <v>43</v>
      </c>
      <c r="G33" s="40"/>
      <c r="H33" s="40"/>
      <c r="I33" s="40"/>
      <c r="J33" s="40"/>
      <c r="K33" s="40"/>
      <c r="L33" s="41">
        <v>0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2">
        <f>ROUND(BF94, 2)</f>
        <v>0</v>
      </c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2">
        <v>0</v>
      </c>
      <c r="AL33" s="40"/>
      <c r="AM33" s="40"/>
      <c r="AN33" s="40"/>
      <c r="AO33" s="40"/>
      <c r="AP33" s="40"/>
      <c r="AQ33" s="40"/>
      <c r="AR33" s="43"/>
      <c r="BG33" s="3"/>
    </row>
    <row r="34" s="2" customFormat="1" ht="6.96" customHeight="1">
      <c r="A34" s="31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7"/>
      <c r="BG34" s="31"/>
    </row>
    <row r="35" s="2" customFormat="1" ht="25.92" customHeight="1">
      <c r="A35" s="31"/>
      <c r="B35" s="32"/>
      <c r="C35" s="44"/>
      <c r="D35" s="45" t="s">
        <v>44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 t="s">
        <v>45</v>
      </c>
      <c r="U35" s="46"/>
      <c r="V35" s="46"/>
      <c r="W35" s="46"/>
      <c r="X35" s="48" t="s">
        <v>46</v>
      </c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9">
        <f>SUM(AK26:AK33)</f>
        <v>3071722.5500000003</v>
      </c>
      <c r="AL35" s="46"/>
      <c r="AM35" s="46"/>
      <c r="AN35" s="46"/>
      <c r="AO35" s="50"/>
      <c r="AP35" s="44"/>
      <c r="AQ35" s="44"/>
      <c r="AR35" s="37"/>
      <c r="BG35" s="31"/>
    </row>
    <row r="36" s="2" customFormat="1" ht="6.96" customHeight="1">
      <c r="A36" s="31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7"/>
      <c r="BG36" s="31"/>
    </row>
    <row r="37" s="2" customFormat="1" ht="14.4" customHeight="1">
      <c r="A37" s="31"/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7"/>
      <c r="BG37" s="31"/>
    </row>
    <row r="38" s="1" customFormat="1" ht="14.4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19"/>
    </row>
    <row r="39" s="1" customFormat="1" ht="14.4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19"/>
    </row>
    <row r="40" s="1" customFormat="1" ht="14.4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19"/>
    </row>
    <row r="41" s="1" customFormat="1" ht="14.4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19"/>
    </row>
    <row r="42" s="1" customFormat="1" ht="14.4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9"/>
    </row>
    <row r="43" s="1" customFormat="1" ht="14.4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19"/>
    </row>
    <row r="44" s="1" customFormat="1" ht="14.4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9"/>
    </row>
    <row r="45" s="1" customFormat="1" ht="14.4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19"/>
    </row>
    <row r="46" s="1" customFormat="1" ht="14.4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9"/>
    </row>
    <row r="47" s="1" customFormat="1" ht="14.4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9"/>
    </row>
    <row r="48" s="1" customFormat="1" ht="14.4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9"/>
    </row>
    <row r="49" s="2" customFormat="1" ht="14.4" customHeight="1">
      <c r="B49" s="51"/>
      <c r="C49" s="52"/>
      <c r="D49" s="53" t="s">
        <v>47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3" t="s">
        <v>48</v>
      </c>
      <c r="AI49" s="54"/>
      <c r="AJ49" s="54"/>
      <c r="AK49" s="54"/>
      <c r="AL49" s="54"/>
      <c r="AM49" s="54"/>
      <c r="AN49" s="54"/>
      <c r="AO49" s="54"/>
      <c r="AP49" s="52"/>
      <c r="AQ49" s="52"/>
      <c r="AR49" s="55"/>
    </row>
    <row r="50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19"/>
    </row>
    <row r="5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19"/>
    </row>
    <row r="5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9"/>
    </row>
    <row r="5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19"/>
    </row>
    <row r="5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9"/>
    </row>
    <row r="5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19"/>
    </row>
    <row r="56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9"/>
    </row>
    <row r="57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19"/>
    </row>
    <row r="5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19"/>
    </row>
    <row r="59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19"/>
    </row>
    <row r="60" s="2" customFormat="1">
      <c r="A60" s="31"/>
      <c r="B60" s="32"/>
      <c r="C60" s="33"/>
      <c r="D60" s="56" t="s">
        <v>49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56" t="s">
        <v>50</v>
      </c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56" t="s">
        <v>49</v>
      </c>
      <c r="AI60" s="35"/>
      <c r="AJ60" s="35"/>
      <c r="AK60" s="35"/>
      <c r="AL60" s="35"/>
      <c r="AM60" s="56" t="s">
        <v>50</v>
      </c>
      <c r="AN60" s="35"/>
      <c r="AO60" s="35"/>
      <c r="AP60" s="33"/>
      <c r="AQ60" s="33"/>
      <c r="AR60" s="37"/>
      <c r="BG60" s="31"/>
    </row>
    <row r="61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19"/>
    </row>
    <row r="62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19"/>
    </row>
    <row r="6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19"/>
    </row>
    <row r="64" s="2" customFormat="1">
      <c r="A64" s="31"/>
      <c r="B64" s="32"/>
      <c r="C64" s="33"/>
      <c r="D64" s="53" t="s">
        <v>51</v>
      </c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3" t="s">
        <v>52</v>
      </c>
      <c r="AI64" s="57"/>
      <c r="AJ64" s="57"/>
      <c r="AK64" s="57"/>
      <c r="AL64" s="57"/>
      <c r="AM64" s="57"/>
      <c r="AN64" s="57"/>
      <c r="AO64" s="57"/>
      <c r="AP64" s="33"/>
      <c r="AQ64" s="33"/>
      <c r="AR64" s="37"/>
      <c r="BG64" s="31"/>
    </row>
    <row r="65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19"/>
    </row>
    <row r="66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9"/>
    </row>
    <row r="67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19"/>
    </row>
    <row r="68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19"/>
    </row>
    <row r="69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9"/>
    </row>
    <row r="70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19"/>
    </row>
    <row r="71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19"/>
    </row>
    <row r="7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19"/>
    </row>
    <row r="73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19"/>
    </row>
    <row r="7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19"/>
    </row>
    <row r="75" s="2" customFormat="1">
      <c r="A75" s="31"/>
      <c r="B75" s="32"/>
      <c r="C75" s="33"/>
      <c r="D75" s="56" t="s">
        <v>49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56" t="s">
        <v>50</v>
      </c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56" t="s">
        <v>49</v>
      </c>
      <c r="AI75" s="35"/>
      <c r="AJ75" s="35"/>
      <c r="AK75" s="35"/>
      <c r="AL75" s="35"/>
      <c r="AM75" s="56" t="s">
        <v>50</v>
      </c>
      <c r="AN75" s="35"/>
      <c r="AO75" s="35"/>
      <c r="AP75" s="33"/>
      <c r="AQ75" s="33"/>
      <c r="AR75" s="37"/>
      <c r="BG75" s="31"/>
    </row>
    <row r="76" s="2" customFormat="1">
      <c r="A76" s="31"/>
      <c r="B76" s="32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7"/>
      <c r="BG76" s="31"/>
    </row>
    <row r="77" s="2" customFormat="1" ht="6.96" customHeight="1">
      <c r="A77" s="31"/>
      <c r="B77" s="58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37"/>
      <c r="BG77" s="31"/>
    </row>
    <row r="81" s="2" customFormat="1" ht="6.96" customHeight="1">
      <c r="A81" s="31"/>
      <c r="B81" s="60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37"/>
      <c r="BG81" s="31"/>
    </row>
    <row r="82" s="2" customFormat="1" ht="24.96" customHeight="1">
      <c r="A82" s="31"/>
      <c r="B82" s="32"/>
      <c r="C82" s="22" t="s">
        <v>53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7"/>
      <c r="BG82" s="31"/>
    </row>
    <row r="83" s="2" customFormat="1" ht="6.96" customHeight="1">
      <c r="A83" s="31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7"/>
      <c r="BG83" s="31"/>
    </row>
    <row r="84" s="4" customFormat="1" ht="12" customHeight="1">
      <c r="A84" s="4"/>
      <c r="B84" s="62"/>
      <c r="C84" s="28" t="s">
        <v>13</v>
      </c>
      <c r="D84" s="63"/>
      <c r="E84" s="63"/>
      <c r="F84" s="63"/>
      <c r="G84" s="63"/>
      <c r="H84" s="63"/>
      <c r="I84" s="63"/>
      <c r="J84" s="63"/>
      <c r="K84" s="63"/>
      <c r="L84" s="63" t="str">
        <f>K5</f>
        <v>19-26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4"/>
      <c r="BG84" s="4"/>
    </row>
    <row r="85" s="5" customFormat="1" ht="36.96" customHeight="1">
      <c r="A85" s="5"/>
      <c r="B85" s="65"/>
      <c r="C85" s="66" t="s">
        <v>15</v>
      </c>
      <c r="D85" s="67"/>
      <c r="E85" s="67"/>
      <c r="F85" s="67"/>
      <c r="G85" s="67"/>
      <c r="H85" s="67"/>
      <c r="I85" s="67"/>
      <c r="J85" s="67"/>
      <c r="K85" s="67"/>
      <c r="L85" s="68" t="str">
        <f>K6</f>
        <v>Daliborova 24, Hostivař</v>
      </c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9"/>
      <c r="BG85" s="5"/>
    </row>
    <row r="86" s="2" customFormat="1" ht="6.96" customHeight="1">
      <c r="A86" s="31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  <c r="BG86" s="31"/>
    </row>
    <row r="87" s="2" customFormat="1" ht="12" customHeight="1">
      <c r="A87" s="31"/>
      <c r="B87" s="32"/>
      <c r="C87" s="28" t="s">
        <v>21</v>
      </c>
      <c r="D87" s="33"/>
      <c r="E87" s="33"/>
      <c r="F87" s="33"/>
      <c r="G87" s="33"/>
      <c r="H87" s="33"/>
      <c r="I87" s="33"/>
      <c r="J87" s="33"/>
      <c r="K87" s="33"/>
      <c r="L87" s="70" t="str">
        <f>IF(K8="","",K8)</f>
        <v xml:space="preserve"> 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28" t="s">
        <v>23</v>
      </c>
      <c r="AJ87" s="33"/>
      <c r="AK87" s="33"/>
      <c r="AL87" s="33"/>
      <c r="AM87" s="71" t="str">
        <f>IF(AN8= "","",AN8)</f>
        <v>27. 5. 2026</v>
      </c>
      <c r="AN87" s="71"/>
      <c r="AO87" s="33"/>
      <c r="AP87" s="33"/>
      <c r="AQ87" s="33"/>
      <c r="AR87" s="37"/>
      <c r="BG87" s="31"/>
    </row>
    <row r="88" s="2" customFormat="1" ht="6.96" customHeight="1">
      <c r="A88" s="31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7"/>
      <c r="BG88" s="31"/>
    </row>
    <row r="89" s="2" customFormat="1" ht="15.15" customHeight="1">
      <c r="A89" s="31"/>
      <c r="B89" s="32"/>
      <c r="C89" s="28" t="s">
        <v>27</v>
      </c>
      <c r="D89" s="33"/>
      <c r="E89" s="33"/>
      <c r="F89" s="33"/>
      <c r="G89" s="33"/>
      <c r="H89" s="33"/>
      <c r="I89" s="33"/>
      <c r="J89" s="33"/>
      <c r="K89" s="33"/>
      <c r="L89" s="63" t="str">
        <f>IF(E11= "","",E11)</f>
        <v xml:space="preserve"> 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28" t="s">
        <v>31</v>
      </c>
      <c r="AJ89" s="33"/>
      <c r="AK89" s="33"/>
      <c r="AL89" s="33"/>
      <c r="AM89" s="72" t="str">
        <f>IF(E17="","",E17)</f>
        <v xml:space="preserve"> </v>
      </c>
      <c r="AN89" s="63"/>
      <c r="AO89" s="63"/>
      <c r="AP89" s="63"/>
      <c r="AQ89" s="33"/>
      <c r="AR89" s="37"/>
      <c r="AS89" s="73" t="s">
        <v>54</v>
      </c>
      <c r="AT89" s="74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6"/>
      <c r="BG89" s="31"/>
    </row>
    <row r="90" s="2" customFormat="1" ht="15.15" customHeight="1">
      <c r="A90" s="31"/>
      <c r="B90" s="32"/>
      <c r="C90" s="28" t="s">
        <v>30</v>
      </c>
      <c r="D90" s="33"/>
      <c r="E90" s="33"/>
      <c r="F90" s="33"/>
      <c r="G90" s="33"/>
      <c r="H90" s="33"/>
      <c r="I90" s="33"/>
      <c r="J90" s="33"/>
      <c r="K90" s="33"/>
      <c r="L90" s="63" t="str">
        <f>IF(E14="","",E14)</f>
        <v xml:space="preserve"> 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28" t="s">
        <v>32</v>
      </c>
      <c r="AJ90" s="33"/>
      <c r="AK90" s="33"/>
      <c r="AL90" s="33"/>
      <c r="AM90" s="72" t="str">
        <f>IF(E20="","",E20)</f>
        <v xml:space="preserve"> </v>
      </c>
      <c r="AN90" s="63"/>
      <c r="AO90" s="63"/>
      <c r="AP90" s="63"/>
      <c r="AQ90" s="33"/>
      <c r="AR90" s="37"/>
      <c r="AS90" s="77"/>
      <c r="AT90" s="78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80"/>
      <c r="BG90" s="31"/>
    </row>
    <row r="91" s="2" customFormat="1" ht="10.8" customHeight="1">
      <c r="A91" s="31"/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7"/>
      <c r="AS91" s="81"/>
      <c r="AT91" s="82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4"/>
      <c r="BG91" s="31"/>
    </row>
    <row r="92" s="2" customFormat="1" ht="29.28" customHeight="1">
      <c r="A92" s="31"/>
      <c r="B92" s="32"/>
      <c r="C92" s="85" t="s">
        <v>55</v>
      </c>
      <c r="D92" s="86"/>
      <c r="E92" s="86"/>
      <c r="F92" s="86"/>
      <c r="G92" s="86"/>
      <c r="H92" s="87"/>
      <c r="I92" s="88" t="s">
        <v>56</v>
      </c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9" t="s">
        <v>57</v>
      </c>
      <c r="AH92" s="86"/>
      <c r="AI92" s="86"/>
      <c r="AJ92" s="86"/>
      <c r="AK92" s="86"/>
      <c r="AL92" s="86"/>
      <c r="AM92" s="86"/>
      <c r="AN92" s="88" t="s">
        <v>58</v>
      </c>
      <c r="AO92" s="86"/>
      <c r="AP92" s="90"/>
      <c r="AQ92" s="91" t="s">
        <v>59</v>
      </c>
      <c r="AR92" s="37"/>
      <c r="AS92" s="92" t="s">
        <v>60</v>
      </c>
      <c r="AT92" s="93" t="s">
        <v>61</v>
      </c>
      <c r="AU92" s="93" t="s">
        <v>62</v>
      </c>
      <c r="AV92" s="93" t="s">
        <v>63</v>
      </c>
      <c r="AW92" s="93" t="s">
        <v>64</v>
      </c>
      <c r="AX92" s="93" t="s">
        <v>65</v>
      </c>
      <c r="AY92" s="93" t="s">
        <v>66</v>
      </c>
      <c r="AZ92" s="93" t="s">
        <v>67</v>
      </c>
      <c r="BA92" s="93" t="s">
        <v>68</v>
      </c>
      <c r="BB92" s="93" t="s">
        <v>69</v>
      </c>
      <c r="BC92" s="93" t="s">
        <v>70</v>
      </c>
      <c r="BD92" s="93" t="s">
        <v>71</v>
      </c>
      <c r="BE92" s="93" t="s">
        <v>72</v>
      </c>
      <c r="BF92" s="94" t="s">
        <v>73</v>
      </c>
      <c r="BG92" s="31"/>
    </row>
    <row r="93" s="2" customFormat="1" ht="10.8" customHeight="1">
      <c r="A93" s="31"/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7"/>
      <c r="AS93" s="95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7"/>
      <c r="BG93" s="31"/>
    </row>
    <row r="94" s="6" customFormat="1" ht="32.4" customHeight="1">
      <c r="A94" s="6"/>
      <c r="B94" s="98"/>
      <c r="C94" s="99" t="s">
        <v>74</v>
      </c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1">
        <f>ROUND(AG95,2)</f>
        <v>2538613.6800000002</v>
      </c>
      <c r="AH94" s="101"/>
      <c r="AI94" s="101"/>
      <c r="AJ94" s="101"/>
      <c r="AK94" s="101"/>
      <c r="AL94" s="101"/>
      <c r="AM94" s="101"/>
      <c r="AN94" s="102">
        <f>SUM(AG94,AV94)</f>
        <v>3071722.5500000003</v>
      </c>
      <c r="AO94" s="102"/>
      <c r="AP94" s="102"/>
      <c r="AQ94" s="103" t="s">
        <v>1</v>
      </c>
      <c r="AR94" s="104"/>
      <c r="AS94" s="105">
        <f>ROUND(AS95,2)</f>
        <v>1391903.9299999999</v>
      </c>
      <c r="AT94" s="106">
        <f>ROUND(AT95,2)</f>
        <v>1146709.75</v>
      </c>
      <c r="AU94" s="107">
        <f>ROUND(AU95,2)</f>
        <v>0</v>
      </c>
      <c r="AV94" s="107">
        <f>ROUND(SUM(AX94:AY94),2)</f>
        <v>533108.87</v>
      </c>
      <c r="AW94" s="108">
        <f>ROUND(AW95,5)</f>
        <v>1594.91425</v>
      </c>
      <c r="AX94" s="107">
        <f>ROUND(BB94*L29,2)</f>
        <v>533108.87</v>
      </c>
      <c r="AY94" s="107">
        <f>ROUND(BC94*L30,2)</f>
        <v>0</v>
      </c>
      <c r="AZ94" s="107">
        <f>ROUND(BD94*L29,2)</f>
        <v>0</v>
      </c>
      <c r="BA94" s="107">
        <f>ROUND(BE94*L30,2)</f>
        <v>0</v>
      </c>
      <c r="BB94" s="107">
        <f>ROUND(BB95,2)</f>
        <v>2538613.6800000002</v>
      </c>
      <c r="BC94" s="107">
        <f>ROUND(BC95,2)</f>
        <v>0</v>
      </c>
      <c r="BD94" s="107">
        <f>ROUND(BD95,2)</f>
        <v>0</v>
      </c>
      <c r="BE94" s="107">
        <f>ROUND(BE95,2)</f>
        <v>0</v>
      </c>
      <c r="BF94" s="109">
        <f>ROUND(BF95,2)</f>
        <v>0</v>
      </c>
      <c r="BG94" s="6"/>
      <c r="BS94" s="110" t="s">
        <v>75</v>
      </c>
      <c r="BT94" s="110" t="s">
        <v>76</v>
      </c>
      <c r="BV94" s="110" t="s">
        <v>77</v>
      </c>
      <c r="BW94" s="110" t="s">
        <v>6</v>
      </c>
      <c r="BX94" s="110" t="s">
        <v>78</v>
      </c>
      <c r="CL94" s="110" t="s">
        <v>1</v>
      </c>
    </row>
    <row r="95" s="7" customFormat="1" ht="16.5" customHeight="1">
      <c r="A95" s="111" t="s">
        <v>79</v>
      </c>
      <c r="B95" s="112"/>
      <c r="C95" s="113"/>
      <c r="D95" s="114" t="s">
        <v>14</v>
      </c>
      <c r="E95" s="114"/>
      <c r="F95" s="114"/>
      <c r="G95" s="114"/>
      <c r="H95" s="114"/>
      <c r="I95" s="115"/>
      <c r="J95" s="114" t="s">
        <v>16</v>
      </c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6">
        <f>'19-26 - Daliborova 24, Ho...'!K30</f>
        <v>2538613.6800000002</v>
      </c>
      <c r="AH95" s="115"/>
      <c r="AI95" s="115"/>
      <c r="AJ95" s="115"/>
      <c r="AK95" s="115"/>
      <c r="AL95" s="115"/>
      <c r="AM95" s="115"/>
      <c r="AN95" s="116">
        <f>SUM(AG95,AV95)</f>
        <v>3071722.5500000003</v>
      </c>
      <c r="AO95" s="115"/>
      <c r="AP95" s="115"/>
      <c r="AQ95" s="117" t="s">
        <v>80</v>
      </c>
      <c r="AR95" s="118"/>
      <c r="AS95" s="119">
        <f>'19-26 - Daliborova 24, Ho...'!K28</f>
        <v>1391903.9299999997</v>
      </c>
      <c r="AT95" s="120">
        <f>'19-26 - Daliborova 24, Ho...'!K29</f>
        <v>1146709.75</v>
      </c>
      <c r="AU95" s="120">
        <v>0</v>
      </c>
      <c r="AV95" s="120">
        <f>ROUND(SUM(AX95:AY95),2)</f>
        <v>533108.87</v>
      </c>
      <c r="AW95" s="121">
        <f>'19-26 - Daliborova 24, Ho...'!T126</f>
        <v>1594.9142489999999</v>
      </c>
      <c r="AX95" s="120">
        <f>'19-26 - Daliborova 24, Ho...'!K33</f>
        <v>533108.87</v>
      </c>
      <c r="AY95" s="120">
        <f>'19-26 - Daliborova 24, Ho...'!K34</f>
        <v>0</v>
      </c>
      <c r="AZ95" s="120">
        <f>'19-26 - Daliborova 24, Ho...'!K35</f>
        <v>0</v>
      </c>
      <c r="BA95" s="120">
        <f>'19-26 - Daliborova 24, Ho...'!K36</f>
        <v>0</v>
      </c>
      <c r="BB95" s="120">
        <f>'19-26 - Daliborova 24, Ho...'!F33</f>
        <v>2538613.6800000002</v>
      </c>
      <c r="BC95" s="120">
        <f>'19-26 - Daliborova 24, Ho...'!F34</f>
        <v>0</v>
      </c>
      <c r="BD95" s="120">
        <f>'19-26 - Daliborova 24, Ho...'!F35</f>
        <v>0</v>
      </c>
      <c r="BE95" s="120">
        <f>'19-26 - Daliborova 24, Ho...'!F36</f>
        <v>0</v>
      </c>
      <c r="BF95" s="122">
        <f>'19-26 - Daliborova 24, Ho...'!F37</f>
        <v>0</v>
      </c>
      <c r="BG95" s="7"/>
      <c r="BT95" s="123" t="s">
        <v>20</v>
      </c>
      <c r="BU95" s="123" t="s">
        <v>81</v>
      </c>
      <c r="BV95" s="123" t="s">
        <v>77</v>
      </c>
      <c r="BW95" s="123" t="s">
        <v>6</v>
      </c>
      <c r="BX95" s="123" t="s">
        <v>78</v>
      </c>
      <c r="CL95" s="123" t="s">
        <v>1</v>
      </c>
    </row>
    <row r="96" s="2" customFormat="1" ht="30" customHeight="1">
      <c r="A96" s="31"/>
      <c r="B96" s="3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7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</row>
    <row r="97" s="2" customFormat="1" ht="6.96" customHeight="1">
      <c r="A97" s="31"/>
      <c r="B97" s="58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37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</row>
  </sheetData>
  <sheetProtection sheet="1" formatColumns="0" formatRows="0" objects="1" scenarios="1" spinCount="100000" saltValue="WqxJzItXl8cZsb/4mc6zRxtxVTgFXDa6CFCGWMzEUIyZMHtMkaBhwBwGPtihOtV9Sb8rl8L9q5CKybt8H+w+Hw==" hashValue="V2C3acmXnahW7P1IVGz9vvYKfD84uqjMt4VmaLF8ywB0gY5SLUzOieyVWCu6+D7sGspf0nkh160zxrAuKsC3nA==" algorithmName="SHA-512" password="CC35"/>
  <mergeCells count="40">
    <mergeCell ref="K5:AO5"/>
    <mergeCell ref="K6:AO6"/>
    <mergeCell ref="E23:AN23"/>
    <mergeCell ref="AK26:AO26"/>
    <mergeCell ref="L28:P28"/>
    <mergeCell ref="W28:AE28"/>
    <mergeCell ref="AK28:AO28"/>
    <mergeCell ref="W29:AE29"/>
    <mergeCell ref="AK29:AO29"/>
    <mergeCell ref="L29:P29"/>
    <mergeCell ref="W30:AE30"/>
    <mergeCell ref="AK30:AO30"/>
    <mergeCell ref="L30:P30"/>
    <mergeCell ref="W31:AE31"/>
    <mergeCell ref="AK31:AO31"/>
    <mergeCell ref="L31:P31"/>
    <mergeCell ref="W32:AE32"/>
    <mergeCell ref="AK32:AO32"/>
    <mergeCell ref="L32:P32"/>
    <mergeCell ref="W33:AE33"/>
    <mergeCell ref="AK33:AO33"/>
    <mergeCell ref="L33:P33"/>
    <mergeCell ref="X35:AB35"/>
    <mergeCell ref="AK35:AO35"/>
    <mergeCell ref="L85:AO85"/>
    <mergeCell ref="AM87:AN87"/>
    <mergeCell ref="AM89:AP89"/>
    <mergeCell ref="AS89:AT91"/>
    <mergeCell ref="AM90:AP90"/>
    <mergeCell ref="C92:G92"/>
    <mergeCell ref="I92:AF92"/>
    <mergeCell ref="AG92:AM92"/>
    <mergeCell ref="AN92:AP92"/>
    <mergeCell ref="AN95:AP95"/>
    <mergeCell ref="AG95:AM95"/>
    <mergeCell ref="D95:H95"/>
    <mergeCell ref="J95:AF95"/>
    <mergeCell ref="AG94:AM94"/>
    <mergeCell ref="AN94:AP94"/>
    <mergeCell ref="AR2:BG2"/>
  </mergeCells>
  <hyperlinks>
    <hyperlink ref="A95" location="'19-26 - Daliborova 24, Ho...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15.5" style="1" customWidth="1"/>
    <col min="13" max="13" width="9.332031" style="1" customWidth="1"/>
    <col min="14" max="14" width="10.83203" style="1" hidden="1" customWidth="1"/>
    <col min="15" max="15" width="9.332031" style="1" hidden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4.16016" style="1" hidden="1" customWidth="1"/>
    <col min="23" max="23" width="14.16016" style="1" hidden="1" customWidth="1"/>
    <col min="24" max="24" width="14.16016" style="1" hidden="1" customWidth="1"/>
    <col min="25" max="25" width="12.33203" style="1" hidden="1" customWidth="1"/>
    <col min="26" max="26" width="16.33203" style="1" customWidth="1"/>
    <col min="27" max="27" width="12.33203" style="1" customWidth="1"/>
    <col min="28" max="28" width="15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1">
      <c r="A1" s="21"/>
    </row>
    <row r="2" s="1" customFormat="1" ht="36.96" customHeight="1"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T2" s="16" t="s">
        <v>6</v>
      </c>
    </row>
    <row r="3" s="1" customFormat="1" ht="6.96" customHeight="1"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9"/>
      <c r="AT3" s="16" t="s">
        <v>82</v>
      </c>
    </row>
    <row r="4" s="1" customFormat="1" ht="24.96" customHeight="1">
      <c r="B4" s="19"/>
      <c r="D4" s="126" t="s">
        <v>83</v>
      </c>
      <c r="M4" s="19"/>
      <c r="N4" s="127" t="s">
        <v>11</v>
      </c>
      <c r="AT4" s="16" t="s">
        <v>4</v>
      </c>
    </row>
    <row r="5" s="1" customFormat="1" ht="6.96" customHeight="1">
      <c r="B5" s="19"/>
      <c r="M5" s="19"/>
    </row>
    <row r="6" s="2" customFormat="1" ht="12" customHeight="1">
      <c r="A6" s="31"/>
      <c r="B6" s="37"/>
      <c r="C6" s="31"/>
      <c r="D6" s="128" t="s">
        <v>15</v>
      </c>
      <c r="E6" s="31"/>
      <c r="F6" s="31"/>
      <c r="G6" s="31"/>
      <c r="H6" s="31"/>
      <c r="I6" s="31"/>
      <c r="J6" s="31"/>
      <c r="K6" s="31"/>
      <c r="L6" s="31"/>
      <c r="M6" s="55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="2" customFormat="1" ht="16.5" customHeight="1">
      <c r="A7" s="31"/>
      <c r="B7" s="37"/>
      <c r="C7" s="31"/>
      <c r="D7" s="31"/>
      <c r="E7" s="129" t="s">
        <v>16</v>
      </c>
      <c r="F7" s="31"/>
      <c r="G7" s="31"/>
      <c r="H7" s="31"/>
      <c r="I7" s="31"/>
      <c r="J7" s="31"/>
      <c r="K7" s="31"/>
      <c r="L7" s="31"/>
      <c r="M7" s="55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s="2" customFormat="1">
      <c r="A8" s="31"/>
      <c r="B8" s="37"/>
      <c r="C8" s="31"/>
      <c r="D8" s="31"/>
      <c r="E8" s="31"/>
      <c r="F8" s="31"/>
      <c r="G8" s="31"/>
      <c r="H8" s="31"/>
      <c r="I8" s="31"/>
      <c r="J8" s="31"/>
      <c r="K8" s="31"/>
      <c r="L8" s="31"/>
      <c r="M8" s="55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="2" customFormat="1" ht="12" customHeight="1">
      <c r="A9" s="31"/>
      <c r="B9" s="37"/>
      <c r="C9" s="31"/>
      <c r="D9" s="128" t="s">
        <v>18</v>
      </c>
      <c r="E9" s="31"/>
      <c r="F9" s="130" t="s">
        <v>1</v>
      </c>
      <c r="G9" s="31"/>
      <c r="H9" s="31"/>
      <c r="I9" s="128" t="s">
        <v>19</v>
      </c>
      <c r="J9" s="130" t="s">
        <v>1</v>
      </c>
      <c r="K9" s="31"/>
      <c r="L9" s="31"/>
      <c r="M9" s="55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="2" customFormat="1" ht="12" customHeight="1">
      <c r="A10" s="31"/>
      <c r="B10" s="37"/>
      <c r="C10" s="31"/>
      <c r="D10" s="128" t="s">
        <v>21</v>
      </c>
      <c r="E10" s="31"/>
      <c r="F10" s="130" t="s">
        <v>22</v>
      </c>
      <c r="G10" s="31"/>
      <c r="H10" s="31"/>
      <c r="I10" s="128" t="s">
        <v>23</v>
      </c>
      <c r="J10" s="131" t="str">
        <f>'Rekapitulace stavby'!AN8</f>
        <v>27. 5. 2026</v>
      </c>
      <c r="K10" s="31"/>
      <c r="L10" s="31"/>
      <c r="M10" s="55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="2" customFormat="1" ht="10.8" customHeight="1">
      <c r="A11" s="31"/>
      <c r="B11" s="37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55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="2" customFormat="1" ht="12" customHeight="1">
      <c r="A12" s="31"/>
      <c r="B12" s="37"/>
      <c r="C12" s="31"/>
      <c r="D12" s="128" t="s">
        <v>27</v>
      </c>
      <c r="E12" s="31"/>
      <c r="F12" s="31"/>
      <c r="G12" s="31"/>
      <c r="H12" s="31"/>
      <c r="I12" s="128" t="s">
        <v>28</v>
      </c>
      <c r="J12" s="130" t="str">
        <f>IF('Rekapitulace stavby'!AN10="","",'Rekapitulace stavby'!AN10)</f>
        <v/>
      </c>
      <c r="K12" s="31"/>
      <c r="L12" s="31"/>
      <c r="M12" s="55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="2" customFormat="1" ht="18" customHeight="1">
      <c r="A13" s="31"/>
      <c r="B13" s="37"/>
      <c r="C13" s="31"/>
      <c r="D13" s="31"/>
      <c r="E13" s="130" t="str">
        <f>IF('Rekapitulace stavby'!E11="","",'Rekapitulace stavby'!E11)</f>
        <v xml:space="preserve"> </v>
      </c>
      <c r="F13" s="31"/>
      <c r="G13" s="31"/>
      <c r="H13" s="31"/>
      <c r="I13" s="128" t="s">
        <v>29</v>
      </c>
      <c r="J13" s="130" t="str">
        <f>IF('Rekapitulace stavby'!AN11="","",'Rekapitulace stavby'!AN11)</f>
        <v/>
      </c>
      <c r="K13" s="31"/>
      <c r="L13" s="31"/>
      <c r="M13" s="55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="2" customFormat="1" ht="6.96" customHeight="1">
      <c r="A14" s="31"/>
      <c r="B14" s="37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55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="2" customFormat="1" ht="12" customHeight="1">
      <c r="A15" s="31"/>
      <c r="B15" s="37"/>
      <c r="C15" s="31"/>
      <c r="D15" s="128" t="s">
        <v>30</v>
      </c>
      <c r="E15" s="31"/>
      <c r="F15" s="31"/>
      <c r="G15" s="31"/>
      <c r="H15" s="31"/>
      <c r="I15" s="128" t="s">
        <v>28</v>
      </c>
      <c r="J15" s="130" t="str">
        <f>'Rekapitulace stavby'!AN13</f>
        <v/>
      </c>
      <c r="K15" s="31"/>
      <c r="L15" s="31"/>
      <c r="M15" s="55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="2" customFormat="1" ht="18" customHeight="1">
      <c r="A16" s="31"/>
      <c r="B16" s="37"/>
      <c r="C16" s="31"/>
      <c r="D16" s="31"/>
      <c r="E16" s="130" t="str">
        <f>'Rekapitulace stavby'!E14</f>
        <v xml:space="preserve"> </v>
      </c>
      <c r="F16" s="130"/>
      <c r="G16" s="130"/>
      <c r="H16" s="130"/>
      <c r="I16" s="128" t="s">
        <v>29</v>
      </c>
      <c r="J16" s="130" t="str">
        <f>'Rekapitulace stavby'!AN14</f>
        <v/>
      </c>
      <c r="K16" s="31"/>
      <c r="L16" s="31"/>
      <c r="M16" s="55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="2" customFormat="1" ht="6.96" customHeight="1">
      <c r="A17" s="31"/>
      <c r="B17" s="37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55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="2" customFormat="1" ht="12" customHeight="1">
      <c r="A18" s="31"/>
      <c r="B18" s="37"/>
      <c r="C18" s="31"/>
      <c r="D18" s="128" t="s">
        <v>31</v>
      </c>
      <c r="E18" s="31"/>
      <c r="F18" s="31"/>
      <c r="G18" s="31"/>
      <c r="H18" s="31"/>
      <c r="I18" s="128" t="s">
        <v>28</v>
      </c>
      <c r="J18" s="130" t="str">
        <f>IF('Rekapitulace stavby'!AN16="","",'Rekapitulace stavby'!AN16)</f>
        <v/>
      </c>
      <c r="K18" s="31"/>
      <c r="L18" s="31"/>
      <c r="M18" s="55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="2" customFormat="1" ht="18" customHeight="1">
      <c r="A19" s="31"/>
      <c r="B19" s="37"/>
      <c r="C19" s="31"/>
      <c r="D19" s="31"/>
      <c r="E19" s="130" t="str">
        <f>IF('Rekapitulace stavby'!E17="","",'Rekapitulace stavby'!E17)</f>
        <v xml:space="preserve"> </v>
      </c>
      <c r="F19" s="31"/>
      <c r="G19" s="31"/>
      <c r="H19" s="31"/>
      <c r="I19" s="128" t="s">
        <v>29</v>
      </c>
      <c r="J19" s="130" t="str">
        <f>IF('Rekapitulace stavby'!AN17="","",'Rekapitulace stavby'!AN17)</f>
        <v/>
      </c>
      <c r="K19" s="31"/>
      <c r="L19" s="31"/>
      <c r="M19" s="55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="2" customFormat="1" ht="6.96" customHeight="1">
      <c r="A20" s="31"/>
      <c r="B20" s="37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55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="2" customFormat="1" ht="12" customHeight="1">
      <c r="A21" s="31"/>
      <c r="B21" s="37"/>
      <c r="C21" s="31"/>
      <c r="D21" s="128" t="s">
        <v>32</v>
      </c>
      <c r="E21" s="31"/>
      <c r="F21" s="31"/>
      <c r="G21" s="31"/>
      <c r="H21" s="31"/>
      <c r="I21" s="128" t="s">
        <v>28</v>
      </c>
      <c r="J21" s="130" t="str">
        <f>IF('Rekapitulace stavby'!AN19="","",'Rekapitulace stavby'!AN19)</f>
        <v/>
      </c>
      <c r="K21" s="31"/>
      <c r="L21" s="31"/>
      <c r="M21" s="55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="2" customFormat="1" ht="18" customHeight="1">
      <c r="A22" s="31"/>
      <c r="B22" s="37"/>
      <c r="C22" s="31"/>
      <c r="D22" s="31"/>
      <c r="E22" s="130" t="str">
        <f>IF('Rekapitulace stavby'!E20="","",'Rekapitulace stavby'!E20)</f>
        <v xml:space="preserve"> </v>
      </c>
      <c r="F22" s="31"/>
      <c r="G22" s="31"/>
      <c r="H22" s="31"/>
      <c r="I22" s="128" t="s">
        <v>29</v>
      </c>
      <c r="J22" s="130" t="str">
        <f>IF('Rekapitulace stavby'!AN20="","",'Rekapitulace stavby'!AN20)</f>
        <v/>
      </c>
      <c r="K22" s="31"/>
      <c r="L22" s="31"/>
      <c r="M22" s="55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="2" customFormat="1" ht="6.96" customHeight="1">
      <c r="A23" s="31"/>
      <c r="B23" s="37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55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="2" customFormat="1" ht="12" customHeight="1">
      <c r="A24" s="31"/>
      <c r="B24" s="37"/>
      <c r="C24" s="31"/>
      <c r="D24" s="128" t="s">
        <v>33</v>
      </c>
      <c r="E24" s="31"/>
      <c r="F24" s="31"/>
      <c r="G24" s="31"/>
      <c r="H24" s="31"/>
      <c r="I24" s="31"/>
      <c r="J24" s="31"/>
      <c r="K24" s="31"/>
      <c r="L24" s="31"/>
      <c r="M24" s="55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="8" customFormat="1" ht="16.5" customHeight="1">
      <c r="A25" s="132"/>
      <c r="B25" s="133"/>
      <c r="C25" s="132"/>
      <c r="D25" s="132"/>
      <c r="E25" s="134" t="s">
        <v>1</v>
      </c>
      <c r="F25" s="134"/>
      <c r="G25" s="134"/>
      <c r="H25" s="134"/>
      <c r="I25" s="132"/>
      <c r="J25" s="132"/>
      <c r="K25" s="132"/>
      <c r="L25" s="132"/>
      <c r="M25" s="135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</row>
    <row r="26" s="2" customFormat="1" ht="6.96" customHeight="1">
      <c r="A26" s="31"/>
      <c r="B26" s="37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5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="2" customFormat="1" ht="6.96" customHeight="1">
      <c r="A27" s="31"/>
      <c r="B27" s="37"/>
      <c r="C27" s="31"/>
      <c r="D27" s="136"/>
      <c r="E27" s="136"/>
      <c r="F27" s="136"/>
      <c r="G27" s="136"/>
      <c r="H27" s="136"/>
      <c r="I27" s="136"/>
      <c r="J27" s="136"/>
      <c r="K27" s="136"/>
      <c r="L27" s="136"/>
      <c r="M27" s="55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="2" customFormat="1">
      <c r="A28" s="31"/>
      <c r="B28" s="37"/>
      <c r="C28" s="31"/>
      <c r="D28" s="31"/>
      <c r="E28" s="128" t="s">
        <v>84</v>
      </c>
      <c r="F28" s="31"/>
      <c r="G28" s="31"/>
      <c r="H28" s="31"/>
      <c r="I28" s="31"/>
      <c r="J28" s="31"/>
      <c r="K28" s="137">
        <f>I94</f>
        <v>1391903.9299999997</v>
      </c>
      <c r="L28" s="31"/>
      <c r="M28" s="55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="2" customFormat="1">
      <c r="A29" s="31"/>
      <c r="B29" s="37"/>
      <c r="C29" s="31"/>
      <c r="D29" s="31"/>
      <c r="E29" s="128" t="s">
        <v>85</v>
      </c>
      <c r="F29" s="31"/>
      <c r="G29" s="31"/>
      <c r="H29" s="31"/>
      <c r="I29" s="31"/>
      <c r="J29" s="31"/>
      <c r="K29" s="137">
        <f>J94</f>
        <v>1146709.75</v>
      </c>
      <c r="L29" s="31"/>
      <c r="M29" s="55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="2" customFormat="1" ht="25.44" customHeight="1">
      <c r="A30" s="31"/>
      <c r="B30" s="37"/>
      <c r="C30" s="31"/>
      <c r="D30" s="138" t="s">
        <v>34</v>
      </c>
      <c r="E30" s="31"/>
      <c r="F30" s="31"/>
      <c r="G30" s="31"/>
      <c r="H30" s="31"/>
      <c r="I30" s="31"/>
      <c r="J30" s="31"/>
      <c r="K30" s="139">
        <f>ROUND(K126, 2)</f>
        <v>2538613.6800000002</v>
      </c>
      <c r="L30" s="31"/>
      <c r="M30" s="55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="2" customFormat="1" ht="6.96" customHeight="1">
      <c r="A31" s="31"/>
      <c r="B31" s="37"/>
      <c r="C31" s="31"/>
      <c r="D31" s="136"/>
      <c r="E31" s="136"/>
      <c r="F31" s="136"/>
      <c r="G31" s="136"/>
      <c r="H31" s="136"/>
      <c r="I31" s="136"/>
      <c r="J31" s="136"/>
      <c r="K31" s="136"/>
      <c r="L31" s="136"/>
      <c r="M31" s="55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="2" customFormat="1" ht="14.4" customHeight="1">
      <c r="A32" s="31"/>
      <c r="B32" s="37"/>
      <c r="C32" s="31"/>
      <c r="D32" s="31"/>
      <c r="E32" s="31"/>
      <c r="F32" s="140" t="s">
        <v>36</v>
      </c>
      <c r="G32" s="31"/>
      <c r="H32" s="31"/>
      <c r="I32" s="140" t="s">
        <v>35</v>
      </c>
      <c r="J32" s="31"/>
      <c r="K32" s="140" t="s">
        <v>37</v>
      </c>
      <c r="L32" s="31"/>
      <c r="M32" s="55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="2" customFormat="1" ht="14.4" customHeight="1">
      <c r="A33" s="31"/>
      <c r="B33" s="37"/>
      <c r="C33" s="31"/>
      <c r="D33" s="141" t="s">
        <v>38</v>
      </c>
      <c r="E33" s="128" t="s">
        <v>39</v>
      </c>
      <c r="F33" s="137">
        <f>ROUND((SUM(BE126:BE312)),  2)</f>
        <v>2538613.6800000002</v>
      </c>
      <c r="G33" s="31"/>
      <c r="H33" s="31"/>
      <c r="I33" s="142">
        <v>0.20999999999999999</v>
      </c>
      <c r="J33" s="31"/>
      <c r="K33" s="137">
        <f>ROUND(((SUM(BE126:BE312))*I33),  2)</f>
        <v>533108.87</v>
      </c>
      <c r="L33" s="31"/>
      <c r="M33" s="55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="2" customFormat="1" ht="14.4" customHeight="1">
      <c r="A34" s="31"/>
      <c r="B34" s="37"/>
      <c r="C34" s="31"/>
      <c r="D34" s="31"/>
      <c r="E34" s="128" t="s">
        <v>40</v>
      </c>
      <c r="F34" s="137">
        <f>ROUND((SUM(BF126:BF312)),  2)</f>
        <v>0</v>
      </c>
      <c r="G34" s="31"/>
      <c r="H34" s="31"/>
      <c r="I34" s="142">
        <v>0.12</v>
      </c>
      <c r="J34" s="31"/>
      <c r="K34" s="137">
        <f>ROUND(((SUM(BF126:BF312))*I34),  2)</f>
        <v>0</v>
      </c>
      <c r="L34" s="31"/>
      <c r="M34" s="55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hidden="1" s="2" customFormat="1" ht="14.4" customHeight="1">
      <c r="A35" s="31"/>
      <c r="B35" s="37"/>
      <c r="C35" s="31"/>
      <c r="D35" s="31"/>
      <c r="E35" s="128" t="s">
        <v>41</v>
      </c>
      <c r="F35" s="137">
        <f>ROUND((SUM(BG126:BG312)),  2)</f>
        <v>0</v>
      </c>
      <c r="G35" s="31"/>
      <c r="H35" s="31"/>
      <c r="I35" s="142">
        <v>0.20999999999999999</v>
      </c>
      <c r="J35" s="31"/>
      <c r="K35" s="137">
        <f>0</f>
        <v>0</v>
      </c>
      <c r="L35" s="31"/>
      <c r="M35" s="55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hidden="1" s="2" customFormat="1" ht="14.4" customHeight="1">
      <c r="A36" s="31"/>
      <c r="B36" s="37"/>
      <c r="C36" s="31"/>
      <c r="D36" s="31"/>
      <c r="E36" s="128" t="s">
        <v>42</v>
      </c>
      <c r="F36" s="137">
        <f>ROUND((SUM(BH126:BH312)),  2)</f>
        <v>0</v>
      </c>
      <c r="G36" s="31"/>
      <c r="H36" s="31"/>
      <c r="I36" s="142">
        <v>0.12</v>
      </c>
      <c r="J36" s="31"/>
      <c r="K36" s="137">
        <f>0</f>
        <v>0</v>
      </c>
      <c r="L36" s="31"/>
      <c r="M36" s="55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hidden="1" s="2" customFormat="1" ht="14.4" customHeight="1">
      <c r="A37" s="31"/>
      <c r="B37" s="37"/>
      <c r="C37" s="31"/>
      <c r="D37" s="31"/>
      <c r="E37" s="128" t="s">
        <v>43</v>
      </c>
      <c r="F37" s="137">
        <f>ROUND((SUM(BI126:BI312)),  2)</f>
        <v>0</v>
      </c>
      <c r="G37" s="31"/>
      <c r="H37" s="31"/>
      <c r="I37" s="142">
        <v>0</v>
      </c>
      <c r="J37" s="31"/>
      <c r="K37" s="137">
        <f>0</f>
        <v>0</v>
      </c>
      <c r="L37" s="31"/>
      <c r="M37" s="55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="2" customFormat="1" ht="6.96" customHeight="1">
      <c r="A38" s="31"/>
      <c r="B38" s="37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55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="2" customFormat="1" ht="25.44" customHeight="1">
      <c r="A39" s="31"/>
      <c r="B39" s="37"/>
      <c r="C39" s="143"/>
      <c r="D39" s="144" t="s">
        <v>44</v>
      </c>
      <c r="E39" s="145"/>
      <c r="F39" s="145"/>
      <c r="G39" s="146" t="s">
        <v>45</v>
      </c>
      <c r="H39" s="147" t="s">
        <v>46</v>
      </c>
      <c r="I39" s="145"/>
      <c r="J39" s="145"/>
      <c r="K39" s="148">
        <f>SUM(K30:K37)</f>
        <v>3071722.5500000003</v>
      </c>
      <c r="L39" s="149"/>
      <c r="M39" s="55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="2" customFormat="1" ht="14.4" customHeight="1">
      <c r="A40" s="31"/>
      <c r="B40" s="37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55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="1" customFormat="1" ht="14.4" customHeight="1">
      <c r="B41" s="19"/>
      <c r="M41" s="19"/>
    </row>
    <row r="42" s="1" customFormat="1" ht="14.4" customHeight="1">
      <c r="B42" s="19"/>
      <c r="M42" s="19"/>
    </row>
    <row r="43" s="1" customFormat="1" ht="14.4" customHeight="1">
      <c r="B43" s="19"/>
      <c r="M43" s="19"/>
    </row>
    <row r="44" s="1" customFormat="1" ht="14.4" customHeight="1">
      <c r="B44" s="19"/>
      <c r="M44" s="19"/>
    </row>
    <row r="45" s="1" customFormat="1" ht="14.4" customHeight="1">
      <c r="B45" s="19"/>
      <c r="M45" s="19"/>
    </row>
    <row r="46" s="1" customFormat="1" ht="14.4" customHeight="1">
      <c r="B46" s="19"/>
      <c r="M46" s="19"/>
    </row>
    <row r="47" s="1" customFormat="1" ht="14.4" customHeight="1">
      <c r="B47" s="19"/>
      <c r="M47" s="19"/>
    </row>
    <row r="48" s="1" customFormat="1" ht="14.4" customHeight="1">
      <c r="B48" s="19"/>
      <c r="M48" s="19"/>
    </row>
    <row r="49" s="1" customFormat="1" ht="14.4" customHeight="1">
      <c r="B49" s="19"/>
      <c r="M49" s="19"/>
    </row>
    <row r="50" s="2" customFormat="1" ht="14.4" customHeight="1">
      <c r="B50" s="55"/>
      <c r="D50" s="150" t="s">
        <v>47</v>
      </c>
      <c r="E50" s="151"/>
      <c r="F50" s="151"/>
      <c r="G50" s="150" t="s">
        <v>48</v>
      </c>
      <c r="H50" s="151"/>
      <c r="I50" s="151"/>
      <c r="J50" s="151"/>
      <c r="K50" s="151"/>
      <c r="L50" s="151"/>
      <c r="M50" s="55"/>
    </row>
    <row r="51">
      <c r="B51" s="19"/>
      <c r="M51" s="19"/>
    </row>
    <row r="52">
      <c r="B52" s="19"/>
      <c r="M52" s="19"/>
    </row>
    <row r="53">
      <c r="B53" s="19"/>
      <c r="M53" s="19"/>
    </row>
    <row r="54">
      <c r="B54" s="19"/>
      <c r="M54" s="19"/>
    </row>
    <row r="55">
      <c r="B55" s="19"/>
      <c r="M55" s="19"/>
    </row>
    <row r="56">
      <c r="B56" s="19"/>
      <c r="M56" s="19"/>
    </row>
    <row r="57">
      <c r="B57" s="19"/>
      <c r="M57" s="19"/>
    </row>
    <row r="58">
      <c r="B58" s="19"/>
      <c r="M58" s="19"/>
    </row>
    <row r="59">
      <c r="B59" s="19"/>
      <c r="M59" s="19"/>
    </row>
    <row r="60">
      <c r="B60" s="19"/>
      <c r="M60" s="19"/>
    </row>
    <row r="61" s="2" customFormat="1">
      <c r="A61" s="31"/>
      <c r="B61" s="37"/>
      <c r="C61" s="31"/>
      <c r="D61" s="152" t="s">
        <v>49</v>
      </c>
      <c r="E61" s="153"/>
      <c r="F61" s="154" t="s">
        <v>50</v>
      </c>
      <c r="G61" s="152" t="s">
        <v>49</v>
      </c>
      <c r="H61" s="153"/>
      <c r="I61" s="153"/>
      <c r="J61" s="155" t="s">
        <v>50</v>
      </c>
      <c r="K61" s="153"/>
      <c r="L61" s="153"/>
      <c r="M61" s="55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>
      <c r="B62" s="19"/>
      <c r="M62" s="19"/>
    </row>
    <row r="63">
      <c r="B63" s="19"/>
      <c r="M63" s="19"/>
    </row>
    <row r="64">
      <c r="B64" s="19"/>
      <c r="M64" s="19"/>
    </row>
    <row r="65" s="2" customFormat="1">
      <c r="A65" s="31"/>
      <c r="B65" s="37"/>
      <c r="C65" s="31"/>
      <c r="D65" s="150" t="s">
        <v>51</v>
      </c>
      <c r="E65" s="156"/>
      <c r="F65" s="156"/>
      <c r="G65" s="150" t="s">
        <v>52</v>
      </c>
      <c r="H65" s="156"/>
      <c r="I65" s="156"/>
      <c r="J65" s="156"/>
      <c r="K65" s="156"/>
      <c r="L65" s="156"/>
      <c r="M65" s="55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>
      <c r="B66" s="19"/>
      <c r="M66" s="19"/>
    </row>
    <row r="67">
      <c r="B67" s="19"/>
      <c r="M67" s="19"/>
    </row>
    <row r="68">
      <c r="B68" s="19"/>
      <c r="M68" s="19"/>
    </row>
    <row r="69">
      <c r="B69" s="19"/>
      <c r="M69" s="19"/>
    </row>
    <row r="70">
      <c r="B70" s="19"/>
      <c r="M70" s="19"/>
    </row>
    <row r="71">
      <c r="B71" s="19"/>
      <c r="M71" s="19"/>
    </row>
    <row r="72">
      <c r="B72" s="19"/>
      <c r="M72" s="19"/>
    </row>
    <row r="73">
      <c r="B73" s="19"/>
      <c r="M73" s="19"/>
    </row>
    <row r="74">
      <c r="B74" s="19"/>
      <c r="M74" s="19"/>
    </row>
    <row r="75">
      <c r="B75" s="19"/>
      <c r="M75" s="19"/>
    </row>
    <row r="76" s="2" customFormat="1">
      <c r="A76" s="31"/>
      <c r="B76" s="37"/>
      <c r="C76" s="31"/>
      <c r="D76" s="152" t="s">
        <v>49</v>
      </c>
      <c r="E76" s="153"/>
      <c r="F76" s="154" t="s">
        <v>50</v>
      </c>
      <c r="G76" s="152" t="s">
        <v>49</v>
      </c>
      <c r="H76" s="153"/>
      <c r="I76" s="153"/>
      <c r="J76" s="155" t="s">
        <v>50</v>
      </c>
      <c r="K76" s="153"/>
      <c r="L76" s="153"/>
      <c r="M76" s="55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="2" customFormat="1" ht="14.4" customHeight="1">
      <c r="A77" s="31"/>
      <c r="B77" s="157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55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81" s="2" customFormat="1" ht="6.96" customHeight="1">
      <c r="A81" s="31"/>
      <c r="B81" s="159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55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="2" customFormat="1" ht="24.96" customHeight="1">
      <c r="A82" s="31"/>
      <c r="B82" s="32"/>
      <c r="C82" s="22" t="s">
        <v>86</v>
      </c>
      <c r="D82" s="33"/>
      <c r="E82" s="33"/>
      <c r="F82" s="33"/>
      <c r="G82" s="33"/>
      <c r="H82" s="33"/>
      <c r="I82" s="33"/>
      <c r="J82" s="33"/>
      <c r="K82" s="33"/>
      <c r="L82" s="33"/>
      <c r="M82" s="55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="2" customFormat="1" ht="6.96" customHeight="1">
      <c r="A83" s="31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55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="2" customFormat="1" ht="12" customHeight="1">
      <c r="A84" s="31"/>
      <c r="B84" s="32"/>
      <c r="C84" s="28" t="s">
        <v>15</v>
      </c>
      <c r="D84" s="33"/>
      <c r="E84" s="33"/>
      <c r="F84" s="33"/>
      <c r="G84" s="33"/>
      <c r="H84" s="33"/>
      <c r="I84" s="33"/>
      <c r="J84" s="33"/>
      <c r="K84" s="33"/>
      <c r="L84" s="33"/>
      <c r="M84" s="55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="2" customFormat="1" ht="16.5" customHeight="1">
      <c r="A85" s="31"/>
      <c r="B85" s="32"/>
      <c r="C85" s="33"/>
      <c r="D85" s="33"/>
      <c r="E85" s="68" t="str">
        <f>E7</f>
        <v>Daliborova 24, Hostivař</v>
      </c>
      <c r="F85" s="33"/>
      <c r="G85" s="33"/>
      <c r="H85" s="33"/>
      <c r="I85" s="33"/>
      <c r="J85" s="33"/>
      <c r="K85" s="33"/>
      <c r="L85" s="33"/>
      <c r="M85" s="55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="2" customFormat="1" ht="6.96" customHeight="1">
      <c r="A86" s="31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55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="2" customFormat="1" ht="12" customHeight="1">
      <c r="A87" s="31"/>
      <c r="B87" s="32"/>
      <c r="C87" s="28" t="s">
        <v>21</v>
      </c>
      <c r="D87" s="33"/>
      <c r="E87" s="33"/>
      <c r="F87" s="25" t="str">
        <f>F10</f>
        <v xml:space="preserve"> </v>
      </c>
      <c r="G87" s="33"/>
      <c r="H87" s="33"/>
      <c r="I87" s="28" t="s">
        <v>23</v>
      </c>
      <c r="J87" s="71" t="str">
        <f>IF(J10="","",J10)</f>
        <v>27. 5. 2026</v>
      </c>
      <c r="K87" s="33"/>
      <c r="L87" s="33"/>
      <c r="M87" s="55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="2" customFormat="1" ht="6.96" customHeight="1">
      <c r="A88" s="31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55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="2" customFormat="1" ht="15.15" customHeight="1">
      <c r="A89" s="31"/>
      <c r="B89" s="32"/>
      <c r="C89" s="28" t="s">
        <v>27</v>
      </c>
      <c r="D89" s="33"/>
      <c r="E89" s="33"/>
      <c r="F89" s="25" t="str">
        <f>E13</f>
        <v xml:space="preserve"> </v>
      </c>
      <c r="G89" s="33"/>
      <c r="H89" s="33"/>
      <c r="I89" s="28" t="s">
        <v>31</v>
      </c>
      <c r="J89" s="29" t="str">
        <f>E19</f>
        <v xml:space="preserve"> </v>
      </c>
      <c r="K89" s="33"/>
      <c r="L89" s="33"/>
      <c r="M89" s="55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="2" customFormat="1" ht="15.15" customHeight="1">
      <c r="A90" s="31"/>
      <c r="B90" s="32"/>
      <c r="C90" s="28" t="s">
        <v>30</v>
      </c>
      <c r="D90" s="33"/>
      <c r="E90" s="33"/>
      <c r="F90" s="25" t="str">
        <f>IF(E16="","",E16)</f>
        <v xml:space="preserve"> </v>
      </c>
      <c r="G90" s="33"/>
      <c r="H90" s="33"/>
      <c r="I90" s="28" t="s">
        <v>32</v>
      </c>
      <c r="J90" s="29" t="str">
        <f>E22</f>
        <v xml:space="preserve"> </v>
      </c>
      <c r="K90" s="33"/>
      <c r="L90" s="33"/>
      <c r="M90" s="55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="2" customFormat="1" ht="10.32" customHeight="1">
      <c r="A91" s="31"/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55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="2" customFormat="1" ht="29.28" customHeight="1">
      <c r="A92" s="31"/>
      <c r="B92" s="32"/>
      <c r="C92" s="161" t="s">
        <v>87</v>
      </c>
      <c r="D92" s="162"/>
      <c r="E92" s="162"/>
      <c r="F92" s="162"/>
      <c r="G92" s="162"/>
      <c r="H92" s="162"/>
      <c r="I92" s="163" t="s">
        <v>88</v>
      </c>
      <c r="J92" s="163" t="s">
        <v>89</v>
      </c>
      <c r="K92" s="163" t="s">
        <v>90</v>
      </c>
      <c r="L92" s="162"/>
      <c r="M92" s="55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="2" customFormat="1" ht="10.32" customHeight="1">
      <c r="A93" s="31"/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55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="2" customFormat="1" ht="22.8" customHeight="1">
      <c r="A94" s="31"/>
      <c r="B94" s="32"/>
      <c r="C94" s="164" t="s">
        <v>91</v>
      </c>
      <c r="D94" s="33"/>
      <c r="E94" s="33"/>
      <c r="F94" s="33"/>
      <c r="G94" s="33"/>
      <c r="H94" s="33"/>
      <c r="I94" s="102">
        <f>Q126</f>
        <v>1391903.9299999997</v>
      </c>
      <c r="J94" s="102">
        <f>R126</f>
        <v>1146709.75</v>
      </c>
      <c r="K94" s="102">
        <f>K126</f>
        <v>2538613.6800000002</v>
      </c>
      <c r="L94" s="33"/>
      <c r="M94" s="55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U94" s="16" t="s">
        <v>92</v>
      </c>
    </row>
    <row r="95" s="9" customFormat="1" ht="24.96" customHeight="1">
      <c r="A95" s="9"/>
      <c r="B95" s="165"/>
      <c r="C95" s="166"/>
      <c r="D95" s="167" t="s">
        <v>93</v>
      </c>
      <c r="E95" s="168"/>
      <c r="F95" s="168"/>
      <c r="G95" s="168"/>
      <c r="H95" s="168"/>
      <c r="I95" s="169">
        <f>Q127</f>
        <v>93016.319999999992</v>
      </c>
      <c r="J95" s="169">
        <f>R127</f>
        <v>197243.87000000002</v>
      </c>
      <c r="K95" s="169">
        <f>K127</f>
        <v>290260.19</v>
      </c>
      <c r="L95" s="166"/>
      <c r="M95" s="17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="10" customFormat="1" ht="19.92" customHeight="1">
      <c r="A96" s="10"/>
      <c r="B96" s="171"/>
      <c r="C96" s="172"/>
      <c r="D96" s="173" t="s">
        <v>94</v>
      </c>
      <c r="E96" s="174"/>
      <c r="F96" s="174"/>
      <c r="G96" s="174"/>
      <c r="H96" s="174"/>
      <c r="I96" s="175">
        <f>Q128</f>
        <v>29138.400000000001</v>
      </c>
      <c r="J96" s="175">
        <f>R128</f>
        <v>55609.199999999997</v>
      </c>
      <c r="K96" s="175">
        <f>K128</f>
        <v>84747.600000000006</v>
      </c>
      <c r="L96" s="172"/>
      <c r="M96" s="176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="10" customFormat="1" ht="19.92" customHeight="1">
      <c r="A97" s="10"/>
      <c r="B97" s="171"/>
      <c r="C97" s="172"/>
      <c r="D97" s="173" t="s">
        <v>95</v>
      </c>
      <c r="E97" s="174"/>
      <c r="F97" s="174"/>
      <c r="G97" s="174"/>
      <c r="H97" s="174"/>
      <c r="I97" s="175">
        <f>Q131</f>
        <v>37050</v>
      </c>
      <c r="J97" s="175">
        <f>R131</f>
        <v>137500</v>
      </c>
      <c r="K97" s="175">
        <f>K131</f>
        <v>174550</v>
      </c>
      <c r="L97" s="172"/>
      <c r="M97" s="176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="10" customFormat="1" ht="19.92" customHeight="1">
      <c r="A98" s="10"/>
      <c r="B98" s="171"/>
      <c r="C98" s="172"/>
      <c r="D98" s="173" t="s">
        <v>96</v>
      </c>
      <c r="E98" s="174"/>
      <c r="F98" s="174"/>
      <c r="G98" s="174"/>
      <c r="H98" s="174"/>
      <c r="I98" s="175">
        <f>Q157</f>
        <v>26827.919999999998</v>
      </c>
      <c r="J98" s="175">
        <f>R157</f>
        <v>4134.6700000000001</v>
      </c>
      <c r="K98" s="175">
        <f>K157</f>
        <v>30962.589999999997</v>
      </c>
      <c r="L98" s="172"/>
      <c r="M98" s="176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9" customFormat="1" ht="24.96" customHeight="1">
      <c r="A99" s="9"/>
      <c r="B99" s="165"/>
      <c r="C99" s="166"/>
      <c r="D99" s="167" t="s">
        <v>97</v>
      </c>
      <c r="E99" s="168"/>
      <c r="F99" s="168"/>
      <c r="G99" s="168"/>
      <c r="H99" s="168"/>
      <c r="I99" s="169">
        <f>Q164</f>
        <v>1298887.6099999996</v>
      </c>
      <c r="J99" s="169">
        <f>R164</f>
        <v>859465.88</v>
      </c>
      <c r="K99" s="169">
        <f>K164</f>
        <v>2158353.4900000002</v>
      </c>
      <c r="L99" s="166"/>
      <c r="M99" s="17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="10" customFormat="1" ht="19.92" customHeight="1">
      <c r="A100" s="10"/>
      <c r="B100" s="171"/>
      <c r="C100" s="172"/>
      <c r="D100" s="173" t="s">
        <v>98</v>
      </c>
      <c r="E100" s="174"/>
      <c r="F100" s="174"/>
      <c r="G100" s="174"/>
      <c r="H100" s="174"/>
      <c r="I100" s="175">
        <f>Q165</f>
        <v>311203.76000000001</v>
      </c>
      <c r="J100" s="175">
        <f>R165</f>
        <v>120140.5</v>
      </c>
      <c r="K100" s="175">
        <f>K165</f>
        <v>431344.25999999995</v>
      </c>
      <c r="L100" s="172"/>
      <c r="M100" s="176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71"/>
      <c r="C101" s="172"/>
      <c r="D101" s="173" t="s">
        <v>99</v>
      </c>
      <c r="E101" s="174"/>
      <c r="F101" s="174"/>
      <c r="G101" s="174"/>
      <c r="H101" s="174"/>
      <c r="I101" s="175">
        <f>Q183</f>
        <v>561076.09999999986</v>
      </c>
      <c r="J101" s="175">
        <f>R183</f>
        <v>237234.5</v>
      </c>
      <c r="K101" s="175">
        <f>K183</f>
        <v>798310.59999999998</v>
      </c>
      <c r="L101" s="172"/>
      <c r="M101" s="176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71"/>
      <c r="C102" s="172"/>
      <c r="D102" s="173" t="s">
        <v>100</v>
      </c>
      <c r="E102" s="174"/>
      <c r="F102" s="174"/>
      <c r="G102" s="174"/>
      <c r="H102" s="174"/>
      <c r="I102" s="175">
        <f>Q215</f>
        <v>62996.400000000001</v>
      </c>
      <c r="J102" s="175">
        <f>R215</f>
        <v>130712.39999999999</v>
      </c>
      <c r="K102" s="175">
        <f>K215</f>
        <v>193708.79999999999</v>
      </c>
      <c r="L102" s="172"/>
      <c r="M102" s="176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71"/>
      <c r="C103" s="172"/>
      <c r="D103" s="173" t="s">
        <v>101</v>
      </c>
      <c r="E103" s="174"/>
      <c r="F103" s="174"/>
      <c r="G103" s="174"/>
      <c r="H103" s="174"/>
      <c r="I103" s="175">
        <f>Q219</f>
        <v>31257.599999999999</v>
      </c>
      <c r="J103" s="175">
        <f>R219</f>
        <v>48629.699999999997</v>
      </c>
      <c r="K103" s="175">
        <f>K219</f>
        <v>79887.299999999988</v>
      </c>
      <c r="L103" s="172"/>
      <c r="M103" s="176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10" customFormat="1" ht="19.92" customHeight="1">
      <c r="A104" s="10"/>
      <c r="B104" s="171"/>
      <c r="C104" s="172"/>
      <c r="D104" s="173" t="s">
        <v>102</v>
      </c>
      <c r="E104" s="174"/>
      <c r="F104" s="174"/>
      <c r="G104" s="174"/>
      <c r="H104" s="174"/>
      <c r="I104" s="175">
        <f>Q229</f>
        <v>188111.98999999999</v>
      </c>
      <c r="J104" s="175">
        <f>R229</f>
        <v>290273.33999999997</v>
      </c>
      <c r="K104" s="175">
        <f>K229</f>
        <v>478385.32999999996</v>
      </c>
      <c r="L104" s="172"/>
      <c r="M104" s="176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71"/>
      <c r="C105" s="172"/>
      <c r="D105" s="173" t="s">
        <v>103</v>
      </c>
      <c r="E105" s="174"/>
      <c r="F105" s="174"/>
      <c r="G105" s="174"/>
      <c r="H105" s="174"/>
      <c r="I105" s="175">
        <f>Q295</f>
        <v>135356.59999999998</v>
      </c>
      <c r="J105" s="175">
        <f>R295</f>
        <v>18583.400000000001</v>
      </c>
      <c r="K105" s="175">
        <f>K295</f>
        <v>153940</v>
      </c>
      <c r="L105" s="172"/>
      <c r="M105" s="176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10" customFormat="1" ht="19.92" customHeight="1">
      <c r="A106" s="10"/>
      <c r="B106" s="171"/>
      <c r="C106" s="172"/>
      <c r="D106" s="173" t="s">
        <v>104</v>
      </c>
      <c r="E106" s="174"/>
      <c r="F106" s="174"/>
      <c r="G106" s="174"/>
      <c r="H106" s="174"/>
      <c r="I106" s="175">
        <f>Q306</f>
        <v>8885.1599999999999</v>
      </c>
      <c r="J106" s="175">
        <f>R306</f>
        <v>13892.040000000001</v>
      </c>
      <c r="K106" s="175">
        <f>K306</f>
        <v>22777.200000000001</v>
      </c>
      <c r="L106" s="172"/>
      <c r="M106" s="176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="9" customFormat="1" ht="24.96" customHeight="1">
      <c r="A107" s="9"/>
      <c r="B107" s="165"/>
      <c r="C107" s="166"/>
      <c r="D107" s="167" t="s">
        <v>105</v>
      </c>
      <c r="E107" s="168"/>
      <c r="F107" s="168"/>
      <c r="G107" s="168"/>
      <c r="H107" s="168"/>
      <c r="I107" s="169">
        <f>Q309</f>
        <v>0</v>
      </c>
      <c r="J107" s="169">
        <f>R309</f>
        <v>90000</v>
      </c>
      <c r="K107" s="169">
        <f>K309</f>
        <v>90000</v>
      </c>
      <c r="L107" s="166"/>
      <c r="M107" s="170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="10" customFormat="1" ht="19.92" customHeight="1">
      <c r="A108" s="10"/>
      <c r="B108" s="171"/>
      <c r="C108" s="172"/>
      <c r="D108" s="173" t="s">
        <v>106</v>
      </c>
      <c r="E108" s="174"/>
      <c r="F108" s="174"/>
      <c r="G108" s="174"/>
      <c r="H108" s="174"/>
      <c r="I108" s="175">
        <f>Q310</f>
        <v>0</v>
      </c>
      <c r="J108" s="175">
        <f>R310</f>
        <v>90000</v>
      </c>
      <c r="K108" s="175">
        <f>K310</f>
        <v>90000</v>
      </c>
      <c r="L108" s="172"/>
      <c r="M108" s="176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2" customFormat="1" ht="21.84" customHeight="1">
      <c r="A109" s="31"/>
      <c r="B109" s="32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55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</row>
    <row r="110" s="2" customFormat="1" ht="6.96" customHeight="1">
      <c r="A110" s="31"/>
      <c r="B110" s="58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5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</row>
    <row r="114" s="2" customFormat="1" ht="6.96" customHeight="1">
      <c r="A114" s="31"/>
      <c r="B114" s="60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55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 s="2" customFormat="1" ht="24.96" customHeight="1">
      <c r="A115" s="31"/>
      <c r="B115" s="32"/>
      <c r="C115" s="22" t="s">
        <v>107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55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</row>
    <row r="116" s="2" customFormat="1" ht="6.96" customHeight="1">
      <c r="A116" s="31"/>
      <c r="B116" s="32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55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 s="2" customFormat="1" ht="12" customHeight="1">
      <c r="A117" s="31"/>
      <c r="B117" s="32"/>
      <c r="C117" s="28" t="s">
        <v>15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55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 s="2" customFormat="1" ht="16.5" customHeight="1">
      <c r="A118" s="31"/>
      <c r="B118" s="32"/>
      <c r="C118" s="33"/>
      <c r="D118" s="33"/>
      <c r="E118" s="68" t="str">
        <f>E7</f>
        <v>Daliborova 24, Hostivař</v>
      </c>
      <c r="F118" s="33"/>
      <c r="G118" s="33"/>
      <c r="H118" s="33"/>
      <c r="I118" s="33"/>
      <c r="J118" s="33"/>
      <c r="K118" s="33"/>
      <c r="L118" s="33"/>
      <c r="M118" s="55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 s="2" customFormat="1" ht="6.96" customHeight="1">
      <c r="A119" s="31"/>
      <c r="B119" s="32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55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</row>
    <row r="120" s="2" customFormat="1" ht="12" customHeight="1">
      <c r="A120" s="31"/>
      <c r="B120" s="32"/>
      <c r="C120" s="28" t="s">
        <v>21</v>
      </c>
      <c r="D120" s="33"/>
      <c r="E120" s="33"/>
      <c r="F120" s="25" t="str">
        <f>F10</f>
        <v xml:space="preserve"> </v>
      </c>
      <c r="G120" s="33"/>
      <c r="H120" s="33"/>
      <c r="I120" s="28" t="s">
        <v>23</v>
      </c>
      <c r="J120" s="71" t="str">
        <f>IF(J10="","",J10)</f>
        <v>27. 5. 2026</v>
      </c>
      <c r="K120" s="33"/>
      <c r="L120" s="33"/>
      <c r="M120" s="55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</row>
    <row r="121" s="2" customFormat="1" ht="6.96" customHeight="1">
      <c r="A121" s="31"/>
      <c r="B121" s="32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55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</row>
    <row r="122" s="2" customFormat="1" ht="15.15" customHeight="1">
      <c r="A122" s="31"/>
      <c r="B122" s="32"/>
      <c r="C122" s="28" t="s">
        <v>27</v>
      </c>
      <c r="D122" s="33"/>
      <c r="E122" s="33"/>
      <c r="F122" s="25" t="str">
        <f>E13</f>
        <v xml:space="preserve"> </v>
      </c>
      <c r="G122" s="33"/>
      <c r="H122" s="33"/>
      <c r="I122" s="28" t="s">
        <v>31</v>
      </c>
      <c r="J122" s="29" t="str">
        <f>E19</f>
        <v xml:space="preserve"> </v>
      </c>
      <c r="K122" s="33"/>
      <c r="L122" s="33"/>
      <c r="M122" s="55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 s="2" customFormat="1" ht="15.15" customHeight="1">
      <c r="A123" s="31"/>
      <c r="B123" s="32"/>
      <c r="C123" s="28" t="s">
        <v>30</v>
      </c>
      <c r="D123" s="33"/>
      <c r="E123" s="33"/>
      <c r="F123" s="25" t="str">
        <f>IF(E16="","",E16)</f>
        <v xml:space="preserve"> </v>
      </c>
      <c r="G123" s="33"/>
      <c r="H123" s="33"/>
      <c r="I123" s="28" t="s">
        <v>32</v>
      </c>
      <c r="J123" s="29" t="str">
        <f>E22</f>
        <v xml:space="preserve"> </v>
      </c>
      <c r="K123" s="33"/>
      <c r="L123" s="33"/>
      <c r="M123" s="55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  <row r="124" s="2" customFormat="1" ht="10.32" customHeight="1">
      <c r="A124" s="31"/>
      <c r="B124" s="32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55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</row>
    <row r="125" s="11" customFormat="1" ht="29.28" customHeight="1">
      <c r="A125" s="177"/>
      <c r="B125" s="178"/>
      <c r="C125" s="179" t="s">
        <v>108</v>
      </c>
      <c r="D125" s="180" t="s">
        <v>59</v>
      </c>
      <c r="E125" s="180" t="s">
        <v>55</v>
      </c>
      <c r="F125" s="180" t="s">
        <v>56</v>
      </c>
      <c r="G125" s="180" t="s">
        <v>109</v>
      </c>
      <c r="H125" s="180" t="s">
        <v>110</v>
      </c>
      <c r="I125" s="180" t="s">
        <v>111</v>
      </c>
      <c r="J125" s="180" t="s">
        <v>112</v>
      </c>
      <c r="K125" s="180" t="s">
        <v>90</v>
      </c>
      <c r="L125" s="181" t="s">
        <v>113</v>
      </c>
      <c r="M125" s="182"/>
      <c r="N125" s="92" t="s">
        <v>1</v>
      </c>
      <c r="O125" s="93" t="s">
        <v>38</v>
      </c>
      <c r="P125" s="93" t="s">
        <v>114</v>
      </c>
      <c r="Q125" s="93" t="s">
        <v>115</v>
      </c>
      <c r="R125" s="93" t="s">
        <v>116</v>
      </c>
      <c r="S125" s="93" t="s">
        <v>117</v>
      </c>
      <c r="T125" s="93" t="s">
        <v>118</v>
      </c>
      <c r="U125" s="93" t="s">
        <v>119</v>
      </c>
      <c r="V125" s="93" t="s">
        <v>120</v>
      </c>
      <c r="W125" s="93" t="s">
        <v>121</v>
      </c>
      <c r="X125" s="94" t="s">
        <v>122</v>
      </c>
      <c r="Y125" s="177"/>
      <c r="Z125" s="177"/>
      <c r="AA125" s="177"/>
      <c r="AB125" s="177"/>
      <c r="AC125" s="177"/>
      <c r="AD125" s="177"/>
      <c r="AE125" s="177"/>
    </row>
    <row r="126" s="2" customFormat="1" ht="22.8" customHeight="1">
      <c r="A126" s="31"/>
      <c r="B126" s="32"/>
      <c r="C126" s="99" t="s">
        <v>123</v>
      </c>
      <c r="D126" s="33"/>
      <c r="E126" s="33"/>
      <c r="F126" s="33"/>
      <c r="G126" s="33"/>
      <c r="H126" s="33"/>
      <c r="I126" s="33"/>
      <c r="J126" s="33"/>
      <c r="K126" s="183">
        <f>BK126</f>
        <v>2538613.6800000002</v>
      </c>
      <c r="L126" s="33"/>
      <c r="M126" s="37"/>
      <c r="N126" s="95"/>
      <c r="O126" s="184"/>
      <c r="P126" s="96"/>
      <c r="Q126" s="185">
        <f>Q127+Q164+Q309</f>
        <v>1391903.9299999997</v>
      </c>
      <c r="R126" s="185">
        <f>R127+R164+R309</f>
        <v>1146709.75</v>
      </c>
      <c r="S126" s="96"/>
      <c r="T126" s="186">
        <f>T127+T164+T309</f>
        <v>1594.9142489999999</v>
      </c>
      <c r="U126" s="96"/>
      <c r="V126" s="186">
        <f>V127+V164+V309</f>
        <v>33.571050640000003</v>
      </c>
      <c r="W126" s="96"/>
      <c r="X126" s="187">
        <f>X127+X164+X309</f>
        <v>12.574770000000001</v>
      </c>
      <c r="Y126" s="31"/>
      <c r="Z126" s="31"/>
      <c r="AA126" s="31"/>
      <c r="AB126" s="31"/>
      <c r="AC126" s="31"/>
      <c r="AD126" s="31"/>
      <c r="AE126" s="31"/>
      <c r="AT126" s="16" t="s">
        <v>75</v>
      </c>
      <c r="AU126" s="16" t="s">
        <v>92</v>
      </c>
      <c r="BK126" s="188">
        <f>BK127+BK164+BK309</f>
        <v>2538613.6800000002</v>
      </c>
    </row>
    <row r="127" s="12" customFormat="1" ht="25.92" customHeight="1">
      <c r="A127" s="12"/>
      <c r="B127" s="189"/>
      <c r="C127" s="190"/>
      <c r="D127" s="191" t="s">
        <v>75</v>
      </c>
      <c r="E127" s="192" t="s">
        <v>124</v>
      </c>
      <c r="F127" s="192" t="s">
        <v>125</v>
      </c>
      <c r="G127" s="190"/>
      <c r="H127" s="190"/>
      <c r="I127" s="190"/>
      <c r="J127" s="190"/>
      <c r="K127" s="193">
        <f>BK127</f>
        <v>290260.19</v>
      </c>
      <c r="L127" s="190"/>
      <c r="M127" s="194"/>
      <c r="N127" s="195"/>
      <c r="O127" s="196"/>
      <c r="P127" s="196"/>
      <c r="Q127" s="197">
        <f>Q128+Q131+Q157</f>
        <v>93016.319999999992</v>
      </c>
      <c r="R127" s="197">
        <f>R128+R131+R157</f>
        <v>197243.87000000002</v>
      </c>
      <c r="S127" s="196"/>
      <c r="T127" s="198">
        <f>T128+T131+T157</f>
        <v>299.28132500000004</v>
      </c>
      <c r="U127" s="196"/>
      <c r="V127" s="198">
        <f>V128+V131+V157</f>
        <v>2.2633559999999999</v>
      </c>
      <c r="W127" s="196"/>
      <c r="X127" s="199">
        <f>X128+X131+X157</f>
        <v>0</v>
      </c>
      <c r="Y127" s="12"/>
      <c r="Z127" s="12"/>
      <c r="AA127" s="12"/>
      <c r="AB127" s="12"/>
      <c r="AC127" s="12"/>
      <c r="AD127" s="12"/>
      <c r="AE127" s="12"/>
      <c r="AR127" s="200" t="s">
        <v>20</v>
      </c>
      <c r="AT127" s="201" t="s">
        <v>75</v>
      </c>
      <c r="AU127" s="201" t="s">
        <v>76</v>
      </c>
      <c r="AY127" s="200" t="s">
        <v>126</v>
      </c>
      <c r="BK127" s="202">
        <f>BK128+BK131+BK157</f>
        <v>290260.19</v>
      </c>
    </row>
    <row r="128" s="12" customFormat="1" ht="22.8" customHeight="1">
      <c r="A128" s="12"/>
      <c r="B128" s="189"/>
      <c r="C128" s="190"/>
      <c r="D128" s="191" t="s">
        <v>75</v>
      </c>
      <c r="E128" s="203" t="s">
        <v>127</v>
      </c>
      <c r="F128" s="203" t="s">
        <v>128</v>
      </c>
      <c r="G128" s="190"/>
      <c r="H128" s="190"/>
      <c r="I128" s="190"/>
      <c r="J128" s="190"/>
      <c r="K128" s="204">
        <f>BK128</f>
        <v>84747.600000000006</v>
      </c>
      <c r="L128" s="190"/>
      <c r="M128" s="194"/>
      <c r="N128" s="195"/>
      <c r="O128" s="196"/>
      <c r="P128" s="196"/>
      <c r="Q128" s="197">
        <f>SUM(Q129:Q130)</f>
        <v>29138.400000000001</v>
      </c>
      <c r="R128" s="197">
        <f>SUM(R129:R130)</f>
        <v>55609.199999999997</v>
      </c>
      <c r="S128" s="196"/>
      <c r="T128" s="198">
        <f>SUM(T129:T130)</f>
        <v>86.183999999999998</v>
      </c>
      <c r="U128" s="196"/>
      <c r="V128" s="198">
        <f>SUM(V129:V130)</f>
        <v>2.2633559999999999</v>
      </c>
      <c r="W128" s="196"/>
      <c r="X128" s="199">
        <f>SUM(X129:X130)</f>
        <v>0</v>
      </c>
      <c r="Y128" s="12"/>
      <c r="Z128" s="12"/>
      <c r="AA128" s="12"/>
      <c r="AB128" s="12"/>
      <c r="AC128" s="12"/>
      <c r="AD128" s="12"/>
      <c r="AE128" s="12"/>
      <c r="AR128" s="200" t="s">
        <v>20</v>
      </c>
      <c r="AT128" s="201" t="s">
        <v>75</v>
      </c>
      <c r="AU128" s="201" t="s">
        <v>20</v>
      </c>
      <c r="AY128" s="200" t="s">
        <v>126</v>
      </c>
      <c r="BK128" s="202">
        <f>SUM(BK129:BK130)</f>
        <v>84747.600000000006</v>
      </c>
    </row>
    <row r="129" s="2" customFormat="1" ht="33" customHeight="1">
      <c r="A129" s="31"/>
      <c r="B129" s="32"/>
      <c r="C129" s="205" t="s">
        <v>20</v>
      </c>
      <c r="D129" s="205" t="s">
        <v>129</v>
      </c>
      <c r="E129" s="206" t="s">
        <v>130</v>
      </c>
      <c r="F129" s="207" t="s">
        <v>131</v>
      </c>
      <c r="G129" s="208" t="s">
        <v>132</v>
      </c>
      <c r="H129" s="209">
        <v>205.19999999999999</v>
      </c>
      <c r="I129" s="210">
        <v>142</v>
      </c>
      <c r="J129" s="210">
        <v>271</v>
      </c>
      <c r="K129" s="210">
        <f>ROUND(P129*H129,2)</f>
        <v>84747.600000000006</v>
      </c>
      <c r="L129" s="207" t="s">
        <v>133</v>
      </c>
      <c r="M129" s="37"/>
      <c r="N129" s="211" t="s">
        <v>1</v>
      </c>
      <c r="O129" s="212" t="s">
        <v>39</v>
      </c>
      <c r="P129" s="213">
        <f>I129+J129</f>
        <v>413</v>
      </c>
      <c r="Q129" s="213">
        <f>ROUND(I129*H129,2)</f>
        <v>29138.400000000001</v>
      </c>
      <c r="R129" s="213">
        <f>ROUND(J129*H129,2)</f>
        <v>55609.199999999997</v>
      </c>
      <c r="S129" s="214">
        <v>0.41999999999999998</v>
      </c>
      <c r="T129" s="214">
        <f>S129*H129</f>
        <v>86.183999999999998</v>
      </c>
      <c r="U129" s="214">
        <v>0.01103</v>
      </c>
      <c r="V129" s="214">
        <f>U129*H129</f>
        <v>2.2633559999999999</v>
      </c>
      <c r="W129" s="214">
        <v>0</v>
      </c>
      <c r="X129" s="215">
        <f>W129*H129</f>
        <v>0</v>
      </c>
      <c r="Y129" s="31"/>
      <c r="Z129" s="31"/>
      <c r="AA129" s="31"/>
      <c r="AB129" s="31"/>
      <c r="AC129" s="31"/>
      <c r="AD129" s="31"/>
      <c r="AE129" s="31"/>
      <c r="AR129" s="216" t="s">
        <v>134</v>
      </c>
      <c r="AT129" s="216" t="s">
        <v>129</v>
      </c>
      <c r="AU129" s="216" t="s">
        <v>82</v>
      </c>
      <c r="AY129" s="16" t="s">
        <v>126</v>
      </c>
      <c r="BE129" s="217">
        <f>IF(O129="základní",K129,0)</f>
        <v>84747.600000000006</v>
      </c>
      <c r="BF129" s="217">
        <f>IF(O129="snížená",K129,0)</f>
        <v>0</v>
      </c>
      <c r="BG129" s="217">
        <f>IF(O129="zákl. přenesená",K129,0)</f>
        <v>0</v>
      </c>
      <c r="BH129" s="217">
        <f>IF(O129="sníž. přenesená",K129,0)</f>
        <v>0</v>
      </c>
      <c r="BI129" s="217">
        <f>IF(O129="nulová",K129,0)</f>
        <v>0</v>
      </c>
      <c r="BJ129" s="16" t="s">
        <v>20</v>
      </c>
      <c r="BK129" s="217">
        <f>ROUND(P129*H129,2)</f>
        <v>84747.600000000006</v>
      </c>
      <c r="BL129" s="16" t="s">
        <v>134</v>
      </c>
      <c r="BM129" s="216" t="s">
        <v>135</v>
      </c>
    </row>
    <row r="130" s="2" customFormat="1">
      <c r="A130" s="31"/>
      <c r="B130" s="32"/>
      <c r="C130" s="33"/>
      <c r="D130" s="218" t="s">
        <v>136</v>
      </c>
      <c r="E130" s="33"/>
      <c r="F130" s="219" t="s">
        <v>137</v>
      </c>
      <c r="G130" s="33"/>
      <c r="H130" s="33"/>
      <c r="I130" s="33"/>
      <c r="J130" s="33"/>
      <c r="K130" s="33"/>
      <c r="L130" s="33"/>
      <c r="M130" s="37"/>
      <c r="N130" s="220"/>
      <c r="O130" s="221"/>
      <c r="P130" s="83"/>
      <c r="Q130" s="83"/>
      <c r="R130" s="83"/>
      <c r="S130" s="83"/>
      <c r="T130" s="83"/>
      <c r="U130" s="83"/>
      <c r="V130" s="83"/>
      <c r="W130" s="83"/>
      <c r="X130" s="84"/>
      <c r="Y130" s="31"/>
      <c r="Z130" s="31"/>
      <c r="AA130" s="31"/>
      <c r="AB130" s="31"/>
      <c r="AC130" s="31"/>
      <c r="AD130" s="31"/>
      <c r="AE130" s="31"/>
      <c r="AT130" s="16" t="s">
        <v>136</v>
      </c>
      <c r="AU130" s="16" t="s">
        <v>82</v>
      </c>
    </row>
    <row r="131" s="12" customFormat="1" ht="22.8" customHeight="1">
      <c r="A131" s="12"/>
      <c r="B131" s="189"/>
      <c r="C131" s="190"/>
      <c r="D131" s="191" t="s">
        <v>75</v>
      </c>
      <c r="E131" s="203" t="s">
        <v>138</v>
      </c>
      <c r="F131" s="203" t="s">
        <v>139</v>
      </c>
      <c r="G131" s="190"/>
      <c r="H131" s="190"/>
      <c r="I131" s="190"/>
      <c r="J131" s="190"/>
      <c r="K131" s="204">
        <f>BK131</f>
        <v>174550</v>
      </c>
      <c r="L131" s="190"/>
      <c r="M131" s="194"/>
      <c r="N131" s="195"/>
      <c r="O131" s="196"/>
      <c r="P131" s="196"/>
      <c r="Q131" s="197">
        <f>SUM(Q132:Q156)</f>
        <v>37050</v>
      </c>
      <c r="R131" s="197">
        <f>SUM(R132:R156)</f>
        <v>137500</v>
      </c>
      <c r="S131" s="196"/>
      <c r="T131" s="198">
        <f>SUM(T132:T156)</f>
        <v>211.44999999999999</v>
      </c>
      <c r="U131" s="196"/>
      <c r="V131" s="198">
        <f>SUM(V132:V156)</f>
        <v>0</v>
      </c>
      <c r="W131" s="196"/>
      <c r="X131" s="199">
        <f>SUM(X132:X156)</f>
        <v>0</v>
      </c>
      <c r="Y131" s="12"/>
      <c r="Z131" s="12"/>
      <c r="AA131" s="12"/>
      <c r="AB131" s="12"/>
      <c r="AC131" s="12"/>
      <c r="AD131" s="12"/>
      <c r="AE131" s="12"/>
      <c r="AR131" s="200" t="s">
        <v>20</v>
      </c>
      <c r="AT131" s="201" t="s">
        <v>75</v>
      </c>
      <c r="AU131" s="201" t="s">
        <v>20</v>
      </c>
      <c r="AY131" s="200" t="s">
        <v>126</v>
      </c>
      <c r="BK131" s="202">
        <f>SUM(BK132:BK156)</f>
        <v>174550</v>
      </c>
    </row>
    <row r="132" s="2" customFormat="1" ht="37.8" customHeight="1">
      <c r="A132" s="31"/>
      <c r="B132" s="32"/>
      <c r="C132" s="205" t="s">
        <v>82</v>
      </c>
      <c r="D132" s="205" t="s">
        <v>129</v>
      </c>
      <c r="E132" s="206" t="s">
        <v>140</v>
      </c>
      <c r="F132" s="207" t="s">
        <v>141</v>
      </c>
      <c r="G132" s="208" t="s">
        <v>132</v>
      </c>
      <c r="H132" s="209">
        <v>375</v>
      </c>
      <c r="I132" s="210">
        <v>0</v>
      </c>
      <c r="J132" s="210">
        <v>99.700000000000003</v>
      </c>
      <c r="K132" s="210">
        <f>ROUND(P132*H132,2)</f>
        <v>37387.5</v>
      </c>
      <c r="L132" s="207" t="s">
        <v>133</v>
      </c>
      <c r="M132" s="37"/>
      <c r="N132" s="211" t="s">
        <v>1</v>
      </c>
      <c r="O132" s="212" t="s">
        <v>39</v>
      </c>
      <c r="P132" s="213">
        <f>I132+J132</f>
        <v>99.700000000000003</v>
      </c>
      <c r="Q132" s="213">
        <f>ROUND(I132*H132,2)</f>
        <v>0</v>
      </c>
      <c r="R132" s="213">
        <f>ROUND(J132*H132,2)</f>
        <v>37387.5</v>
      </c>
      <c r="S132" s="214">
        <v>0.154</v>
      </c>
      <c r="T132" s="214">
        <f>S132*H132</f>
        <v>57.75</v>
      </c>
      <c r="U132" s="214">
        <v>0</v>
      </c>
      <c r="V132" s="214">
        <f>U132*H132</f>
        <v>0</v>
      </c>
      <c r="W132" s="214">
        <v>0</v>
      </c>
      <c r="X132" s="215">
        <f>W132*H132</f>
        <v>0</v>
      </c>
      <c r="Y132" s="31"/>
      <c r="Z132" s="31"/>
      <c r="AA132" s="31"/>
      <c r="AB132" s="31"/>
      <c r="AC132" s="31"/>
      <c r="AD132" s="31"/>
      <c r="AE132" s="31"/>
      <c r="AR132" s="216" t="s">
        <v>134</v>
      </c>
      <c r="AT132" s="216" t="s">
        <v>129</v>
      </c>
      <c r="AU132" s="216" t="s">
        <v>82</v>
      </c>
      <c r="AY132" s="16" t="s">
        <v>126</v>
      </c>
      <c r="BE132" s="217">
        <f>IF(O132="základní",K132,0)</f>
        <v>37387.5</v>
      </c>
      <c r="BF132" s="217">
        <f>IF(O132="snížená",K132,0)</f>
        <v>0</v>
      </c>
      <c r="BG132" s="217">
        <f>IF(O132="zákl. přenesená",K132,0)</f>
        <v>0</v>
      </c>
      <c r="BH132" s="217">
        <f>IF(O132="sníž. přenesená",K132,0)</f>
        <v>0</v>
      </c>
      <c r="BI132" s="217">
        <f>IF(O132="nulová",K132,0)</f>
        <v>0</v>
      </c>
      <c r="BJ132" s="16" t="s">
        <v>20</v>
      </c>
      <c r="BK132" s="217">
        <f>ROUND(P132*H132,2)</f>
        <v>37387.5</v>
      </c>
      <c r="BL132" s="16" t="s">
        <v>134</v>
      </c>
      <c r="BM132" s="216" t="s">
        <v>142</v>
      </c>
    </row>
    <row r="133" s="2" customFormat="1">
      <c r="A133" s="31"/>
      <c r="B133" s="32"/>
      <c r="C133" s="33"/>
      <c r="D133" s="218" t="s">
        <v>136</v>
      </c>
      <c r="E133" s="33"/>
      <c r="F133" s="219" t="s">
        <v>143</v>
      </c>
      <c r="G133" s="33"/>
      <c r="H133" s="33"/>
      <c r="I133" s="33"/>
      <c r="J133" s="33"/>
      <c r="K133" s="33"/>
      <c r="L133" s="33"/>
      <c r="M133" s="37"/>
      <c r="N133" s="220"/>
      <c r="O133" s="221"/>
      <c r="P133" s="83"/>
      <c r="Q133" s="83"/>
      <c r="R133" s="83"/>
      <c r="S133" s="83"/>
      <c r="T133" s="83"/>
      <c r="U133" s="83"/>
      <c r="V133" s="83"/>
      <c r="W133" s="83"/>
      <c r="X133" s="84"/>
      <c r="Y133" s="31"/>
      <c r="Z133" s="31"/>
      <c r="AA133" s="31"/>
      <c r="AB133" s="31"/>
      <c r="AC133" s="31"/>
      <c r="AD133" s="31"/>
      <c r="AE133" s="31"/>
      <c r="AT133" s="16" t="s">
        <v>136</v>
      </c>
      <c r="AU133" s="16" t="s">
        <v>82</v>
      </c>
    </row>
    <row r="134" s="2" customFormat="1" ht="37.8" customHeight="1">
      <c r="A134" s="31"/>
      <c r="B134" s="32"/>
      <c r="C134" s="205" t="s">
        <v>144</v>
      </c>
      <c r="D134" s="205" t="s">
        <v>129</v>
      </c>
      <c r="E134" s="206" t="s">
        <v>145</v>
      </c>
      <c r="F134" s="207" t="s">
        <v>146</v>
      </c>
      <c r="G134" s="208" t="s">
        <v>132</v>
      </c>
      <c r="H134" s="209">
        <v>22500</v>
      </c>
      <c r="I134" s="210">
        <v>1.1000000000000001</v>
      </c>
      <c r="J134" s="210">
        <v>0</v>
      </c>
      <c r="K134" s="210">
        <f>ROUND(P134*H134,2)</f>
        <v>24750</v>
      </c>
      <c r="L134" s="207" t="s">
        <v>133</v>
      </c>
      <c r="M134" s="37"/>
      <c r="N134" s="211" t="s">
        <v>1</v>
      </c>
      <c r="O134" s="212" t="s">
        <v>39</v>
      </c>
      <c r="P134" s="213">
        <f>I134+J134</f>
        <v>1.1000000000000001</v>
      </c>
      <c r="Q134" s="213">
        <f>ROUND(I134*H134,2)</f>
        <v>24750</v>
      </c>
      <c r="R134" s="213">
        <f>ROUND(J134*H134,2)</f>
        <v>0</v>
      </c>
      <c r="S134" s="214">
        <v>0</v>
      </c>
      <c r="T134" s="214">
        <f>S134*H134</f>
        <v>0</v>
      </c>
      <c r="U134" s="214">
        <v>0</v>
      </c>
      <c r="V134" s="214">
        <f>U134*H134</f>
        <v>0</v>
      </c>
      <c r="W134" s="214">
        <v>0</v>
      </c>
      <c r="X134" s="215">
        <f>W134*H134</f>
        <v>0</v>
      </c>
      <c r="Y134" s="31"/>
      <c r="Z134" s="31"/>
      <c r="AA134" s="31"/>
      <c r="AB134" s="31"/>
      <c r="AC134" s="31"/>
      <c r="AD134" s="31"/>
      <c r="AE134" s="31"/>
      <c r="AR134" s="216" t="s">
        <v>134</v>
      </c>
      <c r="AT134" s="216" t="s">
        <v>129</v>
      </c>
      <c r="AU134" s="216" t="s">
        <v>82</v>
      </c>
      <c r="AY134" s="16" t="s">
        <v>126</v>
      </c>
      <c r="BE134" s="217">
        <f>IF(O134="základní",K134,0)</f>
        <v>24750</v>
      </c>
      <c r="BF134" s="217">
        <f>IF(O134="snížená",K134,0)</f>
        <v>0</v>
      </c>
      <c r="BG134" s="217">
        <f>IF(O134="zákl. přenesená",K134,0)</f>
        <v>0</v>
      </c>
      <c r="BH134" s="217">
        <f>IF(O134="sníž. přenesená",K134,0)</f>
        <v>0</v>
      </c>
      <c r="BI134" s="217">
        <f>IF(O134="nulová",K134,0)</f>
        <v>0</v>
      </c>
      <c r="BJ134" s="16" t="s">
        <v>20</v>
      </c>
      <c r="BK134" s="217">
        <f>ROUND(P134*H134,2)</f>
        <v>24750</v>
      </c>
      <c r="BL134" s="16" t="s">
        <v>134</v>
      </c>
      <c r="BM134" s="216" t="s">
        <v>147</v>
      </c>
    </row>
    <row r="135" s="2" customFormat="1">
      <c r="A135" s="31"/>
      <c r="B135" s="32"/>
      <c r="C135" s="33"/>
      <c r="D135" s="218" t="s">
        <v>136</v>
      </c>
      <c r="E135" s="33"/>
      <c r="F135" s="219" t="s">
        <v>148</v>
      </c>
      <c r="G135" s="33"/>
      <c r="H135" s="33"/>
      <c r="I135" s="33"/>
      <c r="J135" s="33"/>
      <c r="K135" s="33"/>
      <c r="L135" s="33"/>
      <c r="M135" s="37"/>
      <c r="N135" s="220"/>
      <c r="O135" s="221"/>
      <c r="P135" s="83"/>
      <c r="Q135" s="83"/>
      <c r="R135" s="83"/>
      <c r="S135" s="83"/>
      <c r="T135" s="83"/>
      <c r="U135" s="83"/>
      <c r="V135" s="83"/>
      <c r="W135" s="83"/>
      <c r="X135" s="84"/>
      <c r="Y135" s="31"/>
      <c r="Z135" s="31"/>
      <c r="AA135" s="31"/>
      <c r="AB135" s="31"/>
      <c r="AC135" s="31"/>
      <c r="AD135" s="31"/>
      <c r="AE135" s="31"/>
      <c r="AT135" s="16" t="s">
        <v>136</v>
      </c>
      <c r="AU135" s="16" t="s">
        <v>82</v>
      </c>
    </row>
    <row r="136" s="13" customFormat="1">
      <c r="A136" s="13"/>
      <c r="B136" s="222"/>
      <c r="C136" s="223"/>
      <c r="D136" s="218" t="s">
        <v>149</v>
      </c>
      <c r="E136" s="224" t="s">
        <v>1</v>
      </c>
      <c r="F136" s="225" t="s">
        <v>150</v>
      </c>
      <c r="G136" s="223"/>
      <c r="H136" s="226">
        <v>22500</v>
      </c>
      <c r="I136" s="223"/>
      <c r="J136" s="223"/>
      <c r="K136" s="223"/>
      <c r="L136" s="223"/>
      <c r="M136" s="227"/>
      <c r="N136" s="228"/>
      <c r="O136" s="229"/>
      <c r="P136" s="229"/>
      <c r="Q136" s="229"/>
      <c r="R136" s="229"/>
      <c r="S136" s="229"/>
      <c r="T136" s="229"/>
      <c r="U136" s="229"/>
      <c r="V136" s="229"/>
      <c r="W136" s="229"/>
      <c r="X136" s="230"/>
      <c r="Y136" s="13"/>
      <c r="Z136" s="13"/>
      <c r="AA136" s="13"/>
      <c r="AB136" s="13"/>
      <c r="AC136" s="13"/>
      <c r="AD136" s="13"/>
      <c r="AE136" s="13"/>
      <c r="AT136" s="231" t="s">
        <v>149</v>
      </c>
      <c r="AU136" s="231" t="s">
        <v>82</v>
      </c>
      <c r="AV136" s="13" t="s">
        <v>82</v>
      </c>
      <c r="AW136" s="13" t="s">
        <v>5</v>
      </c>
      <c r="AX136" s="13" t="s">
        <v>20</v>
      </c>
      <c r="AY136" s="231" t="s">
        <v>126</v>
      </c>
    </row>
    <row r="137" s="2" customFormat="1" ht="37.8" customHeight="1">
      <c r="A137" s="31"/>
      <c r="B137" s="32"/>
      <c r="C137" s="205" t="s">
        <v>134</v>
      </c>
      <c r="D137" s="205" t="s">
        <v>129</v>
      </c>
      <c r="E137" s="206" t="s">
        <v>151</v>
      </c>
      <c r="F137" s="207" t="s">
        <v>152</v>
      </c>
      <c r="G137" s="208" t="s">
        <v>132</v>
      </c>
      <c r="H137" s="209">
        <v>375</v>
      </c>
      <c r="I137" s="210">
        <v>0</v>
      </c>
      <c r="J137" s="210">
        <v>61</v>
      </c>
      <c r="K137" s="210">
        <f>ROUND(P137*H137,2)</f>
        <v>22875</v>
      </c>
      <c r="L137" s="207" t="s">
        <v>133</v>
      </c>
      <c r="M137" s="37"/>
      <c r="N137" s="211" t="s">
        <v>1</v>
      </c>
      <c r="O137" s="212" t="s">
        <v>39</v>
      </c>
      <c r="P137" s="213">
        <f>I137+J137</f>
        <v>61</v>
      </c>
      <c r="Q137" s="213">
        <f>ROUND(I137*H137,2)</f>
        <v>0</v>
      </c>
      <c r="R137" s="213">
        <f>ROUND(J137*H137,2)</f>
        <v>22875</v>
      </c>
      <c r="S137" s="214">
        <v>0.097000000000000003</v>
      </c>
      <c r="T137" s="214">
        <f>S137*H137</f>
        <v>36.375</v>
      </c>
      <c r="U137" s="214">
        <v>0</v>
      </c>
      <c r="V137" s="214">
        <f>U137*H137</f>
        <v>0</v>
      </c>
      <c r="W137" s="214">
        <v>0</v>
      </c>
      <c r="X137" s="215">
        <f>W137*H137</f>
        <v>0</v>
      </c>
      <c r="Y137" s="31"/>
      <c r="Z137" s="31"/>
      <c r="AA137" s="31"/>
      <c r="AB137" s="31"/>
      <c r="AC137" s="31"/>
      <c r="AD137" s="31"/>
      <c r="AE137" s="31"/>
      <c r="AR137" s="216" t="s">
        <v>134</v>
      </c>
      <c r="AT137" s="216" t="s">
        <v>129</v>
      </c>
      <c r="AU137" s="216" t="s">
        <v>82</v>
      </c>
      <c r="AY137" s="16" t="s">
        <v>126</v>
      </c>
      <c r="BE137" s="217">
        <f>IF(O137="základní",K137,0)</f>
        <v>22875</v>
      </c>
      <c r="BF137" s="217">
        <f>IF(O137="snížená",K137,0)</f>
        <v>0</v>
      </c>
      <c r="BG137" s="217">
        <f>IF(O137="zákl. přenesená",K137,0)</f>
        <v>0</v>
      </c>
      <c r="BH137" s="217">
        <f>IF(O137="sníž. přenesená",K137,0)</f>
        <v>0</v>
      </c>
      <c r="BI137" s="217">
        <f>IF(O137="nulová",K137,0)</f>
        <v>0</v>
      </c>
      <c r="BJ137" s="16" t="s">
        <v>20</v>
      </c>
      <c r="BK137" s="217">
        <f>ROUND(P137*H137,2)</f>
        <v>22875</v>
      </c>
      <c r="BL137" s="16" t="s">
        <v>134</v>
      </c>
      <c r="BM137" s="216" t="s">
        <v>153</v>
      </c>
    </row>
    <row r="138" s="2" customFormat="1">
      <c r="A138" s="31"/>
      <c r="B138" s="32"/>
      <c r="C138" s="33"/>
      <c r="D138" s="218" t="s">
        <v>136</v>
      </c>
      <c r="E138" s="33"/>
      <c r="F138" s="219" t="s">
        <v>154</v>
      </c>
      <c r="G138" s="33"/>
      <c r="H138" s="33"/>
      <c r="I138" s="33"/>
      <c r="J138" s="33"/>
      <c r="K138" s="33"/>
      <c r="L138" s="33"/>
      <c r="M138" s="37"/>
      <c r="N138" s="220"/>
      <c r="O138" s="221"/>
      <c r="P138" s="83"/>
      <c r="Q138" s="83"/>
      <c r="R138" s="83"/>
      <c r="S138" s="83"/>
      <c r="T138" s="83"/>
      <c r="U138" s="83"/>
      <c r="V138" s="83"/>
      <c r="W138" s="83"/>
      <c r="X138" s="84"/>
      <c r="Y138" s="31"/>
      <c r="Z138" s="31"/>
      <c r="AA138" s="31"/>
      <c r="AB138" s="31"/>
      <c r="AC138" s="31"/>
      <c r="AD138" s="31"/>
      <c r="AE138" s="31"/>
      <c r="AT138" s="16" t="s">
        <v>136</v>
      </c>
      <c r="AU138" s="16" t="s">
        <v>82</v>
      </c>
    </row>
    <row r="139" s="2" customFormat="1" ht="24.15" customHeight="1">
      <c r="A139" s="31"/>
      <c r="B139" s="32"/>
      <c r="C139" s="205" t="s">
        <v>155</v>
      </c>
      <c r="D139" s="205" t="s">
        <v>129</v>
      </c>
      <c r="E139" s="206" t="s">
        <v>156</v>
      </c>
      <c r="F139" s="207" t="s">
        <v>157</v>
      </c>
      <c r="G139" s="208" t="s">
        <v>132</v>
      </c>
      <c r="H139" s="209">
        <v>375</v>
      </c>
      <c r="I139" s="210">
        <v>0</v>
      </c>
      <c r="J139" s="210">
        <v>27.699999999999999</v>
      </c>
      <c r="K139" s="210">
        <f>ROUND(P139*H139,2)</f>
        <v>10387.5</v>
      </c>
      <c r="L139" s="207" t="s">
        <v>133</v>
      </c>
      <c r="M139" s="37"/>
      <c r="N139" s="211" t="s">
        <v>1</v>
      </c>
      <c r="O139" s="212" t="s">
        <v>39</v>
      </c>
      <c r="P139" s="213">
        <f>I139+J139</f>
        <v>27.699999999999999</v>
      </c>
      <c r="Q139" s="213">
        <f>ROUND(I139*H139,2)</f>
        <v>0</v>
      </c>
      <c r="R139" s="213">
        <f>ROUND(J139*H139,2)</f>
        <v>10387.5</v>
      </c>
      <c r="S139" s="214">
        <v>0.049000000000000002</v>
      </c>
      <c r="T139" s="214">
        <f>S139*H139</f>
        <v>18.375</v>
      </c>
      <c r="U139" s="214">
        <v>0</v>
      </c>
      <c r="V139" s="214">
        <f>U139*H139</f>
        <v>0</v>
      </c>
      <c r="W139" s="214">
        <v>0</v>
      </c>
      <c r="X139" s="215">
        <f>W139*H139</f>
        <v>0</v>
      </c>
      <c r="Y139" s="31"/>
      <c r="Z139" s="31"/>
      <c r="AA139" s="31"/>
      <c r="AB139" s="31"/>
      <c r="AC139" s="31"/>
      <c r="AD139" s="31"/>
      <c r="AE139" s="31"/>
      <c r="AR139" s="216" t="s">
        <v>134</v>
      </c>
      <c r="AT139" s="216" t="s">
        <v>129</v>
      </c>
      <c r="AU139" s="216" t="s">
        <v>82</v>
      </c>
      <c r="AY139" s="16" t="s">
        <v>126</v>
      </c>
      <c r="BE139" s="217">
        <f>IF(O139="základní",K139,0)</f>
        <v>10387.5</v>
      </c>
      <c r="BF139" s="217">
        <f>IF(O139="snížená",K139,0)</f>
        <v>0</v>
      </c>
      <c r="BG139" s="217">
        <f>IF(O139="zákl. přenesená",K139,0)</f>
        <v>0</v>
      </c>
      <c r="BH139" s="217">
        <f>IF(O139="sníž. přenesená",K139,0)</f>
        <v>0</v>
      </c>
      <c r="BI139" s="217">
        <f>IF(O139="nulová",K139,0)</f>
        <v>0</v>
      </c>
      <c r="BJ139" s="16" t="s">
        <v>20</v>
      </c>
      <c r="BK139" s="217">
        <f>ROUND(P139*H139,2)</f>
        <v>10387.5</v>
      </c>
      <c r="BL139" s="16" t="s">
        <v>134</v>
      </c>
      <c r="BM139" s="216" t="s">
        <v>158</v>
      </c>
    </row>
    <row r="140" s="2" customFormat="1">
      <c r="A140" s="31"/>
      <c r="B140" s="32"/>
      <c r="C140" s="33"/>
      <c r="D140" s="218" t="s">
        <v>136</v>
      </c>
      <c r="E140" s="33"/>
      <c r="F140" s="219" t="s">
        <v>159</v>
      </c>
      <c r="G140" s="33"/>
      <c r="H140" s="33"/>
      <c r="I140" s="33"/>
      <c r="J140" s="33"/>
      <c r="K140" s="33"/>
      <c r="L140" s="33"/>
      <c r="M140" s="37"/>
      <c r="N140" s="220"/>
      <c r="O140" s="221"/>
      <c r="P140" s="83"/>
      <c r="Q140" s="83"/>
      <c r="R140" s="83"/>
      <c r="S140" s="83"/>
      <c r="T140" s="83"/>
      <c r="U140" s="83"/>
      <c r="V140" s="83"/>
      <c r="W140" s="83"/>
      <c r="X140" s="84"/>
      <c r="Y140" s="31"/>
      <c r="Z140" s="31"/>
      <c r="AA140" s="31"/>
      <c r="AB140" s="31"/>
      <c r="AC140" s="31"/>
      <c r="AD140" s="31"/>
      <c r="AE140" s="31"/>
      <c r="AT140" s="16" t="s">
        <v>136</v>
      </c>
      <c r="AU140" s="16" t="s">
        <v>82</v>
      </c>
    </row>
    <row r="141" s="2" customFormat="1" ht="24.15" customHeight="1">
      <c r="A141" s="31"/>
      <c r="B141" s="32"/>
      <c r="C141" s="205" t="s">
        <v>127</v>
      </c>
      <c r="D141" s="205" t="s">
        <v>129</v>
      </c>
      <c r="E141" s="206" t="s">
        <v>160</v>
      </c>
      <c r="F141" s="207" t="s">
        <v>161</v>
      </c>
      <c r="G141" s="208" t="s">
        <v>132</v>
      </c>
      <c r="H141" s="209">
        <v>22500</v>
      </c>
      <c r="I141" s="210">
        <v>0.37</v>
      </c>
      <c r="J141" s="210">
        <v>0</v>
      </c>
      <c r="K141" s="210">
        <f>ROUND(P141*H141,2)</f>
        <v>8325</v>
      </c>
      <c r="L141" s="207" t="s">
        <v>133</v>
      </c>
      <c r="M141" s="37"/>
      <c r="N141" s="211" t="s">
        <v>1</v>
      </c>
      <c r="O141" s="212" t="s">
        <v>39</v>
      </c>
      <c r="P141" s="213">
        <f>I141+J141</f>
        <v>0.37</v>
      </c>
      <c r="Q141" s="213">
        <f>ROUND(I141*H141,2)</f>
        <v>8325</v>
      </c>
      <c r="R141" s="213">
        <f>ROUND(J141*H141,2)</f>
        <v>0</v>
      </c>
      <c r="S141" s="214">
        <v>0</v>
      </c>
      <c r="T141" s="214">
        <f>S141*H141</f>
        <v>0</v>
      </c>
      <c r="U141" s="214">
        <v>0</v>
      </c>
      <c r="V141" s="214">
        <f>U141*H141</f>
        <v>0</v>
      </c>
      <c r="W141" s="214">
        <v>0</v>
      </c>
      <c r="X141" s="215">
        <f>W141*H141</f>
        <v>0</v>
      </c>
      <c r="Y141" s="31"/>
      <c r="Z141" s="31"/>
      <c r="AA141" s="31"/>
      <c r="AB141" s="31"/>
      <c r="AC141" s="31"/>
      <c r="AD141" s="31"/>
      <c r="AE141" s="31"/>
      <c r="AR141" s="216" t="s">
        <v>134</v>
      </c>
      <c r="AT141" s="216" t="s">
        <v>129</v>
      </c>
      <c r="AU141" s="216" t="s">
        <v>82</v>
      </c>
      <c r="AY141" s="16" t="s">
        <v>126</v>
      </c>
      <c r="BE141" s="217">
        <f>IF(O141="základní",K141,0)</f>
        <v>8325</v>
      </c>
      <c r="BF141" s="217">
        <f>IF(O141="snížená",K141,0)</f>
        <v>0</v>
      </c>
      <c r="BG141" s="217">
        <f>IF(O141="zákl. přenesená",K141,0)</f>
        <v>0</v>
      </c>
      <c r="BH141" s="217">
        <f>IF(O141="sníž. přenesená",K141,0)</f>
        <v>0</v>
      </c>
      <c r="BI141" s="217">
        <f>IF(O141="nulová",K141,0)</f>
        <v>0</v>
      </c>
      <c r="BJ141" s="16" t="s">
        <v>20</v>
      </c>
      <c r="BK141" s="217">
        <f>ROUND(P141*H141,2)</f>
        <v>8325</v>
      </c>
      <c r="BL141" s="16" t="s">
        <v>134</v>
      </c>
      <c r="BM141" s="216" t="s">
        <v>162</v>
      </c>
    </row>
    <row r="142" s="2" customFormat="1">
      <c r="A142" s="31"/>
      <c r="B142" s="32"/>
      <c r="C142" s="33"/>
      <c r="D142" s="218" t="s">
        <v>136</v>
      </c>
      <c r="E142" s="33"/>
      <c r="F142" s="219" t="s">
        <v>163</v>
      </c>
      <c r="G142" s="33"/>
      <c r="H142" s="33"/>
      <c r="I142" s="33"/>
      <c r="J142" s="33"/>
      <c r="K142" s="33"/>
      <c r="L142" s="33"/>
      <c r="M142" s="37"/>
      <c r="N142" s="220"/>
      <c r="O142" s="221"/>
      <c r="P142" s="83"/>
      <c r="Q142" s="83"/>
      <c r="R142" s="83"/>
      <c r="S142" s="83"/>
      <c r="T142" s="83"/>
      <c r="U142" s="83"/>
      <c r="V142" s="83"/>
      <c r="W142" s="83"/>
      <c r="X142" s="84"/>
      <c r="Y142" s="31"/>
      <c r="Z142" s="31"/>
      <c r="AA142" s="31"/>
      <c r="AB142" s="31"/>
      <c r="AC142" s="31"/>
      <c r="AD142" s="31"/>
      <c r="AE142" s="31"/>
      <c r="AT142" s="16" t="s">
        <v>136</v>
      </c>
      <c r="AU142" s="16" t="s">
        <v>82</v>
      </c>
    </row>
    <row r="143" s="13" customFormat="1">
      <c r="A143" s="13"/>
      <c r="B143" s="222"/>
      <c r="C143" s="223"/>
      <c r="D143" s="218" t="s">
        <v>149</v>
      </c>
      <c r="E143" s="224" t="s">
        <v>1</v>
      </c>
      <c r="F143" s="225" t="s">
        <v>150</v>
      </c>
      <c r="G143" s="223"/>
      <c r="H143" s="226">
        <v>22500</v>
      </c>
      <c r="I143" s="223"/>
      <c r="J143" s="223"/>
      <c r="K143" s="223"/>
      <c r="L143" s="223"/>
      <c r="M143" s="227"/>
      <c r="N143" s="228"/>
      <c r="O143" s="229"/>
      <c r="P143" s="229"/>
      <c r="Q143" s="229"/>
      <c r="R143" s="229"/>
      <c r="S143" s="229"/>
      <c r="T143" s="229"/>
      <c r="U143" s="229"/>
      <c r="V143" s="229"/>
      <c r="W143" s="229"/>
      <c r="X143" s="230"/>
      <c r="Y143" s="13"/>
      <c r="Z143" s="13"/>
      <c r="AA143" s="13"/>
      <c r="AB143" s="13"/>
      <c r="AC143" s="13"/>
      <c r="AD143" s="13"/>
      <c r="AE143" s="13"/>
      <c r="AT143" s="231" t="s">
        <v>149</v>
      </c>
      <c r="AU143" s="231" t="s">
        <v>82</v>
      </c>
      <c r="AV143" s="13" t="s">
        <v>82</v>
      </c>
      <c r="AW143" s="13" t="s">
        <v>5</v>
      </c>
      <c r="AX143" s="13" t="s">
        <v>20</v>
      </c>
      <c r="AY143" s="231" t="s">
        <v>126</v>
      </c>
    </row>
    <row r="144" s="2" customFormat="1">
      <c r="A144" s="31"/>
      <c r="B144" s="32"/>
      <c r="C144" s="205" t="s">
        <v>164</v>
      </c>
      <c r="D144" s="205" t="s">
        <v>129</v>
      </c>
      <c r="E144" s="206" t="s">
        <v>165</v>
      </c>
      <c r="F144" s="207" t="s">
        <v>166</v>
      </c>
      <c r="G144" s="208" t="s">
        <v>132</v>
      </c>
      <c r="H144" s="209">
        <v>375</v>
      </c>
      <c r="I144" s="210">
        <v>0</v>
      </c>
      <c r="J144" s="210">
        <v>18.600000000000001</v>
      </c>
      <c r="K144" s="210">
        <f>ROUND(P144*H144,2)</f>
        <v>6975</v>
      </c>
      <c r="L144" s="207" t="s">
        <v>133</v>
      </c>
      <c r="M144" s="37"/>
      <c r="N144" s="211" t="s">
        <v>1</v>
      </c>
      <c r="O144" s="212" t="s">
        <v>39</v>
      </c>
      <c r="P144" s="213">
        <f>I144+J144</f>
        <v>18.600000000000001</v>
      </c>
      <c r="Q144" s="213">
        <f>ROUND(I144*H144,2)</f>
        <v>0</v>
      </c>
      <c r="R144" s="213">
        <f>ROUND(J144*H144,2)</f>
        <v>6975</v>
      </c>
      <c r="S144" s="214">
        <v>0.033000000000000002</v>
      </c>
      <c r="T144" s="214">
        <f>S144*H144</f>
        <v>12.375</v>
      </c>
      <c r="U144" s="214">
        <v>0</v>
      </c>
      <c r="V144" s="214">
        <f>U144*H144</f>
        <v>0</v>
      </c>
      <c r="W144" s="214">
        <v>0</v>
      </c>
      <c r="X144" s="215">
        <f>W144*H144</f>
        <v>0</v>
      </c>
      <c r="Y144" s="31"/>
      <c r="Z144" s="31"/>
      <c r="AA144" s="31"/>
      <c r="AB144" s="31"/>
      <c r="AC144" s="31"/>
      <c r="AD144" s="31"/>
      <c r="AE144" s="31"/>
      <c r="AR144" s="216" t="s">
        <v>134</v>
      </c>
      <c r="AT144" s="216" t="s">
        <v>129</v>
      </c>
      <c r="AU144" s="216" t="s">
        <v>82</v>
      </c>
      <c r="AY144" s="16" t="s">
        <v>126</v>
      </c>
      <c r="BE144" s="217">
        <f>IF(O144="základní",K144,0)</f>
        <v>6975</v>
      </c>
      <c r="BF144" s="217">
        <f>IF(O144="snížená",K144,0)</f>
        <v>0</v>
      </c>
      <c r="BG144" s="217">
        <f>IF(O144="zákl. přenesená",K144,0)</f>
        <v>0</v>
      </c>
      <c r="BH144" s="217">
        <f>IF(O144="sníž. přenesená",K144,0)</f>
        <v>0</v>
      </c>
      <c r="BI144" s="217">
        <f>IF(O144="nulová",K144,0)</f>
        <v>0</v>
      </c>
      <c r="BJ144" s="16" t="s">
        <v>20</v>
      </c>
      <c r="BK144" s="217">
        <f>ROUND(P144*H144,2)</f>
        <v>6975</v>
      </c>
      <c r="BL144" s="16" t="s">
        <v>134</v>
      </c>
      <c r="BM144" s="216" t="s">
        <v>167</v>
      </c>
    </row>
    <row r="145" s="2" customFormat="1">
      <c r="A145" s="31"/>
      <c r="B145" s="32"/>
      <c r="C145" s="33"/>
      <c r="D145" s="218" t="s">
        <v>136</v>
      </c>
      <c r="E145" s="33"/>
      <c r="F145" s="219" t="s">
        <v>168</v>
      </c>
      <c r="G145" s="33"/>
      <c r="H145" s="33"/>
      <c r="I145" s="33"/>
      <c r="J145" s="33"/>
      <c r="K145" s="33"/>
      <c r="L145" s="33"/>
      <c r="M145" s="37"/>
      <c r="N145" s="220"/>
      <c r="O145" s="221"/>
      <c r="P145" s="83"/>
      <c r="Q145" s="83"/>
      <c r="R145" s="83"/>
      <c r="S145" s="83"/>
      <c r="T145" s="83"/>
      <c r="U145" s="83"/>
      <c r="V145" s="83"/>
      <c r="W145" s="83"/>
      <c r="X145" s="84"/>
      <c r="Y145" s="31"/>
      <c r="Z145" s="31"/>
      <c r="AA145" s="31"/>
      <c r="AB145" s="31"/>
      <c r="AC145" s="31"/>
      <c r="AD145" s="31"/>
      <c r="AE145" s="31"/>
      <c r="AT145" s="16" t="s">
        <v>136</v>
      </c>
      <c r="AU145" s="16" t="s">
        <v>82</v>
      </c>
    </row>
    <row r="146" s="2" customFormat="1" ht="24.15" customHeight="1">
      <c r="A146" s="31"/>
      <c r="B146" s="32"/>
      <c r="C146" s="205" t="s">
        <v>169</v>
      </c>
      <c r="D146" s="205" t="s">
        <v>129</v>
      </c>
      <c r="E146" s="206" t="s">
        <v>170</v>
      </c>
      <c r="F146" s="207" t="s">
        <v>171</v>
      </c>
      <c r="G146" s="208" t="s">
        <v>172</v>
      </c>
      <c r="H146" s="209">
        <v>25</v>
      </c>
      <c r="I146" s="210">
        <v>0</v>
      </c>
      <c r="J146" s="210">
        <v>202</v>
      </c>
      <c r="K146" s="210">
        <f>ROUND(P146*H146,2)</f>
        <v>5050</v>
      </c>
      <c r="L146" s="207" t="s">
        <v>133</v>
      </c>
      <c r="M146" s="37"/>
      <c r="N146" s="211" t="s">
        <v>1</v>
      </c>
      <c r="O146" s="212" t="s">
        <v>39</v>
      </c>
      <c r="P146" s="213">
        <f>I146+J146</f>
        <v>202</v>
      </c>
      <c r="Q146" s="213">
        <f>ROUND(I146*H146,2)</f>
        <v>0</v>
      </c>
      <c r="R146" s="213">
        <f>ROUND(J146*H146,2)</f>
        <v>5050</v>
      </c>
      <c r="S146" s="214">
        <v>0.34300000000000003</v>
      </c>
      <c r="T146" s="214">
        <f>S146*H146</f>
        <v>8.5750000000000011</v>
      </c>
      <c r="U146" s="214">
        <v>0</v>
      </c>
      <c r="V146" s="214">
        <f>U146*H146</f>
        <v>0</v>
      </c>
      <c r="W146" s="214">
        <v>0</v>
      </c>
      <c r="X146" s="215">
        <f>W146*H146</f>
        <v>0</v>
      </c>
      <c r="Y146" s="31"/>
      <c r="Z146" s="31"/>
      <c r="AA146" s="31"/>
      <c r="AB146" s="31"/>
      <c r="AC146" s="31"/>
      <c r="AD146" s="31"/>
      <c r="AE146" s="31"/>
      <c r="AR146" s="216" t="s">
        <v>134</v>
      </c>
      <c r="AT146" s="216" t="s">
        <v>129</v>
      </c>
      <c r="AU146" s="216" t="s">
        <v>82</v>
      </c>
      <c r="AY146" s="16" t="s">
        <v>126</v>
      </c>
      <c r="BE146" s="217">
        <f>IF(O146="základní",K146,0)</f>
        <v>5050</v>
      </c>
      <c r="BF146" s="217">
        <f>IF(O146="snížená",K146,0)</f>
        <v>0</v>
      </c>
      <c r="BG146" s="217">
        <f>IF(O146="zákl. přenesená",K146,0)</f>
        <v>0</v>
      </c>
      <c r="BH146" s="217">
        <f>IF(O146="sníž. přenesená",K146,0)</f>
        <v>0</v>
      </c>
      <c r="BI146" s="217">
        <f>IF(O146="nulová",K146,0)</f>
        <v>0</v>
      </c>
      <c r="BJ146" s="16" t="s">
        <v>20</v>
      </c>
      <c r="BK146" s="217">
        <f>ROUND(P146*H146,2)</f>
        <v>5050</v>
      </c>
      <c r="BL146" s="16" t="s">
        <v>134</v>
      </c>
      <c r="BM146" s="216" t="s">
        <v>173</v>
      </c>
    </row>
    <row r="147" s="2" customFormat="1">
      <c r="A147" s="31"/>
      <c r="B147" s="32"/>
      <c r="C147" s="33"/>
      <c r="D147" s="218" t="s">
        <v>136</v>
      </c>
      <c r="E147" s="33"/>
      <c r="F147" s="219" t="s">
        <v>174</v>
      </c>
      <c r="G147" s="33"/>
      <c r="H147" s="33"/>
      <c r="I147" s="33"/>
      <c r="J147" s="33"/>
      <c r="K147" s="33"/>
      <c r="L147" s="33"/>
      <c r="M147" s="37"/>
      <c r="N147" s="220"/>
      <c r="O147" s="221"/>
      <c r="P147" s="83"/>
      <c r="Q147" s="83"/>
      <c r="R147" s="83"/>
      <c r="S147" s="83"/>
      <c r="T147" s="83"/>
      <c r="U147" s="83"/>
      <c r="V147" s="83"/>
      <c r="W147" s="83"/>
      <c r="X147" s="84"/>
      <c r="Y147" s="31"/>
      <c r="Z147" s="31"/>
      <c r="AA147" s="31"/>
      <c r="AB147" s="31"/>
      <c r="AC147" s="31"/>
      <c r="AD147" s="31"/>
      <c r="AE147" s="31"/>
      <c r="AT147" s="16" t="s">
        <v>136</v>
      </c>
      <c r="AU147" s="16" t="s">
        <v>82</v>
      </c>
    </row>
    <row r="148" s="2" customFormat="1" ht="24.15" customHeight="1">
      <c r="A148" s="31"/>
      <c r="B148" s="32"/>
      <c r="C148" s="205" t="s">
        <v>138</v>
      </c>
      <c r="D148" s="205" t="s">
        <v>129</v>
      </c>
      <c r="E148" s="206" t="s">
        <v>175</v>
      </c>
      <c r="F148" s="207" t="s">
        <v>176</v>
      </c>
      <c r="G148" s="208" t="s">
        <v>172</v>
      </c>
      <c r="H148" s="209">
        <v>1500</v>
      </c>
      <c r="I148" s="210">
        <v>2.6499999999999999</v>
      </c>
      <c r="J148" s="210">
        <v>0</v>
      </c>
      <c r="K148" s="210">
        <f>ROUND(P148*H148,2)</f>
        <v>3975</v>
      </c>
      <c r="L148" s="207" t="s">
        <v>133</v>
      </c>
      <c r="M148" s="37"/>
      <c r="N148" s="211" t="s">
        <v>1</v>
      </c>
      <c r="O148" s="212" t="s">
        <v>39</v>
      </c>
      <c r="P148" s="213">
        <f>I148+J148</f>
        <v>2.6499999999999999</v>
      </c>
      <c r="Q148" s="213">
        <f>ROUND(I148*H148,2)</f>
        <v>3975</v>
      </c>
      <c r="R148" s="213">
        <f>ROUND(J148*H148,2)</f>
        <v>0</v>
      </c>
      <c r="S148" s="214">
        <v>0</v>
      </c>
      <c r="T148" s="214">
        <f>S148*H148</f>
        <v>0</v>
      </c>
      <c r="U148" s="214">
        <v>0</v>
      </c>
      <c r="V148" s="214">
        <f>U148*H148</f>
        <v>0</v>
      </c>
      <c r="W148" s="214">
        <v>0</v>
      </c>
      <c r="X148" s="215">
        <f>W148*H148</f>
        <v>0</v>
      </c>
      <c r="Y148" s="31"/>
      <c r="Z148" s="31"/>
      <c r="AA148" s="31"/>
      <c r="AB148" s="31"/>
      <c r="AC148" s="31"/>
      <c r="AD148" s="31"/>
      <c r="AE148" s="31"/>
      <c r="AR148" s="216" t="s">
        <v>134</v>
      </c>
      <c r="AT148" s="216" t="s">
        <v>129</v>
      </c>
      <c r="AU148" s="216" t="s">
        <v>82</v>
      </c>
      <c r="AY148" s="16" t="s">
        <v>126</v>
      </c>
      <c r="BE148" s="217">
        <f>IF(O148="základní",K148,0)</f>
        <v>3975</v>
      </c>
      <c r="BF148" s="217">
        <f>IF(O148="snížená",K148,0)</f>
        <v>0</v>
      </c>
      <c r="BG148" s="217">
        <f>IF(O148="zákl. přenesená",K148,0)</f>
        <v>0</v>
      </c>
      <c r="BH148" s="217">
        <f>IF(O148="sníž. přenesená",K148,0)</f>
        <v>0</v>
      </c>
      <c r="BI148" s="217">
        <f>IF(O148="nulová",K148,0)</f>
        <v>0</v>
      </c>
      <c r="BJ148" s="16" t="s">
        <v>20</v>
      </c>
      <c r="BK148" s="217">
        <f>ROUND(P148*H148,2)</f>
        <v>3975</v>
      </c>
      <c r="BL148" s="16" t="s">
        <v>134</v>
      </c>
      <c r="BM148" s="216" t="s">
        <v>177</v>
      </c>
    </row>
    <row r="149" s="2" customFormat="1">
      <c r="A149" s="31"/>
      <c r="B149" s="32"/>
      <c r="C149" s="33"/>
      <c r="D149" s="218" t="s">
        <v>136</v>
      </c>
      <c r="E149" s="33"/>
      <c r="F149" s="219" t="s">
        <v>178</v>
      </c>
      <c r="G149" s="33"/>
      <c r="H149" s="33"/>
      <c r="I149" s="33"/>
      <c r="J149" s="33"/>
      <c r="K149" s="33"/>
      <c r="L149" s="33"/>
      <c r="M149" s="37"/>
      <c r="N149" s="220"/>
      <c r="O149" s="221"/>
      <c r="P149" s="83"/>
      <c r="Q149" s="83"/>
      <c r="R149" s="83"/>
      <c r="S149" s="83"/>
      <c r="T149" s="83"/>
      <c r="U149" s="83"/>
      <c r="V149" s="83"/>
      <c r="W149" s="83"/>
      <c r="X149" s="84"/>
      <c r="Y149" s="31"/>
      <c r="Z149" s="31"/>
      <c r="AA149" s="31"/>
      <c r="AB149" s="31"/>
      <c r="AC149" s="31"/>
      <c r="AD149" s="31"/>
      <c r="AE149" s="31"/>
      <c r="AT149" s="16" t="s">
        <v>136</v>
      </c>
      <c r="AU149" s="16" t="s">
        <v>82</v>
      </c>
    </row>
    <row r="150" s="13" customFormat="1">
      <c r="A150" s="13"/>
      <c r="B150" s="222"/>
      <c r="C150" s="223"/>
      <c r="D150" s="218" t="s">
        <v>149</v>
      </c>
      <c r="E150" s="224" t="s">
        <v>1</v>
      </c>
      <c r="F150" s="225" t="s">
        <v>179</v>
      </c>
      <c r="G150" s="223"/>
      <c r="H150" s="226">
        <v>1500</v>
      </c>
      <c r="I150" s="223"/>
      <c r="J150" s="223"/>
      <c r="K150" s="223"/>
      <c r="L150" s="223"/>
      <c r="M150" s="227"/>
      <c r="N150" s="228"/>
      <c r="O150" s="229"/>
      <c r="P150" s="229"/>
      <c r="Q150" s="229"/>
      <c r="R150" s="229"/>
      <c r="S150" s="229"/>
      <c r="T150" s="229"/>
      <c r="U150" s="229"/>
      <c r="V150" s="229"/>
      <c r="W150" s="229"/>
      <c r="X150" s="230"/>
      <c r="Y150" s="13"/>
      <c r="Z150" s="13"/>
      <c r="AA150" s="13"/>
      <c r="AB150" s="13"/>
      <c r="AC150" s="13"/>
      <c r="AD150" s="13"/>
      <c r="AE150" s="13"/>
      <c r="AT150" s="231" t="s">
        <v>149</v>
      </c>
      <c r="AU150" s="231" t="s">
        <v>82</v>
      </c>
      <c r="AV150" s="13" t="s">
        <v>82</v>
      </c>
      <c r="AW150" s="13" t="s">
        <v>5</v>
      </c>
      <c r="AX150" s="13" t="s">
        <v>20</v>
      </c>
      <c r="AY150" s="231" t="s">
        <v>126</v>
      </c>
    </row>
    <row r="151" s="2" customFormat="1" ht="24.15" customHeight="1">
      <c r="A151" s="31"/>
      <c r="B151" s="32"/>
      <c r="C151" s="205" t="s">
        <v>25</v>
      </c>
      <c r="D151" s="205" t="s">
        <v>129</v>
      </c>
      <c r="E151" s="206" t="s">
        <v>180</v>
      </c>
      <c r="F151" s="207" t="s">
        <v>181</v>
      </c>
      <c r="G151" s="208" t="s">
        <v>172</v>
      </c>
      <c r="H151" s="209">
        <v>25</v>
      </c>
      <c r="I151" s="210">
        <v>0</v>
      </c>
      <c r="J151" s="210">
        <v>113</v>
      </c>
      <c r="K151" s="210">
        <f>ROUND(P151*H151,2)</f>
        <v>2825</v>
      </c>
      <c r="L151" s="207" t="s">
        <v>133</v>
      </c>
      <c r="M151" s="37"/>
      <c r="N151" s="211" t="s">
        <v>1</v>
      </c>
      <c r="O151" s="212" t="s">
        <v>39</v>
      </c>
      <c r="P151" s="213">
        <f>I151+J151</f>
        <v>113</v>
      </c>
      <c r="Q151" s="213">
        <f>ROUND(I151*H151,2)</f>
        <v>0</v>
      </c>
      <c r="R151" s="213">
        <f>ROUND(J151*H151,2)</f>
        <v>2825</v>
      </c>
      <c r="S151" s="214">
        <v>0.192</v>
      </c>
      <c r="T151" s="214">
        <f>S151*H151</f>
        <v>4.7999999999999998</v>
      </c>
      <c r="U151" s="214">
        <v>0</v>
      </c>
      <c r="V151" s="214">
        <f>U151*H151</f>
        <v>0</v>
      </c>
      <c r="W151" s="214">
        <v>0</v>
      </c>
      <c r="X151" s="215">
        <f>W151*H151</f>
        <v>0</v>
      </c>
      <c r="Y151" s="31"/>
      <c r="Z151" s="31"/>
      <c r="AA151" s="31"/>
      <c r="AB151" s="31"/>
      <c r="AC151" s="31"/>
      <c r="AD151" s="31"/>
      <c r="AE151" s="31"/>
      <c r="AR151" s="216" t="s">
        <v>134</v>
      </c>
      <c r="AT151" s="216" t="s">
        <v>129</v>
      </c>
      <c r="AU151" s="216" t="s">
        <v>82</v>
      </c>
      <c r="AY151" s="16" t="s">
        <v>126</v>
      </c>
      <c r="BE151" s="217">
        <f>IF(O151="základní",K151,0)</f>
        <v>2825</v>
      </c>
      <c r="BF151" s="217">
        <f>IF(O151="snížená",K151,0)</f>
        <v>0</v>
      </c>
      <c r="BG151" s="217">
        <f>IF(O151="zákl. přenesená",K151,0)</f>
        <v>0</v>
      </c>
      <c r="BH151" s="217">
        <f>IF(O151="sníž. přenesená",K151,0)</f>
        <v>0</v>
      </c>
      <c r="BI151" s="217">
        <f>IF(O151="nulová",K151,0)</f>
        <v>0</v>
      </c>
      <c r="BJ151" s="16" t="s">
        <v>20</v>
      </c>
      <c r="BK151" s="217">
        <f>ROUND(P151*H151,2)</f>
        <v>2825</v>
      </c>
      <c r="BL151" s="16" t="s">
        <v>134</v>
      </c>
      <c r="BM151" s="216" t="s">
        <v>182</v>
      </c>
    </row>
    <row r="152" s="2" customFormat="1">
      <c r="A152" s="31"/>
      <c r="B152" s="32"/>
      <c r="C152" s="33"/>
      <c r="D152" s="218" t="s">
        <v>136</v>
      </c>
      <c r="E152" s="33"/>
      <c r="F152" s="219" t="s">
        <v>183</v>
      </c>
      <c r="G152" s="33"/>
      <c r="H152" s="33"/>
      <c r="I152" s="33"/>
      <c r="J152" s="33"/>
      <c r="K152" s="33"/>
      <c r="L152" s="33"/>
      <c r="M152" s="37"/>
      <c r="N152" s="220"/>
      <c r="O152" s="221"/>
      <c r="P152" s="83"/>
      <c r="Q152" s="83"/>
      <c r="R152" s="83"/>
      <c r="S152" s="83"/>
      <c r="T152" s="83"/>
      <c r="U152" s="83"/>
      <c r="V152" s="83"/>
      <c r="W152" s="83"/>
      <c r="X152" s="84"/>
      <c r="Y152" s="31"/>
      <c r="Z152" s="31"/>
      <c r="AA152" s="31"/>
      <c r="AB152" s="31"/>
      <c r="AC152" s="31"/>
      <c r="AD152" s="31"/>
      <c r="AE152" s="31"/>
      <c r="AT152" s="16" t="s">
        <v>136</v>
      </c>
      <c r="AU152" s="16" t="s">
        <v>82</v>
      </c>
    </row>
    <row r="153" s="2" customFormat="1" ht="24.15" customHeight="1">
      <c r="A153" s="31"/>
      <c r="B153" s="32"/>
      <c r="C153" s="205" t="s">
        <v>184</v>
      </c>
      <c r="D153" s="205" t="s">
        <v>129</v>
      </c>
      <c r="E153" s="206" t="s">
        <v>185</v>
      </c>
      <c r="F153" s="207" t="s">
        <v>186</v>
      </c>
      <c r="G153" s="208" t="s">
        <v>187</v>
      </c>
      <c r="H153" s="209">
        <v>60</v>
      </c>
      <c r="I153" s="210">
        <v>0</v>
      </c>
      <c r="J153" s="210">
        <v>700</v>
      </c>
      <c r="K153" s="210">
        <f>ROUND(P153*H153,2)</f>
        <v>42000</v>
      </c>
      <c r="L153" s="207" t="s">
        <v>1</v>
      </c>
      <c r="M153" s="37"/>
      <c r="N153" s="211" t="s">
        <v>1</v>
      </c>
      <c r="O153" s="212" t="s">
        <v>39</v>
      </c>
      <c r="P153" s="213">
        <f>I153+J153</f>
        <v>700</v>
      </c>
      <c r="Q153" s="213">
        <f>ROUND(I153*H153,2)</f>
        <v>0</v>
      </c>
      <c r="R153" s="213">
        <f>ROUND(J153*H153,2)</f>
        <v>42000</v>
      </c>
      <c r="S153" s="214">
        <v>1.2</v>
      </c>
      <c r="T153" s="214">
        <f>S153*H153</f>
        <v>72</v>
      </c>
      <c r="U153" s="214">
        <v>0</v>
      </c>
      <c r="V153" s="214">
        <f>U153*H153</f>
        <v>0</v>
      </c>
      <c r="W153" s="214">
        <v>0</v>
      </c>
      <c r="X153" s="215">
        <f>W153*H153</f>
        <v>0</v>
      </c>
      <c r="Y153" s="31"/>
      <c r="Z153" s="31"/>
      <c r="AA153" s="31"/>
      <c r="AB153" s="31"/>
      <c r="AC153" s="31"/>
      <c r="AD153" s="31"/>
      <c r="AE153" s="31"/>
      <c r="AR153" s="216" t="s">
        <v>134</v>
      </c>
      <c r="AT153" s="216" t="s">
        <v>129</v>
      </c>
      <c r="AU153" s="216" t="s">
        <v>82</v>
      </c>
      <c r="AY153" s="16" t="s">
        <v>126</v>
      </c>
      <c r="BE153" s="217">
        <f>IF(O153="základní",K153,0)</f>
        <v>42000</v>
      </c>
      <c r="BF153" s="217">
        <f>IF(O153="snížená",K153,0)</f>
        <v>0</v>
      </c>
      <c r="BG153" s="217">
        <f>IF(O153="zákl. přenesená",K153,0)</f>
        <v>0</v>
      </c>
      <c r="BH153" s="217">
        <f>IF(O153="sníž. přenesená",K153,0)</f>
        <v>0</v>
      </c>
      <c r="BI153" s="217">
        <f>IF(O153="nulová",K153,0)</f>
        <v>0</v>
      </c>
      <c r="BJ153" s="16" t="s">
        <v>20</v>
      </c>
      <c r="BK153" s="217">
        <f>ROUND(P153*H153,2)</f>
        <v>42000</v>
      </c>
      <c r="BL153" s="16" t="s">
        <v>134</v>
      </c>
      <c r="BM153" s="216" t="s">
        <v>188</v>
      </c>
    </row>
    <row r="154" s="2" customFormat="1">
      <c r="A154" s="31"/>
      <c r="B154" s="32"/>
      <c r="C154" s="33"/>
      <c r="D154" s="218" t="s">
        <v>136</v>
      </c>
      <c r="E154" s="33"/>
      <c r="F154" s="219" t="s">
        <v>189</v>
      </c>
      <c r="G154" s="33"/>
      <c r="H154" s="33"/>
      <c r="I154" s="33"/>
      <c r="J154" s="33"/>
      <c r="K154" s="33"/>
      <c r="L154" s="33"/>
      <c r="M154" s="37"/>
      <c r="N154" s="220"/>
      <c r="O154" s="221"/>
      <c r="P154" s="83"/>
      <c r="Q154" s="83"/>
      <c r="R154" s="83"/>
      <c r="S154" s="83"/>
      <c r="T154" s="83"/>
      <c r="U154" s="83"/>
      <c r="V154" s="83"/>
      <c r="W154" s="83"/>
      <c r="X154" s="84"/>
      <c r="Y154" s="31"/>
      <c r="Z154" s="31"/>
      <c r="AA154" s="31"/>
      <c r="AB154" s="31"/>
      <c r="AC154" s="31"/>
      <c r="AD154" s="31"/>
      <c r="AE154" s="31"/>
      <c r="AT154" s="16" t="s">
        <v>136</v>
      </c>
      <c r="AU154" s="16" t="s">
        <v>82</v>
      </c>
    </row>
    <row r="155" s="2" customFormat="1" ht="24.15" customHeight="1">
      <c r="A155" s="31"/>
      <c r="B155" s="32"/>
      <c r="C155" s="205" t="s">
        <v>9</v>
      </c>
      <c r="D155" s="205" t="s">
        <v>129</v>
      </c>
      <c r="E155" s="206" t="s">
        <v>190</v>
      </c>
      <c r="F155" s="207" t="s">
        <v>191</v>
      </c>
      <c r="G155" s="208" t="s">
        <v>192</v>
      </c>
      <c r="H155" s="209">
        <v>1</v>
      </c>
      <c r="I155" s="210">
        <v>0</v>
      </c>
      <c r="J155" s="210">
        <v>10000</v>
      </c>
      <c r="K155" s="210">
        <f>ROUND(P155*H155,2)</f>
        <v>10000</v>
      </c>
      <c r="L155" s="207" t="s">
        <v>1</v>
      </c>
      <c r="M155" s="37"/>
      <c r="N155" s="211" t="s">
        <v>1</v>
      </c>
      <c r="O155" s="212" t="s">
        <v>39</v>
      </c>
      <c r="P155" s="213">
        <f>I155+J155</f>
        <v>10000</v>
      </c>
      <c r="Q155" s="213">
        <f>ROUND(I155*H155,2)</f>
        <v>0</v>
      </c>
      <c r="R155" s="213">
        <f>ROUND(J155*H155,2)</f>
        <v>10000</v>
      </c>
      <c r="S155" s="214">
        <v>1.2</v>
      </c>
      <c r="T155" s="214">
        <f>S155*H155</f>
        <v>1.2</v>
      </c>
      <c r="U155" s="214">
        <v>0</v>
      </c>
      <c r="V155" s="214">
        <f>U155*H155</f>
        <v>0</v>
      </c>
      <c r="W155" s="214">
        <v>0</v>
      </c>
      <c r="X155" s="215">
        <f>W155*H155</f>
        <v>0</v>
      </c>
      <c r="Y155" s="31"/>
      <c r="Z155" s="31"/>
      <c r="AA155" s="31"/>
      <c r="AB155" s="31"/>
      <c r="AC155" s="31"/>
      <c r="AD155" s="31"/>
      <c r="AE155" s="31"/>
      <c r="AR155" s="216" t="s">
        <v>134</v>
      </c>
      <c r="AT155" s="216" t="s">
        <v>129</v>
      </c>
      <c r="AU155" s="216" t="s">
        <v>82</v>
      </c>
      <c r="AY155" s="16" t="s">
        <v>126</v>
      </c>
      <c r="BE155" s="217">
        <f>IF(O155="základní",K155,0)</f>
        <v>10000</v>
      </c>
      <c r="BF155" s="217">
        <f>IF(O155="snížená",K155,0)</f>
        <v>0</v>
      </c>
      <c r="BG155" s="217">
        <f>IF(O155="zákl. přenesená",K155,0)</f>
        <v>0</v>
      </c>
      <c r="BH155" s="217">
        <f>IF(O155="sníž. přenesená",K155,0)</f>
        <v>0</v>
      </c>
      <c r="BI155" s="217">
        <f>IF(O155="nulová",K155,0)</f>
        <v>0</v>
      </c>
      <c r="BJ155" s="16" t="s">
        <v>20</v>
      </c>
      <c r="BK155" s="217">
        <f>ROUND(P155*H155,2)</f>
        <v>10000</v>
      </c>
      <c r="BL155" s="16" t="s">
        <v>134</v>
      </c>
      <c r="BM155" s="216" t="s">
        <v>193</v>
      </c>
    </row>
    <row r="156" s="2" customFormat="1">
      <c r="A156" s="31"/>
      <c r="B156" s="32"/>
      <c r="C156" s="33"/>
      <c r="D156" s="218" t="s">
        <v>136</v>
      </c>
      <c r="E156" s="33"/>
      <c r="F156" s="219" t="s">
        <v>189</v>
      </c>
      <c r="G156" s="33"/>
      <c r="H156" s="33"/>
      <c r="I156" s="33"/>
      <c r="J156" s="33"/>
      <c r="K156" s="33"/>
      <c r="L156" s="33"/>
      <c r="M156" s="37"/>
      <c r="N156" s="220"/>
      <c r="O156" s="221"/>
      <c r="P156" s="83"/>
      <c r="Q156" s="83"/>
      <c r="R156" s="83"/>
      <c r="S156" s="83"/>
      <c r="T156" s="83"/>
      <c r="U156" s="83"/>
      <c r="V156" s="83"/>
      <c r="W156" s="83"/>
      <c r="X156" s="84"/>
      <c r="Y156" s="31"/>
      <c r="Z156" s="31"/>
      <c r="AA156" s="31"/>
      <c r="AB156" s="31"/>
      <c r="AC156" s="31"/>
      <c r="AD156" s="31"/>
      <c r="AE156" s="31"/>
      <c r="AT156" s="16" t="s">
        <v>136</v>
      </c>
      <c r="AU156" s="16" t="s">
        <v>82</v>
      </c>
    </row>
    <row r="157" s="12" customFormat="1" ht="22.8" customHeight="1">
      <c r="A157" s="12"/>
      <c r="B157" s="189"/>
      <c r="C157" s="190"/>
      <c r="D157" s="191" t="s">
        <v>75</v>
      </c>
      <c r="E157" s="203" t="s">
        <v>194</v>
      </c>
      <c r="F157" s="203" t="s">
        <v>195</v>
      </c>
      <c r="G157" s="190"/>
      <c r="H157" s="190"/>
      <c r="I157" s="190"/>
      <c r="J157" s="190"/>
      <c r="K157" s="204">
        <f>BK157</f>
        <v>30962.589999999997</v>
      </c>
      <c r="L157" s="190"/>
      <c r="M157" s="194"/>
      <c r="N157" s="195"/>
      <c r="O157" s="196"/>
      <c r="P157" s="196"/>
      <c r="Q157" s="197">
        <f>SUM(Q158:Q163)</f>
        <v>26827.919999999998</v>
      </c>
      <c r="R157" s="197">
        <f>SUM(R158:R163)</f>
        <v>4134.6700000000001</v>
      </c>
      <c r="S157" s="196"/>
      <c r="T157" s="198">
        <f>SUM(T158:T163)</f>
        <v>1.6473249999999999</v>
      </c>
      <c r="U157" s="196"/>
      <c r="V157" s="198">
        <f>SUM(V158:V163)</f>
        <v>0</v>
      </c>
      <c r="W157" s="196"/>
      <c r="X157" s="199">
        <f>SUM(X158:X163)</f>
        <v>0</v>
      </c>
      <c r="Y157" s="12"/>
      <c r="Z157" s="12"/>
      <c r="AA157" s="12"/>
      <c r="AB157" s="12"/>
      <c r="AC157" s="12"/>
      <c r="AD157" s="12"/>
      <c r="AE157" s="12"/>
      <c r="AR157" s="200" t="s">
        <v>20</v>
      </c>
      <c r="AT157" s="201" t="s">
        <v>75</v>
      </c>
      <c r="AU157" s="201" t="s">
        <v>20</v>
      </c>
      <c r="AY157" s="200" t="s">
        <v>126</v>
      </c>
      <c r="BK157" s="202">
        <f>SUM(BK158:BK163)</f>
        <v>30962.589999999997</v>
      </c>
    </row>
    <row r="158" s="2" customFormat="1" ht="24.15" customHeight="1">
      <c r="A158" s="31"/>
      <c r="B158" s="32"/>
      <c r="C158" s="205" t="s">
        <v>196</v>
      </c>
      <c r="D158" s="205" t="s">
        <v>129</v>
      </c>
      <c r="E158" s="206" t="s">
        <v>197</v>
      </c>
      <c r="F158" s="207" t="s">
        <v>198</v>
      </c>
      <c r="G158" s="208" t="s">
        <v>199</v>
      </c>
      <c r="H158" s="209">
        <v>12.574999999999999</v>
      </c>
      <c r="I158" s="210">
        <v>0</v>
      </c>
      <c r="J158" s="210">
        <v>315</v>
      </c>
      <c r="K158" s="210">
        <f>ROUND(P158*H158,2)</f>
        <v>3961.1300000000001</v>
      </c>
      <c r="L158" s="207" t="s">
        <v>133</v>
      </c>
      <c r="M158" s="37"/>
      <c r="N158" s="211" t="s">
        <v>1</v>
      </c>
      <c r="O158" s="212" t="s">
        <v>39</v>
      </c>
      <c r="P158" s="213">
        <f>I158+J158</f>
        <v>315</v>
      </c>
      <c r="Q158" s="213">
        <f>ROUND(I158*H158,2)</f>
        <v>0</v>
      </c>
      <c r="R158" s="213">
        <f>ROUND(J158*H158,2)</f>
        <v>3961.1300000000001</v>
      </c>
      <c r="S158" s="214">
        <v>0.125</v>
      </c>
      <c r="T158" s="214">
        <f>S158*H158</f>
        <v>1.5718749999999999</v>
      </c>
      <c r="U158" s="214">
        <v>0</v>
      </c>
      <c r="V158" s="214">
        <f>U158*H158</f>
        <v>0</v>
      </c>
      <c r="W158" s="214">
        <v>0</v>
      </c>
      <c r="X158" s="215">
        <f>W158*H158</f>
        <v>0</v>
      </c>
      <c r="Y158" s="31"/>
      <c r="Z158" s="31"/>
      <c r="AA158" s="31"/>
      <c r="AB158" s="31"/>
      <c r="AC158" s="31"/>
      <c r="AD158" s="31"/>
      <c r="AE158" s="31"/>
      <c r="AR158" s="216" t="s">
        <v>134</v>
      </c>
      <c r="AT158" s="216" t="s">
        <v>129</v>
      </c>
      <c r="AU158" s="216" t="s">
        <v>82</v>
      </c>
      <c r="AY158" s="16" t="s">
        <v>126</v>
      </c>
      <c r="BE158" s="217">
        <f>IF(O158="základní",K158,0)</f>
        <v>3961.1300000000001</v>
      </c>
      <c r="BF158" s="217">
        <f>IF(O158="snížená",K158,0)</f>
        <v>0</v>
      </c>
      <c r="BG158" s="217">
        <f>IF(O158="zákl. přenesená",K158,0)</f>
        <v>0</v>
      </c>
      <c r="BH158" s="217">
        <f>IF(O158="sníž. přenesená",K158,0)</f>
        <v>0</v>
      </c>
      <c r="BI158" s="217">
        <f>IF(O158="nulová",K158,0)</f>
        <v>0</v>
      </c>
      <c r="BJ158" s="16" t="s">
        <v>20</v>
      </c>
      <c r="BK158" s="217">
        <f>ROUND(P158*H158,2)</f>
        <v>3961.1300000000001</v>
      </c>
      <c r="BL158" s="16" t="s">
        <v>134</v>
      </c>
      <c r="BM158" s="216" t="s">
        <v>200</v>
      </c>
    </row>
    <row r="159" s="2" customFormat="1">
      <c r="A159" s="31"/>
      <c r="B159" s="32"/>
      <c r="C159" s="33"/>
      <c r="D159" s="218" t="s">
        <v>136</v>
      </c>
      <c r="E159" s="33"/>
      <c r="F159" s="219" t="s">
        <v>201</v>
      </c>
      <c r="G159" s="33"/>
      <c r="H159" s="33"/>
      <c r="I159" s="33"/>
      <c r="J159" s="33"/>
      <c r="K159" s="33"/>
      <c r="L159" s="33"/>
      <c r="M159" s="37"/>
      <c r="N159" s="220"/>
      <c r="O159" s="221"/>
      <c r="P159" s="83"/>
      <c r="Q159" s="83"/>
      <c r="R159" s="83"/>
      <c r="S159" s="83"/>
      <c r="T159" s="83"/>
      <c r="U159" s="83"/>
      <c r="V159" s="83"/>
      <c r="W159" s="83"/>
      <c r="X159" s="84"/>
      <c r="Y159" s="31"/>
      <c r="Z159" s="31"/>
      <c r="AA159" s="31"/>
      <c r="AB159" s="31"/>
      <c r="AC159" s="31"/>
      <c r="AD159" s="31"/>
      <c r="AE159" s="31"/>
      <c r="AT159" s="16" t="s">
        <v>136</v>
      </c>
      <c r="AU159" s="16" t="s">
        <v>82</v>
      </c>
    </row>
    <row r="160" s="2" customFormat="1" ht="24.15" customHeight="1">
      <c r="A160" s="31"/>
      <c r="B160" s="32"/>
      <c r="C160" s="205" t="s">
        <v>202</v>
      </c>
      <c r="D160" s="205" t="s">
        <v>129</v>
      </c>
      <c r="E160" s="206" t="s">
        <v>203</v>
      </c>
      <c r="F160" s="207" t="s">
        <v>204</v>
      </c>
      <c r="G160" s="208" t="s">
        <v>199</v>
      </c>
      <c r="H160" s="209">
        <v>12.574999999999999</v>
      </c>
      <c r="I160" s="210">
        <v>0</v>
      </c>
      <c r="J160" s="210">
        <v>13.800000000000001</v>
      </c>
      <c r="K160" s="210">
        <f>ROUND(P160*H160,2)</f>
        <v>173.53999999999999</v>
      </c>
      <c r="L160" s="207" t="s">
        <v>133</v>
      </c>
      <c r="M160" s="37"/>
      <c r="N160" s="211" t="s">
        <v>1</v>
      </c>
      <c r="O160" s="212" t="s">
        <v>39</v>
      </c>
      <c r="P160" s="213">
        <f>I160+J160</f>
        <v>13.800000000000001</v>
      </c>
      <c r="Q160" s="213">
        <f>ROUND(I160*H160,2)</f>
        <v>0</v>
      </c>
      <c r="R160" s="213">
        <f>ROUND(J160*H160,2)</f>
        <v>173.53999999999999</v>
      </c>
      <c r="S160" s="214">
        <v>0.0060000000000000001</v>
      </c>
      <c r="T160" s="214">
        <f>S160*H160</f>
        <v>0.075450000000000003</v>
      </c>
      <c r="U160" s="214">
        <v>0</v>
      </c>
      <c r="V160" s="214">
        <f>U160*H160</f>
        <v>0</v>
      </c>
      <c r="W160" s="214">
        <v>0</v>
      </c>
      <c r="X160" s="215">
        <f>W160*H160</f>
        <v>0</v>
      </c>
      <c r="Y160" s="31"/>
      <c r="Z160" s="31"/>
      <c r="AA160" s="31"/>
      <c r="AB160" s="31"/>
      <c r="AC160" s="31"/>
      <c r="AD160" s="31"/>
      <c r="AE160" s="31"/>
      <c r="AR160" s="216" t="s">
        <v>134</v>
      </c>
      <c r="AT160" s="216" t="s">
        <v>129</v>
      </c>
      <c r="AU160" s="216" t="s">
        <v>82</v>
      </c>
      <c r="AY160" s="16" t="s">
        <v>126</v>
      </c>
      <c r="BE160" s="217">
        <f>IF(O160="základní",K160,0)</f>
        <v>173.53999999999999</v>
      </c>
      <c r="BF160" s="217">
        <f>IF(O160="snížená",K160,0)</f>
        <v>0</v>
      </c>
      <c r="BG160" s="217">
        <f>IF(O160="zákl. přenesená",K160,0)</f>
        <v>0</v>
      </c>
      <c r="BH160" s="217">
        <f>IF(O160="sníž. přenesená",K160,0)</f>
        <v>0</v>
      </c>
      <c r="BI160" s="217">
        <f>IF(O160="nulová",K160,0)</f>
        <v>0</v>
      </c>
      <c r="BJ160" s="16" t="s">
        <v>20</v>
      </c>
      <c r="BK160" s="217">
        <f>ROUND(P160*H160,2)</f>
        <v>173.53999999999999</v>
      </c>
      <c r="BL160" s="16" t="s">
        <v>134</v>
      </c>
      <c r="BM160" s="216" t="s">
        <v>205</v>
      </c>
    </row>
    <row r="161" s="2" customFormat="1">
      <c r="A161" s="31"/>
      <c r="B161" s="32"/>
      <c r="C161" s="33"/>
      <c r="D161" s="218" t="s">
        <v>136</v>
      </c>
      <c r="E161" s="33"/>
      <c r="F161" s="219" t="s">
        <v>206</v>
      </c>
      <c r="G161" s="33"/>
      <c r="H161" s="33"/>
      <c r="I161" s="33"/>
      <c r="J161" s="33"/>
      <c r="K161" s="33"/>
      <c r="L161" s="33"/>
      <c r="M161" s="37"/>
      <c r="N161" s="220"/>
      <c r="O161" s="221"/>
      <c r="P161" s="83"/>
      <c r="Q161" s="83"/>
      <c r="R161" s="83"/>
      <c r="S161" s="83"/>
      <c r="T161" s="83"/>
      <c r="U161" s="83"/>
      <c r="V161" s="83"/>
      <c r="W161" s="83"/>
      <c r="X161" s="84"/>
      <c r="Y161" s="31"/>
      <c r="Z161" s="31"/>
      <c r="AA161" s="31"/>
      <c r="AB161" s="31"/>
      <c r="AC161" s="31"/>
      <c r="AD161" s="31"/>
      <c r="AE161" s="31"/>
      <c r="AT161" s="16" t="s">
        <v>136</v>
      </c>
      <c r="AU161" s="16" t="s">
        <v>82</v>
      </c>
    </row>
    <row r="162" s="2" customFormat="1" ht="33" customHeight="1">
      <c r="A162" s="31"/>
      <c r="B162" s="32"/>
      <c r="C162" s="205" t="s">
        <v>207</v>
      </c>
      <c r="D162" s="205" t="s">
        <v>129</v>
      </c>
      <c r="E162" s="206" t="s">
        <v>208</v>
      </c>
      <c r="F162" s="207" t="s">
        <v>209</v>
      </c>
      <c r="G162" s="208" t="s">
        <v>199</v>
      </c>
      <c r="H162" s="209">
        <v>10.646000000000001</v>
      </c>
      <c r="I162" s="210">
        <v>2520</v>
      </c>
      <c r="J162" s="210">
        <v>0</v>
      </c>
      <c r="K162" s="210">
        <f>ROUND(P162*H162,2)</f>
        <v>26827.919999999998</v>
      </c>
      <c r="L162" s="207" t="s">
        <v>133</v>
      </c>
      <c r="M162" s="37"/>
      <c r="N162" s="211" t="s">
        <v>1</v>
      </c>
      <c r="O162" s="212" t="s">
        <v>39</v>
      </c>
      <c r="P162" s="213">
        <f>I162+J162</f>
        <v>2520</v>
      </c>
      <c r="Q162" s="213">
        <f>ROUND(I162*H162,2)</f>
        <v>26827.919999999998</v>
      </c>
      <c r="R162" s="213">
        <f>ROUND(J162*H162,2)</f>
        <v>0</v>
      </c>
      <c r="S162" s="214">
        <v>0</v>
      </c>
      <c r="T162" s="214">
        <f>S162*H162</f>
        <v>0</v>
      </c>
      <c r="U162" s="214">
        <v>0</v>
      </c>
      <c r="V162" s="214">
        <f>U162*H162</f>
        <v>0</v>
      </c>
      <c r="W162" s="214">
        <v>0</v>
      </c>
      <c r="X162" s="215">
        <f>W162*H162</f>
        <v>0</v>
      </c>
      <c r="Y162" s="31"/>
      <c r="Z162" s="31"/>
      <c r="AA162" s="31"/>
      <c r="AB162" s="31"/>
      <c r="AC162" s="31"/>
      <c r="AD162" s="31"/>
      <c r="AE162" s="31"/>
      <c r="AR162" s="216" t="s">
        <v>134</v>
      </c>
      <c r="AT162" s="216" t="s">
        <v>129</v>
      </c>
      <c r="AU162" s="216" t="s">
        <v>82</v>
      </c>
      <c r="AY162" s="16" t="s">
        <v>126</v>
      </c>
      <c r="BE162" s="217">
        <f>IF(O162="základní",K162,0)</f>
        <v>26827.919999999998</v>
      </c>
      <c r="BF162" s="217">
        <f>IF(O162="snížená",K162,0)</f>
        <v>0</v>
      </c>
      <c r="BG162" s="217">
        <f>IF(O162="zákl. přenesená",K162,0)</f>
        <v>0</v>
      </c>
      <c r="BH162" s="217">
        <f>IF(O162="sníž. přenesená",K162,0)</f>
        <v>0</v>
      </c>
      <c r="BI162" s="217">
        <f>IF(O162="nulová",K162,0)</f>
        <v>0</v>
      </c>
      <c r="BJ162" s="16" t="s">
        <v>20</v>
      </c>
      <c r="BK162" s="217">
        <f>ROUND(P162*H162,2)</f>
        <v>26827.919999999998</v>
      </c>
      <c r="BL162" s="16" t="s">
        <v>134</v>
      </c>
      <c r="BM162" s="216" t="s">
        <v>210</v>
      </c>
    </row>
    <row r="163" s="2" customFormat="1">
      <c r="A163" s="31"/>
      <c r="B163" s="32"/>
      <c r="C163" s="33"/>
      <c r="D163" s="218" t="s">
        <v>136</v>
      </c>
      <c r="E163" s="33"/>
      <c r="F163" s="219" t="s">
        <v>211</v>
      </c>
      <c r="G163" s="33"/>
      <c r="H163" s="33"/>
      <c r="I163" s="33"/>
      <c r="J163" s="33"/>
      <c r="K163" s="33"/>
      <c r="L163" s="33"/>
      <c r="M163" s="37"/>
      <c r="N163" s="220"/>
      <c r="O163" s="221"/>
      <c r="P163" s="83"/>
      <c r="Q163" s="83"/>
      <c r="R163" s="83"/>
      <c r="S163" s="83"/>
      <c r="T163" s="83"/>
      <c r="U163" s="83"/>
      <c r="V163" s="83"/>
      <c r="W163" s="83"/>
      <c r="X163" s="84"/>
      <c r="Y163" s="31"/>
      <c r="Z163" s="31"/>
      <c r="AA163" s="31"/>
      <c r="AB163" s="31"/>
      <c r="AC163" s="31"/>
      <c r="AD163" s="31"/>
      <c r="AE163" s="31"/>
      <c r="AT163" s="16" t="s">
        <v>136</v>
      </c>
      <c r="AU163" s="16" t="s">
        <v>82</v>
      </c>
    </row>
    <row r="164" s="12" customFormat="1" ht="25.92" customHeight="1">
      <c r="A164" s="12"/>
      <c r="B164" s="189"/>
      <c r="C164" s="190"/>
      <c r="D164" s="191" t="s">
        <v>75</v>
      </c>
      <c r="E164" s="192" t="s">
        <v>212</v>
      </c>
      <c r="F164" s="192" t="s">
        <v>213</v>
      </c>
      <c r="G164" s="190"/>
      <c r="H164" s="190"/>
      <c r="I164" s="190"/>
      <c r="J164" s="190"/>
      <c r="K164" s="193">
        <f>BK164</f>
        <v>2158353.4900000002</v>
      </c>
      <c r="L164" s="190"/>
      <c r="M164" s="194"/>
      <c r="N164" s="195"/>
      <c r="O164" s="196"/>
      <c r="P164" s="196"/>
      <c r="Q164" s="197">
        <f>Q165+Q183+Q215+Q219+Q229+Q295+Q306</f>
        <v>1298887.6099999996</v>
      </c>
      <c r="R164" s="197">
        <f>R165+R183+R215+R219+R229+R295+R306</f>
        <v>859465.88</v>
      </c>
      <c r="S164" s="196"/>
      <c r="T164" s="198">
        <f>T165+T183+T215+T219+T229+T295+T306</f>
        <v>1295.632924</v>
      </c>
      <c r="U164" s="196"/>
      <c r="V164" s="198">
        <f>V165+V183+V215+V219+V229+V295+V306</f>
        <v>31.307694640000001</v>
      </c>
      <c r="W164" s="196"/>
      <c r="X164" s="199">
        <f>X165+X183+X215+X219+X229+X295+X306</f>
        <v>12.574770000000001</v>
      </c>
      <c r="Y164" s="12"/>
      <c r="Z164" s="12"/>
      <c r="AA164" s="12"/>
      <c r="AB164" s="12"/>
      <c r="AC164" s="12"/>
      <c r="AD164" s="12"/>
      <c r="AE164" s="12"/>
      <c r="AR164" s="200" t="s">
        <v>82</v>
      </c>
      <c r="AT164" s="201" t="s">
        <v>75</v>
      </c>
      <c r="AU164" s="201" t="s">
        <v>76</v>
      </c>
      <c r="AY164" s="200" t="s">
        <v>126</v>
      </c>
      <c r="BK164" s="202">
        <f>BK165+BK183+BK215+BK219+BK229+BK295+BK306</f>
        <v>2158353.4900000002</v>
      </c>
    </row>
    <row r="165" s="12" customFormat="1" ht="22.8" customHeight="1">
      <c r="A165" s="12"/>
      <c r="B165" s="189"/>
      <c r="C165" s="190"/>
      <c r="D165" s="191" t="s">
        <v>75</v>
      </c>
      <c r="E165" s="203" t="s">
        <v>214</v>
      </c>
      <c r="F165" s="203" t="s">
        <v>215</v>
      </c>
      <c r="G165" s="190"/>
      <c r="H165" s="190"/>
      <c r="I165" s="190"/>
      <c r="J165" s="190"/>
      <c r="K165" s="204">
        <f>BK165</f>
        <v>431344.25999999995</v>
      </c>
      <c r="L165" s="190"/>
      <c r="M165" s="194"/>
      <c r="N165" s="195"/>
      <c r="O165" s="196"/>
      <c r="P165" s="196"/>
      <c r="Q165" s="197">
        <f>SUM(Q166:Q182)</f>
        <v>311203.76000000001</v>
      </c>
      <c r="R165" s="197">
        <f>SUM(R166:R182)</f>
        <v>120140.5</v>
      </c>
      <c r="S165" s="196"/>
      <c r="T165" s="198">
        <f>SUM(T166:T182)</f>
        <v>192.4776</v>
      </c>
      <c r="U165" s="196"/>
      <c r="V165" s="198">
        <f>SUM(V166:V182)</f>
        <v>9.5303919999999991</v>
      </c>
      <c r="W165" s="196"/>
      <c r="X165" s="199">
        <f>SUM(X166:X182)</f>
        <v>0</v>
      </c>
      <c r="Y165" s="12"/>
      <c r="Z165" s="12"/>
      <c r="AA165" s="12"/>
      <c r="AB165" s="12"/>
      <c r="AC165" s="12"/>
      <c r="AD165" s="12"/>
      <c r="AE165" s="12"/>
      <c r="AR165" s="200" t="s">
        <v>82</v>
      </c>
      <c r="AT165" s="201" t="s">
        <v>75</v>
      </c>
      <c r="AU165" s="201" t="s">
        <v>20</v>
      </c>
      <c r="AY165" s="200" t="s">
        <v>126</v>
      </c>
      <c r="BK165" s="202">
        <f>SUM(BK166:BK182)</f>
        <v>431344.25999999995</v>
      </c>
    </row>
    <row r="166" s="2" customFormat="1" ht="44.25" customHeight="1">
      <c r="A166" s="31"/>
      <c r="B166" s="32"/>
      <c r="C166" s="205" t="s">
        <v>216</v>
      </c>
      <c r="D166" s="205" t="s">
        <v>129</v>
      </c>
      <c r="E166" s="206" t="s">
        <v>217</v>
      </c>
      <c r="F166" s="207" t="s">
        <v>218</v>
      </c>
      <c r="G166" s="208" t="s">
        <v>132</v>
      </c>
      <c r="H166" s="209">
        <v>205.19999999999999</v>
      </c>
      <c r="I166" s="210">
        <v>170</v>
      </c>
      <c r="J166" s="210">
        <v>224</v>
      </c>
      <c r="K166" s="210">
        <f>ROUND(P166*H166,2)</f>
        <v>80848.800000000003</v>
      </c>
      <c r="L166" s="207" t="s">
        <v>133</v>
      </c>
      <c r="M166" s="37"/>
      <c r="N166" s="211" t="s">
        <v>1</v>
      </c>
      <c r="O166" s="212" t="s">
        <v>39</v>
      </c>
      <c r="P166" s="213">
        <f>I166+J166</f>
        <v>394</v>
      </c>
      <c r="Q166" s="213">
        <f>ROUND(I166*H166,2)</f>
        <v>34884</v>
      </c>
      <c r="R166" s="213">
        <f>ROUND(J166*H166,2)</f>
        <v>45964.800000000003</v>
      </c>
      <c r="S166" s="214">
        <v>0.36899999999999999</v>
      </c>
      <c r="T166" s="214">
        <f>S166*H166</f>
        <v>75.718800000000002</v>
      </c>
      <c r="U166" s="214">
        <v>0.0061599999999999997</v>
      </c>
      <c r="V166" s="214">
        <f>U166*H166</f>
        <v>1.2640319999999998</v>
      </c>
      <c r="W166" s="214">
        <v>0</v>
      </c>
      <c r="X166" s="215">
        <f>W166*H166</f>
        <v>0</v>
      </c>
      <c r="Y166" s="31"/>
      <c r="Z166" s="31"/>
      <c r="AA166" s="31"/>
      <c r="AB166" s="31"/>
      <c r="AC166" s="31"/>
      <c r="AD166" s="31"/>
      <c r="AE166" s="31"/>
      <c r="AR166" s="216" t="s">
        <v>216</v>
      </c>
      <c r="AT166" s="216" t="s">
        <v>129</v>
      </c>
      <c r="AU166" s="216" t="s">
        <v>82</v>
      </c>
      <c r="AY166" s="16" t="s">
        <v>126</v>
      </c>
      <c r="BE166" s="217">
        <f>IF(O166="základní",K166,0)</f>
        <v>80848.800000000003</v>
      </c>
      <c r="BF166" s="217">
        <f>IF(O166="snížená",K166,0)</f>
        <v>0</v>
      </c>
      <c r="BG166" s="217">
        <f>IF(O166="zákl. přenesená",K166,0)</f>
        <v>0</v>
      </c>
      <c r="BH166" s="217">
        <f>IF(O166="sníž. přenesená",K166,0)</f>
        <v>0</v>
      </c>
      <c r="BI166" s="217">
        <f>IF(O166="nulová",K166,0)</f>
        <v>0</v>
      </c>
      <c r="BJ166" s="16" t="s">
        <v>20</v>
      </c>
      <c r="BK166" s="217">
        <f>ROUND(P166*H166,2)</f>
        <v>80848.800000000003</v>
      </c>
      <c r="BL166" s="16" t="s">
        <v>216</v>
      </c>
      <c r="BM166" s="216" t="s">
        <v>219</v>
      </c>
    </row>
    <row r="167" s="2" customFormat="1">
      <c r="A167" s="31"/>
      <c r="B167" s="32"/>
      <c r="C167" s="33"/>
      <c r="D167" s="218" t="s">
        <v>136</v>
      </c>
      <c r="E167" s="33"/>
      <c r="F167" s="219" t="s">
        <v>220</v>
      </c>
      <c r="G167" s="33"/>
      <c r="H167" s="33"/>
      <c r="I167" s="33"/>
      <c r="J167" s="33"/>
      <c r="K167" s="33"/>
      <c r="L167" s="33"/>
      <c r="M167" s="37"/>
      <c r="N167" s="220"/>
      <c r="O167" s="221"/>
      <c r="P167" s="83"/>
      <c r="Q167" s="83"/>
      <c r="R167" s="83"/>
      <c r="S167" s="83"/>
      <c r="T167" s="83"/>
      <c r="U167" s="83"/>
      <c r="V167" s="83"/>
      <c r="W167" s="83"/>
      <c r="X167" s="84"/>
      <c r="Y167" s="31"/>
      <c r="Z167" s="31"/>
      <c r="AA167" s="31"/>
      <c r="AB167" s="31"/>
      <c r="AC167" s="31"/>
      <c r="AD167" s="31"/>
      <c r="AE167" s="31"/>
      <c r="AT167" s="16" t="s">
        <v>136</v>
      </c>
      <c r="AU167" s="16" t="s">
        <v>82</v>
      </c>
    </row>
    <row r="168" s="13" customFormat="1">
      <c r="A168" s="13"/>
      <c r="B168" s="222"/>
      <c r="C168" s="223"/>
      <c r="D168" s="218" t="s">
        <v>149</v>
      </c>
      <c r="E168" s="224" t="s">
        <v>1</v>
      </c>
      <c r="F168" s="225" t="s">
        <v>221</v>
      </c>
      <c r="G168" s="223"/>
      <c r="H168" s="226">
        <v>205.19999999999999</v>
      </c>
      <c r="I168" s="223"/>
      <c r="J168" s="223"/>
      <c r="K168" s="223"/>
      <c r="L168" s="223"/>
      <c r="M168" s="227"/>
      <c r="N168" s="228"/>
      <c r="O168" s="229"/>
      <c r="P168" s="229"/>
      <c r="Q168" s="229"/>
      <c r="R168" s="229"/>
      <c r="S168" s="229"/>
      <c r="T168" s="229"/>
      <c r="U168" s="229"/>
      <c r="V168" s="229"/>
      <c r="W168" s="229"/>
      <c r="X168" s="230"/>
      <c r="Y168" s="13"/>
      <c r="Z168" s="13"/>
      <c r="AA168" s="13"/>
      <c r="AB168" s="13"/>
      <c r="AC168" s="13"/>
      <c r="AD168" s="13"/>
      <c r="AE168" s="13"/>
      <c r="AT168" s="231" t="s">
        <v>149</v>
      </c>
      <c r="AU168" s="231" t="s">
        <v>82</v>
      </c>
      <c r="AV168" s="13" t="s">
        <v>82</v>
      </c>
      <c r="AW168" s="13" t="s">
        <v>5</v>
      </c>
      <c r="AX168" s="13" t="s">
        <v>20</v>
      </c>
      <c r="AY168" s="231" t="s">
        <v>126</v>
      </c>
    </row>
    <row r="169" s="2" customFormat="1" ht="24.15" customHeight="1">
      <c r="A169" s="31"/>
      <c r="B169" s="32"/>
      <c r="C169" s="232" t="s">
        <v>222</v>
      </c>
      <c r="D169" s="232" t="s">
        <v>223</v>
      </c>
      <c r="E169" s="233" t="s">
        <v>224</v>
      </c>
      <c r="F169" s="234" t="s">
        <v>225</v>
      </c>
      <c r="G169" s="235" t="s">
        <v>132</v>
      </c>
      <c r="H169" s="236">
        <v>221.61600000000001</v>
      </c>
      <c r="I169" s="237">
        <v>191</v>
      </c>
      <c r="J169" s="238"/>
      <c r="K169" s="237">
        <f>ROUND(P169*H169,2)</f>
        <v>42328.660000000003</v>
      </c>
      <c r="L169" s="234" t="s">
        <v>133</v>
      </c>
      <c r="M169" s="239"/>
      <c r="N169" s="240" t="s">
        <v>1</v>
      </c>
      <c r="O169" s="212" t="s">
        <v>39</v>
      </c>
      <c r="P169" s="213">
        <f>I169+J169</f>
        <v>191</v>
      </c>
      <c r="Q169" s="213">
        <f>ROUND(I169*H169,2)</f>
        <v>42328.660000000003</v>
      </c>
      <c r="R169" s="213">
        <f>ROUND(J169*H169,2)</f>
        <v>0</v>
      </c>
      <c r="S169" s="214">
        <v>0</v>
      </c>
      <c r="T169" s="214">
        <f>S169*H169</f>
        <v>0</v>
      </c>
      <c r="U169" s="214">
        <v>0.0040000000000000001</v>
      </c>
      <c r="V169" s="214">
        <f>U169*H169</f>
        <v>0.88646400000000003</v>
      </c>
      <c r="W169" s="214">
        <v>0</v>
      </c>
      <c r="X169" s="215">
        <f>W169*H169</f>
        <v>0</v>
      </c>
      <c r="Y169" s="31"/>
      <c r="Z169" s="31"/>
      <c r="AA169" s="31"/>
      <c r="AB169" s="31"/>
      <c r="AC169" s="31"/>
      <c r="AD169" s="31"/>
      <c r="AE169" s="31"/>
      <c r="AR169" s="216" t="s">
        <v>226</v>
      </c>
      <c r="AT169" s="216" t="s">
        <v>223</v>
      </c>
      <c r="AU169" s="216" t="s">
        <v>82</v>
      </c>
      <c r="AY169" s="16" t="s">
        <v>126</v>
      </c>
      <c r="BE169" s="217">
        <f>IF(O169="základní",K169,0)</f>
        <v>42328.660000000003</v>
      </c>
      <c r="BF169" s="217">
        <f>IF(O169="snížená",K169,0)</f>
        <v>0</v>
      </c>
      <c r="BG169" s="217">
        <f>IF(O169="zákl. přenesená",K169,0)</f>
        <v>0</v>
      </c>
      <c r="BH169" s="217">
        <f>IF(O169="sníž. přenesená",K169,0)</f>
        <v>0</v>
      </c>
      <c r="BI169" s="217">
        <f>IF(O169="nulová",K169,0)</f>
        <v>0</v>
      </c>
      <c r="BJ169" s="16" t="s">
        <v>20</v>
      </c>
      <c r="BK169" s="217">
        <f>ROUND(P169*H169,2)</f>
        <v>42328.660000000003</v>
      </c>
      <c r="BL169" s="16" t="s">
        <v>216</v>
      </c>
      <c r="BM169" s="216" t="s">
        <v>227</v>
      </c>
    </row>
    <row r="170" s="2" customFormat="1">
      <c r="A170" s="31"/>
      <c r="B170" s="32"/>
      <c r="C170" s="33"/>
      <c r="D170" s="218" t="s">
        <v>136</v>
      </c>
      <c r="E170" s="33"/>
      <c r="F170" s="219" t="s">
        <v>228</v>
      </c>
      <c r="G170" s="33"/>
      <c r="H170" s="33"/>
      <c r="I170" s="33"/>
      <c r="J170" s="33"/>
      <c r="K170" s="33"/>
      <c r="L170" s="33"/>
      <c r="M170" s="37"/>
      <c r="N170" s="220"/>
      <c r="O170" s="221"/>
      <c r="P170" s="83"/>
      <c r="Q170" s="83"/>
      <c r="R170" s="83"/>
      <c r="S170" s="83"/>
      <c r="T170" s="83"/>
      <c r="U170" s="83"/>
      <c r="V170" s="83"/>
      <c r="W170" s="83"/>
      <c r="X170" s="84"/>
      <c r="Y170" s="31"/>
      <c r="Z170" s="31"/>
      <c r="AA170" s="31"/>
      <c r="AB170" s="31"/>
      <c r="AC170" s="31"/>
      <c r="AD170" s="31"/>
      <c r="AE170" s="31"/>
      <c r="AT170" s="16" t="s">
        <v>136</v>
      </c>
      <c r="AU170" s="16" t="s">
        <v>82</v>
      </c>
    </row>
    <row r="171" s="13" customFormat="1">
      <c r="A171" s="13"/>
      <c r="B171" s="222"/>
      <c r="C171" s="223"/>
      <c r="D171" s="218" t="s">
        <v>149</v>
      </c>
      <c r="E171" s="223"/>
      <c r="F171" s="225" t="s">
        <v>229</v>
      </c>
      <c r="G171" s="223"/>
      <c r="H171" s="226">
        <v>221.61600000000001</v>
      </c>
      <c r="I171" s="223"/>
      <c r="J171" s="223"/>
      <c r="K171" s="223"/>
      <c r="L171" s="223"/>
      <c r="M171" s="227"/>
      <c r="N171" s="228"/>
      <c r="O171" s="229"/>
      <c r="P171" s="229"/>
      <c r="Q171" s="229"/>
      <c r="R171" s="229"/>
      <c r="S171" s="229"/>
      <c r="T171" s="229"/>
      <c r="U171" s="229"/>
      <c r="V171" s="229"/>
      <c r="W171" s="229"/>
      <c r="X171" s="230"/>
      <c r="Y171" s="13"/>
      <c r="Z171" s="13"/>
      <c r="AA171" s="13"/>
      <c r="AB171" s="13"/>
      <c r="AC171" s="13"/>
      <c r="AD171" s="13"/>
      <c r="AE171" s="13"/>
      <c r="AT171" s="231" t="s">
        <v>149</v>
      </c>
      <c r="AU171" s="231" t="s">
        <v>82</v>
      </c>
      <c r="AV171" s="13" t="s">
        <v>82</v>
      </c>
      <c r="AW171" s="13" t="s">
        <v>4</v>
      </c>
      <c r="AX171" s="13" t="s">
        <v>20</v>
      </c>
      <c r="AY171" s="231" t="s">
        <v>126</v>
      </c>
    </row>
    <row r="172" s="2" customFormat="1" ht="44.25" customHeight="1">
      <c r="A172" s="31"/>
      <c r="B172" s="32"/>
      <c r="C172" s="205" t="s">
        <v>230</v>
      </c>
      <c r="D172" s="205" t="s">
        <v>129</v>
      </c>
      <c r="E172" s="206" t="s">
        <v>231</v>
      </c>
      <c r="F172" s="207" t="s">
        <v>232</v>
      </c>
      <c r="G172" s="208" t="s">
        <v>132</v>
      </c>
      <c r="H172" s="209">
        <v>205.19999999999999</v>
      </c>
      <c r="I172" s="210">
        <v>240</v>
      </c>
      <c r="J172" s="210">
        <v>225</v>
      </c>
      <c r="K172" s="210">
        <f>ROUND(P172*H172,2)</f>
        <v>95418</v>
      </c>
      <c r="L172" s="207" t="s">
        <v>133</v>
      </c>
      <c r="M172" s="37"/>
      <c r="N172" s="211" t="s">
        <v>1</v>
      </c>
      <c r="O172" s="212" t="s">
        <v>39</v>
      </c>
      <c r="P172" s="213">
        <f>I172+J172</f>
        <v>465</v>
      </c>
      <c r="Q172" s="213">
        <f>ROUND(I172*H172,2)</f>
        <v>49248</v>
      </c>
      <c r="R172" s="213">
        <f>ROUND(J172*H172,2)</f>
        <v>46170</v>
      </c>
      <c r="S172" s="214">
        <v>0.36899999999999999</v>
      </c>
      <c r="T172" s="214">
        <f>S172*H172</f>
        <v>75.718800000000002</v>
      </c>
      <c r="U172" s="214">
        <v>0.0064000000000000003</v>
      </c>
      <c r="V172" s="214">
        <f>U172*H172</f>
        <v>1.31328</v>
      </c>
      <c r="W172" s="214">
        <v>0</v>
      </c>
      <c r="X172" s="215">
        <f>W172*H172</f>
        <v>0</v>
      </c>
      <c r="Y172" s="31"/>
      <c r="Z172" s="31"/>
      <c r="AA172" s="31"/>
      <c r="AB172" s="31"/>
      <c r="AC172" s="31"/>
      <c r="AD172" s="31"/>
      <c r="AE172" s="31"/>
      <c r="AR172" s="216" t="s">
        <v>216</v>
      </c>
      <c r="AT172" s="216" t="s">
        <v>129</v>
      </c>
      <c r="AU172" s="216" t="s">
        <v>82</v>
      </c>
      <c r="AY172" s="16" t="s">
        <v>126</v>
      </c>
      <c r="BE172" s="217">
        <f>IF(O172="základní",K172,0)</f>
        <v>95418</v>
      </c>
      <c r="BF172" s="217">
        <f>IF(O172="snížená",K172,0)</f>
        <v>0</v>
      </c>
      <c r="BG172" s="217">
        <f>IF(O172="zákl. přenesená",K172,0)</f>
        <v>0</v>
      </c>
      <c r="BH172" s="217">
        <f>IF(O172="sníž. přenesená",K172,0)</f>
        <v>0</v>
      </c>
      <c r="BI172" s="217">
        <f>IF(O172="nulová",K172,0)</f>
        <v>0</v>
      </c>
      <c r="BJ172" s="16" t="s">
        <v>20</v>
      </c>
      <c r="BK172" s="217">
        <f>ROUND(P172*H172,2)</f>
        <v>95418</v>
      </c>
      <c r="BL172" s="16" t="s">
        <v>216</v>
      </c>
      <c r="BM172" s="216" t="s">
        <v>233</v>
      </c>
    </row>
    <row r="173" s="2" customFormat="1">
      <c r="A173" s="31"/>
      <c r="B173" s="32"/>
      <c r="C173" s="33"/>
      <c r="D173" s="218" t="s">
        <v>136</v>
      </c>
      <c r="E173" s="33"/>
      <c r="F173" s="219" t="s">
        <v>234</v>
      </c>
      <c r="G173" s="33"/>
      <c r="H173" s="33"/>
      <c r="I173" s="33"/>
      <c r="J173" s="33"/>
      <c r="K173" s="33"/>
      <c r="L173" s="33"/>
      <c r="M173" s="37"/>
      <c r="N173" s="220"/>
      <c r="O173" s="221"/>
      <c r="P173" s="83"/>
      <c r="Q173" s="83"/>
      <c r="R173" s="83"/>
      <c r="S173" s="83"/>
      <c r="T173" s="83"/>
      <c r="U173" s="83"/>
      <c r="V173" s="83"/>
      <c r="W173" s="83"/>
      <c r="X173" s="84"/>
      <c r="Y173" s="31"/>
      <c r="Z173" s="31"/>
      <c r="AA173" s="31"/>
      <c r="AB173" s="31"/>
      <c r="AC173" s="31"/>
      <c r="AD173" s="31"/>
      <c r="AE173" s="31"/>
      <c r="AT173" s="16" t="s">
        <v>136</v>
      </c>
      <c r="AU173" s="16" t="s">
        <v>82</v>
      </c>
    </row>
    <row r="174" s="13" customFormat="1">
      <c r="A174" s="13"/>
      <c r="B174" s="222"/>
      <c r="C174" s="223"/>
      <c r="D174" s="218" t="s">
        <v>149</v>
      </c>
      <c r="E174" s="224" t="s">
        <v>1</v>
      </c>
      <c r="F174" s="225" t="s">
        <v>235</v>
      </c>
      <c r="G174" s="223"/>
      <c r="H174" s="226">
        <v>205.19999999999999</v>
      </c>
      <c r="I174" s="223"/>
      <c r="J174" s="223"/>
      <c r="K174" s="223"/>
      <c r="L174" s="223"/>
      <c r="M174" s="227"/>
      <c r="N174" s="228"/>
      <c r="O174" s="229"/>
      <c r="P174" s="229"/>
      <c r="Q174" s="229"/>
      <c r="R174" s="229"/>
      <c r="S174" s="229"/>
      <c r="T174" s="229"/>
      <c r="U174" s="229"/>
      <c r="V174" s="229"/>
      <c r="W174" s="229"/>
      <c r="X174" s="230"/>
      <c r="Y174" s="13"/>
      <c r="Z174" s="13"/>
      <c r="AA174" s="13"/>
      <c r="AB174" s="13"/>
      <c r="AC174" s="13"/>
      <c r="AD174" s="13"/>
      <c r="AE174" s="13"/>
      <c r="AT174" s="231" t="s">
        <v>149</v>
      </c>
      <c r="AU174" s="231" t="s">
        <v>82</v>
      </c>
      <c r="AV174" s="13" t="s">
        <v>82</v>
      </c>
      <c r="AW174" s="13" t="s">
        <v>5</v>
      </c>
      <c r="AX174" s="13" t="s">
        <v>20</v>
      </c>
      <c r="AY174" s="231" t="s">
        <v>126</v>
      </c>
    </row>
    <row r="175" s="2" customFormat="1" ht="33" customHeight="1">
      <c r="A175" s="31"/>
      <c r="B175" s="32"/>
      <c r="C175" s="232" t="s">
        <v>236</v>
      </c>
      <c r="D175" s="232" t="s">
        <v>223</v>
      </c>
      <c r="E175" s="233" t="s">
        <v>237</v>
      </c>
      <c r="F175" s="234" t="s">
        <v>238</v>
      </c>
      <c r="G175" s="235" t="s">
        <v>132</v>
      </c>
      <c r="H175" s="236">
        <v>205.19999999999999</v>
      </c>
      <c r="I175" s="237">
        <v>801</v>
      </c>
      <c r="J175" s="238"/>
      <c r="K175" s="237">
        <f>ROUND(P175*H175,2)</f>
        <v>164365.20000000001</v>
      </c>
      <c r="L175" s="234" t="s">
        <v>133</v>
      </c>
      <c r="M175" s="239"/>
      <c r="N175" s="240" t="s">
        <v>1</v>
      </c>
      <c r="O175" s="212" t="s">
        <v>39</v>
      </c>
      <c r="P175" s="213">
        <f>I175+J175</f>
        <v>801</v>
      </c>
      <c r="Q175" s="213">
        <f>ROUND(I175*H175,2)</f>
        <v>164365.20000000001</v>
      </c>
      <c r="R175" s="213">
        <f>ROUND(J175*H175,2)</f>
        <v>0</v>
      </c>
      <c r="S175" s="214">
        <v>0</v>
      </c>
      <c r="T175" s="214">
        <f>S175*H175</f>
        <v>0</v>
      </c>
      <c r="U175" s="214">
        <v>0.025999999999999999</v>
      </c>
      <c r="V175" s="214">
        <f>U175*H175</f>
        <v>5.3351999999999995</v>
      </c>
      <c r="W175" s="214">
        <v>0</v>
      </c>
      <c r="X175" s="215">
        <f>W175*H175</f>
        <v>0</v>
      </c>
      <c r="Y175" s="31"/>
      <c r="Z175" s="31"/>
      <c r="AA175" s="31"/>
      <c r="AB175" s="31"/>
      <c r="AC175" s="31"/>
      <c r="AD175" s="31"/>
      <c r="AE175" s="31"/>
      <c r="AR175" s="216" t="s">
        <v>226</v>
      </c>
      <c r="AT175" s="216" t="s">
        <v>223</v>
      </c>
      <c r="AU175" s="216" t="s">
        <v>82</v>
      </c>
      <c r="AY175" s="16" t="s">
        <v>126</v>
      </c>
      <c r="BE175" s="217">
        <f>IF(O175="základní",K175,0)</f>
        <v>164365.20000000001</v>
      </c>
      <c r="BF175" s="217">
        <f>IF(O175="snížená",K175,0)</f>
        <v>0</v>
      </c>
      <c r="BG175" s="217">
        <f>IF(O175="zákl. přenesená",K175,0)</f>
        <v>0</v>
      </c>
      <c r="BH175" s="217">
        <f>IF(O175="sníž. přenesená",K175,0)</f>
        <v>0</v>
      </c>
      <c r="BI175" s="217">
        <f>IF(O175="nulová",K175,0)</f>
        <v>0</v>
      </c>
      <c r="BJ175" s="16" t="s">
        <v>20</v>
      </c>
      <c r="BK175" s="217">
        <f>ROUND(P175*H175,2)</f>
        <v>164365.20000000001</v>
      </c>
      <c r="BL175" s="16" t="s">
        <v>216</v>
      </c>
      <c r="BM175" s="216" t="s">
        <v>239</v>
      </c>
    </row>
    <row r="176" s="2" customFormat="1">
      <c r="A176" s="31"/>
      <c r="B176" s="32"/>
      <c r="C176" s="33"/>
      <c r="D176" s="218" t="s">
        <v>136</v>
      </c>
      <c r="E176" s="33"/>
      <c r="F176" s="219" t="s">
        <v>240</v>
      </c>
      <c r="G176" s="33"/>
      <c r="H176" s="33"/>
      <c r="I176" s="33"/>
      <c r="J176" s="33"/>
      <c r="K176" s="33"/>
      <c r="L176" s="33"/>
      <c r="M176" s="37"/>
      <c r="N176" s="220"/>
      <c r="O176" s="221"/>
      <c r="P176" s="83"/>
      <c r="Q176" s="83"/>
      <c r="R176" s="83"/>
      <c r="S176" s="83"/>
      <c r="T176" s="83"/>
      <c r="U176" s="83"/>
      <c r="V176" s="83"/>
      <c r="W176" s="83"/>
      <c r="X176" s="84"/>
      <c r="Y176" s="31"/>
      <c r="Z176" s="31"/>
      <c r="AA176" s="31"/>
      <c r="AB176" s="31"/>
      <c r="AC176" s="31"/>
      <c r="AD176" s="31"/>
      <c r="AE176" s="31"/>
      <c r="AT176" s="16" t="s">
        <v>136</v>
      </c>
      <c r="AU176" s="16" t="s">
        <v>82</v>
      </c>
    </row>
    <row r="177" s="2" customFormat="1" ht="24.15" customHeight="1">
      <c r="A177" s="31"/>
      <c r="B177" s="32"/>
      <c r="C177" s="205" t="s">
        <v>241</v>
      </c>
      <c r="D177" s="205" t="s">
        <v>129</v>
      </c>
      <c r="E177" s="206" t="s">
        <v>242</v>
      </c>
      <c r="F177" s="207" t="s">
        <v>243</v>
      </c>
      <c r="G177" s="208" t="s">
        <v>172</v>
      </c>
      <c r="H177" s="209">
        <v>328.31999999999999</v>
      </c>
      <c r="I177" s="210">
        <v>19.699999999999999</v>
      </c>
      <c r="J177" s="210">
        <v>85.299999999999997</v>
      </c>
      <c r="K177" s="210">
        <f>ROUND(P177*H177,2)</f>
        <v>34473.599999999999</v>
      </c>
      <c r="L177" s="207" t="s">
        <v>133</v>
      </c>
      <c r="M177" s="37"/>
      <c r="N177" s="211" t="s">
        <v>1</v>
      </c>
      <c r="O177" s="212" t="s">
        <v>39</v>
      </c>
      <c r="P177" s="213">
        <f>I177+J177</f>
        <v>105</v>
      </c>
      <c r="Q177" s="213">
        <f>ROUND(I177*H177,2)</f>
        <v>6467.8999999999996</v>
      </c>
      <c r="R177" s="213">
        <f>ROUND(J177*H177,2)</f>
        <v>28005.700000000001</v>
      </c>
      <c r="S177" s="214">
        <v>0.125</v>
      </c>
      <c r="T177" s="214">
        <f>S177*H177</f>
        <v>41.039999999999999</v>
      </c>
      <c r="U177" s="214">
        <v>5.0000000000000002E-05</v>
      </c>
      <c r="V177" s="214">
        <f>U177*H177</f>
        <v>0.016416</v>
      </c>
      <c r="W177" s="214">
        <v>0</v>
      </c>
      <c r="X177" s="215">
        <f>W177*H177</f>
        <v>0</v>
      </c>
      <c r="Y177" s="31"/>
      <c r="Z177" s="31"/>
      <c r="AA177" s="31"/>
      <c r="AB177" s="31"/>
      <c r="AC177" s="31"/>
      <c r="AD177" s="31"/>
      <c r="AE177" s="31"/>
      <c r="AR177" s="216" t="s">
        <v>134</v>
      </c>
      <c r="AT177" s="216" t="s">
        <v>129</v>
      </c>
      <c r="AU177" s="216" t="s">
        <v>82</v>
      </c>
      <c r="AY177" s="16" t="s">
        <v>126</v>
      </c>
      <c r="BE177" s="217">
        <f>IF(O177="základní",K177,0)</f>
        <v>34473.599999999999</v>
      </c>
      <c r="BF177" s="217">
        <f>IF(O177="snížená",K177,0)</f>
        <v>0</v>
      </c>
      <c r="BG177" s="217">
        <f>IF(O177="zákl. přenesená",K177,0)</f>
        <v>0</v>
      </c>
      <c r="BH177" s="217">
        <f>IF(O177="sníž. přenesená",K177,0)</f>
        <v>0</v>
      </c>
      <c r="BI177" s="217">
        <f>IF(O177="nulová",K177,0)</f>
        <v>0</v>
      </c>
      <c r="BJ177" s="16" t="s">
        <v>20</v>
      </c>
      <c r="BK177" s="217">
        <f>ROUND(P177*H177,2)</f>
        <v>34473.599999999999</v>
      </c>
      <c r="BL177" s="16" t="s">
        <v>134</v>
      </c>
      <c r="BM177" s="216" t="s">
        <v>244</v>
      </c>
    </row>
    <row r="178" s="2" customFormat="1">
      <c r="A178" s="31"/>
      <c r="B178" s="32"/>
      <c r="C178" s="33"/>
      <c r="D178" s="218" t="s">
        <v>136</v>
      </c>
      <c r="E178" s="33"/>
      <c r="F178" s="219" t="s">
        <v>245</v>
      </c>
      <c r="G178" s="33"/>
      <c r="H178" s="33"/>
      <c r="I178" s="33"/>
      <c r="J178" s="33"/>
      <c r="K178" s="33"/>
      <c r="L178" s="33"/>
      <c r="M178" s="37"/>
      <c r="N178" s="220"/>
      <c r="O178" s="221"/>
      <c r="P178" s="83"/>
      <c r="Q178" s="83"/>
      <c r="R178" s="83"/>
      <c r="S178" s="83"/>
      <c r="T178" s="83"/>
      <c r="U178" s="83"/>
      <c r="V178" s="83"/>
      <c r="W178" s="83"/>
      <c r="X178" s="84"/>
      <c r="Y178" s="31"/>
      <c r="Z178" s="31"/>
      <c r="AA178" s="31"/>
      <c r="AB178" s="31"/>
      <c r="AC178" s="31"/>
      <c r="AD178" s="31"/>
      <c r="AE178" s="31"/>
      <c r="AT178" s="16" t="s">
        <v>136</v>
      </c>
      <c r="AU178" s="16" t="s">
        <v>82</v>
      </c>
    </row>
    <row r="179" s="13" customFormat="1">
      <c r="A179" s="13"/>
      <c r="B179" s="222"/>
      <c r="C179" s="223"/>
      <c r="D179" s="218" t="s">
        <v>149</v>
      </c>
      <c r="E179" s="224" t="s">
        <v>1</v>
      </c>
      <c r="F179" s="225" t="s">
        <v>246</v>
      </c>
      <c r="G179" s="223"/>
      <c r="H179" s="226">
        <v>328.31999999999999</v>
      </c>
      <c r="I179" s="223"/>
      <c r="J179" s="223"/>
      <c r="K179" s="223"/>
      <c r="L179" s="223"/>
      <c r="M179" s="227"/>
      <c r="N179" s="228"/>
      <c r="O179" s="229"/>
      <c r="P179" s="229"/>
      <c r="Q179" s="229"/>
      <c r="R179" s="229"/>
      <c r="S179" s="229"/>
      <c r="T179" s="229"/>
      <c r="U179" s="229"/>
      <c r="V179" s="229"/>
      <c r="W179" s="229"/>
      <c r="X179" s="230"/>
      <c r="Y179" s="13"/>
      <c r="Z179" s="13"/>
      <c r="AA179" s="13"/>
      <c r="AB179" s="13"/>
      <c r="AC179" s="13"/>
      <c r="AD179" s="13"/>
      <c r="AE179" s="13"/>
      <c r="AT179" s="231" t="s">
        <v>149</v>
      </c>
      <c r="AU179" s="231" t="s">
        <v>82</v>
      </c>
      <c r="AV179" s="13" t="s">
        <v>82</v>
      </c>
      <c r="AW179" s="13" t="s">
        <v>5</v>
      </c>
      <c r="AX179" s="13" t="s">
        <v>20</v>
      </c>
      <c r="AY179" s="231" t="s">
        <v>126</v>
      </c>
    </row>
    <row r="180" s="2" customFormat="1" ht="24.15" customHeight="1">
      <c r="A180" s="31"/>
      <c r="B180" s="32"/>
      <c r="C180" s="232" t="s">
        <v>8</v>
      </c>
      <c r="D180" s="232" t="s">
        <v>223</v>
      </c>
      <c r="E180" s="233" t="s">
        <v>247</v>
      </c>
      <c r="F180" s="234" t="s">
        <v>248</v>
      </c>
      <c r="G180" s="235" t="s">
        <v>249</v>
      </c>
      <c r="H180" s="236">
        <v>1.3</v>
      </c>
      <c r="I180" s="237">
        <v>10700</v>
      </c>
      <c r="J180" s="238"/>
      <c r="K180" s="237">
        <f>ROUND(P180*H180,2)</f>
        <v>13910</v>
      </c>
      <c r="L180" s="234" t="s">
        <v>1</v>
      </c>
      <c r="M180" s="239"/>
      <c r="N180" s="240" t="s">
        <v>1</v>
      </c>
      <c r="O180" s="212" t="s">
        <v>39</v>
      </c>
      <c r="P180" s="213">
        <f>I180+J180</f>
        <v>10700</v>
      </c>
      <c r="Q180" s="213">
        <f>ROUND(I180*H180,2)</f>
        <v>13910</v>
      </c>
      <c r="R180" s="213">
        <f>ROUND(J180*H180,2)</f>
        <v>0</v>
      </c>
      <c r="S180" s="214">
        <v>0</v>
      </c>
      <c r="T180" s="214">
        <f>S180*H180</f>
        <v>0</v>
      </c>
      <c r="U180" s="214">
        <v>0.55000000000000004</v>
      </c>
      <c r="V180" s="214">
        <f>U180*H180</f>
        <v>0.71500000000000008</v>
      </c>
      <c r="W180" s="214">
        <v>0</v>
      </c>
      <c r="X180" s="215">
        <f>W180*H180</f>
        <v>0</v>
      </c>
      <c r="Y180" s="31"/>
      <c r="Z180" s="31"/>
      <c r="AA180" s="31"/>
      <c r="AB180" s="31"/>
      <c r="AC180" s="31"/>
      <c r="AD180" s="31"/>
      <c r="AE180" s="31"/>
      <c r="AR180" s="216" t="s">
        <v>169</v>
      </c>
      <c r="AT180" s="216" t="s">
        <v>223</v>
      </c>
      <c r="AU180" s="216" t="s">
        <v>82</v>
      </c>
      <c r="AY180" s="16" t="s">
        <v>126</v>
      </c>
      <c r="BE180" s="217">
        <f>IF(O180="základní",K180,0)</f>
        <v>13910</v>
      </c>
      <c r="BF180" s="217">
        <f>IF(O180="snížená",K180,0)</f>
        <v>0</v>
      </c>
      <c r="BG180" s="217">
        <f>IF(O180="zákl. přenesená",K180,0)</f>
        <v>0</v>
      </c>
      <c r="BH180" s="217">
        <f>IF(O180="sníž. přenesená",K180,0)</f>
        <v>0</v>
      </c>
      <c r="BI180" s="217">
        <f>IF(O180="nulová",K180,0)</f>
        <v>0</v>
      </c>
      <c r="BJ180" s="16" t="s">
        <v>20</v>
      </c>
      <c r="BK180" s="217">
        <f>ROUND(P180*H180,2)</f>
        <v>13910</v>
      </c>
      <c r="BL180" s="16" t="s">
        <v>134</v>
      </c>
      <c r="BM180" s="216" t="s">
        <v>250</v>
      </c>
    </row>
    <row r="181" s="2" customFormat="1">
      <c r="A181" s="31"/>
      <c r="B181" s="32"/>
      <c r="C181" s="33"/>
      <c r="D181" s="218" t="s">
        <v>136</v>
      </c>
      <c r="E181" s="33"/>
      <c r="F181" s="219" t="s">
        <v>251</v>
      </c>
      <c r="G181" s="33"/>
      <c r="H181" s="33"/>
      <c r="I181" s="33"/>
      <c r="J181" s="33"/>
      <c r="K181" s="33"/>
      <c r="L181" s="33"/>
      <c r="M181" s="37"/>
      <c r="N181" s="220"/>
      <c r="O181" s="221"/>
      <c r="P181" s="83"/>
      <c r="Q181" s="83"/>
      <c r="R181" s="83"/>
      <c r="S181" s="83"/>
      <c r="T181" s="83"/>
      <c r="U181" s="83"/>
      <c r="V181" s="83"/>
      <c r="W181" s="83"/>
      <c r="X181" s="84"/>
      <c r="Y181" s="31"/>
      <c r="Z181" s="31"/>
      <c r="AA181" s="31"/>
      <c r="AB181" s="31"/>
      <c r="AC181" s="31"/>
      <c r="AD181" s="31"/>
      <c r="AE181" s="31"/>
      <c r="AT181" s="16" t="s">
        <v>136</v>
      </c>
      <c r="AU181" s="16" t="s">
        <v>82</v>
      </c>
    </row>
    <row r="182" s="13" customFormat="1">
      <c r="A182" s="13"/>
      <c r="B182" s="222"/>
      <c r="C182" s="223"/>
      <c r="D182" s="218" t="s">
        <v>149</v>
      </c>
      <c r="E182" s="224" t="s">
        <v>1</v>
      </c>
      <c r="F182" s="225" t="s">
        <v>252</v>
      </c>
      <c r="G182" s="223"/>
      <c r="H182" s="226">
        <v>1.3</v>
      </c>
      <c r="I182" s="223"/>
      <c r="J182" s="223"/>
      <c r="K182" s="223"/>
      <c r="L182" s="223"/>
      <c r="M182" s="227"/>
      <c r="N182" s="228"/>
      <c r="O182" s="229"/>
      <c r="P182" s="229"/>
      <c r="Q182" s="229"/>
      <c r="R182" s="229"/>
      <c r="S182" s="229"/>
      <c r="T182" s="229"/>
      <c r="U182" s="229"/>
      <c r="V182" s="229"/>
      <c r="W182" s="229"/>
      <c r="X182" s="230"/>
      <c r="Y182" s="13"/>
      <c r="Z182" s="13"/>
      <c r="AA182" s="13"/>
      <c r="AB182" s="13"/>
      <c r="AC182" s="13"/>
      <c r="AD182" s="13"/>
      <c r="AE182" s="13"/>
      <c r="AT182" s="231" t="s">
        <v>149</v>
      </c>
      <c r="AU182" s="231" t="s">
        <v>82</v>
      </c>
      <c r="AV182" s="13" t="s">
        <v>82</v>
      </c>
      <c r="AW182" s="13" t="s">
        <v>5</v>
      </c>
      <c r="AX182" s="13" t="s">
        <v>20</v>
      </c>
      <c r="AY182" s="231" t="s">
        <v>126</v>
      </c>
    </row>
    <row r="183" s="12" customFormat="1" ht="22.8" customHeight="1">
      <c r="A183" s="12"/>
      <c r="B183" s="189"/>
      <c r="C183" s="190"/>
      <c r="D183" s="191" t="s">
        <v>75</v>
      </c>
      <c r="E183" s="203" t="s">
        <v>253</v>
      </c>
      <c r="F183" s="203" t="s">
        <v>254</v>
      </c>
      <c r="G183" s="190"/>
      <c r="H183" s="190"/>
      <c r="I183" s="190"/>
      <c r="J183" s="190"/>
      <c r="K183" s="204">
        <f>BK183</f>
        <v>798310.59999999998</v>
      </c>
      <c r="L183" s="190"/>
      <c r="M183" s="194"/>
      <c r="N183" s="195"/>
      <c r="O183" s="196"/>
      <c r="P183" s="196"/>
      <c r="Q183" s="197">
        <f>SUM(Q184:Q214)</f>
        <v>561076.09999999986</v>
      </c>
      <c r="R183" s="197">
        <f>SUM(R184:R214)</f>
        <v>237234.5</v>
      </c>
      <c r="S183" s="196"/>
      <c r="T183" s="198">
        <f>SUM(T184:T214)</f>
        <v>388.40159999999997</v>
      </c>
      <c r="U183" s="196"/>
      <c r="V183" s="198">
        <f>SUM(V184:V214)</f>
        <v>7.8402750000000001</v>
      </c>
      <c r="W183" s="196"/>
      <c r="X183" s="199">
        <f>SUM(X184:X214)</f>
        <v>1.9199999999999999</v>
      </c>
      <c r="Y183" s="12"/>
      <c r="Z183" s="12"/>
      <c r="AA183" s="12"/>
      <c r="AB183" s="12"/>
      <c r="AC183" s="12"/>
      <c r="AD183" s="12"/>
      <c r="AE183" s="12"/>
      <c r="AR183" s="200" t="s">
        <v>82</v>
      </c>
      <c r="AT183" s="201" t="s">
        <v>75</v>
      </c>
      <c r="AU183" s="201" t="s">
        <v>20</v>
      </c>
      <c r="AY183" s="200" t="s">
        <v>126</v>
      </c>
      <c r="BK183" s="202">
        <f>SUM(BK184:BK214)</f>
        <v>798310.59999999998</v>
      </c>
    </row>
    <row r="184" s="2" customFormat="1" ht="24.15" customHeight="1">
      <c r="A184" s="31"/>
      <c r="B184" s="32"/>
      <c r="C184" s="205" t="s">
        <v>255</v>
      </c>
      <c r="D184" s="205" t="s">
        <v>129</v>
      </c>
      <c r="E184" s="206" t="s">
        <v>256</v>
      </c>
      <c r="F184" s="207" t="s">
        <v>257</v>
      </c>
      <c r="G184" s="208" t="s">
        <v>249</v>
      </c>
      <c r="H184" s="209">
        <v>3.1699999999999999</v>
      </c>
      <c r="I184" s="210">
        <v>430</v>
      </c>
      <c r="J184" s="210">
        <v>1050</v>
      </c>
      <c r="K184" s="210">
        <f>ROUND(P184*H184,2)</f>
        <v>4691.6000000000004</v>
      </c>
      <c r="L184" s="207" t="s">
        <v>133</v>
      </c>
      <c r="M184" s="37"/>
      <c r="N184" s="211" t="s">
        <v>1</v>
      </c>
      <c r="O184" s="212" t="s">
        <v>39</v>
      </c>
      <c r="P184" s="213">
        <f>I184+J184</f>
        <v>1480</v>
      </c>
      <c r="Q184" s="213">
        <f>ROUND(I184*H184,2)</f>
        <v>1363.0999999999999</v>
      </c>
      <c r="R184" s="213">
        <f>ROUND(J184*H184,2)</f>
        <v>3328.5</v>
      </c>
      <c r="S184" s="214">
        <v>1.5600000000000001</v>
      </c>
      <c r="T184" s="214">
        <f>S184*H184</f>
        <v>4.9451999999999998</v>
      </c>
      <c r="U184" s="214">
        <v>0.00122</v>
      </c>
      <c r="V184" s="214">
        <f>U184*H184</f>
        <v>0.0038673999999999996</v>
      </c>
      <c r="W184" s="214">
        <v>0</v>
      </c>
      <c r="X184" s="215">
        <f>W184*H184</f>
        <v>0</v>
      </c>
      <c r="Y184" s="31"/>
      <c r="Z184" s="31"/>
      <c r="AA184" s="31"/>
      <c r="AB184" s="31"/>
      <c r="AC184" s="31"/>
      <c r="AD184" s="31"/>
      <c r="AE184" s="31"/>
      <c r="AR184" s="216" t="s">
        <v>216</v>
      </c>
      <c r="AT184" s="216" t="s">
        <v>129</v>
      </c>
      <c r="AU184" s="216" t="s">
        <v>82</v>
      </c>
      <c r="AY184" s="16" t="s">
        <v>126</v>
      </c>
      <c r="BE184" s="217">
        <f>IF(O184="základní",K184,0)</f>
        <v>4691.6000000000004</v>
      </c>
      <c r="BF184" s="217">
        <f>IF(O184="snížená",K184,0)</f>
        <v>0</v>
      </c>
      <c r="BG184" s="217">
        <f>IF(O184="zákl. přenesená",K184,0)</f>
        <v>0</v>
      </c>
      <c r="BH184" s="217">
        <f>IF(O184="sníž. přenesená",K184,0)</f>
        <v>0</v>
      </c>
      <c r="BI184" s="217">
        <f>IF(O184="nulová",K184,0)</f>
        <v>0</v>
      </c>
      <c r="BJ184" s="16" t="s">
        <v>20</v>
      </c>
      <c r="BK184" s="217">
        <f>ROUND(P184*H184,2)</f>
        <v>4691.6000000000004</v>
      </c>
      <c r="BL184" s="16" t="s">
        <v>216</v>
      </c>
      <c r="BM184" s="216" t="s">
        <v>258</v>
      </c>
    </row>
    <row r="185" s="2" customFormat="1">
      <c r="A185" s="31"/>
      <c r="B185" s="32"/>
      <c r="C185" s="33"/>
      <c r="D185" s="218" t="s">
        <v>136</v>
      </c>
      <c r="E185" s="33"/>
      <c r="F185" s="219" t="s">
        <v>259</v>
      </c>
      <c r="G185" s="33"/>
      <c r="H185" s="33"/>
      <c r="I185" s="33"/>
      <c r="J185" s="33"/>
      <c r="K185" s="33"/>
      <c r="L185" s="33"/>
      <c r="M185" s="37"/>
      <c r="N185" s="220"/>
      <c r="O185" s="221"/>
      <c r="P185" s="83"/>
      <c r="Q185" s="83"/>
      <c r="R185" s="83"/>
      <c r="S185" s="83"/>
      <c r="T185" s="83"/>
      <c r="U185" s="83"/>
      <c r="V185" s="83"/>
      <c r="W185" s="83"/>
      <c r="X185" s="84"/>
      <c r="Y185" s="31"/>
      <c r="Z185" s="31"/>
      <c r="AA185" s="31"/>
      <c r="AB185" s="31"/>
      <c r="AC185" s="31"/>
      <c r="AD185" s="31"/>
      <c r="AE185" s="31"/>
      <c r="AT185" s="16" t="s">
        <v>136</v>
      </c>
      <c r="AU185" s="16" t="s">
        <v>82</v>
      </c>
    </row>
    <row r="186" s="2" customFormat="1" ht="37.8" customHeight="1">
      <c r="A186" s="31"/>
      <c r="B186" s="32"/>
      <c r="C186" s="205" t="s">
        <v>260</v>
      </c>
      <c r="D186" s="205" t="s">
        <v>129</v>
      </c>
      <c r="E186" s="206" t="s">
        <v>261</v>
      </c>
      <c r="F186" s="207" t="s">
        <v>262</v>
      </c>
      <c r="G186" s="208" t="s">
        <v>172</v>
      </c>
      <c r="H186" s="209">
        <v>160</v>
      </c>
      <c r="I186" s="210">
        <v>0</v>
      </c>
      <c r="J186" s="210">
        <v>117</v>
      </c>
      <c r="K186" s="210">
        <f>ROUND(P186*H186,2)</f>
        <v>18720</v>
      </c>
      <c r="L186" s="207" t="s">
        <v>133</v>
      </c>
      <c r="M186" s="37"/>
      <c r="N186" s="211" t="s">
        <v>1</v>
      </c>
      <c r="O186" s="212" t="s">
        <v>39</v>
      </c>
      <c r="P186" s="213">
        <f>I186+J186</f>
        <v>117</v>
      </c>
      <c r="Q186" s="213">
        <f>ROUND(I186*H186,2)</f>
        <v>0</v>
      </c>
      <c r="R186" s="213">
        <f>ROUND(J186*H186,2)</f>
        <v>18720</v>
      </c>
      <c r="S186" s="214">
        <v>0.19</v>
      </c>
      <c r="T186" s="214">
        <f>S186*H186</f>
        <v>30.399999999999999</v>
      </c>
      <c r="U186" s="214">
        <v>0</v>
      </c>
      <c r="V186" s="214">
        <f>U186*H186</f>
        <v>0</v>
      </c>
      <c r="W186" s="214">
        <v>0</v>
      </c>
      <c r="X186" s="215">
        <f>W186*H186</f>
        <v>0</v>
      </c>
      <c r="Y186" s="31"/>
      <c r="Z186" s="31"/>
      <c r="AA186" s="31"/>
      <c r="AB186" s="31"/>
      <c r="AC186" s="31"/>
      <c r="AD186" s="31"/>
      <c r="AE186" s="31"/>
      <c r="AR186" s="216" t="s">
        <v>216</v>
      </c>
      <c r="AT186" s="216" t="s">
        <v>129</v>
      </c>
      <c r="AU186" s="216" t="s">
        <v>82</v>
      </c>
      <c r="AY186" s="16" t="s">
        <v>126</v>
      </c>
      <c r="BE186" s="217">
        <f>IF(O186="základní",K186,0)</f>
        <v>18720</v>
      </c>
      <c r="BF186" s="217">
        <f>IF(O186="snížená",K186,0)</f>
        <v>0</v>
      </c>
      <c r="BG186" s="217">
        <f>IF(O186="zákl. přenesená",K186,0)</f>
        <v>0</v>
      </c>
      <c r="BH186" s="217">
        <f>IF(O186="sníž. přenesená",K186,0)</f>
        <v>0</v>
      </c>
      <c r="BI186" s="217">
        <f>IF(O186="nulová",K186,0)</f>
        <v>0</v>
      </c>
      <c r="BJ186" s="16" t="s">
        <v>20</v>
      </c>
      <c r="BK186" s="217">
        <f>ROUND(P186*H186,2)</f>
        <v>18720</v>
      </c>
      <c r="BL186" s="16" t="s">
        <v>216</v>
      </c>
      <c r="BM186" s="216" t="s">
        <v>263</v>
      </c>
    </row>
    <row r="187" s="2" customFormat="1">
      <c r="A187" s="31"/>
      <c r="B187" s="32"/>
      <c r="C187" s="33"/>
      <c r="D187" s="218" t="s">
        <v>136</v>
      </c>
      <c r="E187" s="33"/>
      <c r="F187" s="219" t="s">
        <v>264</v>
      </c>
      <c r="G187" s="33"/>
      <c r="H187" s="33"/>
      <c r="I187" s="33"/>
      <c r="J187" s="33"/>
      <c r="K187" s="33"/>
      <c r="L187" s="33"/>
      <c r="M187" s="37"/>
      <c r="N187" s="220"/>
      <c r="O187" s="221"/>
      <c r="P187" s="83"/>
      <c r="Q187" s="83"/>
      <c r="R187" s="83"/>
      <c r="S187" s="83"/>
      <c r="T187" s="83"/>
      <c r="U187" s="83"/>
      <c r="V187" s="83"/>
      <c r="W187" s="83"/>
      <c r="X187" s="84"/>
      <c r="Y187" s="31"/>
      <c r="Z187" s="31"/>
      <c r="AA187" s="31"/>
      <c r="AB187" s="31"/>
      <c r="AC187" s="31"/>
      <c r="AD187" s="31"/>
      <c r="AE187" s="31"/>
      <c r="AT187" s="16" t="s">
        <v>136</v>
      </c>
      <c r="AU187" s="16" t="s">
        <v>82</v>
      </c>
    </row>
    <row r="188" s="2" customFormat="1">
      <c r="A188" s="31"/>
      <c r="B188" s="32"/>
      <c r="C188" s="232" t="s">
        <v>265</v>
      </c>
      <c r="D188" s="232" t="s">
        <v>223</v>
      </c>
      <c r="E188" s="233" t="s">
        <v>266</v>
      </c>
      <c r="F188" s="234" t="s">
        <v>267</v>
      </c>
      <c r="G188" s="235" t="s">
        <v>249</v>
      </c>
      <c r="H188" s="236">
        <v>3.1699999999999999</v>
      </c>
      <c r="I188" s="237">
        <v>9740</v>
      </c>
      <c r="J188" s="238"/>
      <c r="K188" s="237">
        <f>ROUND(P188*H188,2)</f>
        <v>30875.799999999999</v>
      </c>
      <c r="L188" s="234" t="s">
        <v>133</v>
      </c>
      <c r="M188" s="239"/>
      <c r="N188" s="240" t="s">
        <v>1</v>
      </c>
      <c r="O188" s="212" t="s">
        <v>39</v>
      </c>
      <c r="P188" s="213">
        <f>I188+J188</f>
        <v>9740</v>
      </c>
      <c r="Q188" s="213">
        <f>ROUND(I188*H188,2)</f>
        <v>30875.799999999999</v>
      </c>
      <c r="R188" s="213">
        <f>ROUND(J188*H188,2)</f>
        <v>0</v>
      </c>
      <c r="S188" s="214">
        <v>0</v>
      </c>
      <c r="T188" s="214">
        <f>S188*H188</f>
        <v>0</v>
      </c>
      <c r="U188" s="214">
        <v>0.55000000000000004</v>
      </c>
      <c r="V188" s="214">
        <f>U188*H188</f>
        <v>1.7435000000000001</v>
      </c>
      <c r="W188" s="214">
        <v>0</v>
      </c>
      <c r="X188" s="215">
        <f>W188*H188</f>
        <v>0</v>
      </c>
      <c r="Y188" s="31"/>
      <c r="Z188" s="31"/>
      <c r="AA188" s="31"/>
      <c r="AB188" s="31"/>
      <c r="AC188" s="31"/>
      <c r="AD188" s="31"/>
      <c r="AE188" s="31"/>
      <c r="AR188" s="216" t="s">
        <v>226</v>
      </c>
      <c r="AT188" s="216" t="s">
        <v>223</v>
      </c>
      <c r="AU188" s="216" t="s">
        <v>82</v>
      </c>
      <c r="AY188" s="16" t="s">
        <v>126</v>
      </c>
      <c r="BE188" s="217">
        <f>IF(O188="základní",K188,0)</f>
        <v>30875.799999999999</v>
      </c>
      <c r="BF188" s="217">
        <f>IF(O188="snížená",K188,0)</f>
        <v>0</v>
      </c>
      <c r="BG188" s="217">
        <f>IF(O188="zákl. přenesená",K188,0)</f>
        <v>0</v>
      </c>
      <c r="BH188" s="217">
        <f>IF(O188="sníž. přenesená",K188,0)</f>
        <v>0</v>
      </c>
      <c r="BI188" s="217">
        <f>IF(O188="nulová",K188,0)</f>
        <v>0</v>
      </c>
      <c r="BJ188" s="16" t="s">
        <v>20</v>
      </c>
      <c r="BK188" s="217">
        <f>ROUND(P188*H188,2)</f>
        <v>30875.799999999999</v>
      </c>
      <c r="BL188" s="16" t="s">
        <v>216</v>
      </c>
      <c r="BM188" s="216" t="s">
        <v>268</v>
      </c>
    </row>
    <row r="189" s="2" customFormat="1">
      <c r="A189" s="31"/>
      <c r="B189" s="32"/>
      <c r="C189" s="33"/>
      <c r="D189" s="218" t="s">
        <v>136</v>
      </c>
      <c r="E189" s="33"/>
      <c r="F189" s="219" t="s">
        <v>267</v>
      </c>
      <c r="G189" s="33"/>
      <c r="H189" s="33"/>
      <c r="I189" s="33"/>
      <c r="J189" s="33"/>
      <c r="K189" s="33"/>
      <c r="L189" s="33"/>
      <c r="M189" s="37"/>
      <c r="N189" s="220"/>
      <c r="O189" s="221"/>
      <c r="P189" s="83"/>
      <c r="Q189" s="83"/>
      <c r="R189" s="83"/>
      <c r="S189" s="83"/>
      <c r="T189" s="83"/>
      <c r="U189" s="83"/>
      <c r="V189" s="83"/>
      <c r="W189" s="83"/>
      <c r="X189" s="84"/>
      <c r="Y189" s="31"/>
      <c r="Z189" s="31"/>
      <c r="AA189" s="31"/>
      <c r="AB189" s="31"/>
      <c r="AC189" s="31"/>
      <c r="AD189" s="31"/>
      <c r="AE189" s="31"/>
      <c r="AT189" s="16" t="s">
        <v>136</v>
      </c>
      <c r="AU189" s="16" t="s">
        <v>82</v>
      </c>
    </row>
    <row r="190" s="13" customFormat="1">
      <c r="A190" s="13"/>
      <c r="B190" s="222"/>
      <c r="C190" s="223"/>
      <c r="D190" s="218" t="s">
        <v>149</v>
      </c>
      <c r="E190" s="223"/>
      <c r="F190" s="225" t="s">
        <v>269</v>
      </c>
      <c r="G190" s="223"/>
      <c r="H190" s="226">
        <v>3.1699999999999999</v>
      </c>
      <c r="I190" s="223"/>
      <c r="J190" s="223"/>
      <c r="K190" s="223"/>
      <c r="L190" s="223"/>
      <c r="M190" s="227"/>
      <c r="N190" s="228"/>
      <c r="O190" s="229"/>
      <c r="P190" s="229"/>
      <c r="Q190" s="229"/>
      <c r="R190" s="229"/>
      <c r="S190" s="229"/>
      <c r="T190" s="229"/>
      <c r="U190" s="229"/>
      <c r="V190" s="229"/>
      <c r="W190" s="229"/>
      <c r="X190" s="230"/>
      <c r="Y190" s="13"/>
      <c r="Z190" s="13"/>
      <c r="AA190" s="13"/>
      <c r="AB190" s="13"/>
      <c r="AC190" s="13"/>
      <c r="AD190" s="13"/>
      <c r="AE190" s="13"/>
      <c r="AT190" s="231" t="s">
        <v>149</v>
      </c>
      <c r="AU190" s="231" t="s">
        <v>82</v>
      </c>
      <c r="AV190" s="13" t="s">
        <v>82</v>
      </c>
      <c r="AW190" s="13" t="s">
        <v>4</v>
      </c>
      <c r="AX190" s="13" t="s">
        <v>20</v>
      </c>
      <c r="AY190" s="231" t="s">
        <v>126</v>
      </c>
    </row>
    <row r="191" s="2" customFormat="1" ht="33" customHeight="1">
      <c r="A191" s="31"/>
      <c r="B191" s="32"/>
      <c r="C191" s="205" t="s">
        <v>270</v>
      </c>
      <c r="D191" s="205" t="s">
        <v>129</v>
      </c>
      <c r="E191" s="206" t="s">
        <v>271</v>
      </c>
      <c r="F191" s="207" t="s">
        <v>272</v>
      </c>
      <c r="G191" s="208" t="s">
        <v>172</v>
      </c>
      <c r="H191" s="209">
        <v>160</v>
      </c>
      <c r="I191" s="210">
        <v>0</v>
      </c>
      <c r="J191" s="210">
        <v>54</v>
      </c>
      <c r="K191" s="210">
        <f>ROUND(P191*H191,2)</f>
        <v>8640</v>
      </c>
      <c r="L191" s="207" t="s">
        <v>133</v>
      </c>
      <c r="M191" s="37"/>
      <c r="N191" s="211" t="s">
        <v>1</v>
      </c>
      <c r="O191" s="212" t="s">
        <v>39</v>
      </c>
      <c r="P191" s="213">
        <f>I191+J191</f>
        <v>54</v>
      </c>
      <c r="Q191" s="213">
        <f>ROUND(I191*H191,2)</f>
        <v>0</v>
      </c>
      <c r="R191" s="213">
        <f>ROUND(J191*H191,2)</f>
        <v>8640</v>
      </c>
      <c r="S191" s="214">
        <v>0.080000000000000002</v>
      </c>
      <c r="T191" s="214">
        <f>S191*H191</f>
        <v>12.800000000000001</v>
      </c>
      <c r="U191" s="214">
        <v>0</v>
      </c>
      <c r="V191" s="214">
        <f>U191*H191</f>
        <v>0</v>
      </c>
      <c r="W191" s="214">
        <v>0.012</v>
      </c>
      <c r="X191" s="215">
        <f>W191*H191</f>
        <v>1.9199999999999999</v>
      </c>
      <c r="Y191" s="31"/>
      <c r="Z191" s="31"/>
      <c r="AA191" s="31"/>
      <c r="AB191" s="31"/>
      <c r="AC191" s="31"/>
      <c r="AD191" s="31"/>
      <c r="AE191" s="31"/>
      <c r="AR191" s="216" t="s">
        <v>216</v>
      </c>
      <c r="AT191" s="216" t="s">
        <v>129</v>
      </c>
      <c r="AU191" s="216" t="s">
        <v>82</v>
      </c>
      <c r="AY191" s="16" t="s">
        <v>126</v>
      </c>
      <c r="BE191" s="217">
        <f>IF(O191="základní",K191,0)</f>
        <v>8640</v>
      </c>
      <c r="BF191" s="217">
        <f>IF(O191="snížená",K191,0)</f>
        <v>0</v>
      </c>
      <c r="BG191" s="217">
        <f>IF(O191="zákl. přenesená",K191,0)</f>
        <v>0</v>
      </c>
      <c r="BH191" s="217">
        <f>IF(O191="sníž. přenesená",K191,0)</f>
        <v>0</v>
      </c>
      <c r="BI191" s="217">
        <f>IF(O191="nulová",K191,0)</f>
        <v>0</v>
      </c>
      <c r="BJ191" s="16" t="s">
        <v>20</v>
      </c>
      <c r="BK191" s="217">
        <f>ROUND(P191*H191,2)</f>
        <v>8640</v>
      </c>
      <c r="BL191" s="16" t="s">
        <v>216</v>
      </c>
      <c r="BM191" s="216" t="s">
        <v>273</v>
      </c>
    </row>
    <row r="192" s="2" customFormat="1">
      <c r="A192" s="31"/>
      <c r="B192" s="32"/>
      <c r="C192" s="33"/>
      <c r="D192" s="218" t="s">
        <v>136</v>
      </c>
      <c r="E192" s="33"/>
      <c r="F192" s="219" t="s">
        <v>274</v>
      </c>
      <c r="G192" s="33"/>
      <c r="H192" s="33"/>
      <c r="I192" s="33"/>
      <c r="J192" s="33"/>
      <c r="K192" s="33"/>
      <c r="L192" s="33"/>
      <c r="M192" s="37"/>
      <c r="N192" s="220"/>
      <c r="O192" s="221"/>
      <c r="P192" s="83"/>
      <c r="Q192" s="83"/>
      <c r="R192" s="83"/>
      <c r="S192" s="83"/>
      <c r="T192" s="83"/>
      <c r="U192" s="83"/>
      <c r="V192" s="83"/>
      <c r="W192" s="83"/>
      <c r="X192" s="84"/>
      <c r="Y192" s="31"/>
      <c r="Z192" s="31"/>
      <c r="AA192" s="31"/>
      <c r="AB192" s="31"/>
      <c r="AC192" s="31"/>
      <c r="AD192" s="31"/>
      <c r="AE192" s="31"/>
      <c r="AT192" s="16" t="s">
        <v>136</v>
      </c>
      <c r="AU192" s="16" t="s">
        <v>82</v>
      </c>
    </row>
    <row r="193" s="2" customFormat="1" ht="24.15" customHeight="1">
      <c r="A193" s="31"/>
      <c r="B193" s="32"/>
      <c r="C193" s="205" t="s">
        <v>275</v>
      </c>
      <c r="D193" s="205" t="s">
        <v>129</v>
      </c>
      <c r="E193" s="206" t="s">
        <v>276</v>
      </c>
      <c r="F193" s="207" t="s">
        <v>277</v>
      </c>
      <c r="G193" s="208" t="s">
        <v>132</v>
      </c>
      <c r="H193" s="209">
        <v>154</v>
      </c>
      <c r="I193" s="210">
        <v>447</v>
      </c>
      <c r="J193" s="210">
        <v>161</v>
      </c>
      <c r="K193" s="210">
        <f>ROUND(P193*H193,2)</f>
        <v>93632</v>
      </c>
      <c r="L193" s="207" t="s">
        <v>133</v>
      </c>
      <c r="M193" s="37"/>
      <c r="N193" s="211" t="s">
        <v>1</v>
      </c>
      <c r="O193" s="212" t="s">
        <v>39</v>
      </c>
      <c r="P193" s="213">
        <f>I193+J193</f>
        <v>608</v>
      </c>
      <c r="Q193" s="213">
        <f>ROUND(I193*H193,2)</f>
        <v>68838</v>
      </c>
      <c r="R193" s="213">
        <f>ROUND(J193*H193,2)</f>
        <v>24794</v>
      </c>
      <c r="S193" s="214">
        <v>0.26400000000000001</v>
      </c>
      <c r="T193" s="214">
        <f>S193*H193</f>
        <v>40.655999999999999</v>
      </c>
      <c r="U193" s="214">
        <v>0.01423</v>
      </c>
      <c r="V193" s="214">
        <f>U193*H193</f>
        <v>2.1914199999999999</v>
      </c>
      <c r="W193" s="214">
        <v>0</v>
      </c>
      <c r="X193" s="215">
        <f>W193*H193</f>
        <v>0</v>
      </c>
      <c r="Y193" s="31"/>
      <c r="Z193" s="31"/>
      <c r="AA193" s="31"/>
      <c r="AB193" s="31"/>
      <c r="AC193" s="31"/>
      <c r="AD193" s="31"/>
      <c r="AE193" s="31"/>
      <c r="AR193" s="216" t="s">
        <v>216</v>
      </c>
      <c r="AT193" s="216" t="s">
        <v>129</v>
      </c>
      <c r="AU193" s="216" t="s">
        <v>82</v>
      </c>
      <c r="AY193" s="16" t="s">
        <v>126</v>
      </c>
      <c r="BE193" s="217">
        <f>IF(O193="základní",K193,0)</f>
        <v>93632</v>
      </c>
      <c r="BF193" s="217">
        <f>IF(O193="snížená",K193,0)</f>
        <v>0</v>
      </c>
      <c r="BG193" s="217">
        <f>IF(O193="zákl. přenesená",K193,0)</f>
        <v>0</v>
      </c>
      <c r="BH193" s="217">
        <f>IF(O193="sníž. přenesená",K193,0)</f>
        <v>0</v>
      </c>
      <c r="BI193" s="217">
        <f>IF(O193="nulová",K193,0)</f>
        <v>0</v>
      </c>
      <c r="BJ193" s="16" t="s">
        <v>20</v>
      </c>
      <c r="BK193" s="217">
        <f>ROUND(P193*H193,2)</f>
        <v>93632</v>
      </c>
      <c r="BL193" s="16" t="s">
        <v>216</v>
      </c>
      <c r="BM193" s="216" t="s">
        <v>278</v>
      </c>
    </row>
    <row r="194" s="2" customFormat="1">
      <c r="A194" s="31"/>
      <c r="B194" s="32"/>
      <c r="C194" s="33"/>
      <c r="D194" s="218" t="s">
        <v>136</v>
      </c>
      <c r="E194" s="33"/>
      <c r="F194" s="219" t="s">
        <v>279</v>
      </c>
      <c r="G194" s="33"/>
      <c r="H194" s="33"/>
      <c r="I194" s="33"/>
      <c r="J194" s="33"/>
      <c r="K194" s="33"/>
      <c r="L194" s="33"/>
      <c r="M194" s="37"/>
      <c r="N194" s="220"/>
      <c r="O194" s="221"/>
      <c r="P194" s="83"/>
      <c r="Q194" s="83"/>
      <c r="R194" s="83"/>
      <c r="S194" s="83"/>
      <c r="T194" s="83"/>
      <c r="U194" s="83"/>
      <c r="V194" s="83"/>
      <c r="W194" s="83"/>
      <c r="X194" s="84"/>
      <c r="Y194" s="31"/>
      <c r="Z194" s="31"/>
      <c r="AA194" s="31"/>
      <c r="AB194" s="31"/>
      <c r="AC194" s="31"/>
      <c r="AD194" s="31"/>
      <c r="AE194" s="31"/>
      <c r="AT194" s="16" t="s">
        <v>136</v>
      </c>
      <c r="AU194" s="16" t="s">
        <v>82</v>
      </c>
    </row>
    <row r="195" s="2" customFormat="1" ht="24.15" customHeight="1">
      <c r="A195" s="31"/>
      <c r="B195" s="32"/>
      <c r="C195" s="205" t="s">
        <v>280</v>
      </c>
      <c r="D195" s="205" t="s">
        <v>129</v>
      </c>
      <c r="E195" s="206" t="s">
        <v>281</v>
      </c>
      <c r="F195" s="207" t="s">
        <v>282</v>
      </c>
      <c r="G195" s="208" t="s">
        <v>132</v>
      </c>
      <c r="H195" s="209">
        <v>51.200000000000003</v>
      </c>
      <c r="I195" s="210">
        <v>514</v>
      </c>
      <c r="J195" s="210">
        <v>161</v>
      </c>
      <c r="K195" s="210">
        <f>ROUND(P195*H195,2)</f>
        <v>34560</v>
      </c>
      <c r="L195" s="207" t="s">
        <v>133</v>
      </c>
      <c r="M195" s="37"/>
      <c r="N195" s="211" t="s">
        <v>1</v>
      </c>
      <c r="O195" s="212" t="s">
        <v>39</v>
      </c>
      <c r="P195" s="213">
        <f>I195+J195</f>
        <v>675</v>
      </c>
      <c r="Q195" s="213">
        <f>ROUND(I195*H195,2)</f>
        <v>26316.799999999999</v>
      </c>
      <c r="R195" s="213">
        <f>ROUND(J195*H195,2)</f>
        <v>8243.2000000000007</v>
      </c>
      <c r="S195" s="214">
        <v>0.26400000000000001</v>
      </c>
      <c r="T195" s="214">
        <f>S195*H195</f>
        <v>13.516800000000002</v>
      </c>
      <c r="U195" s="214">
        <v>0.0161</v>
      </c>
      <c r="V195" s="214">
        <f>U195*H195</f>
        <v>0.82432000000000005</v>
      </c>
      <c r="W195" s="214">
        <v>0</v>
      </c>
      <c r="X195" s="215">
        <f>W195*H195</f>
        <v>0</v>
      </c>
      <c r="Y195" s="31"/>
      <c r="Z195" s="31"/>
      <c r="AA195" s="31"/>
      <c r="AB195" s="31"/>
      <c r="AC195" s="31"/>
      <c r="AD195" s="31"/>
      <c r="AE195" s="31"/>
      <c r="AR195" s="216" t="s">
        <v>216</v>
      </c>
      <c r="AT195" s="216" t="s">
        <v>129</v>
      </c>
      <c r="AU195" s="216" t="s">
        <v>82</v>
      </c>
      <c r="AY195" s="16" t="s">
        <v>126</v>
      </c>
      <c r="BE195" s="217">
        <f>IF(O195="základní",K195,0)</f>
        <v>34560</v>
      </c>
      <c r="BF195" s="217">
        <f>IF(O195="snížená",K195,0)</f>
        <v>0</v>
      </c>
      <c r="BG195" s="217">
        <f>IF(O195="zákl. přenesená",K195,0)</f>
        <v>0</v>
      </c>
      <c r="BH195" s="217">
        <f>IF(O195="sníž. přenesená",K195,0)</f>
        <v>0</v>
      </c>
      <c r="BI195" s="217">
        <f>IF(O195="nulová",K195,0)</f>
        <v>0</v>
      </c>
      <c r="BJ195" s="16" t="s">
        <v>20</v>
      </c>
      <c r="BK195" s="217">
        <f>ROUND(P195*H195,2)</f>
        <v>34560</v>
      </c>
      <c r="BL195" s="16" t="s">
        <v>216</v>
      </c>
      <c r="BM195" s="216" t="s">
        <v>283</v>
      </c>
    </row>
    <row r="196" s="2" customFormat="1">
      <c r="A196" s="31"/>
      <c r="B196" s="32"/>
      <c r="C196" s="33"/>
      <c r="D196" s="218" t="s">
        <v>136</v>
      </c>
      <c r="E196" s="33"/>
      <c r="F196" s="219" t="s">
        <v>284</v>
      </c>
      <c r="G196" s="33"/>
      <c r="H196" s="33"/>
      <c r="I196" s="33"/>
      <c r="J196" s="33"/>
      <c r="K196" s="33"/>
      <c r="L196" s="33"/>
      <c r="M196" s="37"/>
      <c r="N196" s="220"/>
      <c r="O196" s="221"/>
      <c r="P196" s="83"/>
      <c r="Q196" s="83"/>
      <c r="R196" s="83"/>
      <c r="S196" s="83"/>
      <c r="T196" s="83"/>
      <c r="U196" s="83"/>
      <c r="V196" s="83"/>
      <c r="W196" s="83"/>
      <c r="X196" s="84"/>
      <c r="Y196" s="31"/>
      <c r="Z196" s="31"/>
      <c r="AA196" s="31"/>
      <c r="AB196" s="31"/>
      <c r="AC196" s="31"/>
      <c r="AD196" s="31"/>
      <c r="AE196" s="31"/>
      <c r="AT196" s="16" t="s">
        <v>136</v>
      </c>
      <c r="AU196" s="16" t="s">
        <v>82</v>
      </c>
    </row>
    <row r="197" s="2" customFormat="1" ht="44.25" customHeight="1">
      <c r="A197" s="31"/>
      <c r="B197" s="32"/>
      <c r="C197" s="205" t="s">
        <v>285</v>
      </c>
      <c r="D197" s="205" t="s">
        <v>129</v>
      </c>
      <c r="E197" s="206" t="s">
        <v>286</v>
      </c>
      <c r="F197" s="207" t="s">
        <v>287</v>
      </c>
      <c r="G197" s="208" t="s">
        <v>172</v>
      </c>
      <c r="H197" s="209">
        <v>1200</v>
      </c>
      <c r="I197" s="210">
        <v>321</v>
      </c>
      <c r="J197" s="210">
        <v>116</v>
      </c>
      <c r="K197" s="210">
        <f>ROUND(P197*H197,2)</f>
        <v>524400</v>
      </c>
      <c r="L197" s="207" t="s">
        <v>133</v>
      </c>
      <c r="M197" s="37"/>
      <c r="N197" s="211" t="s">
        <v>1</v>
      </c>
      <c r="O197" s="212" t="s">
        <v>39</v>
      </c>
      <c r="P197" s="213">
        <f>I197+J197</f>
        <v>437</v>
      </c>
      <c r="Q197" s="213">
        <f>ROUND(I197*H197,2)</f>
        <v>385200</v>
      </c>
      <c r="R197" s="213">
        <f>ROUND(J197*H197,2)</f>
        <v>139200</v>
      </c>
      <c r="S197" s="214">
        <v>0.19</v>
      </c>
      <c r="T197" s="214">
        <f>S197*H197</f>
        <v>228</v>
      </c>
      <c r="U197" s="214">
        <v>0.00042000000000000002</v>
      </c>
      <c r="V197" s="214">
        <f>U197*H197</f>
        <v>0.504</v>
      </c>
      <c r="W197" s="214">
        <v>0</v>
      </c>
      <c r="X197" s="215">
        <f>W197*H197</f>
        <v>0</v>
      </c>
      <c r="Y197" s="31"/>
      <c r="Z197" s="31"/>
      <c r="AA197" s="31"/>
      <c r="AB197" s="31"/>
      <c r="AC197" s="31"/>
      <c r="AD197" s="31"/>
      <c r="AE197" s="31"/>
      <c r="AR197" s="216" t="s">
        <v>216</v>
      </c>
      <c r="AT197" s="216" t="s">
        <v>129</v>
      </c>
      <c r="AU197" s="216" t="s">
        <v>82</v>
      </c>
      <c r="AY197" s="16" t="s">
        <v>126</v>
      </c>
      <c r="BE197" s="217">
        <f>IF(O197="základní",K197,0)</f>
        <v>524400</v>
      </c>
      <c r="BF197" s="217">
        <f>IF(O197="snížená",K197,0)</f>
        <v>0</v>
      </c>
      <c r="BG197" s="217">
        <f>IF(O197="zákl. přenesená",K197,0)</f>
        <v>0</v>
      </c>
      <c r="BH197" s="217">
        <f>IF(O197="sníž. přenesená",K197,0)</f>
        <v>0</v>
      </c>
      <c r="BI197" s="217">
        <f>IF(O197="nulová",K197,0)</f>
        <v>0</v>
      </c>
      <c r="BJ197" s="16" t="s">
        <v>20</v>
      </c>
      <c r="BK197" s="217">
        <f>ROUND(P197*H197,2)</f>
        <v>524400</v>
      </c>
      <c r="BL197" s="16" t="s">
        <v>216</v>
      </c>
      <c r="BM197" s="216" t="s">
        <v>288</v>
      </c>
    </row>
    <row r="198" s="2" customFormat="1">
      <c r="A198" s="31"/>
      <c r="B198" s="32"/>
      <c r="C198" s="33"/>
      <c r="D198" s="218" t="s">
        <v>136</v>
      </c>
      <c r="E198" s="33"/>
      <c r="F198" s="219" t="s">
        <v>289</v>
      </c>
      <c r="G198" s="33"/>
      <c r="H198" s="33"/>
      <c r="I198" s="33"/>
      <c r="J198" s="33"/>
      <c r="K198" s="33"/>
      <c r="L198" s="33"/>
      <c r="M198" s="37"/>
      <c r="N198" s="220"/>
      <c r="O198" s="221"/>
      <c r="P198" s="83"/>
      <c r="Q198" s="83"/>
      <c r="R198" s="83"/>
      <c r="S198" s="83"/>
      <c r="T198" s="83"/>
      <c r="U198" s="83"/>
      <c r="V198" s="83"/>
      <c r="W198" s="83"/>
      <c r="X198" s="84"/>
      <c r="Y198" s="31"/>
      <c r="Z198" s="31"/>
      <c r="AA198" s="31"/>
      <c r="AB198" s="31"/>
      <c r="AC198" s="31"/>
      <c r="AD198" s="31"/>
      <c r="AE198" s="31"/>
      <c r="AT198" s="16" t="s">
        <v>136</v>
      </c>
      <c r="AU198" s="16" t="s">
        <v>82</v>
      </c>
    </row>
    <row r="199" s="2" customFormat="1" ht="24.15" customHeight="1">
      <c r="A199" s="31"/>
      <c r="B199" s="32"/>
      <c r="C199" s="232" t="s">
        <v>290</v>
      </c>
      <c r="D199" s="232" t="s">
        <v>223</v>
      </c>
      <c r="E199" s="233" t="s">
        <v>291</v>
      </c>
      <c r="F199" s="234" t="s">
        <v>292</v>
      </c>
      <c r="G199" s="235" t="s">
        <v>249</v>
      </c>
      <c r="H199" s="236">
        <v>2.77</v>
      </c>
      <c r="I199" s="237">
        <v>10700</v>
      </c>
      <c r="J199" s="238"/>
      <c r="K199" s="237">
        <f>ROUND(P199*H199,2)</f>
        <v>29639</v>
      </c>
      <c r="L199" s="234" t="s">
        <v>133</v>
      </c>
      <c r="M199" s="239"/>
      <c r="N199" s="240" t="s">
        <v>1</v>
      </c>
      <c r="O199" s="212" t="s">
        <v>39</v>
      </c>
      <c r="P199" s="213">
        <f>I199+J199</f>
        <v>10700</v>
      </c>
      <c r="Q199" s="213">
        <f>ROUND(I199*H199,2)</f>
        <v>29639</v>
      </c>
      <c r="R199" s="213">
        <f>ROUND(J199*H199,2)</f>
        <v>0</v>
      </c>
      <c r="S199" s="214">
        <v>0</v>
      </c>
      <c r="T199" s="214">
        <f>S199*H199</f>
        <v>0</v>
      </c>
      <c r="U199" s="214">
        <v>0.55000000000000004</v>
      </c>
      <c r="V199" s="214">
        <f>U199*H199</f>
        <v>1.5235000000000001</v>
      </c>
      <c r="W199" s="214">
        <v>0</v>
      </c>
      <c r="X199" s="215">
        <f>W199*H199</f>
        <v>0</v>
      </c>
      <c r="Y199" s="31"/>
      <c r="Z199" s="31"/>
      <c r="AA199" s="31"/>
      <c r="AB199" s="31"/>
      <c r="AC199" s="31"/>
      <c r="AD199" s="31"/>
      <c r="AE199" s="31"/>
      <c r="AR199" s="216" t="s">
        <v>226</v>
      </c>
      <c r="AT199" s="216" t="s">
        <v>223</v>
      </c>
      <c r="AU199" s="216" t="s">
        <v>82</v>
      </c>
      <c r="AY199" s="16" t="s">
        <v>126</v>
      </c>
      <c r="BE199" s="217">
        <f>IF(O199="základní",K199,0)</f>
        <v>29639</v>
      </c>
      <c r="BF199" s="217">
        <f>IF(O199="snížená",K199,0)</f>
        <v>0</v>
      </c>
      <c r="BG199" s="217">
        <f>IF(O199="zákl. přenesená",K199,0)</f>
        <v>0</v>
      </c>
      <c r="BH199" s="217">
        <f>IF(O199="sníž. přenesená",K199,0)</f>
        <v>0</v>
      </c>
      <c r="BI199" s="217">
        <f>IF(O199="nulová",K199,0)</f>
        <v>0</v>
      </c>
      <c r="BJ199" s="16" t="s">
        <v>20</v>
      </c>
      <c r="BK199" s="217">
        <f>ROUND(P199*H199,2)</f>
        <v>29639</v>
      </c>
      <c r="BL199" s="16" t="s">
        <v>216</v>
      </c>
      <c r="BM199" s="216" t="s">
        <v>293</v>
      </c>
    </row>
    <row r="200" s="2" customFormat="1">
      <c r="A200" s="31"/>
      <c r="B200" s="32"/>
      <c r="C200" s="33"/>
      <c r="D200" s="218" t="s">
        <v>136</v>
      </c>
      <c r="E200" s="33"/>
      <c r="F200" s="219" t="s">
        <v>292</v>
      </c>
      <c r="G200" s="33"/>
      <c r="H200" s="33"/>
      <c r="I200" s="33"/>
      <c r="J200" s="33"/>
      <c r="K200" s="33"/>
      <c r="L200" s="33"/>
      <c r="M200" s="37"/>
      <c r="N200" s="220"/>
      <c r="O200" s="221"/>
      <c r="P200" s="83"/>
      <c r="Q200" s="83"/>
      <c r="R200" s="83"/>
      <c r="S200" s="83"/>
      <c r="T200" s="83"/>
      <c r="U200" s="83"/>
      <c r="V200" s="83"/>
      <c r="W200" s="83"/>
      <c r="X200" s="84"/>
      <c r="Y200" s="31"/>
      <c r="Z200" s="31"/>
      <c r="AA200" s="31"/>
      <c r="AB200" s="31"/>
      <c r="AC200" s="31"/>
      <c r="AD200" s="31"/>
      <c r="AE200" s="31"/>
      <c r="AT200" s="16" t="s">
        <v>136</v>
      </c>
      <c r="AU200" s="16" t="s">
        <v>82</v>
      </c>
    </row>
    <row r="201" s="13" customFormat="1">
      <c r="A201" s="13"/>
      <c r="B201" s="222"/>
      <c r="C201" s="223"/>
      <c r="D201" s="218" t="s">
        <v>149</v>
      </c>
      <c r="E201" s="223"/>
      <c r="F201" s="225" t="s">
        <v>294</v>
      </c>
      <c r="G201" s="223"/>
      <c r="H201" s="226">
        <v>2.77</v>
      </c>
      <c r="I201" s="223"/>
      <c r="J201" s="223"/>
      <c r="K201" s="223"/>
      <c r="L201" s="223"/>
      <c r="M201" s="227"/>
      <c r="N201" s="228"/>
      <c r="O201" s="229"/>
      <c r="P201" s="229"/>
      <c r="Q201" s="229"/>
      <c r="R201" s="229"/>
      <c r="S201" s="229"/>
      <c r="T201" s="229"/>
      <c r="U201" s="229"/>
      <c r="V201" s="229"/>
      <c r="W201" s="229"/>
      <c r="X201" s="230"/>
      <c r="Y201" s="13"/>
      <c r="Z201" s="13"/>
      <c r="AA201" s="13"/>
      <c r="AB201" s="13"/>
      <c r="AC201" s="13"/>
      <c r="AD201" s="13"/>
      <c r="AE201" s="13"/>
      <c r="AT201" s="231" t="s">
        <v>149</v>
      </c>
      <c r="AU201" s="231" t="s">
        <v>82</v>
      </c>
      <c r="AV201" s="13" t="s">
        <v>82</v>
      </c>
      <c r="AW201" s="13" t="s">
        <v>4</v>
      </c>
      <c r="AX201" s="13" t="s">
        <v>20</v>
      </c>
      <c r="AY201" s="231" t="s">
        <v>126</v>
      </c>
    </row>
    <row r="202" s="2" customFormat="1" ht="24.15" customHeight="1">
      <c r="A202" s="31"/>
      <c r="B202" s="32"/>
      <c r="C202" s="205" t="s">
        <v>295</v>
      </c>
      <c r="D202" s="205" t="s">
        <v>129</v>
      </c>
      <c r="E202" s="206" t="s">
        <v>296</v>
      </c>
      <c r="F202" s="207" t="s">
        <v>297</v>
      </c>
      <c r="G202" s="208" t="s">
        <v>172</v>
      </c>
      <c r="H202" s="209">
        <v>13.560000000000001</v>
      </c>
      <c r="I202" s="210">
        <v>0</v>
      </c>
      <c r="J202" s="210">
        <v>355</v>
      </c>
      <c r="K202" s="210">
        <f>ROUND(P202*H202,2)</f>
        <v>4813.8000000000002</v>
      </c>
      <c r="L202" s="207" t="s">
        <v>133</v>
      </c>
      <c r="M202" s="37"/>
      <c r="N202" s="211" t="s">
        <v>1</v>
      </c>
      <c r="O202" s="212" t="s">
        <v>39</v>
      </c>
      <c r="P202" s="213">
        <f>I202+J202</f>
        <v>355</v>
      </c>
      <c r="Q202" s="213">
        <f>ROUND(I202*H202,2)</f>
        <v>0</v>
      </c>
      <c r="R202" s="213">
        <f>ROUND(J202*H202,2)</f>
        <v>4813.8000000000002</v>
      </c>
      <c r="S202" s="214">
        <v>0.56000000000000005</v>
      </c>
      <c r="T202" s="214">
        <f>S202*H202</f>
        <v>7.5936000000000012</v>
      </c>
      <c r="U202" s="214">
        <v>0</v>
      </c>
      <c r="V202" s="214">
        <f>U202*H202</f>
        <v>0</v>
      </c>
      <c r="W202" s="214">
        <v>0</v>
      </c>
      <c r="X202" s="215">
        <f>W202*H202</f>
        <v>0</v>
      </c>
      <c r="Y202" s="31"/>
      <c r="Z202" s="31"/>
      <c r="AA202" s="31"/>
      <c r="AB202" s="31"/>
      <c r="AC202" s="31"/>
      <c r="AD202" s="31"/>
      <c r="AE202" s="31"/>
      <c r="AR202" s="216" t="s">
        <v>216</v>
      </c>
      <c r="AT202" s="216" t="s">
        <v>129</v>
      </c>
      <c r="AU202" s="216" t="s">
        <v>82</v>
      </c>
      <c r="AY202" s="16" t="s">
        <v>126</v>
      </c>
      <c r="BE202" s="217">
        <f>IF(O202="základní",K202,0)</f>
        <v>4813.8000000000002</v>
      </c>
      <c r="BF202" s="217">
        <f>IF(O202="snížená",K202,0)</f>
        <v>0</v>
      </c>
      <c r="BG202" s="217">
        <f>IF(O202="zákl. přenesená",K202,0)</f>
        <v>0</v>
      </c>
      <c r="BH202" s="217">
        <f>IF(O202="sníž. přenesená",K202,0)</f>
        <v>0</v>
      </c>
      <c r="BI202" s="217">
        <f>IF(O202="nulová",K202,0)</f>
        <v>0</v>
      </c>
      <c r="BJ202" s="16" t="s">
        <v>20</v>
      </c>
      <c r="BK202" s="217">
        <f>ROUND(P202*H202,2)</f>
        <v>4813.8000000000002</v>
      </c>
      <c r="BL202" s="16" t="s">
        <v>216</v>
      </c>
      <c r="BM202" s="216" t="s">
        <v>298</v>
      </c>
    </row>
    <row r="203" s="2" customFormat="1">
      <c r="A203" s="31"/>
      <c r="B203" s="32"/>
      <c r="C203" s="33"/>
      <c r="D203" s="218" t="s">
        <v>136</v>
      </c>
      <c r="E203" s="33"/>
      <c r="F203" s="219" t="s">
        <v>299</v>
      </c>
      <c r="G203" s="33"/>
      <c r="H203" s="33"/>
      <c r="I203" s="33"/>
      <c r="J203" s="33"/>
      <c r="K203" s="33"/>
      <c r="L203" s="33"/>
      <c r="M203" s="37"/>
      <c r="N203" s="220"/>
      <c r="O203" s="221"/>
      <c r="P203" s="83"/>
      <c r="Q203" s="83"/>
      <c r="R203" s="83"/>
      <c r="S203" s="83"/>
      <c r="T203" s="83"/>
      <c r="U203" s="83"/>
      <c r="V203" s="83"/>
      <c r="W203" s="83"/>
      <c r="X203" s="84"/>
      <c r="Y203" s="31"/>
      <c r="Z203" s="31"/>
      <c r="AA203" s="31"/>
      <c r="AB203" s="31"/>
      <c r="AC203" s="31"/>
      <c r="AD203" s="31"/>
      <c r="AE203" s="31"/>
      <c r="AT203" s="16" t="s">
        <v>136</v>
      </c>
      <c r="AU203" s="16" t="s">
        <v>82</v>
      </c>
    </row>
    <row r="204" s="13" customFormat="1">
      <c r="A204" s="13"/>
      <c r="B204" s="222"/>
      <c r="C204" s="223"/>
      <c r="D204" s="218" t="s">
        <v>149</v>
      </c>
      <c r="E204" s="224" t="s">
        <v>1</v>
      </c>
      <c r="F204" s="225" t="s">
        <v>300</v>
      </c>
      <c r="G204" s="223"/>
      <c r="H204" s="226">
        <v>13.560000000000001</v>
      </c>
      <c r="I204" s="223"/>
      <c r="J204" s="223"/>
      <c r="K204" s="223"/>
      <c r="L204" s="223"/>
      <c r="M204" s="227"/>
      <c r="N204" s="228"/>
      <c r="O204" s="229"/>
      <c r="P204" s="229"/>
      <c r="Q204" s="229"/>
      <c r="R204" s="229"/>
      <c r="S204" s="229"/>
      <c r="T204" s="229"/>
      <c r="U204" s="229"/>
      <c r="V204" s="229"/>
      <c r="W204" s="229"/>
      <c r="X204" s="230"/>
      <c r="Y204" s="13"/>
      <c r="Z204" s="13"/>
      <c r="AA204" s="13"/>
      <c r="AB204" s="13"/>
      <c r="AC204" s="13"/>
      <c r="AD204" s="13"/>
      <c r="AE204" s="13"/>
      <c r="AT204" s="231" t="s">
        <v>149</v>
      </c>
      <c r="AU204" s="231" t="s">
        <v>82</v>
      </c>
      <c r="AV204" s="13" t="s">
        <v>82</v>
      </c>
      <c r="AW204" s="13" t="s">
        <v>5</v>
      </c>
      <c r="AX204" s="13" t="s">
        <v>20</v>
      </c>
      <c r="AY204" s="231" t="s">
        <v>126</v>
      </c>
    </row>
    <row r="205" s="2" customFormat="1">
      <c r="A205" s="31"/>
      <c r="B205" s="32"/>
      <c r="C205" s="232" t="s">
        <v>301</v>
      </c>
      <c r="D205" s="232" t="s">
        <v>223</v>
      </c>
      <c r="E205" s="233" t="s">
        <v>266</v>
      </c>
      <c r="F205" s="234" t="s">
        <v>267</v>
      </c>
      <c r="G205" s="235" t="s">
        <v>249</v>
      </c>
      <c r="H205" s="236">
        <v>0.5</v>
      </c>
      <c r="I205" s="237">
        <v>9740</v>
      </c>
      <c r="J205" s="238"/>
      <c r="K205" s="237">
        <f>ROUND(P205*H205,2)</f>
        <v>4870</v>
      </c>
      <c r="L205" s="234" t="s">
        <v>133</v>
      </c>
      <c r="M205" s="239"/>
      <c r="N205" s="240" t="s">
        <v>1</v>
      </c>
      <c r="O205" s="212" t="s">
        <v>39</v>
      </c>
      <c r="P205" s="213">
        <f>I205+J205</f>
        <v>9740</v>
      </c>
      <c r="Q205" s="213">
        <f>ROUND(I205*H205,2)</f>
        <v>4870</v>
      </c>
      <c r="R205" s="213">
        <f>ROUND(J205*H205,2)</f>
        <v>0</v>
      </c>
      <c r="S205" s="214">
        <v>0</v>
      </c>
      <c r="T205" s="214">
        <f>S205*H205</f>
        <v>0</v>
      </c>
      <c r="U205" s="214">
        <v>0.55000000000000004</v>
      </c>
      <c r="V205" s="214">
        <f>U205*H205</f>
        <v>0.27500000000000002</v>
      </c>
      <c r="W205" s="214">
        <v>0</v>
      </c>
      <c r="X205" s="215">
        <f>W205*H205</f>
        <v>0</v>
      </c>
      <c r="Y205" s="31"/>
      <c r="Z205" s="31"/>
      <c r="AA205" s="31"/>
      <c r="AB205" s="31"/>
      <c r="AC205" s="31"/>
      <c r="AD205" s="31"/>
      <c r="AE205" s="31"/>
      <c r="AR205" s="216" t="s">
        <v>226</v>
      </c>
      <c r="AT205" s="216" t="s">
        <v>223</v>
      </c>
      <c r="AU205" s="216" t="s">
        <v>82</v>
      </c>
      <c r="AY205" s="16" t="s">
        <v>126</v>
      </c>
      <c r="BE205" s="217">
        <f>IF(O205="základní",K205,0)</f>
        <v>4870</v>
      </c>
      <c r="BF205" s="217">
        <f>IF(O205="snížená",K205,0)</f>
        <v>0</v>
      </c>
      <c r="BG205" s="217">
        <f>IF(O205="zákl. přenesená",K205,0)</f>
        <v>0</v>
      </c>
      <c r="BH205" s="217">
        <f>IF(O205="sníž. přenesená",K205,0)</f>
        <v>0</v>
      </c>
      <c r="BI205" s="217">
        <f>IF(O205="nulová",K205,0)</f>
        <v>0</v>
      </c>
      <c r="BJ205" s="16" t="s">
        <v>20</v>
      </c>
      <c r="BK205" s="217">
        <f>ROUND(P205*H205,2)</f>
        <v>4870</v>
      </c>
      <c r="BL205" s="16" t="s">
        <v>216</v>
      </c>
      <c r="BM205" s="216" t="s">
        <v>302</v>
      </c>
    </row>
    <row r="206" s="2" customFormat="1">
      <c r="A206" s="31"/>
      <c r="B206" s="32"/>
      <c r="C206" s="33"/>
      <c r="D206" s="218" t="s">
        <v>136</v>
      </c>
      <c r="E206" s="33"/>
      <c r="F206" s="219" t="s">
        <v>267</v>
      </c>
      <c r="G206" s="33"/>
      <c r="H206" s="33"/>
      <c r="I206" s="33"/>
      <c r="J206" s="33"/>
      <c r="K206" s="33"/>
      <c r="L206" s="33"/>
      <c r="M206" s="37"/>
      <c r="N206" s="220"/>
      <c r="O206" s="221"/>
      <c r="P206" s="83"/>
      <c r="Q206" s="83"/>
      <c r="R206" s="83"/>
      <c r="S206" s="83"/>
      <c r="T206" s="83"/>
      <c r="U206" s="83"/>
      <c r="V206" s="83"/>
      <c r="W206" s="83"/>
      <c r="X206" s="84"/>
      <c r="Y206" s="31"/>
      <c r="Z206" s="31"/>
      <c r="AA206" s="31"/>
      <c r="AB206" s="31"/>
      <c r="AC206" s="31"/>
      <c r="AD206" s="31"/>
      <c r="AE206" s="31"/>
      <c r="AT206" s="16" t="s">
        <v>136</v>
      </c>
      <c r="AU206" s="16" t="s">
        <v>82</v>
      </c>
    </row>
    <row r="207" s="13" customFormat="1">
      <c r="A207" s="13"/>
      <c r="B207" s="222"/>
      <c r="C207" s="223"/>
      <c r="D207" s="218" t="s">
        <v>149</v>
      </c>
      <c r="E207" s="223"/>
      <c r="F207" s="225" t="s">
        <v>303</v>
      </c>
      <c r="G207" s="223"/>
      <c r="H207" s="226">
        <v>0.5</v>
      </c>
      <c r="I207" s="223"/>
      <c r="J207" s="223"/>
      <c r="K207" s="223"/>
      <c r="L207" s="223"/>
      <c r="M207" s="227"/>
      <c r="N207" s="228"/>
      <c r="O207" s="229"/>
      <c r="P207" s="229"/>
      <c r="Q207" s="229"/>
      <c r="R207" s="229"/>
      <c r="S207" s="229"/>
      <c r="T207" s="229"/>
      <c r="U207" s="229"/>
      <c r="V207" s="229"/>
      <c r="W207" s="229"/>
      <c r="X207" s="230"/>
      <c r="Y207" s="13"/>
      <c r="Z207" s="13"/>
      <c r="AA207" s="13"/>
      <c r="AB207" s="13"/>
      <c r="AC207" s="13"/>
      <c r="AD207" s="13"/>
      <c r="AE207" s="13"/>
      <c r="AT207" s="231" t="s">
        <v>149</v>
      </c>
      <c r="AU207" s="231" t="s">
        <v>82</v>
      </c>
      <c r="AV207" s="13" t="s">
        <v>82</v>
      </c>
      <c r="AW207" s="13" t="s">
        <v>4</v>
      </c>
      <c r="AX207" s="13" t="s">
        <v>20</v>
      </c>
      <c r="AY207" s="231" t="s">
        <v>126</v>
      </c>
    </row>
    <row r="208" s="2" customFormat="1" ht="24.15" customHeight="1">
      <c r="A208" s="31"/>
      <c r="B208" s="32"/>
      <c r="C208" s="205" t="s">
        <v>226</v>
      </c>
      <c r="D208" s="205" t="s">
        <v>129</v>
      </c>
      <c r="E208" s="206" t="s">
        <v>304</v>
      </c>
      <c r="F208" s="207" t="s">
        <v>305</v>
      </c>
      <c r="G208" s="208" t="s">
        <v>249</v>
      </c>
      <c r="H208" s="209">
        <v>1.8899999999999999</v>
      </c>
      <c r="I208" s="210">
        <v>1630</v>
      </c>
      <c r="J208" s="210">
        <v>0</v>
      </c>
      <c r="K208" s="210">
        <f>ROUND(P208*H208,2)</f>
        <v>3080.6999999999998</v>
      </c>
      <c r="L208" s="207" t="s">
        <v>133</v>
      </c>
      <c r="M208" s="37"/>
      <c r="N208" s="211" t="s">
        <v>1</v>
      </c>
      <c r="O208" s="212" t="s">
        <v>39</v>
      </c>
      <c r="P208" s="213">
        <f>I208+J208</f>
        <v>1630</v>
      </c>
      <c r="Q208" s="213">
        <f>ROUND(I208*H208,2)</f>
        <v>3080.6999999999998</v>
      </c>
      <c r="R208" s="213">
        <f>ROUND(J208*H208,2)</f>
        <v>0</v>
      </c>
      <c r="S208" s="214">
        <v>0</v>
      </c>
      <c r="T208" s="214">
        <f>S208*H208</f>
        <v>0</v>
      </c>
      <c r="U208" s="214">
        <v>0.022839999999999999</v>
      </c>
      <c r="V208" s="214">
        <f>U208*H208</f>
        <v>0.043167599999999993</v>
      </c>
      <c r="W208" s="214">
        <v>0</v>
      </c>
      <c r="X208" s="215">
        <f>W208*H208</f>
        <v>0</v>
      </c>
      <c r="Y208" s="31"/>
      <c r="Z208" s="31"/>
      <c r="AA208" s="31"/>
      <c r="AB208" s="31"/>
      <c r="AC208" s="31"/>
      <c r="AD208" s="31"/>
      <c r="AE208" s="31"/>
      <c r="AR208" s="216" t="s">
        <v>216</v>
      </c>
      <c r="AT208" s="216" t="s">
        <v>129</v>
      </c>
      <c r="AU208" s="216" t="s">
        <v>82</v>
      </c>
      <c r="AY208" s="16" t="s">
        <v>126</v>
      </c>
      <c r="BE208" s="217">
        <f>IF(O208="základní",K208,0)</f>
        <v>3080.6999999999998</v>
      </c>
      <c r="BF208" s="217">
        <f>IF(O208="snížená",K208,0)</f>
        <v>0</v>
      </c>
      <c r="BG208" s="217">
        <f>IF(O208="zákl. přenesená",K208,0)</f>
        <v>0</v>
      </c>
      <c r="BH208" s="217">
        <f>IF(O208="sníž. přenesená",K208,0)</f>
        <v>0</v>
      </c>
      <c r="BI208" s="217">
        <f>IF(O208="nulová",K208,0)</f>
        <v>0</v>
      </c>
      <c r="BJ208" s="16" t="s">
        <v>20</v>
      </c>
      <c r="BK208" s="217">
        <f>ROUND(P208*H208,2)</f>
        <v>3080.6999999999998</v>
      </c>
      <c r="BL208" s="16" t="s">
        <v>216</v>
      </c>
      <c r="BM208" s="216" t="s">
        <v>306</v>
      </c>
    </row>
    <row r="209" s="2" customFormat="1">
      <c r="A209" s="31"/>
      <c r="B209" s="32"/>
      <c r="C209" s="33"/>
      <c r="D209" s="218" t="s">
        <v>136</v>
      </c>
      <c r="E209" s="33"/>
      <c r="F209" s="219" t="s">
        <v>307</v>
      </c>
      <c r="G209" s="33"/>
      <c r="H209" s="33"/>
      <c r="I209" s="33"/>
      <c r="J209" s="33"/>
      <c r="K209" s="33"/>
      <c r="L209" s="33"/>
      <c r="M209" s="37"/>
      <c r="N209" s="220"/>
      <c r="O209" s="221"/>
      <c r="P209" s="83"/>
      <c r="Q209" s="83"/>
      <c r="R209" s="83"/>
      <c r="S209" s="83"/>
      <c r="T209" s="83"/>
      <c r="U209" s="83"/>
      <c r="V209" s="83"/>
      <c r="W209" s="83"/>
      <c r="X209" s="84"/>
      <c r="Y209" s="31"/>
      <c r="Z209" s="31"/>
      <c r="AA209" s="31"/>
      <c r="AB209" s="31"/>
      <c r="AC209" s="31"/>
      <c r="AD209" s="31"/>
      <c r="AE209" s="31"/>
      <c r="AT209" s="16" t="s">
        <v>136</v>
      </c>
      <c r="AU209" s="16" t="s">
        <v>82</v>
      </c>
    </row>
    <row r="210" s="2" customFormat="1" ht="33" customHeight="1">
      <c r="A210" s="31"/>
      <c r="B210" s="32"/>
      <c r="C210" s="205" t="s">
        <v>308</v>
      </c>
      <c r="D210" s="205" t="s">
        <v>129</v>
      </c>
      <c r="E210" s="206" t="s">
        <v>309</v>
      </c>
      <c r="F210" s="207" t="s">
        <v>310</v>
      </c>
      <c r="G210" s="208" t="s">
        <v>172</v>
      </c>
      <c r="H210" s="209">
        <v>85</v>
      </c>
      <c r="I210" s="210">
        <v>0</v>
      </c>
      <c r="J210" s="210">
        <v>347</v>
      </c>
      <c r="K210" s="210">
        <f>ROUND(P210*H210,2)</f>
        <v>29495</v>
      </c>
      <c r="L210" s="207" t="s">
        <v>133</v>
      </c>
      <c r="M210" s="37"/>
      <c r="N210" s="211" t="s">
        <v>1</v>
      </c>
      <c r="O210" s="212" t="s">
        <v>39</v>
      </c>
      <c r="P210" s="213">
        <f>I210+J210</f>
        <v>347</v>
      </c>
      <c r="Q210" s="213">
        <f>ROUND(I210*H210,2)</f>
        <v>0</v>
      </c>
      <c r="R210" s="213">
        <f>ROUND(J210*H210,2)</f>
        <v>29495</v>
      </c>
      <c r="S210" s="214">
        <v>0.59399999999999997</v>
      </c>
      <c r="T210" s="214">
        <f>S210*H210</f>
        <v>50.489999999999995</v>
      </c>
      <c r="U210" s="214">
        <v>0</v>
      </c>
      <c r="V210" s="214">
        <f>U210*H210</f>
        <v>0</v>
      </c>
      <c r="W210" s="214">
        <v>0</v>
      </c>
      <c r="X210" s="215">
        <f>W210*H210</f>
        <v>0</v>
      </c>
      <c r="Y210" s="31"/>
      <c r="Z210" s="31"/>
      <c r="AA210" s="31"/>
      <c r="AB210" s="31"/>
      <c r="AC210" s="31"/>
      <c r="AD210" s="31"/>
      <c r="AE210" s="31"/>
      <c r="AR210" s="216" t="s">
        <v>216</v>
      </c>
      <c r="AT210" s="216" t="s">
        <v>129</v>
      </c>
      <c r="AU210" s="216" t="s">
        <v>82</v>
      </c>
      <c r="AY210" s="16" t="s">
        <v>126</v>
      </c>
      <c r="BE210" s="217">
        <f>IF(O210="základní",K210,0)</f>
        <v>29495</v>
      </c>
      <c r="BF210" s="217">
        <f>IF(O210="snížená",K210,0)</f>
        <v>0</v>
      </c>
      <c r="BG210" s="217">
        <f>IF(O210="zákl. přenesená",K210,0)</f>
        <v>0</v>
      </c>
      <c r="BH210" s="217">
        <f>IF(O210="sníž. přenesená",K210,0)</f>
        <v>0</v>
      </c>
      <c r="BI210" s="217">
        <f>IF(O210="nulová",K210,0)</f>
        <v>0</v>
      </c>
      <c r="BJ210" s="16" t="s">
        <v>20</v>
      </c>
      <c r="BK210" s="217">
        <f>ROUND(P210*H210,2)</f>
        <v>29495</v>
      </c>
      <c r="BL210" s="16" t="s">
        <v>216</v>
      </c>
      <c r="BM210" s="216" t="s">
        <v>311</v>
      </c>
    </row>
    <row r="211" s="2" customFormat="1">
      <c r="A211" s="31"/>
      <c r="B211" s="32"/>
      <c r="C211" s="33"/>
      <c r="D211" s="218" t="s">
        <v>136</v>
      </c>
      <c r="E211" s="33"/>
      <c r="F211" s="219" t="s">
        <v>312</v>
      </c>
      <c r="G211" s="33"/>
      <c r="H211" s="33"/>
      <c r="I211" s="33"/>
      <c r="J211" s="33"/>
      <c r="K211" s="33"/>
      <c r="L211" s="33"/>
      <c r="M211" s="37"/>
      <c r="N211" s="220"/>
      <c r="O211" s="221"/>
      <c r="P211" s="83"/>
      <c r="Q211" s="83"/>
      <c r="R211" s="83"/>
      <c r="S211" s="83"/>
      <c r="T211" s="83"/>
      <c r="U211" s="83"/>
      <c r="V211" s="83"/>
      <c r="W211" s="83"/>
      <c r="X211" s="84"/>
      <c r="Y211" s="31"/>
      <c r="Z211" s="31"/>
      <c r="AA211" s="31"/>
      <c r="AB211" s="31"/>
      <c r="AC211" s="31"/>
      <c r="AD211" s="31"/>
      <c r="AE211" s="31"/>
      <c r="AT211" s="16" t="s">
        <v>136</v>
      </c>
      <c r="AU211" s="16" t="s">
        <v>82</v>
      </c>
    </row>
    <row r="212" s="2" customFormat="1" ht="24.15" customHeight="1">
      <c r="A212" s="31"/>
      <c r="B212" s="32"/>
      <c r="C212" s="232" t="s">
        <v>313</v>
      </c>
      <c r="D212" s="232" t="s">
        <v>223</v>
      </c>
      <c r="E212" s="233" t="s">
        <v>314</v>
      </c>
      <c r="F212" s="234" t="s">
        <v>315</v>
      </c>
      <c r="G212" s="235" t="s">
        <v>249</v>
      </c>
      <c r="H212" s="236">
        <v>1.3300000000000001</v>
      </c>
      <c r="I212" s="237">
        <v>8190</v>
      </c>
      <c r="J212" s="238"/>
      <c r="K212" s="237">
        <f>ROUND(P212*H212,2)</f>
        <v>10892.700000000001</v>
      </c>
      <c r="L212" s="234" t="s">
        <v>133</v>
      </c>
      <c r="M212" s="239"/>
      <c r="N212" s="240" t="s">
        <v>1</v>
      </c>
      <c r="O212" s="212" t="s">
        <v>39</v>
      </c>
      <c r="P212" s="213">
        <f>I212+J212</f>
        <v>8190</v>
      </c>
      <c r="Q212" s="213">
        <f>ROUND(I212*H212,2)</f>
        <v>10892.700000000001</v>
      </c>
      <c r="R212" s="213">
        <f>ROUND(J212*H212,2)</f>
        <v>0</v>
      </c>
      <c r="S212" s="214">
        <v>0</v>
      </c>
      <c r="T212" s="214">
        <f>S212*H212</f>
        <v>0</v>
      </c>
      <c r="U212" s="214">
        <v>0.55000000000000004</v>
      </c>
      <c r="V212" s="214">
        <f>U212*H212</f>
        <v>0.73150000000000015</v>
      </c>
      <c r="W212" s="214">
        <v>0</v>
      </c>
      <c r="X212" s="215">
        <f>W212*H212</f>
        <v>0</v>
      </c>
      <c r="Y212" s="31"/>
      <c r="Z212" s="31"/>
      <c r="AA212" s="31"/>
      <c r="AB212" s="31"/>
      <c r="AC212" s="31"/>
      <c r="AD212" s="31"/>
      <c r="AE212" s="31"/>
      <c r="AR212" s="216" t="s">
        <v>226</v>
      </c>
      <c r="AT212" s="216" t="s">
        <v>223</v>
      </c>
      <c r="AU212" s="216" t="s">
        <v>82</v>
      </c>
      <c r="AY212" s="16" t="s">
        <v>126</v>
      </c>
      <c r="BE212" s="217">
        <f>IF(O212="základní",K212,0)</f>
        <v>10892.700000000001</v>
      </c>
      <c r="BF212" s="217">
        <f>IF(O212="snížená",K212,0)</f>
        <v>0</v>
      </c>
      <c r="BG212" s="217">
        <f>IF(O212="zákl. přenesená",K212,0)</f>
        <v>0</v>
      </c>
      <c r="BH212" s="217">
        <f>IF(O212="sníž. přenesená",K212,0)</f>
        <v>0</v>
      </c>
      <c r="BI212" s="217">
        <f>IF(O212="nulová",K212,0)</f>
        <v>0</v>
      </c>
      <c r="BJ212" s="16" t="s">
        <v>20</v>
      </c>
      <c r="BK212" s="217">
        <f>ROUND(P212*H212,2)</f>
        <v>10892.700000000001</v>
      </c>
      <c r="BL212" s="16" t="s">
        <v>216</v>
      </c>
      <c r="BM212" s="216" t="s">
        <v>316</v>
      </c>
    </row>
    <row r="213" s="2" customFormat="1">
      <c r="A213" s="31"/>
      <c r="B213" s="32"/>
      <c r="C213" s="33"/>
      <c r="D213" s="218" t="s">
        <v>136</v>
      </c>
      <c r="E213" s="33"/>
      <c r="F213" s="219" t="s">
        <v>315</v>
      </c>
      <c r="G213" s="33"/>
      <c r="H213" s="33"/>
      <c r="I213" s="33"/>
      <c r="J213" s="33"/>
      <c r="K213" s="33"/>
      <c r="L213" s="33"/>
      <c r="M213" s="37"/>
      <c r="N213" s="220"/>
      <c r="O213" s="221"/>
      <c r="P213" s="83"/>
      <c r="Q213" s="83"/>
      <c r="R213" s="83"/>
      <c r="S213" s="83"/>
      <c r="T213" s="83"/>
      <c r="U213" s="83"/>
      <c r="V213" s="83"/>
      <c r="W213" s="83"/>
      <c r="X213" s="84"/>
      <c r="Y213" s="31"/>
      <c r="Z213" s="31"/>
      <c r="AA213" s="31"/>
      <c r="AB213" s="31"/>
      <c r="AC213" s="31"/>
      <c r="AD213" s="31"/>
      <c r="AE213" s="31"/>
      <c r="AT213" s="16" t="s">
        <v>136</v>
      </c>
      <c r="AU213" s="16" t="s">
        <v>82</v>
      </c>
    </row>
    <row r="214" s="13" customFormat="1">
      <c r="A214" s="13"/>
      <c r="B214" s="222"/>
      <c r="C214" s="223"/>
      <c r="D214" s="218" t="s">
        <v>149</v>
      </c>
      <c r="E214" s="223"/>
      <c r="F214" s="225" t="s">
        <v>317</v>
      </c>
      <c r="G214" s="223"/>
      <c r="H214" s="226">
        <v>1.3300000000000001</v>
      </c>
      <c r="I214" s="223"/>
      <c r="J214" s="223"/>
      <c r="K214" s="223"/>
      <c r="L214" s="223"/>
      <c r="M214" s="227"/>
      <c r="N214" s="228"/>
      <c r="O214" s="229"/>
      <c r="P214" s="229"/>
      <c r="Q214" s="229"/>
      <c r="R214" s="229"/>
      <c r="S214" s="229"/>
      <c r="T214" s="229"/>
      <c r="U214" s="229"/>
      <c r="V214" s="229"/>
      <c r="W214" s="229"/>
      <c r="X214" s="230"/>
      <c r="Y214" s="13"/>
      <c r="Z214" s="13"/>
      <c r="AA214" s="13"/>
      <c r="AB214" s="13"/>
      <c r="AC214" s="13"/>
      <c r="AD214" s="13"/>
      <c r="AE214" s="13"/>
      <c r="AT214" s="231" t="s">
        <v>149</v>
      </c>
      <c r="AU214" s="231" t="s">
        <v>82</v>
      </c>
      <c r="AV214" s="13" t="s">
        <v>82</v>
      </c>
      <c r="AW214" s="13" t="s">
        <v>4</v>
      </c>
      <c r="AX214" s="13" t="s">
        <v>20</v>
      </c>
      <c r="AY214" s="231" t="s">
        <v>126</v>
      </c>
    </row>
    <row r="215" s="12" customFormat="1" ht="22.8" customHeight="1">
      <c r="A215" s="12"/>
      <c r="B215" s="189"/>
      <c r="C215" s="190"/>
      <c r="D215" s="191" t="s">
        <v>75</v>
      </c>
      <c r="E215" s="203" t="s">
        <v>318</v>
      </c>
      <c r="F215" s="203" t="s">
        <v>319</v>
      </c>
      <c r="G215" s="190"/>
      <c r="H215" s="190"/>
      <c r="I215" s="190"/>
      <c r="J215" s="190"/>
      <c r="K215" s="204">
        <f>BK215</f>
        <v>193708.79999999999</v>
      </c>
      <c r="L215" s="190"/>
      <c r="M215" s="194"/>
      <c r="N215" s="195"/>
      <c r="O215" s="196"/>
      <c r="P215" s="196"/>
      <c r="Q215" s="197">
        <f>SUM(Q216:Q218)</f>
        <v>62996.400000000001</v>
      </c>
      <c r="R215" s="197">
        <f>SUM(R216:R218)</f>
        <v>130712.39999999999</v>
      </c>
      <c r="S215" s="196"/>
      <c r="T215" s="198">
        <f>SUM(T216:T218)</f>
        <v>198.63359999999997</v>
      </c>
      <c r="U215" s="196"/>
      <c r="V215" s="198">
        <f>SUM(V216:V218)</f>
        <v>2.5034399999999999</v>
      </c>
      <c r="W215" s="196"/>
      <c r="X215" s="199">
        <f>SUM(X216:X218)</f>
        <v>0</v>
      </c>
      <c r="Y215" s="12"/>
      <c r="Z215" s="12"/>
      <c r="AA215" s="12"/>
      <c r="AB215" s="12"/>
      <c r="AC215" s="12"/>
      <c r="AD215" s="12"/>
      <c r="AE215" s="12"/>
      <c r="AR215" s="200" t="s">
        <v>82</v>
      </c>
      <c r="AT215" s="201" t="s">
        <v>75</v>
      </c>
      <c r="AU215" s="201" t="s">
        <v>20</v>
      </c>
      <c r="AY215" s="200" t="s">
        <v>126</v>
      </c>
      <c r="BK215" s="202">
        <f>SUM(BK216:BK218)</f>
        <v>193708.79999999999</v>
      </c>
    </row>
    <row r="216" s="2" customFormat="1" ht="24.15" customHeight="1">
      <c r="A216" s="31"/>
      <c r="B216" s="32"/>
      <c r="C216" s="205" t="s">
        <v>320</v>
      </c>
      <c r="D216" s="205" t="s">
        <v>129</v>
      </c>
      <c r="E216" s="206" t="s">
        <v>321</v>
      </c>
      <c r="F216" s="207" t="s">
        <v>322</v>
      </c>
      <c r="G216" s="208" t="s">
        <v>132</v>
      </c>
      <c r="H216" s="209">
        <v>205.19999999999999</v>
      </c>
      <c r="I216" s="210">
        <v>307</v>
      </c>
      <c r="J216" s="210">
        <v>637</v>
      </c>
      <c r="K216" s="210">
        <f>ROUND(P216*H216,2)</f>
        <v>193708.79999999999</v>
      </c>
      <c r="L216" s="207" t="s">
        <v>133</v>
      </c>
      <c r="M216" s="37"/>
      <c r="N216" s="211" t="s">
        <v>1</v>
      </c>
      <c r="O216" s="212" t="s">
        <v>39</v>
      </c>
      <c r="P216" s="213">
        <f>I216+J216</f>
        <v>944</v>
      </c>
      <c r="Q216" s="213">
        <f>ROUND(I216*H216,2)</f>
        <v>62996.400000000001</v>
      </c>
      <c r="R216" s="213">
        <f>ROUND(J216*H216,2)</f>
        <v>130712.39999999999</v>
      </c>
      <c r="S216" s="214">
        <v>0.96799999999999997</v>
      </c>
      <c r="T216" s="214">
        <f>S216*H216</f>
        <v>198.63359999999997</v>
      </c>
      <c r="U216" s="214">
        <v>0.012200000000000001</v>
      </c>
      <c r="V216" s="214">
        <f>U216*H216</f>
        <v>2.5034399999999999</v>
      </c>
      <c r="W216" s="214">
        <v>0</v>
      </c>
      <c r="X216" s="215">
        <f>W216*H216</f>
        <v>0</v>
      </c>
      <c r="Y216" s="31"/>
      <c r="Z216" s="31"/>
      <c r="AA216" s="31"/>
      <c r="AB216" s="31"/>
      <c r="AC216" s="31"/>
      <c r="AD216" s="31"/>
      <c r="AE216" s="31"/>
      <c r="AR216" s="216" t="s">
        <v>216</v>
      </c>
      <c r="AT216" s="216" t="s">
        <v>129</v>
      </c>
      <c r="AU216" s="216" t="s">
        <v>82</v>
      </c>
      <c r="AY216" s="16" t="s">
        <v>126</v>
      </c>
      <c r="BE216" s="217">
        <f>IF(O216="základní",K216,0)</f>
        <v>193708.79999999999</v>
      </c>
      <c r="BF216" s="217">
        <f>IF(O216="snížená",K216,0)</f>
        <v>0</v>
      </c>
      <c r="BG216" s="217">
        <f>IF(O216="zákl. přenesená",K216,0)</f>
        <v>0</v>
      </c>
      <c r="BH216" s="217">
        <f>IF(O216="sníž. přenesená",K216,0)</f>
        <v>0</v>
      </c>
      <c r="BI216" s="217">
        <f>IF(O216="nulová",K216,0)</f>
        <v>0</v>
      </c>
      <c r="BJ216" s="16" t="s">
        <v>20</v>
      </c>
      <c r="BK216" s="217">
        <f>ROUND(P216*H216,2)</f>
        <v>193708.79999999999</v>
      </c>
      <c r="BL216" s="16" t="s">
        <v>216</v>
      </c>
      <c r="BM216" s="216" t="s">
        <v>323</v>
      </c>
    </row>
    <row r="217" s="2" customFormat="1">
      <c r="A217" s="31"/>
      <c r="B217" s="32"/>
      <c r="C217" s="33"/>
      <c r="D217" s="218" t="s">
        <v>136</v>
      </c>
      <c r="E217" s="33"/>
      <c r="F217" s="219" t="s">
        <v>324</v>
      </c>
      <c r="G217" s="33"/>
      <c r="H217" s="33"/>
      <c r="I217" s="33"/>
      <c r="J217" s="33"/>
      <c r="K217" s="33"/>
      <c r="L217" s="33"/>
      <c r="M217" s="37"/>
      <c r="N217" s="220"/>
      <c r="O217" s="221"/>
      <c r="P217" s="83"/>
      <c r="Q217" s="83"/>
      <c r="R217" s="83"/>
      <c r="S217" s="83"/>
      <c r="T217" s="83"/>
      <c r="U217" s="83"/>
      <c r="V217" s="83"/>
      <c r="W217" s="83"/>
      <c r="X217" s="84"/>
      <c r="Y217" s="31"/>
      <c r="Z217" s="31"/>
      <c r="AA217" s="31"/>
      <c r="AB217" s="31"/>
      <c r="AC217" s="31"/>
      <c r="AD217" s="31"/>
      <c r="AE217" s="31"/>
      <c r="AT217" s="16" t="s">
        <v>136</v>
      </c>
      <c r="AU217" s="16" t="s">
        <v>82</v>
      </c>
    </row>
    <row r="218" s="13" customFormat="1">
      <c r="A218" s="13"/>
      <c r="B218" s="222"/>
      <c r="C218" s="223"/>
      <c r="D218" s="218" t="s">
        <v>149</v>
      </c>
      <c r="E218" s="224" t="s">
        <v>1</v>
      </c>
      <c r="F218" s="225" t="s">
        <v>235</v>
      </c>
      <c r="G218" s="223"/>
      <c r="H218" s="226">
        <v>205.19999999999999</v>
      </c>
      <c r="I218" s="223"/>
      <c r="J218" s="223"/>
      <c r="K218" s="223"/>
      <c r="L218" s="223"/>
      <c r="M218" s="227"/>
      <c r="N218" s="228"/>
      <c r="O218" s="229"/>
      <c r="P218" s="229"/>
      <c r="Q218" s="229"/>
      <c r="R218" s="229"/>
      <c r="S218" s="229"/>
      <c r="T218" s="229"/>
      <c r="U218" s="229"/>
      <c r="V218" s="229"/>
      <c r="W218" s="229"/>
      <c r="X218" s="230"/>
      <c r="Y218" s="13"/>
      <c r="Z218" s="13"/>
      <c r="AA218" s="13"/>
      <c r="AB218" s="13"/>
      <c r="AC218" s="13"/>
      <c r="AD218" s="13"/>
      <c r="AE218" s="13"/>
      <c r="AT218" s="231" t="s">
        <v>149</v>
      </c>
      <c r="AU218" s="231" t="s">
        <v>82</v>
      </c>
      <c r="AV218" s="13" t="s">
        <v>82</v>
      </c>
      <c r="AW218" s="13" t="s">
        <v>5</v>
      </c>
      <c r="AX218" s="13" t="s">
        <v>20</v>
      </c>
      <c r="AY218" s="231" t="s">
        <v>126</v>
      </c>
    </row>
    <row r="219" s="12" customFormat="1" ht="22.8" customHeight="1">
      <c r="A219" s="12"/>
      <c r="B219" s="189"/>
      <c r="C219" s="190"/>
      <c r="D219" s="191" t="s">
        <v>75</v>
      </c>
      <c r="E219" s="203" t="s">
        <v>325</v>
      </c>
      <c r="F219" s="203" t="s">
        <v>326</v>
      </c>
      <c r="G219" s="190"/>
      <c r="H219" s="190"/>
      <c r="I219" s="190"/>
      <c r="J219" s="190"/>
      <c r="K219" s="204">
        <f>BK219</f>
        <v>79887.299999999988</v>
      </c>
      <c r="L219" s="190"/>
      <c r="M219" s="194"/>
      <c r="N219" s="195"/>
      <c r="O219" s="196"/>
      <c r="P219" s="196"/>
      <c r="Q219" s="197">
        <f>SUM(Q220:Q228)</f>
        <v>31257.599999999999</v>
      </c>
      <c r="R219" s="197">
        <f>SUM(R220:R228)</f>
        <v>48629.699999999997</v>
      </c>
      <c r="S219" s="196"/>
      <c r="T219" s="198">
        <f>SUM(T220:T228)</f>
        <v>55.161000000000001</v>
      </c>
      <c r="U219" s="196"/>
      <c r="V219" s="198">
        <f>SUM(V220:V228)</f>
        <v>0.10700800000000001</v>
      </c>
      <c r="W219" s="196"/>
      <c r="X219" s="199">
        <f>SUM(X220:X228)</f>
        <v>0.029599999999999998</v>
      </c>
      <c r="Y219" s="12"/>
      <c r="Z219" s="12"/>
      <c r="AA219" s="12"/>
      <c r="AB219" s="12"/>
      <c r="AC219" s="12"/>
      <c r="AD219" s="12"/>
      <c r="AE219" s="12"/>
      <c r="AR219" s="200" t="s">
        <v>82</v>
      </c>
      <c r="AT219" s="201" t="s">
        <v>75</v>
      </c>
      <c r="AU219" s="201" t="s">
        <v>20</v>
      </c>
      <c r="AY219" s="200" t="s">
        <v>126</v>
      </c>
      <c r="BK219" s="202">
        <f>SUM(BK220:BK228)</f>
        <v>79887.299999999988</v>
      </c>
    </row>
    <row r="220" s="2" customFormat="1" ht="24.15" customHeight="1">
      <c r="A220" s="31"/>
      <c r="B220" s="32"/>
      <c r="C220" s="205" t="s">
        <v>327</v>
      </c>
      <c r="D220" s="205" t="s">
        <v>129</v>
      </c>
      <c r="E220" s="206" t="s">
        <v>328</v>
      </c>
      <c r="F220" s="207" t="s">
        <v>329</v>
      </c>
      <c r="G220" s="208" t="s">
        <v>330</v>
      </c>
      <c r="H220" s="209">
        <v>1</v>
      </c>
      <c r="I220" s="210">
        <v>0</v>
      </c>
      <c r="J220" s="210">
        <v>120</v>
      </c>
      <c r="K220" s="210">
        <f>ROUND(P220*H220,2)</f>
        <v>120</v>
      </c>
      <c r="L220" s="207" t="s">
        <v>133</v>
      </c>
      <c r="M220" s="37"/>
      <c r="N220" s="211" t="s">
        <v>1</v>
      </c>
      <c r="O220" s="212" t="s">
        <v>39</v>
      </c>
      <c r="P220" s="213">
        <f>I220+J220</f>
        <v>120</v>
      </c>
      <c r="Q220" s="213">
        <f>ROUND(I220*H220,2)</f>
        <v>0</v>
      </c>
      <c r="R220" s="213">
        <f>ROUND(J220*H220,2)</f>
        <v>120</v>
      </c>
      <c r="S220" s="214">
        <v>0.20699999999999999</v>
      </c>
      <c r="T220" s="214">
        <f>S220*H220</f>
        <v>0.20699999999999999</v>
      </c>
      <c r="U220" s="214">
        <v>0</v>
      </c>
      <c r="V220" s="214">
        <f>U220*H220</f>
        <v>0</v>
      </c>
      <c r="W220" s="214">
        <v>0.014999999999999999</v>
      </c>
      <c r="X220" s="215">
        <f>W220*H220</f>
        <v>0.014999999999999999</v>
      </c>
      <c r="Y220" s="31"/>
      <c r="Z220" s="31"/>
      <c r="AA220" s="31"/>
      <c r="AB220" s="31"/>
      <c r="AC220" s="31"/>
      <c r="AD220" s="31"/>
      <c r="AE220" s="31"/>
      <c r="AR220" s="216" t="s">
        <v>216</v>
      </c>
      <c r="AT220" s="216" t="s">
        <v>129</v>
      </c>
      <c r="AU220" s="216" t="s">
        <v>82</v>
      </c>
      <c r="AY220" s="16" t="s">
        <v>126</v>
      </c>
      <c r="BE220" s="217">
        <f>IF(O220="základní",K220,0)</f>
        <v>120</v>
      </c>
      <c r="BF220" s="217">
        <f>IF(O220="snížená",K220,0)</f>
        <v>0</v>
      </c>
      <c r="BG220" s="217">
        <f>IF(O220="zákl. přenesená",K220,0)</f>
        <v>0</v>
      </c>
      <c r="BH220" s="217">
        <f>IF(O220="sníž. přenesená",K220,0)</f>
        <v>0</v>
      </c>
      <c r="BI220" s="217">
        <f>IF(O220="nulová",K220,0)</f>
        <v>0</v>
      </c>
      <c r="BJ220" s="16" t="s">
        <v>20</v>
      </c>
      <c r="BK220" s="217">
        <f>ROUND(P220*H220,2)</f>
        <v>120</v>
      </c>
      <c r="BL220" s="16" t="s">
        <v>216</v>
      </c>
      <c r="BM220" s="216" t="s">
        <v>331</v>
      </c>
    </row>
    <row r="221" s="2" customFormat="1">
      <c r="A221" s="31"/>
      <c r="B221" s="32"/>
      <c r="C221" s="33"/>
      <c r="D221" s="218" t="s">
        <v>136</v>
      </c>
      <c r="E221" s="33"/>
      <c r="F221" s="219" t="s">
        <v>332</v>
      </c>
      <c r="G221" s="33"/>
      <c r="H221" s="33"/>
      <c r="I221" s="33"/>
      <c r="J221" s="33"/>
      <c r="K221" s="33"/>
      <c r="L221" s="33"/>
      <c r="M221" s="37"/>
      <c r="N221" s="220"/>
      <c r="O221" s="221"/>
      <c r="P221" s="83"/>
      <c r="Q221" s="83"/>
      <c r="R221" s="83"/>
      <c r="S221" s="83"/>
      <c r="T221" s="83"/>
      <c r="U221" s="83"/>
      <c r="V221" s="83"/>
      <c r="W221" s="83"/>
      <c r="X221" s="84"/>
      <c r="Y221" s="31"/>
      <c r="Z221" s="31"/>
      <c r="AA221" s="31"/>
      <c r="AB221" s="31"/>
      <c r="AC221" s="31"/>
      <c r="AD221" s="31"/>
      <c r="AE221" s="31"/>
      <c r="AT221" s="16" t="s">
        <v>136</v>
      </c>
      <c r="AU221" s="16" t="s">
        <v>82</v>
      </c>
    </row>
    <row r="222" s="2" customFormat="1" ht="24.15" customHeight="1">
      <c r="A222" s="31"/>
      <c r="B222" s="32"/>
      <c r="C222" s="205" t="s">
        <v>333</v>
      </c>
      <c r="D222" s="205" t="s">
        <v>129</v>
      </c>
      <c r="E222" s="206" t="s">
        <v>334</v>
      </c>
      <c r="F222" s="207" t="s">
        <v>335</v>
      </c>
      <c r="G222" s="208" t="s">
        <v>132</v>
      </c>
      <c r="H222" s="209">
        <v>2.5</v>
      </c>
      <c r="I222" s="210">
        <v>0</v>
      </c>
      <c r="J222" s="210">
        <v>337</v>
      </c>
      <c r="K222" s="210">
        <f>ROUND(P222*H222,2)</f>
        <v>842.5</v>
      </c>
      <c r="L222" s="207" t="s">
        <v>133</v>
      </c>
      <c r="M222" s="37"/>
      <c r="N222" s="211" t="s">
        <v>1</v>
      </c>
      <c r="O222" s="212" t="s">
        <v>39</v>
      </c>
      <c r="P222" s="213">
        <f>I222+J222</f>
        <v>337</v>
      </c>
      <c r="Q222" s="213">
        <f>ROUND(I222*H222,2)</f>
        <v>0</v>
      </c>
      <c r="R222" s="213">
        <f>ROUND(J222*H222,2)</f>
        <v>842.5</v>
      </c>
      <c r="S222" s="214">
        <v>0.57999999999999996</v>
      </c>
      <c r="T222" s="214">
        <f>S222*H222</f>
        <v>1.45</v>
      </c>
      <c r="U222" s="214">
        <v>0</v>
      </c>
      <c r="V222" s="214">
        <f>U222*H222</f>
        <v>0</v>
      </c>
      <c r="W222" s="214">
        <v>0.0058399999999999997</v>
      </c>
      <c r="X222" s="215">
        <f>W222*H222</f>
        <v>0.014599999999999998</v>
      </c>
      <c r="Y222" s="31"/>
      <c r="Z222" s="31"/>
      <c r="AA222" s="31"/>
      <c r="AB222" s="31"/>
      <c r="AC222" s="31"/>
      <c r="AD222" s="31"/>
      <c r="AE222" s="31"/>
      <c r="AR222" s="216" t="s">
        <v>216</v>
      </c>
      <c r="AT222" s="216" t="s">
        <v>129</v>
      </c>
      <c r="AU222" s="216" t="s">
        <v>82</v>
      </c>
      <c r="AY222" s="16" t="s">
        <v>126</v>
      </c>
      <c r="BE222" s="217">
        <f>IF(O222="základní",K222,0)</f>
        <v>842.5</v>
      </c>
      <c r="BF222" s="217">
        <f>IF(O222="snížená",K222,0)</f>
        <v>0</v>
      </c>
      <c r="BG222" s="217">
        <f>IF(O222="zákl. přenesená",K222,0)</f>
        <v>0</v>
      </c>
      <c r="BH222" s="217">
        <f>IF(O222="sníž. přenesená",K222,0)</f>
        <v>0</v>
      </c>
      <c r="BI222" s="217">
        <f>IF(O222="nulová",K222,0)</f>
        <v>0</v>
      </c>
      <c r="BJ222" s="16" t="s">
        <v>20</v>
      </c>
      <c r="BK222" s="217">
        <f>ROUND(P222*H222,2)</f>
        <v>842.5</v>
      </c>
      <c r="BL222" s="16" t="s">
        <v>216</v>
      </c>
      <c r="BM222" s="216" t="s">
        <v>336</v>
      </c>
    </row>
    <row r="223" s="2" customFormat="1">
      <c r="A223" s="31"/>
      <c r="B223" s="32"/>
      <c r="C223" s="33"/>
      <c r="D223" s="218" t="s">
        <v>136</v>
      </c>
      <c r="E223" s="33"/>
      <c r="F223" s="219" t="s">
        <v>337</v>
      </c>
      <c r="G223" s="33"/>
      <c r="H223" s="33"/>
      <c r="I223" s="33"/>
      <c r="J223" s="33"/>
      <c r="K223" s="33"/>
      <c r="L223" s="33"/>
      <c r="M223" s="37"/>
      <c r="N223" s="220"/>
      <c r="O223" s="221"/>
      <c r="P223" s="83"/>
      <c r="Q223" s="83"/>
      <c r="R223" s="83"/>
      <c r="S223" s="83"/>
      <c r="T223" s="83"/>
      <c r="U223" s="83"/>
      <c r="V223" s="83"/>
      <c r="W223" s="83"/>
      <c r="X223" s="84"/>
      <c r="Y223" s="31"/>
      <c r="Z223" s="31"/>
      <c r="AA223" s="31"/>
      <c r="AB223" s="31"/>
      <c r="AC223" s="31"/>
      <c r="AD223" s="31"/>
      <c r="AE223" s="31"/>
      <c r="AT223" s="16" t="s">
        <v>136</v>
      </c>
      <c r="AU223" s="16" t="s">
        <v>82</v>
      </c>
    </row>
    <row r="224" s="2" customFormat="1" ht="24.15" customHeight="1">
      <c r="A224" s="31"/>
      <c r="B224" s="32"/>
      <c r="C224" s="205" t="s">
        <v>338</v>
      </c>
      <c r="D224" s="205" t="s">
        <v>129</v>
      </c>
      <c r="E224" s="206" t="s">
        <v>339</v>
      </c>
      <c r="F224" s="207" t="s">
        <v>340</v>
      </c>
      <c r="G224" s="208" t="s">
        <v>132</v>
      </c>
      <c r="H224" s="209">
        <v>51.200000000000003</v>
      </c>
      <c r="I224" s="210">
        <v>0</v>
      </c>
      <c r="J224" s="210">
        <v>931</v>
      </c>
      <c r="K224" s="210">
        <f>ROUND(P224*H224,2)</f>
        <v>47667.199999999997</v>
      </c>
      <c r="L224" s="207" t="s">
        <v>133</v>
      </c>
      <c r="M224" s="37"/>
      <c r="N224" s="211" t="s">
        <v>1</v>
      </c>
      <c r="O224" s="212" t="s">
        <v>39</v>
      </c>
      <c r="P224" s="213">
        <f>I224+J224</f>
        <v>931</v>
      </c>
      <c r="Q224" s="213">
        <f>ROUND(I224*H224,2)</f>
        <v>0</v>
      </c>
      <c r="R224" s="213">
        <f>ROUND(J224*H224,2)</f>
        <v>47667.199999999997</v>
      </c>
      <c r="S224" s="214">
        <v>1.0449999999999999</v>
      </c>
      <c r="T224" s="214">
        <f>S224*H224</f>
        <v>53.503999999999998</v>
      </c>
      <c r="U224" s="214">
        <v>0</v>
      </c>
      <c r="V224" s="214">
        <f>U224*H224</f>
        <v>0</v>
      </c>
      <c r="W224" s="214">
        <v>0</v>
      </c>
      <c r="X224" s="215">
        <f>W224*H224</f>
        <v>0</v>
      </c>
      <c r="Y224" s="31"/>
      <c r="Z224" s="31"/>
      <c r="AA224" s="31"/>
      <c r="AB224" s="31"/>
      <c r="AC224" s="31"/>
      <c r="AD224" s="31"/>
      <c r="AE224" s="31"/>
      <c r="AR224" s="216" t="s">
        <v>216</v>
      </c>
      <c r="AT224" s="216" t="s">
        <v>129</v>
      </c>
      <c r="AU224" s="216" t="s">
        <v>82</v>
      </c>
      <c r="AY224" s="16" t="s">
        <v>126</v>
      </c>
      <c r="BE224" s="217">
        <f>IF(O224="základní",K224,0)</f>
        <v>47667.199999999997</v>
      </c>
      <c r="BF224" s="217">
        <f>IF(O224="snížená",K224,0)</f>
        <v>0</v>
      </c>
      <c r="BG224" s="217">
        <f>IF(O224="zákl. přenesená",K224,0)</f>
        <v>0</v>
      </c>
      <c r="BH224" s="217">
        <f>IF(O224="sníž. přenesená",K224,0)</f>
        <v>0</v>
      </c>
      <c r="BI224" s="217">
        <f>IF(O224="nulová",K224,0)</f>
        <v>0</v>
      </c>
      <c r="BJ224" s="16" t="s">
        <v>20</v>
      </c>
      <c r="BK224" s="217">
        <f>ROUND(P224*H224,2)</f>
        <v>47667.199999999997</v>
      </c>
      <c r="BL224" s="16" t="s">
        <v>216</v>
      </c>
      <c r="BM224" s="216" t="s">
        <v>341</v>
      </c>
    </row>
    <row r="225" s="2" customFormat="1">
      <c r="A225" s="31"/>
      <c r="B225" s="32"/>
      <c r="C225" s="33"/>
      <c r="D225" s="218" t="s">
        <v>136</v>
      </c>
      <c r="E225" s="33"/>
      <c r="F225" s="219" t="s">
        <v>342</v>
      </c>
      <c r="G225" s="33"/>
      <c r="H225" s="33"/>
      <c r="I225" s="33"/>
      <c r="J225" s="33"/>
      <c r="K225" s="33"/>
      <c r="L225" s="33"/>
      <c r="M225" s="37"/>
      <c r="N225" s="220"/>
      <c r="O225" s="221"/>
      <c r="P225" s="83"/>
      <c r="Q225" s="83"/>
      <c r="R225" s="83"/>
      <c r="S225" s="83"/>
      <c r="T225" s="83"/>
      <c r="U225" s="83"/>
      <c r="V225" s="83"/>
      <c r="W225" s="83"/>
      <c r="X225" s="84"/>
      <c r="Y225" s="31"/>
      <c r="Z225" s="31"/>
      <c r="AA225" s="31"/>
      <c r="AB225" s="31"/>
      <c r="AC225" s="31"/>
      <c r="AD225" s="31"/>
      <c r="AE225" s="31"/>
      <c r="AT225" s="16" t="s">
        <v>136</v>
      </c>
      <c r="AU225" s="16" t="s">
        <v>82</v>
      </c>
    </row>
    <row r="226" s="2" customFormat="1" ht="24.15" customHeight="1">
      <c r="A226" s="31"/>
      <c r="B226" s="32"/>
      <c r="C226" s="232" t="s">
        <v>343</v>
      </c>
      <c r="D226" s="232" t="s">
        <v>223</v>
      </c>
      <c r="E226" s="233" t="s">
        <v>344</v>
      </c>
      <c r="F226" s="234" t="s">
        <v>345</v>
      </c>
      <c r="G226" s="235" t="s">
        <v>132</v>
      </c>
      <c r="H226" s="236">
        <v>56.32</v>
      </c>
      <c r="I226" s="237">
        <v>555</v>
      </c>
      <c r="J226" s="238"/>
      <c r="K226" s="237">
        <f>ROUND(P226*H226,2)</f>
        <v>31257.599999999999</v>
      </c>
      <c r="L226" s="234" t="s">
        <v>1</v>
      </c>
      <c r="M226" s="239"/>
      <c r="N226" s="240" t="s">
        <v>1</v>
      </c>
      <c r="O226" s="212" t="s">
        <v>39</v>
      </c>
      <c r="P226" s="213">
        <f>I226+J226</f>
        <v>555</v>
      </c>
      <c r="Q226" s="213">
        <f>ROUND(I226*H226,2)</f>
        <v>31257.599999999999</v>
      </c>
      <c r="R226" s="213">
        <f>ROUND(J226*H226,2)</f>
        <v>0</v>
      </c>
      <c r="S226" s="214">
        <v>0</v>
      </c>
      <c r="T226" s="214">
        <f>S226*H226</f>
        <v>0</v>
      </c>
      <c r="U226" s="214">
        <v>0.0019</v>
      </c>
      <c r="V226" s="214">
        <f>U226*H226</f>
        <v>0.10700800000000001</v>
      </c>
      <c r="W226" s="214">
        <v>0</v>
      </c>
      <c r="X226" s="215">
        <f>W226*H226</f>
        <v>0</v>
      </c>
      <c r="Y226" s="31"/>
      <c r="Z226" s="31"/>
      <c r="AA226" s="31"/>
      <c r="AB226" s="31"/>
      <c r="AC226" s="31"/>
      <c r="AD226" s="31"/>
      <c r="AE226" s="31"/>
      <c r="AR226" s="216" t="s">
        <v>226</v>
      </c>
      <c r="AT226" s="216" t="s">
        <v>223</v>
      </c>
      <c r="AU226" s="216" t="s">
        <v>82</v>
      </c>
      <c r="AY226" s="16" t="s">
        <v>126</v>
      </c>
      <c r="BE226" s="217">
        <f>IF(O226="základní",K226,0)</f>
        <v>31257.599999999999</v>
      </c>
      <c r="BF226" s="217">
        <f>IF(O226="snížená",K226,0)</f>
        <v>0</v>
      </c>
      <c r="BG226" s="217">
        <f>IF(O226="zákl. přenesená",K226,0)</f>
        <v>0</v>
      </c>
      <c r="BH226" s="217">
        <f>IF(O226="sníž. přenesená",K226,0)</f>
        <v>0</v>
      </c>
      <c r="BI226" s="217">
        <f>IF(O226="nulová",K226,0)</f>
        <v>0</v>
      </c>
      <c r="BJ226" s="16" t="s">
        <v>20</v>
      </c>
      <c r="BK226" s="217">
        <f>ROUND(P226*H226,2)</f>
        <v>31257.599999999999</v>
      </c>
      <c r="BL226" s="16" t="s">
        <v>216</v>
      </c>
      <c r="BM226" s="216" t="s">
        <v>346</v>
      </c>
    </row>
    <row r="227" s="2" customFormat="1">
      <c r="A227" s="31"/>
      <c r="B227" s="32"/>
      <c r="C227" s="33"/>
      <c r="D227" s="218" t="s">
        <v>136</v>
      </c>
      <c r="E227" s="33"/>
      <c r="F227" s="219" t="s">
        <v>347</v>
      </c>
      <c r="G227" s="33"/>
      <c r="H227" s="33"/>
      <c r="I227" s="33"/>
      <c r="J227" s="33"/>
      <c r="K227" s="33"/>
      <c r="L227" s="33"/>
      <c r="M227" s="37"/>
      <c r="N227" s="220"/>
      <c r="O227" s="221"/>
      <c r="P227" s="83"/>
      <c r="Q227" s="83"/>
      <c r="R227" s="83"/>
      <c r="S227" s="83"/>
      <c r="T227" s="83"/>
      <c r="U227" s="83"/>
      <c r="V227" s="83"/>
      <c r="W227" s="83"/>
      <c r="X227" s="84"/>
      <c r="Y227" s="31"/>
      <c r="Z227" s="31"/>
      <c r="AA227" s="31"/>
      <c r="AB227" s="31"/>
      <c r="AC227" s="31"/>
      <c r="AD227" s="31"/>
      <c r="AE227" s="31"/>
      <c r="AT227" s="16" t="s">
        <v>136</v>
      </c>
      <c r="AU227" s="16" t="s">
        <v>82</v>
      </c>
    </row>
    <row r="228" s="13" customFormat="1">
      <c r="A228" s="13"/>
      <c r="B228" s="222"/>
      <c r="C228" s="223"/>
      <c r="D228" s="218" t="s">
        <v>149</v>
      </c>
      <c r="E228" s="224" t="s">
        <v>1</v>
      </c>
      <c r="F228" s="225" t="s">
        <v>348</v>
      </c>
      <c r="G228" s="223"/>
      <c r="H228" s="226">
        <v>56.320000000000007</v>
      </c>
      <c r="I228" s="223"/>
      <c r="J228" s="223"/>
      <c r="K228" s="223"/>
      <c r="L228" s="223"/>
      <c r="M228" s="227"/>
      <c r="N228" s="228"/>
      <c r="O228" s="229"/>
      <c r="P228" s="229"/>
      <c r="Q228" s="229"/>
      <c r="R228" s="229"/>
      <c r="S228" s="229"/>
      <c r="T228" s="229"/>
      <c r="U228" s="229"/>
      <c r="V228" s="229"/>
      <c r="W228" s="229"/>
      <c r="X228" s="230"/>
      <c r="Y228" s="13"/>
      <c r="Z228" s="13"/>
      <c r="AA228" s="13"/>
      <c r="AB228" s="13"/>
      <c r="AC228" s="13"/>
      <c r="AD228" s="13"/>
      <c r="AE228" s="13"/>
      <c r="AT228" s="231" t="s">
        <v>149</v>
      </c>
      <c r="AU228" s="231" t="s">
        <v>82</v>
      </c>
      <c r="AV228" s="13" t="s">
        <v>82</v>
      </c>
      <c r="AW228" s="13" t="s">
        <v>5</v>
      </c>
      <c r="AX228" s="13" t="s">
        <v>20</v>
      </c>
      <c r="AY228" s="231" t="s">
        <v>126</v>
      </c>
    </row>
    <row r="229" s="12" customFormat="1" ht="22.8" customHeight="1">
      <c r="A229" s="12"/>
      <c r="B229" s="189"/>
      <c r="C229" s="190"/>
      <c r="D229" s="191" t="s">
        <v>75</v>
      </c>
      <c r="E229" s="203" t="s">
        <v>349</v>
      </c>
      <c r="F229" s="203" t="s">
        <v>350</v>
      </c>
      <c r="G229" s="190"/>
      <c r="H229" s="190"/>
      <c r="I229" s="190"/>
      <c r="J229" s="190"/>
      <c r="K229" s="204">
        <f>BK229</f>
        <v>478385.32999999996</v>
      </c>
      <c r="L229" s="190"/>
      <c r="M229" s="194"/>
      <c r="N229" s="195"/>
      <c r="O229" s="196"/>
      <c r="P229" s="196"/>
      <c r="Q229" s="197">
        <f>SUM(Q230:Q294)</f>
        <v>188111.98999999999</v>
      </c>
      <c r="R229" s="197">
        <f>SUM(R230:R294)</f>
        <v>290273.33999999997</v>
      </c>
      <c r="S229" s="196"/>
      <c r="T229" s="198">
        <f>SUM(T230:T294)</f>
        <v>406.44792399999994</v>
      </c>
      <c r="U229" s="196"/>
      <c r="V229" s="198">
        <f>SUM(V230:V294)</f>
        <v>10.72289164</v>
      </c>
      <c r="W229" s="196"/>
      <c r="X229" s="199">
        <f>SUM(X230:X294)</f>
        <v>10.374970000000001</v>
      </c>
      <c r="Y229" s="12"/>
      <c r="Z229" s="12"/>
      <c r="AA229" s="12"/>
      <c r="AB229" s="12"/>
      <c r="AC229" s="12"/>
      <c r="AD229" s="12"/>
      <c r="AE229" s="12"/>
      <c r="AR229" s="200" t="s">
        <v>82</v>
      </c>
      <c r="AT229" s="201" t="s">
        <v>75</v>
      </c>
      <c r="AU229" s="201" t="s">
        <v>20</v>
      </c>
      <c r="AY229" s="200" t="s">
        <v>126</v>
      </c>
      <c r="BK229" s="202">
        <f>SUM(BK230:BK294)</f>
        <v>478385.32999999996</v>
      </c>
    </row>
    <row r="230" s="2" customFormat="1" ht="24.15" customHeight="1">
      <c r="A230" s="31"/>
      <c r="B230" s="32"/>
      <c r="C230" s="205" t="s">
        <v>351</v>
      </c>
      <c r="D230" s="205" t="s">
        <v>129</v>
      </c>
      <c r="E230" s="206" t="s">
        <v>352</v>
      </c>
      <c r="F230" s="207" t="s">
        <v>353</v>
      </c>
      <c r="G230" s="208" t="s">
        <v>132</v>
      </c>
      <c r="H230" s="209">
        <v>154</v>
      </c>
      <c r="I230" s="210">
        <v>0</v>
      </c>
      <c r="J230" s="210">
        <v>570</v>
      </c>
      <c r="K230" s="210">
        <f>ROUND(P230*H230,2)</f>
        <v>87780</v>
      </c>
      <c r="L230" s="207" t="s">
        <v>133</v>
      </c>
      <c r="M230" s="37"/>
      <c r="N230" s="211" t="s">
        <v>1</v>
      </c>
      <c r="O230" s="212" t="s">
        <v>39</v>
      </c>
      <c r="P230" s="213">
        <f>I230+J230</f>
        <v>570</v>
      </c>
      <c r="Q230" s="213">
        <f>ROUND(I230*H230,2)</f>
        <v>0</v>
      </c>
      <c r="R230" s="213">
        <f>ROUND(J230*H230,2)</f>
        <v>87780</v>
      </c>
      <c r="S230" s="214">
        <v>0.73199999999999998</v>
      </c>
      <c r="T230" s="214">
        <f>S230*H230</f>
        <v>112.72799999999999</v>
      </c>
      <c r="U230" s="214">
        <v>0</v>
      </c>
      <c r="V230" s="214">
        <f>U230*H230</f>
        <v>0</v>
      </c>
      <c r="W230" s="214">
        <v>0</v>
      </c>
      <c r="X230" s="215">
        <f>W230*H230</f>
        <v>0</v>
      </c>
      <c r="Y230" s="31"/>
      <c r="Z230" s="31"/>
      <c r="AA230" s="31"/>
      <c r="AB230" s="31"/>
      <c r="AC230" s="31"/>
      <c r="AD230" s="31"/>
      <c r="AE230" s="31"/>
      <c r="AR230" s="216" t="s">
        <v>216</v>
      </c>
      <c r="AT230" s="216" t="s">
        <v>129</v>
      </c>
      <c r="AU230" s="216" t="s">
        <v>82</v>
      </c>
      <c r="AY230" s="16" t="s">
        <v>126</v>
      </c>
      <c r="BE230" s="217">
        <f>IF(O230="základní",K230,0)</f>
        <v>87780</v>
      </c>
      <c r="BF230" s="217">
        <f>IF(O230="snížená",K230,0)</f>
        <v>0</v>
      </c>
      <c r="BG230" s="217">
        <f>IF(O230="zákl. přenesená",K230,0)</f>
        <v>0</v>
      </c>
      <c r="BH230" s="217">
        <f>IF(O230="sníž. přenesená",K230,0)</f>
        <v>0</v>
      </c>
      <c r="BI230" s="217">
        <f>IF(O230="nulová",K230,0)</f>
        <v>0</v>
      </c>
      <c r="BJ230" s="16" t="s">
        <v>20</v>
      </c>
      <c r="BK230" s="217">
        <f>ROUND(P230*H230,2)</f>
        <v>87780</v>
      </c>
      <c r="BL230" s="16" t="s">
        <v>216</v>
      </c>
      <c r="BM230" s="216" t="s">
        <v>354</v>
      </c>
    </row>
    <row r="231" s="2" customFormat="1">
      <c r="A231" s="31"/>
      <c r="B231" s="32"/>
      <c r="C231" s="33"/>
      <c r="D231" s="218" t="s">
        <v>136</v>
      </c>
      <c r="E231" s="33"/>
      <c r="F231" s="219" t="s">
        <v>355</v>
      </c>
      <c r="G231" s="33"/>
      <c r="H231" s="33"/>
      <c r="I231" s="33"/>
      <c r="J231" s="33"/>
      <c r="K231" s="33"/>
      <c r="L231" s="33"/>
      <c r="M231" s="37"/>
      <c r="N231" s="220"/>
      <c r="O231" s="221"/>
      <c r="P231" s="83"/>
      <c r="Q231" s="83"/>
      <c r="R231" s="83"/>
      <c r="S231" s="83"/>
      <c r="T231" s="83"/>
      <c r="U231" s="83"/>
      <c r="V231" s="83"/>
      <c r="W231" s="83"/>
      <c r="X231" s="84"/>
      <c r="Y231" s="31"/>
      <c r="Z231" s="31"/>
      <c r="AA231" s="31"/>
      <c r="AB231" s="31"/>
      <c r="AC231" s="31"/>
      <c r="AD231" s="31"/>
      <c r="AE231" s="31"/>
      <c r="AT231" s="16" t="s">
        <v>136</v>
      </c>
      <c r="AU231" s="16" t="s">
        <v>82</v>
      </c>
    </row>
    <row r="232" s="2" customFormat="1" ht="24.15" customHeight="1">
      <c r="A232" s="31"/>
      <c r="B232" s="32"/>
      <c r="C232" s="232" t="s">
        <v>356</v>
      </c>
      <c r="D232" s="232" t="s">
        <v>223</v>
      </c>
      <c r="E232" s="233" t="s">
        <v>357</v>
      </c>
      <c r="F232" s="234" t="s">
        <v>358</v>
      </c>
      <c r="G232" s="235" t="s">
        <v>330</v>
      </c>
      <c r="H232" s="236">
        <v>6027.5600000000004</v>
      </c>
      <c r="I232" s="237">
        <v>18.300000000000001</v>
      </c>
      <c r="J232" s="238"/>
      <c r="K232" s="237">
        <f>ROUND(P232*H232,2)</f>
        <v>110304.35000000001</v>
      </c>
      <c r="L232" s="234" t="s">
        <v>133</v>
      </c>
      <c r="M232" s="239"/>
      <c r="N232" s="240" t="s">
        <v>1</v>
      </c>
      <c r="O232" s="212" t="s">
        <v>39</v>
      </c>
      <c r="P232" s="213">
        <f>I232+J232</f>
        <v>18.300000000000001</v>
      </c>
      <c r="Q232" s="213">
        <f>ROUND(I232*H232,2)</f>
        <v>110304.35000000001</v>
      </c>
      <c r="R232" s="213">
        <f>ROUND(J232*H232,2)</f>
        <v>0</v>
      </c>
      <c r="S232" s="214">
        <v>0</v>
      </c>
      <c r="T232" s="214">
        <f>S232*H232</f>
        <v>0</v>
      </c>
      <c r="U232" s="214">
        <v>0.0016999999999999999</v>
      </c>
      <c r="V232" s="214">
        <f>U232*H232</f>
        <v>10.246852000000001</v>
      </c>
      <c r="W232" s="214">
        <v>0</v>
      </c>
      <c r="X232" s="215">
        <f>W232*H232</f>
        <v>0</v>
      </c>
      <c r="Y232" s="31"/>
      <c r="Z232" s="31"/>
      <c r="AA232" s="31"/>
      <c r="AB232" s="31"/>
      <c r="AC232" s="31"/>
      <c r="AD232" s="31"/>
      <c r="AE232" s="31"/>
      <c r="AR232" s="216" t="s">
        <v>226</v>
      </c>
      <c r="AT232" s="216" t="s">
        <v>223</v>
      </c>
      <c r="AU232" s="216" t="s">
        <v>82</v>
      </c>
      <c r="AY232" s="16" t="s">
        <v>126</v>
      </c>
      <c r="BE232" s="217">
        <f>IF(O232="základní",K232,0)</f>
        <v>110304.35000000001</v>
      </c>
      <c r="BF232" s="217">
        <f>IF(O232="snížená",K232,0)</f>
        <v>0</v>
      </c>
      <c r="BG232" s="217">
        <f>IF(O232="zákl. přenesená",K232,0)</f>
        <v>0</v>
      </c>
      <c r="BH232" s="217">
        <f>IF(O232="sníž. přenesená",K232,0)</f>
        <v>0</v>
      </c>
      <c r="BI232" s="217">
        <f>IF(O232="nulová",K232,0)</f>
        <v>0</v>
      </c>
      <c r="BJ232" s="16" t="s">
        <v>20</v>
      </c>
      <c r="BK232" s="217">
        <f>ROUND(P232*H232,2)</f>
        <v>110304.35000000001</v>
      </c>
      <c r="BL232" s="16" t="s">
        <v>216</v>
      </c>
      <c r="BM232" s="216" t="s">
        <v>359</v>
      </c>
    </row>
    <row r="233" s="2" customFormat="1">
      <c r="A233" s="31"/>
      <c r="B233" s="32"/>
      <c r="C233" s="33"/>
      <c r="D233" s="218" t="s">
        <v>136</v>
      </c>
      <c r="E233" s="33"/>
      <c r="F233" s="219" t="s">
        <v>358</v>
      </c>
      <c r="G233" s="33"/>
      <c r="H233" s="33"/>
      <c r="I233" s="33"/>
      <c r="J233" s="33"/>
      <c r="K233" s="33"/>
      <c r="L233" s="33"/>
      <c r="M233" s="37"/>
      <c r="N233" s="220"/>
      <c r="O233" s="221"/>
      <c r="P233" s="83"/>
      <c r="Q233" s="83"/>
      <c r="R233" s="83"/>
      <c r="S233" s="83"/>
      <c r="T233" s="83"/>
      <c r="U233" s="83"/>
      <c r="V233" s="83"/>
      <c r="W233" s="83"/>
      <c r="X233" s="84"/>
      <c r="Y233" s="31"/>
      <c r="Z233" s="31"/>
      <c r="AA233" s="31"/>
      <c r="AB233" s="31"/>
      <c r="AC233" s="31"/>
      <c r="AD233" s="31"/>
      <c r="AE233" s="31"/>
      <c r="AT233" s="16" t="s">
        <v>136</v>
      </c>
      <c r="AU233" s="16" t="s">
        <v>82</v>
      </c>
    </row>
    <row r="234" s="13" customFormat="1">
      <c r="A234" s="13"/>
      <c r="B234" s="222"/>
      <c r="C234" s="223"/>
      <c r="D234" s="218" t="s">
        <v>149</v>
      </c>
      <c r="E234" s="223"/>
      <c r="F234" s="225" t="s">
        <v>360</v>
      </c>
      <c r="G234" s="223"/>
      <c r="H234" s="226">
        <v>6027.5600000000004</v>
      </c>
      <c r="I234" s="223"/>
      <c r="J234" s="223"/>
      <c r="K234" s="223"/>
      <c r="L234" s="223"/>
      <c r="M234" s="227"/>
      <c r="N234" s="228"/>
      <c r="O234" s="229"/>
      <c r="P234" s="229"/>
      <c r="Q234" s="229"/>
      <c r="R234" s="229"/>
      <c r="S234" s="229"/>
      <c r="T234" s="229"/>
      <c r="U234" s="229"/>
      <c r="V234" s="229"/>
      <c r="W234" s="229"/>
      <c r="X234" s="230"/>
      <c r="Y234" s="13"/>
      <c r="Z234" s="13"/>
      <c r="AA234" s="13"/>
      <c r="AB234" s="13"/>
      <c r="AC234" s="13"/>
      <c r="AD234" s="13"/>
      <c r="AE234" s="13"/>
      <c r="AT234" s="231" t="s">
        <v>149</v>
      </c>
      <c r="AU234" s="231" t="s">
        <v>82</v>
      </c>
      <c r="AV234" s="13" t="s">
        <v>82</v>
      </c>
      <c r="AW234" s="13" t="s">
        <v>4</v>
      </c>
      <c r="AX234" s="13" t="s">
        <v>20</v>
      </c>
      <c r="AY234" s="231" t="s">
        <v>126</v>
      </c>
    </row>
    <row r="235" s="2" customFormat="1" ht="33" customHeight="1">
      <c r="A235" s="31"/>
      <c r="B235" s="32"/>
      <c r="C235" s="205" t="s">
        <v>361</v>
      </c>
      <c r="D235" s="205" t="s">
        <v>129</v>
      </c>
      <c r="E235" s="206" t="s">
        <v>362</v>
      </c>
      <c r="F235" s="207" t="s">
        <v>363</v>
      </c>
      <c r="G235" s="208" t="s">
        <v>132</v>
      </c>
      <c r="H235" s="209">
        <v>154</v>
      </c>
      <c r="I235" s="210">
        <v>57.200000000000003</v>
      </c>
      <c r="J235" s="210">
        <v>118.8</v>
      </c>
      <c r="K235" s="210">
        <f>ROUND(P235*H235,2)</f>
        <v>27104</v>
      </c>
      <c r="L235" s="207" t="s">
        <v>133</v>
      </c>
      <c r="M235" s="37"/>
      <c r="N235" s="211" t="s">
        <v>1</v>
      </c>
      <c r="O235" s="212" t="s">
        <v>39</v>
      </c>
      <c r="P235" s="213">
        <f>I235+J235</f>
        <v>176</v>
      </c>
      <c r="Q235" s="213">
        <f>ROUND(I235*H235,2)</f>
        <v>8808.7999999999993</v>
      </c>
      <c r="R235" s="213">
        <f>ROUND(J235*H235,2)</f>
        <v>18295.200000000001</v>
      </c>
      <c r="S235" s="214">
        <v>0.153</v>
      </c>
      <c r="T235" s="214">
        <f>S235*H235</f>
        <v>23.562000000000001</v>
      </c>
      <c r="U235" s="214">
        <v>4.0000000000000003E-05</v>
      </c>
      <c r="V235" s="214">
        <f>U235*H235</f>
        <v>0.0061600000000000005</v>
      </c>
      <c r="W235" s="214">
        <v>0</v>
      </c>
      <c r="X235" s="215">
        <f>W235*H235</f>
        <v>0</v>
      </c>
      <c r="Y235" s="31"/>
      <c r="Z235" s="31"/>
      <c r="AA235" s="31"/>
      <c r="AB235" s="31"/>
      <c r="AC235" s="31"/>
      <c r="AD235" s="31"/>
      <c r="AE235" s="31"/>
      <c r="AR235" s="216" t="s">
        <v>216</v>
      </c>
      <c r="AT235" s="216" t="s">
        <v>129</v>
      </c>
      <c r="AU235" s="216" t="s">
        <v>82</v>
      </c>
      <c r="AY235" s="16" t="s">
        <v>126</v>
      </c>
      <c r="BE235" s="217">
        <f>IF(O235="základní",K235,0)</f>
        <v>27104</v>
      </c>
      <c r="BF235" s="217">
        <f>IF(O235="snížená",K235,0)</f>
        <v>0</v>
      </c>
      <c r="BG235" s="217">
        <f>IF(O235="zákl. přenesená",K235,0)</f>
        <v>0</v>
      </c>
      <c r="BH235" s="217">
        <f>IF(O235="sníž. přenesená",K235,0)</f>
        <v>0</v>
      </c>
      <c r="BI235" s="217">
        <f>IF(O235="nulová",K235,0)</f>
        <v>0</v>
      </c>
      <c r="BJ235" s="16" t="s">
        <v>20</v>
      </c>
      <c r="BK235" s="217">
        <f>ROUND(P235*H235,2)</f>
        <v>27104</v>
      </c>
      <c r="BL235" s="16" t="s">
        <v>216</v>
      </c>
      <c r="BM235" s="216" t="s">
        <v>364</v>
      </c>
    </row>
    <row r="236" s="2" customFormat="1">
      <c r="A236" s="31"/>
      <c r="B236" s="32"/>
      <c r="C236" s="33"/>
      <c r="D236" s="218" t="s">
        <v>136</v>
      </c>
      <c r="E236" s="33"/>
      <c r="F236" s="219" t="s">
        <v>365</v>
      </c>
      <c r="G236" s="33"/>
      <c r="H236" s="33"/>
      <c r="I236" s="33"/>
      <c r="J236" s="33"/>
      <c r="K236" s="33"/>
      <c r="L236" s="33"/>
      <c r="M236" s="37"/>
      <c r="N236" s="220"/>
      <c r="O236" s="221"/>
      <c r="P236" s="83"/>
      <c r="Q236" s="83"/>
      <c r="R236" s="83"/>
      <c r="S236" s="83"/>
      <c r="T236" s="83"/>
      <c r="U236" s="83"/>
      <c r="V236" s="83"/>
      <c r="W236" s="83"/>
      <c r="X236" s="84"/>
      <c r="Y236" s="31"/>
      <c r="Z236" s="31"/>
      <c r="AA236" s="31"/>
      <c r="AB236" s="31"/>
      <c r="AC236" s="31"/>
      <c r="AD236" s="31"/>
      <c r="AE236" s="31"/>
      <c r="AT236" s="16" t="s">
        <v>136</v>
      </c>
      <c r="AU236" s="16" t="s">
        <v>82</v>
      </c>
    </row>
    <row r="237" s="2" customFormat="1" ht="24.15" customHeight="1">
      <c r="A237" s="31"/>
      <c r="B237" s="32"/>
      <c r="C237" s="205" t="s">
        <v>366</v>
      </c>
      <c r="D237" s="205" t="s">
        <v>129</v>
      </c>
      <c r="E237" s="206" t="s">
        <v>367</v>
      </c>
      <c r="F237" s="207" t="s">
        <v>368</v>
      </c>
      <c r="G237" s="208" t="s">
        <v>172</v>
      </c>
      <c r="H237" s="209">
        <v>28.359999999999999</v>
      </c>
      <c r="I237" s="210">
        <v>6.9400000000000004</v>
      </c>
      <c r="J237" s="210">
        <v>98.060000000000002</v>
      </c>
      <c r="K237" s="210">
        <f>ROUND(P237*H237,2)</f>
        <v>2977.8000000000002</v>
      </c>
      <c r="L237" s="207" t="s">
        <v>133</v>
      </c>
      <c r="M237" s="37"/>
      <c r="N237" s="211" t="s">
        <v>1</v>
      </c>
      <c r="O237" s="212" t="s">
        <v>39</v>
      </c>
      <c r="P237" s="213">
        <f>I237+J237</f>
        <v>105</v>
      </c>
      <c r="Q237" s="213">
        <f>ROUND(I237*H237,2)</f>
        <v>196.81999999999999</v>
      </c>
      <c r="R237" s="213">
        <f>ROUND(J237*H237,2)</f>
        <v>2780.98</v>
      </c>
      <c r="S237" s="214">
        <v>0.126</v>
      </c>
      <c r="T237" s="214">
        <f>S237*H237</f>
        <v>3.5733600000000001</v>
      </c>
      <c r="U237" s="214">
        <v>2.0000000000000002E-05</v>
      </c>
      <c r="V237" s="214">
        <f>U237*H237</f>
        <v>0.00056720000000000002</v>
      </c>
      <c r="W237" s="214">
        <v>0</v>
      </c>
      <c r="X237" s="215">
        <f>W237*H237</f>
        <v>0</v>
      </c>
      <c r="Y237" s="31"/>
      <c r="Z237" s="31"/>
      <c r="AA237" s="31"/>
      <c r="AB237" s="31"/>
      <c r="AC237" s="31"/>
      <c r="AD237" s="31"/>
      <c r="AE237" s="31"/>
      <c r="AR237" s="216" t="s">
        <v>216</v>
      </c>
      <c r="AT237" s="216" t="s">
        <v>129</v>
      </c>
      <c r="AU237" s="216" t="s">
        <v>82</v>
      </c>
      <c r="AY237" s="16" t="s">
        <v>126</v>
      </c>
      <c r="BE237" s="217">
        <f>IF(O237="základní",K237,0)</f>
        <v>2977.8000000000002</v>
      </c>
      <c r="BF237" s="217">
        <f>IF(O237="snížená",K237,0)</f>
        <v>0</v>
      </c>
      <c r="BG237" s="217">
        <f>IF(O237="zákl. přenesená",K237,0)</f>
        <v>0</v>
      </c>
      <c r="BH237" s="217">
        <f>IF(O237="sníž. přenesená",K237,0)</f>
        <v>0</v>
      </c>
      <c r="BI237" s="217">
        <f>IF(O237="nulová",K237,0)</f>
        <v>0</v>
      </c>
      <c r="BJ237" s="16" t="s">
        <v>20</v>
      </c>
      <c r="BK237" s="217">
        <f>ROUND(P237*H237,2)</f>
        <v>2977.8000000000002</v>
      </c>
      <c r="BL237" s="16" t="s">
        <v>216</v>
      </c>
      <c r="BM237" s="216" t="s">
        <v>369</v>
      </c>
    </row>
    <row r="238" s="2" customFormat="1">
      <c r="A238" s="31"/>
      <c r="B238" s="32"/>
      <c r="C238" s="33"/>
      <c r="D238" s="218" t="s">
        <v>136</v>
      </c>
      <c r="E238" s="33"/>
      <c r="F238" s="219" t="s">
        <v>370</v>
      </c>
      <c r="G238" s="33"/>
      <c r="H238" s="33"/>
      <c r="I238" s="33"/>
      <c r="J238" s="33"/>
      <c r="K238" s="33"/>
      <c r="L238" s="33"/>
      <c r="M238" s="37"/>
      <c r="N238" s="220"/>
      <c r="O238" s="221"/>
      <c r="P238" s="83"/>
      <c r="Q238" s="83"/>
      <c r="R238" s="83"/>
      <c r="S238" s="83"/>
      <c r="T238" s="83"/>
      <c r="U238" s="83"/>
      <c r="V238" s="83"/>
      <c r="W238" s="83"/>
      <c r="X238" s="84"/>
      <c r="Y238" s="31"/>
      <c r="Z238" s="31"/>
      <c r="AA238" s="31"/>
      <c r="AB238" s="31"/>
      <c r="AC238" s="31"/>
      <c r="AD238" s="31"/>
      <c r="AE238" s="31"/>
      <c r="AT238" s="16" t="s">
        <v>136</v>
      </c>
      <c r="AU238" s="16" t="s">
        <v>82</v>
      </c>
    </row>
    <row r="239" s="13" customFormat="1">
      <c r="A239" s="13"/>
      <c r="B239" s="222"/>
      <c r="C239" s="223"/>
      <c r="D239" s="218" t="s">
        <v>149</v>
      </c>
      <c r="E239" s="224" t="s">
        <v>1</v>
      </c>
      <c r="F239" s="225" t="s">
        <v>371</v>
      </c>
      <c r="G239" s="223"/>
      <c r="H239" s="226">
        <v>28.359999999999999</v>
      </c>
      <c r="I239" s="223"/>
      <c r="J239" s="223"/>
      <c r="K239" s="223"/>
      <c r="L239" s="223"/>
      <c r="M239" s="227"/>
      <c r="N239" s="228"/>
      <c r="O239" s="229"/>
      <c r="P239" s="229"/>
      <c r="Q239" s="229"/>
      <c r="R239" s="229"/>
      <c r="S239" s="229"/>
      <c r="T239" s="229"/>
      <c r="U239" s="229"/>
      <c r="V239" s="229"/>
      <c r="W239" s="229"/>
      <c r="X239" s="230"/>
      <c r="Y239" s="13"/>
      <c r="Z239" s="13"/>
      <c r="AA239" s="13"/>
      <c r="AB239" s="13"/>
      <c r="AC239" s="13"/>
      <c r="AD239" s="13"/>
      <c r="AE239" s="13"/>
      <c r="AT239" s="231" t="s">
        <v>149</v>
      </c>
      <c r="AU239" s="231" t="s">
        <v>82</v>
      </c>
      <c r="AV239" s="13" t="s">
        <v>82</v>
      </c>
      <c r="AW239" s="13" t="s">
        <v>5</v>
      </c>
      <c r="AX239" s="13" t="s">
        <v>20</v>
      </c>
      <c r="AY239" s="231" t="s">
        <v>126</v>
      </c>
    </row>
    <row r="240" s="2" customFormat="1" ht="24.15" customHeight="1">
      <c r="A240" s="31"/>
      <c r="B240" s="32"/>
      <c r="C240" s="232" t="s">
        <v>372</v>
      </c>
      <c r="D240" s="232" t="s">
        <v>223</v>
      </c>
      <c r="E240" s="233" t="s">
        <v>373</v>
      </c>
      <c r="F240" s="234" t="s">
        <v>374</v>
      </c>
      <c r="G240" s="235" t="s">
        <v>172</v>
      </c>
      <c r="H240" s="236">
        <v>28.359999999999999</v>
      </c>
      <c r="I240" s="237">
        <v>104</v>
      </c>
      <c r="J240" s="238"/>
      <c r="K240" s="237">
        <f>ROUND(P240*H240,2)</f>
        <v>2949.4400000000001</v>
      </c>
      <c r="L240" s="234" t="s">
        <v>133</v>
      </c>
      <c r="M240" s="239"/>
      <c r="N240" s="240" t="s">
        <v>1</v>
      </c>
      <c r="O240" s="212" t="s">
        <v>39</v>
      </c>
      <c r="P240" s="213">
        <f>I240+J240</f>
        <v>104</v>
      </c>
      <c r="Q240" s="213">
        <f>ROUND(I240*H240,2)</f>
        <v>2949.4400000000001</v>
      </c>
      <c r="R240" s="213">
        <f>ROUND(J240*H240,2)</f>
        <v>0</v>
      </c>
      <c r="S240" s="214">
        <v>0</v>
      </c>
      <c r="T240" s="214">
        <f>S240*H240</f>
        <v>0</v>
      </c>
      <c r="U240" s="214">
        <v>0.00018000000000000001</v>
      </c>
      <c r="V240" s="214">
        <f>U240*H240</f>
        <v>0.0051048000000000005</v>
      </c>
      <c r="W240" s="214">
        <v>0</v>
      </c>
      <c r="X240" s="215">
        <f>W240*H240</f>
        <v>0</v>
      </c>
      <c r="Y240" s="31"/>
      <c r="Z240" s="31"/>
      <c r="AA240" s="31"/>
      <c r="AB240" s="31"/>
      <c r="AC240" s="31"/>
      <c r="AD240" s="31"/>
      <c r="AE240" s="31"/>
      <c r="AR240" s="216" t="s">
        <v>226</v>
      </c>
      <c r="AT240" s="216" t="s">
        <v>223</v>
      </c>
      <c r="AU240" s="216" t="s">
        <v>82</v>
      </c>
      <c r="AY240" s="16" t="s">
        <v>126</v>
      </c>
      <c r="BE240" s="217">
        <f>IF(O240="základní",K240,0)</f>
        <v>2949.4400000000001</v>
      </c>
      <c r="BF240" s="217">
        <f>IF(O240="snížená",K240,0)</f>
        <v>0</v>
      </c>
      <c r="BG240" s="217">
        <f>IF(O240="zákl. přenesená",K240,0)</f>
        <v>0</v>
      </c>
      <c r="BH240" s="217">
        <f>IF(O240="sníž. přenesená",K240,0)</f>
        <v>0</v>
      </c>
      <c r="BI240" s="217">
        <f>IF(O240="nulová",K240,0)</f>
        <v>0</v>
      </c>
      <c r="BJ240" s="16" t="s">
        <v>20</v>
      </c>
      <c r="BK240" s="217">
        <f>ROUND(P240*H240,2)</f>
        <v>2949.4400000000001</v>
      </c>
      <c r="BL240" s="16" t="s">
        <v>216</v>
      </c>
      <c r="BM240" s="216" t="s">
        <v>375</v>
      </c>
    </row>
    <row r="241" s="2" customFormat="1">
      <c r="A241" s="31"/>
      <c r="B241" s="32"/>
      <c r="C241" s="33"/>
      <c r="D241" s="218" t="s">
        <v>136</v>
      </c>
      <c r="E241" s="33"/>
      <c r="F241" s="219" t="s">
        <v>374</v>
      </c>
      <c r="G241" s="33"/>
      <c r="H241" s="33"/>
      <c r="I241" s="33"/>
      <c r="J241" s="33"/>
      <c r="K241" s="33"/>
      <c r="L241" s="33"/>
      <c r="M241" s="37"/>
      <c r="N241" s="220"/>
      <c r="O241" s="221"/>
      <c r="P241" s="83"/>
      <c r="Q241" s="83"/>
      <c r="R241" s="83"/>
      <c r="S241" s="83"/>
      <c r="T241" s="83"/>
      <c r="U241" s="83"/>
      <c r="V241" s="83"/>
      <c r="W241" s="83"/>
      <c r="X241" s="84"/>
      <c r="Y241" s="31"/>
      <c r="Z241" s="31"/>
      <c r="AA241" s="31"/>
      <c r="AB241" s="31"/>
      <c r="AC241" s="31"/>
      <c r="AD241" s="31"/>
      <c r="AE241" s="31"/>
      <c r="AT241" s="16" t="s">
        <v>136</v>
      </c>
      <c r="AU241" s="16" t="s">
        <v>82</v>
      </c>
    </row>
    <row r="242" s="2" customFormat="1" ht="24.15" customHeight="1">
      <c r="A242" s="31"/>
      <c r="B242" s="32"/>
      <c r="C242" s="205" t="s">
        <v>376</v>
      </c>
      <c r="D242" s="205" t="s">
        <v>129</v>
      </c>
      <c r="E242" s="206" t="s">
        <v>377</v>
      </c>
      <c r="F242" s="207" t="s">
        <v>378</v>
      </c>
      <c r="G242" s="208" t="s">
        <v>172</v>
      </c>
      <c r="H242" s="209">
        <v>25</v>
      </c>
      <c r="I242" s="210">
        <v>121</v>
      </c>
      <c r="J242" s="210">
        <v>899</v>
      </c>
      <c r="K242" s="210">
        <f>ROUND(P242*H242,2)</f>
        <v>25500</v>
      </c>
      <c r="L242" s="207" t="s">
        <v>133</v>
      </c>
      <c r="M242" s="37"/>
      <c r="N242" s="211" t="s">
        <v>1</v>
      </c>
      <c r="O242" s="212" t="s">
        <v>39</v>
      </c>
      <c r="P242" s="213">
        <f>I242+J242</f>
        <v>1020</v>
      </c>
      <c r="Q242" s="213">
        <f>ROUND(I242*H242,2)</f>
        <v>3025</v>
      </c>
      <c r="R242" s="213">
        <f>ROUND(J242*H242,2)</f>
        <v>22475</v>
      </c>
      <c r="S242" s="214">
        <v>1.161</v>
      </c>
      <c r="T242" s="214">
        <f>S242*H242</f>
        <v>29.025000000000002</v>
      </c>
      <c r="U242" s="214">
        <v>0.00125</v>
      </c>
      <c r="V242" s="214">
        <f>U242*H242</f>
        <v>0.03125</v>
      </c>
      <c r="W242" s="214">
        <v>0</v>
      </c>
      <c r="X242" s="215">
        <f>W242*H242</f>
        <v>0</v>
      </c>
      <c r="Y242" s="31"/>
      <c r="Z242" s="31"/>
      <c r="AA242" s="31"/>
      <c r="AB242" s="31"/>
      <c r="AC242" s="31"/>
      <c r="AD242" s="31"/>
      <c r="AE242" s="31"/>
      <c r="AR242" s="216" t="s">
        <v>216</v>
      </c>
      <c r="AT242" s="216" t="s">
        <v>129</v>
      </c>
      <c r="AU242" s="216" t="s">
        <v>82</v>
      </c>
      <c r="AY242" s="16" t="s">
        <v>126</v>
      </c>
      <c r="BE242" s="217">
        <f>IF(O242="základní",K242,0)</f>
        <v>25500</v>
      </c>
      <c r="BF242" s="217">
        <f>IF(O242="snížená",K242,0)</f>
        <v>0</v>
      </c>
      <c r="BG242" s="217">
        <f>IF(O242="zákl. přenesená",K242,0)</f>
        <v>0</v>
      </c>
      <c r="BH242" s="217">
        <f>IF(O242="sníž. přenesená",K242,0)</f>
        <v>0</v>
      </c>
      <c r="BI242" s="217">
        <f>IF(O242="nulová",K242,0)</f>
        <v>0</v>
      </c>
      <c r="BJ242" s="16" t="s">
        <v>20</v>
      </c>
      <c r="BK242" s="217">
        <f>ROUND(P242*H242,2)</f>
        <v>25500</v>
      </c>
      <c r="BL242" s="16" t="s">
        <v>216</v>
      </c>
      <c r="BM242" s="216" t="s">
        <v>379</v>
      </c>
    </row>
    <row r="243" s="2" customFormat="1">
      <c r="A243" s="31"/>
      <c r="B243" s="32"/>
      <c r="C243" s="33"/>
      <c r="D243" s="218" t="s">
        <v>136</v>
      </c>
      <c r="E243" s="33"/>
      <c r="F243" s="219" t="s">
        <v>380</v>
      </c>
      <c r="G243" s="33"/>
      <c r="H243" s="33"/>
      <c r="I243" s="33"/>
      <c r="J243" s="33"/>
      <c r="K243" s="33"/>
      <c r="L243" s="33"/>
      <c r="M243" s="37"/>
      <c r="N243" s="220"/>
      <c r="O243" s="221"/>
      <c r="P243" s="83"/>
      <c r="Q243" s="83"/>
      <c r="R243" s="83"/>
      <c r="S243" s="83"/>
      <c r="T243" s="83"/>
      <c r="U243" s="83"/>
      <c r="V243" s="83"/>
      <c r="W243" s="83"/>
      <c r="X243" s="84"/>
      <c r="Y243" s="31"/>
      <c r="Z243" s="31"/>
      <c r="AA243" s="31"/>
      <c r="AB243" s="31"/>
      <c r="AC243" s="31"/>
      <c r="AD243" s="31"/>
      <c r="AE243" s="31"/>
      <c r="AT243" s="16" t="s">
        <v>136</v>
      </c>
      <c r="AU243" s="16" t="s">
        <v>82</v>
      </c>
    </row>
    <row r="244" s="2" customFormat="1" ht="24.15" customHeight="1">
      <c r="A244" s="31"/>
      <c r="B244" s="32"/>
      <c r="C244" s="232" t="s">
        <v>381</v>
      </c>
      <c r="D244" s="232" t="s">
        <v>223</v>
      </c>
      <c r="E244" s="233" t="s">
        <v>382</v>
      </c>
      <c r="F244" s="234" t="s">
        <v>383</v>
      </c>
      <c r="G244" s="235" t="s">
        <v>330</v>
      </c>
      <c r="H244" s="236">
        <v>77.25</v>
      </c>
      <c r="I244" s="237">
        <v>252</v>
      </c>
      <c r="J244" s="238"/>
      <c r="K244" s="237">
        <f>ROUND(P244*H244,2)</f>
        <v>19467</v>
      </c>
      <c r="L244" s="234" t="s">
        <v>133</v>
      </c>
      <c r="M244" s="239"/>
      <c r="N244" s="240" t="s">
        <v>1</v>
      </c>
      <c r="O244" s="212" t="s">
        <v>39</v>
      </c>
      <c r="P244" s="213">
        <f>I244+J244</f>
        <v>252</v>
      </c>
      <c r="Q244" s="213">
        <f>ROUND(I244*H244,2)</f>
        <v>19467</v>
      </c>
      <c r="R244" s="213">
        <f>ROUND(J244*H244,2)</f>
        <v>0</v>
      </c>
      <c r="S244" s="214">
        <v>0</v>
      </c>
      <c r="T244" s="214">
        <f>S244*H244</f>
        <v>0</v>
      </c>
      <c r="U244" s="214">
        <v>0.0032000000000000002</v>
      </c>
      <c r="V244" s="214">
        <f>U244*H244</f>
        <v>0.2472</v>
      </c>
      <c r="W244" s="214">
        <v>0</v>
      </c>
      <c r="X244" s="215">
        <f>W244*H244</f>
        <v>0</v>
      </c>
      <c r="Y244" s="31"/>
      <c r="Z244" s="31"/>
      <c r="AA244" s="31"/>
      <c r="AB244" s="31"/>
      <c r="AC244" s="31"/>
      <c r="AD244" s="31"/>
      <c r="AE244" s="31"/>
      <c r="AR244" s="216" t="s">
        <v>226</v>
      </c>
      <c r="AT244" s="216" t="s">
        <v>223</v>
      </c>
      <c r="AU244" s="216" t="s">
        <v>82</v>
      </c>
      <c r="AY244" s="16" t="s">
        <v>126</v>
      </c>
      <c r="BE244" s="217">
        <f>IF(O244="základní",K244,0)</f>
        <v>19467</v>
      </c>
      <c r="BF244" s="217">
        <f>IF(O244="snížená",K244,0)</f>
        <v>0</v>
      </c>
      <c r="BG244" s="217">
        <f>IF(O244="zákl. přenesená",K244,0)</f>
        <v>0</v>
      </c>
      <c r="BH244" s="217">
        <f>IF(O244="sníž. přenesená",K244,0)</f>
        <v>0</v>
      </c>
      <c r="BI244" s="217">
        <f>IF(O244="nulová",K244,0)</f>
        <v>0</v>
      </c>
      <c r="BJ244" s="16" t="s">
        <v>20</v>
      </c>
      <c r="BK244" s="217">
        <f>ROUND(P244*H244,2)</f>
        <v>19467</v>
      </c>
      <c r="BL244" s="16" t="s">
        <v>216</v>
      </c>
      <c r="BM244" s="216" t="s">
        <v>384</v>
      </c>
    </row>
    <row r="245" s="2" customFormat="1">
      <c r="A245" s="31"/>
      <c r="B245" s="32"/>
      <c r="C245" s="33"/>
      <c r="D245" s="218" t="s">
        <v>136</v>
      </c>
      <c r="E245" s="33"/>
      <c r="F245" s="219" t="s">
        <v>383</v>
      </c>
      <c r="G245" s="33"/>
      <c r="H245" s="33"/>
      <c r="I245" s="33"/>
      <c r="J245" s="33"/>
      <c r="K245" s="33"/>
      <c r="L245" s="33"/>
      <c r="M245" s="37"/>
      <c r="N245" s="220"/>
      <c r="O245" s="221"/>
      <c r="P245" s="83"/>
      <c r="Q245" s="83"/>
      <c r="R245" s="83"/>
      <c r="S245" s="83"/>
      <c r="T245" s="83"/>
      <c r="U245" s="83"/>
      <c r="V245" s="83"/>
      <c r="W245" s="83"/>
      <c r="X245" s="84"/>
      <c r="Y245" s="31"/>
      <c r="Z245" s="31"/>
      <c r="AA245" s="31"/>
      <c r="AB245" s="31"/>
      <c r="AC245" s="31"/>
      <c r="AD245" s="31"/>
      <c r="AE245" s="31"/>
      <c r="AT245" s="16" t="s">
        <v>136</v>
      </c>
      <c r="AU245" s="16" t="s">
        <v>82</v>
      </c>
    </row>
    <row r="246" s="13" customFormat="1">
      <c r="A246" s="13"/>
      <c r="B246" s="222"/>
      <c r="C246" s="223"/>
      <c r="D246" s="218" t="s">
        <v>149</v>
      </c>
      <c r="E246" s="223"/>
      <c r="F246" s="225" t="s">
        <v>385</v>
      </c>
      <c r="G246" s="223"/>
      <c r="H246" s="226">
        <v>77.25</v>
      </c>
      <c r="I246" s="223"/>
      <c r="J246" s="223"/>
      <c r="K246" s="223"/>
      <c r="L246" s="223"/>
      <c r="M246" s="227"/>
      <c r="N246" s="228"/>
      <c r="O246" s="229"/>
      <c r="P246" s="229"/>
      <c r="Q246" s="229"/>
      <c r="R246" s="229"/>
      <c r="S246" s="229"/>
      <c r="T246" s="229"/>
      <c r="U246" s="229"/>
      <c r="V246" s="229"/>
      <c r="W246" s="229"/>
      <c r="X246" s="230"/>
      <c r="Y246" s="13"/>
      <c r="Z246" s="13"/>
      <c r="AA246" s="13"/>
      <c r="AB246" s="13"/>
      <c r="AC246" s="13"/>
      <c r="AD246" s="13"/>
      <c r="AE246" s="13"/>
      <c r="AT246" s="231" t="s">
        <v>149</v>
      </c>
      <c r="AU246" s="231" t="s">
        <v>82</v>
      </c>
      <c r="AV246" s="13" t="s">
        <v>82</v>
      </c>
      <c r="AW246" s="13" t="s">
        <v>4</v>
      </c>
      <c r="AX246" s="13" t="s">
        <v>20</v>
      </c>
      <c r="AY246" s="231" t="s">
        <v>126</v>
      </c>
    </row>
    <row r="247" s="2" customFormat="1" ht="24.15" customHeight="1">
      <c r="A247" s="31"/>
      <c r="B247" s="32"/>
      <c r="C247" s="205" t="s">
        <v>386</v>
      </c>
      <c r="D247" s="205" t="s">
        <v>129</v>
      </c>
      <c r="E247" s="206" t="s">
        <v>387</v>
      </c>
      <c r="F247" s="207" t="s">
        <v>388</v>
      </c>
      <c r="G247" s="208" t="s">
        <v>172</v>
      </c>
      <c r="H247" s="209">
        <v>13.560000000000001</v>
      </c>
      <c r="I247" s="210">
        <v>6.5999999999999996</v>
      </c>
      <c r="J247" s="210">
        <v>1263.4000000000001</v>
      </c>
      <c r="K247" s="210">
        <f>ROUND(P247*H247,2)</f>
        <v>17221.200000000001</v>
      </c>
      <c r="L247" s="207" t="s">
        <v>133</v>
      </c>
      <c r="M247" s="37"/>
      <c r="N247" s="211" t="s">
        <v>1</v>
      </c>
      <c r="O247" s="212" t="s">
        <v>39</v>
      </c>
      <c r="P247" s="213">
        <f>I247+J247</f>
        <v>1270</v>
      </c>
      <c r="Q247" s="213">
        <f>ROUND(I247*H247,2)</f>
        <v>89.5</v>
      </c>
      <c r="R247" s="213">
        <f>ROUND(J247*H247,2)</f>
        <v>17131.700000000001</v>
      </c>
      <c r="S247" s="214">
        <v>1.6200000000000001</v>
      </c>
      <c r="T247" s="214">
        <f>S247*H247</f>
        <v>21.967200000000002</v>
      </c>
      <c r="U247" s="214">
        <v>1.0000000000000001E-05</v>
      </c>
      <c r="V247" s="214">
        <f>U247*H247</f>
        <v>0.00013560000000000002</v>
      </c>
      <c r="W247" s="214">
        <v>0</v>
      </c>
      <c r="X247" s="215">
        <f>W247*H247</f>
        <v>0</v>
      </c>
      <c r="Y247" s="31"/>
      <c r="Z247" s="31"/>
      <c r="AA247" s="31"/>
      <c r="AB247" s="31"/>
      <c r="AC247" s="31"/>
      <c r="AD247" s="31"/>
      <c r="AE247" s="31"/>
      <c r="AR247" s="216" t="s">
        <v>216</v>
      </c>
      <c r="AT247" s="216" t="s">
        <v>129</v>
      </c>
      <c r="AU247" s="216" t="s">
        <v>82</v>
      </c>
      <c r="AY247" s="16" t="s">
        <v>126</v>
      </c>
      <c r="BE247" s="217">
        <f>IF(O247="základní",K247,0)</f>
        <v>17221.200000000001</v>
      </c>
      <c r="BF247" s="217">
        <f>IF(O247="snížená",K247,0)</f>
        <v>0</v>
      </c>
      <c r="BG247" s="217">
        <f>IF(O247="zákl. přenesená",K247,0)</f>
        <v>0</v>
      </c>
      <c r="BH247" s="217">
        <f>IF(O247="sníž. přenesená",K247,0)</f>
        <v>0</v>
      </c>
      <c r="BI247" s="217">
        <f>IF(O247="nulová",K247,0)</f>
        <v>0</v>
      </c>
      <c r="BJ247" s="16" t="s">
        <v>20</v>
      </c>
      <c r="BK247" s="217">
        <f>ROUND(P247*H247,2)</f>
        <v>17221.200000000001</v>
      </c>
      <c r="BL247" s="16" t="s">
        <v>216</v>
      </c>
      <c r="BM247" s="216" t="s">
        <v>389</v>
      </c>
    </row>
    <row r="248" s="2" customFormat="1">
      <c r="A248" s="31"/>
      <c r="B248" s="32"/>
      <c r="C248" s="33"/>
      <c r="D248" s="218" t="s">
        <v>136</v>
      </c>
      <c r="E248" s="33"/>
      <c r="F248" s="219" t="s">
        <v>390</v>
      </c>
      <c r="G248" s="33"/>
      <c r="H248" s="33"/>
      <c r="I248" s="33"/>
      <c r="J248" s="33"/>
      <c r="K248" s="33"/>
      <c r="L248" s="33"/>
      <c r="M248" s="37"/>
      <c r="N248" s="220"/>
      <c r="O248" s="221"/>
      <c r="P248" s="83"/>
      <c r="Q248" s="83"/>
      <c r="R248" s="83"/>
      <c r="S248" s="83"/>
      <c r="T248" s="83"/>
      <c r="U248" s="83"/>
      <c r="V248" s="83"/>
      <c r="W248" s="83"/>
      <c r="X248" s="84"/>
      <c r="Y248" s="31"/>
      <c r="Z248" s="31"/>
      <c r="AA248" s="31"/>
      <c r="AB248" s="31"/>
      <c r="AC248" s="31"/>
      <c r="AD248" s="31"/>
      <c r="AE248" s="31"/>
      <c r="AT248" s="16" t="s">
        <v>136</v>
      </c>
      <c r="AU248" s="16" t="s">
        <v>82</v>
      </c>
    </row>
    <row r="249" s="13" customFormat="1">
      <c r="A249" s="13"/>
      <c r="B249" s="222"/>
      <c r="C249" s="223"/>
      <c r="D249" s="218" t="s">
        <v>149</v>
      </c>
      <c r="E249" s="224" t="s">
        <v>1</v>
      </c>
      <c r="F249" s="225" t="s">
        <v>300</v>
      </c>
      <c r="G249" s="223"/>
      <c r="H249" s="226">
        <v>13.560000000000001</v>
      </c>
      <c r="I249" s="223"/>
      <c r="J249" s="223"/>
      <c r="K249" s="223"/>
      <c r="L249" s="223"/>
      <c r="M249" s="227"/>
      <c r="N249" s="228"/>
      <c r="O249" s="229"/>
      <c r="P249" s="229"/>
      <c r="Q249" s="229"/>
      <c r="R249" s="229"/>
      <c r="S249" s="229"/>
      <c r="T249" s="229"/>
      <c r="U249" s="229"/>
      <c r="V249" s="229"/>
      <c r="W249" s="229"/>
      <c r="X249" s="230"/>
      <c r="Y249" s="13"/>
      <c r="Z249" s="13"/>
      <c r="AA249" s="13"/>
      <c r="AB249" s="13"/>
      <c r="AC249" s="13"/>
      <c r="AD249" s="13"/>
      <c r="AE249" s="13"/>
      <c r="AT249" s="231" t="s">
        <v>149</v>
      </c>
      <c r="AU249" s="231" t="s">
        <v>82</v>
      </c>
      <c r="AV249" s="13" t="s">
        <v>82</v>
      </c>
      <c r="AW249" s="13" t="s">
        <v>5</v>
      </c>
      <c r="AX249" s="13" t="s">
        <v>20</v>
      </c>
      <c r="AY249" s="231" t="s">
        <v>126</v>
      </c>
    </row>
    <row r="250" s="2" customFormat="1" ht="24.15" customHeight="1">
      <c r="A250" s="31"/>
      <c r="B250" s="32"/>
      <c r="C250" s="232" t="s">
        <v>391</v>
      </c>
      <c r="D250" s="232" t="s">
        <v>223</v>
      </c>
      <c r="E250" s="233" t="s">
        <v>392</v>
      </c>
      <c r="F250" s="234" t="s">
        <v>393</v>
      </c>
      <c r="G250" s="235" t="s">
        <v>172</v>
      </c>
      <c r="H250" s="236">
        <v>27.661999999999999</v>
      </c>
      <c r="I250" s="237">
        <v>43.399999999999999</v>
      </c>
      <c r="J250" s="238"/>
      <c r="K250" s="237">
        <f>ROUND(P250*H250,2)</f>
        <v>1200.53</v>
      </c>
      <c r="L250" s="234" t="s">
        <v>133</v>
      </c>
      <c r="M250" s="239"/>
      <c r="N250" s="240" t="s">
        <v>1</v>
      </c>
      <c r="O250" s="212" t="s">
        <v>39</v>
      </c>
      <c r="P250" s="213">
        <f>I250+J250</f>
        <v>43.399999999999999</v>
      </c>
      <c r="Q250" s="213">
        <f>ROUND(I250*H250,2)</f>
        <v>1200.53</v>
      </c>
      <c r="R250" s="213">
        <f>ROUND(J250*H250,2)</f>
        <v>0</v>
      </c>
      <c r="S250" s="214">
        <v>0</v>
      </c>
      <c r="T250" s="214">
        <f>S250*H250</f>
        <v>0</v>
      </c>
      <c r="U250" s="214">
        <v>2.0000000000000002E-05</v>
      </c>
      <c r="V250" s="214">
        <f>U250*H250</f>
        <v>0.00055323999999999998</v>
      </c>
      <c r="W250" s="214">
        <v>0</v>
      </c>
      <c r="X250" s="215">
        <f>W250*H250</f>
        <v>0</v>
      </c>
      <c r="Y250" s="31"/>
      <c r="Z250" s="31"/>
      <c r="AA250" s="31"/>
      <c r="AB250" s="31"/>
      <c r="AC250" s="31"/>
      <c r="AD250" s="31"/>
      <c r="AE250" s="31"/>
      <c r="AR250" s="216" t="s">
        <v>226</v>
      </c>
      <c r="AT250" s="216" t="s">
        <v>223</v>
      </c>
      <c r="AU250" s="216" t="s">
        <v>82</v>
      </c>
      <c r="AY250" s="16" t="s">
        <v>126</v>
      </c>
      <c r="BE250" s="217">
        <f>IF(O250="základní",K250,0)</f>
        <v>1200.53</v>
      </c>
      <c r="BF250" s="217">
        <f>IF(O250="snížená",K250,0)</f>
        <v>0</v>
      </c>
      <c r="BG250" s="217">
        <f>IF(O250="zákl. přenesená",K250,0)</f>
        <v>0</v>
      </c>
      <c r="BH250" s="217">
        <f>IF(O250="sníž. přenesená",K250,0)</f>
        <v>0</v>
      </c>
      <c r="BI250" s="217">
        <f>IF(O250="nulová",K250,0)</f>
        <v>0</v>
      </c>
      <c r="BJ250" s="16" t="s">
        <v>20</v>
      </c>
      <c r="BK250" s="217">
        <f>ROUND(P250*H250,2)</f>
        <v>1200.53</v>
      </c>
      <c r="BL250" s="16" t="s">
        <v>216</v>
      </c>
      <c r="BM250" s="216" t="s">
        <v>394</v>
      </c>
    </row>
    <row r="251" s="2" customFormat="1">
      <c r="A251" s="31"/>
      <c r="B251" s="32"/>
      <c r="C251" s="33"/>
      <c r="D251" s="218" t="s">
        <v>136</v>
      </c>
      <c r="E251" s="33"/>
      <c r="F251" s="219" t="s">
        <v>393</v>
      </c>
      <c r="G251" s="33"/>
      <c r="H251" s="33"/>
      <c r="I251" s="33"/>
      <c r="J251" s="33"/>
      <c r="K251" s="33"/>
      <c r="L251" s="33"/>
      <c r="M251" s="37"/>
      <c r="N251" s="220"/>
      <c r="O251" s="221"/>
      <c r="P251" s="83"/>
      <c r="Q251" s="83"/>
      <c r="R251" s="83"/>
      <c r="S251" s="83"/>
      <c r="T251" s="83"/>
      <c r="U251" s="83"/>
      <c r="V251" s="83"/>
      <c r="W251" s="83"/>
      <c r="X251" s="84"/>
      <c r="Y251" s="31"/>
      <c r="Z251" s="31"/>
      <c r="AA251" s="31"/>
      <c r="AB251" s="31"/>
      <c r="AC251" s="31"/>
      <c r="AD251" s="31"/>
      <c r="AE251" s="31"/>
      <c r="AT251" s="16" t="s">
        <v>136</v>
      </c>
      <c r="AU251" s="16" t="s">
        <v>82</v>
      </c>
    </row>
    <row r="252" s="13" customFormat="1">
      <c r="A252" s="13"/>
      <c r="B252" s="222"/>
      <c r="C252" s="223"/>
      <c r="D252" s="218" t="s">
        <v>149</v>
      </c>
      <c r="E252" s="223"/>
      <c r="F252" s="225" t="s">
        <v>395</v>
      </c>
      <c r="G252" s="223"/>
      <c r="H252" s="226">
        <v>27.661999999999999</v>
      </c>
      <c r="I252" s="223"/>
      <c r="J252" s="223"/>
      <c r="K252" s="223"/>
      <c r="L252" s="223"/>
      <c r="M252" s="227"/>
      <c r="N252" s="228"/>
      <c r="O252" s="229"/>
      <c r="P252" s="229"/>
      <c r="Q252" s="229"/>
      <c r="R252" s="229"/>
      <c r="S252" s="229"/>
      <c r="T252" s="229"/>
      <c r="U252" s="229"/>
      <c r="V252" s="229"/>
      <c r="W252" s="229"/>
      <c r="X252" s="230"/>
      <c r="Y252" s="13"/>
      <c r="Z252" s="13"/>
      <c r="AA252" s="13"/>
      <c r="AB252" s="13"/>
      <c r="AC252" s="13"/>
      <c r="AD252" s="13"/>
      <c r="AE252" s="13"/>
      <c r="AT252" s="231" t="s">
        <v>149</v>
      </c>
      <c r="AU252" s="231" t="s">
        <v>82</v>
      </c>
      <c r="AV252" s="13" t="s">
        <v>82</v>
      </c>
      <c r="AW252" s="13" t="s">
        <v>4</v>
      </c>
      <c r="AX252" s="13" t="s">
        <v>20</v>
      </c>
      <c r="AY252" s="231" t="s">
        <v>126</v>
      </c>
    </row>
    <row r="253" s="2" customFormat="1" ht="24.15" customHeight="1">
      <c r="A253" s="31"/>
      <c r="B253" s="32"/>
      <c r="C253" s="205" t="s">
        <v>396</v>
      </c>
      <c r="D253" s="205" t="s">
        <v>129</v>
      </c>
      <c r="E253" s="206" t="s">
        <v>397</v>
      </c>
      <c r="F253" s="207" t="s">
        <v>398</v>
      </c>
      <c r="G253" s="208" t="s">
        <v>330</v>
      </c>
      <c r="H253" s="209">
        <v>5</v>
      </c>
      <c r="I253" s="210">
        <v>0</v>
      </c>
      <c r="J253" s="210">
        <v>924</v>
      </c>
      <c r="K253" s="210">
        <f>ROUND(P253*H253,2)</f>
        <v>4620</v>
      </c>
      <c r="L253" s="207" t="s">
        <v>133</v>
      </c>
      <c r="M253" s="37"/>
      <c r="N253" s="211" t="s">
        <v>1</v>
      </c>
      <c r="O253" s="212" t="s">
        <v>39</v>
      </c>
      <c r="P253" s="213">
        <f>I253+J253</f>
        <v>924</v>
      </c>
      <c r="Q253" s="213">
        <f>ROUND(I253*H253,2)</f>
        <v>0</v>
      </c>
      <c r="R253" s="213">
        <f>ROUND(J253*H253,2)</f>
        <v>4620</v>
      </c>
      <c r="S253" s="214">
        <v>1.1879999999999999</v>
      </c>
      <c r="T253" s="214">
        <f>S253*H253</f>
        <v>5.9399999999999995</v>
      </c>
      <c r="U253" s="214">
        <v>0</v>
      </c>
      <c r="V253" s="214">
        <f>U253*H253</f>
        <v>0</v>
      </c>
      <c r="W253" s="214">
        <v>0</v>
      </c>
      <c r="X253" s="215">
        <f>W253*H253</f>
        <v>0</v>
      </c>
      <c r="Y253" s="31"/>
      <c r="Z253" s="31"/>
      <c r="AA253" s="31"/>
      <c r="AB253" s="31"/>
      <c r="AC253" s="31"/>
      <c r="AD253" s="31"/>
      <c r="AE253" s="31"/>
      <c r="AR253" s="216" t="s">
        <v>216</v>
      </c>
      <c r="AT253" s="216" t="s">
        <v>129</v>
      </c>
      <c r="AU253" s="216" t="s">
        <v>82</v>
      </c>
      <c r="AY253" s="16" t="s">
        <v>126</v>
      </c>
      <c r="BE253" s="217">
        <f>IF(O253="základní",K253,0)</f>
        <v>4620</v>
      </c>
      <c r="BF253" s="217">
        <f>IF(O253="snížená",K253,0)</f>
        <v>0</v>
      </c>
      <c r="BG253" s="217">
        <f>IF(O253="zákl. přenesená",K253,0)</f>
        <v>0</v>
      </c>
      <c r="BH253" s="217">
        <f>IF(O253="sníž. přenesená",K253,0)</f>
        <v>0</v>
      </c>
      <c r="BI253" s="217">
        <f>IF(O253="nulová",K253,0)</f>
        <v>0</v>
      </c>
      <c r="BJ253" s="16" t="s">
        <v>20</v>
      </c>
      <c r="BK253" s="217">
        <f>ROUND(P253*H253,2)</f>
        <v>4620</v>
      </c>
      <c r="BL253" s="16" t="s">
        <v>216</v>
      </c>
      <c r="BM253" s="216" t="s">
        <v>399</v>
      </c>
    </row>
    <row r="254" s="2" customFormat="1">
      <c r="A254" s="31"/>
      <c r="B254" s="32"/>
      <c r="C254" s="33"/>
      <c r="D254" s="218" t="s">
        <v>136</v>
      </c>
      <c r="E254" s="33"/>
      <c r="F254" s="219" t="s">
        <v>400</v>
      </c>
      <c r="G254" s="33"/>
      <c r="H254" s="33"/>
      <c r="I254" s="33"/>
      <c r="J254" s="33"/>
      <c r="K254" s="33"/>
      <c r="L254" s="33"/>
      <c r="M254" s="37"/>
      <c r="N254" s="220"/>
      <c r="O254" s="221"/>
      <c r="P254" s="83"/>
      <c r="Q254" s="83"/>
      <c r="R254" s="83"/>
      <c r="S254" s="83"/>
      <c r="T254" s="83"/>
      <c r="U254" s="83"/>
      <c r="V254" s="83"/>
      <c r="W254" s="83"/>
      <c r="X254" s="84"/>
      <c r="Y254" s="31"/>
      <c r="Z254" s="31"/>
      <c r="AA254" s="31"/>
      <c r="AB254" s="31"/>
      <c r="AC254" s="31"/>
      <c r="AD254" s="31"/>
      <c r="AE254" s="31"/>
      <c r="AT254" s="16" t="s">
        <v>136</v>
      </c>
      <c r="AU254" s="16" t="s">
        <v>82</v>
      </c>
    </row>
    <row r="255" s="13" customFormat="1">
      <c r="A255" s="13"/>
      <c r="B255" s="222"/>
      <c r="C255" s="223"/>
      <c r="D255" s="218" t="s">
        <v>149</v>
      </c>
      <c r="E255" s="224" t="s">
        <v>1</v>
      </c>
      <c r="F255" s="225" t="s">
        <v>155</v>
      </c>
      <c r="G255" s="223"/>
      <c r="H255" s="226">
        <v>5</v>
      </c>
      <c r="I255" s="223"/>
      <c r="J255" s="223"/>
      <c r="K255" s="223"/>
      <c r="L255" s="223"/>
      <c r="M255" s="227"/>
      <c r="N255" s="228"/>
      <c r="O255" s="229"/>
      <c r="P255" s="229"/>
      <c r="Q255" s="229"/>
      <c r="R255" s="229"/>
      <c r="S255" s="229"/>
      <c r="T255" s="229"/>
      <c r="U255" s="229"/>
      <c r="V255" s="229"/>
      <c r="W255" s="229"/>
      <c r="X255" s="230"/>
      <c r="Y255" s="13"/>
      <c r="Z255" s="13"/>
      <c r="AA255" s="13"/>
      <c r="AB255" s="13"/>
      <c r="AC255" s="13"/>
      <c r="AD255" s="13"/>
      <c r="AE255" s="13"/>
      <c r="AT255" s="231" t="s">
        <v>149</v>
      </c>
      <c r="AU255" s="231" t="s">
        <v>82</v>
      </c>
      <c r="AV255" s="13" t="s">
        <v>82</v>
      </c>
      <c r="AW255" s="13" t="s">
        <v>5</v>
      </c>
      <c r="AX255" s="13" t="s">
        <v>20</v>
      </c>
      <c r="AY255" s="231" t="s">
        <v>126</v>
      </c>
    </row>
    <row r="256" s="14" customFormat="1">
      <c r="A256" s="14"/>
      <c r="B256" s="241"/>
      <c r="C256" s="242"/>
      <c r="D256" s="218" t="s">
        <v>149</v>
      </c>
      <c r="E256" s="243" t="s">
        <v>1</v>
      </c>
      <c r="F256" s="244" t="s">
        <v>401</v>
      </c>
      <c r="G256" s="242"/>
      <c r="H256" s="243" t="s">
        <v>1</v>
      </c>
      <c r="I256" s="242"/>
      <c r="J256" s="242"/>
      <c r="K256" s="242"/>
      <c r="L256" s="242"/>
      <c r="M256" s="245"/>
      <c r="N256" s="246"/>
      <c r="O256" s="247"/>
      <c r="P256" s="247"/>
      <c r="Q256" s="247"/>
      <c r="R256" s="247"/>
      <c r="S256" s="247"/>
      <c r="T256" s="247"/>
      <c r="U256" s="247"/>
      <c r="V256" s="247"/>
      <c r="W256" s="247"/>
      <c r="X256" s="248"/>
      <c r="Y256" s="14"/>
      <c r="Z256" s="14"/>
      <c r="AA256" s="14"/>
      <c r="AB256" s="14"/>
      <c r="AC256" s="14"/>
      <c r="AD256" s="14"/>
      <c r="AE256" s="14"/>
      <c r="AT256" s="249" t="s">
        <v>149</v>
      </c>
      <c r="AU256" s="249" t="s">
        <v>82</v>
      </c>
      <c r="AV256" s="14" t="s">
        <v>20</v>
      </c>
      <c r="AW256" s="14" t="s">
        <v>5</v>
      </c>
      <c r="AX256" s="14" t="s">
        <v>76</v>
      </c>
      <c r="AY256" s="249" t="s">
        <v>126</v>
      </c>
    </row>
    <row r="257" s="2" customFormat="1" ht="24.15" customHeight="1">
      <c r="A257" s="31"/>
      <c r="B257" s="32"/>
      <c r="C257" s="205" t="s">
        <v>402</v>
      </c>
      <c r="D257" s="205" t="s">
        <v>129</v>
      </c>
      <c r="E257" s="206" t="s">
        <v>403</v>
      </c>
      <c r="F257" s="207" t="s">
        <v>404</v>
      </c>
      <c r="G257" s="208" t="s">
        <v>172</v>
      </c>
      <c r="H257" s="209">
        <v>1</v>
      </c>
      <c r="I257" s="210">
        <v>0</v>
      </c>
      <c r="J257" s="210">
        <v>144</v>
      </c>
      <c r="K257" s="210">
        <f>ROUND(P257*H257,2)</f>
        <v>144</v>
      </c>
      <c r="L257" s="207" t="s">
        <v>133</v>
      </c>
      <c r="M257" s="37"/>
      <c r="N257" s="211" t="s">
        <v>1</v>
      </c>
      <c r="O257" s="212" t="s">
        <v>39</v>
      </c>
      <c r="P257" s="213">
        <f>I257+J257</f>
        <v>144</v>
      </c>
      <c r="Q257" s="213">
        <f>ROUND(I257*H257,2)</f>
        <v>0</v>
      </c>
      <c r="R257" s="213">
        <f>ROUND(J257*H257,2)</f>
        <v>144</v>
      </c>
      <c r="S257" s="214">
        <v>0.185</v>
      </c>
      <c r="T257" s="214">
        <f>S257*H257</f>
        <v>0.185</v>
      </c>
      <c r="U257" s="214">
        <v>0</v>
      </c>
      <c r="V257" s="214">
        <f>U257*H257</f>
        <v>0</v>
      </c>
      <c r="W257" s="214">
        <v>0</v>
      </c>
      <c r="X257" s="215">
        <f>W257*H257</f>
        <v>0</v>
      </c>
      <c r="Y257" s="31"/>
      <c r="Z257" s="31"/>
      <c r="AA257" s="31"/>
      <c r="AB257" s="31"/>
      <c r="AC257" s="31"/>
      <c r="AD257" s="31"/>
      <c r="AE257" s="31"/>
      <c r="AR257" s="216" t="s">
        <v>216</v>
      </c>
      <c r="AT257" s="216" t="s">
        <v>129</v>
      </c>
      <c r="AU257" s="216" t="s">
        <v>82</v>
      </c>
      <c r="AY257" s="16" t="s">
        <v>126</v>
      </c>
      <c r="BE257" s="217">
        <f>IF(O257="základní",K257,0)</f>
        <v>144</v>
      </c>
      <c r="BF257" s="217">
        <f>IF(O257="snížená",K257,0)</f>
        <v>0</v>
      </c>
      <c r="BG257" s="217">
        <f>IF(O257="zákl. přenesená",K257,0)</f>
        <v>0</v>
      </c>
      <c r="BH257" s="217">
        <f>IF(O257="sníž. přenesená",K257,0)</f>
        <v>0</v>
      </c>
      <c r="BI257" s="217">
        <f>IF(O257="nulová",K257,0)</f>
        <v>0</v>
      </c>
      <c r="BJ257" s="16" t="s">
        <v>20</v>
      </c>
      <c r="BK257" s="217">
        <f>ROUND(P257*H257,2)</f>
        <v>144</v>
      </c>
      <c r="BL257" s="16" t="s">
        <v>216</v>
      </c>
      <c r="BM257" s="216" t="s">
        <v>405</v>
      </c>
    </row>
    <row r="258" s="2" customFormat="1">
      <c r="A258" s="31"/>
      <c r="B258" s="32"/>
      <c r="C258" s="33"/>
      <c r="D258" s="218" t="s">
        <v>136</v>
      </c>
      <c r="E258" s="33"/>
      <c r="F258" s="219" t="s">
        <v>406</v>
      </c>
      <c r="G258" s="33"/>
      <c r="H258" s="33"/>
      <c r="I258" s="33"/>
      <c r="J258" s="33"/>
      <c r="K258" s="33"/>
      <c r="L258" s="33"/>
      <c r="M258" s="37"/>
      <c r="N258" s="220"/>
      <c r="O258" s="221"/>
      <c r="P258" s="83"/>
      <c r="Q258" s="83"/>
      <c r="R258" s="83"/>
      <c r="S258" s="83"/>
      <c r="T258" s="83"/>
      <c r="U258" s="83"/>
      <c r="V258" s="83"/>
      <c r="W258" s="83"/>
      <c r="X258" s="84"/>
      <c r="Y258" s="31"/>
      <c r="Z258" s="31"/>
      <c r="AA258" s="31"/>
      <c r="AB258" s="31"/>
      <c r="AC258" s="31"/>
      <c r="AD258" s="31"/>
      <c r="AE258" s="31"/>
      <c r="AT258" s="16" t="s">
        <v>136</v>
      </c>
      <c r="AU258" s="16" t="s">
        <v>82</v>
      </c>
    </row>
    <row r="259" s="13" customFormat="1">
      <c r="A259" s="13"/>
      <c r="B259" s="222"/>
      <c r="C259" s="223"/>
      <c r="D259" s="218" t="s">
        <v>149</v>
      </c>
      <c r="E259" s="224" t="s">
        <v>1</v>
      </c>
      <c r="F259" s="225" t="s">
        <v>20</v>
      </c>
      <c r="G259" s="223"/>
      <c r="H259" s="226">
        <v>1</v>
      </c>
      <c r="I259" s="223"/>
      <c r="J259" s="223"/>
      <c r="K259" s="223"/>
      <c r="L259" s="223"/>
      <c r="M259" s="227"/>
      <c r="N259" s="228"/>
      <c r="O259" s="229"/>
      <c r="P259" s="229"/>
      <c r="Q259" s="229"/>
      <c r="R259" s="229"/>
      <c r="S259" s="229"/>
      <c r="T259" s="229"/>
      <c r="U259" s="229"/>
      <c r="V259" s="229"/>
      <c r="W259" s="229"/>
      <c r="X259" s="230"/>
      <c r="Y259" s="13"/>
      <c r="Z259" s="13"/>
      <c r="AA259" s="13"/>
      <c r="AB259" s="13"/>
      <c r="AC259" s="13"/>
      <c r="AD259" s="13"/>
      <c r="AE259" s="13"/>
      <c r="AT259" s="231" t="s">
        <v>149</v>
      </c>
      <c r="AU259" s="231" t="s">
        <v>82</v>
      </c>
      <c r="AV259" s="13" t="s">
        <v>82</v>
      </c>
      <c r="AW259" s="13" t="s">
        <v>5</v>
      </c>
      <c r="AX259" s="13" t="s">
        <v>20</v>
      </c>
      <c r="AY259" s="231" t="s">
        <v>126</v>
      </c>
    </row>
    <row r="260" s="14" customFormat="1">
      <c r="A260" s="14"/>
      <c r="B260" s="241"/>
      <c r="C260" s="242"/>
      <c r="D260" s="218" t="s">
        <v>149</v>
      </c>
      <c r="E260" s="243" t="s">
        <v>1</v>
      </c>
      <c r="F260" s="244" t="s">
        <v>407</v>
      </c>
      <c r="G260" s="242"/>
      <c r="H260" s="243" t="s">
        <v>1</v>
      </c>
      <c r="I260" s="242"/>
      <c r="J260" s="242"/>
      <c r="K260" s="242"/>
      <c r="L260" s="242"/>
      <c r="M260" s="245"/>
      <c r="N260" s="246"/>
      <c r="O260" s="247"/>
      <c r="P260" s="247"/>
      <c r="Q260" s="247"/>
      <c r="R260" s="247"/>
      <c r="S260" s="247"/>
      <c r="T260" s="247"/>
      <c r="U260" s="247"/>
      <c r="V260" s="247"/>
      <c r="W260" s="247"/>
      <c r="X260" s="248"/>
      <c r="Y260" s="14"/>
      <c r="Z260" s="14"/>
      <c r="AA260" s="14"/>
      <c r="AB260" s="14"/>
      <c r="AC260" s="14"/>
      <c r="AD260" s="14"/>
      <c r="AE260" s="14"/>
      <c r="AT260" s="249" t="s">
        <v>149</v>
      </c>
      <c r="AU260" s="249" t="s">
        <v>82</v>
      </c>
      <c r="AV260" s="14" t="s">
        <v>20</v>
      </c>
      <c r="AW260" s="14" t="s">
        <v>5</v>
      </c>
      <c r="AX260" s="14" t="s">
        <v>76</v>
      </c>
      <c r="AY260" s="249" t="s">
        <v>126</v>
      </c>
    </row>
    <row r="261" s="2" customFormat="1" ht="24.15" customHeight="1">
      <c r="A261" s="31"/>
      <c r="B261" s="32"/>
      <c r="C261" s="205" t="s">
        <v>408</v>
      </c>
      <c r="D261" s="205" t="s">
        <v>129</v>
      </c>
      <c r="E261" s="206" t="s">
        <v>409</v>
      </c>
      <c r="F261" s="207" t="s">
        <v>410</v>
      </c>
      <c r="G261" s="208" t="s">
        <v>132</v>
      </c>
      <c r="H261" s="209">
        <v>154</v>
      </c>
      <c r="I261" s="210">
        <v>0</v>
      </c>
      <c r="J261" s="210">
        <v>187</v>
      </c>
      <c r="K261" s="210">
        <f>ROUND(P261*H261,2)</f>
        <v>28798</v>
      </c>
      <c r="L261" s="207" t="s">
        <v>133</v>
      </c>
      <c r="M261" s="37"/>
      <c r="N261" s="211" t="s">
        <v>1</v>
      </c>
      <c r="O261" s="212" t="s">
        <v>39</v>
      </c>
      <c r="P261" s="213">
        <f>I261+J261</f>
        <v>187</v>
      </c>
      <c r="Q261" s="213">
        <f>ROUND(I261*H261,2)</f>
        <v>0</v>
      </c>
      <c r="R261" s="213">
        <f>ROUND(J261*H261,2)</f>
        <v>28798</v>
      </c>
      <c r="S261" s="214">
        <v>0.28299999999999997</v>
      </c>
      <c r="T261" s="214">
        <f>S261*H261</f>
        <v>43.581999999999994</v>
      </c>
      <c r="U261" s="214">
        <v>0</v>
      </c>
      <c r="V261" s="214">
        <f>U261*H261</f>
        <v>0</v>
      </c>
      <c r="W261" s="214">
        <v>0.066400000000000001</v>
      </c>
      <c r="X261" s="215">
        <f>W261*H261</f>
        <v>10.2256</v>
      </c>
      <c r="Y261" s="31"/>
      <c r="Z261" s="31"/>
      <c r="AA261" s="31"/>
      <c r="AB261" s="31"/>
      <c r="AC261" s="31"/>
      <c r="AD261" s="31"/>
      <c r="AE261" s="31"/>
      <c r="AR261" s="216" t="s">
        <v>216</v>
      </c>
      <c r="AT261" s="216" t="s">
        <v>129</v>
      </c>
      <c r="AU261" s="216" t="s">
        <v>82</v>
      </c>
      <c r="AY261" s="16" t="s">
        <v>126</v>
      </c>
      <c r="BE261" s="217">
        <f>IF(O261="základní",K261,0)</f>
        <v>28798</v>
      </c>
      <c r="BF261" s="217">
        <f>IF(O261="snížená",K261,0)</f>
        <v>0</v>
      </c>
      <c r="BG261" s="217">
        <f>IF(O261="zákl. přenesená",K261,0)</f>
        <v>0</v>
      </c>
      <c r="BH261" s="217">
        <f>IF(O261="sníž. přenesená",K261,0)</f>
        <v>0</v>
      </c>
      <c r="BI261" s="217">
        <f>IF(O261="nulová",K261,0)</f>
        <v>0</v>
      </c>
      <c r="BJ261" s="16" t="s">
        <v>20</v>
      </c>
      <c r="BK261" s="217">
        <f>ROUND(P261*H261,2)</f>
        <v>28798</v>
      </c>
      <c r="BL261" s="16" t="s">
        <v>216</v>
      </c>
      <c r="BM261" s="216" t="s">
        <v>411</v>
      </c>
    </row>
    <row r="262" s="2" customFormat="1">
      <c r="A262" s="31"/>
      <c r="B262" s="32"/>
      <c r="C262" s="33"/>
      <c r="D262" s="218" t="s">
        <v>136</v>
      </c>
      <c r="E262" s="33"/>
      <c r="F262" s="219" t="s">
        <v>412</v>
      </c>
      <c r="G262" s="33"/>
      <c r="H262" s="33"/>
      <c r="I262" s="33"/>
      <c r="J262" s="33"/>
      <c r="K262" s="33"/>
      <c r="L262" s="33"/>
      <c r="M262" s="37"/>
      <c r="N262" s="220"/>
      <c r="O262" s="221"/>
      <c r="P262" s="83"/>
      <c r="Q262" s="83"/>
      <c r="R262" s="83"/>
      <c r="S262" s="83"/>
      <c r="T262" s="83"/>
      <c r="U262" s="83"/>
      <c r="V262" s="83"/>
      <c r="W262" s="83"/>
      <c r="X262" s="84"/>
      <c r="Y262" s="31"/>
      <c r="Z262" s="31"/>
      <c r="AA262" s="31"/>
      <c r="AB262" s="31"/>
      <c r="AC262" s="31"/>
      <c r="AD262" s="31"/>
      <c r="AE262" s="31"/>
      <c r="AT262" s="16" t="s">
        <v>136</v>
      </c>
      <c r="AU262" s="16" t="s">
        <v>82</v>
      </c>
    </row>
    <row r="263" s="2" customFormat="1" ht="24.15" customHeight="1">
      <c r="A263" s="31"/>
      <c r="B263" s="32"/>
      <c r="C263" s="205" t="s">
        <v>413</v>
      </c>
      <c r="D263" s="205" t="s">
        <v>129</v>
      </c>
      <c r="E263" s="206" t="s">
        <v>414</v>
      </c>
      <c r="F263" s="207" t="s">
        <v>415</v>
      </c>
      <c r="G263" s="208" t="s">
        <v>132</v>
      </c>
      <c r="H263" s="209">
        <v>154</v>
      </c>
      <c r="I263" s="210">
        <v>0</v>
      </c>
      <c r="J263" s="210">
        <v>22.399999999999999</v>
      </c>
      <c r="K263" s="210">
        <f>ROUND(P263*H263,2)</f>
        <v>3449.5999999999999</v>
      </c>
      <c r="L263" s="207" t="s">
        <v>133</v>
      </c>
      <c r="M263" s="37"/>
      <c r="N263" s="211" t="s">
        <v>1</v>
      </c>
      <c r="O263" s="212" t="s">
        <v>39</v>
      </c>
      <c r="P263" s="213">
        <f>I263+J263</f>
        <v>22.399999999999999</v>
      </c>
      <c r="Q263" s="213">
        <f>ROUND(I263*H263,2)</f>
        <v>0</v>
      </c>
      <c r="R263" s="213">
        <f>ROUND(J263*H263,2)</f>
        <v>3449.5999999999999</v>
      </c>
      <c r="S263" s="214">
        <v>0.034000000000000002</v>
      </c>
      <c r="T263" s="214">
        <f>S263*H263</f>
        <v>5.2360000000000007</v>
      </c>
      <c r="U263" s="214">
        <v>0</v>
      </c>
      <c r="V263" s="214">
        <f>U263*H263</f>
        <v>0</v>
      </c>
      <c r="W263" s="214">
        <v>0</v>
      </c>
      <c r="X263" s="215">
        <f>W263*H263</f>
        <v>0</v>
      </c>
      <c r="Y263" s="31"/>
      <c r="Z263" s="31"/>
      <c r="AA263" s="31"/>
      <c r="AB263" s="31"/>
      <c r="AC263" s="31"/>
      <c r="AD263" s="31"/>
      <c r="AE263" s="31"/>
      <c r="AR263" s="216" t="s">
        <v>216</v>
      </c>
      <c r="AT263" s="216" t="s">
        <v>129</v>
      </c>
      <c r="AU263" s="216" t="s">
        <v>82</v>
      </c>
      <c r="AY263" s="16" t="s">
        <v>126</v>
      </c>
      <c r="BE263" s="217">
        <f>IF(O263="základní",K263,0)</f>
        <v>3449.5999999999999</v>
      </c>
      <c r="BF263" s="217">
        <f>IF(O263="snížená",K263,0)</f>
        <v>0</v>
      </c>
      <c r="BG263" s="217">
        <f>IF(O263="zákl. přenesená",K263,0)</f>
        <v>0</v>
      </c>
      <c r="BH263" s="217">
        <f>IF(O263="sníž. přenesená",K263,0)</f>
        <v>0</v>
      </c>
      <c r="BI263" s="217">
        <f>IF(O263="nulová",K263,0)</f>
        <v>0</v>
      </c>
      <c r="BJ263" s="16" t="s">
        <v>20</v>
      </c>
      <c r="BK263" s="217">
        <f>ROUND(P263*H263,2)</f>
        <v>3449.5999999999999</v>
      </c>
      <c r="BL263" s="16" t="s">
        <v>216</v>
      </c>
      <c r="BM263" s="216" t="s">
        <v>416</v>
      </c>
    </row>
    <row r="264" s="2" customFormat="1">
      <c r="A264" s="31"/>
      <c r="B264" s="32"/>
      <c r="C264" s="33"/>
      <c r="D264" s="218" t="s">
        <v>136</v>
      </c>
      <c r="E264" s="33"/>
      <c r="F264" s="219" t="s">
        <v>417</v>
      </c>
      <c r="G264" s="33"/>
      <c r="H264" s="33"/>
      <c r="I264" s="33"/>
      <c r="J264" s="33"/>
      <c r="K264" s="33"/>
      <c r="L264" s="33"/>
      <c r="M264" s="37"/>
      <c r="N264" s="220"/>
      <c r="O264" s="221"/>
      <c r="P264" s="83"/>
      <c r="Q264" s="83"/>
      <c r="R264" s="83"/>
      <c r="S264" s="83"/>
      <c r="T264" s="83"/>
      <c r="U264" s="83"/>
      <c r="V264" s="83"/>
      <c r="W264" s="83"/>
      <c r="X264" s="84"/>
      <c r="Y264" s="31"/>
      <c r="Z264" s="31"/>
      <c r="AA264" s="31"/>
      <c r="AB264" s="31"/>
      <c r="AC264" s="31"/>
      <c r="AD264" s="31"/>
      <c r="AE264" s="31"/>
      <c r="AT264" s="16" t="s">
        <v>136</v>
      </c>
      <c r="AU264" s="16" t="s">
        <v>82</v>
      </c>
    </row>
    <row r="265" s="2" customFormat="1" ht="24.15" customHeight="1">
      <c r="A265" s="31"/>
      <c r="B265" s="32"/>
      <c r="C265" s="205" t="s">
        <v>418</v>
      </c>
      <c r="D265" s="205" t="s">
        <v>129</v>
      </c>
      <c r="E265" s="206" t="s">
        <v>419</v>
      </c>
      <c r="F265" s="207" t="s">
        <v>420</v>
      </c>
      <c r="G265" s="208" t="s">
        <v>172</v>
      </c>
      <c r="H265" s="209">
        <v>25</v>
      </c>
      <c r="I265" s="210">
        <v>0</v>
      </c>
      <c r="J265" s="210">
        <v>193</v>
      </c>
      <c r="K265" s="210">
        <f>ROUND(P265*H265,2)</f>
        <v>4825</v>
      </c>
      <c r="L265" s="207" t="s">
        <v>133</v>
      </c>
      <c r="M265" s="37"/>
      <c r="N265" s="211" t="s">
        <v>1</v>
      </c>
      <c r="O265" s="212" t="s">
        <v>39</v>
      </c>
      <c r="P265" s="213">
        <f>I265+J265</f>
        <v>193</v>
      </c>
      <c r="Q265" s="213">
        <f>ROUND(I265*H265,2)</f>
        <v>0</v>
      </c>
      <c r="R265" s="213">
        <f>ROUND(J265*H265,2)</f>
        <v>4825</v>
      </c>
      <c r="S265" s="214">
        <v>0.248</v>
      </c>
      <c r="T265" s="214">
        <f>S265*H265</f>
        <v>6.2000000000000002</v>
      </c>
      <c r="U265" s="214">
        <v>0</v>
      </c>
      <c r="V265" s="214">
        <f>U265*H265</f>
        <v>0</v>
      </c>
      <c r="W265" s="214">
        <v>0</v>
      </c>
      <c r="X265" s="215">
        <f>W265*H265</f>
        <v>0</v>
      </c>
      <c r="Y265" s="31"/>
      <c r="Z265" s="31"/>
      <c r="AA265" s="31"/>
      <c r="AB265" s="31"/>
      <c r="AC265" s="31"/>
      <c r="AD265" s="31"/>
      <c r="AE265" s="31"/>
      <c r="AR265" s="216" t="s">
        <v>216</v>
      </c>
      <c r="AT265" s="216" t="s">
        <v>129</v>
      </c>
      <c r="AU265" s="216" t="s">
        <v>82</v>
      </c>
      <c r="AY265" s="16" t="s">
        <v>126</v>
      </c>
      <c r="BE265" s="217">
        <f>IF(O265="základní",K265,0)</f>
        <v>4825</v>
      </c>
      <c r="BF265" s="217">
        <f>IF(O265="snížená",K265,0)</f>
        <v>0</v>
      </c>
      <c r="BG265" s="217">
        <f>IF(O265="zákl. přenesená",K265,0)</f>
        <v>0</v>
      </c>
      <c r="BH265" s="217">
        <f>IF(O265="sníž. přenesená",K265,0)</f>
        <v>0</v>
      </c>
      <c r="BI265" s="217">
        <f>IF(O265="nulová",K265,0)</f>
        <v>0</v>
      </c>
      <c r="BJ265" s="16" t="s">
        <v>20</v>
      </c>
      <c r="BK265" s="217">
        <f>ROUND(P265*H265,2)</f>
        <v>4825</v>
      </c>
      <c r="BL265" s="16" t="s">
        <v>216</v>
      </c>
      <c r="BM265" s="216" t="s">
        <v>421</v>
      </c>
    </row>
    <row r="266" s="2" customFormat="1">
      <c r="A266" s="31"/>
      <c r="B266" s="32"/>
      <c r="C266" s="33"/>
      <c r="D266" s="218" t="s">
        <v>136</v>
      </c>
      <c r="E266" s="33"/>
      <c r="F266" s="219" t="s">
        <v>422</v>
      </c>
      <c r="G266" s="33"/>
      <c r="H266" s="33"/>
      <c r="I266" s="33"/>
      <c r="J266" s="33"/>
      <c r="K266" s="33"/>
      <c r="L266" s="33"/>
      <c r="M266" s="37"/>
      <c r="N266" s="220"/>
      <c r="O266" s="221"/>
      <c r="P266" s="83"/>
      <c r="Q266" s="83"/>
      <c r="R266" s="83"/>
      <c r="S266" s="83"/>
      <c r="T266" s="83"/>
      <c r="U266" s="83"/>
      <c r="V266" s="83"/>
      <c r="W266" s="83"/>
      <c r="X266" s="84"/>
      <c r="Y266" s="31"/>
      <c r="Z266" s="31"/>
      <c r="AA266" s="31"/>
      <c r="AB266" s="31"/>
      <c r="AC266" s="31"/>
      <c r="AD266" s="31"/>
      <c r="AE266" s="31"/>
      <c r="AT266" s="16" t="s">
        <v>136</v>
      </c>
      <c r="AU266" s="16" t="s">
        <v>82</v>
      </c>
    </row>
    <row r="267" s="2" customFormat="1" ht="24.15" customHeight="1">
      <c r="A267" s="31"/>
      <c r="B267" s="32"/>
      <c r="C267" s="232" t="s">
        <v>423</v>
      </c>
      <c r="D267" s="232" t="s">
        <v>223</v>
      </c>
      <c r="E267" s="233" t="s">
        <v>424</v>
      </c>
      <c r="F267" s="234" t="s">
        <v>425</v>
      </c>
      <c r="G267" s="235" t="s">
        <v>426</v>
      </c>
      <c r="H267" s="236">
        <v>9</v>
      </c>
      <c r="I267" s="237">
        <v>2500</v>
      </c>
      <c r="J267" s="238"/>
      <c r="K267" s="237">
        <f>ROUND(P267*H267,2)</f>
        <v>22500</v>
      </c>
      <c r="L267" s="234" t="s">
        <v>133</v>
      </c>
      <c r="M267" s="239"/>
      <c r="N267" s="240" t="s">
        <v>1</v>
      </c>
      <c r="O267" s="212" t="s">
        <v>39</v>
      </c>
      <c r="P267" s="213">
        <f>I267+J267</f>
        <v>2500</v>
      </c>
      <c r="Q267" s="213">
        <f>ROUND(I267*H267,2)</f>
        <v>22500</v>
      </c>
      <c r="R267" s="213">
        <f>ROUND(J267*H267,2)</f>
        <v>0</v>
      </c>
      <c r="S267" s="214">
        <v>0</v>
      </c>
      <c r="T267" s="214">
        <f>S267*H267</f>
        <v>0</v>
      </c>
      <c r="U267" s="214">
        <v>0.01</v>
      </c>
      <c r="V267" s="214">
        <f>U267*H267</f>
        <v>0.089999999999999997</v>
      </c>
      <c r="W267" s="214">
        <v>0</v>
      </c>
      <c r="X267" s="215">
        <f>W267*H267</f>
        <v>0</v>
      </c>
      <c r="Y267" s="31"/>
      <c r="Z267" s="31"/>
      <c r="AA267" s="31"/>
      <c r="AB267" s="31"/>
      <c r="AC267" s="31"/>
      <c r="AD267" s="31"/>
      <c r="AE267" s="31"/>
      <c r="AR267" s="216" t="s">
        <v>226</v>
      </c>
      <c r="AT267" s="216" t="s">
        <v>223</v>
      </c>
      <c r="AU267" s="216" t="s">
        <v>82</v>
      </c>
      <c r="AY267" s="16" t="s">
        <v>126</v>
      </c>
      <c r="BE267" s="217">
        <f>IF(O267="základní",K267,0)</f>
        <v>22500</v>
      </c>
      <c r="BF267" s="217">
        <f>IF(O267="snížená",K267,0)</f>
        <v>0</v>
      </c>
      <c r="BG267" s="217">
        <f>IF(O267="zákl. přenesená",K267,0)</f>
        <v>0</v>
      </c>
      <c r="BH267" s="217">
        <f>IF(O267="sníž. přenesená",K267,0)</f>
        <v>0</v>
      </c>
      <c r="BI267" s="217">
        <f>IF(O267="nulová",K267,0)</f>
        <v>0</v>
      </c>
      <c r="BJ267" s="16" t="s">
        <v>20</v>
      </c>
      <c r="BK267" s="217">
        <f>ROUND(P267*H267,2)</f>
        <v>22500</v>
      </c>
      <c r="BL267" s="16" t="s">
        <v>216</v>
      </c>
      <c r="BM267" s="216" t="s">
        <v>427</v>
      </c>
    </row>
    <row r="268" s="2" customFormat="1">
      <c r="A268" s="31"/>
      <c r="B268" s="32"/>
      <c r="C268" s="33"/>
      <c r="D268" s="218" t="s">
        <v>136</v>
      </c>
      <c r="E268" s="33"/>
      <c r="F268" s="219" t="s">
        <v>425</v>
      </c>
      <c r="G268" s="33"/>
      <c r="H268" s="33"/>
      <c r="I268" s="33"/>
      <c r="J268" s="33"/>
      <c r="K268" s="33"/>
      <c r="L268" s="33"/>
      <c r="M268" s="37"/>
      <c r="N268" s="220"/>
      <c r="O268" s="221"/>
      <c r="P268" s="83"/>
      <c r="Q268" s="83"/>
      <c r="R268" s="83"/>
      <c r="S268" s="83"/>
      <c r="T268" s="83"/>
      <c r="U268" s="83"/>
      <c r="V268" s="83"/>
      <c r="W268" s="83"/>
      <c r="X268" s="84"/>
      <c r="Y268" s="31"/>
      <c r="Z268" s="31"/>
      <c r="AA268" s="31"/>
      <c r="AB268" s="31"/>
      <c r="AC268" s="31"/>
      <c r="AD268" s="31"/>
      <c r="AE268" s="31"/>
      <c r="AT268" s="16" t="s">
        <v>136</v>
      </c>
      <c r="AU268" s="16" t="s">
        <v>82</v>
      </c>
    </row>
    <row r="269" s="2" customFormat="1" ht="37.8" customHeight="1">
      <c r="A269" s="31"/>
      <c r="B269" s="32"/>
      <c r="C269" s="205" t="s">
        <v>428</v>
      </c>
      <c r="D269" s="205" t="s">
        <v>129</v>
      </c>
      <c r="E269" s="206" t="s">
        <v>429</v>
      </c>
      <c r="F269" s="207" t="s">
        <v>430</v>
      </c>
      <c r="G269" s="208" t="s">
        <v>132</v>
      </c>
      <c r="H269" s="209">
        <v>205.19999999999999</v>
      </c>
      <c r="I269" s="210">
        <v>9.3100000000000005</v>
      </c>
      <c r="J269" s="210">
        <v>77.789999999999992</v>
      </c>
      <c r="K269" s="210">
        <f>ROUND(P269*H269,2)</f>
        <v>17872.919999999998</v>
      </c>
      <c r="L269" s="207" t="s">
        <v>133</v>
      </c>
      <c r="M269" s="37"/>
      <c r="N269" s="211" t="s">
        <v>1</v>
      </c>
      <c r="O269" s="212" t="s">
        <v>39</v>
      </c>
      <c r="P269" s="213">
        <f>I269+J269</f>
        <v>87.099999999999994</v>
      </c>
      <c r="Q269" s="213">
        <f>ROUND(I269*H269,2)</f>
        <v>1910.4100000000001</v>
      </c>
      <c r="R269" s="213">
        <f>ROUND(J269*H269,2)</f>
        <v>15962.51</v>
      </c>
      <c r="S269" s="214">
        <v>0.10000000000000001</v>
      </c>
      <c r="T269" s="214">
        <f>S269*H269</f>
        <v>20.52</v>
      </c>
      <c r="U269" s="214">
        <v>1.0000000000000001E-05</v>
      </c>
      <c r="V269" s="214">
        <f>U269*H269</f>
        <v>0.002052</v>
      </c>
      <c r="W269" s="214">
        <v>0</v>
      </c>
      <c r="X269" s="215">
        <f>W269*H269</f>
        <v>0</v>
      </c>
      <c r="Y269" s="31"/>
      <c r="Z269" s="31"/>
      <c r="AA269" s="31"/>
      <c r="AB269" s="31"/>
      <c r="AC269" s="31"/>
      <c r="AD269" s="31"/>
      <c r="AE269" s="31"/>
      <c r="AR269" s="216" t="s">
        <v>216</v>
      </c>
      <c r="AT269" s="216" t="s">
        <v>129</v>
      </c>
      <c r="AU269" s="216" t="s">
        <v>82</v>
      </c>
      <c r="AY269" s="16" t="s">
        <v>126</v>
      </c>
      <c r="BE269" s="217">
        <f>IF(O269="základní",K269,0)</f>
        <v>17872.919999999998</v>
      </c>
      <c r="BF269" s="217">
        <f>IF(O269="snížená",K269,0)</f>
        <v>0</v>
      </c>
      <c r="BG269" s="217">
        <f>IF(O269="zákl. přenesená",K269,0)</f>
        <v>0</v>
      </c>
      <c r="BH269" s="217">
        <f>IF(O269="sníž. přenesená",K269,0)</f>
        <v>0</v>
      </c>
      <c r="BI269" s="217">
        <f>IF(O269="nulová",K269,0)</f>
        <v>0</v>
      </c>
      <c r="BJ269" s="16" t="s">
        <v>20</v>
      </c>
      <c r="BK269" s="217">
        <f>ROUND(P269*H269,2)</f>
        <v>17872.919999999998</v>
      </c>
      <c r="BL269" s="16" t="s">
        <v>216</v>
      </c>
      <c r="BM269" s="216" t="s">
        <v>431</v>
      </c>
    </row>
    <row r="270" s="2" customFormat="1">
      <c r="A270" s="31"/>
      <c r="B270" s="32"/>
      <c r="C270" s="33"/>
      <c r="D270" s="218" t="s">
        <v>136</v>
      </c>
      <c r="E270" s="33"/>
      <c r="F270" s="219" t="s">
        <v>432</v>
      </c>
      <c r="G270" s="33"/>
      <c r="H270" s="33"/>
      <c r="I270" s="33"/>
      <c r="J270" s="33"/>
      <c r="K270" s="33"/>
      <c r="L270" s="33"/>
      <c r="M270" s="37"/>
      <c r="N270" s="220"/>
      <c r="O270" s="221"/>
      <c r="P270" s="83"/>
      <c r="Q270" s="83"/>
      <c r="R270" s="83"/>
      <c r="S270" s="83"/>
      <c r="T270" s="83"/>
      <c r="U270" s="83"/>
      <c r="V270" s="83"/>
      <c r="W270" s="83"/>
      <c r="X270" s="84"/>
      <c r="Y270" s="31"/>
      <c r="Z270" s="31"/>
      <c r="AA270" s="31"/>
      <c r="AB270" s="31"/>
      <c r="AC270" s="31"/>
      <c r="AD270" s="31"/>
      <c r="AE270" s="31"/>
      <c r="AT270" s="16" t="s">
        <v>136</v>
      </c>
      <c r="AU270" s="16" t="s">
        <v>82</v>
      </c>
    </row>
    <row r="271" s="2" customFormat="1" ht="16.5" customHeight="1">
      <c r="A271" s="31"/>
      <c r="B271" s="32"/>
      <c r="C271" s="232" t="s">
        <v>433</v>
      </c>
      <c r="D271" s="232" t="s">
        <v>223</v>
      </c>
      <c r="E271" s="233" t="s">
        <v>434</v>
      </c>
      <c r="F271" s="234" t="s">
        <v>435</v>
      </c>
      <c r="G271" s="235" t="s">
        <v>172</v>
      </c>
      <c r="H271" s="236">
        <v>154</v>
      </c>
      <c r="I271" s="237">
        <v>10.5</v>
      </c>
      <c r="J271" s="238"/>
      <c r="K271" s="237">
        <f>ROUND(P271*H271,2)</f>
        <v>1617</v>
      </c>
      <c r="L271" s="234" t="s">
        <v>1</v>
      </c>
      <c r="M271" s="239"/>
      <c r="N271" s="240" t="s">
        <v>1</v>
      </c>
      <c r="O271" s="212" t="s">
        <v>39</v>
      </c>
      <c r="P271" s="213">
        <f>I271+J271</f>
        <v>10.5</v>
      </c>
      <c r="Q271" s="213">
        <f>ROUND(I271*H271,2)</f>
        <v>1617</v>
      </c>
      <c r="R271" s="213">
        <f>ROUND(J271*H271,2)</f>
        <v>0</v>
      </c>
      <c r="S271" s="214">
        <v>0</v>
      </c>
      <c r="T271" s="214">
        <f>S271*H271</f>
        <v>0</v>
      </c>
      <c r="U271" s="214">
        <v>5.0000000000000002E-05</v>
      </c>
      <c r="V271" s="214">
        <f>U271*H271</f>
        <v>0.0077000000000000002</v>
      </c>
      <c r="W271" s="214">
        <v>0</v>
      </c>
      <c r="X271" s="215">
        <f>W271*H271</f>
        <v>0</v>
      </c>
      <c r="Y271" s="31"/>
      <c r="Z271" s="31"/>
      <c r="AA271" s="31"/>
      <c r="AB271" s="31"/>
      <c r="AC271" s="31"/>
      <c r="AD271" s="31"/>
      <c r="AE271" s="31"/>
      <c r="AR271" s="216" t="s">
        <v>226</v>
      </c>
      <c r="AT271" s="216" t="s">
        <v>223</v>
      </c>
      <c r="AU271" s="216" t="s">
        <v>82</v>
      </c>
      <c r="AY271" s="16" t="s">
        <v>126</v>
      </c>
      <c r="BE271" s="217">
        <f>IF(O271="základní",K271,0)</f>
        <v>1617</v>
      </c>
      <c r="BF271" s="217">
        <f>IF(O271="snížená",K271,0)</f>
        <v>0</v>
      </c>
      <c r="BG271" s="217">
        <f>IF(O271="zákl. přenesená",K271,0)</f>
        <v>0</v>
      </c>
      <c r="BH271" s="217">
        <f>IF(O271="sníž. přenesená",K271,0)</f>
        <v>0</v>
      </c>
      <c r="BI271" s="217">
        <f>IF(O271="nulová",K271,0)</f>
        <v>0</v>
      </c>
      <c r="BJ271" s="16" t="s">
        <v>20</v>
      </c>
      <c r="BK271" s="217">
        <f>ROUND(P271*H271,2)</f>
        <v>1617</v>
      </c>
      <c r="BL271" s="16" t="s">
        <v>216</v>
      </c>
      <c r="BM271" s="216" t="s">
        <v>436</v>
      </c>
    </row>
    <row r="272" s="2" customFormat="1">
      <c r="A272" s="31"/>
      <c r="B272" s="32"/>
      <c r="C272" s="33"/>
      <c r="D272" s="218" t="s">
        <v>136</v>
      </c>
      <c r="E272" s="33"/>
      <c r="F272" s="219" t="s">
        <v>435</v>
      </c>
      <c r="G272" s="33"/>
      <c r="H272" s="33"/>
      <c r="I272" s="33"/>
      <c r="J272" s="33"/>
      <c r="K272" s="33"/>
      <c r="L272" s="33"/>
      <c r="M272" s="37"/>
      <c r="N272" s="220"/>
      <c r="O272" s="221"/>
      <c r="P272" s="83"/>
      <c r="Q272" s="83"/>
      <c r="R272" s="83"/>
      <c r="S272" s="83"/>
      <c r="T272" s="83"/>
      <c r="U272" s="83"/>
      <c r="V272" s="83"/>
      <c r="W272" s="83"/>
      <c r="X272" s="84"/>
      <c r="Y272" s="31"/>
      <c r="Z272" s="31"/>
      <c r="AA272" s="31"/>
      <c r="AB272" s="31"/>
      <c r="AC272" s="31"/>
      <c r="AD272" s="31"/>
      <c r="AE272" s="31"/>
      <c r="AT272" s="16" t="s">
        <v>136</v>
      </c>
      <c r="AU272" s="16" t="s">
        <v>82</v>
      </c>
    </row>
    <row r="273" s="2" customFormat="1" ht="37.8" customHeight="1">
      <c r="A273" s="31"/>
      <c r="B273" s="32"/>
      <c r="C273" s="205" t="s">
        <v>437</v>
      </c>
      <c r="D273" s="205" t="s">
        <v>129</v>
      </c>
      <c r="E273" s="206" t="s">
        <v>438</v>
      </c>
      <c r="F273" s="207" t="s">
        <v>439</v>
      </c>
      <c r="G273" s="208" t="s">
        <v>132</v>
      </c>
      <c r="H273" s="209">
        <v>205.19999999999999</v>
      </c>
      <c r="I273" s="210">
        <v>0</v>
      </c>
      <c r="J273" s="210">
        <v>52.899999999999999</v>
      </c>
      <c r="K273" s="210">
        <f>ROUND(P273*H273,2)</f>
        <v>10855.08</v>
      </c>
      <c r="L273" s="207" t="s">
        <v>133</v>
      </c>
      <c r="M273" s="37"/>
      <c r="N273" s="211" t="s">
        <v>1</v>
      </c>
      <c r="O273" s="212" t="s">
        <v>39</v>
      </c>
      <c r="P273" s="213">
        <f>I273+J273</f>
        <v>52.899999999999999</v>
      </c>
      <c r="Q273" s="213">
        <f>ROUND(I273*H273,2)</f>
        <v>0</v>
      </c>
      <c r="R273" s="213">
        <f>ROUND(J273*H273,2)</f>
        <v>10855.08</v>
      </c>
      <c r="S273" s="214">
        <v>0.068000000000000005</v>
      </c>
      <c r="T273" s="214">
        <f>S273*H273</f>
        <v>13.9536</v>
      </c>
      <c r="U273" s="214">
        <v>0</v>
      </c>
      <c r="V273" s="214">
        <f>U273*H273</f>
        <v>0</v>
      </c>
      <c r="W273" s="214">
        <v>0</v>
      </c>
      <c r="X273" s="215">
        <f>W273*H273</f>
        <v>0</v>
      </c>
      <c r="Y273" s="31"/>
      <c r="Z273" s="31"/>
      <c r="AA273" s="31"/>
      <c r="AB273" s="31"/>
      <c r="AC273" s="31"/>
      <c r="AD273" s="31"/>
      <c r="AE273" s="31"/>
      <c r="AR273" s="216" t="s">
        <v>216</v>
      </c>
      <c r="AT273" s="216" t="s">
        <v>129</v>
      </c>
      <c r="AU273" s="216" t="s">
        <v>82</v>
      </c>
      <c r="AY273" s="16" t="s">
        <v>126</v>
      </c>
      <c r="BE273" s="217">
        <f>IF(O273="základní",K273,0)</f>
        <v>10855.08</v>
      </c>
      <c r="BF273" s="217">
        <f>IF(O273="snížená",K273,0)</f>
        <v>0</v>
      </c>
      <c r="BG273" s="217">
        <f>IF(O273="zákl. přenesená",K273,0)</f>
        <v>0</v>
      </c>
      <c r="BH273" s="217">
        <f>IF(O273="sníž. přenesená",K273,0)</f>
        <v>0</v>
      </c>
      <c r="BI273" s="217">
        <f>IF(O273="nulová",K273,0)</f>
        <v>0</v>
      </c>
      <c r="BJ273" s="16" t="s">
        <v>20</v>
      </c>
      <c r="BK273" s="217">
        <f>ROUND(P273*H273,2)</f>
        <v>10855.08</v>
      </c>
      <c r="BL273" s="16" t="s">
        <v>216</v>
      </c>
      <c r="BM273" s="216" t="s">
        <v>440</v>
      </c>
    </row>
    <row r="274" s="2" customFormat="1">
      <c r="A274" s="31"/>
      <c r="B274" s="32"/>
      <c r="C274" s="33"/>
      <c r="D274" s="218" t="s">
        <v>136</v>
      </c>
      <c r="E274" s="33"/>
      <c r="F274" s="219" t="s">
        <v>441</v>
      </c>
      <c r="G274" s="33"/>
      <c r="H274" s="33"/>
      <c r="I274" s="33"/>
      <c r="J274" s="33"/>
      <c r="K274" s="33"/>
      <c r="L274" s="33"/>
      <c r="M274" s="37"/>
      <c r="N274" s="220"/>
      <c r="O274" s="221"/>
      <c r="P274" s="83"/>
      <c r="Q274" s="83"/>
      <c r="R274" s="83"/>
      <c r="S274" s="83"/>
      <c r="T274" s="83"/>
      <c r="U274" s="83"/>
      <c r="V274" s="83"/>
      <c r="W274" s="83"/>
      <c r="X274" s="84"/>
      <c r="Y274" s="31"/>
      <c r="Z274" s="31"/>
      <c r="AA274" s="31"/>
      <c r="AB274" s="31"/>
      <c r="AC274" s="31"/>
      <c r="AD274" s="31"/>
      <c r="AE274" s="31"/>
      <c r="AT274" s="16" t="s">
        <v>136</v>
      </c>
      <c r="AU274" s="16" t="s">
        <v>82</v>
      </c>
    </row>
    <row r="275" s="2" customFormat="1" ht="24.15" customHeight="1">
      <c r="A275" s="31"/>
      <c r="B275" s="32"/>
      <c r="C275" s="232" t="s">
        <v>442</v>
      </c>
      <c r="D275" s="232" t="s">
        <v>223</v>
      </c>
      <c r="E275" s="233" t="s">
        <v>443</v>
      </c>
      <c r="F275" s="234" t="s">
        <v>444</v>
      </c>
      <c r="G275" s="235" t="s">
        <v>132</v>
      </c>
      <c r="H275" s="236">
        <v>225.72</v>
      </c>
      <c r="I275" s="237">
        <v>19.100000000000001</v>
      </c>
      <c r="J275" s="238"/>
      <c r="K275" s="237">
        <f>ROUND(P275*H275,2)</f>
        <v>4311.25</v>
      </c>
      <c r="L275" s="234" t="s">
        <v>133</v>
      </c>
      <c r="M275" s="239"/>
      <c r="N275" s="240" t="s">
        <v>1</v>
      </c>
      <c r="O275" s="212" t="s">
        <v>39</v>
      </c>
      <c r="P275" s="213">
        <f>I275+J275</f>
        <v>19.100000000000001</v>
      </c>
      <c r="Q275" s="213">
        <f>ROUND(I275*H275,2)</f>
        <v>4311.25</v>
      </c>
      <c r="R275" s="213">
        <f>ROUND(J275*H275,2)</f>
        <v>0</v>
      </c>
      <c r="S275" s="214">
        <v>0</v>
      </c>
      <c r="T275" s="214">
        <f>S275*H275</f>
        <v>0</v>
      </c>
      <c r="U275" s="214">
        <v>0.00011</v>
      </c>
      <c r="V275" s="214">
        <f>U275*H275</f>
        <v>0.024829199999999999</v>
      </c>
      <c r="W275" s="214">
        <v>0</v>
      </c>
      <c r="X275" s="215">
        <f>W275*H275</f>
        <v>0</v>
      </c>
      <c r="Y275" s="31"/>
      <c r="Z275" s="31"/>
      <c r="AA275" s="31"/>
      <c r="AB275" s="31"/>
      <c r="AC275" s="31"/>
      <c r="AD275" s="31"/>
      <c r="AE275" s="31"/>
      <c r="AR275" s="216" t="s">
        <v>226</v>
      </c>
      <c r="AT275" s="216" t="s">
        <v>223</v>
      </c>
      <c r="AU275" s="216" t="s">
        <v>82</v>
      </c>
      <c r="AY275" s="16" t="s">
        <v>126</v>
      </c>
      <c r="BE275" s="217">
        <f>IF(O275="základní",K275,0)</f>
        <v>4311.25</v>
      </c>
      <c r="BF275" s="217">
        <f>IF(O275="snížená",K275,0)</f>
        <v>0</v>
      </c>
      <c r="BG275" s="217">
        <f>IF(O275="zákl. přenesená",K275,0)</f>
        <v>0</v>
      </c>
      <c r="BH275" s="217">
        <f>IF(O275="sníž. přenesená",K275,0)</f>
        <v>0</v>
      </c>
      <c r="BI275" s="217">
        <f>IF(O275="nulová",K275,0)</f>
        <v>0</v>
      </c>
      <c r="BJ275" s="16" t="s">
        <v>20</v>
      </c>
      <c r="BK275" s="217">
        <f>ROUND(P275*H275,2)</f>
        <v>4311.25</v>
      </c>
      <c r="BL275" s="16" t="s">
        <v>216</v>
      </c>
      <c r="BM275" s="216" t="s">
        <v>445</v>
      </c>
    </row>
    <row r="276" s="2" customFormat="1">
      <c r="A276" s="31"/>
      <c r="B276" s="32"/>
      <c r="C276" s="33"/>
      <c r="D276" s="218" t="s">
        <v>136</v>
      </c>
      <c r="E276" s="33"/>
      <c r="F276" s="219" t="s">
        <v>444</v>
      </c>
      <c r="G276" s="33"/>
      <c r="H276" s="33"/>
      <c r="I276" s="33"/>
      <c r="J276" s="33"/>
      <c r="K276" s="33"/>
      <c r="L276" s="33"/>
      <c r="M276" s="37"/>
      <c r="N276" s="220"/>
      <c r="O276" s="221"/>
      <c r="P276" s="83"/>
      <c r="Q276" s="83"/>
      <c r="R276" s="83"/>
      <c r="S276" s="83"/>
      <c r="T276" s="83"/>
      <c r="U276" s="83"/>
      <c r="V276" s="83"/>
      <c r="W276" s="83"/>
      <c r="X276" s="84"/>
      <c r="Y276" s="31"/>
      <c r="Z276" s="31"/>
      <c r="AA276" s="31"/>
      <c r="AB276" s="31"/>
      <c r="AC276" s="31"/>
      <c r="AD276" s="31"/>
      <c r="AE276" s="31"/>
      <c r="AT276" s="16" t="s">
        <v>136</v>
      </c>
      <c r="AU276" s="16" t="s">
        <v>82</v>
      </c>
    </row>
    <row r="277" s="13" customFormat="1">
      <c r="A277" s="13"/>
      <c r="B277" s="222"/>
      <c r="C277" s="223"/>
      <c r="D277" s="218" t="s">
        <v>149</v>
      </c>
      <c r="E277" s="223"/>
      <c r="F277" s="225" t="s">
        <v>446</v>
      </c>
      <c r="G277" s="223"/>
      <c r="H277" s="226">
        <v>225.72</v>
      </c>
      <c r="I277" s="223"/>
      <c r="J277" s="223"/>
      <c r="K277" s="223"/>
      <c r="L277" s="223"/>
      <c r="M277" s="227"/>
      <c r="N277" s="228"/>
      <c r="O277" s="229"/>
      <c r="P277" s="229"/>
      <c r="Q277" s="229"/>
      <c r="R277" s="229"/>
      <c r="S277" s="229"/>
      <c r="T277" s="229"/>
      <c r="U277" s="229"/>
      <c r="V277" s="229"/>
      <c r="W277" s="229"/>
      <c r="X277" s="230"/>
      <c r="Y277" s="13"/>
      <c r="Z277" s="13"/>
      <c r="AA277" s="13"/>
      <c r="AB277" s="13"/>
      <c r="AC277" s="13"/>
      <c r="AD277" s="13"/>
      <c r="AE277" s="13"/>
      <c r="AT277" s="231" t="s">
        <v>149</v>
      </c>
      <c r="AU277" s="231" t="s">
        <v>82</v>
      </c>
      <c r="AV277" s="13" t="s">
        <v>82</v>
      </c>
      <c r="AW277" s="13" t="s">
        <v>4</v>
      </c>
      <c r="AX277" s="13" t="s">
        <v>20</v>
      </c>
      <c r="AY277" s="231" t="s">
        <v>126</v>
      </c>
    </row>
    <row r="278" s="2" customFormat="1" ht="24.15" customHeight="1">
      <c r="A278" s="31"/>
      <c r="B278" s="32"/>
      <c r="C278" s="205" t="s">
        <v>447</v>
      </c>
      <c r="D278" s="205" t="s">
        <v>129</v>
      </c>
      <c r="E278" s="206" t="s">
        <v>448</v>
      </c>
      <c r="F278" s="207" t="s">
        <v>449</v>
      </c>
      <c r="G278" s="208" t="s">
        <v>132</v>
      </c>
      <c r="H278" s="209">
        <v>154</v>
      </c>
      <c r="I278" s="210">
        <v>0</v>
      </c>
      <c r="J278" s="210">
        <v>63</v>
      </c>
      <c r="K278" s="210">
        <f>ROUND(P278*H278,2)</f>
        <v>9702</v>
      </c>
      <c r="L278" s="207" t="s">
        <v>133</v>
      </c>
      <c r="M278" s="37"/>
      <c r="N278" s="211" t="s">
        <v>1</v>
      </c>
      <c r="O278" s="212" t="s">
        <v>39</v>
      </c>
      <c r="P278" s="213">
        <f>I278+J278</f>
        <v>63</v>
      </c>
      <c r="Q278" s="213">
        <f>ROUND(I278*H278,2)</f>
        <v>0</v>
      </c>
      <c r="R278" s="213">
        <f>ROUND(J278*H278,2)</f>
        <v>9702</v>
      </c>
      <c r="S278" s="214">
        <v>0.081000000000000003</v>
      </c>
      <c r="T278" s="214">
        <f>S278*H278</f>
        <v>12.474</v>
      </c>
      <c r="U278" s="214">
        <v>0</v>
      </c>
      <c r="V278" s="214">
        <f>U278*H278</f>
        <v>0</v>
      </c>
      <c r="W278" s="214">
        <v>0</v>
      </c>
      <c r="X278" s="215">
        <f>W278*H278</f>
        <v>0</v>
      </c>
      <c r="Y278" s="31"/>
      <c r="Z278" s="31"/>
      <c r="AA278" s="31"/>
      <c r="AB278" s="31"/>
      <c r="AC278" s="31"/>
      <c r="AD278" s="31"/>
      <c r="AE278" s="31"/>
      <c r="AR278" s="216" t="s">
        <v>216</v>
      </c>
      <c r="AT278" s="216" t="s">
        <v>129</v>
      </c>
      <c r="AU278" s="216" t="s">
        <v>82</v>
      </c>
      <c r="AY278" s="16" t="s">
        <v>126</v>
      </c>
      <c r="BE278" s="217">
        <f>IF(O278="základní",K278,0)</f>
        <v>9702</v>
      </c>
      <c r="BF278" s="217">
        <f>IF(O278="snížená",K278,0)</f>
        <v>0</v>
      </c>
      <c r="BG278" s="217">
        <f>IF(O278="zákl. přenesená",K278,0)</f>
        <v>0</v>
      </c>
      <c r="BH278" s="217">
        <f>IF(O278="sníž. přenesená",K278,0)</f>
        <v>0</v>
      </c>
      <c r="BI278" s="217">
        <f>IF(O278="nulová",K278,0)</f>
        <v>0</v>
      </c>
      <c r="BJ278" s="16" t="s">
        <v>20</v>
      </c>
      <c r="BK278" s="217">
        <f>ROUND(P278*H278,2)</f>
        <v>9702</v>
      </c>
      <c r="BL278" s="16" t="s">
        <v>216</v>
      </c>
      <c r="BM278" s="216" t="s">
        <v>450</v>
      </c>
    </row>
    <row r="279" s="2" customFormat="1">
      <c r="A279" s="31"/>
      <c r="B279" s="32"/>
      <c r="C279" s="33"/>
      <c r="D279" s="218" t="s">
        <v>136</v>
      </c>
      <c r="E279" s="33"/>
      <c r="F279" s="219" t="s">
        <v>451</v>
      </c>
      <c r="G279" s="33"/>
      <c r="H279" s="33"/>
      <c r="I279" s="33"/>
      <c r="J279" s="33"/>
      <c r="K279" s="33"/>
      <c r="L279" s="33"/>
      <c r="M279" s="37"/>
      <c r="N279" s="220"/>
      <c r="O279" s="221"/>
      <c r="P279" s="83"/>
      <c r="Q279" s="83"/>
      <c r="R279" s="83"/>
      <c r="S279" s="83"/>
      <c r="T279" s="83"/>
      <c r="U279" s="83"/>
      <c r="V279" s="83"/>
      <c r="W279" s="83"/>
      <c r="X279" s="84"/>
      <c r="Y279" s="31"/>
      <c r="Z279" s="31"/>
      <c r="AA279" s="31"/>
      <c r="AB279" s="31"/>
      <c r="AC279" s="31"/>
      <c r="AD279" s="31"/>
      <c r="AE279" s="31"/>
      <c r="AT279" s="16" t="s">
        <v>136</v>
      </c>
      <c r="AU279" s="16" t="s">
        <v>82</v>
      </c>
    </row>
    <row r="280" s="2" customFormat="1" ht="24.15" customHeight="1">
      <c r="A280" s="31"/>
      <c r="B280" s="32"/>
      <c r="C280" s="205" t="s">
        <v>452</v>
      </c>
      <c r="D280" s="205" t="s">
        <v>129</v>
      </c>
      <c r="E280" s="206" t="s">
        <v>453</v>
      </c>
      <c r="F280" s="207" t="s">
        <v>454</v>
      </c>
      <c r="G280" s="208" t="s">
        <v>132</v>
      </c>
      <c r="H280" s="209">
        <v>154</v>
      </c>
      <c r="I280" s="210">
        <v>0</v>
      </c>
      <c r="J280" s="210">
        <v>22.300000000000001</v>
      </c>
      <c r="K280" s="210">
        <f>ROUND(P280*H280,2)</f>
        <v>3434.1999999999998</v>
      </c>
      <c r="L280" s="207" t="s">
        <v>133</v>
      </c>
      <c r="M280" s="37"/>
      <c r="N280" s="211" t="s">
        <v>1</v>
      </c>
      <c r="O280" s="212" t="s">
        <v>39</v>
      </c>
      <c r="P280" s="213">
        <f>I280+J280</f>
        <v>22.300000000000001</v>
      </c>
      <c r="Q280" s="213">
        <f>ROUND(I280*H280,2)</f>
        <v>0</v>
      </c>
      <c r="R280" s="213">
        <f>ROUND(J280*H280,2)</f>
        <v>3434.1999999999998</v>
      </c>
      <c r="S280" s="214">
        <v>0.035000000000000003</v>
      </c>
      <c r="T280" s="214">
        <f>S280*H280</f>
        <v>5.3900000000000006</v>
      </c>
      <c r="U280" s="214">
        <v>0</v>
      </c>
      <c r="V280" s="214">
        <f>U280*H280</f>
        <v>0</v>
      </c>
      <c r="W280" s="214">
        <v>0.00012999999999999999</v>
      </c>
      <c r="X280" s="215">
        <f>W280*H280</f>
        <v>0.02002</v>
      </c>
      <c r="Y280" s="31"/>
      <c r="Z280" s="31"/>
      <c r="AA280" s="31"/>
      <c r="AB280" s="31"/>
      <c r="AC280" s="31"/>
      <c r="AD280" s="31"/>
      <c r="AE280" s="31"/>
      <c r="AR280" s="216" t="s">
        <v>216</v>
      </c>
      <c r="AT280" s="216" t="s">
        <v>129</v>
      </c>
      <c r="AU280" s="216" t="s">
        <v>82</v>
      </c>
      <c r="AY280" s="16" t="s">
        <v>126</v>
      </c>
      <c r="BE280" s="217">
        <f>IF(O280="základní",K280,0)</f>
        <v>3434.1999999999998</v>
      </c>
      <c r="BF280" s="217">
        <f>IF(O280="snížená",K280,0)</f>
        <v>0</v>
      </c>
      <c r="BG280" s="217">
        <f>IF(O280="zákl. přenesená",K280,0)</f>
        <v>0</v>
      </c>
      <c r="BH280" s="217">
        <f>IF(O280="sníž. přenesená",K280,0)</f>
        <v>0</v>
      </c>
      <c r="BI280" s="217">
        <f>IF(O280="nulová",K280,0)</f>
        <v>0</v>
      </c>
      <c r="BJ280" s="16" t="s">
        <v>20</v>
      </c>
      <c r="BK280" s="217">
        <f>ROUND(P280*H280,2)</f>
        <v>3434.1999999999998</v>
      </c>
      <c r="BL280" s="16" t="s">
        <v>216</v>
      </c>
      <c r="BM280" s="216" t="s">
        <v>455</v>
      </c>
    </row>
    <row r="281" s="2" customFormat="1">
      <c r="A281" s="31"/>
      <c r="B281" s="32"/>
      <c r="C281" s="33"/>
      <c r="D281" s="218" t="s">
        <v>136</v>
      </c>
      <c r="E281" s="33"/>
      <c r="F281" s="219" t="s">
        <v>454</v>
      </c>
      <c r="G281" s="33"/>
      <c r="H281" s="33"/>
      <c r="I281" s="33"/>
      <c r="J281" s="33"/>
      <c r="K281" s="33"/>
      <c r="L281" s="33"/>
      <c r="M281" s="37"/>
      <c r="N281" s="220"/>
      <c r="O281" s="221"/>
      <c r="P281" s="83"/>
      <c r="Q281" s="83"/>
      <c r="R281" s="83"/>
      <c r="S281" s="83"/>
      <c r="T281" s="83"/>
      <c r="U281" s="83"/>
      <c r="V281" s="83"/>
      <c r="W281" s="83"/>
      <c r="X281" s="84"/>
      <c r="Y281" s="31"/>
      <c r="Z281" s="31"/>
      <c r="AA281" s="31"/>
      <c r="AB281" s="31"/>
      <c r="AC281" s="31"/>
      <c r="AD281" s="31"/>
      <c r="AE281" s="31"/>
      <c r="AT281" s="16" t="s">
        <v>136</v>
      </c>
      <c r="AU281" s="16" t="s">
        <v>82</v>
      </c>
    </row>
    <row r="282" s="2" customFormat="1" ht="24.15" customHeight="1">
      <c r="A282" s="31"/>
      <c r="B282" s="32"/>
      <c r="C282" s="205" t="s">
        <v>456</v>
      </c>
      <c r="D282" s="205" t="s">
        <v>129</v>
      </c>
      <c r="E282" s="206" t="s">
        <v>457</v>
      </c>
      <c r="F282" s="207" t="s">
        <v>458</v>
      </c>
      <c r="G282" s="208" t="s">
        <v>132</v>
      </c>
      <c r="H282" s="209">
        <v>225.69999999999999</v>
      </c>
      <c r="I282" s="210">
        <v>11.5</v>
      </c>
      <c r="J282" s="210">
        <v>50.100000000000001</v>
      </c>
      <c r="K282" s="210">
        <f>ROUND(P282*H282,2)</f>
        <v>13903.120000000001</v>
      </c>
      <c r="L282" s="207" t="s">
        <v>133</v>
      </c>
      <c r="M282" s="37"/>
      <c r="N282" s="211" t="s">
        <v>1</v>
      </c>
      <c r="O282" s="212" t="s">
        <v>39</v>
      </c>
      <c r="P282" s="213">
        <f>I282+J282</f>
        <v>61.600000000000001</v>
      </c>
      <c r="Q282" s="213">
        <f>ROUND(I282*H282,2)</f>
        <v>2595.5500000000002</v>
      </c>
      <c r="R282" s="213">
        <f>ROUND(J282*H282,2)</f>
        <v>11307.57</v>
      </c>
      <c r="S282" s="214">
        <v>0.075999999999999998</v>
      </c>
      <c r="T282" s="214">
        <f>S282*H282</f>
        <v>17.153199999999998</v>
      </c>
      <c r="U282" s="214">
        <v>6.9999999999999994E-05</v>
      </c>
      <c r="V282" s="214">
        <f>U282*H282</f>
        <v>0.015798999999999997</v>
      </c>
      <c r="W282" s="214">
        <v>0.00050000000000000001</v>
      </c>
      <c r="X282" s="215">
        <f>W282*H282</f>
        <v>0.11284999999999999</v>
      </c>
      <c r="Y282" s="31"/>
      <c r="Z282" s="31"/>
      <c r="AA282" s="31"/>
      <c r="AB282" s="31"/>
      <c r="AC282" s="31"/>
      <c r="AD282" s="31"/>
      <c r="AE282" s="31"/>
      <c r="AR282" s="216" t="s">
        <v>216</v>
      </c>
      <c r="AT282" s="216" t="s">
        <v>129</v>
      </c>
      <c r="AU282" s="216" t="s">
        <v>82</v>
      </c>
      <c r="AY282" s="16" t="s">
        <v>126</v>
      </c>
      <c r="BE282" s="217">
        <f>IF(O282="základní",K282,0)</f>
        <v>13903.120000000001</v>
      </c>
      <c r="BF282" s="217">
        <f>IF(O282="snížená",K282,0)</f>
        <v>0</v>
      </c>
      <c r="BG282" s="217">
        <f>IF(O282="zákl. přenesená",K282,0)</f>
        <v>0</v>
      </c>
      <c r="BH282" s="217">
        <f>IF(O282="sníž. přenesená",K282,0)</f>
        <v>0</v>
      </c>
      <c r="BI282" s="217">
        <f>IF(O282="nulová",K282,0)</f>
        <v>0</v>
      </c>
      <c r="BJ282" s="16" t="s">
        <v>20</v>
      </c>
      <c r="BK282" s="217">
        <f>ROUND(P282*H282,2)</f>
        <v>13903.120000000001</v>
      </c>
      <c r="BL282" s="16" t="s">
        <v>216</v>
      </c>
      <c r="BM282" s="216" t="s">
        <v>459</v>
      </c>
    </row>
    <row r="283" s="2" customFormat="1">
      <c r="A283" s="31"/>
      <c r="B283" s="32"/>
      <c r="C283" s="33"/>
      <c r="D283" s="218" t="s">
        <v>136</v>
      </c>
      <c r="E283" s="33"/>
      <c r="F283" s="219" t="s">
        <v>458</v>
      </c>
      <c r="G283" s="33"/>
      <c r="H283" s="33"/>
      <c r="I283" s="33"/>
      <c r="J283" s="33"/>
      <c r="K283" s="33"/>
      <c r="L283" s="33"/>
      <c r="M283" s="37"/>
      <c r="N283" s="220"/>
      <c r="O283" s="221"/>
      <c r="P283" s="83"/>
      <c r="Q283" s="83"/>
      <c r="R283" s="83"/>
      <c r="S283" s="83"/>
      <c r="T283" s="83"/>
      <c r="U283" s="83"/>
      <c r="V283" s="83"/>
      <c r="W283" s="83"/>
      <c r="X283" s="84"/>
      <c r="Y283" s="31"/>
      <c r="Z283" s="31"/>
      <c r="AA283" s="31"/>
      <c r="AB283" s="31"/>
      <c r="AC283" s="31"/>
      <c r="AD283" s="31"/>
      <c r="AE283" s="31"/>
      <c r="AT283" s="16" t="s">
        <v>136</v>
      </c>
      <c r="AU283" s="16" t="s">
        <v>82</v>
      </c>
    </row>
    <row r="284" s="14" customFormat="1">
      <c r="A284" s="14"/>
      <c r="B284" s="241"/>
      <c r="C284" s="242"/>
      <c r="D284" s="218" t="s">
        <v>149</v>
      </c>
      <c r="E284" s="243" t="s">
        <v>1</v>
      </c>
      <c r="F284" s="244" t="s">
        <v>460</v>
      </c>
      <c r="G284" s="242"/>
      <c r="H284" s="243" t="s">
        <v>1</v>
      </c>
      <c r="I284" s="242"/>
      <c r="J284" s="242"/>
      <c r="K284" s="242"/>
      <c r="L284" s="242"/>
      <c r="M284" s="245"/>
      <c r="N284" s="246"/>
      <c r="O284" s="247"/>
      <c r="P284" s="247"/>
      <c r="Q284" s="247"/>
      <c r="R284" s="247"/>
      <c r="S284" s="247"/>
      <c r="T284" s="247"/>
      <c r="U284" s="247"/>
      <c r="V284" s="247"/>
      <c r="W284" s="247"/>
      <c r="X284" s="248"/>
      <c r="Y284" s="14"/>
      <c r="Z284" s="14"/>
      <c r="AA284" s="14"/>
      <c r="AB284" s="14"/>
      <c r="AC284" s="14"/>
      <c r="AD284" s="14"/>
      <c r="AE284" s="14"/>
      <c r="AT284" s="249" t="s">
        <v>149</v>
      </c>
      <c r="AU284" s="249" t="s">
        <v>82</v>
      </c>
      <c r="AV284" s="14" t="s">
        <v>20</v>
      </c>
      <c r="AW284" s="14" t="s">
        <v>5</v>
      </c>
      <c r="AX284" s="14" t="s">
        <v>76</v>
      </c>
      <c r="AY284" s="249" t="s">
        <v>126</v>
      </c>
    </row>
    <row r="285" s="13" customFormat="1">
      <c r="A285" s="13"/>
      <c r="B285" s="222"/>
      <c r="C285" s="223"/>
      <c r="D285" s="218" t="s">
        <v>149</v>
      </c>
      <c r="E285" s="224" t="s">
        <v>1</v>
      </c>
      <c r="F285" s="225" t="s">
        <v>461</v>
      </c>
      <c r="G285" s="223"/>
      <c r="H285" s="226">
        <v>225.69999999999999</v>
      </c>
      <c r="I285" s="223"/>
      <c r="J285" s="223"/>
      <c r="K285" s="223"/>
      <c r="L285" s="223"/>
      <c r="M285" s="227"/>
      <c r="N285" s="228"/>
      <c r="O285" s="229"/>
      <c r="P285" s="229"/>
      <c r="Q285" s="229"/>
      <c r="R285" s="229"/>
      <c r="S285" s="229"/>
      <c r="T285" s="229"/>
      <c r="U285" s="229"/>
      <c r="V285" s="229"/>
      <c r="W285" s="229"/>
      <c r="X285" s="230"/>
      <c r="Y285" s="13"/>
      <c r="Z285" s="13"/>
      <c r="AA285" s="13"/>
      <c r="AB285" s="13"/>
      <c r="AC285" s="13"/>
      <c r="AD285" s="13"/>
      <c r="AE285" s="13"/>
      <c r="AT285" s="231" t="s">
        <v>149</v>
      </c>
      <c r="AU285" s="231" t="s">
        <v>82</v>
      </c>
      <c r="AV285" s="13" t="s">
        <v>82</v>
      </c>
      <c r="AW285" s="13" t="s">
        <v>5</v>
      </c>
      <c r="AX285" s="13" t="s">
        <v>20</v>
      </c>
      <c r="AY285" s="231" t="s">
        <v>126</v>
      </c>
    </row>
    <row r="286" s="2" customFormat="1" ht="24.15" customHeight="1">
      <c r="A286" s="31"/>
      <c r="B286" s="32"/>
      <c r="C286" s="232" t="s">
        <v>462</v>
      </c>
      <c r="D286" s="232" t="s">
        <v>223</v>
      </c>
      <c r="E286" s="233" t="s">
        <v>463</v>
      </c>
      <c r="F286" s="234" t="s">
        <v>464</v>
      </c>
      <c r="G286" s="235" t="s">
        <v>132</v>
      </c>
      <c r="H286" s="236">
        <v>248.27000000000001</v>
      </c>
      <c r="I286" s="237">
        <v>36.799999999999997</v>
      </c>
      <c r="J286" s="238"/>
      <c r="K286" s="237">
        <f>ROUND(P286*H286,2)</f>
        <v>9136.3400000000001</v>
      </c>
      <c r="L286" s="234" t="s">
        <v>133</v>
      </c>
      <c r="M286" s="239"/>
      <c r="N286" s="240" t="s">
        <v>1</v>
      </c>
      <c r="O286" s="212" t="s">
        <v>39</v>
      </c>
      <c r="P286" s="213">
        <f>I286+J286</f>
        <v>36.799999999999997</v>
      </c>
      <c r="Q286" s="213">
        <f>ROUND(I286*H286,2)</f>
        <v>9136.3400000000001</v>
      </c>
      <c r="R286" s="213">
        <f>ROUND(J286*H286,2)</f>
        <v>0</v>
      </c>
      <c r="S286" s="214">
        <v>0</v>
      </c>
      <c r="T286" s="214">
        <f>S286*H286</f>
        <v>0</v>
      </c>
      <c r="U286" s="214">
        <v>0.00018000000000000001</v>
      </c>
      <c r="V286" s="214">
        <f>U286*H286</f>
        <v>0.044688600000000002</v>
      </c>
      <c r="W286" s="214">
        <v>0</v>
      </c>
      <c r="X286" s="215">
        <f>W286*H286</f>
        <v>0</v>
      </c>
      <c r="Y286" s="31"/>
      <c r="Z286" s="31"/>
      <c r="AA286" s="31"/>
      <c r="AB286" s="31"/>
      <c r="AC286" s="31"/>
      <c r="AD286" s="31"/>
      <c r="AE286" s="31"/>
      <c r="AR286" s="216" t="s">
        <v>226</v>
      </c>
      <c r="AT286" s="216" t="s">
        <v>223</v>
      </c>
      <c r="AU286" s="216" t="s">
        <v>82</v>
      </c>
      <c r="AY286" s="16" t="s">
        <v>126</v>
      </c>
      <c r="BE286" s="217">
        <f>IF(O286="základní",K286,0)</f>
        <v>9136.3400000000001</v>
      </c>
      <c r="BF286" s="217">
        <f>IF(O286="snížená",K286,0)</f>
        <v>0</v>
      </c>
      <c r="BG286" s="217">
        <f>IF(O286="zákl. přenesená",K286,0)</f>
        <v>0</v>
      </c>
      <c r="BH286" s="217">
        <f>IF(O286="sníž. přenesená",K286,0)</f>
        <v>0</v>
      </c>
      <c r="BI286" s="217">
        <f>IF(O286="nulová",K286,0)</f>
        <v>0</v>
      </c>
      <c r="BJ286" s="16" t="s">
        <v>20</v>
      </c>
      <c r="BK286" s="217">
        <f>ROUND(P286*H286,2)</f>
        <v>9136.3400000000001</v>
      </c>
      <c r="BL286" s="16" t="s">
        <v>216</v>
      </c>
      <c r="BM286" s="216" t="s">
        <v>465</v>
      </c>
    </row>
    <row r="287" s="2" customFormat="1">
      <c r="A287" s="31"/>
      <c r="B287" s="32"/>
      <c r="C287" s="33"/>
      <c r="D287" s="218" t="s">
        <v>136</v>
      </c>
      <c r="E287" s="33"/>
      <c r="F287" s="219" t="s">
        <v>464</v>
      </c>
      <c r="G287" s="33"/>
      <c r="H287" s="33"/>
      <c r="I287" s="33"/>
      <c r="J287" s="33"/>
      <c r="K287" s="33"/>
      <c r="L287" s="33"/>
      <c r="M287" s="37"/>
      <c r="N287" s="220"/>
      <c r="O287" s="221"/>
      <c r="P287" s="83"/>
      <c r="Q287" s="83"/>
      <c r="R287" s="83"/>
      <c r="S287" s="83"/>
      <c r="T287" s="83"/>
      <c r="U287" s="83"/>
      <c r="V287" s="83"/>
      <c r="W287" s="83"/>
      <c r="X287" s="84"/>
      <c r="Y287" s="31"/>
      <c r="Z287" s="31"/>
      <c r="AA287" s="31"/>
      <c r="AB287" s="31"/>
      <c r="AC287" s="31"/>
      <c r="AD287" s="31"/>
      <c r="AE287" s="31"/>
      <c r="AT287" s="16" t="s">
        <v>136</v>
      </c>
      <c r="AU287" s="16" t="s">
        <v>82</v>
      </c>
    </row>
    <row r="288" s="13" customFormat="1">
      <c r="A288" s="13"/>
      <c r="B288" s="222"/>
      <c r="C288" s="223"/>
      <c r="D288" s="218" t="s">
        <v>149</v>
      </c>
      <c r="E288" s="223"/>
      <c r="F288" s="225" t="s">
        <v>466</v>
      </c>
      <c r="G288" s="223"/>
      <c r="H288" s="226">
        <v>248.27000000000001</v>
      </c>
      <c r="I288" s="223"/>
      <c r="J288" s="223"/>
      <c r="K288" s="223"/>
      <c r="L288" s="223"/>
      <c r="M288" s="227"/>
      <c r="N288" s="228"/>
      <c r="O288" s="229"/>
      <c r="P288" s="229"/>
      <c r="Q288" s="229"/>
      <c r="R288" s="229"/>
      <c r="S288" s="229"/>
      <c r="T288" s="229"/>
      <c r="U288" s="229"/>
      <c r="V288" s="229"/>
      <c r="W288" s="229"/>
      <c r="X288" s="230"/>
      <c r="Y288" s="13"/>
      <c r="Z288" s="13"/>
      <c r="AA288" s="13"/>
      <c r="AB288" s="13"/>
      <c r="AC288" s="13"/>
      <c r="AD288" s="13"/>
      <c r="AE288" s="13"/>
      <c r="AT288" s="231" t="s">
        <v>149</v>
      </c>
      <c r="AU288" s="231" t="s">
        <v>82</v>
      </c>
      <c r="AV288" s="13" t="s">
        <v>82</v>
      </c>
      <c r="AW288" s="13" t="s">
        <v>4</v>
      </c>
      <c r="AX288" s="13" t="s">
        <v>20</v>
      </c>
      <c r="AY288" s="231" t="s">
        <v>126</v>
      </c>
    </row>
    <row r="289" s="2" customFormat="1" ht="24.15" customHeight="1">
      <c r="A289" s="31"/>
      <c r="B289" s="32"/>
      <c r="C289" s="205" t="s">
        <v>467</v>
      </c>
      <c r="D289" s="205" t="s">
        <v>129</v>
      </c>
      <c r="E289" s="206" t="s">
        <v>468</v>
      </c>
      <c r="F289" s="207" t="s">
        <v>469</v>
      </c>
      <c r="G289" s="208" t="s">
        <v>330</v>
      </c>
      <c r="H289" s="209">
        <v>1</v>
      </c>
      <c r="I289" s="210">
        <v>0</v>
      </c>
      <c r="J289" s="210">
        <v>459</v>
      </c>
      <c r="K289" s="210">
        <f>ROUND(P289*H289,2)</f>
        <v>459</v>
      </c>
      <c r="L289" s="207" t="s">
        <v>133</v>
      </c>
      <c r="M289" s="37"/>
      <c r="N289" s="211" t="s">
        <v>1</v>
      </c>
      <c r="O289" s="212" t="s">
        <v>39</v>
      </c>
      <c r="P289" s="213">
        <f>I289+J289</f>
        <v>459</v>
      </c>
      <c r="Q289" s="213">
        <f>ROUND(I289*H289,2)</f>
        <v>0</v>
      </c>
      <c r="R289" s="213">
        <f>ROUND(J289*H289,2)</f>
        <v>459</v>
      </c>
      <c r="S289" s="214">
        <v>0.58999999999999997</v>
      </c>
      <c r="T289" s="214">
        <f>S289*H289</f>
        <v>0.58999999999999997</v>
      </c>
      <c r="U289" s="214">
        <v>0</v>
      </c>
      <c r="V289" s="214">
        <f>U289*H289</f>
        <v>0</v>
      </c>
      <c r="W289" s="214">
        <v>0.016500000000000001</v>
      </c>
      <c r="X289" s="215">
        <f>W289*H289</f>
        <v>0.016500000000000001</v>
      </c>
      <c r="Y289" s="31"/>
      <c r="Z289" s="31"/>
      <c r="AA289" s="31"/>
      <c r="AB289" s="31"/>
      <c r="AC289" s="31"/>
      <c r="AD289" s="31"/>
      <c r="AE289" s="31"/>
      <c r="AR289" s="216" t="s">
        <v>216</v>
      </c>
      <c r="AT289" s="216" t="s">
        <v>129</v>
      </c>
      <c r="AU289" s="216" t="s">
        <v>82</v>
      </c>
      <c r="AY289" s="16" t="s">
        <v>126</v>
      </c>
      <c r="BE289" s="217">
        <f>IF(O289="základní",K289,0)</f>
        <v>459</v>
      </c>
      <c r="BF289" s="217">
        <f>IF(O289="snížená",K289,0)</f>
        <v>0</v>
      </c>
      <c r="BG289" s="217">
        <f>IF(O289="zákl. přenesená",K289,0)</f>
        <v>0</v>
      </c>
      <c r="BH289" s="217">
        <f>IF(O289="sníž. přenesená",K289,0)</f>
        <v>0</v>
      </c>
      <c r="BI289" s="217">
        <f>IF(O289="nulová",K289,0)</f>
        <v>0</v>
      </c>
      <c r="BJ289" s="16" t="s">
        <v>20</v>
      </c>
      <c r="BK289" s="217">
        <f>ROUND(P289*H289,2)</f>
        <v>459</v>
      </c>
      <c r="BL289" s="16" t="s">
        <v>216</v>
      </c>
      <c r="BM289" s="216" t="s">
        <v>470</v>
      </c>
    </row>
    <row r="290" s="2" customFormat="1">
      <c r="A290" s="31"/>
      <c r="B290" s="32"/>
      <c r="C290" s="33"/>
      <c r="D290" s="218" t="s">
        <v>136</v>
      </c>
      <c r="E290" s="33"/>
      <c r="F290" s="219" t="s">
        <v>469</v>
      </c>
      <c r="G290" s="33"/>
      <c r="H290" s="33"/>
      <c r="I290" s="33"/>
      <c r="J290" s="33"/>
      <c r="K290" s="33"/>
      <c r="L290" s="33"/>
      <c r="M290" s="37"/>
      <c r="N290" s="220"/>
      <c r="O290" s="221"/>
      <c r="P290" s="83"/>
      <c r="Q290" s="83"/>
      <c r="R290" s="83"/>
      <c r="S290" s="83"/>
      <c r="T290" s="83"/>
      <c r="U290" s="83"/>
      <c r="V290" s="83"/>
      <c r="W290" s="83"/>
      <c r="X290" s="84"/>
      <c r="Y290" s="31"/>
      <c r="Z290" s="31"/>
      <c r="AA290" s="31"/>
      <c r="AB290" s="31"/>
      <c r="AC290" s="31"/>
      <c r="AD290" s="31"/>
      <c r="AE290" s="31"/>
      <c r="AT290" s="16" t="s">
        <v>136</v>
      </c>
      <c r="AU290" s="16" t="s">
        <v>82</v>
      </c>
    </row>
    <row r="291" s="2" customFormat="1" ht="24.15" customHeight="1">
      <c r="A291" s="31"/>
      <c r="B291" s="32"/>
      <c r="C291" s="205" t="s">
        <v>471</v>
      </c>
      <c r="D291" s="205" t="s">
        <v>129</v>
      </c>
      <c r="E291" s="206" t="s">
        <v>472</v>
      </c>
      <c r="F291" s="207" t="s">
        <v>473</v>
      </c>
      <c r="G291" s="208" t="s">
        <v>199</v>
      </c>
      <c r="H291" s="209">
        <v>10.723000000000001</v>
      </c>
      <c r="I291" s="210">
        <v>0</v>
      </c>
      <c r="J291" s="210">
        <v>3500</v>
      </c>
      <c r="K291" s="210">
        <f>ROUND(P291*H291,2)</f>
        <v>37530.5</v>
      </c>
      <c r="L291" s="207" t="s">
        <v>133</v>
      </c>
      <c r="M291" s="37"/>
      <c r="N291" s="211" t="s">
        <v>1</v>
      </c>
      <c r="O291" s="212" t="s">
        <v>39</v>
      </c>
      <c r="P291" s="213">
        <f>I291+J291</f>
        <v>3500</v>
      </c>
      <c r="Q291" s="213">
        <f>ROUND(I291*H291,2)</f>
        <v>0</v>
      </c>
      <c r="R291" s="213">
        <f>ROUND(J291*H291,2)</f>
        <v>37530.5</v>
      </c>
      <c r="S291" s="214">
        <v>6.5369999999999999</v>
      </c>
      <c r="T291" s="214">
        <f>S291*H291</f>
        <v>70.096251000000009</v>
      </c>
      <c r="U291" s="214">
        <v>0</v>
      </c>
      <c r="V291" s="214">
        <f>U291*H291</f>
        <v>0</v>
      </c>
      <c r="W291" s="214">
        <v>0</v>
      </c>
      <c r="X291" s="215">
        <f>W291*H291</f>
        <v>0</v>
      </c>
      <c r="Y291" s="31"/>
      <c r="Z291" s="31"/>
      <c r="AA291" s="31"/>
      <c r="AB291" s="31"/>
      <c r="AC291" s="31"/>
      <c r="AD291" s="31"/>
      <c r="AE291" s="31"/>
      <c r="AR291" s="216" t="s">
        <v>216</v>
      </c>
      <c r="AT291" s="216" t="s">
        <v>129</v>
      </c>
      <c r="AU291" s="216" t="s">
        <v>82</v>
      </c>
      <c r="AY291" s="16" t="s">
        <v>126</v>
      </c>
      <c r="BE291" s="217">
        <f>IF(O291="základní",K291,0)</f>
        <v>37530.5</v>
      </c>
      <c r="BF291" s="217">
        <f>IF(O291="snížená",K291,0)</f>
        <v>0</v>
      </c>
      <c r="BG291" s="217">
        <f>IF(O291="zákl. přenesená",K291,0)</f>
        <v>0</v>
      </c>
      <c r="BH291" s="217">
        <f>IF(O291="sníž. přenesená",K291,0)</f>
        <v>0</v>
      </c>
      <c r="BI291" s="217">
        <f>IF(O291="nulová",K291,0)</f>
        <v>0</v>
      </c>
      <c r="BJ291" s="16" t="s">
        <v>20</v>
      </c>
      <c r="BK291" s="217">
        <f>ROUND(P291*H291,2)</f>
        <v>37530.5</v>
      </c>
      <c r="BL291" s="16" t="s">
        <v>216</v>
      </c>
      <c r="BM291" s="216" t="s">
        <v>474</v>
      </c>
    </row>
    <row r="292" s="2" customFormat="1">
      <c r="A292" s="31"/>
      <c r="B292" s="32"/>
      <c r="C292" s="33"/>
      <c r="D292" s="218" t="s">
        <v>136</v>
      </c>
      <c r="E292" s="33"/>
      <c r="F292" s="219" t="s">
        <v>475</v>
      </c>
      <c r="G292" s="33"/>
      <c r="H292" s="33"/>
      <c r="I292" s="33"/>
      <c r="J292" s="33"/>
      <c r="K292" s="33"/>
      <c r="L292" s="33"/>
      <c r="M292" s="37"/>
      <c r="N292" s="220"/>
      <c r="O292" s="221"/>
      <c r="P292" s="83"/>
      <c r="Q292" s="83"/>
      <c r="R292" s="83"/>
      <c r="S292" s="83"/>
      <c r="T292" s="83"/>
      <c r="U292" s="83"/>
      <c r="V292" s="83"/>
      <c r="W292" s="83"/>
      <c r="X292" s="84"/>
      <c r="Y292" s="31"/>
      <c r="Z292" s="31"/>
      <c r="AA292" s="31"/>
      <c r="AB292" s="31"/>
      <c r="AC292" s="31"/>
      <c r="AD292" s="31"/>
      <c r="AE292" s="31"/>
      <c r="AT292" s="16" t="s">
        <v>136</v>
      </c>
      <c r="AU292" s="16" t="s">
        <v>82</v>
      </c>
    </row>
    <row r="293" s="2" customFormat="1" ht="24.15" customHeight="1">
      <c r="A293" s="31"/>
      <c r="B293" s="32"/>
      <c r="C293" s="205" t="s">
        <v>476</v>
      </c>
      <c r="D293" s="205" t="s">
        <v>129</v>
      </c>
      <c r="E293" s="206" t="s">
        <v>477</v>
      </c>
      <c r="F293" s="207" t="s">
        <v>478</v>
      </c>
      <c r="G293" s="208" t="s">
        <v>199</v>
      </c>
      <c r="H293" s="209">
        <v>10.723000000000001</v>
      </c>
      <c r="I293" s="210">
        <v>0</v>
      </c>
      <c r="J293" s="210">
        <v>1000</v>
      </c>
      <c r="K293" s="210">
        <f>ROUND(P293*H293,2)</f>
        <v>10723</v>
      </c>
      <c r="L293" s="207" t="s">
        <v>133</v>
      </c>
      <c r="M293" s="37"/>
      <c r="N293" s="211" t="s">
        <v>1</v>
      </c>
      <c r="O293" s="212" t="s">
        <v>39</v>
      </c>
      <c r="P293" s="213">
        <f>I293+J293</f>
        <v>1000</v>
      </c>
      <c r="Q293" s="213">
        <f>ROUND(I293*H293,2)</f>
        <v>0</v>
      </c>
      <c r="R293" s="213">
        <f>ROUND(J293*H293,2)</f>
        <v>10723</v>
      </c>
      <c r="S293" s="214">
        <v>1.331</v>
      </c>
      <c r="T293" s="214">
        <f>S293*H293</f>
        <v>14.272313000000001</v>
      </c>
      <c r="U293" s="214">
        <v>0</v>
      </c>
      <c r="V293" s="214">
        <f>U293*H293</f>
        <v>0</v>
      </c>
      <c r="W293" s="214">
        <v>0</v>
      </c>
      <c r="X293" s="215">
        <f>W293*H293</f>
        <v>0</v>
      </c>
      <c r="Y293" s="31"/>
      <c r="Z293" s="31"/>
      <c r="AA293" s="31"/>
      <c r="AB293" s="31"/>
      <c r="AC293" s="31"/>
      <c r="AD293" s="31"/>
      <c r="AE293" s="31"/>
      <c r="AR293" s="216" t="s">
        <v>216</v>
      </c>
      <c r="AT293" s="216" t="s">
        <v>129</v>
      </c>
      <c r="AU293" s="216" t="s">
        <v>82</v>
      </c>
      <c r="AY293" s="16" t="s">
        <v>126</v>
      </c>
      <c r="BE293" s="217">
        <f>IF(O293="základní",K293,0)</f>
        <v>10723</v>
      </c>
      <c r="BF293" s="217">
        <f>IF(O293="snížená",K293,0)</f>
        <v>0</v>
      </c>
      <c r="BG293" s="217">
        <f>IF(O293="zákl. přenesená",K293,0)</f>
        <v>0</v>
      </c>
      <c r="BH293" s="217">
        <f>IF(O293="sníž. přenesená",K293,0)</f>
        <v>0</v>
      </c>
      <c r="BI293" s="217">
        <f>IF(O293="nulová",K293,0)</f>
        <v>0</v>
      </c>
      <c r="BJ293" s="16" t="s">
        <v>20</v>
      </c>
      <c r="BK293" s="217">
        <f>ROUND(P293*H293,2)</f>
        <v>10723</v>
      </c>
      <c r="BL293" s="16" t="s">
        <v>216</v>
      </c>
      <c r="BM293" s="216" t="s">
        <v>479</v>
      </c>
    </row>
    <row r="294" s="2" customFormat="1">
      <c r="A294" s="31"/>
      <c r="B294" s="32"/>
      <c r="C294" s="33"/>
      <c r="D294" s="218" t="s">
        <v>136</v>
      </c>
      <c r="E294" s="33"/>
      <c r="F294" s="219" t="s">
        <v>480</v>
      </c>
      <c r="G294" s="33"/>
      <c r="H294" s="33"/>
      <c r="I294" s="33"/>
      <c r="J294" s="33"/>
      <c r="K294" s="33"/>
      <c r="L294" s="33"/>
      <c r="M294" s="37"/>
      <c r="N294" s="220"/>
      <c r="O294" s="221"/>
      <c r="P294" s="83"/>
      <c r="Q294" s="83"/>
      <c r="R294" s="83"/>
      <c r="S294" s="83"/>
      <c r="T294" s="83"/>
      <c r="U294" s="83"/>
      <c r="V294" s="83"/>
      <c r="W294" s="83"/>
      <c r="X294" s="84"/>
      <c r="Y294" s="31"/>
      <c r="Z294" s="31"/>
      <c r="AA294" s="31"/>
      <c r="AB294" s="31"/>
      <c r="AC294" s="31"/>
      <c r="AD294" s="31"/>
      <c r="AE294" s="31"/>
      <c r="AT294" s="16" t="s">
        <v>136</v>
      </c>
      <c r="AU294" s="16" t="s">
        <v>82</v>
      </c>
    </row>
    <row r="295" s="12" customFormat="1" ht="22.8" customHeight="1">
      <c r="A295" s="12"/>
      <c r="B295" s="189"/>
      <c r="C295" s="190"/>
      <c r="D295" s="191" t="s">
        <v>75</v>
      </c>
      <c r="E295" s="203" t="s">
        <v>481</v>
      </c>
      <c r="F295" s="203" t="s">
        <v>482</v>
      </c>
      <c r="G295" s="190"/>
      <c r="H295" s="190"/>
      <c r="I295" s="190"/>
      <c r="J295" s="190"/>
      <c r="K295" s="204">
        <f>BK295</f>
        <v>153940</v>
      </c>
      <c r="L295" s="190"/>
      <c r="M295" s="194"/>
      <c r="N295" s="195"/>
      <c r="O295" s="196"/>
      <c r="P295" s="196"/>
      <c r="Q295" s="197">
        <f>SUM(Q296:Q305)</f>
        <v>135356.59999999998</v>
      </c>
      <c r="R295" s="197">
        <f>SUM(R296:R305)</f>
        <v>18583.400000000001</v>
      </c>
      <c r="S295" s="196"/>
      <c r="T295" s="198">
        <f>SUM(T296:T305)</f>
        <v>31.734000000000002</v>
      </c>
      <c r="U295" s="196"/>
      <c r="V295" s="198">
        <f>SUM(V296:V305)</f>
        <v>0.54418</v>
      </c>
      <c r="W295" s="196"/>
      <c r="X295" s="199">
        <f>SUM(X296:X305)</f>
        <v>0.25019999999999998</v>
      </c>
      <c r="Y295" s="12"/>
      <c r="Z295" s="12"/>
      <c r="AA295" s="12"/>
      <c r="AB295" s="12"/>
      <c r="AC295" s="12"/>
      <c r="AD295" s="12"/>
      <c r="AE295" s="12"/>
      <c r="AR295" s="200" t="s">
        <v>82</v>
      </c>
      <c r="AT295" s="201" t="s">
        <v>75</v>
      </c>
      <c r="AU295" s="201" t="s">
        <v>20</v>
      </c>
      <c r="AY295" s="200" t="s">
        <v>126</v>
      </c>
      <c r="BK295" s="202">
        <f>SUM(BK296:BK305)</f>
        <v>153940</v>
      </c>
    </row>
    <row r="296" s="2" customFormat="1" ht="24.15" customHeight="1">
      <c r="A296" s="31"/>
      <c r="B296" s="32"/>
      <c r="C296" s="205" t="s">
        <v>483</v>
      </c>
      <c r="D296" s="205" t="s">
        <v>129</v>
      </c>
      <c r="E296" s="206" t="s">
        <v>484</v>
      </c>
      <c r="F296" s="207" t="s">
        <v>485</v>
      </c>
      <c r="G296" s="208" t="s">
        <v>132</v>
      </c>
      <c r="H296" s="209">
        <v>14</v>
      </c>
      <c r="I296" s="210">
        <v>47.200000000000003</v>
      </c>
      <c r="J296" s="210">
        <v>750.79999999999995</v>
      </c>
      <c r="K296" s="210">
        <f>ROUND(P296*H296,2)</f>
        <v>11172</v>
      </c>
      <c r="L296" s="207" t="s">
        <v>133</v>
      </c>
      <c r="M296" s="37"/>
      <c r="N296" s="211" t="s">
        <v>1</v>
      </c>
      <c r="O296" s="212" t="s">
        <v>39</v>
      </c>
      <c r="P296" s="213">
        <f>I296+J296</f>
        <v>798</v>
      </c>
      <c r="Q296" s="213">
        <f>ROUND(I296*H296,2)</f>
        <v>660.79999999999995</v>
      </c>
      <c r="R296" s="213">
        <f>ROUND(J296*H296,2)</f>
        <v>10511.200000000001</v>
      </c>
      <c r="S296" s="214">
        <v>1.298</v>
      </c>
      <c r="T296" s="214">
        <f>S296*H296</f>
        <v>18.172000000000001</v>
      </c>
      <c r="U296" s="214">
        <v>0.00025000000000000001</v>
      </c>
      <c r="V296" s="214">
        <f>U296*H296</f>
        <v>0.0035000000000000001</v>
      </c>
      <c r="W296" s="214">
        <v>0</v>
      </c>
      <c r="X296" s="215">
        <f>W296*H296</f>
        <v>0</v>
      </c>
      <c r="Y296" s="31"/>
      <c r="Z296" s="31"/>
      <c r="AA296" s="31"/>
      <c r="AB296" s="31"/>
      <c r="AC296" s="31"/>
      <c r="AD296" s="31"/>
      <c r="AE296" s="31"/>
      <c r="AR296" s="216" t="s">
        <v>216</v>
      </c>
      <c r="AT296" s="216" t="s">
        <v>129</v>
      </c>
      <c r="AU296" s="216" t="s">
        <v>82</v>
      </c>
      <c r="AY296" s="16" t="s">
        <v>126</v>
      </c>
      <c r="BE296" s="217">
        <f>IF(O296="základní",K296,0)</f>
        <v>11172</v>
      </c>
      <c r="BF296" s="217">
        <f>IF(O296="snížená",K296,0)</f>
        <v>0</v>
      </c>
      <c r="BG296" s="217">
        <f>IF(O296="zákl. přenesená",K296,0)</f>
        <v>0</v>
      </c>
      <c r="BH296" s="217">
        <f>IF(O296="sníž. přenesená",K296,0)</f>
        <v>0</v>
      </c>
      <c r="BI296" s="217">
        <f>IF(O296="nulová",K296,0)</f>
        <v>0</v>
      </c>
      <c r="BJ296" s="16" t="s">
        <v>20</v>
      </c>
      <c r="BK296" s="217">
        <f>ROUND(P296*H296,2)</f>
        <v>11172</v>
      </c>
      <c r="BL296" s="16" t="s">
        <v>216</v>
      </c>
      <c r="BM296" s="216" t="s">
        <v>486</v>
      </c>
    </row>
    <row r="297" s="2" customFormat="1">
      <c r="A297" s="31"/>
      <c r="B297" s="32"/>
      <c r="C297" s="33"/>
      <c r="D297" s="218" t="s">
        <v>136</v>
      </c>
      <c r="E297" s="33"/>
      <c r="F297" s="219" t="s">
        <v>487</v>
      </c>
      <c r="G297" s="33"/>
      <c r="H297" s="33"/>
      <c r="I297" s="33"/>
      <c r="J297" s="33"/>
      <c r="K297" s="33"/>
      <c r="L297" s="33"/>
      <c r="M297" s="37"/>
      <c r="N297" s="220"/>
      <c r="O297" s="221"/>
      <c r="P297" s="83"/>
      <c r="Q297" s="83"/>
      <c r="R297" s="83"/>
      <c r="S297" s="83"/>
      <c r="T297" s="83"/>
      <c r="U297" s="83"/>
      <c r="V297" s="83"/>
      <c r="W297" s="83"/>
      <c r="X297" s="84"/>
      <c r="Y297" s="31"/>
      <c r="Z297" s="31"/>
      <c r="AA297" s="31"/>
      <c r="AB297" s="31"/>
      <c r="AC297" s="31"/>
      <c r="AD297" s="31"/>
      <c r="AE297" s="31"/>
      <c r="AT297" s="16" t="s">
        <v>136</v>
      </c>
      <c r="AU297" s="16" t="s">
        <v>82</v>
      </c>
    </row>
    <row r="298" s="2" customFormat="1">
      <c r="A298" s="31"/>
      <c r="B298" s="32"/>
      <c r="C298" s="232" t="s">
        <v>488</v>
      </c>
      <c r="D298" s="232" t="s">
        <v>223</v>
      </c>
      <c r="E298" s="233" t="s">
        <v>489</v>
      </c>
      <c r="F298" s="234" t="s">
        <v>490</v>
      </c>
      <c r="G298" s="235" t="s">
        <v>132</v>
      </c>
      <c r="H298" s="236">
        <v>14</v>
      </c>
      <c r="I298" s="237">
        <v>5500</v>
      </c>
      <c r="J298" s="238"/>
      <c r="K298" s="237">
        <f>ROUND(P298*H298,2)</f>
        <v>77000</v>
      </c>
      <c r="L298" s="234" t="s">
        <v>133</v>
      </c>
      <c r="M298" s="239"/>
      <c r="N298" s="240" t="s">
        <v>1</v>
      </c>
      <c r="O298" s="212" t="s">
        <v>39</v>
      </c>
      <c r="P298" s="213">
        <f>I298+J298</f>
        <v>5500</v>
      </c>
      <c r="Q298" s="213">
        <f>ROUND(I298*H298,2)</f>
        <v>77000</v>
      </c>
      <c r="R298" s="213">
        <f>ROUND(J298*H298,2)</f>
        <v>0</v>
      </c>
      <c r="S298" s="214">
        <v>0</v>
      </c>
      <c r="T298" s="214">
        <f>S298*H298</f>
        <v>0</v>
      </c>
      <c r="U298" s="214">
        <v>0.02639</v>
      </c>
      <c r="V298" s="214">
        <f>U298*H298</f>
        <v>0.36946000000000001</v>
      </c>
      <c r="W298" s="214">
        <v>0</v>
      </c>
      <c r="X298" s="215">
        <f>W298*H298</f>
        <v>0</v>
      </c>
      <c r="Y298" s="31"/>
      <c r="Z298" s="31"/>
      <c r="AA298" s="31"/>
      <c r="AB298" s="31"/>
      <c r="AC298" s="31"/>
      <c r="AD298" s="31"/>
      <c r="AE298" s="31"/>
      <c r="AR298" s="216" t="s">
        <v>226</v>
      </c>
      <c r="AT298" s="216" t="s">
        <v>223</v>
      </c>
      <c r="AU298" s="216" t="s">
        <v>82</v>
      </c>
      <c r="AY298" s="16" t="s">
        <v>126</v>
      </c>
      <c r="BE298" s="217">
        <f>IF(O298="základní",K298,0)</f>
        <v>77000</v>
      </c>
      <c r="BF298" s="217">
        <f>IF(O298="snížená",K298,0)</f>
        <v>0</v>
      </c>
      <c r="BG298" s="217">
        <f>IF(O298="zákl. přenesená",K298,0)</f>
        <v>0</v>
      </c>
      <c r="BH298" s="217">
        <f>IF(O298="sníž. přenesená",K298,0)</f>
        <v>0</v>
      </c>
      <c r="BI298" s="217">
        <f>IF(O298="nulová",K298,0)</f>
        <v>0</v>
      </c>
      <c r="BJ298" s="16" t="s">
        <v>20</v>
      </c>
      <c r="BK298" s="217">
        <f>ROUND(P298*H298,2)</f>
        <v>77000</v>
      </c>
      <c r="BL298" s="16" t="s">
        <v>216</v>
      </c>
      <c r="BM298" s="216" t="s">
        <v>491</v>
      </c>
    </row>
    <row r="299" s="2" customFormat="1">
      <c r="A299" s="31"/>
      <c r="B299" s="32"/>
      <c r="C299" s="33"/>
      <c r="D299" s="218" t="s">
        <v>136</v>
      </c>
      <c r="E299" s="33"/>
      <c r="F299" s="219" t="s">
        <v>492</v>
      </c>
      <c r="G299" s="33"/>
      <c r="H299" s="33"/>
      <c r="I299" s="33"/>
      <c r="J299" s="33"/>
      <c r="K299" s="33"/>
      <c r="L299" s="33"/>
      <c r="M299" s="37"/>
      <c r="N299" s="220"/>
      <c r="O299" s="221"/>
      <c r="P299" s="83"/>
      <c r="Q299" s="83"/>
      <c r="R299" s="83"/>
      <c r="S299" s="83"/>
      <c r="T299" s="83"/>
      <c r="U299" s="83"/>
      <c r="V299" s="83"/>
      <c r="W299" s="83"/>
      <c r="X299" s="84"/>
      <c r="Y299" s="31"/>
      <c r="Z299" s="31"/>
      <c r="AA299" s="31"/>
      <c r="AB299" s="31"/>
      <c r="AC299" s="31"/>
      <c r="AD299" s="31"/>
      <c r="AE299" s="31"/>
      <c r="AT299" s="16" t="s">
        <v>136</v>
      </c>
      <c r="AU299" s="16" t="s">
        <v>82</v>
      </c>
    </row>
    <row r="300" s="2" customFormat="1" ht="24.15" customHeight="1">
      <c r="A300" s="31"/>
      <c r="B300" s="32"/>
      <c r="C300" s="205" t="s">
        <v>493</v>
      </c>
      <c r="D300" s="205" t="s">
        <v>129</v>
      </c>
      <c r="E300" s="206" t="s">
        <v>494</v>
      </c>
      <c r="F300" s="207" t="s">
        <v>495</v>
      </c>
      <c r="G300" s="208" t="s">
        <v>330</v>
      </c>
      <c r="H300" s="209">
        <v>2</v>
      </c>
      <c r="I300" s="210">
        <v>47.899999999999999</v>
      </c>
      <c r="J300" s="210">
        <v>3082.0999999999999</v>
      </c>
      <c r="K300" s="210">
        <f>ROUND(P300*H300,2)</f>
        <v>6260</v>
      </c>
      <c r="L300" s="207" t="s">
        <v>133</v>
      </c>
      <c r="M300" s="37"/>
      <c r="N300" s="211" t="s">
        <v>1</v>
      </c>
      <c r="O300" s="212" t="s">
        <v>39</v>
      </c>
      <c r="P300" s="213">
        <f>I300+J300</f>
        <v>3130</v>
      </c>
      <c r="Q300" s="213">
        <f>ROUND(I300*H300,2)</f>
        <v>95.799999999999997</v>
      </c>
      <c r="R300" s="213">
        <f>ROUND(J300*H300,2)</f>
        <v>6164.1999999999998</v>
      </c>
      <c r="S300" s="214">
        <v>5.3230000000000004</v>
      </c>
      <c r="T300" s="214">
        <f>S300*H300</f>
        <v>10.646000000000001</v>
      </c>
      <c r="U300" s="214">
        <v>0.00025999999999999998</v>
      </c>
      <c r="V300" s="214">
        <f>U300*H300</f>
        <v>0.00051999999999999995</v>
      </c>
      <c r="W300" s="214">
        <v>0</v>
      </c>
      <c r="X300" s="215">
        <f>W300*H300</f>
        <v>0</v>
      </c>
      <c r="Y300" s="31"/>
      <c r="Z300" s="31"/>
      <c r="AA300" s="31"/>
      <c r="AB300" s="31"/>
      <c r="AC300" s="31"/>
      <c r="AD300" s="31"/>
      <c r="AE300" s="31"/>
      <c r="AR300" s="216" t="s">
        <v>216</v>
      </c>
      <c r="AT300" s="216" t="s">
        <v>129</v>
      </c>
      <c r="AU300" s="216" t="s">
        <v>82</v>
      </c>
      <c r="AY300" s="16" t="s">
        <v>126</v>
      </c>
      <c r="BE300" s="217">
        <f>IF(O300="základní",K300,0)</f>
        <v>6260</v>
      </c>
      <c r="BF300" s="217">
        <f>IF(O300="snížená",K300,0)</f>
        <v>0</v>
      </c>
      <c r="BG300" s="217">
        <f>IF(O300="zákl. přenesená",K300,0)</f>
        <v>0</v>
      </c>
      <c r="BH300" s="217">
        <f>IF(O300="sníž. přenesená",K300,0)</f>
        <v>0</v>
      </c>
      <c r="BI300" s="217">
        <f>IF(O300="nulová",K300,0)</f>
        <v>0</v>
      </c>
      <c r="BJ300" s="16" t="s">
        <v>20</v>
      </c>
      <c r="BK300" s="217">
        <f>ROUND(P300*H300,2)</f>
        <v>6260</v>
      </c>
      <c r="BL300" s="16" t="s">
        <v>216</v>
      </c>
      <c r="BM300" s="216" t="s">
        <v>496</v>
      </c>
    </row>
    <row r="301" s="2" customFormat="1">
      <c r="A301" s="31"/>
      <c r="B301" s="32"/>
      <c r="C301" s="33"/>
      <c r="D301" s="218" t="s">
        <v>136</v>
      </c>
      <c r="E301" s="33"/>
      <c r="F301" s="219" t="s">
        <v>497</v>
      </c>
      <c r="G301" s="33"/>
      <c r="H301" s="33"/>
      <c r="I301" s="33"/>
      <c r="J301" s="33"/>
      <c r="K301" s="33"/>
      <c r="L301" s="33"/>
      <c r="M301" s="37"/>
      <c r="N301" s="220"/>
      <c r="O301" s="221"/>
      <c r="P301" s="83"/>
      <c r="Q301" s="83"/>
      <c r="R301" s="83"/>
      <c r="S301" s="83"/>
      <c r="T301" s="83"/>
      <c r="U301" s="83"/>
      <c r="V301" s="83"/>
      <c r="W301" s="83"/>
      <c r="X301" s="84"/>
      <c r="Y301" s="31"/>
      <c r="Z301" s="31"/>
      <c r="AA301" s="31"/>
      <c r="AB301" s="31"/>
      <c r="AC301" s="31"/>
      <c r="AD301" s="31"/>
      <c r="AE301" s="31"/>
      <c r="AT301" s="16" t="s">
        <v>136</v>
      </c>
      <c r="AU301" s="16" t="s">
        <v>82</v>
      </c>
    </row>
    <row r="302" s="2" customFormat="1" ht="33" customHeight="1">
      <c r="A302" s="31"/>
      <c r="B302" s="32"/>
      <c r="C302" s="232" t="s">
        <v>498</v>
      </c>
      <c r="D302" s="232" t="s">
        <v>223</v>
      </c>
      <c r="E302" s="233" t="s">
        <v>499</v>
      </c>
      <c r="F302" s="234" t="s">
        <v>500</v>
      </c>
      <c r="G302" s="235" t="s">
        <v>330</v>
      </c>
      <c r="H302" s="236">
        <v>2</v>
      </c>
      <c r="I302" s="237">
        <v>28800</v>
      </c>
      <c r="J302" s="238"/>
      <c r="K302" s="237">
        <f>ROUND(P302*H302,2)</f>
        <v>57600</v>
      </c>
      <c r="L302" s="234" t="s">
        <v>133</v>
      </c>
      <c r="M302" s="239"/>
      <c r="N302" s="240" t="s">
        <v>1</v>
      </c>
      <c r="O302" s="212" t="s">
        <v>39</v>
      </c>
      <c r="P302" s="213">
        <f>I302+J302</f>
        <v>28800</v>
      </c>
      <c r="Q302" s="213">
        <f>ROUND(I302*H302,2)</f>
        <v>57600</v>
      </c>
      <c r="R302" s="213">
        <f>ROUND(J302*H302,2)</f>
        <v>0</v>
      </c>
      <c r="S302" s="214">
        <v>0</v>
      </c>
      <c r="T302" s="214">
        <f>S302*H302</f>
        <v>0</v>
      </c>
      <c r="U302" s="214">
        <v>0.085349999999999995</v>
      </c>
      <c r="V302" s="214">
        <f>U302*H302</f>
        <v>0.17069999999999999</v>
      </c>
      <c r="W302" s="214">
        <v>0</v>
      </c>
      <c r="X302" s="215">
        <f>W302*H302</f>
        <v>0</v>
      </c>
      <c r="Y302" s="31"/>
      <c r="Z302" s="31"/>
      <c r="AA302" s="31"/>
      <c r="AB302" s="31"/>
      <c r="AC302" s="31"/>
      <c r="AD302" s="31"/>
      <c r="AE302" s="31"/>
      <c r="AR302" s="216" t="s">
        <v>226</v>
      </c>
      <c r="AT302" s="216" t="s">
        <v>223</v>
      </c>
      <c r="AU302" s="216" t="s">
        <v>82</v>
      </c>
      <c r="AY302" s="16" t="s">
        <v>126</v>
      </c>
      <c r="BE302" s="217">
        <f>IF(O302="základní",K302,0)</f>
        <v>57600</v>
      </c>
      <c r="BF302" s="217">
        <f>IF(O302="snížená",K302,0)</f>
        <v>0</v>
      </c>
      <c r="BG302" s="217">
        <f>IF(O302="zákl. přenesená",K302,0)</f>
        <v>0</v>
      </c>
      <c r="BH302" s="217">
        <f>IF(O302="sníž. přenesená",K302,0)</f>
        <v>0</v>
      </c>
      <c r="BI302" s="217">
        <f>IF(O302="nulová",K302,0)</f>
        <v>0</v>
      </c>
      <c r="BJ302" s="16" t="s">
        <v>20</v>
      </c>
      <c r="BK302" s="217">
        <f>ROUND(P302*H302,2)</f>
        <v>57600</v>
      </c>
      <c r="BL302" s="16" t="s">
        <v>216</v>
      </c>
      <c r="BM302" s="216" t="s">
        <v>501</v>
      </c>
    </row>
    <row r="303" s="2" customFormat="1">
      <c r="A303" s="31"/>
      <c r="B303" s="32"/>
      <c r="C303" s="33"/>
      <c r="D303" s="218" t="s">
        <v>136</v>
      </c>
      <c r="E303" s="33"/>
      <c r="F303" s="219" t="s">
        <v>500</v>
      </c>
      <c r="G303" s="33"/>
      <c r="H303" s="33"/>
      <c r="I303" s="33"/>
      <c r="J303" s="33"/>
      <c r="K303" s="33"/>
      <c r="L303" s="33"/>
      <c r="M303" s="37"/>
      <c r="N303" s="220"/>
      <c r="O303" s="221"/>
      <c r="P303" s="83"/>
      <c r="Q303" s="83"/>
      <c r="R303" s="83"/>
      <c r="S303" s="83"/>
      <c r="T303" s="83"/>
      <c r="U303" s="83"/>
      <c r="V303" s="83"/>
      <c r="W303" s="83"/>
      <c r="X303" s="84"/>
      <c r="Y303" s="31"/>
      <c r="Z303" s="31"/>
      <c r="AA303" s="31"/>
      <c r="AB303" s="31"/>
      <c r="AC303" s="31"/>
      <c r="AD303" s="31"/>
      <c r="AE303" s="31"/>
      <c r="AT303" s="16" t="s">
        <v>136</v>
      </c>
      <c r="AU303" s="16" t="s">
        <v>82</v>
      </c>
    </row>
    <row r="304" s="2" customFormat="1" ht="24.15" customHeight="1">
      <c r="A304" s="31"/>
      <c r="B304" s="32"/>
      <c r="C304" s="205" t="s">
        <v>502</v>
      </c>
      <c r="D304" s="205" t="s">
        <v>129</v>
      </c>
      <c r="E304" s="206" t="s">
        <v>503</v>
      </c>
      <c r="F304" s="207" t="s">
        <v>504</v>
      </c>
      <c r="G304" s="208" t="s">
        <v>330</v>
      </c>
      <c r="H304" s="209">
        <v>6</v>
      </c>
      <c r="I304" s="210">
        <v>0</v>
      </c>
      <c r="J304" s="210">
        <v>318</v>
      </c>
      <c r="K304" s="210">
        <f>ROUND(P304*H304,2)</f>
        <v>1908</v>
      </c>
      <c r="L304" s="207" t="s">
        <v>133</v>
      </c>
      <c r="M304" s="37"/>
      <c r="N304" s="211" t="s">
        <v>1</v>
      </c>
      <c r="O304" s="212" t="s">
        <v>39</v>
      </c>
      <c r="P304" s="213">
        <f>I304+J304</f>
        <v>318</v>
      </c>
      <c r="Q304" s="213">
        <f>ROUND(I304*H304,2)</f>
        <v>0</v>
      </c>
      <c r="R304" s="213">
        <f>ROUND(J304*H304,2)</f>
        <v>1908</v>
      </c>
      <c r="S304" s="214">
        <v>0.48599999999999999</v>
      </c>
      <c r="T304" s="214">
        <f>S304*H304</f>
        <v>2.9159999999999999</v>
      </c>
      <c r="U304" s="214">
        <v>0</v>
      </c>
      <c r="V304" s="214">
        <f>U304*H304</f>
        <v>0</v>
      </c>
      <c r="W304" s="214">
        <v>0.041700000000000001</v>
      </c>
      <c r="X304" s="215">
        <f>W304*H304</f>
        <v>0.25019999999999998</v>
      </c>
      <c r="Y304" s="31"/>
      <c r="Z304" s="31"/>
      <c r="AA304" s="31"/>
      <c r="AB304" s="31"/>
      <c r="AC304" s="31"/>
      <c r="AD304" s="31"/>
      <c r="AE304" s="31"/>
      <c r="AR304" s="216" t="s">
        <v>216</v>
      </c>
      <c r="AT304" s="216" t="s">
        <v>129</v>
      </c>
      <c r="AU304" s="216" t="s">
        <v>82</v>
      </c>
      <c r="AY304" s="16" t="s">
        <v>126</v>
      </c>
      <c r="BE304" s="217">
        <f>IF(O304="základní",K304,0)</f>
        <v>1908</v>
      </c>
      <c r="BF304" s="217">
        <f>IF(O304="snížená",K304,0)</f>
        <v>0</v>
      </c>
      <c r="BG304" s="217">
        <f>IF(O304="zákl. přenesená",K304,0)</f>
        <v>0</v>
      </c>
      <c r="BH304" s="217">
        <f>IF(O304="sníž. přenesená",K304,0)</f>
        <v>0</v>
      </c>
      <c r="BI304" s="217">
        <f>IF(O304="nulová",K304,0)</f>
        <v>0</v>
      </c>
      <c r="BJ304" s="16" t="s">
        <v>20</v>
      </c>
      <c r="BK304" s="217">
        <f>ROUND(P304*H304,2)</f>
        <v>1908</v>
      </c>
      <c r="BL304" s="16" t="s">
        <v>216</v>
      </c>
      <c r="BM304" s="216" t="s">
        <v>505</v>
      </c>
    </row>
    <row r="305" s="2" customFormat="1">
      <c r="A305" s="31"/>
      <c r="B305" s="32"/>
      <c r="C305" s="33"/>
      <c r="D305" s="218" t="s">
        <v>136</v>
      </c>
      <c r="E305" s="33"/>
      <c r="F305" s="219" t="s">
        <v>506</v>
      </c>
      <c r="G305" s="33"/>
      <c r="H305" s="33"/>
      <c r="I305" s="33"/>
      <c r="J305" s="33"/>
      <c r="K305" s="33"/>
      <c r="L305" s="33"/>
      <c r="M305" s="37"/>
      <c r="N305" s="220"/>
      <c r="O305" s="221"/>
      <c r="P305" s="83"/>
      <c r="Q305" s="83"/>
      <c r="R305" s="83"/>
      <c r="S305" s="83"/>
      <c r="T305" s="83"/>
      <c r="U305" s="83"/>
      <c r="V305" s="83"/>
      <c r="W305" s="83"/>
      <c r="X305" s="84"/>
      <c r="Y305" s="31"/>
      <c r="Z305" s="31"/>
      <c r="AA305" s="31"/>
      <c r="AB305" s="31"/>
      <c r="AC305" s="31"/>
      <c r="AD305" s="31"/>
      <c r="AE305" s="31"/>
      <c r="AT305" s="16" t="s">
        <v>136</v>
      </c>
      <c r="AU305" s="16" t="s">
        <v>82</v>
      </c>
    </row>
    <row r="306" s="12" customFormat="1" ht="22.8" customHeight="1">
      <c r="A306" s="12"/>
      <c r="B306" s="189"/>
      <c r="C306" s="190"/>
      <c r="D306" s="191" t="s">
        <v>75</v>
      </c>
      <c r="E306" s="203" t="s">
        <v>507</v>
      </c>
      <c r="F306" s="203" t="s">
        <v>508</v>
      </c>
      <c r="G306" s="190"/>
      <c r="H306" s="190"/>
      <c r="I306" s="190"/>
      <c r="J306" s="190"/>
      <c r="K306" s="204">
        <f>BK306</f>
        <v>22777.200000000001</v>
      </c>
      <c r="L306" s="190"/>
      <c r="M306" s="194"/>
      <c r="N306" s="195"/>
      <c r="O306" s="196"/>
      <c r="P306" s="196"/>
      <c r="Q306" s="197">
        <f>SUM(Q307:Q308)</f>
        <v>8885.1599999999999</v>
      </c>
      <c r="R306" s="197">
        <f>SUM(R307:R308)</f>
        <v>13892.040000000001</v>
      </c>
      <c r="S306" s="196"/>
      <c r="T306" s="198">
        <f>SUM(T307:T308)</f>
        <v>22.777200000000001</v>
      </c>
      <c r="U306" s="196"/>
      <c r="V306" s="198">
        <f>SUM(V307:V308)</f>
        <v>0.059507999999999998</v>
      </c>
      <c r="W306" s="196"/>
      <c r="X306" s="199">
        <f>SUM(X307:X308)</f>
        <v>0</v>
      </c>
      <c r="Y306" s="12"/>
      <c r="Z306" s="12"/>
      <c r="AA306" s="12"/>
      <c r="AB306" s="12"/>
      <c r="AC306" s="12"/>
      <c r="AD306" s="12"/>
      <c r="AE306" s="12"/>
      <c r="AR306" s="200" t="s">
        <v>82</v>
      </c>
      <c r="AT306" s="201" t="s">
        <v>75</v>
      </c>
      <c r="AU306" s="201" t="s">
        <v>20</v>
      </c>
      <c r="AY306" s="200" t="s">
        <v>126</v>
      </c>
      <c r="BK306" s="202">
        <f>SUM(BK307:BK308)</f>
        <v>22777.200000000001</v>
      </c>
    </row>
    <row r="307" s="2" customFormat="1" ht="33" customHeight="1">
      <c r="A307" s="31"/>
      <c r="B307" s="32"/>
      <c r="C307" s="205" t="s">
        <v>509</v>
      </c>
      <c r="D307" s="205" t="s">
        <v>129</v>
      </c>
      <c r="E307" s="206" t="s">
        <v>510</v>
      </c>
      <c r="F307" s="207" t="s">
        <v>511</v>
      </c>
      <c r="G307" s="208" t="s">
        <v>132</v>
      </c>
      <c r="H307" s="209">
        <v>205.19999999999999</v>
      </c>
      <c r="I307" s="210">
        <v>43.299999999999997</v>
      </c>
      <c r="J307" s="210">
        <v>67.700000000000003</v>
      </c>
      <c r="K307" s="210">
        <f>ROUND(P307*H307,2)</f>
        <v>22777.200000000001</v>
      </c>
      <c r="L307" s="207" t="s">
        <v>133</v>
      </c>
      <c r="M307" s="37"/>
      <c r="N307" s="211" t="s">
        <v>1</v>
      </c>
      <c r="O307" s="212" t="s">
        <v>39</v>
      </c>
      <c r="P307" s="213">
        <f>I307+J307</f>
        <v>111</v>
      </c>
      <c r="Q307" s="213">
        <f>ROUND(I307*H307,2)</f>
        <v>8885.1599999999999</v>
      </c>
      <c r="R307" s="213">
        <f>ROUND(J307*H307,2)</f>
        <v>13892.040000000001</v>
      </c>
      <c r="S307" s="214">
        <v>0.111</v>
      </c>
      <c r="T307" s="214">
        <f>S307*H307</f>
        <v>22.777200000000001</v>
      </c>
      <c r="U307" s="214">
        <v>0.00029</v>
      </c>
      <c r="V307" s="214">
        <f>U307*H307</f>
        <v>0.059507999999999998</v>
      </c>
      <c r="W307" s="214">
        <v>0</v>
      </c>
      <c r="X307" s="215">
        <f>W307*H307</f>
        <v>0</v>
      </c>
      <c r="Y307" s="31"/>
      <c r="Z307" s="31"/>
      <c r="AA307" s="31"/>
      <c r="AB307" s="31"/>
      <c r="AC307" s="31"/>
      <c r="AD307" s="31"/>
      <c r="AE307" s="31"/>
      <c r="AR307" s="216" t="s">
        <v>216</v>
      </c>
      <c r="AT307" s="216" t="s">
        <v>129</v>
      </c>
      <c r="AU307" s="216" t="s">
        <v>82</v>
      </c>
      <c r="AY307" s="16" t="s">
        <v>126</v>
      </c>
      <c r="BE307" s="217">
        <f>IF(O307="základní",K307,0)</f>
        <v>22777.200000000001</v>
      </c>
      <c r="BF307" s="217">
        <f>IF(O307="snížená",K307,0)</f>
        <v>0</v>
      </c>
      <c r="BG307" s="217">
        <f>IF(O307="zákl. přenesená",K307,0)</f>
        <v>0</v>
      </c>
      <c r="BH307" s="217">
        <f>IF(O307="sníž. přenesená",K307,0)</f>
        <v>0</v>
      </c>
      <c r="BI307" s="217">
        <f>IF(O307="nulová",K307,0)</f>
        <v>0</v>
      </c>
      <c r="BJ307" s="16" t="s">
        <v>20</v>
      </c>
      <c r="BK307" s="217">
        <f>ROUND(P307*H307,2)</f>
        <v>22777.200000000001</v>
      </c>
      <c r="BL307" s="16" t="s">
        <v>216</v>
      </c>
      <c r="BM307" s="216" t="s">
        <v>512</v>
      </c>
    </row>
    <row r="308" s="2" customFormat="1">
      <c r="A308" s="31"/>
      <c r="B308" s="32"/>
      <c r="C308" s="33"/>
      <c r="D308" s="218" t="s">
        <v>136</v>
      </c>
      <c r="E308" s="33"/>
      <c r="F308" s="219" t="s">
        <v>513</v>
      </c>
      <c r="G308" s="33"/>
      <c r="H308" s="33"/>
      <c r="I308" s="33"/>
      <c r="J308" s="33"/>
      <c r="K308" s="33"/>
      <c r="L308" s="33"/>
      <c r="M308" s="37"/>
      <c r="N308" s="220"/>
      <c r="O308" s="221"/>
      <c r="P308" s="83"/>
      <c r="Q308" s="83"/>
      <c r="R308" s="83"/>
      <c r="S308" s="83"/>
      <c r="T308" s="83"/>
      <c r="U308" s="83"/>
      <c r="V308" s="83"/>
      <c r="W308" s="83"/>
      <c r="X308" s="84"/>
      <c r="Y308" s="31"/>
      <c r="Z308" s="31"/>
      <c r="AA308" s="31"/>
      <c r="AB308" s="31"/>
      <c r="AC308" s="31"/>
      <c r="AD308" s="31"/>
      <c r="AE308" s="31"/>
      <c r="AT308" s="16" t="s">
        <v>136</v>
      </c>
      <c r="AU308" s="16" t="s">
        <v>82</v>
      </c>
    </row>
    <row r="309" s="12" customFormat="1" ht="25.92" customHeight="1">
      <c r="A309" s="12"/>
      <c r="B309" s="189"/>
      <c r="C309" s="190"/>
      <c r="D309" s="191" t="s">
        <v>75</v>
      </c>
      <c r="E309" s="192" t="s">
        <v>514</v>
      </c>
      <c r="F309" s="192" t="s">
        <v>515</v>
      </c>
      <c r="G309" s="190"/>
      <c r="H309" s="190"/>
      <c r="I309" s="190"/>
      <c r="J309" s="190"/>
      <c r="K309" s="193">
        <f>BK309</f>
        <v>90000</v>
      </c>
      <c r="L309" s="190"/>
      <c r="M309" s="194"/>
      <c r="N309" s="195"/>
      <c r="O309" s="196"/>
      <c r="P309" s="196"/>
      <c r="Q309" s="197">
        <f>Q310</f>
        <v>0</v>
      </c>
      <c r="R309" s="197">
        <f>R310</f>
        <v>90000</v>
      </c>
      <c r="S309" s="196"/>
      <c r="T309" s="198">
        <f>T310</f>
        <v>0</v>
      </c>
      <c r="U309" s="196"/>
      <c r="V309" s="198">
        <f>V310</f>
        <v>0</v>
      </c>
      <c r="W309" s="196"/>
      <c r="X309" s="199">
        <f>X310</f>
        <v>0</v>
      </c>
      <c r="Y309" s="12"/>
      <c r="Z309" s="12"/>
      <c r="AA309" s="12"/>
      <c r="AB309" s="12"/>
      <c r="AC309" s="12"/>
      <c r="AD309" s="12"/>
      <c r="AE309" s="12"/>
      <c r="AR309" s="200" t="s">
        <v>155</v>
      </c>
      <c r="AT309" s="201" t="s">
        <v>75</v>
      </c>
      <c r="AU309" s="201" t="s">
        <v>76</v>
      </c>
      <c r="AY309" s="200" t="s">
        <v>126</v>
      </c>
      <c r="BK309" s="202">
        <f>BK310</f>
        <v>90000</v>
      </c>
    </row>
    <row r="310" s="12" customFormat="1" ht="22.8" customHeight="1">
      <c r="A310" s="12"/>
      <c r="B310" s="189"/>
      <c r="C310" s="190"/>
      <c r="D310" s="191" t="s">
        <v>75</v>
      </c>
      <c r="E310" s="203" t="s">
        <v>516</v>
      </c>
      <c r="F310" s="203" t="s">
        <v>517</v>
      </c>
      <c r="G310" s="190"/>
      <c r="H310" s="190"/>
      <c r="I310" s="190"/>
      <c r="J310" s="190"/>
      <c r="K310" s="204">
        <f>BK310</f>
        <v>90000</v>
      </c>
      <c r="L310" s="190"/>
      <c r="M310" s="194"/>
      <c r="N310" s="195"/>
      <c r="O310" s="196"/>
      <c r="P310" s="196"/>
      <c r="Q310" s="197">
        <f>SUM(Q311:Q312)</f>
        <v>0</v>
      </c>
      <c r="R310" s="197">
        <f>SUM(R311:R312)</f>
        <v>90000</v>
      </c>
      <c r="S310" s="196"/>
      <c r="T310" s="198">
        <f>SUM(T311:T312)</f>
        <v>0</v>
      </c>
      <c r="U310" s="196"/>
      <c r="V310" s="198">
        <f>SUM(V311:V312)</f>
        <v>0</v>
      </c>
      <c r="W310" s="196"/>
      <c r="X310" s="199">
        <f>SUM(X311:X312)</f>
        <v>0</v>
      </c>
      <c r="Y310" s="12"/>
      <c r="Z310" s="12"/>
      <c r="AA310" s="12"/>
      <c r="AB310" s="12"/>
      <c r="AC310" s="12"/>
      <c r="AD310" s="12"/>
      <c r="AE310" s="12"/>
      <c r="AR310" s="200" t="s">
        <v>155</v>
      </c>
      <c r="AT310" s="201" t="s">
        <v>75</v>
      </c>
      <c r="AU310" s="201" t="s">
        <v>20</v>
      </c>
      <c r="AY310" s="200" t="s">
        <v>126</v>
      </c>
      <c r="BK310" s="202">
        <f>SUM(BK311:BK312)</f>
        <v>90000</v>
      </c>
    </row>
    <row r="311" s="2" customFormat="1" ht="24.15" customHeight="1">
      <c r="A311" s="31"/>
      <c r="B311" s="32"/>
      <c r="C311" s="205" t="s">
        <v>518</v>
      </c>
      <c r="D311" s="205" t="s">
        <v>129</v>
      </c>
      <c r="E311" s="206" t="s">
        <v>519</v>
      </c>
      <c r="F311" s="207" t="s">
        <v>517</v>
      </c>
      <c r="G311" s="208" t="s">
        <v>192</v>
      </c>
      <c r="H311" s="209">
        <v>1</v>
      </c>
      <c r="I311" s="210">
        <v>0</v>
      </c>
      <c r="J311" s="210">
        <v>90000</v>
      </c>
      <c r="K311" s="210">
        <f>ROUND(P311*H311,2)</f>
        <v>90000</v>
      </c>
      <c r="L311" s="207" t="s">
        <v>133</v>
      </c>
      <c r="M311" s="37"/>
      <c r="N311" s="211" t="s">
        <v>1</v>
      </c>
      <c r="O311" s="212" t="s">
        <v>39</v>
      </c>
      <c r="P311" s="213">
        <f>I311+J311</f>
        <v>90000</v>
      </c>
      <c r="Q311" s="213">
        <f>ROUND(I311*H311,2)</f>
        <v>0</v>
      </c>
      <c r="R311" s="213">
        <f>ROUND(J311*H311,2)</f>
        <v>90000</v>
      </c>
      <c r="S311" s="214">
        <v>0</v>
      </c>
      <c r="T311" s="214">
        <f>S311*H311</f>
        <v>0</v>
      </c>
      <c r="U311" s="214">
        <v>0</v>
      </c>
      <c r="V311" s="214">
        <f>U311*H311</f>
        <v>0</v>
      </c>
      <c r="W311" s="214">
        <v>0</v>
      </c>
      <c r="X311" s="215">
        <f>W311*H311</f>
        <v>0</v>
      </c>
      <c r="Y311" s="31"/>
      <c r="Z311" s="31"/>
      <c r="AA311" s="31"/>
      <c r="AB311" s="31"/>
      <c r="AC311" s="31"/>
      <c r="AD311" s="31"/>
      <c r="AE311" s="31"/>
      <c r="AR311" s="216" t="s">
        <v>520</v>
      </c>
      <c r="AT311" s="216" t="s">
        <v>129</v>
      </c>
      <c r="AU311" s="216" t="s">
        <v>82</v>
      </c>
      <c r="AY311" s="16" t="s">
        <v>126</v>
      </c>
      <c r="BE311" s="217">
        <f>IF(O311="základní",K311,0)</f>
        <v>90000</v>
      </c>
      <c r="BF311" s="217">
        <f>IF(O311="snížená",K311,0)</f>
        <v>0</v>
      </c>
      <c r="BG311" s="217">
        <f>IF(O311="zákl. přenesená",K311,0)</f>
        <v>0</v>
      </c>
      <c r="BH311" s="217">
        <f>IF(O311="sníž. přenesená",K311,0)</f>
        <v>0</v>
      </c>
      <c r="BI311" s="217">
        <f>IF(O311="nulová",K311,0)</f>
        <v>0</v>
      </c>
      <c r="BJ311" s="16" t="s">
        <v>20</v>
      </c>
      <c r="BK311" s="217">
        <f>ROUND(P311*H311,2)</f>
        <v>90000</v>
      </c>
      <c r="BL311" s="16" t="s">
        <v>520</v>
      </c>
      <c r="BM311" s="216" t="s">
        <v>521</v>
      </c>
    </row>
    <row r="312" s="2" customFormat="1">
      <c r="A312" s="31"/>
      <c r="B312" s="32"/>
      <c r="C312" s="33"/>
      <c r="D312" s="218" t="s">
        <v>136</v>
      </c>
      <c r="E312" s="33"/>
      <c r="F312" s="219" t="s">
        <v>517</v>
      </c>
      <c r="G312" s="33"/>
      <c r="H312" s="33"/>
      <c r="I312" s="33"/>
      <c r="J312" s="33"/>
      <c r="K312" s="33"/>
      <c r="L312" s="33"/>
      <c r="M312" s="37"/>
      <c r="N312" s="250"/>
      <c r="O312" s="251"/>
      <c r="P312" s="252"/>
      <c r="Q312" s="252"/>
      <c r="R312" s="252"/>
      <c r="S312" s="252"/>
      <c r="T312" s="252"/>
      <c r="U312" s="252"/>
      <c r="V312" s="252"/>
      <c r="W312" s="252"/>
      <c r="X312" s="253"/>
      <c r="Y312" s="31"/>
      <c r="Z312" s="31"/>
      <c r="AA312" s="31"/>
      <c r="AB312" s="31"/>
      <c r="AC312" s="31"/>
      <c r="AD312" s="31"/>
      <c r="AE312" s="31"/>
      <c r="AT312" s="16" t="s">
        <v>136</v>
      </c>
      <c r="AU312" s="16" t="s">
        <v>82</v>
      </c>
    </row>
    <row r="313" s="2" customFormat="1" ht="6.96" customHeight="1">
      <c r="A313" s="31"/>
      <c r="B313" s="58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37"/>
      <c r="N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</row>
  </sheetData>
  <sheetProtection sheet="1" autoFilter="0" formatColumns="0" formatRows="0" objects="1" scenarios="1" spinCount="100000" saltValue="MXCiX8NtUGPKQtIDw2Aa4m2BDFrwMPg6NxATka4v8vfSjt0odho9fz31CH5WERgeOjSLG9dNUKCUPVHfr1lkDw==" hashValue="wRS6sF7Ykh6PN+tCVqiQJkLNLFyc9jjriogWvj9/JwpwX8pb7RujN9d4wWpIkWiUh8ksxNi4IHJJZyZp5E/xEw==" algorithmName="SHA-512" password="CC35"/>
  <autoFilter ref="C125:L312"/>
  <mergeCells count="6">
    <mergeCell ref="E7:H7"/>
    <mergeCell ref="E16:H16"/>
    <mergeCell ref="E25:H25"/>
    <mergeCell ref="E85:H85"/>
    <mergeCell ref="E118:H118"/>
    <mergeCell ref="M2:Z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Prokopov, Oleksandr</dc:creator>
  <cp:lastModifiedBy>Prokopov, Oleksandr</cp:lastModifiedBy>
  <dcterms:created xsi:type="dcterms:W3CDTF">2026-05-27T14:18:42Z</dcterms:created>
  <dcterms:modified xsi:type="dcterms:W3CDTF">2026-05-27T14:18:47Z</dcterms:modified>
</cp:coreProperties>
</file>
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1363ff923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d3d0c77755b84124"/>
    <x:sheet xmlns:r="http://schemas.openxmlformats.org/officeDocument/2006/relationships" name="Summary" sheetId="2" r:id="Re6d5566f07b14d3f"/>
    <x:sheet xmlns:r="http://schemas.openxmlformats.org/officeDocument/2006/relationships" name="Source_rows" sheetId="3" r:id="Rb8f1b487038d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9810e34f54d7c" /><Relationship Type="http://schemas.openxmlformats.org/officeDocument/2006/relationships/theme" Target="/xl/theme/theme1.xml" Id="Rd733c1337fdb4746" /><Relationship Type="http://schemas.openxmlformats.org/officeDocument/2006/relationships/sharedStrings" Target="/xl/sharedStrings.xml" Id="R2499be94946b49ab" /><Relationship Type="http://schemas.openxmlformats.org/officeDocument/2006/relationships/worksheet" Target="/xl/worksheets/sheet1.xml" Id="Rd3d0c77755b84124" /><Relationship Type="http://schemas.openxmlformats.org/officeDocument/2006/relationships/worksheet" Target="/xl/worksheets/sheet2.xml" Id="Re6d5566f07b14d3f" /><Relationship Type="http://schemas.openxmlformats.org/officeDocument/2006/relationships/worksheet" Target="/xl/worksheets/sheet3.xml" Id="Rb8f1b487038d4f9b" /></Relationships>
</file>

<file path=xl/tables/table1.xml><?xml version="1.0" encoding="utf-8"?>
<x:table xmlns:x="http://schemas.openxmlformats.org/spreadsheetml/2006/main" id="1" name="Batch015Candidates" displayName="Batch015Candidates" ref="A1:AF22" headerRowCount="1">
  <x:tableColumns count="32">
    <x:tableColumn id="1" name="source_row_id"/>
    <x:tableColumn id="2" name="Kapitola"/>
    <x:tableColumn id="3" name="old_name"/>
    <x:tableColumn id="4" name="old_URS_code"/>
    <x:tableColumn id="5" name="old_description"/>
    <x:tableColumn id="6" name="old_MJ"/>
    <x:tableColumn id="7" name="old_qty"/>
    <x:tableColumn id="8" name="aggregated_item"/>
    <x:tableColumn id="9" name="split_item"/>
    <x:tableColumn id="10" name="STAVAGENT_query"/>
    <x:tableColumn id="11" name="status"/>
    <x:tableColumn id="12" name="note"/>
    <x:tableColumn id="13" name="candidate_1_code"/>
    <x:tableColumn id="14" name="candidate_1_name"/>
    <x:tableColumn id="15" name="candidate_1_unit"/>
    <x:tableColumn id="16" name="candidate_1_confidence"/>
    <x:tableColumn id="17" name="candidate_1_source"/>
    <x:tableColumn id="18" name="candidate_2_code"/>
    <x:tableColumn id="19" name="candidate_2_name"/>
    <x:tableColumn id="20" name="candidate_2_unit"/>
    <x:tableColumn id="21" name="candidate_2_confidence"/>
    <x:tableColumn id="22" name="candidate_2_source"/>
    <x:tableColumn id="23" name="candidate_3_code"/>
    <x:tableColumn id="24" name="candidate_3_name"/>
    <x:tableColumn id="25" name="candidate_3_unit"/>
    <x:tableColumn id="26" name="candidate_3_confidence"/>
    <x:tableColumn id="27" name="candidate_3_source"/>
    <x:tableColumn id="28" name="candidate_4_code"/>
    <x:tableColumn id="29" name="candidate_4_name"/>
    <x:tableColumn id="30" name="candidate_4_unit"/>
    <x:tableColumn id="31" name="candidate_4_confidence"/>
    <x:tableColumn id="32" name="candidate_4_source"/>
  </x:tableColumns>
  <x:tableStyleInfo name="TableStyleMedium2" showRowStripes="1"/>
</x:table>
</file>

<file path=xl/tables/table2.xml><?xml version="1.0" encoding="utf-8"?>
<x:table xmlns:x="http://schemas.openxmlformats.org/spreadsheetml/2006/main" id="3" name="Batch015Summary" displayName="Batch015Summary" ref="A1:B12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2" name="Batch015SourceRows" displayName="Batch015SourceRows" ref="A1:G14" headerRowCount="1">
  <x:tableColumns count="7">
    <x:tableColumn id="1" name="source_row_id"/>
    <x:tableColumn id="2" name="Kapitola"/>
    <x:tableColumn id="3" name="Subkapitola"/>
    <x:tableColumn id="4" name="URS kód (navrž.)"/>
    <x:tableColumn id="5" name="Popis"/>
    <x:tableColumn id="6" name="MJ"/>
    <x:tableColumn id="7" name="Množstv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9548a8be8547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588446a0c44e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2c6a3304045489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4" hidden="0" customWidth="1"/>
    <x:col min="5" max="5" width="44" hidden="0" customWidth="1"/>
    <x:col min="6" max="6" width="10" hidden="0" customWidth="1"/>
    <x:col min="7" max="7" width="10" hidden="0" customWidth="1"/>
    <x:col min="8" max="8" width="14" hidden="0" customWidth="1"/>
    <x:col min="9" max="9" width="34" hidden="0" customWidth="1"/>
    <x:col min="10" max="10" width="42" hidden="0" customWidth="1"/>
    <x:col min="11" max="11" width="12" hidden="0" customWidth="1"/>
    <x:col min="12" max="12" width="36" hidden="0" customWidth="1"/>
    <x:col min="13" max="13" width="18" hidden="0" customWidth="1"/>
    <x:col min="14" max="14" width="4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42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42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>
      <x:c r="A1" s="10" t="str">
        <x:v>source_row_id</x:v>
      </x:c>
      <x:c r="B1" s="10" t="str">
        <x:v>Kapitola</x:v>
      </x:c>
      <x:c r="C1" s="10" t="str">
        <x:v>old_name</x:v>
      </x:c>
      <x:c r="D1" s="10" t="str">
        <x:v>old_URS_code</x:v>
      </x:c>
      <x:c r="E1" s="10" t="str">
        <x:v>old_description</x:v>
      </x:c>
      <x:c r="F1" s="10" t="str">
        <x:v>old_MJ</x:v>
      </x:c>
      <x:c r="G1" s="10" t="str">
        <x:v>old_qty</x:v>
      </x:c>
      <x:c r="H1" s="10" t="str">
        <x:v>aggregated_item</x:v>
      </x:c>
      <x:c r="I1" s="10" t="str">
        <x:v>split_item</x:v>
      </x:c>
      <x:c r="J1" s="10" t="str">
        <x:v>STAVAGENT_query</x:v>
      </x:c>
      <x:c r="K1" s="10" t="str">
        <x:v>status</x:v>
      </x:c>
      <x:c r="L1" s="10" t="str">
        <x:v>note</x:v>
      </x:c>
      <x:c r="M1" s="10" t="str">
        <x:v>candidate_1_code</x:v>
      </x:c>
      <x:c r="N1" s="10" t="str">
        <x:v>candidate_1_name</x:v>
      </x:c>
      <x:c r="O1" s="10" t="str">
        <x:v>candidate_1_unit</x:v>
      </x:c>
      <x:c r="P1" s="10" t="str">
        <x:v>candidate_1_confidence</x:v>
      </x:c>
      <x:c r="Q1" s="10" t="str">
        <x:v>candidate_1_source</x:v>
      </x:c>
      <x:c r="R1" s="10" t="str">
        <x:v>candidate_2_code</x:v>
      </x:c>
      <x:c r="S1" s="10" t="str">
        <x:v>candidate_2_name</x:v>
      </x:c>
      <x:c r="T1" s="10" t="str">
        <x:v>candidate_2_unit</x:v>
      </x:c>
      <x:c r="U1" s="10" t="str">
        <x:v>candidate_2_confidence</x:v>
      </x:c>
      <x:c r="V1" s="10" t="str">
        <x:v>candidate_2_source</x:v>
      </x:c>
      <x:c r="W1" s="10" t="str">
        <x:v>candidate_3_code</x:v>
      </x:c>
      <x:c r="X1" s="10" t="str">
        <x:v>candidate_3_name</x:v>
      </x:c>
      <x:c r="Y1" s="10" t="str">
        <x:v>candidate_3_unit</x:v>
      </x:c>
      <x:c r="Z1" s="10" t="str">
        <x:v>candidate_3_confidence</x:v>
      </x:c>
      <x:c r="AA1" s="10" t="str">
        <x:v>candidate_3_source</x:v>
      </x:c>
      <x:c r="AB1" s="10" t="str">
        <x:v>candidate_4_code</x:v>
      </x:c>
      <x:c r="AC1" s="10" t="str">
        <x:v>candidate_4_name</x:v>
      </x:c>
      <x:c r="AD1" s="10" t="str">
        <x:v>candidate_4_unit</x:v>
      </x:c>
      <x:c r="AE1" s="10" t="str">
        <x:v>candidate_4_confidence</x:v>
      </x:c>
      <x:c r="AF1" s="10" t="str">
        <x:v>candidate_4_source</x:v>
      </x:c>
    </x:row>
    <x:row r="2">
      <x:c r="A2" s="11" t="n">
        <x:v>169</x:v>
      </x:c>
      <x:c r="B2" s="11" t="str">
        <x:v>VRN — Doprava + odpad</x:v>
      </x:c>
      <x:c r="C2" s="11" t="str">
        <x:v>Doprava materiálu</x:v>
      </x:c>
      <x:c r="D2" s="11" t="str">
        <x:v>031031000</x:v>
      </x:c>
      <x:c r="E2" s="11" t="str">
        <x:v>Doprava materiálu na stavbu (centrální koordinace) — paušál ~2-3 % z PN materiál</x:v>
      </x:c>
      <x:c r="F2" s="11" t="str">
        <x:v>paušál</x:v>
      </x:c>
      <x:c r="G2" s="11" t="str">
        <x:v>1</x:v>
      </x:c>
      <x:c r="H2" s="11" t="str">
        <x:v>ne</x:v>
      </x:c>
      <x:c r="I2" s="11" t="str">
        <x:v>Doprava materiálu na stavbu nákladním automobilem paušálně</x:v>
      </x:c>
      <x:c r="J2" s="11" t="str">
        <x:v>Doprava materiálu na stavbu nákladním automobilem paušálně</x:v>
      </x:c>
      <x:c r="K2" s="11" t="str">
        <x:v>NO_MATCH</x:v>
      </x:c>
      <x:c r="L2" s="11" t="str">
        <x:v>STAVAGENT nevrátil konkrétní kód; pouze obecně odkázal na dopravu/přesun hmot a VRN.</x:v>
      </x:c>
      <x:c r="M2" s="11" t="str">
        <x:v>N/A</x:v>
      </x:c>
      <x:c r="N2" s="11" t="str">
        <x:v>No specific code extracted — doprava materiálu se řeší podle typu vozidla/vzdálenosti nebo VRN</x:v>
      </x:c>
      <x:c r="O2" s="11" t="str"/>
      <x:c r="P2" s="11" t="str">
        <x:v>0.50</x:v>
      </x:c>
      <x:c r="Q2" s="11" t="str">
        <x:v>perplexity_urs_search</x:v>
      </x:c>
      <x:c r="R2" s="11" t="str"/>
      <x:c r="S2" s="11" t="str"/>
      <x:c r="T2" s="11" t="str"/>
      <x:c r="U2" s="11" t="str"/>
      <x:c r="V2" s="11" t="str"/>
      <x:c r="W2" s="11" t="str"/>
      <x:c r="X2" s="11" t="str"/>
      <x:c r="Y2" s="11" t="str"/>
      <x:c r="Z2" s="11" t="str"/>
      <x:c r="AA2" s="11" t="str"/>
      <x:c r="AB2" s="11" t="str"/>
      <x:c r="AC2" s="11" t="str"/>
      <x:c r="AD2" s="11" t="str"/>
      <x:c r="AE2" s="11" t="str"/>
      <x:c r="AF2" s="11" t="str"/>
    </x:row>
    <x:row r="3">
      <x:c r="A3" s="11" t="n">
        <x:v>169</x:v>
      </x:c>
      <x:c r="B3" s="11" t="str">
        <x:v>VRN — Doprava + odpad</x:v>
      </x:c>
      <x:c r="C3" s="11" t="str">
        <x:v>Doprava materiálu</x:v>
      </x:c>
      <x:c r="D3" s="11" t="str">
        <x:v>031031000</x:v>
      </x:c>
      <x:c r="E3" s="11" t="str">
        <x:v>Doprava materiálu na stavbu (centrální koordinace) — paušál ~2-3 % z PN materiál</x:v>
      </x:c>
      <x:c r="F3" s="11" t="str">
        <x:v>paušál</x:v>
      </x:c>
      <x:c r="G3" s="11" t="str">
        <x:v>1</x:v>
      </x:c>
      <x:c r="H3" s="11" t="str">
        <x:v>ano</x:v>
      </x:c>
      <x:c r="I3" s="11" t="str">
        <x:v>Organizace zásobování stavby materiálem jako VRN</x:v>
      </x:c>
      <x:c r="J3" s="11" t="str">
        <x:v>Organizace zásobování stavby materiálem jako vedlejší rozpočtový náklad</x:v>
      </x:c>
      <x:c r="K3" s="11" t="str">
        <x:v>NO_MATCH</x:v>
      </x:c>
      <x:c r="L3" s="11" t="str">
        <x:v>Jen obecné VRN: zařízení/provoz staveniště, vnitropodniková doprava. Bez přesného kódu.</x:v>
      </x:c>
      <x:c r="M3" s="11" t="str">
        <x:v>N/A</x:v>
      </x:c>
      <x:c r="N3" s="11" t="str">
        <x:v>No exact item — organizace zásobování jako ZS/PZS/vnitropodniková doprava</x:v>
      </x:c>
      <x:c r="O3" s="11" t="str"/>
      <x:c r="P3" s="11" t="str">
        <x:v>0.50</x:v>
      </x:c>
      <x:c r="Q3" s="11" t="str">
        <x:v>perplexity_urs_search</x:v>
      </x:c>
      <x:c r="R3" s="11" t="str"/>
      <x:c r="S3" s="11" t="str"/>
      <x:c r="T3" s="11" t="str"/>
      <x:c r="U3" s="11" t="str"/>
      <x:c r="V3" s="11" t="str"/>
      <x:c r="W3" s="11" t="str"/>
      <x:c r="X3" s="11" t="str"/>
      <x:c r="Y3" s="11" t="str"/>
      <x:c r="Z3" s="11" t="str"/>
      <x:c r="AA3" s="11" t="str"/>
      <x:c r="AB3" s="11" t="str"/>
      <x:c r="AC3" s="11" t="str"/>
      <x:c r="AD3" s="11" t="str"/>
      <x:c r="AE3" s="11" t="str"/>
      <x:c r="AF3" s="11" t="str"/>
    </x:row>
    <x:row r="4">
      <x:c r="A4" s="11" t="n">
        <x:v>170</x:v>
      </x:c>
      <x:c r="B4" s="11" t="str">
        <x:v>VRN — Doprava + odpad</x:v>
      </x:c>
      <x:c r="C4" s="11" t="str">
        <x:v>Likvidace odpadů 56.9 t</x:v>
      </x:c>
      <x:c r="D4" s="11" t="str">
        <x:v>997013211</x:v>
      </x:c>
      <x:c r="E4" s="11" t="str">
        <x:v>Likvidace stavební suti dle vyhl. 8/2021 Sb. — skládkovné + recyklace + třídění (56.9 t celkem per TZ B m.10.e)</x:v>
      </x:c>
      <x:c r="F4" s="11" t="str">
        <x:v>t</x:v>
      </x:c>
      <x:c r="G4" s="11" t="str">
        <x:v>56,90</x:v>
      </x:c>
      <x:c r="H4" s="11" t="str">
        <x:v>ano</x:v>
      </x:c>
      <x:c r="I4" s="11" t="str">
        <x:v>Poplatek za uložení stavební suti na skládce</x:v>
      </x:c>
      <x:c r="J4" s="11" t="str">
        <x:v>Poplatek za uložení stavební suti na skládce skládkovné</x:v>
      </x:c>
      <x:c r="K4" s="11" t="str">
        <x:v>MATCH</x:v>
      </x:c>
      <x:c r="L4" s="11" t="str">
        <x:v>Přímý matcher-service zásah pro skládkovné směsného stavebního odpadu 17 09 04.</x:v>
      </x:c>
      <x:c r="M4" s="11" t="str">
        <x:v>997013631</x:v>
      </x:c>
      <x:c r="N4" s="11" t="str">
        <x:v>Poplatek za uložení stavebního odpadu na skládce (skládkovné) směsného stavebního a demoličního zatříděného do Katalogu odpadů pod kódem 17 09 04.</x:v>
      </x:c>
      <x:c r="O4" s="11" t="str">
        <x:v>t</x:v>
      </x:c>
      <x:c r="P4" s="11" t="str">
        <x:v>0.95</x:v>
      </x:c>
      <x:c r="Q4" s="11" t="str">
        <x:v>urs_matcher_service</x:v>
      </x:c>
      <x:c r="R4" s="11" t="str">
        <x:v>997013871</x:v>
      </x:c>
      <x:c r="S4" s="11" t="str">
        <x:v>Poplatek za uložení stavební suti na skládce skládkovné</x:v>
      </x:c>
      <x:c r="T4" s="11" t="str"/>
      <x:c r="U4" s="11" t="str">
        <x:v>0.80</x:v>
      </x:c>
      <x:c r="V4" s="11" t="str">
        <x:v>perplexity_urs_search</x:v>
      </x:c>
      <x:c r="W4" s="11" t="str"/>
      <x:c r="X4" s="11" t="str"/>
      <x:c r="Y4" s="11" t="str"/>
      <x:c r="Z4" s="11" t="str"/>
      <x:c r="AA4" s="11" t="str"/>
      <x:c r="AB4" s="11" t="str"/>
      <x:c r="AC4" s="11" t="str"/>
      <x:c r="AD4" s="11" t="str"/>
      <x:c r="AE4" s="11" t="str"/>
      <x:c r="AF4" s="11" t="str"/>
    </x:row>
    <x:row r="5">
      <x:c r="A5" s="11" t="n">
        <x:v>170</x:v>
      </x:c>
      <x:c r="B5" s="11" t="str">
        <x:v>VRN — Doprava + odpad</x:v>
      </x:c>
      <x:c r="C5" s="11" t="str">
        <x:v>Likvidace odpadů 56.9 t</x:v>
      </x:c>
      <x:c r="D5" s="11" t="str">
        <x:v>997013211</x:v>
      </x:c>
      <x:c r="E5" s="11" t="str">
        <x:v>Likvidace stavební suti dle vyhl. 8/2021 Sb. — skládkovné + recyklace + třídění (56.9 t celkem per TZ B m.10.e)</x:v>
      </x:c>
      <x:c r="F5" s="11" t="str">
        <x:v>t</x:v>
      </x:c>
      <x:c r="G5" s="11" t="str">
        <x:v>56,90</x:v>
      </x:c>
      <x:c r="H5" s="11" t="str">
        <x:v>ano</x:v>
      </x:c>
      <x:c r="I5" s="11" t="str">
        <x:v>Odvoz stavební suti na skládku nebo místo zpracování</x:v>
      </x:c>
      <x:c r="J5" s="11" t="str">
        <x:v>Odvoz stavební suti na skládku nebo místo zpracování</x:v>
      </x:c>
      <x:c r="K5" s="11" t="str">
        <x:v>PARTIAL</x:v>
      </x:c>
      <x:c r="L5" s="11" t="str">
        <x:v>Matcher-service našel odvoz do 1 km; konkrétní vzdálenost a další příplatky je nutné ověřit.</x:v>
      </x:c>
      <x:c r="M5" s="11" t="str">
        <x:v>469972111</x:v>
      </x:c>
      <x:c r="N5" s="11" t="str">
        <x:v>Odvoz suti a vybouraných hmot do 1 km</x:v>
      </x:c>
      <x:c r="O5" s="11" t="str">
        <x:v>t</x:v>
      </x:c>
      <x:c r="P5" s="11" t="str">
        <x:v>0.95</x:v>
      </x:c>
      <x:c r="Q5" s="11" t="str">
        <x:v>urs_matcher_service</x:v>
      </x:c>
      <x:c r="R5" s="11" t="str">
        <x:v>997013811</x:v>
      </x:c>
      <x:c r="S5" s="11" t="str">
        <x:v>Odvoz stavební suti na skládku nebo místo zpracování</x:v>
      </x:c>
      <x:c r="T5" s="11" t="str"/>
      <x:c r="U5" s="11" t="str">
        <x:v>0.80</x:v>
      </x:c>
      <x:c r="V5" s="11" t="str">
        <x:v>perplexity_urs_search</x:v>
      </x:c>
      <x:c r="W5" s="11" t="str">
        <x:v>997013821</x:v>
      </x:c>
      <x:c r="X5" s="11" t="str">
        <x:v>Odvoz stavební suti na skládku nebo místo zpracování</x:v>
      </x:c>
      <x:c r="Y5" s="11" t="str"/>
      <x:c r="Z5" s="11" t="str">
        <x:v>0.80</x:v>
      </x:c>
      <x:c r="AA5" s="11" t="str">
        <x:v>perplexity_urs_search</x:v>
      </x:c>
      <x:c r="AB5" s="11" t="str">
        <x:v>997013871</x:v>
      </x:c>
      <x:c r="AC5" s="11" t="str">
        <x:v>Odvoz stavební suti na skládku nebo místo zpracování</x:v>
      </x:c>
      <x:c r="AD5" s="11" t="str"/>
      <x:c r="AE5" s="11" t="str">
        <x:v>0.80</x:v>
      </x:c>
      <x:c r="AF5" s="11" t="str">
        <x:v>perplexity_urs_search</x:v>
      </x:c>
    </x:row>
    <x:row r="6">
      <x:c r="A6" s="11" t="n">
        <x:v>170</x:v>
      </x:c>
      <x:c r="B6" s="11" t="str">
        <x:v>VRN — Doprava + odpad</x:v>
      </x:c>
      <x:c r="C6" s="11" t="str">
        <x:v>Likvidace odpadů 56.9 t</x:v>
      </x:c>
      <x:c r="D6" s="11" t="str">
        <x:v>997013211</x:v>
      </x:c>
      <x:c r="E6" s="11" t="str">
        <x:v>Likvidace stavební suti dle vyhl. 8/2021 Sb. — skládkovné + recyklace + třídění (56.9 t celkem per TZ B m.10.e)</x:v>
      </x:c>
      <x:c r="F6" s="11" t="str">
        <x:v>t</x:v>
      </x:c>
      <x:c r="G6" s="11" t="str">
        <x:v>56,90</x:v>
      </x:c>
      <x:c r="H6" s="11" t="str">
        <x:v>ano</x:v>
      </x:c>
      <x:c r="I6" s="11" t="str">
        <x:v>Zpracování/recyklace materiálu z bouracích prací</x:v>
      </x:c>
      <x:c r="J6" s="11" t="str">
        <x:v>Zpracování materiálu z bouracích prací pro další využití</x:v>
      </x:c>
      <x:c r="K6" s="11" t="str">
        <x:v>NO_MATCH</x:v>
      </x:c>
      <x:c r="L6" s="11" t="str">
        <x:v>Přímá položka pro recyklaci/třídění nebyla vrácena; výstup uvádí jen blízký okruh nakládání s odpadem.</x:v>
      </x:c>
      <x:c r="M6" s="11" t="str">
        <x:v>N/A</x:v>
      </x:c>
      <x:c r="N6" s="11" t="str">
        <x:v>No exact item — nejbližší okruh nakládání, třídění, recyklace stavebního materiálu</x:v>
      </x:c>
      <x:c r="O6" s="11" t="str"/>
      <x:c r="P6" s="11" t="str">
        <x:v>0.50</x:v>
      </x:c>
      <x:c r="Q6" s="11" t="str">
        <x:v>perplexity_urs_search</x:v>
      </x:c>
      <x:c r="R6" s="11" t="str"/>
      <x:c r="S6" s="11" t="str"/>
      <x:c r="T6" s="11" t="str"/>
      <x:c r="U6" s="11" t="str"/>
      <x:c r="V6" s="11" t="str"/>
      <x:c r="W6" s="11" t="str"/>
      <x:c r="X6" s="11" t="str"/>
      <x:c r="Y6" s="11" t="str"/>
      <x:c r="Z6" s="11" t="str"/>
      <x:c r="AA6" s="11" t="str"/>
      <x:c r="AB6" s="11" t="str"/>
      <x:c r="AC6" s="11" t="str"/>
      <x:c r="AD6" s="11" t="str"/>
      <x:c r="AE6" s="11" t="str"/>
      <x:c r="AF6" s="11" t="str"/>
    </x:row>
    <x:row r="7">
      <x:c r="A7" s="11" t="n">
        <x:v>171</x:v>
      </x:c>
      <x:c r="B7" s="11" t="str">
        <x:v>VRN — Geodet</x:v>
      </x:c>
      <x:c r="C7" s="11" t="str">
        <x:v>Geodetické zaměření před + po realizaci</x:v>
      </x:c>
      <x:c r="D7" s="11" t="str">
        <x:v>030141000</x:v>
      </x:c>
      <x:c r="E7" s="11" t="str">
        <x:v>Geodetické zaměření před realizací (verifikace polohopis + výškopis) + po dokončení (zaměření skutečného provedení pro kolaudaci)</x:v>
      </x:c>
      <x:c r="F7" s="11" t="str">
        <x:v>kpl</x:v>
      </x:c>
      <x:c r="G7" s="11" t="str">
        <x:v>2</x:v>
      </x:c>
      <x:c r="H7" s="11" t="str">
        <x:v>ano</x:v>
      </x:c>
      <x:c r="I7" s="11" t="str">
        <x:v>Geodetické zaměření před realizací</x:v>
      </x:c>
      <x:c r="J7" s="11" t="str">
        <x:v>Geodetické zaměření polohopisu a výškopisu před realizací stavby</x:v>
      </x:c>
      <x:c r="K7" s="11" t="str">
        <x:v>PARTIAL</x:v>
      </x:c>
      <x:c r="L7" s="11" t="str">
        <x:v>Kód je obecný pro geodetické práce, ne konkrétní polohopis/výškopis před realizací.</x:v>
      </x:c>
      <x:c r="M7" s="11" t="str">
        <x:v>045002000</x:v>
      </x:c>
      <x:c r="N7" s="11" t="str">
        <x:v>Geodetické práce</x:v>
      </x:c>
      <x:c r="O7" s="11" t="str">
        <x:v>kpl</x:v>
      </x:c>
      <x:c r="P7" s="11" t="str">
        <x:v>0.74</x:v>
      </x:c>
      <x:c r="Q7" s="11" t="str">
        <x:v>urs_matcher_service</x:v>
      </x:c>
      <x:c r="R7" s="11" t="str">
        <x:v>N/A</x:v>
      </x:c>
      <x:c r="S7" s="11" t="str">
        <x:v>No specific code extracted — polohopisné a výškopisné zaměření</x:v>
      </x:c>
      <x:c r="T7" s="11" t="str"/>
      <x:c r="U7" s="11" t="str">
        <x:v>0.50</x:v>
      </x:c>
      <x:c r="V7" s="11" t="str">
        <x:v>perplexity_urs_search</x:v>
      </x:c>
      <x:c r="W7" s="11" t="str"/>
      <x:c r="X7" s="11" t="str"/>
      <x:c r="Y7" s="11" t="str"/>
      <x:c r="Z7" s="11" t="str"/>
      <x:c r="AA7" s="11" t="str"/>
      <x:c r="AB7" s="11" t="str"/>
      <x:c r="AC7" s="11" t="str"/>
      <x:c r="AD7" s="11" t="str"/>
      <x:c r="AE7" s="11" t="str"/>
      <x:c r="AF7" s="11" t="str"/>
    </x:row>
    <x:row r="8">
      <x:c r="A8" s="11" t="n">
        <x:v>171</x:v>
      </x:c>
      <x:c r="B8" s="11" t="str">
        <x:v>VRN — Geodet</x:v>
      </x:c>
      <x:c r="C8" s="11" t="str">
        <x:v>Geodetické zaměření před + po realizaci</x:v>
      </x:c>
      <x:c r="D8" s="11" t="str">
        <x:v>030141000</x:v>
      </x:c>
      <x:c r="E8" s="11" t="str">
        <x:v>Geodetické zaměření před realizací (verifikace polohopis + výškopis) + po dokončení (zaměření skutečného provedení pro kolaudaci)</x:v>
      </x:c>
      <x:c r="F8" s="11" t="str">
        <x:v>kpl</x:v>
      </x:c>
      <x:c r="G8" s="11" t="str">
        <x:v>2</x:v>
      </x:c>
      <x:c r="H8" s="11" t="str">
        <x:v>ano</x:v>
      </x:c>
      <x:c r="I8" s="11" t="str">
        <x:v>Geodetické zaměření skutečného provedení</x:v>
      </x:c>
      <x:c r="J8" s="11" t="str">
        <x:v>Geodetické zaměření skutečného provedení stavby pro kolaudaci</x:v>
      </x:c>
      <x:c r="K8" s="11" t="str">
        <x:v>MATCH</x:v>
      </x:c>
      <x:c r="L8" s="11" t="str">
        <x:v>Přímý matcher-service zásah.</x:v>
      </x:c>
      <x:c r="M8" s="11" t="str">
        <x:v>012444000</x:v>
      </x:c>
      <x:c r="N8" s="11" t="str">
        <x:v>Geodetické měření skutečného provedení stavby</x:v>
      </x:c>
      <x:c r="O8" s="11" t="str">
        <x:v>kpl</x:v>
      </x:c>
      <x:c r="P8" s="11" t="str">
        <x:v>0.96</x:v>
      </x:c>
      <x:c r="Q8" s="11" t="str">
        <x:v>urs_matcher_service</x:v>
      </x:c>
      <x:c r="R8" s="11" t="str">
        <x:v>N/A</x:v>
      </x:c>
      <x:c r="S8" s="11" t="str">
        <x:v>No specific code extracted — zaměření skutečného provedení</x:v>
      </x:c>
      <x:c r="T8" s="11" t="str"/>
      <x:c r="U8" s="11" t="str">
        <x:v>0.50</x:v>
      </x:c>
      <x:c r="V8" s="11" t="str">
        <x:v>perplexity_urs_search</x:v>
      </x:c>
      <x:c r="W8" s="11" t="str"/>
      <x:c r="X8" s="11" t="str"/>
      <x:c r="Y8" s="11" t="str"/>
      <x:c r="Z8" s="11" t="str"/>
      <x:c r="AA8" s="11" t="str"/>
      <x:c r="AB8" s="11" t="str"/>
      <x:c r="AC8" s="11" t="str"/>
      <x:c r="AD8" s="11" t="str"/>
      <x:c r="AE8" s="11" t="str"/>
      <x:c r="AF8" s="11" t="str"/>
    </x:row>
    <x:row r="9">
      <x:c r="A9" s="11" t="n">
        <x:v>172</x:v>
      </x:c>
      <x:c r="B9" s="11" t="str">
        <x:v>VRN — Kolaudace</x:v>
      </x:c>
      <x:c r="C9" s="11" t="str">
        <x:v>Kolaudační řízení</x:v>
      </x:c>
      <x:c r="D9" s="11" t="str">
        <x:v>030171000</x:v>
      </x:c>
      <x:c r="E9" s="11" t="str">
        <x:v>Kolaudační řízení — paušál (správní poplatky + součinnost) dle zákona 183/2006 Sb.</x:v>
      </x:c>
      <x:c r="F9" s="11" t="str">
        <x:v>paušál</x:v>
      </x:c>
      <x:c r="G9" s="11" t="str">
        <x:v>1</x:v>
      </x:c>
      <x:c r="H9" s="11" t="str">
        <x:v>ne</x:v>
      </x:c>
      <x:c r="I9" s="11" t="str">
        <x:v>Administrativní součinnost při kolaudačním řízení</x:v>
      </x:c>
      <x:c r="J9" s="11" t="str">
        <x:v>Administrativní součinnost při kolaudačním řízení stavby</x:v>
      </x:c>
      <x:c r="K9" s="11" t="str">
        <x:v>NO_MATCH</x:v>
      </x:c>
      <x:c r="L9" s="11" t="str">
        <x:v>STAVAGENT uvádí, že nejde o standardní stavební práci, spíše režie/inženýrská činnost.</x:v>
      </x:c>
      <x:c r="M9" s="11" t="str">
        <x:v>N/A</x:v>
      </x:c>
      <x:c r="N9" s="11" t="str">
        <x:v>No exact item — administrativní součinnost, správní poplatky, jednání s úřady</x:v>
      </x:c>
      <x:c r="O9" s="11" t="str"/>
      <x:c r="P9" s="11" t="str">
        <x:v>0.50</x:v>
      </x:c>
      <x:c r="Q9" s="11" t="str">
        <x:v>perplexity_urs_search</x:v>
      </x:c>
      <x:c r="R9" s="11" t="str"/>
      <x:c r="S9" s="11" t="str"/>
      <x:c r="T9" s="11" t="str"/>
      <x:c r="U9" s="11" t="str"/>
      <x:c r="V9" s="11" t="str"/>
      <x:c r="W9" s="11" t="str"/>
      <x:c r="X9" s="11" t="str"/>
      <x:c r="Y9" s="11" t="str"/>
      <x:c r="Z9" s="11" t="str"/>
      <x:c r="AA9" s="11" t="str"/>
      <x:c r="AB9" s="11" t="str"/>
      <x:c r="AC9" s="11" t="str"/>
      <x:c r="AD9" s="11" t="str"/>
      <x:c r="AE9" s="11" t="str"/>
      <x:c r="AF9" s="11" t="str"/>
    </x:row>
    <x:row r="10">
      <x:c r="A10" s="11" t="n">
        <x:v>173</x:v>
      </x:c>
      <x:c r="B10" s="11" t="str">
        <x:v>VRN — Pojištění + zábory</x:v>
      </x:c>
      <x:c r="C10" s="11" t="str">
        <x:v>Pojištění stavby (montážní + odpovědnostní)</x:v>
      </x:c>
      <x:c r="D10" s="11" t="str">
        <x:v>030081000</x:v>
      </x:c>
      <x:c r="E10" s="11" t="str">
        <x:v>Montážní pojištění stavby (CAR) + pojištění odpovědnosti za škodu (zhotovitel) — paušál cca 0.3-0.5 % z PN</x:v>
      </x:c>
      <x:c r="F10" s="11" t="str">
        <x:v>paušál</x:v>
      </x:c>
      <x:c r="G10" s="11" t="str">
        <x:v>1</x:v>
      </x:c>
      <x:c r="H10" s="11" t="str">
        <x:v>ano</x:v>
      </x:c>
      <x:c r="I10" s="11" t="str">
        <x:v>Montážní pojištění stavby CAR</x:v>
      </x:c>
      <x:c r="J10" s="11" t="str">
        <x:v>Montážní pojištění stavby CAR jako vedlejší rozpočtový náklad</x:v>
      </x:c>
      <x:c r="K10" s="11" t="str">
        <x:v>NO_MATCH</x:v>
      </x:c>
      <x:c r="L10" s="11" t="str">
        <x:v>Položka je jen obecně řazena do VRN; konkrétní ÚRS kód nebyl vrácen.</x:v>
      </x:c>
      <x:c r="M10" s="11" t="str">
        <x:v>N/A</x:v>
      </x:c>
      <x:c r="N10" s="11" t="str">
        <x:v>No specific code extracted — montážní pojištění stavby / pojištění stavebních a montážních rizik</x:v>
      </x:c>
      <x:c r="O10" s="11" t="str"/>
      <x:c r="P10" s="11" t="str">
        <x:v>0.50</x:v>
      </x:c>
      <x:c r="Q10" s="11" t="str">
        <x:v>perplexity_urs_search</x:v>
      </x:c>
      <x:c r="R10" s="11" t="str"/>
      <x:c r="S10" s="11" t="str"/>
      <x:c r="T10" s="11" t="str"/>
      <x:c r="U10" s="11" t="str"/>
      <x:c r="V10" s="11" t="str"/>
      <x:c r="W10" s="11" t="str"/>
      <x:c r="X10" s="11" t="str"/>
      <x:c r="Y10" s="11" t="str"/>
      <x:c r="Z10" s="11" t="str"/>
      <x:c r="AA10" s="11" t="str"/>
      <x:c r="AB10" s="11" t="str"/>
      <x:c r="AC10" s="11" t="str"/>
      <x:c r="AD10" s="11" t="str"/>
      <x:c r="AE10" s="11" t="str"/>
      <x:c r="AF10" s="11" t="str"/>
    </x:row>
    <x:row r="11">
      <x:c r="A11" s="11" t="n">
        <x:v>173</x:v>
      </x:c>
      <x:c r="B11" s="11" t="str">
        <x:v>VRN — Pojištění + zábory</x:v>
      </x:c>
      <x:c r="C11" s="11" t="str">
        <x:v>Pojištění stavby (montážní + odpovědnostní)</x:v>
      </x:c>
      <x:c r="D11" s="11" t="str">
        <x:v>030081000</x:v>
      </x:c>
      <x:c r="E11" s="11" t="str">
        <x:v>Montážní pojištění stavby (CAR) + pojištění odpovědnosti za škodu (zhotovitel) — paušál cca 0.3-0.5 % z PN</x:v>
      </x:c>
      <x:c r="F11" s="11" t="str">
        <x:v>paušál</x:v>
      </x:c>
      <x:c r="G11" s="11" t="str">
        <x:v>1</x:v>
      </x:c>
      <x:c r="H11" s="11" t="str">
        <x:v>ano</x:v>
      </x:c>
      <x:c r="I11" s="11" t="str">
        <x:v>Pojištění odpovědnosti zhotovitele</x:v>
      </x:c>
      <x:c r="J11" s="11" t="str">
        <x:v>Pojištění odpovědnosti zhotovitele za škodu jako vedlejší rozpočtový náklad</x:v>
      </x:c>
      <x:c r="K11" s="11" t="str">
        <x:v>NO_MATCH</x:v>
      </x:c>
      <x:c r="L11" s="11" t="str">
        <x:v>Vráceno pouze obecné označení Příloha 09; bez použitelného položkového kódu.</x:v>
      </x:c>
      <x:c r="M11" s="11" t="str">
        <x:v>N/A</x:v>
      </x:c>
      <x:c r="N11" s="11" t="str">
        <x:v>No specific code extracted — pojištění odpovědnosti zhotovitele jako VRN</x:v>
      </x:c>
      <x:c r="O11" s="11" t="str"/>
      <x:c r="P11" s="11" t="str">
        <x:v>0.50</x:v>
      </x:c>
      <x:c r="Q11" s="11" t="str">
        <x:v>perplexity_urs_search</x:v>
      </x:c>
      <x:c r="R11" s="11" t="str">
        <x:v>Příloha 09</x:v>
      </x:c>
      <x:c r="S11" s="11" t="str">
        <x:v>Ostatní náklady - CS ÚRS</x:v>
      </x:c>
      <x:c r="T11" s="11" t="str"/>
      <x:c r="U11" s="11" t="str">
        <x:v>0.44</x:v>
      </x:c>
      <x:c r="V11" s="11" t="str">
        <x:v>urs_matcher_service</x:v>
      </x:c>
      <x:c r="W11" s="11" t="str"/>
      <x:c r="X11" s="11" t="str"/>
      <x:c r="Y11" s="11" t="str"/>
      <x:c r="Z11" s="11" t="str"/>
      <x:c r="AA11" s="11" t="str"/>
      <x:c r="AB11" s="11" t="str"/>
      <x:c r="AC11" s="11" t="str"/>
      <x:c r="AD11" s="11" t="str"/>
      <x:c r="AE11" s="11" t="str"/>
      <x:c r="AF11" s="11" t="str"/>
    </x:row>
    <x:row r="12">
      <x:c r="A12" s="11" t="n">
        <x:v>174</x:v>
      </x:c>
      <x:c r="B12" s="11" t="str">
        <x:v>VRN — Pojištění + zábory</x:v>
      </x:c>
      <x:c r="C12" s="11" t="str">
        <x:v>Krátkodobé zábory ul. Fibichova</x:v>
      </x:c>
      <x:c r="D12" s="11" t="str">
        <x:v>030083000</x:v>
      </x:c>
      <x:c r="E12" s="11" t="str">
        <x:v>Krátkodobé zábory ulice Fibichova pro materiál a kontejnery (povolení MU Jáchymov + DI) — odhad 30 dnů kumulativně</x:v>
      </x:c>
      <x:c r="F12" s="11" t="str">
        <x:v>kpl</x:v>
      </x:c>
      <x:c r="G12" s="11" t="str">
        <x:v>1</x:v>
      </x:c>
      <x:c r="H12" s="11" t="str">
        <x:v>ano</x:v>
      </x:c>
      <x:c r="I12" s="11" t="str">
        <x:v>Krátkodobý zábor veřejného prostranství</x:v>
      </x:c>
      <x:c r="J12" s="11" t="str">
        <x:v>Krátkodobý zábor veřejného prostranství pro materiál a kontejnery</x:v>
      </x:c>
      <x:c r="K12" s="11" t="str">
        <x:v>NO_MATCH</x:v>
      </x:c>
      <x:c r="L12" s="11" t="str">
        <x:v>STAVAGENT nenašel konkrétní položku; pouze obecné VRN pro zábory/nájem ploch.</x:v>
      </x:c>
      <x:c r="M12" s="11" t="str">
        <x:v>N/A</x:v>
      </x:c>
      <x:c r="N12" s="11" t="str">
        <x:v>No specific code extracted — zábory veřejných prostranství, nájem plochy pro materiál/kontejnery</x:v>
      </x:c>
      <x:c r="O12" s="11" t="str"/>
      <x:c r="P12" s="11" t="str">
        <x:v>0.50</x:v>
      </x:c>
      <x:c r="Q12" s="11" t="str">
        <x:v>perplexity_urs_search</x:v>
      </x:c>
      <x:c r="R12" s="11" t="str"/>
      <x:c r="S12" s="11" t="str"/>
      <x:c r="T12" s="11" t="str"/>
      <x:c r="U12" s="11" t="str"/>
      <x:c r="V12" s="11" t="str"/>
      <x:c r="W12" s="11" t="str"/>
      <x:c r="X12" s="11" t="str"/>
      <x:c r="Y12" s="11" t="str"/>
      <x:c r="Z12" s="11" t="str"/>
      <x:c r="AA12" s="11" t="str"/>
      <x:c r="AB12" s="11" t="str"/>
      <x:c r="AC12" s="11" t="str"/>
      <x:c r="AD12" s="11" t="str"/>
      <x:c r="AE12" s="11" t="str"/>
      <x:c r="AF12" s="11" t="str"/>
    </x:row>
    <x:row r="13">
      <x:c r="A13" s="11" t="n">
        <x:v>174</x:v>
      </x:c>
      <x:c r="B13" s="11" t="str">
        <x:v>VRN — Pojištění + zábory</x:v>
      </x:c>
      <x:c r="C13" s="11" t="str">
        <x:v>Krátkodobé zábory ul. Fibichova</x:v>
      </x:c>
      <x:c r="D13" s="11" t="str">
        <x:v>030083000</x:v>
      </x:c>
      <x:c r="E13" s="11" t="str">
        <x:v>Krátkodobé zábory ulice Fibichova pro materiál a kontejnery (povolení MU Jáchymov + DI) — odhad 30 dnů kumulativně</x:v>
      </x:c>
      <x:c r="F13" s="11" t="str">
        <x:v>kpl</x:v>
      </x:c>
      <x:c r="G13" s="11" t="str">
        <x:v>1</x:v>
      </x:c>
      <x:c r="H13" s="11" t="str">
        <x:v>ano</x:v>
      </x:c>
      <x:c r="I13" s="11" t="str">
        <x:v>Dopravní opatření pro krátkodobý zábor</x:v>
      </x:c>
      <x:c r="J13" s="11" t="str">
        <x:v>Dopravní opatření pro krátkodobý zábor ulice při stavbě</x:v>
      </x:c>
      <x:c r="K13" s="11" t="str">
        <x:v>PARTIAL</x:v>
      </x:c>
      <x:c r="L13" s="11" t="str">
        <x:v>Nalezen jen blízký prvek dočasného dopravního značení, ne kompletní zábor.</x:v>
      </x:c>
      <x:c r="M13" s="11" t="str">
        <x:v>913921131</x:v>
      </x:c>
      <x:c r="N13" s="11" t="str">
        <x:v>Dočasné omezení platnosti zakrytí základní dopravní značky</x:v>
      </x:c>
      <x:c r="O13" s="11" t="str">
        <x:v>ks</x:v>
      </x:c>
      <x:c r="P13" s="11" t="str">
        <x:v>0.74</x:v>
      </x:c>
      <x:c r="Q13" s="11" t="str">
        <x:v>urs_matcher_service</x:v>
      </x:c>
      <x:c r="R13" s="11" t="str">
        <x:v>N/A</x:v>
      </x:c>
      <x:c r="S13" s="11" t="str">
        <x:v>No specific code extracted — VRN / dočasné dopravní značení</x:v>
      </x:c>
      <x:c r="T13" s="11" t="str"/>
      <x:c r="U13" s="11" t="str">
        <x:v>0.50</x:v>
      </x:c>
      <x:c r="V13" s="11" t="str">
        <x:v>perplexity_urs_search</x:v>
      </x:c>
      <x:c r="W13" s="11" t="str"/>
      <x:c r="X13" s="11" t="str"/>
      <x:c r="Y13" s="11" t="str"/>
      <x:c r="Z13" s="11" t="str"/>
      <x:c r="AA13" s="11" t="str"/>
      <x:c r="AB13" s="11" t="str"/>
      <x:c r="AC13" s="11" t="str"/>
      <x:c r="AD13" s="11" t="str"/>
      <x:c r="AE13" s="11" t="str"/>
      <x:c r="AF13" s="11" t="str"/>
    </x:row>
    <x:row r="14">
      <x:c r="A14" s="11" t="n">
        <x:v>175</x:v>
      </x:c>
      <x:c r="B14" s="11" t="str">
        <x:v>VRN — Průzkumy</x:v>
      </x:c>
      <x:c r="C14" s="11" t="str">
        <x:v>Mykologický průzkum dřeva při bourání</x:v>
      </x:c>
      <x:c r="D14" s="11" t="str">
        <x:v>030131000</x:v>
      </x:c>
      <x:c r="E14" s="11" t="str">
        <x:v>Mykologický průzkum stávajícího krovu a dřevěných trámů zhlaví — provádí autorizovaný mykolog při bourání</x:v>
      </x:c>
      <x:c r="F14" s="11" t="str">
        <x:v>kpl</x:v>
      </x:c>
      <x:c r="G14" s="11" t="str">
        <x:v>1</x:v>
      </x:c>
      <x:c r="H14" s="11" t="str">
        <x:v>ne</x:v>
      </x:c>
      <x:c r="I14" s="11" t="str">
        <x:v>Mykologický průzkum dřeva krovu a zhlaví trámů</x:v>
      </x:c>
      <x:c r="J14" s="11" t="str">
        <x:v>Mykologický průzkum dřeva krovu a zhlaví trámů při bourání</x:v>
      </x:c>
      <x:c r="K14" s="11" t="str">
        <x:v>NO_MATCH</x:v>
      </x:c>
      <x:c r="L14" s="11" t="str">
        <x:v>Nenašla se přesná položka pro autorizovaný mykologický průzkum; spíše mimo standardní položky.</x:v>
      </x:c>
      <x:c r="M14" s="11" t="str">
        <x:v>N/A</x:v>
      </x:c>
      <x:c r="N14" s="11" t="str">
        <x:v>No exact item — mykologický průzkum dřeva krovu a zhlaví trámů</x:v>
      </x:c>
      <x:c r="O14" s="11" t="str"/>
      <x:c r="P14" s="11" t="str">
        <x:v>0.50</x:v>
      </x:c>
      <x:c r="Q14" s="11" t="str">
        <x:v>perplexity_urs_search</x:v>
      </x:c>
      <x:c r="R14" s="11" t="str"/>
      <x:c r="S14" s="11" t="str"/>
      <x:c r="T14" s="11" t="str"/>
      <x:c r="U14" s="11" t="str"/>
      <x:c r="V14" s="11" t="str"/>
      <x:c r="W14" s="11" t="str"/>
      <x:c r="X14" s="11" t="str"/>
      <x:c r="Y14" s="11" t="str"/>
      <x:c r="Z14" s="11" t="str"/>
      <x:c r="AA14" s="11" t="str"/>
      <x:c r="AB14" s="11" t="str"/>
      <x:c r="AC14" s="11" t="str"/>
      <x:c r="AD14" s="11" t="str"/>
      <x:c r="AE14" s="11" t="str"/>
      <x:c r="AF14" s="11" t="str"/>
    </x:row>
    <x:row r="15">
      <x:c r="A15" s="11" t="n">
        <x:v>176</x:v>
      </x:c>
      <x:c r="B15" s="11" t="str">
        <x:v>VRN — Průzkumy</x:v>
      </x:c>
      <x:c r="C15" s="11" t="str">
        <x:v>Azbestový průzkum podrobný před demolicí</x:v>
      </x:c>
      <x:c r="D15" s="11" t="str">
        <x:v>030133000</x:v>
      </x:c>
      <x:c r="E15" s="11" t="str">
        <x:v>Azbestový průzkum podrobný před demolicí — laboratorní vzorky a posudek (B kap. m.7.a předběžně negativní, ale podrobný před bouráním povinný)</x:v>
      </x:c>
      <x:c r="F15" s="11" t="str">
        <x:v>kpl</x:v>
      </x:c>
      <x:c r="G15" s="11" t="str">
        <x:v>1</x:v>
      </x:c>
      <x:c r="H15" s="11" t="str">
        <x:v>ne</x:v>
      </x:c>
      <x:c r="I15" s="11" t="str">
        <x:v>Průzkum nebezpečných vláknitých materiálů před bouráním</x:v>
      </x:c>
      <x:c r="J15" s="11" t="str">
        <x:v>Stavebně technický průzkum výskytu nebezpečných vláknitých materiálů před bouráním</x:v>
      </x:c>
      <x:c r="K15" s="11" t="str">
        <x:v>NO_MATCH</x:v>
      </x:c>
      <x:c r="L15" s="11" t="str">
        <x:v>Po bezpečnostní blokaci byl dotaz přeformulován; STAVAGENT nevrátil konkrétní položku.</x:v>
      </x:c>
      <x:c r="M15" s="11" t="str">
        <x:v>N/A</x:v>
      </x:c>
      <x:c r="N15" s="11" t="str">
        <x:v>No exact item — průzkum výskytu nebezpečných vláknitých materiálů, odběr vzorků, laboratorní posouzení</x:v>
      </x:c>
      <x:c r="O15" s="11" t="str"/>
      <x:c r="P15" s="11" t="str">
        <x:v>0.50</x:v>
      </x:c>
      <x:c r="Q15" s="11" t="str">
        <x:v>perplexity_urs_search</x:v>
      </x:c>
      <x:c r="R15" s="11" t="str"/>
      <x:c r="S15" s="11" t="str"/>
      <x:c r="T15" s="11" t="str"/>
      <x:c r="U15" s="11" t="str"/>
      <x:c r="V15" s="11" t="str"/>
      <x:c r="W15" s="11" t="str"/>
      <x:c r="X15" s="11" t="str"/>
      <x:c r="Y15" s="11" t="str"/>
      <x:c r="Z15" s="11" t="str"/>
      <x:c r="AA15" s="11" t="str"/>
      <x:c r="AB15" s="11" t="str"/>
      <x:c r="AC15" s="11" t="str"/>
      <x:c r="AD15" s="11" t="str"/>
      <x:c r="AE15" s="11" t="str"/>
      <x:c r="AF15" s="11" t="str"/>
    </x:row>
    <x:row r="16">
      <x:c r="A16" s="11" t="n">
        <x:v>177</x:v>
      </x:c>
      <x:c r="B16" s="11" t="str">
        <x:v>VRN — Revize</x:v>
      </x:c>
      <x:c r="C16" s="11" t="str">
        <x:v>Revize hydrantu vnějšího</x:v>
      </x:c>
      <x:c r="D16" s="11" t="str">
        <x:v>030161000</x:v>
      </x:c>
      <x:c r="E16" s="11" t="str">
        <x:v>Revize vnějšího hydrantu pro požární zabezpečení (DN min. 80, vzdálenost 100 m dle TZ PBŘ) — periodická kontrola</x:v>
      </x:c>
      <x:c r="F16" s="11" t="str">
        <x:v>kpl</x:v>
      </x:c>
      <x:c r="G16" s="11" t="str">
        <x:v>1</x:v>
      </x:c>
      <x:c r="H16" s="11" t="str">
        <x:v>ne</x:v>
      </x:c>
      <x:c r="I16" s="11" t="str">
        <x:v>Revize vnějšího hydrantu</x:v>
      </x:c>
      <x:c r="J16" s="11" t="str">
        <x:v>Revize vnějšího hydrantu pro požární zabezpečení</x:v>
      </x:c>
      <x:c r="K16" s="11" t="str">
        <x:v>NO_MATCH</x:v>
      </x:c>
      <x:c r="L16" s="11" t="str">
        <x:v>Výstup textově zmiňuje HZS 001, ale pole code je N/A, proto není bráno jako ověřený kód.</x:v>
      </x:c>
      <x:c r="M16" s="11" t="str">
        <x:v>N/A</x:v>
      </x:c>
      <x:c r="N16" s="11" t="str">
        <x:v>No specific code extracted — textově uvedeno HZS 001 Kontrola vnějšího hydrantu pro požární zabezpečení, MJ ks</x:v>
      </x:c>
      <x:c r="O16" s="11" t="str"/>
      <x:c r="P16" s="11" t="str">
        <x:v>0.50</x:v>
      </x:c>
      <x:c r="Q16" s="11" t="str">
        <x:v>perplexity_urs_search</x:v>
      </x:c>
      <x:c r="R16" s="11" t="str"/>
      <x:c r="S16" s="11" t="str"/>
      <x:c r="T16" s="11" t="str"/>
      <x:c r="U16" s="11" t="str"/>
      <x:c r="V16" s="11" t="str"/>
      <x:c r="W16" s="11" t="str"/>
      <x:c r="X16" s="11" t="str"/>
      <x:c r="Y16" s="11" t="str"/>
      <x:c r="Z16" s="11" t="str"/>
      <x:c r="AA16" s="11" t="str"/>
      <x:c r="AB16" s="11" t="str"/>
      <x:c r="AC16" s="11" t="str"/>
      <x:c r="AD16" s="11" t="str"/>
      <x:c r="AE16" s="11" t="str"/>
      <x:c r="AF16" s="11" t="str"/>
    </x:row>
    <x:row r="17">
      <x:c r="A17" s="11" t="n">
        <x:v>178</x:v>
      </x:c>
      <x:c r="B17" s="11" t="str">
        <x:v>VRN — Zařízení staveniště</x:v>
      </x:c>
      <x:c r="C17" s="11" t="str">
        <x:v>Buňky kancelář + sociální</x:v>
      </x:c>
      <x:c r="D17" s="11" t="str">
        <x:v>030011000</x:v>
      </x:c>
      <x:c r="E17" s="11" t="str">
        <x:v>Zařízení staveniště — buňka kancelář + sociální buňka (WC + šatna), pronájem ~8 měsíců</x:v>
      </x:c>
      <x:c r="F17" s="11" t="str">
        <x:v>kpl-měs</x:v>
      </x:c>
      <x:c r="G17" s="11" t="str">
        <x:v>8</x:v>
      </x:c>
      <x:c r="H17" s="11" t="str">
        <x:v>ano</x:v>
      </x:c>
      <x:c r="I17" s="11" t="str">
        <x:v>Dočasná staveništní kancelářská buňka</x:v>
      </x:c>
      <x:c r="J17" s="11" t="str">
        <x:v>Dočasná staveništní kancelářská buňka pro zařízení staveniště</x:v>
      </x:c>
      <x:c r="K17" s="11" t="str">
        <x:v>NO_MATCH</x:v>
      </x:c>
      <x:c r="L17" s="11" t="str">
        <x:v>Přesný kód nebyl nalezen; jen obecný odkaz na zařízení/provoz staveniště.</x:v>
      </x:c>
      <x:c r="M17" s="11" t="str">
        <x:v>N/A</x:v>
      </x:c>
      <x:c r="N17" s="11" t="str">
        <x:v>No specific code extracted — kancelářské kontejnery/buňky, provoz zařízení staveniště</x:v>
      </x:c>
      <x:c r="O17" s="11" t="str"/>
      <x:c r="P17" s="11" t="str">
        <x:v>0.50</x:v>
      </x:c>
      <x:c r="Q17" s="11" t="str">
        <x:v>perplexity_urs_search</x:v>
      </x:c>
      <x:c r="R17" s="11" t="str"/>
      <x:c r="S17" s="11" t="str"/>
      <x:c r="T17" s="11" t="str"/>
      <x:c r="U17" s="11" t="str"/>
      <x:c r="V17" s="11" t="str"/>
      <x:c r="W17" s="11" t="str"/>
      <x:c r="X17" s="11" t="str"/>
      <x:c r="Y17" s="11" t="str"/>
      <x:c r="Z17" s="11" t="str"/>
      <x:c r="AA17" s="11" t="str"/>
      <x:c r="AB17" s="11" t="str"/>
      <x:c r="AC17" s="11" t="str"/>
      <x:c r="AD17" s="11" t="str"/>
      <x:c r="AE17" s="11" t="str"/>
      <x:c r="AF17" s="11" t="str"/>
    </x:row>
    <x:row r="18">
      <x:c r="A18" s="11" t="n">
        <x:v>178</x:v>
      </x:c>
      <x:c r="B18" s="11" t="str">
        <x:v>VRN — Zařízení staveniště</x:v>
      </x:c>
      <x:c r="C18" s="11" t="str">
        <x:v>Buňky kancelář + sociální</x:v>
      </x:c>
      <x:c r="D18" s="11" t="str">
        <x:v>030011000</x:v>
      </x:c>
      <x:c r="E18" s="11" t="str">
        <x:v>Zařízení staveniště — buňka kancelář + sociální buňka (WC + šatna), pronájem ~8 měsíců</x:v>
      </x:c>
      <x:c r="F18" s="11" t="str">
        <x:v>kpl-měs</x:v>
      </x:c>
      <x:c r="G18" s="11" t="str">
        <x:v>8</x:v>
      </x:c>
      <x:c r="H18" s="11" t="str">
        <x:v>ano</x:v>
      </x:c>
      <x:c r="I18" s="11" t="str">
        <x:v>Dočasná hygienická a šatnová buňka</x:v>
      </x:c>
      <x:c r="J18" s="11" t="str">
        <x:v>Dočasná hygienická buňka a šatnová buňka pro staveniště</x:v>
      </x:c>
      <x:c r="K18" s="11" t="str">
        <x:v>NO_MATCH</x:v>
      </x:c>
      <x:c r="L18" s="11" t="str">
        <x:v>Přesný kód nebyl nalezen; jen obecný odkaz na zařízení/provoz staveniště.</x:v>
      </x:c>
      <x:c r="M18" s="11" t="str">
        <x:v>N/A</x:v>
      </x:c>
      <x:c r="N18" s="11" t="str">
        <x:v>No exact item — hygienické a šatnové zázemí pracovníků v zařízení staveniště</x:v>
      </x:c>
      <x:c r="O18" s="11" t="str"/>
      <x:c r="P18" s="11" t="str">
        <x:v>0.50</x:v>
      </x:c>
      <x:c r="Q18" s="11" t="str">
        <x:v>perplexity_urs_search</x:v>
      </x:c>
      <x:c r="R18" s="11" t="str"/>
      <x:c r="S18" s="11" t="str"/>
      <x:c r="T18" s="11" t="str"/>
      <x:c r="U18" s="11" t="str"/>
      <x:c r="V18" s="11" t="str"/>
      <x:c r="W18" s="11" t="str"/>
      <x:c r="X18" s="11" t="str"/>
      <x:c r="Y18" s="11" t="str"/>
      <x:c r="Z18" s="11" t="str"/>
      <x:c r="AA18" s="11" t="str"/>
      <x:c r="AB18" s="11" t="str"/>
      <x:c r="AC18" s="11" t="str"/>
      <x:c r="AD18" s="11" t="str"/>
      <x:c r="AE18" s="11" t="str"/>
      <x:c r="AF18" s="11" t="str"/>
    </x:row>
    <x:row r="19">
      <x:c r="A19" s="11" t="n">
        <x:v>179</x:v>
      </x:c>
      <x:c r="B19" s="11" t="str">
        <x:v>VRN — Zařízení staveniště</x:v>
      </x:c>
      <x:c r="C19" s="11" t="str">
        <x:v>Mobilní WC</x:v>
      </x:c>
      <x:c r="D19" s="11" t="str">
        <x:v>030013000</x:v>
      </x:c>
      <x:c r="E19" s="11" t="str">
        <x:v>Mobilní chemické WC TOI TOI pro pracovníky — pronájem ~8 měsíců</x:v>
      </x:c>
      <x:c r="F19" s="11" t="str">
        <x:v>ks-měs</x:v>
      </x:c>
      <x:c r="G19" s="11" t="str">
        <x:v>8</x:v>
      </x:c>
      <x:c r="H19" s="11" t="str">
        <x:v>ne</x:v>
      </x:c>
      <x:c r="I19" s="11" t="str">
        <x:v>Mobilní chemické WC pro pracovníky</x:v>
      </x:c>
      <x:c r="J19" s="11" t="str">
        <x:v>Mobilní chemické WC pro pracovníky na staveništi dočasné užívání</x:v>
      </x:c>
      <x:c r="K19" s="11" t="str">
        <x:v>NO_MATCH</x:v>
      </x:c>
      <x:c r="L19" s="11" t="str">
        <x:v>STAVAGENT nenašel katalogovou položku; obvykle jako nájem/provoz zařízení staveniště.</x:v>
      </x:c>
      <x:c r="M19" s="11" t="str">
        <x:v>N/A</x:v>
      </x:c>
      <x:c r="N19" s="11" t="str">
        <x:v>No exact item — mobilní chemické WC jako nájemní položka / provoz zařízení staveniště</x:v>
      </x:c>
      <x:c r="O19" s="11" t="str"/>
      <x:c r="P19" s="11" t="str">
        <x:v>0.50</x:v>
      </x:c>
      <x:c r="Q19" s="11" t="str">
        <x:v>perplexity_urs_search</x:v>
      </x:c>
      <x:c r="R19" s="11" t="str"/>
      <x:c r="S19" s="11" t="str"/>
      <x:c r="T19" s="11" t="str"/>
      <x:c r="U19" s="11" t="str"/>
      <x:c r="V19" s="11" t="str"/>
      <x:c r="W19" s="11" t="str"/>
      <x:c r="X19" s="11" t="str"/>
      <x:c r="Y19" s="11" t="str"/>
      <x:c r="Z19" s="11" t="str"/>
      <x:c r="AA19" s="11" t="str"/>
      <x:c r="AB19" s="11" t="str"/>
      <x:c r="AC19" s="11" t="str"/>
      <x:c r="AD19" s="11" t="str"/>
      <x:c r="AE19" s="11" t="str"/>
      <x:c r="AF19" s="11" t="str"/>
    </x:row>
    <x:row r="20">
      <x:c r="A20" s="11" t="n">
        <x:v>180</x:v>
      </x:c>
      <x:c r="B20" s="11" t="str">
        <x:v>VRN — Zařízení staveniště</x:v>
      </x:c>
      <x:c r="C20" s="11" t="str">
        <x:v>El. odběr + vodovodní odběr stavby</x:v>
      </x:c>
      <x:c r="D20" s="11" t="str">
        <x:v>031011000</x:v>
      </x:c>
      <x:c r="E20" s="11" t="str">
        <x:v>El. odběr stavby (zřízení staveništního rozvaděče + měřič) + vodovodní odběr (zřízení staveništní přípojky + vodoměr) — ~8 měsíců</x:v>
      </x:c>
      <x:c r="F20" s="11" t="str">
        <x:v>kpl</x:v>
      </x:c>
      <x:c r="G20" s="11" t="str">
        <x:v>1</x:v>
      </x:c>
      <x:c r="H20" s="11" t="str">
        <x:v>ano</x:v>
      </x:c>
      <x:c r="I20" s="11" t="str">
        <x:v>Staveništní elektrický rozvaděč s měřením</x:v>
      </x:c>
      <x:c r="J20" s="11" t="str">
        <x:v>Zřízení staveništního elektrického rozvaděče s měřením pro odběr stavby</x:v>
      </x:c>
      <x:c r="K20" s="11" t="str">
        <x:v>NO_MATCH</x:v>
      </x:c>
      <x:c r="L20" s="11" t="str">
        <x:v>Přesná položka nevrácena; výstup uvádí, že se skládá z VRN + dočasný NN odběr/elektromontáž.</x:v>
      </x:c>
      <x:c r="M20" s="11" t="str">
        <x:v>N/A</x:v>
      </x:c>
      <x:c r="N20" s="11" t="str">
        <x:v>No exact item — zařízení staveniště, dočasný NN odběr, elektromontážní práce</x:v>
      </x:c>
      <x:c r="O20" s="11" t="str"/>
      <x:c r="P20" s="11" t="str">
        <x:v>0.50</x:v>
      </x:c>
      <x:c r="Q20" s="11" t="str">
        <x:v>perplexity_urs_search</x:v>
      </x:c>
      <x:c r="R20" s="11" t="str"/>
      <x:c r="S20" s="11" t="str"/>
      <x:c r="T20" s="11" t="str"/>
      <x:c r="U20" s="11" t="str"/>
      <x:c r="V20" s="11" t="str"/>
      <x:c r="W20" s="11" t="str"/>
      <x:c r="X20" s="11" t="str"/>
      <x:c r="Y20" s="11" t="str"/>
      <x:c r="Z20" s="11" t="str"/>
      <x:c r="AA20" s="11" t="str"/>
      <x:c r="AB20" s="11" t="str"/>
      <x:c r="AC20" s="11" t="str"/>
      <x:c r="AD20" s="11" t="str"/>
      <x:c r="AE20" s="11" t="str"/>
      <x:c r="AF20" s="11" t="str"/>
    </x:row>
    <x:row r="21">
      <x:c r="A21" s="11" t="n">
        <x:v>180</x:v>
      </x:c>
      <x:c r="B21" s="11" t="str">
        <x:v>VRN — Zařízení staveniště</x:v>
      </x:c>
      <x:c r="C21" s="11" t="str">
        <x:v>El. odběr + vodovodní odběr stavby</x:v>
      </x:c>
      <x:c r="D21" s="11" t="str">
        <x:v>031011000</x:v>
      </x:c>
      <x:c r="E21" s="11" t="str">
        <x:v>El. odběr stavby (zřízení staveništního rozvaděče + měřič) + vodovodní odběr (zřízení staveništní přípojky + vodoměr) — ~8 měsíců</x:v>
      </x:c>
      <x:c r="F21" s="11" t="str">
        <x:v>kpl</x:v>
      </x:c>
      <x:c r="G21" s="11" t="str">
        <x:v>1</x:v>
      </x:c>
      <x:c r="H21" s="11" t="str">
        <x:v>ano</x:v>
      </x:c>
      <x:c r="I21" s="11" t="str">
        <x:v>Dočasný vodovodní odběr včetně vodoměru</x:v>
      </x:c>
      <x:c r="J21" s="11" t="str">
        <x:v>Zřízení dočasného vodovodního odběru pro stavbu včetně vodoměru</x:v>
      </x:c>
      <x:c r="K21" s="11" t="str">
        <x:v>NO_MATCH</x:v>
      </x:c>
      <x:c r="L21" s="11" t="str">
        <x:v>STAVAGENT nevrátil kód, název ani MJ.</x:v>
      </x:c>
      <x:c r="M21" s="11" t="str">
        <x:v>N/A</x:v>
      </x:c>
      <x:c r="N21" s="11" t="str">
        <x:v>No specific code extracted — dočasný vodovodní odběr pro stavbu včetně vodoměru</x:v>
      </x:c>
      <x:c r="O21" s="11" t="str"/>
      <x:c r="P21" s="11" t="str">
        <x:v>0.50</x:v>
      </x:c>
      <x:c r="Q21" s="11" t="str">
        <x:v>perplexity_urs_search</x:v>
      </x:c>
      <x:c r="R21" s="11" t="str"/>
      <x:c r="S21" s="11" t="str"/>
      <x:c r="T21" s="11" t="str"/>
      <x:c r="U21" s="11" t="str"/>
      <x:c r="V21" s="11" t="str"/>
      <x:c r="W21" s="11" t="str"/>
      <x:c r="X21" s="11" t="str"/>
      <x:c r="Y21" s="11" t="str"/>
      <x:c r="Z21" s="11" t="str"/>
      <x:c r="AA21" s="11" t="str"/>
      <x:c r="AB21" s="11" t="str"/>
      <x:c r="AC21" s="11" t="str"/>
      <x:c r="AD21" s="11" t="str"/>
      <x:c r="AE21" s="11" t="str"/>
      <x:c r="AF21" s="11" t="str"/>
    </x:row>
    <x:row r="22">
      <x:c r="A22" s="11" t="n">
        <x:v>181</x:v>
      </x:c>
      <x:c r="B22" s="11" t="str">
        <x:v>VRN — Zařízení staveniště</x:v>
      </x:c>
      <x:c r="C22" s="11" t="str">
        <x:v>Voda staveniště</x:v>
      </x:c>
      <x:c r="D22" s="11" t="str">
        <x:v>012103101</x:v>
      </x:c>
      <x:c r="E22" s="11" t="str">
        <x:v>Voda staveniště — napojení na stávající vodovodní přípojku, dočasné rozvody na staveništi (mísení malt, čištění, soc. zázemí), paušál pro dobu výstavby ~18 měs.</x:v>
      </x:c>
      <x:c r="F22" s="11" t="str">
        <x:v>kpl</x:v>
      </x:c>
      <x:c r="G22" s="11" t="str">
        <x:v>1</x:v>
      </x:c>
      <x:c r="H22" s="11" t="str">
        <x:v>ne</x:v>
      </x:c>
      <x:c r="I22" s="11" t="str">
        <x:v>Dočasné potrubí vody pro provoz staveniště</x:v>
      </x:c>
      <x:c r="J22" s="11" t="str">
        <x:v>Dočasné potrubí vody pro provoz staveniště</x:v>
      </x:c>
      <x:c r="K22" s="11" t="str">
        <x:v>PARTIAL</x:v>
      </x:c>
      <x:c r="L22" s="11" t="str">
        <x:v>Kód přišel pouze z perplexity_urs_search, bez MJ; ověřit v ÚRS/KROS.</x:v>
      </x:c>
      <x:c r="M22" s="11" t="str">
        <x:v>119003224</x:v>
      </x:c>
      <x:c r="N22" s="11" t="str">
        <x:v>Dočasné potrubí vody pro provoz staveniště</x:v>
      </x:c>
      <x:c r="O22" s="11" t="str"/>
      <x:c r="P22" s="11" t="str">
        <x:v>0.80</x:v>
      </x:c>
      <x:c r="Q22" s="11" t="str">
        <x:v>perplexity_urs_search</x:v>
      </x:c>
      <x:c r="R22" s="11" t="str"/>
      <x:c r="S22" s="11" t="str"/>
      <x:c r="T22" s="11" t="str"/>
      <x:c r="U22" s="11" t="str"/>
      <x:c r="V22" s="11" t="str"/>
      <x:c r="W22" s="11" t="str"/>
      <x:c r="X22" s="11" t="str"/>
      <x:c r="Y22" s="11" t="str"/>
      <x:c r="Z22" s="11" t="str"/>
      <x:c r="AA22" s="11" t="str"/>
      <x:c r="AB22" s="11" t="str"/>
      <x:c r="AC22" s="11" t="str"/>
      <x:c r="AD22" s="11" t="str"/>
      <x:c r="AE22" s="11" t="str"/>
      <x:c r="AF22" s="11" t="str"/>
    </x:row>
  </x:sheetData>
  <x:dataValidations count="1">
    <x:dataValidation type="list" sqref="K2:K22">
      <x:formula1>"MATCH,PARTIAL,NO_MATCH,BAD_MATCH"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9548a8be8547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5" t="str">
        <x:v>Metric</x:v>
      </x:c>
      <x:c r="B1" s="5" t="str">
        <x:v>Value</x:v>
      </x:c>
    </x:row>
    <x:row r="2">
      <x:c r="A2" t="str">
        <x:v>Batch</x:v>
      </x:c>
      <x:c r="B2" t="str">
        <x:v>015</x:v>
      </x:c>
    </x:row>
    <x:row r="3">
      <x:c r="A3" t="str">
        <x:v>Source rows requested</x:v>
      </x:c>
      <x:c r="B3" t="str">
        <x:v>169-181</x:v>
      </x:c>
    </x:row>
    <x:row r="4">
      <x:c r="A4" t="str">
        <x:v>Source rows processed</x:v>
      </x:c>
      <x:c r="B4" t="n">
        <x:v>13</x:v>
      </x:c>
    </x:row>
    <x:row r="5">
      <x:c r="A5" t="str">
        <x:v>Output rows after aggregation split</x:v>
      </x:c>
      <x:c r="B5" t="n">
        <x:v>21</x:v>
      </x:c>
    </x:row>
    <x:row r="6">
      <x:c r="A6" t="str">
        <x:v>STAVAGENT calls represented</x:v>
      </x:c>
      <x:c r="B6" t="n">
        <x:v>21</x:v>
      </x:c>
    </x:row>
    <x:row r="7">
      <x:c r="A7" t="str">
        <x:v>Manual codes added</x:v>
      </x:c>
      <x:c r="B7" t="n">
        <x:v>0</x:v>
      </x:c>
    </x:row>
    <x:row r="8">
      <x:c r="A8" t="str">
        <x:v>MATCH</x:v>
      </x:c>
      <x:c r="B8" t="n">
        <x:v>2</x:v>
      </x:c>
    </x:row>
    <x:row r="9">
      <x:c r="A9" t="str">
        <x:v>PARTIAL</x:v>
      </x:c>
      <x:c r="B9" t="n">
        <x:v>4</x:v>
      </x:c>
    </x:row>
    <x:row r="10">
      <x:c r="A10" t="str">
        <x:v>NO_MATCH</x:v>
      </x:c>
      <x:c r="B10" t="n">
        <x:v>15</x:v>
      </x:c>
    </x:row>
    <x:row r="11">
      <x:c r="A11" t="str">
        <x:v>BAD_MATCH</x:v>
      </x:c>
      <x:c r="B11" t="n">
        <x:v>0</x:v>
      </x:c>
    </x:row>
    <x:row r="12">
      <x:c r="A12" t="str">
        <x:v>Blocked/rephrased calls noted</x:v>
      </x:c>
      <x:c r="B12" t="str">
        <x:v>Azbest/průzkum, sociální buňka, voda staveniště; successful rephrases included where 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ad588446a0c44e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18" hidden="0" customWidth="1"/>
    <x:col min="5" max="5" width="70" hidden="0" customWidth="1"/>
    <x:col min="6" max="6" width="10" hidden="0" customWidth="1"/>
    <x:col min="7" max="7" width="12" hidden="0" customWidth="1"/>
  </x:cols>
  <x:sheetData>
    <x:row r="1">
      <x:c r="A1" s="10" t="str">
        <x:v>source_row_id</x:v>
      </x:c>
      <x:c r="B1" s="10" t="str">
        <x:v>Kapitola</x:v>
      </x:c>
      <x:c r="C1" s="10" t="str">
        <x:v>Subkapitola</x:v>
      </x:c>
      <x:c r="D1" s="10" t="str">
        <x:v>URS kód (navrž.)</x:v>
      </x:c>
      <x:c r="E1" s="10" t="str">
        <x:v>Popis</x:v>
      </x:c>
      <x:c r="F1" s="10" t="str">
        <x:v>MJ</x:v>
      </x:c>
      <x:c r="G1" s="10" t="str">
        <x:v>Množství</x:v>
      </x:c>
    </x:row>
    <x:row r="2">
      <x:c r="A2" s="11" t="n">
        <x:v>169</x:v>
      </x:c>
      <x:c r="B2" s="11" t="str">
        <x:v>VRN — Doprava + odpad</x:v>
      </x:c>
      <x:c r="C2" s="11" t="str">
        <x:v>Doprava materiálu</x:v>
      </x:c>
      <x:c r="D2" s="11" t="str">
        <x:v>031031000</x:v>
      </x:c>
      <x:c r="E2" s="11" t="str">
        <x:v>Doprava materiálu na stavbu (centrální koordinace) — paušál ~2-3 % z PN materiál</x:v>
      </x:c>
      <x:c r="F2" s="11" t="str">
        <x:v>paušál</x:v>
      </x:c>
      <x:c r="G2" s="11" t="str">
        <x:v>1</x:v>
      </x:c>
    </x:row>
    <x:row r="3">
      <x:c r="A3" s="11" t="n">
        <x:v>170</x:v>
      </x:c>
      <x:c r="B3" s="11" t="str">
        <x:v>VRN — Doprava + odpad</x:v>
      </x:c>
      <x:c r="C3" s="11" t="str">
        <x:v>Likvidace odpadů 56.9 t</x:v>
      </x:c>
      <x:c r="D3" s="11" t="str">
        <x:v>997013211</x:v>
      </x:c>
      <x:c r="E3" s="11" t="str">
        <x:v>Likvidace stavební suti dle vyhl. 8/2021 Sb. — skládkovné + recyklace + třídění (56.9 t celkem per TZ B m.10.e)</x:v>
      </x:c>
      <x:c r="F3" s="11" t="str">
        <x:v>t</x:v>
      </x:c>
      <x:c r="G3" s="11" t="str">
        <x:v>56,90</x:v>
      </x:c>
    </x:row>
    <x:row r="4">
      <x:c r="A4" s="11" t="n">
        <x:v>171</x:v>
      </x:c>
      <x:c r="B4" s="11" t="str">
        <x:v>VRN — Geodet</x:v>
      </x:c>
      <x:c r="C4" s="11" t="str">
        <x:v>Geodetické zaměření před + po realizaci</x:v>
      </x:c>
      <x:c r="D4" s="11" t="str">
        <x:v>030141000</x:v>
      </x:c>
      <x:c r="E4" s="11" t="str">
        <x:v>Geodetické zaměření před realizací (verifikace polohopis + výškopis) + po dokončení (zaměření skutečného provedení pro kolaudaci)</x:v>
      </x:c>
      <x:c r="F4" s="11" t="str">
        <x:v>kpl</x:v>
      </x:c>
      <x:c r="G4" s="11" t="str">
        <x:v>2</x:v>
      </x:c>
    </x:row>
    <x:row r="5">
      <x:c r="A5" s="11" t="n">
        <x:v>172</x:v>
      </x:c>
      <x:c r="B5" s="11" t="str">
        <x:v>VRN — Kolaudace</x:v>
      </x:c>
      <x:c r="C5" s="11" t="str">
        <x:v>Kolaudační řízení</x:v>
      </x:c>
      <x:c r="D5" s="11" t="str">
        <x:v>030171000</x:v>
      </x:c>
      <x:c r="E5" s="11" t="str">
        <x:v>Kolaudační řízení — paušál (správní poplatky + součinnost) dle zákona 183/2006 Sb.</x:v>
      </x:c>
      <x:c r="F5" s="11" t="str">
        <x:v>paušál</x:v>
      </x:c>
      <x:c r="G5" s="11" t="str">
        <x:v>1</x:v>
      </x:c>
    </x:row>
    <x:row r="6">
      <x:c r="A6" s="11" t="n">
        <x:v>173</x:v>
      </x:c>
      <x:c r="B6" s="11" t="str">
        <x:v>VRN — Pojištění + zábory</x:v>
      </x:c>
      <x:c r="C6" s="11" t="str">
        <x:v>Pojištění stavby (montážní + odpovědnostní)</x:v>
      </x:c>
      <x:c r="D6" s="11" t="str">
        <x:v>030081000</x:v>
      </x:c>
      <x:c r="E6" s="11" t="str">
        <x:v>Montážní pojištění stavby (CAR) + pojištění odpovědnosti za škodu (zhotovitel) — paušál cca 0.3-0.5 % z PN</x:v>
      </x:c>
      <x:c r="F6" s="11" t="str">
        <x:v>paušál</x:v>
      </x:c>
      <x:c r="G6" s="11" t="str">
        <x:v>1</x:v>
      </x:c>
    </x:row>
    <x:row r="7">
      <x:c r="A7" s="11" t="n">
        <x:v>174</x:v>
      </x:c>
      <x:c r="B7" s="11" t="str">
        <x:v>VRN — Pojištění + zábory</x:v>
      </x:c>
      <x:c r="C7" s="11" t="str">
        <x:v>Krátkodobé zábory ul. Fibichova</x:v>
      </x:c>
      <x:c r="D7" s="11" t="str">
        <x:v>030083000</x:v>
      </x:c>
      <x:c r="E7" s="11" t="str">
        <x:v>Krátkodobé zábory ulice Fibichova pro materiál a kontejnery (povolení MU Jáchymov + DI) — odhad 30 dnů kumulativně</x:v>
      </x:c>
      <x:c r="F7" s="11" t="str">
        <x:v>kpl</x:v>
      </x:c>
      <x:c r="G7" s="11" t="str">
        <x:v>1</x:v>
      </x:c>
    </x:row>
    <x:row r="8">
      <x:c r="A8" s="11" t="n">
        <x:v>175</x:v>
      </x:c>
      <x:c r="B8" s="11" t="str">
        <x:v>VRN — Průzkumy</x:v>
      </x:c>
      <x:c r="C8" s="11" t="str">
        <x:v>Mykologický průzkum dřeva při bourání</x:v>
      </x:c>
      <x:c r="D8" s="11" t="str">
        <x:v>030131000</x:v>
      </x:c>
      <x:c r="E8" s="11" t="str">
        <x:v>Mykologický průzkum stávajícího krovu a dřevěných trámů zhlaví — provádí autorizovaný mykolog při bourání</x:v>
      </x:c>
      <x:c r="F8" s="11" t="str">
        <x:v>kpl</x:v>
      </x:c>
      <x:c r="G8" s="11" t="str">
        <x:v>1</x:v>
      </x:c>
    </x:row>
    <x:row r="9">
      <x:c r="A9" s="11" t="n">
        <x:v>176</x:v>
      </x:c>
      <x:c r="B9" s="11" t="str">
        <x:v>VRN — Průzkumy</x:v>
      </x:c>
      <x:c r="C9" s="11" t="str">
        <x:v>Azbestový průzkum podrobný před demolicí</x:v>
      </x:c>
      <x:c r="D9" s="11" t="str">
        <x:v>030133000</x:v>
      </x:c>
      <x:c r="E9" s="11" t="str">
        <x:v>Azbestový průzkum podrobný před demolicí — laboratorní vzorky a posudek (B kap. m.7.a předběžně negativní, ale podrobný před bouráním povinný)</x:v>
      </x:c>
      <x:c r="F9" s="11" t="str">
        <x:v>kpl</x:v>
      </x:c>
      <x:c r="G9" s="11" t="str">
        <x:v>1</x:v>
      </x:c>
    </x:row>
    <x:row r="10">
      <x:c r="A10" s="11" t="n">
        <x:v>177</x:v>
      </x:c>
      <x:c r="B10" s="11" t="str">
        <x:v>VRN — Revize</x:v>
      </x:c>
      <x:c r="C10" s="11" t="str">
        <x:v>Revize hydrantu vnějšího</x:v>
      </x:c>
      <x:c r="D10" s="11" t="str">
        <x:v>030161000</x:v>
      </x:c>
      <x:c r="E10" s="11" t="str">
        <x:v>Revize vnějšího hydrantu pro požární zabezpečení (DN min. 80, vzdálenost 100 m dle TZ PBŘ) — periodická kontrola</x:v>
      </x:c>
      <x:c r="F10" s="11" t="str">
        <x:v>kpl</x:v>
      </x:c>
      <x:c r="G10" s="11" t="str">
        <x:v>1</x:v>
      </x:c>
    </x:row>
    <x:row r="11">
      <x:c r="A11" s="11" t="n">
        <x:v>178</x:v>
      </x:c>
      <x:c r="B11" s="11" t="str">
        <x:v>VRN — Zařízení staveniště</x:v>
      </x:c>
      <x:c r="C11" s="11" t="str">
        <x:v>Buňky kancelář + sociální</x:v>
      </x:c>
      <x:c r="D11" s="11" t="str">
        <x:v>030011000</x:v>
      </x:c>
      <x:c r="E11" s="11" t="str">
        <x:v>Zařízení staveniště — buňka kancelář + sociální buňka (WC + šatna), pronájem ~8 měsíců</x:v>
      </x:c>
      <x:c r="F11" s="11" t="str">
        <x:v>kpl-měs</x:v>
      </x:c>
      <x:c r="G11" s="11" t="str">
        <x:v>8</x:v>
      </x:c>
    </x:row>
    <x:row r="12">
      <x:c r="A12" s="11" t="n">
        <x:v>179</x:v>
      </x:c>
      <x:c r="B12" s="11" t="str">
        <x:v>VRN — Zařízení staveniště</x:v>
      </x:c>
      <x:c r="C12" s="11" t="str">
        <x:v>Mobilní WC</x:v>
      </x:c>
      <x:c r="D12" s="11" t="str">
        <x:v>030013000</x:v>
      </x:c>
      <x:c r="E12" s="11" t="str">
        <x:v>Mobilní chemické WC TOI TOI pro pracovníky — pronájem ~8 měsíců</x:v>
      </x:c>
      <x:c r="F12" s="11" t="str">
        <x:v>ks-měs</x:v>
      </x:c>
      <x:c r="G12" s="11" t="str">
        <x:v>8</x:v>
      </x:c>
    </x:row>
    <x:row r="13">
      <x:c r="A13" s="11" t="n">
        <x:v>180</x:v>
      </x:c>
      <x:c r="B13" s="11" t="str">
        <x:v>VRN — Zařízení staveniště</x:v>
      </x:c>
      <x:c r="C13" s="11" t="str">
        <x:v>El. odběr + vodovodní odběr stavby</x:v>
      </x:c>
      <x:c r="D13" s="11" t="str">
        <x:v>031011000</x:v>
      </x:c>
      <x:c r="E13" s="11" t="str">
        <x:v>El. odběr stavby (zřízení staveništního rozvaděče + měřič) + vodovodní odběr (zřízení staveništní přípojky + vodoměr) — ~8 měsíců</x:v>
      </x:c>
      <x:c r="F13" s="11" t="str">
        <x:v>kpl</x:v>
      </x:c>
      <x:c r="G13" s="11" t="str">
        <x:v>1</x:v>
      </x:c>
    </x:row>
    <x:row r="14">
      <x:c r="A14" s="11" t="n">
        <x:v>181</x:v>
      </x:c>
      <x:c r="B14" s="11" t="str">
        <x:v>VRN — Zařízení staveniště</x:v>
      </x:c>
      <x:c r="C14" s="11" t="str">
        <x:v>Voda staveniště</x:v>
      </x:c>
      <x:c r="D14" s="11" t="str">
        <x:v>012103101</x:v>
      </x:c>
      <x:c r="E14" s="11" t="str">
        <x:v>Voda staveniště — napojení na stávající vodovodní přípojku, dočasné rozvody na staveništi (mísení malt, čištění, soc. zázemí), paušál pro dobu výstavby ~18 měs.</x:v>
      </x:c>
      <x:c r="F14" s="11" t="str">
        <x:v>kpl</x:v>
      </x:c>
      <x:c r="G14" s="11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2c6a3304045489f"/>
  </x:tableParts>
</x:worksheet>
</file>